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LERTA ROAS" sheetId="2" state="visible" r:id="rId2"/>
    <sheet name="HAIFENG" sheetId="3" state="visible" r:id="rId3"/>
    <sheet name="ZOEY" sheetId="4" state="visible" r:id="rId4"/>
    <sheet name="CYNTHIA CAO" sheetId="5" state="visible" r:id="rId5"/>
    <sheet name="NANCY VIP" sheetId="6" state="visible" r:id="rId6"/>
    <sheet name="DINA DU" sheetId="7" state="visible" r:id="rId7"/>
    <sheet name="COCOMA" sheetId="8" state="visible" r:id="rId8"/>
    <sheet name="MOLLY" sheetId="9" state="visible" r:id="rId9"/>
    <sheet name="COCO ZHANG" sheetId="10" state="visible" r:id="rId10"/>
    <sheet name="TODAS LAS ORDENES" sheetId="11" state="visible" r:id="rId11"/>
  </sheets>
  <definedNames>
    <definedName name="_xlnm._FilterDatabase" localSheetId="1" hidden="1">'ALERTA ROAS'!$A$5:$N$239</definedName>
    <definedName name="_xlnm._FilterDatabase" localSheetId="2" hidden="1">'HAIFENG'!$A$4:$U$1019</definedName>
    <definedName name="_xlnm._FilterDatabase" localSheetId="3" hidden="1">'ZOEY'!$A$4:$S$472</definedName>
    <definedName name="_xlnm._FilterDatabase" localSheetId="4" hidden="1">'CYNTHIA CAO'!$A$4:$P$365</definedName>
    <definedName name="_xlnm._FilterDatabase" localSheetId="5" hidden="1">'NANCY VIP'!$A$4:$O$309</definedName>
    <definedName name="_xlnm._FilterDatabase" localSheetId="6" hidden="1">'DINA DU'!$A$4:$M$89</definedName>
    <definedName name="_xlnm._FilterDatabase" localSheetId="7" hidden="1">'COCOMA'!$A$4:$J$55</definedName>
    <definedName name="_xlnm._FilterDatabase" localSheetId="8" hidden="1">'MOLLY'!$A$4:$I$23</definedName>
    <definedName name="_xlnm._FilterDatabase" localSheetId="9" hidden="1">'COCO ZHANG'!$A$4:$I$17</definedName>
    <definedName name="_xlnm._FilterDatabase" localSheetId="10" hidden="1">'TODAS LAS ORDENES'!$A$1:$M$5320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x&quot;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10"/>
    </font>
    <font>
      <name val="Arial"/>
      <b val="1"/>
    </font>
    <font>
      <name val="Arial"/>
      <b val="1"/>
      <color rgb="000000FF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/>
    <font>
      <name val="Arial"/>
      <b val="1"/>
      <sz val="9"/>
    </font>
    <font>
      <name val="Arial"/>
      <sz val="9"/>
    </font>
    <font>
      <name val="Arial"/>
      <b val="1"/>
      <color rgb="001F3864"/>
      <sz val="14"/>
    </font>
    <font>
      <name val="Arial"/>
      <color rgb="00595959"/>
      <sz val="9"/>
    </font>
    <font>
      <name val="Arial"/>
      <b val="1"/>
      <color rgb="00FFFFFF"/>
      <sz val="9"/>
    </font>
    <font>
      <name val="Arial"/>
      <b val="1"/>
      <color rgb="00C00000"/>
      <sz val="9"/>
    </font>
    <font>
      <name val="Arial"/>
      <b val="1"/>
      <color rgb="007B241C"/>
      <sz val="14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7B241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wrapText="1"/>
    </xf>
    <xf numFmtId="0" fontId="7" fillId="0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3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2" fillId="0" borderId="1" pivotButton="0" quotePrefix="0" xfId="0"/>
    <xf numFmtId="2" fontId="10" fillId="0" borderId="1" pivotButton="0" quotePrefix="0" xfId="0"/>
    <xf numFmtId="2" fontId="9" fillId="4" borderId="1" pivotButton="0" quotePrefix="0" xfId="0"/>
    <xf numFmtId="3" fontId="9" fillId="0" borderId="1" pivotButton="0" quotePrefix="0" xfId="0"/>
    <xf numFmtId="0" fontId="12" fillId="0" borderId="1" applyAlignment="1" pivotButton="0" quotePrefix="0" xfId="0">
      <alignment horizontal="center"/>
    </xf>
    <xf numFmtId="2" fontId="14" fillId="0" borderId="1" pivotButton="0" quotePrefix="0" xfId="0"/>
    <xf numFmtId="0" fontId="13" fillId="3" borderId="0" applyAlignment="1" pivotButton="0" quotePrefix="0" xfId="0">
      <alignment horizontal="center" wrapText="1"/>
    </xf>
    <xf numFmtId="4" fontId="10" fillId="0" borderId="0" pivotButton="0" quotePrefix="0" xfId="0"/>
    <xf numFmtId="0" fontId="15" fillId="0" borderId="0" pivotButton="0" quotePrefix="0" xfId="0"/>
    <xf numFmtId="0" fontId="13" fillId="5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10" fillId="6" borderId="1" pivotButton="0" quotePrefix="0" xfId="0"/>
    <xf numFmtId="3" fontId="10" fillId="6" borderId="1" pivotButton="0" quotePrefix="0" xfId="0"/>
    <xf numFmtId="164" fontId="9" fillId="6" borderId="1" pivotButton="0" quotePrefix="0" xfId="0"/>
    <xf numFmtId="0" fontId="10" fillId="2" borderId="1" pivotButton="0" quotePrefix="0" xfId="0"/>
    <xf numFmtId="3" fontId="10" fillId="0" borderId="1" pivotButton="0" quotePrefix="0" xfId="0"/>
    <xf numFmtId="16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HISTORIAL DE PRECIOS DE PROVEEDORES — CONSOLIDADO</t>
        </is>
      </c>
    </row>
    <row r="2">
      <c r="A2" s="2" t="inlineStr">
        <is>
          <t>Dic 2024 → Jul 2026 · fuente: 12 tablas mensuales de órdenes + historial previo · generado 12/08/2026</t>
        </is>
      </c>
    </row>
    <row r="4">
      <c r="A4" s="3" t="inlineStr">
        <is>
          <t>TIPO DE CAMBIO (MXN por USD):</t>
        </is>
      </c>
      <c r="B4" s="4" t="n">
        <v>20</v>
      </c>
      <c r="C4" s="5" t="inlineStr">
        <is>
          <t>← editable; las columnas MXN de todas las hojas usan esta celda</t>
        </is>
      </c>
    </row>
    <row r="6">
      <c r="A6" s="6" t="inlineStr">
        <is>
          <t>PROVEEDOR</t>
        </is>
      </c>
      <c r="B6" s="6" t="inlineStr">
        <is>
          <t>HOJA</t>
        </is>
      </c>
      <c r="C6" s="6" t="inlineStr">
        <is>
          <t>ÓRDENES</t>
        </is>
      </c>
      <c r="D6" s="6" t="inlineStr">
        <is>
          <t>PRIMERA ORDEN</t>
        </is>
      </c>
      <c r="E6" s="6" t="inlineStr">
        <is>
          <t>ÚLTIMA ORDEN</t>
        </is>
      </c>
      <c r="F6" s="6" t="inlineStr">
        <is>
          <t>SKUs DISTINTOS</t>
        </is>
      </c>
      <c r="G6" s="6" t="inlineStr">
        <is>
          <t>LÍNEAS</t>
        </is>
      </c>
      <c r="H6" s="6" t="inlineStr">
        <is>
          <t>PIEZAS</t>
        </is>
      </c>
    </row>
    <row r="7">
      <c r="A7" s="7" t="inlineStr">
        <is>
          <t>HAIFENG</t>
        </is>
      </c>
      <c r="B7" s="7" t="inlineStr">
        <is>
          <t>HAIFENG</t>
        </is>
      </c>
      <c r="C7" s="7" t="n">
        <v>13</v>
      </c>
      <c r="D7" s="7" t="inlineStr">
        <is>
          <t>2025-09-01</t>
        </is>
      </c>
      <c r="E7" s="7" t="inlineStr">
        <is>
          <t>2026-06-16</t>
        </is>
      </c>
      <c r="F7" s="7" t="n">
        <v>1015</v>
      </c>
      <c r="G7" s="7" t="n">
        <v>2601</v>
      </c>
      <c r="H7" s="7" t="n">
        <v>8885</v>
      </c>
    </row>
    <row r="8">
      <c r="A8" s="7" t="inlineStr">
        <is>
          <t>ZOEY</t>
        </is>
      </c>
      <c r="B8" s="7" t="inlineStr">
        <is>
          <t>ZOEY</t>
        </is>
      </c>
      <c r="C8" s="7" t="n">
        <v>11</v>
      </c>
      <c r="D8" s="7" t="inlineStr">
        <is>
          <t>2025-09-01</t>
        </is>
      </c>
      <c r="E8" s="7" t="inlineStr">
        <is>
          <t>2026-06-08</t>
        </is>
      </c>
      <c r="F8" s="7" t="n">
        <v>468</v>
      </c>
      <c r="G8" s="7" t="n">
        <v>1020</v>
      </c>
      <c r="H8" s="7" t="n">
        <v>2589</v>
      </c>
    </row>
    <row r="9">
      <c r="A9" s="7" t="inlineStr">
        <is>
          <t>CYNTHIA</t>
        </is>
      </c>
      <c r="B9" s="7" t="inlineStr">
        <is>
          <t>CYNTHIA CAO</t>
        </is>
      </c>
      <c r="C9" s="7" t="n">
        <v>8</v>
      </c>
      <c r="D9" s="7" t="inlineStr">
        <is>
          <t>2025-09-05</t>
        </is>
      </c>
      <c r="E9" s="7" t="inlineStr">
        <is>
          <t>2026-07-07</t>
        </is>
      </c>
      <c r="F9" s="7" t="n">
        <v>361</v>
      </c>
      <c r="G9" s="7" t="n">
        <v>905</v>
      </c>
      <c r="H9" s="7" t="n">
        <v>2759</v>
      </c>
    </row>
    <row r="10">
      <c r="A10" s="7" t="inlineStr">
        <is>
          <t>NANCY</t>
        </is>
      </c>
      <c r="B10" s="7" t="inlineStr">
        <is>
          <t>NANCY VIP</t>
        </is>
      </c>
      <c r="C10" s="7" t="n">
        <v>7</v>
      </c>
      <c r="D10" s="7" t="inlineStr">
        <is>
          <t>2025-09-06</t>
        </is>
      </c>
      <c r="E10" s="7" t="inlineStr">
        <is>
          <t>2026-07-09</t>
        </is>
      </c>
      <c r="F10" s="7" t="n">
        <v>305</v>
      </c>
      <c r="G10" s="7" t="n">
        <v>582</v>
      </c>
      <c r="H10" s="7" t="n">
        <v>2230</v>
      </c>
    </row>
    <row r="11">
      <c r="A11" s="7" t="inlineStr">
        <is>
          <t>DINA DU</t>
        </is>
      </c>
      <c r="B11" s="7" t="inlineStr">
        <is>
          <t>DINA DU</t>
        </is>
      </c>
      <c r="C11" s="7" t="n">
        <v>5</v>
      </c>
      <c r="D11" s="7" t="inlineStr">
        <is>
          <t>2024-12-01</t>
        </is>
      </c>
      <c r="E11" s="7" t="inlineStr">
        <is>
          <t>2026-04-27</t>
        </is>
      </c>
      <c r="F11" s="7" t="n">
        <v>85</v>
      </c>
      <c r="G11" s="7" t="n">
        <v>106</v>
      </c>
      <c r="H11" s="7" t="n">
        <v>377</v>
      </c>
    </row>
    <row r="12">
      <c r="A12" s="7" t="inlineStr">
        <is>
          <t>COCOMA</t>
        </is>
      </c>
      <c r="B12" s="7" t="inlineStr">
        <is>
          <t>COCOMA</t>
        </is>
      </c>
      <c r="C12" s="7" t="n">
        <v>2</v>
      </c>
      <c r="D12" s="7" t="inlineStr">
        <is>
          <t>2025-05-01</t>
        </is>
      </c>
      <c r="E12" s="7" t="inlineStr">
        <is>
          <t>2026-01-20</t>
        </is>
      </c>
      <c r="F12" s="7" t="n">
        <v>51</v>
      </c>
      <c r="G12" s="7" t="n">
        <v>73</v>
      </c>
      <c r="H12" s="7" t="n">
        <v>368</v>
      </c>
    </row>
    <row r="13">
      <c r="A13" s="7" t="inlineStr">
        <is>
          <t>MOLLY</t>
        </is>
      </c>
      <c r="B13" s="7" t="inlineStr">
        <is>
          <t>MOLLY</t>
        </is>
      </c>
      <c r="C13" s="7" t="n">
        <v>1</v>
      </c>
      <c r="D13" s="7" t="inlineStr">
        <is>
          <t>2025-10-10</t>
        </is>
      </c>
      <c r="E13" s="7" t="inlineStr">
        <is>
          <t>2025-10-10</t>
        </is>
      </c>
      <c r="F13" s="7" t="n">
        <v>19</v>
      </c>
      <c r="G13" s="7" t="n">
        <v>19</v>
      </c>
      <c r="H13" s="7" t="n">
        <v>38</v>
      </c>
    </row>
    <row r="14">
      <c r="A14" s="7" t="inlineStr">
        <is>
          <t>COCO ZHANG</t>
        </is>
      </c>
      <c r="B14" s="7" t="inlineStr">
        <is>
          <t>COCO ZHANG</t>
        </is>
      </c>
      <c r="C14" s="7" t="n">
        <v>1</v>
      </c>
      <c r="D14" s="7" t="inlineStr">
        <is>
          <t>2026-02-16</t>
        </is>
      </c>
      <c r="E14" s="7" t="inlineStr">
        <is>
          <t>2026-02-16</t>
        </is>
      </c>
      <c r="F14" s="7" t="n">
        <v>13</v>
      </c>
      <c r="G14" s="7" t="n">
        <v>13</v>
      </c>
      <c r="H14" s="7" t="n">
        <v>20</v>
      </c>
    </row>
    <row r="15">
      <c r="A15" s="3" t="inlineStr">
        <is>
          <t>TOTAL</t>
        </is>
      </c>
      <c r="C15" s="3">
        <f>SUM(C7:C14)</f>
        <v/>
      </c>
      <c r="F15" s="3">
        <f>SUM(F7:F14)</f>
        <v/>
      </c>
      <c r="G15" s="3">
        <f>SUM(G7:G14)</f>
        <v/>
      </c>
      <c r="H15" s="3">
        <f>SUM(H7:H14)</f>
        <v/>
      </c>
    </row>
    <row r="17">
      <c r="A17" s="8" t="inlineStr">
        <is>
          <t>CÓMO LEER LAS HOJAS DE PROVEEDOR:</t>
        </is>
      </c>
    </row>
    <row r="18">
      <c r="A18" s="9" t="inlineStr">
        <is>
          <t>• Una fila por SKU. Cada columna de orden muestra el COSTO UNITARIO (USD) pagado en esa orden; celda vacía = no se ordenó.</t>
        </is>
      </c>
    </row>
    <row r="19">
      <c r="A19" s="9" t="inlineStr">
        <is>
          <t>• MEJOR (US) = mínimo histórico · ÚLTIMA (US) = costo de la orden más reciente · MXN = MEJOR × tipo de cambio (celda B4).</t>
        </is>
      </c>
    </row>
    <row r="20">
      <c r="A20" s="9" t="inlineStr">
        <is>
          <t>• Columnas marcadas con * vienen del historial previo (órdenes que no están en las tablas mensuales: CYNTHIA 07/07/26, ZOEY dic 25, DINA DU orden 1046 dic 24/ene 25).</t>
        </is>
      </c>
    </row>
    <row r="21">
      <c r="A21" s="9" t="inlineStr">
        <is>
          <t>• CYNTHIA: desde abril 2026 cambió el método (precio de lista + descuento sobre el total). La columna "MEJOR DESDE ABR ★" es la referencia real.</t>
        </is>
      </c>
    </row>
    <row r="22">
      <c r="A22" s="9" t="inlineStr">
        <is>
          <t>• NANCY 09/07/2026: se usaron los costos de la tabla mensual de julio (con descuento), no los del historial viejo.</t>
        </is>
      </c>
    </row>
    <row r="23">
      <c r="A23" s="9" t="inlineStr">
        <is>
          <t>• La hoja TODAS LAS ORDENES tiene el detalle línea por línea (cantidad, costos con envío/comisiones, ROAS y precio de venta al momento de la orden).</t>
        </is>
      </c>
    </row>
    <row r="24">
      <c r="A24" s="9" t="inlineStr">
        <is>
          <t>• De los dos archivos de FEBRERO 2026 se usó la versión "(1)", que incluye la orden COCO ZHANG 16/02/2026 que falta en el otro.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40" customWidth="1" min="3" max="3"/>
    <col width="14" customWidth="1" min="4" max="4"/>
    <col width="11" customWidth="1" min="5" max="5"/>
    <col width="11" customWidth="1" min="6" max="6"/>
    <col width="12" customWidth="1" min="7" max="7"/>
    <col width="12" customWidth="1" min="8" max="8"/>
    <col width="9" customWidth="1" min="9" max="9"/>
    <col width="11" customWidth="1" min="10" max="10"/>
    <col width="11" customWidth="1" min="11" max="11"/>
    <col width="11" customWidth="1" min="12" max="12"/>
    <col width="9" customWidth="1" min="13" max="13"/>
    <col width="10" customWidth="1" min="14" max="14"/>
  </cols>
  <sheetData>
    <row r="1">
      <c r="A1" s="22" t="inlineStr">
        <is>
          <t>ALERTA ROAS — PRODUCTOS VENDIÉNDOSE POR DEBAJO DE 3.5× SU COSTO</t>
        </is>
      </c>
    </row>
    <row r="2">
      <c r="A2" s="11" t="inlineStr">
        <is>
          <t>40 CRÍTICOS (precio &lt; 2.5× costo) y 194 en PELIGRO (2.5×–3.5×) de 2,191 SKUs cruzados con Shopify el 12/08/2026. Costo = COSTO UNIT TOTAL (MXN) de la última orden (incluye envío, comisión Alibaba y Shop&amp;Cross).</t>
        </is>
      </c>
    </row>
    <row r="3">
      <c r="A3" s="5" t="inlineStr">
        <is>
          <t>MÚLTIPLO = precio Shopify ÷ costo. Con múltiplo &lt; 2.5 la publicidad casi seguro pierde dinero; entre 2.5 y 3.5 el margen es frágil.</t>
        </is>
      </c>
    </row>
    <row r="5">
      <c r="A5" s="23" t="inlineStr">
        <is>
          <t>ESTADO</t>
        </is>
      </c>
      <c r="B5" s="23" t="inlineStr">
        <is>
          <t>SKU</t>
        </is>
      </c>
      <c r="C5" s="23" t="inlineStr">
        <is>
          <t>PRODUCTO (Shopify)</t>
        </is>
      </c>
      <c r="D5" s="23" t="inlineStr">
        <is>
          <t>VARIANTE</t>
        </is>
      </c>
      <c r="E5" s="23" t="inlineStr">
        <is>
          <t>PROVEEDOR</t>
        </is>
      </c>
      <c r="F5" s="23" t="inlineStr">
        <is>
          <t>ÚLT. ORDEN</t>
        </is>
      </c>
      <c r="G5" s="23" t="inlineStr">
        <is>
          <t>COSTO UNIT TOTAL (MXN)</t>
        </is>
      </c>
      <c r="H5" s="23" t="inlineStr">
        <is>
          <t>PRECIO SHOPIFY (MXN)</t>
        </is>
      </c>
      <c r="I5" s="23" t="inlineStr">
        <is>
          <t>MÚLTIPLO</t>
        </is>
      </c>
      <c r="J5" s="23" t="inlineStr">
        <is>
          <t>PRECIO MÍN ROAS 2.5</t>
        </is>
      </c>
      <c r="K5" s="23" t="inlineStr">
        <is>
          <t>PRECIO ROAS 3.5</t>
        </is>
      </c>
      <c r="L5" s="23" t="inlineStr">
        <is>
          <t>PRECIO ROAS 4</t>
        </is>
      </c>
      <c r="M5" s="23" t="inlineStr">
        <is>
          <t>STATUS</t>
        </is>
      </c>
      <c r="N5" s="23" t="inlineStr">
        <is>
          <t>INVENTARIO</t>
        </is>
      </c>
    </row>
    <row r="6">
      <c r="A6" s="24" t="inlineStr">
        <is>
          <t>CRÍTICO (&lt;2.5)</t>
        </is>
      </c>
      <c r="B6" s="25" t="inlineStr">
        <is>
          <t>94530225617804</t>
        </is>
      </c>
      <c r="C6" s="25" t="inlineStr">
        <is>
          <t>ARETES TRIBALES CD</t>
        </is>
      </c>
      <c r="D6" s="25" t="inlineStr">
        <is>
          <t>Default Title</t>
        </is>
      </c>
      <c r="E6" s="25" t="inlineStr">
        <is>
          <t>CYNTHIA</t>
        </is>
      </c>
      <c r="F6" s="25" t="inlineStr">
        <is>
          <t>2025-09-05</t>
        </is>
      </c>
      <c r="G6" s="26" t="n">
        <v>221.58</v>
      </c>
      <c r="H6" s="26" t="n">
        <v>250</v>
      </c>
      <c r="I6" s="27">
        <f>IF(G6=0,"",H6/G6)</f>
        <v/>
      </c>
      <c r="J6" s="26">
        <f>ROUND(G6*2.5,0)</f>
        <v/>
      </c>
      <c r="K6" s="26">
        <f>ROUND(G6*3.5,0)</f>
        <v/>
      </c>
      <c r="L6" s="26">
        <f>ROUND(G6*4,0)</f>
        <v/>
      </c>
      <c r="M6" s="25" t="inlineStr">
        <is>
          <t>DRAFT</t>
        </is>
      </c>
      <c r="N6" s="25" t="n">
        <v>2</v>
      </c>
    </row>
    <row r="7">
      <c r="A7" s="24" t="inlineStr">
        <is>
          <t>CRÍTICO (&lt;2.5)</t>
        </is>
      </c>
      <c r="B7" s="25" t="inlineStr">
        <is>
          <t>11915825763755</t>
        </is>
      </c>
      <c r="C7" s="25" t="inlineStr">
        <is>
          <t>TRAJE DE BAÑO C</t>
        </is>
      </c>
      <c r="D7" s="25" t="inlineStr">
        <is>
          <t>L</t>
        </is>
      </c>
      <c r="E7" s="25" t="inlineStr">
        <is>
          <t>CYNTHIA</t>
        </is>
      </c>
      <c r="F7" s="25" t="inlineStr">
        <is>
          <t>2026-04-27</t>
        </is>
      </c>
      <c r="G7" s="26" t="n">
        <v>830.4</v>
      </c>
      <c r="H7" s="26" t="n">
        <v>1099</v>
      </c>
      <c r="I7" s="27">
        <f>IF(G7=0,"",H7/G7)</f>
        <v/>
      </c>
      <c r="J7" s="26">
        <f>ROUND(G7*2.5,0)</f>
        <v/>
      </c>
      <c r="K7" s="26">
        <f>ROUND(G7*3.5,0)</f>
        <v/>
      </c>
      <c r="L7" s="26">
        <f>ROUND(G7*4,0)</f>
        <v/>
      </c>
      <c r="M7" s="25" t="inlineStr">
        <is>
          <t>ACTIVE</t>
        </is>
      </c>
      <c r="N7" s="25" t="n">
        <v>0</v>
      </c>
    </row>
    <row r="8">
      <c r="A8" s="24" t="inlineStr">
        <is>
          <t>CRÍTICO (&lt;2.5)</t>
        </is>
      </c>
      <c r="B8" s="25" t="inlineStr">
        <is>
          <t>68802901471244</t>
        </is>
      </c>
      <c r="C8" s="25" t="inlineStr">
        <is>
          <t>BOLSO LV MESSENGER</t>
        </is>
      </c>
      <c r="D8" s="25" t="inlineStr">
        <is>
          <t>30cm de largo x 20cm de alto x 10 cm de ancho</t>
        </is>
      </c>
      <c r="E8" s="25" t="inlineStr">
        <is>
          <t>ZOEY</t>
        </is>
      </c>
      <c r="F8" s="25" t="inlineStr">
        <is>
          <t>2026-03-02</t>
        </is>
      </c>
      <c r="G8" s="26" t="n">
        <v>1261.29</v>
      </c>
      <c r="H8" s="26" t="n">
        <v>1900</v>
      </c>
      <c r="I8" s="27">
        <f>IF(G8=0,"",H8/G8)</f>
        <v/>
      </c>
      <c r="J8" s="26">
        <f>ROUND(G8*2.5,0)</f>
        <v/>
      </c>
      <c r="K8" s="26">
        <f>ROUND(G8*3.5,0)</f>
        <v/>
      </c>
      <c r="L8" s="26">
        <f>ROUND(G8*4,0)</f>
        <v/>
      </c>
      <c r="M8" s="25" t="inlineStr">
        <is>
          <t>ACTIVE</t>
        </is>
      </c>
      <c r="N8" s="25" t="n">
        <v>3</v>
      </c>
    </row>
    <row r="9">
      <c r="A9" s="24" t="inlineStr">
        <is>
          <t>CRÍTICO (&lt;2.5)</t>
        </is>
      </c>
      <c r="B9" s="25" t="inlineStr">
        <is>
          <t>85887252483277</t>
        </is>
      </c>
      <c r="C9" s="25" t="inlineStr">
        <is>
          <t>CHAMARRA BLACK JW</t>
        </is>
      </c>
      <c r="D9" s="25" t="inlineStr">
        <is>
          <t>L</t>
        </is>
      </c>
      <c r="E9" s="25" t="inlineStr">
        <is>
          <t>MOLLY</t>
        </is>
      </c>
      <c r="F9" s="25" t="inlineStr">
        <is>
          <t>2025-10-10</t>
        </is>
      </c>
      <c r="G9" s="26" t="n">
        <v>594.3</v>
      </c>
      <c r="H9" s="26" t="n">
        <v>899</v>
      </c>
      <c r="I9" s="27">
        <f>IF(G9=0,"",H9/G9)</f>
        <v/>
      </c>
      <c r="J9" s="26">
        <f>ROUND(G9*2.5,0)</f>
        <v/>
      </c>
      <c r="K9" s="26">
        <f>ROUND(G9*3.5,0)</f>
        <v/>
      </c>
      <c r="L9" s="26">
        <f>ROUND(G9*4,0)</f>
        <v/>
      </c>
      <c r="M9" s="25" t="inlineStr">
        <is>
          <t>ACTIVE</t>
        </is>
      </c>
      <c r="N9" s="25" t="n">
        <v>0</v>
      </c>
    </row>
    <row r="10">
      <c r="A10" s="24" t="inlineStr">
        <is>
          <t>CRÍTICO (&lt;2.5)</t>
        </is>
      </c>
      <c r="B10" s="25" t="inlineStr">
        <is>
          <t>43728085695276</t>
        </is>
      </c>
      <c r="C10" s="25" t="inlineStr">
        <is>
          <t>BOLSO F FENDIGRAPHY BLACK</t>
        </is>
      </c>
      <c r="D10" s="25" t="inlineStr">
        <is>
          <t>14cm de largo x 11cm de alto x 4cm de ancho</t>
        </is>
      </c>
      <c r="E10" s="25" t="inlineStr">
        <is>
          <t>ZOEY</t>
        </is>
      </c>
      <c r="F10" s="25" t="inlineStr">
        <is>
          <t>2025-09-01</t>
        </is>
      </c>
      <c r="G10" s="26" t="n">
        <v>1255.89</v>
      </c>
      <c r="H10" s="26" t="n">
        <v>2050</v>
      </c>
      <c r="I10" s="27">
        <f>IF(G10=0,"",H10/G10)</f>
        <v/>
      </c>
      <c r="J10" s="26">
        <f>ROUND(G10*2.5,0)</f>
        <v/>
      </c>
      <c r="K10" s="26">
        <f>ROUND(G10*3.5,0)</f>
        <v/>
      </c>
      <c r="L10" s="26">
        <f>ROUND(G10*4,0)</f>
        <v/>
      </c>
      <c r="M10" s="25" t="inlineStr">
        <is>
          <t>ACTIVE</t>
        </is>
      </c>
      <c r="N10" s="25" t="n">
        <v>0</v>
      </c>
    </row>
    <row r="11">
      <c r="A11" s="24" t="inlineStr">
        <is>
          <t>CRÍTICO (&lt;2.5)</t>
        </is>
      </c>
      <c r="B11" s="25" t="inlineStr">
        <is>
          <t>41889241004845</t>
        </is>
      </c>
      <c r="C11" s="25" t="inlineStr">
        <is>
          <t>CHOKER KNOT ZIRCONIAS GOLD</t>
        </is>
      </c>
      <c r="D11" s="25" t="inlineStr">
        <is>
          <t>Default Title</t>
        </is>
      </c>
      <c r="E11" s="25" t="inlineStr">
        <is>
          <t>CYNTHIA</t>
        </is>
      </c>
      <c r="F11" s="25" t="inlineStr">
        <is>
          <t>2025-10-25</t>
        </is>
      </c>
      <c r="G11" s="26" t="n">
        <v>518.8</v>
      </c>
      <c r="H11" s="26" t="n">
        <v>866</v>
      </c>
      <c r="I11" s="27">
        <f>IF(G11=0,"",H11/G11)</f>
        <v/>
      </c>
      <c r="J11" s="26">
        <f>ROUND(G11*2.5,0)</f>
        <v/>
      </c>
      <c r="K11" s="26">
        <f>ROUND(G11*3.5,0)</f>
        <v/>
      </c>
      <c r="L11" s="26">
        <f>ROUND(G11*4,0)</f>
        <v/>
      </c>
      <c r="M11" s="25" t="inlineStr">
        <is>
          <t>ACTIVE</t>
        </is>
      </c>
      <c r="N11" s="25" t="n">
        <v>1</v>
      </c>
    </row>
    <row r="12">
      <c r="A12" s="24" t="inlineStr">
        <is>
          <t>CRÍTICO (&lt;2.5)</t>
        </is>
      </c>
      <c r="B12" s="25" t="inlineStr">
        <is>
          <t>85887251827853</t>
        </is>
      </c>
      <c r="C12" s="25" t="inlineStr">
        <is>
          <t>CAMISETA BLUE JW</t>
        </is>
      </c>
      <c r="D12" s="25" t="inlineStr">
        <is>
          <t>L</t>
        </is>
      </c>
      <c r="E12" s="25" t="inlineStr">
        <is>
          <t>MOLLY</t>
        </is>
      </c>
      <c r="F12" s="25" t="inlineStr">
        <is>
          <t>2025-10-10</t>
        </is>
      </c>
      <c r="G12" s="26" t="n">
        <v>405.73</v>
      </c>
      <c r="H12" s="26" t="n">
        <v>676</v>
      </c>
      <c r="I12" s="27">
        <f>IF(G12=0,"",H12/G12)</f>
        <v/>
      </c>
      <c r="J12" s="26">
        <f>ROUND(G12*2.5,0)</f>
        <v/>
      </c>
      <c r="K12" s="26">
        <f>ROUND(G12*3.5,0)</f>
        <v/>
      </c>
      <c r="L12" s="26">
        <f>ROUND(G12*4,0)</f>
        <v/>
      </c>
      <c r="M12" s="25" t="inlineStr">
        <is>
          <t>ACTIVE</t>
        </is>
      </c>
      <c r="N12" s="25" t="n">
        <v>1</v>
      </c>
    </row>
    <row r="13">
      <c r="A13" s="24" t="inlineStr">
        <is>
          <t>CRÍTICO (&lt;2.5)</t>
        </is>
      </c>
      <c r="B13" s="25" t="inlineStr">
        <is>
          <t>14679511089581</t>
        </is>
      </c>
      <c r="C13" s="25" t="inlineStr">
        <is>
          <t>PULSERA H SILVER</t>
        </is>
      </c>
      <c r="D13" s="25" t="inlineStr">
        <is>
          <t>Default Title</t>
        </is>
      </c>
      <c r="E13" s="25" t="inlineStr">
        <is>
          <t>HAIFENG</t>
        </is>
      </c>
      <c r="F13" s="25" t="inlineStr">
        <is>
          <t>2026-04-16</t>
        </is>
      </c>
      <c r="G13" s="26" t="n">
        <v>273.2</v>
      </c>
      <c r="H13" s="26" t="n">
        <v>460</v>
      </c>
      <c r="I13" s="27">
        <f>IF(G13=0,"",H13/G13)</f>
        <v/>
      </c>
      <c r="J13" s="26">
        <f>ROUND(G13*2.5,0)</f>
        <v/>
      </c>
      <c r="K13" s="26">
        <f>ROUND(G13*3.5,0)</f>
        <v/>
      </c>
      <c r="L13" s="26">
        <f>ROUND(G13*4,0)</f>
        <v/>
      </c>
      <c r="M13" s="25" t="inlineStr">
        <is>
          <t>ACTIVE</t>
        </is>
      </c>
      <c r="N13" s="25" t="n">
        <v>2</v>
      </c>
    </row>
    <row r="14">
      <c r="A14" s="24" t="inlineStr">
        <is>
          <t>CRÍTICO (&lt;2.5)</t>
        </is>
      </c>
      <c r="B14" s="25" t="inlineStr">
        <is>
          <t>95383471436684</t>
        </is>
      </c>
      <c r="C14" s="25" t="inlineStr">
        <is>
          <t>HOODIE C BLACK</t>
        </is>
      </c>
      <c r="D14" s="25" t="inlineStr">
        <is>
          <t>L</t>
        </is>
      </c>
      <c r="E14" s="25" t="inlineStr">
        <is>
          <t>DINA DU</t>
        </is>
      </c>
      <c r="F14" s="25" t="inlineStr">
        <is>
          <t>2025-10-21</t>
        </is>
      </c>
      <c r="G14" s="26" t="n">
        <v>756.9299999999999</v>
      </c>
      <c r="H14" s="26" t="n">
        <v>1285</v>
      </c>
      <c r="I14" s="27">
        <f>IF(G14=0,"",H14/G14)</f>
        <v/>
      </c>
      <c r="J14" s="26">
        <f>ROUND(G14*2.5,0)</f>
        <v/>
      </c>
      <c r="K14" s="26">
        <f>ROUND(G14*3.5,0)</f>
        <v/>
      </c>
      <c r="L14" s="26">
        <f>ROUND(G14*4,0)</f>
        <v/>
      </c>
      <c r="M14" s="25" t="inlineStr">
        <is>
          <t>ACTIVE</t>
        </is>
      </c>
      <c r="N14" s="25" t="n">
        <v>1</v>
      </c>
    </row>
    <row r="15">
      <c r="A15" s="24" t="inlineStr">
        <is>
          <t>CRÍTICO (&lt;2.5)</t>
        </is>
      </c>
      <c r="B15" s="25" t="inlineStr">
        <is>
          <t>37309581067981</t>
        </is>
      </c>
      <c r="C15" s="25" t="inlineStr">
        <is>
          <t>HOODIE ALLS BLACK</t>
        </is>
      </c>
      <c r="D15" s="25" t="inlineStr">
        <is>
          <t>M</t>
        </is>
      </c>
      <c r="E15" s="25" t="inlineStr">
        <is>
          <t>ZOEY</t>
        </is>
      </c>
      <c r="F15" s="25" t="inlineStr">
        <is>
          <t>2025-10-02</t>
        </is>
      </c>
      <c r="G15" s="26" t="n">
        <v>826.84</v>
      </c>
      <c r="H15" s="26" t="n">
        <v>1449</v>
      </c>
      <c r="I15" s="27">
        <f>IF(G15=0,"",H15/G15)</f>
        <v/>
      </c>
      <c r="J15" s="26">
        <f>ROUND(G15*2.5,0)</f>
        <v/>
      </c>
      <c r="K15" s="26">
        <f>ROUND(G15*3.5,0)</f>
        <v/>
      </c>
      <c r="L15" s="26">
        <f>ROUND(G15*4,0)</f>
        <v/>
      </c>
      <c r="M15" s="25" t="inlineStr">
        <is>
          <t>ACTIVE</t>
        </is>
      </c>
      <c r="N15" s="25" t="n">
        <v>1</v>
      </c>
    </row>
    <row r="16">
      <c r="A16" s="24" t="inlineStr">
        <is>
          <t>CRÍTICO (&lt;2.5)</t>
        </is>
      </c>
      <c r="B16" s="25" t="inlineStr">
        <is>
          <t>85887251331053</t>
        </is>
      </c>
      <c r="C16" s="25" t="inlineStr">
        <is>
          <t>SUDADERA ZIPPER BEIGE JW</t>
        </is>
      </c>
      <c r="D16" s="25" t="inlineStr">
        <is>
          <t>M</t>
        </is>
      </c>
      <c r="E16" s="25" t="inlineStr">
        <is>
          <t>MOLLY</t>
        </is>
      </c>
      <c r="F16" s="25" t="inlineStr">
        <is>
          <t>2025-10-10</t>
        </is>
      </c>
      <c r="G16" s="26" t="n">
        <v>540.02</v>
      </c>
      <c r="H16" s="26" t="n">
        <v>950</v>
      </c>
      <c r="I16" s="27">
        <f>IF(G16=0,"",H16/G16)</f>
        <v/>
      </c>
      <c r="J16" s="26">
        <f>ROUND(G16*2.5,0)</f>
        <v/>
      </c>
      <c r="K16" s="26">
        <f>ROUND(G16*3.5,0)</f>
        <v/>
      </c>
      <c r="L16" s="26">
        <f>ROUND(G16*4,0)</f>
        <v/>
      </c>
      <c r="M16" s="25" t="inlineStr">
        <is>
          <t>ACTIVE</t>
        </is>
      </c>
      <c r="N16" s="25" t="n">
        <v>0</v>
      </c>
    </row>
    <row r="17">
      <c r="A17" s="24" t="inlineStr">
        <is>
          <t>CRÍTICO (&lt;2.5)</t>
        </is>
      </c>
      <c r="B17" s="25" t="inlineStr">
        <is>
          <t>42981601575052</t>
        </is>
      </c>
      <c r="C17" s="25" t="inlineStr">
        <is>
          <t>ANILLO ESSENTIAL V PERLE</t>
        </is>
      </c>
      <c r="D17" s="25" t="inlineStr">
        <is>
          <t>Default Title</t>
        </is>
      </c>
      <c r="E17" s="25" t="inlineStr">
        <is>
          <t>NANCY</t>
        </is>
      </c>
      <c r="F17" s="25" t="inlineStr">
        <is>
          <t>2026-07-09</t>
        </is>
      </c>
      <c r="G17" s="26" t="n">
        <v>136.2</v>
      </c>
      <c r="H17" s="26" t="n">
        <v>250</v>
      </c>
      <c r="I17" s="27">
        <f>IF(G17=0,"",H17/G17)</f>
        <v/>
      </c>
      <c r="J17" s="26">
        <f>ROUND(G17*2.5,0)</f>
        <v/>
      </c>
      <c r="K17" s="26">
        <f>ROUND(G17*3.5,0)</f>
        <v/>
      </c>
      <c r="L17" s="26">
        <f>ROUND(G17*4,0)</f>
        <v/>
      </c>
      <c r="M17" s="25" t="inlineStr">
        <is>
          <t>ACTIVE</t>
        </is>
      </c>
      <c r="N17" s="25" t="n">
        <v>0</v>
      </c>
    </row>
    <row r="18">
      <c r="A18" s="24" t="inlineStr">
        <is>
          <t>CRÍTICO (&lt;2.5)</t>
        </is>
      </c>
      <c r="B18" s="25" t="inlineStr">
        <is>
          <t>665bbe4f55773</t>
        </is>
      </c>
      <c r="C18" s="25" t="inlineStr">
        <is>
          <t>COLLAR SERPENTI SILVER LISO</t>
        </is>
      </c>
      <c r="D18" s="25" t="inlineStr">
        <is>
          <t>Regular</t>
        </is>
      </c>
      <c r="E18" s="25" t="inlineStr">
        <is>
          <t>NANCY</t>
        </is>
      </c>
      <c r="F18" s="25" t="inlineStr">
        <is>
          <t>2026-05-31</t>
        </is>
      </c>
      <c r="G18" s="26" t="n">
        <v>485.11</v>
      </c>
      <c r="H18" s="26" t="n">
        <v>899</v>
      </c>
      <c r="I18" s="27">
        <f>IF(G18=0,"",H18/G18)</f>
        <v/>
      </c>
      <c r="J18" s="26">
        <f>ROUND(G18*2.5,0)</f>
        <v/>
      </c>
      <c r="K18" s="26">
        <f>ROUND(G18*3.5,0)</f>
        <v/>
      </c>
      <c r="L18" s="26">
        <f>ROUND(G18*4,0)</f>
        <v/>
      </c>
      <c r="M18" s="25" t="inlineStr">
        <is>
          <t>ACTIVE</t>
        </is>
      </c>
      <c r="N18" s="25" t="n">
        <v>0</v>
      </c>
    </row>
    <row r="19">
      <c r="A19" s="24" t="inlineStr">
        <is>
          <t>CRÍTICO (&lt;2.5)</t>
        </is>
      </c>
      <c r="B19" s="25" t="inlineStr">
        <is>
          <t>66745adaed578</t>
        </is>
      </c>
      <c r="C19" s="25" t="inlineStr">
        <is>
          <t>GARGANTILLA 10 TRÉBOLES GOLD RED</t>
        </is>
      </c>
      <c r="D19" s="25" t="inlineStr">
        <is>
          <t>15mm</t>
        </is>
      </c>
      <c r="E19" s="25" t="inlineStr">
        <is>
          <t>NANCY</t>
        </is>
      </c>
      <c r="F19" s="25" t="inlineStr">
        <is>
          <t>2025-09-06</t>
        </is>
      </c>
      <c r="G19" s="26" t="n">
        <v>386.31</v>
      </c>
      <c r="H19" s="26" t="n">
        <v>750</v>
      </c>
      <c r="I19" s="27">
        <f>IF(G19=0,"",H19/G19)</f>
        <v/>
      </c>
      <c r="J19" s="26">
        <f>ROUND(G19*2.5,0)</f>
        <v/>
      </c>
      <c r="K19" s="26">
        <f>ROUND(G19*3.5,0)</f>
        <v/>
      </c>
      <c r="L19" s="26">
        <f>ROUND(G19*4,0)</f>
        <v/>
      </c>
      <c r="M19" s="25" t="inlineStr">
        <is>
          <t>ACTIVE</t>
        </is>
      </c>
      <c r="N19" s="25" t="n">
        <v>0</v>
      </c>
    </row>
    <row r="20">
      <c r="A20" s="24" t="inlineStr">
        <is>
          <t>CRÍTICO (&lt;2.5)</t>
        </is>
      </c>
      <c r="B20" s="25" t="inlineStr">
        <is>
          <t>33089531091469</t>
        </is>
      </c>
      <c r="C20" s="25" t="inlineStr">
        <is>
          <t>COLLAR BV ROSEGOLD CON ZIRCONIA ALREDEDOR</t>
        </is>
      </c>
      <c r="D20" s="25" t="inlineStr">
        <is>
          <t>Default Title</t>
        </is>
      </c>
      <c r="E20" s="25" t="inlineStr">
        <is>
          <t>HAIFENG</t>
        </is>
      </c>
      <c r="F20" s="25" t="inlineStr">
        <is>
          <t>2026-06-16</t>
        </is>
      </c>
      <c r="G20" s="26" t="n">
        <v>157.61</v>
      </c>
      <c r="H20" s="26" t="n">
        <v>335</v>
      </c>
      <c r="I20" s="27">
        <f>IF(G20=0,"",H20/G20)</f>
        <v/>
      </c>
      <c r="J20" s="26">
        <f>ROUND(G20*2.5,0)</f>
        <v/>
      </c>
      <c r="K20" s="26">
        <f>ROUND(G20*3.5,0)</f>
        <v/>
      </c>
      <c r="L20" s="26">
        <f>ROUND(G20*4,0)</f>
        <v/>
      </c>
      <c r="M20" s="25" t="inlineStr">
        <is>
          <t>ACTIVE</t>
        </is>
      </c>
      <c r="N20" s="25" t="n">
        <v>4</v>
      </c>
    </row>
    <row r="21">
      <c r="A21" s="24" t="inlineStr">
        <is>
          <t>CRÍTICO (&lt;2.5)</t>
        </is>
      </c>
      <c r="B21" s="25" t="inlineStr">
        <is>
          <t>80490861006349</t>
        </is>
      </c>
      <c r="C21" s="25" t="inlineStr">
        <is>
          <t>CAMISETA ALLS BLACK</t>
        </is>
      </c>
      <c r="D21" s="25" t="inlineStr">
        <is>
          <t>l</t>
        </is>
      </c>
      <c r="E21" s="25" t="inlineStr">
        <is>
          <t>ZOEY</t>
        </is>
      </c>
      <c r="F21" s="25" t="inlineStr">
        <is>
          <t>2025-10-02</t>
        </is>
      </c>
      <c r="G21" s="26" t="n">
        <v>637.85</v>
      </c>
      <c r="H21" s="26" t="n">
        <v>1370</v>
      </c>
      <c r="I21" s="27">
        <f>IF(G21=0,"",H21/G21)</f>
        <v/>
      </c>
      <c r="J21" s="26">
        <f>ROUND(G21*2.5,0)</f>
        <v/>
      </c>
      <c r="K21" s="26">
        <f>ROUND(G21*3.5,0)</f>
        <v/>
      </c>
      <c r="L21" s="26">
        <f>ROUND(G21*4,0)</f>
        <v/>
      </c>
      <c r="M21" s="25" t="inlineStr">
        <is>
          <t>ACTIVE</t>
        </is>
      </c>
      <c r="N21" s="25" t="n">
        <v>2</v>
      </c>
    </row>
    <row r="22">
      <c r="A22" s="24" t="inlineStr">
        <is>
          <t>CRÍTICO (&lt;2.5)</t>
        </is>
      </c>
      <c r="B22" s="25" t="inlineStr">
        <is>
          <t>64e78e7bb52a6</t>
        </is>
      </c>
      <c r="C22" s="25" t="inlineStr">
        <is>
          <t>ANILLO BV 3 OROS</t>
        </is>
      </c>
      <c r="D22" s="25" t="inlineStr">
        <is>
          <t>9</t>
        </is>
      </c>
      <c r="E22" s="25" t="inlineStr">
        <is>
          <t>HAIFENG</t>
        </is>
      </c>
      <c r="F22" s="25" t="inlineStr">
        <is>
          <t>2025-09-25</t>
        </is>
      </c>
      <c r="G22" s="26" t="n">
        <v>168.78</v>
      </c>
      <c r="H22" s="26" t="n">
        <v>364</v>
      </c>
      <c r="I22" s="27">
        <f>IF(G22=0,"",H22/G22)</f>
        <v/>
      </c>
      <c r="J22" s="26">
        <f>ROUND(G22*2.5,0)</f>
        <v/>
      </c>
      <c r="K22" s="26">
        <f>ROUND(G22*3.5,0)</f>
        <v/>
      </c>
      <c r="L22" s="26">
        <f>ROUND(G22*4,0)</f>
        <v/>
      </c>
      <c r="M22" s="25" t="inlineStr">
        <is>
          <t>ACTIVE</t>
        </is>
      </c>
      <c r="N22" s="25" t="n">
        <v>0</v>
      </c>
    </row>
    <row r="23">
      <c r="A23" s="24" t="inlineStr">
        <is>
          <t>CRÍTICO (&lt;2.5)</t>
        </is>
      </c>
      <c r="B23" s="25" t="inlineStr">
        <is>
          <t>27854241086413</t>
        </is>
      </c>
      <c r="C23" s="25" t="inlineStr">
        <is>
          <t>ARETES KNOT GOLD</t>
        </is>
      </c>
      <c r="D23" s="25" t="inlineStr">
        <is>
          <t>Default Title</t>
        </is>
      </c>
      <c r="E23" s="25" t="inlineStr">
        <is>
          <t>HAIFENG</t>
        </is>
      </c>
      <c r="F23" s="25" t="inlineStr">
        <is>
          <t>2026-06-16</t>
        </is>
      </c>
      <c r="G23" s="26" t="n">
        <v>115.58</v>
      </c>
      <c r="H23" s="26" t="n">
        <v>250</v>
      </c>
      <c r="I23" s="27">
        <f>IF(G23=0,"",H23/G23)</f>
        <v/>
      </c>
      <c r="J23" s="26">
        <f>ROUND(G23*2.5,0)</f>
        <v/>
      </c>
      <c r="K23" s="26">
        <f>ROUND(G23*3.5,0)</f>
        <v/>
      </c>
      <c r="L23" s="26">
        <f>ROUND(G23*4,0)</f>
        <v/>
      </c>
      <c r="M23" s="25" t="inlineStr">
        <is>
          <t>ACTIVE</t>
        </is>
      </c>
      <c r="N23" s="25" t="n">
        <v>3</v>
      </c>
    </row>
    <row r="24">
      <c r="A24" s="24" t="inlineStr">
        <is>
          <t>CRÍTICO (&lt;2.5)</t>
        </is>
      </c>
      <c r="B24" s="25" t="inlineStr">
        <is>
          <t>29024531094765</t>
        </is>
      </c>
      <c r="C24" s="25" t="inlineStr">
        <is>
          <t>UGG PANTUFLAS TAZZ II</t>
        </is>
      </c>
      <c r="D24" s="25" t="inlineStr">
        <is>
          <t>23CM</t>
        </is>
      </c>
      <c r="E24" s="25" t="inlineStr">
        <is>
          <t>ZOEY</t>
        </is>
      </c>
      <c r="F24" s="25" t="inlineStr">
        <is>
          <t>2025-10-25</t>
        </is>
      </c>
      <c r="G24" s="26" t="n">
        <v>1190.41</v>
      </c>
      <c r="H24" s="26" t="n">
        <v>2592</v>
      </c>
      <c r="I24" s="27">
        <f>IF(G24=0,"",H24/G24)</f>
        <v/>
      </c>
      <c r="J24" s="26">
        <f>ROUND(G24*2.5,0)</f>
        <v/>
      </c>
      <c r="K24" s="26">
        <f>ROUND(G24*3.5,0)</f>
        <v/>
      </c>
      <c r="L24" s="26">
        <f>ROUND(G24*4,0)</f>
        <v/>
      </c>
      <c r="M24" s="25" t="inlineStr">
        <is>
          <t>ACTIVE</t>
        </is>
      </c>
      <c r="N24" s="25" t="n">
        <v>0</v>
      </c>
    </row>
    <row r="25">
      <c r="A25" s="24" t="inlineStr">
        <is>
          <t>CRÍTICO (&lt;2.5)</t>
        </is>
      </c>
      <c r="B25" s="25" t="inlineStr">
        <is>
          <t>81712804295948</t>
        </is>
      </c>
      <c r="C25" s="25" t="inlineStr">
        <is>
          <t>SANDALIAS DG BIANCA</t>
        </is>
      </c>
      <c r="D25" s="25" t="inlineStr">
        <is>
          <t>36/ 23cm</t>
        </is>
      </c>
      <c r="E25" s="25" t="inlineStr">
        <is>
          <t>CYNTHIA</t>
        </is>
      </c>
      <c r="F25" s="25" t="inlineStr">
        <is>
          <t>2026-02-18</t>
        </is>
      </c>
      <c r="G25" s="26" t="n">
        <v>757.21</v>
      </c>
      <c r="H25" s="26" t="n">
        <v>1650</v>
      </c>
      <c r="I25" s="27">
        <f>IF(G25=0,"",H25/G25)</f>
        <v/>
      </c>
      <c r="J25" s="26">
        <f>ROUND(G25*2.5,0)</f>
        <v/>
      </c>
      <c r="K25" s="26">
        <f>ROUND(G25*3.5,0)</f>
        <v/>
      </c>
      <c r="L25" s="26">
        <f>ROUND(G25*4,0)</f>
        <v/>
      </c>
      <c r="M25" s="25" t="inlineStr">
        <is>
          <t>ACTIVE</t>
        </is>
      </c>
      <c r="N25" s="25" t="n">
        <v>0</v>
      </c>
    </row>
    <row r="26">
      <c r="A26" s="24" t="inlineStr">
        <is>
          <t>CRÍTICO (&lt;2.5)</t>
        </is>
      </c>
      <c r="B26" s="25" t="inlineStr">
        <is>
          <t>81712814328716</t>
        </is>
      </c>
      <c r="C26" s="25" t="inlineStr">
        <is>
          <t>SANDALIAS DG BIANCA</t>
        </is>
      </c>
      <c r="D26" s="25" t="inlineStr">
        <is>
          <t>38/24cm</t>
        </is>
      </c>
      <c r="E26" s="25" t="inlineStr">
        <is>
          <t>CYNTHIA</t>
        </is>
      </c>
      <c r="F26" s="25" t="inlineStr">
        <is>
          <t>2026-02-18</t>
        </is>
      </c>
      <c r="G26" s="26" t="n">
        <v>757.21</v>
      </c>
      <c r="H26" s="26" t="n">
        <v>1650</v>
      </c>
      <c r="I26" s="27">
        <f>IF(G26=0,"",H26/G26)</f>
        <v/>
      </c>
      <c r="J26" s="26">
        <f>ROUND(G26*2.5,0)</f>
        <v/>
      </c>
      <c r="K26" s="26">
        <f>ROUND(G26*3.5,0)</f>
        <v/>
      </c>
      <c r="L26" s="26">
        <f>ROUND(G26*4,0)</f>
        <v/>
      </c>
      <c r="M26" s="25" t="inlineStr">
        <is>
          <t>ACTIVE</t>
        </is>
      </c>
      <c r="N26" s="25" t="n">
        <v>0</v>
      </c>
    </row>
    <row r="27">
      <c r="A27" s="24" t="inlineStr">
        <is>
          <t>CRÍTICO (&lt;2.5)</t>
        </is>
      </c>
      <c r="B27" s="25" t="inlineStr">
        <is>
          <t>85887251172013</t>
        </is>
      </c>
      <c r="C27" s="25" t="inlineStr">
        <is>
          <t>ABRIGO WHITE JW</t>
        </is>
      </c>
      <c r="D27" s="25" t="inlineStr">
        <is>
          <t>M</t>
        </is>
      </c>
      <c r="E27" s="25" t="inlineStr">
        <is>
          <t>MOLLY</t>
        </is>
      </c>
      <c r="F27" s="25" t="inlineStr">
        <is>
          <t>2025-10-10</t>
        </is>
      </c>
      <c r="G27" s="26" t="n">
        <v>422.87</v>
      </c>
      <c r="H27" s="26" t="n">
        <v>930.22</v>
      </c>
      <c r="I27" s="27">
        <f>IF(G27=0,"",H27/G27)</f>
        <v/>
      </c>
      <c r="J27" s="26">
        <f>ROUND(G27*2.5,0)</f>
        <v/>
      </c>
      <c r="K27" s="26">
        <f>ROUND(G27*3.5,0)</f>
        <v/>
      </c>
      <c r="L27" s="26">
        <f>ROUND(G27*4,0)</f>
        <v/>
      </c>
      <c r="M27" s="25" t="inlineStr">
        <is>
          <t>ACTIVE</t>
        </is>
      </c>
      <c r="N27" s="25" t="n">
        <v>0</v>
      </c>
    </row>
    <row r="28">
      <c r="A28" s="24" t="inlineStr">
        <is>
          <t>CRÍTICO (&lt;2.5)</t>
        </is>
      </c>
      <c r="B28" s="25" t="inlineStr">
        <is>
          <t>654bdc44be732</t>
        </is>
      </c>
      <c r="C28" s="25" t="inlineStr">
        <is>
          <t>BOLSO LV PÉGASE BLACK</t>
        </is>
      </c>
      <c r="D28" s="25" t="inlineStr">
        <is>
          <t>25.5cm de largo x 26cm de alto x 6.cm de ancho</t>
        </is>
      </c>
      <c r="E28" s="25" t="inlineStr">
        <is>
          <t>DINA DU</t>
        </is>
      </c>
      <c r="F28" s="25" t="inlineStr">
        <is>
          <t>2025-10-21</t>
        </is>
      </c>
      <c r="G28" s="26" t="n">
        <v>588.72</v>
      </c>
      <c r="H28" s="26" t="n">
        <v>1299</v>
      </c>
      <c r="I28" s="27">
        <f>IF(G28=0,"",H28/G28)</f>
        <v/>
      </c>
      <c r="J28" s="26">
        <f>ROUND(G28*2.5,0)</f>
        <v/>
      </c>
      <c r="K28" s="26">
        <f>ROUND(G28*3.5,0)</f>
        <v/>
      </c>
      <c r="L28" s="26">
        <f>ROUND(G28*4,0)</f>
        <v/>
      </c>
      <c r="M28" s="25" t="inlineStr">
        <is>
          <t>ACTIVE</t>
        </is>
      </c>
      <c r="N28" s="25" t="n">
        <v>1</v>
      </c>
    </row>
    <row r="29">
      <c r="A29" s="24" t="inlineStr">
        <is>
          <t>CRÍTICO (&lt;2.5)</t>
        </is>
      </c>
      <c r="B29" s="25" t="inlineStr">
        <is>
          <t>66ec817ce19fe</t>
        </is>
      </c>
      <c r="C29" s="25" t="inlineStr">
        <is>
          <t>BOLSO B BLACK LISA</t>
        </is>
      </c>
      <c r="D29" s="25" t="inlineStr">
        <is>
          <t>HIGH QUALITY 23cm de largo x 14.5cm de alto x 10cm de ancho</t>
        </is>
      </c>
      <c r="E29" s="25" t="inlineStr">
        <is>
          <t>ZOEY</t>
        </is>
      </c>
      <c r="F29" s="25" t="inlineStr">
        <is>
          <t>2026-03-19</t>
        </is>
      </c>
      <c r="G29" s="26" t="n">
        <v>1160.19</v>
      </c>
      <c r="H29" s="26" t="n">
        <v>2639</v>
      </c>
      <c r="I29" s="27">
        <f>IF(G29=0,"",H29/G29)</f>
        <v/>
      </c>
      <c r="J29" s="26">
        <f>ROUND(G29*2.5,0)</f>
        <v/>
      </c>
      <c r="K29" s="26">
        <f>ROUND(G29*3.5,0)</f>
        <v/>
      </c>
      <c r="L29" s="26">
        <f>ROUND(G29*4,0)</f>
        <v/>
      </c>
      <c r="M29" s="25" t="inlineStr">
        <is>
          <t>ACTIVE</t>
        </is>
      </c>
      <c r="N29" s="25" t="n">
        <v>3</v>
      </c>
    </row>
    <row r="30">
      <c r="A30" s="24" t="inlineStr">
        <is>
          <t>CRÍTICO (&lt;2.5)</t>
        </is>
      </c>
      <c r="B30" s="25" t="inlineStr">
        <is>
          <t>17760786033676</t>
        </is>
      </c>
      <c r="C30" s="25" t="inlineStr">
        <is>
          <t>BOLSO CC 22 SILVER</t>
        </is>
      </c>
      <c r="D30" s="25" t="inlineStr">
        <is>
          <t>19cm de alto x 23.5cm de ancho</t>
        </is>
      </c>
      <c r="E30" s="25" t="inlineStr">
        <is>
          <t>ZOEY</t>
        </is>
      </c>
      <c r="F30" s="25" t="inlineStr">
        <is>
          <t>2026-03-19</t>
        </is>
      </c>
      <c r="G30" s="26" t="n">
        <v>1289.1</v>
      </c>
      <c r="H30" s="26" t="n">
        <v>2937</v>
      </c>
      <c r="I30" s="27">
        <f>IF(G30=0,"",H30/G30)</f>
        <v/>
      </c>
      <c r="J30" s="26">
        <f>ROUND(G30*2.5,0)</f>
        <v/>
      </c>
      <c r="K30" s="26">
        <f>ROUND(G30*3.5,0)</f>
        <v/>
      </c>
      <c r="L30" s="26">
        <f>ROUND(G30*4,0)</f>
        <v/>
      </c>
      <c r="M30" s="25" t="inlineStr">
        <is>
          <t>ACTIVE</t>
        </is>
      </c>
      <c r="N30" s="25" t="n">
        <v>5</v>
      </c>
    </row>
    <row r="31">
      <c r="A31" s="24" t="inlineStr">
        <is>
          <t>CRÍTICO (&lt;2.5)</t>
        </is>
      </c>
      <c r="B31" s="25" t="inlineStr">
        <is>
          <t>43728083774252</t>
        </is>
      </c>
      <c r="C31" s="25" t="inlineStr">
        <is>
          <t>BOLSO DE VIAJE  LV KEEPALL 45</t>
        </is>
      </c>
      <c r="D31" s="25" t="inlineStr">
        <is>
          <t>44cm de largo x 25cm de alto x 20cm de ancho</t>
        </is>
      </c>
      <c r="E31" s="25" t="inlineStr">
        <is>
          <t>ZOEY</t>
        </is>
      </c>
      <c r="F31" s="25" t="inlineStr">
        <is>
          <t>2026-03-19</t>
        </is>
      </c>
      <c r="G31" s="26" t="n">
        <v>1546.92</v>
      </c>
      <c r="H31" s="26" t="n">
        <v>3522</v>
      </c>
      <c r="I31" s="27">
        <f>IF(G31=0,"",H31/G31)</f>
        <v/>
      </c>
      <c r="J31" s="26">
        <f>ROUND(G31*2.5,0)</f>
        <v/>
      </c>
      <c r="K31" s="26">
        <f>ROUND(G31*3.5,0)</f>
        <v/>
      </c>
      <c r="L31" s="26">
        <f>ROUND(G31*4,0)</f>
        <v/>
      </c>
      <c r="M31" s="25" t="inlineStr">
        <is>
          <t>ACTIVE</t>
        </is>
      </c>
      <c r="N31" s="25" t="n">
        <v>0</v>
      </c>
    </row>
    <row r="32">
      <c r="A32" s="24" t="inlineStr">
        <is>
          <t>CRÍTICO (&lt;2.5)</t>
        </is>
      </c>
      <c r="B32" s="25" t="inlineStr">
        <is>
          <t>41889241312717</t>
        </is>
      </c>
      <c r="C32" s="25" t="inlineStr">
        <is>
          <t>ANILLO T V SILVER</t>
        </is>
      </c>
      <c r="D32" s="25" t="inlineStr">
        <is>
          <t>8</t>
        </is>
      </c>
      <c r="E32" s="25" t="inlineStr">
        <is>
          <t>CYNTHIA</t>
        </is>
      </c>
      <c r="F32" s="25" t="inlineStr">
        <is>
          <t>2026-03-19</t>
        </is>
      </c>
      <c r="G32" s="26" t="n">
        <v>263.2</v>
      </c>
      <c r="H32" s="26" t="n">
        <v>601</v>
      </c>
      <c r="I32" s="27">
        <f>IF(G32=0,"",H32/G32)</f>
        <v/>
      </c>
      <c r="J32" s="26">
        <f>ROUND(G32*2.5,0)</f>
        <v/>
      </c>
      <c r="K32" s="26">
        <f>ROUND(G32*3.5,0)</f>
        <v/>
      </c>
      <c r="L32" s="26">
        <f>ROUND(G32*4,0)</f>
        <v/>
      </c>
      <c r="M32" s="25" t="inlineStr">
        <is>
          <t>ACTIVE</t>
        </is>
      </c>
      <c r="N32" s="25" t="n">
        <v>3</v>
      </c>
    </row>
    <row r="33">
      <c r="A33" s="24" t="inlineStr">
        <is>
          <t>CRÍTICO (&lt;2.5)</t>
        </is>
      </c>
      <c r="B33" s="25" t="inlineStr">
        <is>
          <t>41889241445485</t>
        </is>
      </c>
      <c r="C33" s="25" t="inlineStr">
        <is>
          <t>ANILLO T V SILVER</t>
        </is>
      </c>
      <c r="D33" s="25" t="inlineStr">
        <is>
          <t>9</t>
        </is>
      </c>
      <c r="E33" s="25" t="inlineStr">
        <is>
          <t>CYNTHIA</t>
        </is>
      </c>
      <c r="F33" s="25" t="inlineStr">
        <is>
          <t>2026-03-19</t>
        </is>
      </c>
      <c r="G33" s="26" t="n">
        <v>263.2</v>
      </c>
      <c r="H33" s="26" t="n">
        <v>601</v>
      </c>
      <c r="I33" s="27">
        <f>IF(G33=0,"",H33/G33)</f>
        <v/>
      </c>
      <c r="J33" s="26">
        <f>ROUND(G33*2.5,0)</f>
        <v/>
      </c>
      <c r="K33" s="26">
        <f>ROUND(G33*3.5,0)</f>
        <v/>
      </c>
      <c r="L33" s="26">
        <f>ROUND(G33*4,0)</f>
        <v/>
      </c>
      <c r="M33" s="25" t="inlineStr">
        <is>
          <t>ACTIVE</t>
        </is>
      </c>
      <c r="N33" s="25" t="n">
        <v>3</v>
      </c>
    </row>
    <row r="34">
      <c r="A34" s="24" t="inlineStr">
        <is>
          <t>CRÍTICO (&lt;2.5)</t>
        </is>
      </c>
      <c r="B34" s="25" t="inlineStr">
        <is>
          <t>68431129697036</t>
        </is>
      </c>
      <c r="C34" s="25" t="inlineStr">
        <is>
          <t>ARETES PERLEÉ SILVER</t>
        </is>
      </c>
      <c r="D34" s="25" t="inlineStr">
        <is>
          <t>Default Title</t>
        </is>
      </c>
      <c r="E34" s="25" t="inlineStr">
        <is>
          <t>NANCY</t>
        </is>
      </c>
      <c r="F34" s="25" t="inlineStr">
        <is>
          <t>2026-07-09</t>
        </is>
      </c>
      <c r="G34" s="26" t="n">
        <v>233.66</v>
      </c>
      <c r="H34" s="26" t="n">
        <v>532</v>
      </c>
      <c r="I34" s="27">
        <f>IF(G34=0,"",H34/G34)</f>
        <v/>
      </c>
      <c r="J34" s="26">
        <f>ROUND(G34*2.5,0)</f>
        <v/>
      </c>
      <c r="K34" s="26">
        <f>ROUND(G34*3.5,0)</f>
        <v/>
      </c>
      <c r="L34" s="26">
        <f>ROUND(G34*4,0)</f>
        <v/>
      </c>
      <c r="M34" s="25" t="inlineStr">
        <is>
          <t>ACTIVE</t>
        </is>
      </c>
      <c r="N34" s="25" t="n">
        <v>1</v>
      </c>
    </row>
    <row r="35">
      <c r="A35" s="24" t="inlineStr">
        <is>
          <t>CRÍTICO (&lt;2.5)</t>
        </is>
      </c>
      <c r="B35" s="25" t="inlineStr">
        <is>
          <t>85367151238285</t>
        </is>
      </c>
      <c r="C35" s="25" t="inlineStr">
        <is>
          <t>BOLSO CD SAFARI OBLIQUE</t>
        </is>
      </c>
      <c r="D35" s="25" t="inlineStr">
        <is>
          <t>BLACK/BLUE</t>
        </is>
      </c>
      <c r="E35" s="25" t="inlineStr">
        <is>
          <t>DINA DU</t>
        </is>
      </c>
      <c r="F35" s="25" t="inlineStr">
        <is>
          <t>2026-02-06</t>
        </is>
      </c>
      <c r="G35" s="26" t="n">
        <v>1282.63</v>
      </c>
      <c r="H35" s="26" t="n">
        <v>2924</v>
      </c>
      <c r="I35" s="27">
        <f>IF(G35=0,"",H35/G35)</f>
        <v/>
      </c>
      <c r="J35" s="26">
        <f>ROUND(G35*2.5,0)</f>
        <v/>
      </c>
      <c r="K35" s="26">
        <f>ROUND(G35*3.5,0)</f>
        <v/>
      </c>
      <c r="L35" s="26">
        <f>ROUND(G35*4,0)</f>
        <v/>
      </c>
      <c r="M35" s="25" t="inlineStr">
        <is>
          <t>ACTIVE</t>
        </is>
      </c>
      <c r="N35" s="25" t="n">
        <v>1</v>
      </c>
    </row>
    <row r="36">
      <c r="A36" s="24" t="inlineStr">
        <is>
          <t>CRÍTICO (&lt;2.5)</t>
        </is>
      </c>
      <c r="B36" s="25" t="inlineStr">
        <is>
          <t>56481497298188</t>
        </is>
      </c>
      <c r="C36" s="25" t="inlineStr">
        <is>
          <t>COLLAR LV OMBRE</t>
        </is>
      </c>
      <c r="D36" s="25" t="inlineStr">
        <is>
          <t>39cm con extensión de 5cm</t>
        </is>
      </c>
      <c r="E36" s="25" t="inlineStr">
        <is>
          <t>NANCY</t>
        </is>
      </c>
      <c r="F36" s="25" t="inlineStr">
        <is>
          <t>2026-05-08</t>
        </is>
      </c>
      <c r="G36" s="26" t="n">
        <v>155.9</v>
      </c>
      <c r="H36" s="26" t="n">
        <v>357</v>
      </c>
      <c r="I36" s="27">
        <f>IF(G36=0,"",H36/G36)</f>
        <v/>
      </c>
      <c r="J36" s="26">
        <f>ROUND(G36*2.5,0)</f>
        <v/>
      </c>
      <c r="K36" s="26">
        <f>ROUND(G36*3.5,0)</f>
        <v/>
      </c>
      <c r="L36" s="26">
        <f>ROUND(G36*4,0)</f>
        <v/>
      </c>
      <c r="M36" s="25" t="inlineStr">
        <is>
          <t>ACTIVE</t>
        </is>
      </c>
      <c r="N36" s="25" t="n">
        <v>3</v>
      </c>
    </row>
    <row r="37">
      <c r="A37" s="24" t="inlineStr">
        <is>
          <t>CRÍTICO (&lt;2.5)</t>
        </is>
      </c>
      <c r="B37" s="25" t="inlineStr">
        <is>
          <t>646f84b9b65ea</t>
        </is>
      </c>
      <c r="C37" s="25" t="inlineStr">
        <is>
          <t>ARETES T ROSE GOLD</t>
        </is>
      </c>
      <c r="D37" s="25" t="inlineStr">
        <is>
          <t>Default Title</t>
        </is>
      </c>
      <c r="E37" s="25" t="inlineStr">
        <is>
          <t>COCOMA</t>
        </is>
      </c>
      <c r="F37" s="25" t="inlineStr">
        <is>
          <t>2026-01-20</t>
        </is>
      </c>
      <c r="G37" s="26" t="n">
        <v>89.41</v>
      </c>
      <c r="H37" s="26" t="n">
        <v>210</v>
      </c>
      <c r="I37" s="27">
        <f>IF(G37=0,"",H37/G37)</f>
        <v/>
      </c>
      <c r="J37" s="26">
        <f>ROUND(G37*2.5,0)</f>
        <v/>
      </c>
      <c r="K37" s="26">
        <f>ROUND(G37*3.5,0)</f>
        <v/>
      </c>
      <c r="L37" s="26">
        <f>ROUND(G37*4,0)</f>
        <v/>
      </c>
      <c r="M37" s="25" t="inlineStr">
        <is>
          <t>ACTIVE</t>
        </is>
      </c>
      <c r="N37" s="25" t="n">
        <v>0</v>
      </c>
    </row>
    <row r="38">
      <c r="A38" s="24" t="inlineStr">
        <is>
          <t>CRÍTICO (&lt;2.5)</t>
        </is>
      </c>
      <c r="B38" s="25" t="inlineStr">
        <is>
          <t>43047201243276</t>
        </is>
      </c>
      <c r="C38" s="25" t="inlineStr">
        <is>
          <t>PULSERA LOCK SILVER CON ZIRCONIAS</t>
        </is>
      </c>
      <c r="D38" s="25" t="inlineStr">
        <is>
          <t>17cm</t>
        </is>
      </c>
      <c r="E38" s="25" t="inlineStr">
        <is>
          <t>NANCY</t>
        </is>
      </c>
      <c r="F38" s="25" t="inlineStr">
        <is>
          <t>2026-05-31</t>
        </is>
      </c>
      <c r="G38" s="26" t="n">
        <v>276.41</v>
      </c>
      <c r="H38" s="26" t="n">
        <v>650</v>
      </c>
      <c r="I38" s="27">
        <f>IF(G38=0,"",H38/G38)</f>
        <v/>
      </c>
      <c r="J38" s="26">
        <f>ROUND(G38*2.5,0)</f>
        <v/>
      </c>
      <c r="K38" s="26">
        <f>ROUND(G38*3.5,0)</f>
        <v/>
      </c>
      <c r="L38" s="26">
        <f>ROUND(G38*4,0)</f>
        <v/>
      </c>
      <c r="M38" s="25" t="inlineStr">
        <is>
          <t>ACTIVE</t>
        </is>
      </c>
      <c r="N38" s="25" t="n">
        <v>0</v>
      </c>
    </row>
    <row r="39">
      <c r="A39" s="24" t="inlineStr">
        <is>
          <t>CRÍTICO (&lt;2.5)</t>
        </is>
      </c>
      <c r="B39" s="25" t="inlineStr">
        <is>
          <t>63e0b1e2d5f1e</t>
        </is>
      </c>
      <c r="C39" s="25" t="inlineStr">
        <is>
          <t>ANILLO BV ROSE GOLD DELGADO</t>
        </is>
      </c>
      <c r="D39" s="25" t="inlineStr">
        <is>
          <t>5</t>
        </is>
      </c>
      <c r="E39" s="25" t="inlineStr">
        <is>
          <t>COCOMA</t>
        </is>
      </c>
      <c r="F39" s="25" t="inlineStr">
        <is>
          <t>2026-01-20</t>
        </is>
      </c>
      <c r="G39" s="26" t="n">
        <v>190.66</v>
      </c>
      <c r="H39" s="26" t="n">
        <v>450</v>
      </c>
      <c r="I39" s="27">
        <f>IF(G39=0,"",H39/G39)</f>
        <v/>
      </c>
      <c r="J39" s="26">
        <f>ROUND(G39*2.5,0)</f>
        <v/>
      </c>
      <c r="K39" s="26">
        <f>ROUND(G39*3.5,0)</f>
        <v/>
      </c>
      <c r="L39" s="26">
        <f>ROUND(G39*4,0)</f>
        <v/>
      </c>
      <c r="M39" s="25" t="inlineStr">
        <is>
          <t>ACTIVE</t>
        </is>
      </c>
      <c r="N39" s="25" t="n">
        <v>0</v>
      </c>
    </row>
    <row r="40">
      <c r="A40" s="24" t="inlineStr">
        <is>
          <t>CRÍTICO (&lt;2.5)</t>
        </is>
      </c>
      <c r="B40" s="25" t="inlineStr">
        <is>
          <t>15711172684525</t>
        </is>
      </c>
      <c r="C40" s="25" t="inlineStr">
        <is>
          <t>COLLAR LOGO CD CON ZIRCONIA SILVER</t>
        </is>
      </c>
      <c r="D40" s="25" t="inlineStr">
        <is>
          <t>Default Title</t>
        </is>
      </c>
      <c r="E40" s="25" t="inlineStr">
        <is>
          <t>CYNTHIA</t>
        </is>
      </c>
      <c r="F40" s="25" t="inlineStr">
        <is>
          <t>2025-09-05</t>
        </is>
      </c>
      <c r="G40" s="26" t="n">
        <v>221.58</v>
      </c>
      <c r="H40" s="26" t="n">
        <v>528</v>
      </c>
      <c r="I40" s="27">
        <f>IF(G40=0,"",H40/G40)</f>
        <v/>
      </c>
      <c r="J40" s="26">
        <f>ROUND(G40*2.5,0)</f>
        <v/>
      </c>
      <c r="K40" s="26">
        <f>ROUND(G40*3.5,0)</f>
        <v/>
      </c>
      <c r="L40" s="26">
        <f>ROUND(G40*4,0)</f>
        <v/>
      </c>
      <c r="M40" s="25" t="inlineStr">
        <is>
          <t>ACTIVE</t>
        </is>
      </c>
      <c r="N40" s="25" t="n">
        <v>0</v>
      </c>
    </row>
    <row r="41">
      <c r="A41" s="24" t="inlineStr">
        <is>
          <t>CRÍTICO (&lt;2.5)</t>
        </is>
      </c>
      <c r="B41" s="25" t="inlineStr">
        <is>
          <t>22974391456973</t>
        </is>
      </c>
      <c r="C41" s="25" t="inlineStr">
        <is>
          <t>BRAZALETE LV EMPREINTE SILVER</t>
        </is>
      </c>
      <c r="D41" s="25" t="inlineStr">
        <is>
          <t>Default Title</t>
        </is>
      </c>
      <c r="E41" s="25" t="inlineStr">
        <is>
          <t>NANCY</t>
        </is>
      </c>
      <c r="F41" s="25" t="inlineStr">
        <is>
          <t>2026-07-09</t>
        </is>
      </c>
      <c r="G41" s="26" t="n">
        <v>209.3</v>
      </c>
      <c r="H41" s="26" t="n">
        <v>499</v>
      </c>
      <c r="I41" s="27">
        <f>IF(G41=0,"",H41/G41)</f>
        <v/>
      </c>
      <c r="J41" s="26">
        <f>ROUND(G41*2.5,0)</f>
        <v/>
      </c>
      <c r="K41" s="26">
        <f>ROUND(G41*3.5,0)</f>
        <v/>
      </c>
      <c r="L41" s="26">
        <f>ROUND(G41*4,0)</f>
        <v/>
      </c>
      <c r="M41" s="25" t="inlineStr">
        <is>
          <t>ACTIVE</t>
        </is>
      </c>
      <c r="N41" s="25" t="n">
        <v>0</v>
      </c>
    </row>
    <row r="42">
      <c r="A42" s="24" t="inlineStr">
        <is>
          <t>CRÍTICO (&lt;2.5)</t>
        </is>
      </c>
      <c r="B42" s="25" t="inlineStr">
        <is>
          <t>665bd055c2e65</t>
        </is>
      </c>
      <c r="C42" s="25" t="inlineStr">
        <is>
          <t>PULSERA TB CON UNA INSIGNIA BLACK</t>
        </is>
      </c>
      <c r="D42" s="25" t="inlineStr">
        <is>
          <t>17cm</t>
        </is>
      </c>
      <c r="E42" s="25" t="inlineStr">
        <is>
          <t>NANCY</t>
        </is>
      </c>
      <c r="F42" s="25" t="inlineStr">
        <is>
          <t>2026-07-09</t>
        </is>
      </c>
      <c r="G42" s="26" t="n">
        <v>145.95</v>
      </c>
      <c r="H42" s="26" t="n">
        <v>350</v>
      </c>
      <c r="I42" s="27">
        <f>IF(G42=0,"",H42/G42)</f>
        <v/>
      </c>
      <c r="J42" s="26">
        <f>ROUND(G42*2.5,0)</f>
        <v/>
      </c>
      <c r="K42" s="26">
        <f>ROUND(G42*3.5,0)</f>
        <v/>
      </c>
      <c r="L42" s="26">
        <f>ROUND(G42*4,0)</f>
        <v/>
      </c>
      <c r="M42" s="25" t="inlineStr">
        <is>
          <t>ACTIVE</t>
        </is>
      </c>
      <c r="N42" s="25" t="n">
        <v>0</v>
      </c>
    </row>
    <row r="43">
      <c r="A43" s="24" t="inlineStr">
        <is>
          <t>CRÍTICO (&lt;2.5)</t>
        </is>
      </c>
      <c r="B43" s="25" t="inlineStr">
        <is>
          <t>64385161101d4</t>
        </is>
      </c>
      <c r="C43" s="25" t="inlineStr">
        <is>
          <t>PULSERA TRÉBOL ROSEGOLD WHITE VF</t>
        </is>
      </c>
      <c r="D43" s="25" t="inlineStr">
        <is>
          <t>18cm</t>
        </is>
      </c>
      <c r="E43" s="25" t="inlineStr">
        <is>
          <t>HAIFENG</t>
        </is>
      </c>
      <c r="F43" s="25" t="inlineStr">
        <is>
          <t>2025-11-11</t>
        </is>
      </c>
      <c r="G43" s="26" t="n">
        <v>526.51</v>
      </c>
      <c r="H43" s="26" t="n">
        <v>1286</v>
      </c>
      <c r="I43" s="27">
        <f>IF(G43=0,"",H43/G43)</f>
        <v/>
      </c>
      <c r="J43" s="26">
        <f>ROUND(G43*2.5,0)</f>
        <v/>
      </c>
      <c r="K43" s="26">
        <f>ROUND(G43*3.5,0)</f>
        <v/>
      </c>
      <c r="L43" s="26">
        <f>ROUND(G43*4,0)</f>
        <v/>
      </c>
      <c r="M43" s="25" t="inlineStr">
        <is>
          <t>ACTIVE</t>
        </is>
      </c>
      <c r="N43" s="25" t="n">
        <v>1</v>
      </c>
    </row>
    <row r="44">
      <c r="A44" s="24" t="inlineStr">
        <is>
          <t>CRÍTICO (&lt;2.5)</t>
        </is>
      </c>
      <c r="B44" s="25" t="inlineStr">
        <is>
          <t>66745973ed916</t>
        </is>
      </c>
      <c r="C44" s="25" t="inlineStr">
        <is>
          <t>COLLAR 20 TRÉBOLES GOLD RED</t>
        </is>
      </c>
      <c r="D44" s="25" t="inlineStr">
        <is>
          <t>Default Title</t>
        </is>
      </c>
      <c r="E44" s="25" t="inlineStr">
        <is>
          <t>NANCY</t>
        </is>
      </c>
      <c r="F44" s="25" t="inlineStr">
        <is>
          <t>2026-05-08</t>
        </is>
      </c>
      <c r="G44" s="26" t="n">
        <v>841.98</v>
      </c>
      <c r="H44" s="26" t="n">
        <v>2079</v>
      </c>
      <c r="I44" s="27">
        <f>IF(G44=0,"",H44/G44)</f>
        <v/>
      </c>
      <c r="J44" s="26">
        <f>ROUND(G44*2.5,0)</f>
        <v/>
      </c>
      <c r="K44" s="26">
        <f>ROUND(G44*3.5,0)</f>
        <v/>
      </c>
      <c r="L44" s="26">
        <f>ROUND(G44*4,0)</f>
        <v/>
      </c>
      <c r="M44" s="25" t="inlineStr">
        <is>
          <t>ACTIVE</t>
        </is>
      </c>
      <c r="N44" s="25" t="n">
        <v>3</v>
      </c>
    </row>
    <row r="45">
      <c r="A45" s="24" t="inlineStr">
        <is>
          <t>CRÍTICO (&lt;2.5)</t>
        </is>
      </c>
      <c r="B45" s="25" t="inlineStr">
        <is>
          <t>63ebd81634b8a</t>
        </is>
      </c>
      <c r="C45" s="25" t="inlineStr">
        <is>
          <t>ARETES CC GOLD CON ZIRCONIA</t>
        </is>
      </c>
      <c r="D45" s="25" t="inlineStr">
        <is>
          <t>Default Title</t>
        </is>
      </c>
      <c r="E45" s="25" t="inlineStr">
        <is>
          <t>COCOMA</t>
        </is>
      </c>
      <c r="F45" s="25" t="inlineStr">
        <is>
          <t>2026-01-20</t>
        </is>
      </c>
      <c r="G45" s="26" t="n">
        <v>101.01</v>
      </c>
      <c r="H45" s="26" t="n">
        <v>250</v>
      </c>
      <c r="I45" s="27">
        <f>IF(G45=0,"",H45/G45)</f>
        <v/>
      </c>
      <c r="J45" s="26">
        <f>ROUND(G45*2.5,0)</f>
        <v/>
      </c>
      <c r="K45" s="26">
        <f>ROUND(G45*3.5,0)</f>
        <v/>
      </c>
      <c r="L45" s="26">
        <f>ROUND(G45*4,0)</f>
        <v/>
      </c>
      <c r="M45" s="25" t="inlineStr">
        <is>
          <t>ACTIVE</t>
        </is>
      </c>
      <c r="N45" s="25" t="n">
        <v>0</v>
      </c>
    </row>
    <row r="46">
      <c r="A46" s="28" t="inlineStr">
        <is>
          <t>PELIGRO (&lt;3.5)</t>
        </is>
      </c>
      <c r="B46" s="13" t="inlineStr">
        <is>
          <t>40154172563437</t>
        </is>
      </c>
      <c r="C46" s="13" t="inlineStr">
        <is>
          <t>BRAZALETE T DOBLE PALOMA GOLD</t>
        </is>
      </c>
      <c r="D46" s="13" t="inlineStr">
        <is>
          <t>Default Title</t>
        </is>
      </c>
      <c r="E46" s="13" t="inlineStr">
        <is>
          <t>HAIFENG</t>
        </is>
      </c>
      <c r="F46" s="13" t="inlineStr">
        <is>
          <t>2026-02-05</t>
        </is>
      </c>
      <c r="G46" s="29" t="n">
        <v>170.83</v>
      </c>
      <c r="H46" s="29" t="n">
        <v>428</v>
      </c>
      <c r="I46" s="30">
        <f>IF(G46=0,"",H46/G46)</f>
        <v/>
      </c>
      <c r="J46" s="29">
        <f>ROUND(G46*2.5,0)</f>
        <v/>
      </c>
      <c r="K46" s="29">
        <f>ROUND(G46*3.5,0)</f>
        <v/>
      </c>
      <c r="L46" s="29">
        <f>ROUND(G46*4,0)</f>
        <v/>
      </c>
      <c r="M46" s="13" t="inlineStr">
        <is>
          <t>ACTIVE</t>
        </is>
      </c>
      <c r="N46" s="13" t="n">
        <v>2</v>
      </c>
    </row>
    <row r="47">
      <c r="A47" s="28" t="inlineStr">
        <is>
          <t>PELIGRO (&lt;3.5)</t>
        </is>
      </c>
      <c r="B47" s="13" t="inlineStr">
        <is>
          <t>12314361636973</t>
        </is>
      </c>
      <c r="C47" s="13" t="inlineStr">
        <is>
          <t>ANILLO F SILVER ZIRCONIAS</t>
        </is>
      </c>
      <c r="D47" s="13" t="inlineStr">
        <is>
          <t>9</t>
        </is>
      </c>
      <c r="E47" s="13" t="inlineStr">
        <is>
          <t>HAIFENG</t>
        </is>
      </c>
      <c r="F47" s="13" t="inlineStr">
        <is>
          <t>2025-10-22</t>
        </is>
      </c>
      <c r="G47" s="29" t="n">
        <v>147.9</v>
      </c>
      <c r="H47" s="29" t="n">
        <v>374</v>
      </c>
      <c r="I47" s="30">
        <f>IF(G47=0,"",H47/G47)</f>
        <v/>
      </c>
      <c r="J47" s="29">
        <f>ROUND(G47*2.5,0)</f>
        <v/>
      </c>
      <c r="K47" s="29">
        <f>ROUND(G47*3.5,0)</f>
        <v/>
      </c>
      <c r="L47" s="29">
        <f>ROUND(G47*4,0)</f>
        <v/>
      </c>
      <c r="M47" s="13" t="inlineStr">
        <is>
          <t>ACTIVE</t>
        </is>
      </c>
      <c r="N47" s="13" t="n">
        <v>2</v>
      </c>
    </row>
    <row r="48">
      <c r="A48" s="28" t="inlineStr">
        <is>
          <t>PELIGRO (&lt;3.5)</t>
        </is>
      </c>
      <c r="B48" s="13" t="inlineStr">
        <is>
          <t>89790741803853</t>
        </is>
      </c>
      <c r="C48" s="13" t="inlineStr">
        <is>
          <t>COLLAR BV SILVER GRABADO CON ZIRCONIA</t>
        </is>
      </c>
      <c r="D48" s="13" t="inlineStr"/>
      <c r="E48" s="13" t="inlineStr">
        <is>
          <t>HAIFENG</t>
        </is>
      </c>
      <c r="F48" s="13" t="inlineStr">
        <is>
          <t>2025-09-25</t>
        </is>
      </c>
      <c r="G48" s="29" t="n">
        <v>147.68</v>
      </c>
      <c r="H48" s="29" t="n">
        <v>375</v>
      </c>
      <c r="I48" s="30">
        <f>IF(G48=0,"",H48/G48)</f>
        <v/>
      </c>
      <c r="J48" s="29">
        <f>ROUND(G48*2.5,0)</f>
        <v/>
      </c>
      <c r="K48" s="29">
        <f>ROUND(G48*3.5,0)</f>
        <v/>
      </c>
      <c r="L48" s="29">
        <f>ROUND(G48*4,0)</f>
        <v/>
      </c>
      <c r="M48" s="13" t="inlineStr">
        <is>
          <t>ACTIVE</t>
        </is>
      </c>
      <c r="N48" s="13" t="n">
        <v>1</v>
      </c>
    </row>
    <row r="49">
      <c r="A49" s="28" t="inlineStr">
        <is>
          <t>PELIGRO (&lt;3.5)</t>
        </is>
      </c>
      <c r="B49" s="13" t="inlineStr">
        <is>
          <t>89790741914029</t>
        </is>
      </c>
      <c r="C49" s="13" t="inlineStr">
        <is>
          <t>COLLAR BV ROSEGOLD GRABADO CON ZIRCONIA</t>
        </is>
      </c>
      <c r="D49" s="13" t="inlineStr">
        <is>
          <t>Default Title</t>
        </is>
      </c>
      <c r="E49" s="13" t="inlineStr">
        <is>
          <t>HAIFENG</t>
        </is>
      </c>
      <c r="F49" s="13" t="inlineStr">
        <is>
          <t>2025-09-25</t>
        </is>
      </c>
      <c r="G49" s="29" t="n">
        <v>147.68</v>
      </c>
      <c r="H49" s="29" t="n">
        <v>375</v>
      </c>
      <c r="I49" s="30">
        <f>IF(G49=0,"",H49/G49)</f>
        <v/>
      </c>
      <c r="J49" s="29">
        <f>ROUND(G49*2.5,0)</f>
        <v/>
      </c>
      <c r="K49" s="29">
        <f>ROUND(G49*3.5,0)</f>
        <v/>
      </c>
      <c r="L49" s="29">
        <f>ROUND(G49*4,0)</f>
        <v/>
      </c>
      <c r="M49" s="13" t="inlineStr">
        <is>
          <t>ACTIVE</t>
        </is>
      </c>
      <c r="N49" s="13" t="n">
        <v>3</v>
      </c>
    </row>
    <row r="50">
      <c r="A50" s="28" t="inlineStr">
        <is>
          <t>PELIGRO (&lt;3.5)</t>
        </is>
      </c>
      <c r="B50" s="13" t="inlineStr">
        <is>
          <t>16117871480237</t>
        </is>
      </c>
      <c r="C50" s="13" t="inlineStr">
        <is>
          <t>PULSERA KNOT ONE  ROSEGOLD CON ZIRCONIA</t>
        </is>
      </c>
      <c r="D50" s="13" t="inlineStr">
        <is>
          <t>Default Title</t>
        </is>
      </c>
      <c r="E50" s="13" t="inlineStr">
        <is>
          <t>HAIFENG</t>
        </is>
      </c>
      <c r="F50" s="13" t="inlineStr">
        <is>
          <t>2025-09-25</t>
        </is>
      </c>
      <c r="G50" s="29" t="n">
        <v>210.97</v>
      </c>
      <c r="H50" s="29" t="n">
        <v>535</v>
      </c>
      <c r="I50" s="30">
        <f>IF(G50=0,"",H50/G50)</f>
        <v/>
      </c>
      <c r="J50" s="29">
        <f>ROUND(G50*2.5,0)</f>
        <v/>
      </c>
      <c r="K50" s="29">
        <f>ROUND(G50*3.5,0)</f>
        <v/>
      </c>
      <c r="L50" s="29">
        <f>ROUND(G50*4,0)</f>
        <v/>
      </c>
      <c r="M50" s="13" t="inlineStr">
        <is>
          <t>ACTIVE</t>
        </is>
      </c>
      <c r="N50" s="13" t="n">
        <v>2</v>
      </c>
    </row>
    <row r="51">
      <c r="A51" s="28" t="inlineStr">
        <is>
          <t>PELIGRO (&lt;3.5)</t>
        </is>
      </c>
      <c r="B51" s="13" t="inlineStr">
        <is>
          <t>30410821083277</t>
        </is>
      </c>
      <c r="C51" s="13" t="inlineStr">
        <is>
          <t>PULSERA KNOT ONE GOLD CON ZIRCONIA</t>
        </is>
      </c>
      <c r="D51" s="13" t="inlineStr">
        <is>
          <t>Default Title</t>
        </is>
      </c>
      <c r="E51" s="13" t="inlineStr">
        <is>
          <t>HAIFENG</t>
        </is>
      </c>
      <c r="F51" s="13" t="inlineStr">
        <is>
          <t>2025-09-25</t>
        </is>
      </c>
      <c r="G51" s="29" t="n">
        <v>210.97</v>
      </c>
      <c r="H51" s="29" t="n">
        <v>535</v>
      </c>
      <c r="I51" s="30">
        <f>IF(G51=0,"",H51/G51)</f>
        <v/>
      </c>
      <c r="J51" s="29">
        <f>ROUND(G51*2.5,0)</f>
        <v/>
      </c>
      <c r="K51" s="29">
        <f>ROUND(G51*3.5,0)</f>
        <v/>
      </c>
      <c r="L51" s="29">
        <f>ROUND(G51*4,0)</f>
        <v/>
      </c>
      <c r="M51" s="13" t="inlineStr">
        <is>
          <t>ACTIVE</t>
        </is>
      </c>
      <c r="N51" s="13" t="n">
        <v>1</v>
      </c>
    </row>
    <row r="52">
      <c r="A52" s="28" t="inlineStr">
        <is>
          <t>PELIGRO (&lt;3.5)</t>
        </is>
      </c>
      <c r="B52" s="13" t="inlineStr">
        <is>
          <t>17964141887725</t>
        </is>
      </c>
      <c r="C52" s="13" t="inlineStr">
        <is>
          <t>LENTES CD LINK A1U</t>
        </is>
      </c>
      <c r="D52" s="13" t="inlineStr">
        <is>
          <t>Default Title</t>
        </is>
      </c>
      <c r="E52" s="13" t="inlineStr">
        <is>
          <t>HAIFENG</t>
        </is>
      </c>
      <c r="F52" s="13" t="inlineStr">
        <is>
          <t>2026-05-06</t>
        </is>
      </c>
      <c r="G52" s="29" t="n">
        <v>742.65</v>
      </c>
      <c r="H52" s="29" t="n">
        <v>1884</v>
      </c>
      <c r="I52" s="30">
        <f>IF(G52=0,"",H52/G52)</f>
        <v/>
      </c>
      <c r="J52" s="29">
        <f>ROUND(G52*2.5,0)</f>
        <v/>
      </c>
      <c r="K52" s="29">
        <f>ROUND(G52*3.5,0)</f>
        <v/>
      </c>
      <c r="L52" s="29">
        <f>ROUND(G52*4,0)</f>
        <v/>
      </c>
      <c r="M52" s="13" t="inlineStr">
        <is>
          <t>ACTIVE</t>
        </is>
      </c>
      <c r="N52" s="13" t="n">
        <v>2</v>
      </c>
    </row>
    <row r="53">
      <c r="A53" s="28" t="inlineStr">
        <is>
          <t>PELIGRO (&lt;3.5)</t>
        </is>
      </c>
      <c r="B53" s="13" t="inlineStr">
        <is>
          <t>34361211039213</t>
        </is>
      </c>
      <c r="C53" s="13" t="inlineStr">
        <is>
          <t>PULSERA DIVAS DREAM SILVER</t>
        </is>
      </c>
      <c r="D53" s="13" t="inlineStr">
        <is>
          <t>Default Title</t>
        </is>
      </c>
      <c r="E53" s="13" t="inlineStr">
        <is>
          <t>HAIFENG</t>
        </is>
      </c>
      <c r="F53" s="13" t="inlineStr">
        <is>
          <t>2026-04-16</t>
        </is>
      </c>
      <c r="G53" s="29" t="n">
        <v>157.74</v>
      </c>
      <c r="H53" s="29" t="n">
        <v>403</v>
      </c>
      <c r="I53" s="30">
        <f>IF(G53=0,"",H53/G53)</f>
        <v/>
      </c>
      <c r="J53" s="29">
        <f>ROUND(G53*2.5,0)</f>
        <v/>
      </c>
      <c r="K53" s="29">
        <f>ROUND(G53*3.5,0)</f>
        <v/>
      </c>
      <c r="L53" s="29">
        <f>ROUND(G53*4,0)</f>
        <v/>
      </c>
      <c r="M53" s="13" t="inlineStr">
        <is>
          <t>ACTIVE</t>
        </is>
      </c>
      <c r="N53" s="13" t="n">
        <v>3</v>
      </c>
    </row>
    <row r="54">
      <c r="A54" s="28" t="inlineStr">
        <is>
          <t>PELIGRO (&lt;3.5)</t>
        </is>
      </c>
      <c r="B54" s="13" t="inlineStr">
        <is>
          <t>35432871939597</t>
        </is>
      </c>
      <c r="C54" s="13" t="inlineStr">
        <is>
          <t>ARETES H MINI MAILLON ROSE GOLD-WHITE</t>
        </is>
      </c>
      <c r="D54" s="13" t="inlineStr">
        <is>
          <t>Default Title</t>
        </is>
      </c>
      <c r="E54" s="13" t="inlineStr">
        <is>
          <t>HAIFENG</t>
        </is>
      </c>
      <c r="F54" s="13" t="inlineStr">
        <is>
          <t>2026-02-05</t>
        </is>
      </c>
      <c r="G54" s="29" t="n">
        <v>190.05</v>
      </c>
      <c r="H54" s="29" t="n">
        <v>487</v>
      </c>
      <c r="I54" s="30">
        <f>IF(G54=0,"",H54/G54)</f>
        <v/>
      </c>
      <c r="J54" s="29">
        <f>ROUND(G54*2.5,0)</f>
        <v/>
      </c>
      <c r="K54" s="29">
        <f>ROUND(G54*3.5,0)</f>
        <v/>
      </c>
      <c r="L54" s="29">
        <f>ROUND(G54*4,0)</f>
        <v/>
      </c>
      <c r="M54" s="13" t="inlineStr">
        <is>
          <t>ACTIVE</t>
        </is>
      </c>
      <c r="N54" s="13" t="n">
        <v>3</v>
      </c>
    </row>
    <row r="55">
      <c r="A55" s="28" t="inlineStr">
        <is>
          <t>PELIGRO (&lt;3.5)</t>
        </is>
      </c>
      <c r="B55" s="13" t="inlineStr">
        <is>
          <t>85887252166317</t>
        </is>
      </c>
      <c r="C55" s="13" t="inlineStr">
        <is>
          <t>SUETER GREY CASHMERE</t>
        </is>
      </c>
      <c r="D55" s="13" t="inlineStr">
        <is>
          <t>L</t>
        </is>
      </c>
      <c r="E55" s="13" t="inlineStr">
        <is>
          <t>MOLLY</t>
        </is>
      </c>
      <c r="F55" s="13" t="inlineStr">
        <is>
          <t>2025-10-10</t>
        </is>
      </c>
      <c r="G55" s="29" t="n">
        <v>500.02</v>
      </c>
      <c r="H55" s="29" t="n">
        <v>1283.24</v>
      </c>
      <c r="I55" s="30">
        <f>IF(G55=0,"",H55/G55)</f>
        <v/>
      </c>
      <c r="J55" s="29">
        <f>ROUND(G55*2.5,0)</f>
        <v/>
      </c>
      <c r="K55" s="29">
        <f>ROUND(G55*3.5,0)</f>
        <v/>
      </c>
      <c r="L55" s="29">
        <f>ROUND(G55*4,0)</f>
        <v/>
      </c>
      <c r="M55" s="13" t="inlineStr">
        <is>
          <t>ACTIVE</t>
        </is>
      </c>
      <c r="N55" s="13" t="n">
        <v>0</v>
      </c>
    </row>
    <row r="56">
      <c r="A56" s="28" t="inlineStr">
        <is>
          <t>PELIGRO (&lt;3.5)</t>
        </is>
      </c>
      <c r="B56" s="13" t="inlineStr">
        <is>
          <t>85887252087757</t>
        </is>
      </c>
      <c r="C56" s="13" t="inlineStr">
        <is>
          <t>SUETER BONE JW</t>
        </is>
      </c>
      <c r="D56" s="13" t="inlineStr">
        <is>
          <t>L</t>
        </is>
      </c>
      <c r="E56" s="13" t="inlineStr">
        <is>
          <t>MOLLY</t>
        </is>
      </c>
      <c r="F56" s="13" t="inlineStr">
        <is>
          <t>2025-10-10</t>
        </is>
      </c>
      <c r="G56" s="29" t="n">
        <v>500.02</v>
      </c>
      <c r="H56" s="29" t="n">
        <v>1283.24</v>
      </c>
      <c r="I56" s="30">
        <f>IF(G56=0,"",H56/G56)</f>
        <v/>
      </c>
      <c r="J56" s="29">
        <f>ROUND(G56*2.5,0)</f>
        <v/>
      </c>
      <c r="K56" s="29">
        <f>ROUND(G56*3.5,0)</f>
        <v/>
      </c>
      <c r="L56" s="29">
        <f>ROUND(G56*4,0)</f>
        <v/>
      </c>
      <c r="M56" s="13" t="inlineStr">
        <is>
          <t>ACTIVE</t>
        </is>
      </c>
      <c r="N56" s="13" t="n">
        <v>1</v>
      </c>
    </row>
    <row r="57">
      <c r="A57" s="28" t="inlineStr">
        <is>
          <t>PELIGRO (&lt;3.5)</t>
        </is>
      </c>
      <c r="B57" s="13" t="inlineStr">
        <is>
          <t>42834319871628</t>
        </is>
      </c>
      <c r="C57" s="13" t="inlineStr">
        <is>
          <t>SANDALIAS DG</t>
        </is>
      </c>
      <c r="D57" s="13" t="inlineStr">
        <is>
          <t>27cm</t>
        </is>
      </c>
      <c r="E57" s="13" t="inlineStr">
        <is>
          <t>ZOEY</t>
        </is>
      </c>
      <c r="F57" s="13" t="inlineStr">
        <is>
          <t>2026-06-08</t>
        </is>
      </c>
      <c r="G57" s="29" t="n">
        <v>980.46</v>
      </c>
      <c r="H57" s="29" t="n">
        <v>2534</v>
      </c>
      <c r="I57" s="30">
        <f>IF(G57=0,"",H57/G57)</f>
        <v/>
      </c>
      <c r="J57" s="29">
        <f>ROUND(G57*2.5,0)</f>
        <v/>
      </c>
      <c r="K57" s="29">
        <f>ROUND(G57*3.5,0)</f>
        <v/>
      </c>
      <c r="L57" s="29">
        <f>ROUND(G57*4,0)</f>
        <v/>
      </c>
      <c r="M57" s="13" t="inlineStr">
        <is>
          <t>ACTIVE</t>
        </is>
      </c>
      <c r="N57" s="13" t="n">
        <v>1</v>
      </c>
    </row>
    <row r="58">
      <c r="A58" s="28" t="inlineStr">
        <is>
          <t>PELIGRO (&lt;3.5)</t>
        </is>
      </c>
      <c r="B58" s="13" t="inlineStr">
        <is>
          <t>61744051068109</t>
        </is>
      </c>
      <c r="C58" s="13" t="inlineStr">
        <is>
          <t>PULSERA CD GOLD CON ZIRCONIA</t>
        </is>
      </c>
      <c r="D58" s="13" t="inlineStr">
        <is>
          <t>Default Title</t>
        </is>
      </c>
      <c r="E58" s="13" t="inlineStr">
        <is>
          <t>ZOEY</t>
        </is>
      </c>
      <c r="F58" s="13" t="inlineStr">
        <is>
          <t>2026-01-20</t>
        </is>
      </c>
      <c r="G58" s="29" t="n">
        <v>468.57</v>
      </c>
      <c r="H58" s="29" t="n">
        <v>1218</v>
      </c>
      <c r="I58" s="30">
        <f>IF(G58=0,"",H58/G58)</f>
        <v/>
      </c>
      <c r="J58" s="29">
        <f>ROUND(G58*2.5,0)</f>
        <v/>
      </c>
      <c r="K58" s="29">
        <f>ROUND(G58*3.5,0)</f>
        <v/>
      </c>
      <c r="L58" s="29">
        <f>ROUND(G58*4,0)</f>
        <v/>
      </c>
      <c r="M58" s="13" t="inlineStr">
        <is>
          <t>ACTIVE</t>
        </is>
      </c>
      <c r="N58" s="13" t="n">
        <v>6</v>
      </c>
    </row>
    <row r="59">
      <c r="A59" s="28" t="inlineStr">
        <is>
          <t>PELIGRO (&lt;3.5)</t>
        </is>
      </c>
      <c r="B59" s="13" t="inlineStr">
        <is>
          <t>48915671144269</t>
        </is>
      </c>
      <c r="C59" s="13" t="inlineStr">
        <is>
          <t>CAMISETA CD OBLIQUE BLACK</t>
        </is>
      </c>
      <c r="D59" s="13" t="inlineStr">
        <is>
          <t>M OVERSIZE</t>
        </is>
      </c>
      <c r="E59" s="13" t="inlineStr">
        <is>
          <t>ZOEY</t>
        </is>
      </c>
      <c r="F59" s="13" t="inlineStr">
        <is>
          <t>2026-04-20</t>
        </is>
      </c>
      <c r="G59" s="29" t="n">
        <v>691.4400000000001</v>
      </c>
      <c r="H59" s="29" t="n">
        <v>1799</v>
      </c>
      <c r="I59" s="30">
        <f>IF(G59=0,"",H59/G59)</f>
        <v/>
      </c>
      <c r="J59" s="29">
        <f>ROUND(G59*2.5,0)</f>
        <v/>
      </c>
      <c r="K59" s="29">
        <f>ROUND(G59*3.5,0)</f>
        <v/>
      </c>
      <c r="L59" s="29">
        <f>ROUND(G59*4,0)</f>
        <v/>
      </c>
      <c r="M59" s="13" t="inlineStr">
        <is>
          <t>ACTIVE</t>
        </is>
      </c>
      <c r="N59" s="13" t="n">
        <v>2</v>
      </c>
    </row>
    <row r="60">
      <c r="A60" s="28" t="inlineStr">
        <is>
          <t>PELIGRO (&lt;3.5)</t>
        </is>
      </c>
      <c r="B60" s="13" t="inlineStr">
        <is>
          <t>48915671011501</t>
        </is>
      </c>
      <c r="C60" s="13" t="inlineStr">
        <is>
          <t>CAMISETA CD OBLIQUE BLACK</t>
        </is>
      </c>
      <c r="D60" s="13" t="inlineStr">
        <is>
          <t>L OVERSIZE</t>
        </is>
      </c>
      <c r="E60" s="13" t="inlineStr">
        <is>
          <t>ZOEY</t>
        </is>
      </c>
      <c r="F60" s="13" t="inlineStr">
        <is>
          <t>2026-04-20</t>
        </is>
      </c>
      <c r="G60" s="29" t="n">
        <v>691.4400000000001</v>
      </c>
      <c r="H60" s="29" t="n">
        <v>1799</v>
      </c>
      <c r="I60" s="30">
        <f>IF(G60=0,"",H60/G60)</f>
        <v/>
      </c>
      <c r="J60" s="29">
        <f>ROUND(G60*2.5,0)</f>
        <v/>
      </c>
      <c r="K60" s="29">
        <f>ROUND(G60*3.5,0)</f>
        <v/>
      </c>
      <c r="L60" s="29">
        <f>ROUND(G60*4,0)</f>
        <v/>
      </c>
      <c r="M60" s="13" t="inlineStr">
        <is>
          <t>ACTIVE</t>
        </is>
      </c>
      <c r="N60" s="13" t="n">
        <v>1</v>
      </c>
    </row>
    <row r="61">
      <c r="A61" s="28" t="inlineStr">
        <is>
          <t>PELIGRO (&lt;3.5)</t>
        </is>
      </c>
      <c r="B61" s="13" t="inlineStr">
        <is>
          <t>15565825325196</t>
        </is>
      </c>
      <c r="C61" s="13" t="inlineStr">
        <is>
          <t>CARTERA GC BI-FOLD</t>
        </is>
      </c>
      <c r="D61" s="13" t="inlineStr">
        <is>
          <t>9.5cm x 10cm</t>
        </is>
      </c>
      <c r="E61" s="13" t="inlineStr">
        <is>
          <t>ZOEY</t>
        </is>
      </c>
      <c r="F61" s="13" t="inlineStr">
        <is>
          <t>2026-03-19</t>
        </is>
      </c>
      <c r="G61" s="29" t="n">
        <v>464.08</v>
      </c>
      <c r="H61" s="29" t="n">
        <v>1208</v>
      </c>
      <c r="I61" s="30">
        <f>IF(G61=0,"",H61/G61)</f>
        <v/>
      </c>
      <c r="J61" s="29">
        <f>ROUND(G61*2.5,0)</f>
        <v/>
      </c>
      <c r="K61" s="29">
        <f>ROUND(G61*3.5,0)</f>
        <v/>
      </c>
      <c r="L61" s="29">
        <f>ROUND(G61*4,0)</f>
        <v/>
      </c>
      <c r="M61" s="13" t="inlineStr">
        <is>
          <t>ACTIVE</t>
        </is>
      </c>
      <c r="N61" s="13" t="n">
        <v>4</v>
      </c>
    </row>
    <row r="62">
      <c r="A62" s="28" t="inlineStr">
        <is>
          <t>PELIGRO (&lt;3.5)</t>
        </is>
      </c>
      <c r="B62" s="13" t="inlineStr">
        <is>
          <t>63794531345773</t>
        </is>
      </c>
      <c r="C62" s="13" t="inlineStr">
        <is>
          <t>LENTES CD SIGNATURE B8U</t>
        </is>
      </c>
      <c r="D62" s="13" t="inlineStr"/>
      <c r="E62" s="13" t="inlineStr">
        <is>
          <t>ZOEY</t>
        </is>
      </c>
      <c r="F62" s="13" t="inlineStr">
        <is>
          <t>2026-03-02</t>
        </is>
      </c>
      <c r="G62" s="29" t="n">
        <v>840.86</v>
      </c>
      <c r="H62" s="29" t="n">
        <v>2187</v>
      </c>
      <c r="I62" s="30">
        <f>IF(G62=0,"",H62/G62)</f>
        <v/>
      </c>
      <c r="J62" s="29">
        <f>ROUND(G62*2.5,0)</f>
        <v/>
      </c>
      <c r="K62" s="29">
        <f>ROUND(G62*3.5,0)</f>
        <v/>
      </c>
      <c r="L62" s="29">
        <f>ROUND(G62*4,0)</f>
        <v/>
      </c>
      <c r="M62" s="13" t="inlineStr">
        <is>
          <t>ACTIVE</t>
        </is>
      </c>
      <c r="N62" s="13" t="n">
        <v>1</v>
      </c>
    </row>
    <row r="63">
      <c r="A63" s="28" t="inlineStr">
        <is>
          <t>PELIGRO (&lt;3.5)</t>
        </is>
      </c>
      <c r="B63" s="13" t="inlineStr">
        <is>
          <t>23025461332941</t>
        </is>
      </c>
      <c r="C63" s="13" t="inlineStr">
        <is>
          <t>TENIS H BOUNCING WHITE</t>
        </is>
      </c>
      <c r="D63" s="13" t="inlineStr">
        <is>
          <t>42/8MX</t>
        </is>
      </c>
      <c r="E63" s="13" t="inlineStr">
        <is>
          <t>ZOEY</t>
        </is>
      </c>
      <c r="F63" s="13" t="inlineStr">
        <is>
          <t>2026-05-15</t>
        </is>
      </c>
      <c r="G63" s="29" t="n">
        <v>1590.28</v>
      </c>
      <c r="H63" s="29" t="n">
        <v>4139</v>
      </c>
      <c r="I63" s="30">
        <f>IF(G63=0,"",H63/G63)</f>
        <v/>
      </c>
      <c r="J63" s="29">
        <f>ROUND(G63*2.5,0)</f>
        <v/>
      </c>
      <c r="K63" s="29">
        <f>ROUND(G63*3.5,0)</f>
        <v/>
      </c>
      <c r="L63" s="29">
        <f>ROUND(G63*4,0)</f>
        <v/>
      </c>
      <c r="M63" s="13" t="inlineStr">
        <is>
          <t>ACTIVE</t>
        </is>
      </c>
      <c r="N63" s="13" t="n">
        <v>1</v>
      </c>
    </row>
    <row r="64">
      <c r="A64" s="28" t="inlineStr">
        <is>
          <t>PELIGRO (&lt;3.5)</t>
        </is>
      </c>
      <c r="B64" s="13" t="inlineStr">
        <is>
          <t>23025461724461</t>
        </is>
      </c>
      <c r="C64" s="13" t="inlineStr">
        <is>
          <t>MOCASINES GC HORSEBIT</t>
        </is>
      </c>
      <c r="D64" s="13" t="inlineStr">
        <is>
          <t>42/8MX</t>
        </is>
      </c>
      <c r="E64" s="13" t="inlineStr">
        <is>
          <t>ZOEY</t>
        </is>
      </c>
      <c r="F64" s="13" t="inlineStr">
        <is>
          <t>2026-05-15</t>
        </is>
      </c>
      <c r="G64" s="29" t="n">
        <v>1537.27</v>
      </c>
      <c r="H64" s="29" t="n">
        <v>3997</v>
      </c>
      <c r="I64" s="30">
        <f>IF(G64=0,"",H64/G64)</f>
        <v/>
      </c>
      <c r="J64" s="29">
        <f>ROUND(G64*2.5,0)</f>
        <v/>
      </c>
      <c r="K64" s="29">
        <f>ROUND(G64*3.5,0)</f>
        <v/>
      </c>
      <c r="L64" s="29">
        <f>ROUND(G64*4,0)</f>
        <v/>
      </c>
      <c r="M64" s="13" t="inlineStr">
        <is>
          <t>ACTIVE</t>
        </is>
      </c>
      <c r="N64" s="13" t="n">
        <v>1</v>
      </c>
    </row>
    <row r="65">
      <c r="A65" s="28" t="inlineStr">
        <is>
          <t>PELIGRO (&lt;3.5)</t>
        </is>
      </c>
      <c r="B65" s="13" t="inlineStr">
        <is>
          <t>23025461857229</t>
        </is>
      </c>
      <c r="C65" s="13" t="inlineStr">
        <is>
          <t>MOCASINES GC HORSEBIT</t>
        </is>
      </c>
      <c r="D65" s="13" t="inlineStr">
        <is>
          <t>44/9MX</t>
        </is>
      </c>
      <c r="E65" s="13" t="inlineStr">
        <is>
          <t>ZOEY</t>
        </is>
      </c>
      <c r="F65" s="13" t="inlineStr">
        <is>
          <t>2026-05-15</t>
        </is>
      </c>
      <c r="G65" s="29" t="n">
        <v>1537.27</v>
      </c>
      <c r="H65" s="29" t="n">
        <v>3997</v>
      </c>
      <c r="I65" s="30">
        <f>IF(G65=0,"",H65/G65)</f>
        <v/>
      </c>
      <c r="J65" s="29">
        <f>ROUND(G65*2.5,0)</f>
        <v/>
      </c>
      <c r="K65" s="29">
        <f>ROUND(G65*3.5,0)</f>
        <v/>
      </c>
      <c r="L65" s="29">
        <f>ROUND(G65*4,0)</f>
        <v/>
      </c>
      <c r="M65" s="13" t="inlineStr">
        <is>
          <t>ACTIVE</t>
        </is>
      </c>
      <c r="N65" s="13" t="n">
        <v>1</v>
      </c>
    </row>
    <row r="66">
      <c r="A66" s="28" t="inlineStr">
        <is>
          <t>PELIGRO (&lt;3.5)</t>
        </is>
      </c>
      <c r="B66" s="13" t="inlineStr">
        <is>
          <t>69645921049005</t>
        </is>
      </c>
      <c r="C66" s="13" t="inlineStr">
        <is>
          <t>PULSERA YSL GOLD</t>
        </is>
      </c>
      <c r="D66" s="13" t="inlineStr">
        <is>
          <t>Default Title</t>
        </is>
      </c>
      <c r="E66" s="13" t="inlineStr">
        <is>
          <t>NANCY</t>
        </is>
      </c>
      <c r="F66" s="13" t="inlineStr">
        <is>
          <t>2026-07-09</t>
        </is>
      </c>
      <c r="G66" s="29" t="n">
        <v>145.95</v>
      </c>
      <c r="H66" s="29" t="n">
        <v>380</v>
      </c>
      <c r="I66" s="30">
        <f>IF(G66=0,"",H66/G66)</f>
        <v/>
      </c>
      <c r="J66" s="29">
        <f>ROUND(G66*2.5,0)</f>
        <v/>
      </c>
      <c r="K66" s="29">
        <f>ROUND(G66*3.5,0)</f>
        <v/>
      </c>
      <c r="L66" s="29">
        <f>ROUND(G66*4,0)</f>
        <v/>
      </c>
      <c r="M66" s="13" t="inlineStr">
        <is>
          <t>ACTIVE</t>
        </is>
      </c>
      <c r="N66" s="13" t="n">
        <v>0</v>
      </c>
    </row>
    <row r="67">
      <c r="A67" s="28" t="inlineStr">
        <is>
          <t>PELIGRO (&lt;3.5)</t>
        </is>
      </c>
      <c r="B67" s="13" t="inlineStr">
        <is>
          <t>61050601014957</t>
        </is>
      </c>
      <c r="C67" s="13" t="inlineStr">
        <is>
          <t>LEGGINGS LLM BLACK</t>
        </is>
      </c>
      <c r="D67" s="13" t="inlineStr">
        <is>
          <t>2M ,1L</t>
        </is>
      </c>
      <c r="E67" s="13" t="inlineStr">
        <is>
          <t>ZOEY</t>
        </is>
      </c>
      <c r="F67" s="13" t="inlineStr">
        <is>
          <t>2026-05-15</t>
        </is>
      </c>
      <c r="G67" s="29" t="n">
        <v>662.62</v>
      </c>
      <c r="H67" s="29" t="n">
        <v>1729</v>
      </c>
      <c r="I67" s="30">
        <f>IF(G67=0,"",H67/G67)</f>
        <v/>
      </c>
      <c r="J67" s="29">
        <f>ROUND(G67*2.5,0)</f>
        <v/>
      </c>
      <c r="K67" s="29">
        <f>ROUND(G67*3.5,0)</f>
        <v/>
      </c>
      <c r="L67" s="29">
        <f>ROUND(G67*4,0)</f>
        <v/>
      </c>
      <c r="M67" s="13" t="inlineStr">
        <is>
          <t>ACTIVE</t>
        </is>
      </c>
      <c r="N67" s="13" t="n">
        <v>4</v>
      </c>
    </row>
    <row r="68">
      <c r="A68" s="28" t="inlineStr">
        <is>
          <t>PELIGRO (&lt;3.5)</t>
        </is>
      </c>
      <c r="B68" s="13" t="inlineStr">
        <is>
          <t>39252671462093</t>
        </is>
      </c>
      <c r="C68" s="13" t="inlineStr">
        <is>
          <t>LENTES GC 1SN BLACK</t>
        </is>
      </c>
      <c r="D68" s="13" t="inlineStr">
        <is>
          <t>Default Title</t>
        </is>
      </c>
      <c r="E68" s="13" t="inlineStr">
        <is>
          <t>CYNTHIA</t>
        </is>
      </c>
      <c r="F68" s="13" t="inlineStr">
        <is>
          <t>2025-10-25</t>
        </is>
      </c>
      <c r="G68" s="29" t="n">
        <v>943.27</v>
      </c>
      <c r="H68" s="29" t="n">
        <v>2461</v>
      </c>
      <c r="I68" s="30">
        <f>IF(G68=0,"",H68/G68)</f>
        <v/>
      </c>
      <c r="J68" s="29">
        <f>ROUND(G68*2.5,0)</f>
        <v/>
      </c>
      <c r="K68" s="29">
        <f>ROUND(G68*3.5,0)</f>
        <v/>
      </c>
      <c r="L68" s="29">
        <f>ROUND(G68*4,0)</f>
        <v/>
      </c>
      <c r="M68" s="13" t="inlineStr">
        <is>
          <t>ACTIVE</t>
        </is>
      </c>
      <c r="N68" s="13" t="n">
        <v>2</v>
      </c>
    </row>
    <row r="69">
      <c r="A69" s="28" t="inlineStr">
        <is>
          <t>PELIGRO (&lt;3.5)</t>
        </is>
      </c>
      <c r="B69" s="13" t="inlineStr">
        <is>
          <t>29736662528589</t>
        </is>
      </c>
      <c r="C69" s="13" t="inlineStr">
        <is>
          <t>ANILLO OPEN HEART SILVER</t>
        </is>
      </c>
      <c r="D69" s="13" t="inlineStr">
        <is>
          <t>7</t>
        </is>
      </c>
      <c r="E69" s="13" t="inlineStr">
        <is>
          <t>HAIFENG</t>
        </is>
      </c>
      <c r="F69" s="13" t="inlineStr">
        <is>
          <t>2026-02-05</t>
        </is>
      </c>
      <c r="G69" s="29" t="n">
        <v>149.27</v>
      </c>
      <c r="H69" s="29" t="n">
        <v>389</v>
      </c>
      <c r="I69" s="30">
        <f>IF(G69=0,"",H69/G69)</f>
        <v/>
      </c>
      <c r="J69" s="29">
        <f>ROUND(G69*2.5,0)</f>
        <v/>
      </c>
      <c r="K69" s="29">
        <f>ROUND(G69*3.5,0)</f>
        <v/>
      </c>
      <c r="L69" s="29">
        <f>ROUND(G69*4,0)</f>
        <v/>
      </c>
      <c r="M69" s="13" t="inlineStr">
        <is>
          <t>ACTIVE</t>
        </is>
      </c>
      <c r="N69" s="13" t="n">
        <v>1</v>
      </c>
    </row>
    <row r="70">
      <c r="A70" s="28" t="inlineStr">
        <is>
          <t>PELIGRO (&lt;3.5)</t>
        </is>
      </c>
      <c r="B70" s="13" t="inlineStr">
        <is>
          <t>44504631084621</t>
        </is>
      </c>
      <c r="C70" s="13" t="inlineStr">
        <is>
          <t>BOLSO C TILLY BROWN</t>
        </is>
      </c>
      <c r="D70" s="13" t="inlineStr">
        <is>
          <t>15cm de alto x 19.5cm de largo x 7.5cm de ancho</t>
        </is>
      </c>
      <c r="E70" s="13" t="inlineStr">
        <is>
          <t>DINA DU</t>
        </is>
      </c>
      <c r="F70" s="13" t="inlineStr">
        <is>
          <t>2025-10-21</t>
        </is>
      </c>
      <c r="G70" s="29" t="n">
        <v>1177.45</v>
      </c>
      <c r="H70" s="29" t="n">
        <v>3076.23</v>
      </c>
      <c r="I70" s="30">
        <f>IF(G70=0,"",H70/G70)</f>
        <v/>
      </c>
      <c r="J70" s="29">
        <f>ROUND(G70*2.5,0)</f>
        <v/>
      </c>
      <c r="K70" s="29">
        <f>ROUND(G70*3.5,0)</f>
        <v/>
      </c>
      <c r="L70" s="29">
        <f>ROUND(G70*4,0)</f>
        <v/>
      </c>
      <c r="M70" s="13" t="inlineStr">
        <is>
          <t>ACTIVE</t>
        </is>
      </c>
      <c r="N70" s="13" t="n">
        <v>1</v>
      </c>
    </row>
    <row r="71">
      <c r="A71" s="28" t="inlineStr">
        <is>
          <t>PELIGRO (&lt;3.5)</t>
        </is>
      </c>
      <c r="B71" s="13" t="inlineStr">
        <is>
          <t>64e78f941b012</t>
        </is>
      </c>
      <c r="C71" s="13" t="inlineStr">
        <is>
          <t>BOLSO V WHITE</t>
        </is>
      </c>
      <c r="D71" s="13" t="inlineStr">
        <is>
          <t>20.5cmx14cm</t>
        </is>
      </c>
      <c r="E71" s="13" t="inlineStr">
        <is>
          <t>DINA DU</t>
        </is>
      </c>
      <c r="F71" s="13" t="inlineStr">
        <is>
          <t>2025-10-21</t>
        </is>
      </c>
      <c r="G71" s="29" t="n">
        <v>1289.59</v>
      </c>
      <c r="H71" s="29" t="n">
        <v>3369</v>
      </c>
      <c r="I71" s="30">
        <f>IF(G71=0,"",H71/G71)</f>
        <v/>
      </c>
      <c r="J71" s="29">
        <f>ROUND(G71*2.5,0)</f>
        <v/>
      </c>
      <c r="K71" s="29">
        <f>ROUND(G71*3.5,0)</f>
        <v/>
      </c>
      <c r="L71" s="29">
        <f>ROUND(G71*4,0)</f>
        <v/>
      </c>
      <c r="M71" s="13" t="inlineStr">
        <is>
          <t>ACTIVE</t>
        </is>
      </c>
      <c r="N71" s="13" t="n">
        <v>0</v>
      </c>
    </row>
    <row r="72">
      <c r="A72" s="28" t="inlineStr">
        <is>
          <t>PELIGRO (&lt;3.5)</t>
        </is>
      </c>
      <c r="B72" s="13" t="inlineStr">
        <is>
          <t>648cc60ce32b1</t>
        </is>
      </c>
      <c r="C72" s="13" t="inlineStr">
        <is>
          <t>CARTERA LV BROWN</t>
        </is>
      </c>
      <c r="D72" s="13" t="inlineStr">
        <is>
          <t>12cmx9cm</t>
        </is>
      </c>
      <c r="E72" s="13" t="inlineStr">
        <is>
          <t>DINA DU</t>
        </is>
      </c>
      <c r="F72" s="13" t="inlineStr">
        <is>
          <t>2026-04-27</t>
        </is>
      </c>
      <c r="G72" s="29" t="n">
        <v>351.58</v>
      </c>
      <c r="H72" s="29" t="n">
        <v>916</v>
      </c>
      <c r="I72" s="30">
        <f>IF(G72=0,"",H72/G72)</f>
        <v/>
      </c>
      <c r="J72" s="29">
        <f>ROUND(G72*2.5,0)</f>
        <v/>
      </c>
      <c r="K72" s="29">
        <f>ROUND(G72*3.5,0)</f>
        <v/>
      </c>
      <c r="L72" s="29">
        <f>ROUND(G72*4,0)</f>
        <v/>
      </c>
      <c r="M72" s="13" t="inlineStr">
        <is>
          <t>ACTIVE</t>
        </is>
      </c>
      <c r="N72" s="13" t="n">
        <v>2</v>
      </c>
    </row>
    <row r="73">
      <c r="A73" s="28" t="inlineStr">
        <is>
          <t>PELIGRO (&lt;3.5)</t>
        </is>
      </c>
      <c r="B73" s="13" t="inlineStr">
        <is>
          <t>42265107366028</t>
        </is>
      </c>
      <c r="C73" s="13" t="inlineStr">
        <is>
          <t>HOODIE C BLACK</t>
        </is>
      </c>
      <c r="D73" s="13" t="inlineStr">
        <is>
          <t>M</t>
        </is>
      </c>
      <c r="E73" s="13" t="inlineStr">
        <is>
          <t>DINA DU</t>
        </is>
      </c>
      <c r="F73" s="13" t="inlineStr">
        <is>
          <t>2025-10-21</t>
        </is>
      </c>
      <c r="G73" s="29" t="n">
        <v>756.9299999999999</v>
      </c>
      <c r="H73" s="29" t="n">
        <v>1977</v>
      </c>
      <c r="I73" s="30">
        <f>IF(G73=0,"",H73/G73)</f>
        <v/>
      </c>
      <c r="J73" s="29">
        <f>ROUND(G73*2.5,0)</f>
        <v/>
      </c>
      <c r="K73" s="29">
        <f>ROUND(G73*3.5,0)</f>
        <v/>
      </c>
      <c r="L73" s="29">
        <f>ROUND(G73*4,0)</f>
        <v/>
      </c>
      <c r="M73" s="13" t="inlineStr">
        <is>
          <t>ACTIVE</t>
        </is>
      </c>
      <c r="N73" s="13" t="n">
        <v>3</v>
      </c>
    </row>
    <row r="74">
      <c r="A74" s="28" t="inlineStr">
        <is>
          <t>PELIGRO (&lt;3.5)</t>
        </is>
      </c>
      <c r="B74" s="13" t="inlineStr">
        <is>
          <t>665bd49b4a58a</t>
        </is>
      </c>
      <c r="C74" s="13" t="inlineStr">
        <is>
          <t>TARJETERO LV BLUE</t>
        </is>
      </c>
      <c r="D74" s="13" t="inlineStr">
        <is>
          <t>8cm x 11cm</t>
        </is>
      </c>
      <c r="E74" s="13" t="inlineStr">
        <is>
          <t>DINA DU</t>
        </is>
      </c>
      <c r="F74" s="13" t="inlineStr">
        <is>
          <t>2025-10-21</t>
        </is>
      </c>
      <c r="G74" s="29" t="n">
        <v>476.59</v>
      </c>
      <c r="H74" s="29" t="n">
        <v>1245</v>
      </c>
      <c r="I74" s="30">
        <f>IF(G74=0,"",H74/G74)</f>
        <v/>
      </c>
      <c r="J74" s="29">
        <f>ROUND(G74*2.5,0)</f>
        <v/>
      </c>
      <c r="K74" s="29">
        <f>ROUND(G74*3.5,0)</f>
        <v/>
      </c>
      <c r="L74" s="29">
        <f>ROUND(G74*4,0)</f>
        <v/>
      </c>
      <c r="M74" s="13" t="inlineStr">
        <is>
          <t>ACTIVE</t>
        </is>
      </c>
      <c r="N74" s="13" t="n">
        <v>7</v>
      </c>
    </row>
    <row r="75">
      <c r="A75" s="28" t="inlineStr">
        <is>
          <t>PELIGRO (&lt;3.5)</t>
        </is>
      </c>
      <c r="B75" s="13" t="inlineStr">
        <is>
          <t>665bd4a0c3b63</t>
        </is>
      </c>
      <c r="C75" s="13" t="inlineStr">
        <is>
          <t>TARJETERO LV BROWN</t>
        </is>
      </c>
      <c r="D75" s="13" t="inlineStr">
        <is>
          <t>8cm x 11cm</t>
        </is>
      </c>
      <c r="E75" s="13" t="inlineStr">
        <is>
          <t>DINA DU</t>
        </is>
      </c>
      <c r="F75" s="13" t="inlineStr">
        <is>
          <t>2025-10-21</t>
        </is>
      </c>
      <c r="G75" s="29" t="n">
        <v>476.59</v>
      </c>
      <c r="H75" s="29" t="n">
        <v>1245</v>
      </c>
      <c r="I75" s="30">
        <f>IF(G75=0,"",H75/G75)</f>
        <v/>
      </c>
      <c r="J75" s="29">
        <f>ROUND(G75*2.5,0)</f>
        <v/>
      </c>
      <c r="K75" s="29">
        <f>ROUND(G75*3.5,0)</f>
        <v/>
      </c>
      <c r="L75" s="29">
        <f>ROUND(G75*4,0)</f>
        <v/>
      </c>
      <c r="M75" s="13" t="inlineStr">
        <is>
          <t>ACTIVE</t>
        </is>
      </c>
      <c r="N75" s="13" t="n">
        <v>2</v>
      </c>
    </row>
    <row r="76">
      <c r="A76" s="28" t="inlineStr">
        <is>
          <t>PELIGRO (&lt;3.5)</t>
        </is>
      </c>
      <c r="B76" s="13" t="inlineStr">
        <is>
          <t>15554123566189</t>
        </is>
      </c>
      <c r="C76" s="13" t="inlineStr">
        <is>
          <t>ARETES MOVE CIRCLE GOLD</t>
        </is>
      </c>
      <c r="D76" s="13" t="inlineStr">
        <is>
          <t>Default Title</t>
        </is>
      </c>
      <c r="E76" s="13" t="inlineStr">
        <is>
          <t>HAIFENG</t>
        </is>
      </c>
      <c r="F76" s="13" t="inlineStr">
        <is>
          <t>2026-04-16</t>
        </is>
      </c>
      <c r="G76" s="29" t="n">
        <v>168.25</v>
      </c>
      <c r="H76" s="29" t="n">
        <v>442</v>
      </c>
      <c r="I76" s="30">
        <f>IF(G76=0,"",H76/G76)</f>
        <v/>
      </c>
      <c r="J76" s="29">
        <f>ROUND(G76*2.5,0)</f>
        <v/>
      </c>
      <c r="K76" s="29">
        <f>ROUND(G76*3.5,0)</f>
        <v/>
      </c>
      <c r="L76" s="29">
        <f>ROUND(G76*4,0)</f>
        <v/>
      </c>
      <c r="M76" s="13" t="inlineStr">
        <is>
          <t>ACTIVE</t>
        </is>
      </c>
      <c r="N76" s="13" t="n">
        <v>1</v>
      </c>
    </row>
    <row r="77">
      <c r="A77" s="28" t="inlineStr">
        <is>
          <t>PELIGRO (&lt;3.5)</t>
        </is>
      </c>
      <c r="B77" s="13" t="inlineStr">
        <is>
          <t>81712814361484</t>
        </is>
      </c>
      <c r="C77" s="13" t="inlineStr">
        <is>
          <t>SANDALIAS DG BIANCA</t>
        </is>
      </c>
      <c r="D77" s="13" t="inlineStr">
        <is>
          <t>MEDIUM QUALITY 40/ 25cm</t>
        </is>
      </c>
      <c r="E77" s="13" t="inlineStr">
        <is>
          <t>CYNTHIA</t>
        </is>
      </c>
      <c r="F77" s="13" t="inlineStr">
        <is>
          <t>2026-01-07</t>
        </is>
      </c>
      <c r="G77" s="29" t="n">
        <v>744.45</v>
      </c>
      <c r="H77" s="29" t="n">
        <v>1999</v>
      </c>
      <c r="I77" s="30">
        <f>IF(G77=0,"",H77/G77)</f>
        <v/>
      </c>
      <c r="J77" s="29">
        <f>ROUND(G77*2.5,0)</f>
        <v/>
      </c>
      <c r="K77" s="29">
        <f>ROUND(G77*3.5,0)</f>
        <v/>
      </c>
      <c r="L77" s="29">
        <f>ROUND(G77*4,0)</f>
        <v/>
      </c>
      <c r="M77" s="13" t="inlineStr">
        <is>
          <t>ACTIVE</t>
        </is>
      </c>
      <c r="N77" s="13" t="n">
        <v>0</v>
      </c>
    </row>
    <row r="78">
      <c r="A78" s="28" t="inlineStr">
        <is>
          <t>PELIGRO (&lt;3.5)</t>
        </is>
      </c>
      <c r="B78" s="13" t="inlineStr">
        <is>
          <t>14401523185773</t>
        </is>
      </c>
      <c r="C78" s="13" t="inlineStr">
        <is>
          <t>TARJETERO MM BLACK</t>
        </is>
      </c>
      <c r="D78" s="13" t="inlineStr">
        <is>
          <t>Default Title</t>
        </is>
      </c>
      <c r="E78" s="13" t="inlineStr">
        <is>
          <t>CYNTHIA</t>
        </is>
      </c>
      <c r="F78" s="13" t="inlineStr">
        <is>
          <t>2026-02-18</t>
        </is>
      </c>
      <c r="G78" s="29" t="n">
        <v>676.08</v>
      </c>
      <c r="H78" s="29" t="n">
        <v>1819</v>
      </c>
      <c r="I78" s="30">
        <f>IF(G78=0,"",H78/G78)</f>
        <v/>
      </c>
      <c r="J78" s="29">
        <f>ROUND(G78*2.5,0)</f>
        <v/>
      </c>
      <c r="K78" s="29">
        <f>ROUND(G78*3.5,0)</f>
        <v/>
      </c>
      <c r="L78" s="29">
        <f>ROUND(G78*4,0)</f>
        <v/>
      </c>
      <c r="M78" s="13" t="inlineStr">
        <is>
          <t>ACTIVE</t>
        </is>
      </c>
      <c r="N78" s="13" t="n">
        <v>1</v>
      </c>
    </row>
    <row r="79">
      <c r="A79" s="28" t="inlineStr">
        <is>
          <t>PELIGRO (&lt;3.5)</t>
        </is>
      </c>
      <c r="B79" s="13" t="inlineStr">
        <is>
          <t>39252671125389</t>
        </is>
      </c>
      <c r="C79" s="13" t="inlineStr">
        <is>
          <t>ANILLO LV LETTER SILVER</t>
        </is>
      </c>
      <c r="D79" s="13" t="inlineStr">
        <is>
          <t>8</t>
        </is>
      </c>
      <c r="E79" s="13" t="inlineStr">
        <is>
          <t>CYNTHIA</t>
        </is>
      </c>
      <c r="F79" s="13" t="inlineStr">
        <is>
          <t>2025-10-25</t>
        </is>
      </c>
      <c r="G79" s="29" t="n">
        <v>138.35</v>
      </c>
      <c r="H79" s="29" t="n">
        <v>373</v>
      </c>
      <c r="I79" s="30">
        <f>IF(G79=0,"",H79/G79)</f>
        <v/>
      </c>
      <c r="J79" s="29">
        <f>ROUND(G79*2.5,0)</f>
        <v/>
      </c>
      <c r="K79" s="29">
        <f>ROUND(G79*3.5,0)</f>
        <v/>
      </c>
      <c r="L79" s="29">
        <f>ROUND(G79*4,0)</f>
        <v/>
      </c>
      <c r="M79" s="13" t="inlineStr">
        <is>
          <t>ACTIVE</t>
        </is>
      </c>
      <c r="N79" s="13" t="n">
        <v>2</v>
      </c>
    </row>
    <row r="80">
      <c r="A80" s="28" t="inlineStr">
        <is>
          <t>PELIGRO (&lt;3.5)</t>
        </is>
      </c>
      <c r="B80" s="13" t="inlineStr">
        <is>
          <t>42981971361932</t>
        </is>
      </c>
      <c r="C80" s="13" t="inlineStr">
        <is>
          <t>COLLAR POP H ROSEGOLD WHITE</t>
        </is>
      </c>
      <c r="D80" s="13" t="inlineStr">
        <is>
          <t>largo de Cadena 49cm  1.5cm de dije</t>
        </is>
      </c>
      <c r="E80" s="13" t="inlineStr">
        <is>
          <t>HAIFENG</t>
        </is>
      </c>
      <c r="F80" s="13" t="inlineStr">
        <is>
          <t>2025-10-22</t>
        </is>
      </c>
      <c r="G80" s="29" t="n">
        <v>147.69</v>
      </c>
      <c r="H80" s="29" t="n">
        <v>399</v>
      </c>
      <c r="I80" s="30">
        <f>IF(G80=0,"",H80/G80)</f>
        <v/>
      </c>
      <c r="J80" s="29">
        <f>ROUND(G80*2.5,0)</f>
        <v/>
      </c>
      <c r="K80" s="29">
        <f>ROUND(G80*3.5,0)</f>
        <v/>
      </c>
      <c r="L80" s="29">
        <f>ROUND(G80*4,0)</f>
        <v/>
      </c>
      <c r="M80" s="13" t="inlineStr">
        <is>
          <t>ACTIVE</t>
        </is>
      </c>
      <c r="N80" s="13" t="n">
        <v>3</v>
      </c>
    </row>
    <row r="81">
      <c r="A81" s="28" t="inlineStr">
        <is>
          <t>PELIGRO (&lt;3.5)</t>
        </is>
      </c>
      <c r="B81" s="13" t="inlineStr">
        <is>
          <t>679be1fa82b97</t>
        </is>
      </c>
      <c r="C81" s="13" t="inlineStr">
        <is>
          <t>RELOJ C SANTOS BLACK</t>
        </is>
      </c>
      <c r="D81" s="13" t="inlineStr">
        <is>
          <t>RELOJ SIN CAJA MUJER 27mm</t>
        </is>
      </c>
      <c r="E81" s="13" t="inlineStr">
        <is>
          <t>ZOEY</t>
        </is>
      </c>
      <c r="F81" s="13" t="inlineStr">
        <is>
          <t>2026-05-15</t>
        </is>
      </c>
      <c r="G81" s="29" t="n">
        <v>927.66</v>
      </c>
      <c r="H81" s="29" t="n">
        <v>2534</v>
      </c>
      <c r="I81" s="30">
        <f>IF(G81=0,"",H81/G81)</f>
        <v/>
      </c>
      <c r="J81" s="29">
        <f>ROUND(G81*2.5,0)</f>
        <v/>
      </c>
      <c r="K81" s="29">
        <f>ROUND(G81*3.5,0)</f>
        <v/>
      </c>
      <c r="L81" s="29">
        <f>ROUND(G81*4,0)</f>
        <v/>
      </c>
      <c r="M81" s="13" t="inlineStr">
        <is>
          <t>ACTIVE</t>
        </is>
      </c>
      <c r="N81" s="13" t="n">
        <v>2</v>
      </c>
    </row>
    <row r="82">
      <c r="A82" s="28" t="inlineStr">
        <is>
          <t>PELIGRO (&lt;3.5)</t>
        </is>
      </c>
      <c r="B82" s="13" t="inlineStr">
        <is>
          <t>665bb4bf5d480</t>
        </is>
      </c>
      <c r="C82" s="13" t="inlineStr">
        <is>
          <t>ANILLO TREBOL GOLD BLACK</t>
        </is>
      </c>
      <c r="D82" s="13" t="inlineStr">
        <is>
          <t>7</t>
        </is>
      </c>
      <c r="E82" s="13" t="inlineStr">
        <is>
          <t>NANCY</t>
        </is>
      </c>
      <c r="F82" s="13" t="inlineStr">
        <is>
          <t>2026-03-01</t>
        </is>
      </c>
      <c r="G82" s="29" t="n">
        <v>141.45</v>
      </c>
      <c r="H82" s="29" t="n">
        <v>389</v>
      </c>
      <c r="I82" s="30">
        <f>IF(G82=0,"",H82/G82)</f>
        <v/>
      </c>
      <c r="J82" s="29">
        <f>ROUND(G82*2.5,0)</f>
        <v/>
      </c>
      <c r="K82" s="29">
        <f>ROUND(G82*3.5,0)</f>
        <v/>
      </c>
      <c r="L82" s="29">
        <f>ROUND(G82*4,0)</f>
        <v/>
      </c>
      <c r="M82" s="13" t="inlineStr">
        <is>
          <t>ACTIVE</t>
        </is>
      </c>
      <c r="N82" s="13" t="n">
        <v>2</v>
      </c>
    </row>
    <row r="83">
      <c r="A83" s="28" t="inlineStr">
        <is>
          <t>PELIGRO (&lt;3.5)</t>
        </is>
      </c>
      <c r="B83" s="13" t="inlineStr">
        <is>
          <t>2653028882316</t>
        </is>
      </c>
      <c r="C83" s="13" t="inlineStr">
        <is>
          <t>ANILLO TREBOL GOLD BLACK</t>
        </is>
      </c>
      <c r="D83" s="13" t="inlineStr">
        <is>
          <t>6</t>
        </is>
      </c>
      <c r="E83" s="13" t="inlineStr">
        <is>
          <t>NANCY</t>
        </is>
      </c>
      <c r="F83" s="13" t="inlineStr">
        <is>
          <t>2026-03-01</t>
        </is>
      </c>
      <c r="G83" s="29" t="n">
        <v>141.45</v>
      </c>
      <c r="H83" s="29" t="n">
        <v>389</v>
      </c>
      <c r="I83" s="30">
        <f>IF(G83=0,"",H83/G83)</f>
        <v/>
      </c>
      <c r="J83" s="29">
        <f>ROUND(G83*2.5,0)</f>
        <v/>
      </c>
      <c r="K83" s="29">
        <f>ROUND(G83*3.5,0)</f>
        <v/>
      </c>
      <c r="L83" s="29">
        <f>ROUND(G83*4,0)</f>
        <v/>
      </c>
      <c r="M83" s="13" t="inlineStr">
        <is>
          <t>ACTIVE</t>
        </is>
      </c>
      <c r="N83" s="13" t="n">
        <v>2</v>
      </c>
    </row>
    <row r="84">
      <c r="A84" s="28" t="inlineStr">
        <is>
          <t>PELIGRO (&lt;3.5)</t>
        </is>
      </c>
      <c r="B84" s="13" t="inlineStr">
        <is>
          <t>43728091372908</t>
        </is>
      </c>
      <c r="C84" s="13" t="inlineStr">
        <is>
          <t>PULSERA TRÉBOL ROSEGOLD RED VF</t>
        </is>
      </c>
      <c r="D84" s="13" t="inlineStr">
        <is>
          <t>18cm</t>
        </is>
      </c>
      <c r="E84" s="13" t="inlineStr">
        <is>
          <t>HAIFENG</t>
        </is>
      </c>
      <c r="F84" s="13" t="inlineStr">
        <is>
          <t>2025-09-01</t>
        </is>
      </c>
      <c r="G84" s="29" t="n">
        <v>467.62</v>
      </c>
      <c r="H84" s="29" t="n">
        <v>1286</v>
      </c>
      <c r="I84" s="30">
        <f>IF(G84=0,"",H84/G84)</f>
        <v/>
      </c>
      <c r="J84" s="29">
        <f>ROUND(G84*2.5,0)</f>
        <v/>
      </c>
      <c r="K84" s="29">
        <f>ROUND(G84*3.5,0)</f>
        <v/>
      </c>
      <c r="L84" s="29">
        <f>ROUND(G84*4,0)</f>
        <v/>
      </c>
      <c r="M84" s="13" t="inlineStr">
        <is>
          <t>ACTIVE</t>
        </is>
      </c>
      <c r="N84" s="13" t="n">
        <v>3</v>
      </c>
    </row>
    <row r="85">
      <c r="A85" s="28" t="inlineStr">
        <is>
          <t>PELIGRO (&lt;3.5)</t>
        </is>
      </c>
      <c r="B85" s="13" t="inlineStr">
        <is>
          <t>23663391024461</t>
        </is>
      </c>
      <c r="C85" s="13" t="inlineStr">
        <is>
          <t>COLLAR LOVE ROSEGOLD CON ZIRCONIA</t>
        </is>
      </c>
      <c r="D85" s="13" t="inlineStr">
        <is>
          <t>Default Title</t>
        </is>
      </c>
      <c r="E85" s="13" t="inlineStr">
        <is>
          <t>HAIFENG</t>
        </is>
      </c>
      <c r="F85" s="13" t="inlineStr">
        <is>
          <t>2026-05-06</t>
        </is>
      </c>
      <c r="G85" s="29" t="n">
        <v>106.09</v>
      </c>
      <c r="H85" s="29" t="n">
        <v>292</v>
      </c>
      <c r="I85" s="30">
        <f>IF(G85=0,"",H85/G85)</f>
        <v/>
      </c>
      <c r="J85" s="29">
        <f>ROUND(G85*2.5,0)</f>
        <v/>
      </c>
      <c r="K85" s="29">
        <f>ROUND(G85*3.5,0)</f>
        <v/>
      </c>
      <c r="L85" s="29">
        <f>ROUND(G85*4,0)</f>
        <v/>
      </c>
      <c r="M85" s="13" t="inlineStr">
        <is>
          <t>ACTIVE</t>
        </is>
      </c>
      <c r="N85" s="13" t="n">
        <v>5</v>
      </c>
    </row>
    <row r="86">
      <c r="A86" s="28" t="inlineStr">
        <is>
          <t>PELIGRO (&lt;3.5)</t>
        </is>
      </c>
      <c r="B86" s="13" t="inlineStr">
        <is>
          <t>12314361504205</t>
        </is>
      </c>
      <c r="C86" s="13" t="inlineStr">
        <is>
          <t>ANILLO F SILVER ZIRCONIAS</t>
        </is>
      </c>
      <c r="D86" s="13" t="inlineStr">
        <is>
          <t>8</t>
        </is>
      </c>
      <c r="E86" s="13" t="inlineStr">
        <is>
          <t>HAIFENG</t>
        </is>
      </c>
      <c r="F86" s="13" t="inlineStr">
        <is>
          <t>2026-06-16</t>
        </is>
      </c>
      <c r="G86" s="29" t="n">
        <v>147.1</v>
      </c>
      <c r="H86" s="29" t="n">
        <v>404</v>
      </c>
      <c r="I86" s="30">
        <f>IF(G86=0,"",H86/G86)</f>
        <v/>
      </c>
      <c r="J86" s="29">
        <f>ROUND(G86*2.5,0)</f>
        <v/>
      </c>
      <c r="K86" s="29">
        <f>ROUND(G86*3.5,0)</f>
        <v/>
      </c>
      <c r="L86" s="29">
        <f>ROUND(G86*4,0)</f>
        <v/>
      </c>
      <c r="M86" s="13" t="inlineStr">
        <is>
          <t>ACTIVE</t>
        </is>
      </c>
      <c r="N86" s="13" t="n">
        <v>1</v>
      </c>
    </row>
    <row r="87">
      <c r="A87" s="28" t="inlineStr">
        <is>
          <t>PELIGRO (&lt;3.5)</t>
        </is>
      </c>
      <c r="B87" s="13" t="inlineStr">
        <is>
          <t>71036878066828</t>
        </is>
      </c>
      <c r="C87" s="13" t="inlineStr">
        <is>
          <t>COLLAR GC INTERLOCKING</t>
        </is>
      </c>
      <c r="D87" s="13" t="inlineStr">
        <is>
          <t>59cm</t>
        </is>
      </c>
      <c r="E87" s="13" t="inlineStr">
        <is>
          <t>CYNTHIA</t>
        </is>
      </c>
      <c r="F87" s="13" t="inlineStr">
        <is>
          <t>2025-09-05</t>
        </is>
      </c>
      <c r="G87" s="29" t="n">
        <v>397.83</v>
      </c>
      <c r="H87" s="29" t="n">
        <v>1102</v>
      </c>
      <c r="I87" s="30">
        <f>IF(G87=0,"",H87/G87)</f>
        <v/>
      </c>
      <c r="J87" s="29">
        <f>ROUND(G87*2.5,0)</f>
        <v/>
      </c>
      <c r="K87" s="29">
        <f>ROUND(G87*3.5,0)</f>
        <v/>
      </c>
      <c r="L87" s="29">
        <f>ROUND(G87*4,0)</f>
        <v/>
      </c>
      <c r="M87" s="13" t="inlineStr">
        <is>
          <t>ACTIVE</t>
        </is>
      </c>
      <c r="N87" s="13" t="n">
        <v>1</v>
      </c>
    </row>
    <row r="88">
      <c r="A88" s="28" t="inlineStr">
        <is>
          <t>PELIGRO (&lt;3.5)</t>
        </is>
      </c>
      <c r="B88" s="13" t="inlineStr">
        <is>
          <t>15711171756909</t>
        </is>
      </c>
      <c r="C88" s="13" t="inlineStr">
        <is>
          <t>ANILLO DOBLE T SILVER</t>
        </is>
      </c>
      <c r="D88" s="13" t="inlineStr">
        <is>
          <t>7</t>
        </is>
      </c>
      <c r="E88" s="13" t="inlineStr">
        <is>
          <t>HAIFENG</t>
        </is>
      </c>
      <c r="F88" s="13" t="inlineStr">
        <is>
          <t>2026-02-10</t>
        </is>
      </c>
      <c r="G88" s="29" t="n">
        <v>105.34</v>
      </c>
      <c r="H88" s="29" t="n">
        <v>292</v>
      </c>
      <c r="I88" s="30">
        <f>IF(G88=0,"",H88/G88)</f>
        <v/>
      </c>
      <c r="J88" s="29">
        <f>ROUND(G88*2.5,0)</f>
        <v/>
      </c>
      <c r="K88" s="29">
        <f>ROUND(G88*3.5,0)</f>
        <v/>
      </c>
      <c r="L88" s="29">
        <f>ROUND(G88*4,0)</f>
        <v/>
      </c>
      <c r="M88" s="13" t="inlineStr">
        <is>
          <t>ACTIVE</t>
        </is>
      </c>
      <c r="N88" s="13" t="n">
        <v>2</v>
      </c>
    </row>
    <row r="89">
      <c r="A89" s="28" t="inlineStr">
        <is>
          <t>PELIGRO (&lt;3.5)</t>
        </is>
      </c>
      <c r="B89" s="13" t="inlineStr">
        <is>
          <t>41889241805933</t>
        </is>
      </c>
      <c r="C89" s="13" t="inlineStr">
        <is>
          <t>ARRACADAS BV ZIRCONIAS ROSEGOLD</t>
        </is>
      </c>
      <c r="D89" s="13" t="inlineStr">
        <is>
          <t>Default Title</t>
        </is>
      </c>
      <c r="E89" s="13" t="inlineStr">
        <is>
          <t>CYNTHIA</t>
        </is>
      </c>
      <c r="F89" s="13" t="inlineStr">
        <is>
          <t>2025-10-25</t>
        </is>
      </c>
      <c r="G89" s="29" t="n">
        <v>366.83</v>
      </c>
      <c r="H89" s="29" t="n">
        <v>1019.33</v>
      </c>
      <c r="I89" s="30">
        <f>IF(G89=0,"",H89/G89)</f>
        <v/>
      </c>
      <c r="J89" s="29">
        <f>ROUND(G89*2.5,0)</f>
        <v/>
      </c>
      <c r="K89" s="29">
        <f>ROUND(G89*3.5,0)</f>
        <v/>
      </c>
      <c r="L89" s="29">
        <f>ROUND(G89*4,0)</f>
        <v/>
      </c>
      <c r="M89" s="13" t="inlineStr">
        <is>
          <t>ACTIVE</t>
        </is>
      </c>
      <c r="N89" s="13" t="n">
        <v>1</v>
      </c>
    </row>
    <row r="90">
      <c r="A90" s="28" t="inlineStr">
        <is>
          <t>PELIGRO (&lt;3.5)</t>
        </is>
      </c>
      <c r="B90" s="13" t="inlineStr">
        <is>
          <t>16572648568332</t>
        </is>
      </c>
      <c r="C90" s="13" t="inlineStr">
        <is>
          <t>TRAJE DE BAÑO PR BLACK</t>
        </is>
      </c>
      <c r="D90" s="13" t="inlineStr">
        <is>
          <t>L</t>
        </is>
      </c>
      <c r="E90" s="13" t="inlineStr">
        <is>
          <t>CYNTHIA</t>
        </is>
      </c>
      <c r="F90" s="13" t="inlineStr">
        <is>
          <t>2026-04-27</t>
        </is>
      </c>
      <c r="G90" s="29" t="n">
        <v>280.26</v>
      </c>
      <c r="H90" s="29" t="n">
        <v>779</v>
      </c>
      <c r="I90" s="30">
        <f>IF(G90=0,"",H90/G90)</f>
        <v/>
      </c>
      <c r="J90" s="29">
        <f>ROUND(G90*2.5,0)</f>
        <v/>
      </c>
      <c r="K90" s="29">
        <f>ROUND(G90*3.5,0)</f>
        <v/>
      </c>
      <c r="L90" s="29">
        <f>ROUND(G90*4,0)</f>
        <v/>
      </c>
      <c r="M90" s="13" t="inlineStr">
        <is>
          <t>ACTIVE</t>
        </is>
      </c>
      <c r="N90" s="13" t="n">
        <v>6</v>
      </c>
    </row>
    <row r="91">
      <c r="A91" s="28" t="inlineStr">
        <is>
          <t>PELIGRO (&lt;3.5)</t>
        </is>
      </c>
      <c r="B91" s="13" t="inlineStr">
        <is>
          <t>67201535429901</t>
        </is>
      </c>
      <c r="C91" s="13" t="inlineStr">
        <is>
          <t>ANILLO PERLEE SIGNATURE SILVER VF</t>
        </is>
      </c>
      <c r="D91" s="13" t="inlineStr">
        <is>
          <t>7</t>
        </is>
      </c>
      <c r="E91" s="13" t="inlineStr">
        <is>
          <t>HAIFENG</t>
        </is>
      </c>
      <c r="F91" s="13" t="inlineStr">
        <is>
          <t>2025-09-25</t>
        </is>
      </c>
      <c r="G91" s="29" t="n">
        <v>147.47</v>
      </c>
      <c r="H91" s="29" t="n">
        <v>412</v>
      </c>
      <c r="I91" s="30">
        <f>IF(G91=0,"",H91/G91)</f>
        <v/>
      </c>
      <c r="J91" s="29">
        <f>ROUND(G91*2.5,0)</f>
        <v/>
      </c>
      <c r="K91" s="29">
        <f>ROUND(G91*3.5,0)</f>
        <v/>
      </c>
      <c r="L91" s="29">
        <f>ROUND(G91*4,0)</f>
        <v/>
      </c>
      <c r="M91" s="13" t="inlineStr">
        <is>
          <t>ACTIVE</t>
        </is>
      </c>
      <c r="N91" s="13" t="n">
        <v>3</v>
      </c>
    </row>
    <row r="92">
      <c r="A92" s="28" t="inlineStr">
        <is>
          <t>PELIGRO (&lt;3.5)</t>
        </is>
      </c>
      <c r="B92" s="13" t="inlineStr">
        <is>
          <t>68431126327692</t>
        </is>
      </c>
      <c r="C92" s="13" t="inlineStr">
        <is>
          <t>ARETES PERLEÉ GOLD</t>
        </is>
      </c>
      <c r="D92" s="13" t="inlineStr">
        <is>
          <t>Default Title</t>
        </is>
      </c>
      <c r="E92" s="13" t="inlineStr">
        <is>
          <t>NANCY</t>
        </is>
      </c>
      <c r="F92" s="13" t="inlineStr">
        <is>
          <t>2026-05-08</t>
        </is>
      </c>
      <c r="G92" s="29" t="n">
        <v>236.34</v>
      </c>
      <c r="H92" s="29" t="n">
        <v>662</v>
      </c>
      <c r="I92" s="30">
        <f>IF(G92=0,"",H92/G92)</f>
        <v/>
      </c>
      <c r="J92" s="29">
        <f>ROUND(G92*2.5,0)</f>
        <v/>
      </c>
      <c r="K92" s="29">
        <f>ROUND(G92*3.5,0)</f>
        <v/>
      </c>
      <c r="L92" s="29">
        <f>ROUND(G92*4,0)</f>
        <v/>
      </c>
      <c r="M92" s="13" t="inlineStr">
        <is>
          <t>ACTIVE</t>
        </is>
      </c>
      <c r="N92" s="13" t="n">
        <v>3</v>
      </c>
    </row>
    <row r="93">
      <c r="A93" s="28" t="inlineStr">
        <is>
          <t>PELIGRO (&lt;3.5)</t>
        </is>
      </c>
      <c r="B93" s="13" t="inlineStr">
        <is>
          <t>42981951144076</t>
        </is>
      </c>
      <c r="C93" s="13" t="inlineStr">
        <is>
          <t>ANILLO TB GOLD</t>
        </is>
      </c>
      <c r="D93" s="13" t="inlineStr">
        <is>
          <t>8</t>
        </is>
      </c>
      <c r="E93" s="13" t="inlineStr">
        <is>
          <t>NANCY</t>
        </is>
      </c>
      <c r="F93" s="13" t="inlineStr">
        <is>
          <t>2025-09-06</t>
        </is>
      </c>
      <c r="G93" s="29" t="n">
        <v>69.62</v>
      </c>
      <c r="H93" s="29" t="n">
        <v>200</v>
      </c>
      <c r="I93" s="30">
        <f>IF(G93=0,"",H93/G93)</f>
        <v/>
      </c>
      <c r="J93" s="29">
        <f>ROUND(G93*2.5,0)</f>
        <v/>
      </c>
      <c r="K93" s="29">
        <f>ROUND(G93*3.5,0)</f>
        <v/>
      </c>
      <c r="L93" s="29">
        <f>ROUND(G93*4,0)</f>
        <v/>
      </c>
      <c r="M93" s="13" t="inlineStr">
        <is>
          <t>ACTIVE</t>
        </is>
      </c>
      <c r="N93" s="13" t="n">
        <v>1</v>
      </c>
    </row>
    <row r="94">
      <c r="A94" s="28" t="inlineStr">
        <is>
          <t>PELIGRO (&lt;3.5)</t>
        </is>
      </c>
      <c r="B94" s="13" t="inlineStr">
        <is>
          <t>63e0b1e70453e</t>
        </is>
      </c>
      <c r="C94" s="13" t="inlineStr">
        <is>
          <t>ANILLO BV ROSE GOLD</t>
        </is>
      </c>
      <c r="D94" s="13" t="inlineStr">
        <is>
          <t>10</t>
        </is>
      </c>
      <c r="E94" s="13" t="inlineStr">
        <is>
          <t>COCOMA</t>
        </is>
      </c>
      <c r="F94" s="13" t="inlineStr">
        <is>
          <t>2026-01-20</t>
        </is>
      </c>
      <c r="G94" s="29" t="n">
        <v>103.91</v>
      </c>
      <c r="H94" s="29" t="n">
        <v>300</v>
      </c>
      <c r="I94" s="30">
        <f>IF(G94=0,"",H94/G94)</f>
        <v/>
      </c>
      <c r="J94" s="29">
        <f>ROUND(G94*2.5,0)</f>
        <v/>
      </c>
      <c r="K94" s="29">
        <f>ROUND(G94*3.5,0)</f>
        <v/>
      </c>
      <c r="L94" s="29">
        <f>ROUND(G94*4,0)</f>
        <v/>
      </c>
      <c r="M94" s="13" t="inlineStr">
        <is>
          <t>ACTIVE</t>
        </is>
      </c>
      <c r="N94" s="13" t="n">
        <v>0</v>
      </c>
    </row>
    <row r="95">
      <c r="A95" s="28" t="inlineStr">
        <is>
          <t>PELIGRO (&lt;3.5)</t>
        </is>
      </c>
      <c r="B95" s="13" t="inlineStr">
        <is>
          <t>40154171506797</t>
        </is>
      </c>
      <c r="C95" s="13" t="inlineStr">
        <is>
          <t>BRAZALETE OPEN HEART GOLD</t>
        </is>
      </c>
      <c r="D95" s="13" t="inlineStr">
        <is>
          <t>Default Title</t>
        </is>
      </c>
      <c r="E95" s="13" t="inlineStr">
        <is>
          <t>HAIFENG</t>
        </is>
      </c>
      <c r="F95" s="13" t="inlineStr">
        <is>
          <t>2026-02-05</t>
        </is>
      </c>
      <c r="G95" s="29" t="n">
        <v>213.54</v>
      </c>
      <c r="H95" s="29" t="n">
        <v>620</v>
      </c>
      <c r="I95" s="30">
        <f>IF(G95=0,"",H95/G95)</f>
        <v/>
      </c>
      <c r="J95" s="29">
        <f>ROUND(G95*2.5,0)</f>
        <v/>
      </c>
      <c r="K95" s="29">
        <f>ROUND(G95*3.5,0)</f>
        <v/>
      </c>
      <c r="L95" s="29">
        <f>ROUND(G95*4,0)</f>
        <v/>
      </c>
      <c r="M95" s="13" t="inlineStr">
        <is>
          <t>ACTIVE</t>
        </is>
      </c>
      <c r="N95" s="13" t="n">
        <v>2</v>
      </c>
    </row>
    <row r="96">
      <c r="A96" s="28" t="inlineStr">
        <is>
          <t>PELIGRO (&lt;3.5)</t>
        </is>
      </c>
      <c r="B96" s="13" t="inlineStr">
        <is>
          <t>22974392394765</t>
        </is>
      </c>
      <c r="C96" s="13" t="inlineStr">
        <is>
          <t>BRAZALETE GG HORSEBIT GOLD</t>
        </is>
      </c>
      <c r="D96" s="13" t="inlineStr">
        <is>
          <t>Default Title</t>
        </is>
      </c>
      <c r="E96" s="13" t="inlineStr">
        <is>
          <t>NANCY</t>
        </is>
      </c>
      <c r="F96" s="13" t="inlineStr">
        <is>
          <t>2026-04-01</t>
        </is>
      </c>
      <c r="G96" s="29" t="n">
        <v>133.83</v>
      </c>
      <c r="H96" s="29" t="n">
        <v>389</v>
      </c>
      <c r="I96" s="30">
        <f>IF(G96=0,"",H96/G96)</f>
        <v/>
      </c>
      <c r="J96" s="29">
        <f>ROUND(G96*2.5,0)</f>
        <v/>
      </c>
      <c r="K96" s="29">
        <f>ROUND(G96*3.5,0)</f>
        <v/>
      </c>
      <c r="L96" s="29">
        <f>ROUND(G96*4,0)</f>
        <v/>
      </c>
      <c r="M96" s="13" t="inlineStr">
        <is>
          <t>ACTIVE</t>
        </is>
      </c>
      <c r="N96" s="13" t="n">
        <v>2</v>
      </c>
    </row>
    <row r="97">
      <c r="A97" s="28" t="inlineStr">
        <is>
          <t>PELIGRO (&lt;3.5)</t>
        </is>
      </c>
      <c r="B97" s="13" t="inlineStr">
        <is>
          <t>16117871722093</t>
        </is>
      </c>
      <c r="C97" s="13" t="inlineStr">
        <is>
          <t>PULSERA BV GOLD CON ZIRCONIA</t>
        </is>
      </c>
      <c r="D97" s="13" t="inlineStr">
        <is>
          <t>Default Title</t>
        </is>
      </c>
      <c r="E97" s="13" t="inlineStr">
        <is>
          <t>HAIFENG</t>
        </is>
      </c>
      <c r="F97" s="13" t="inlineStr">
        <is>
          <t>2025-09-25</t>
        </is>
      </c>
      <c r="G97" s="29" t="n">
        <v>147.68</v>
      </c>
      <c r="H97" s="29" t="n">
        <v>430</v>
      </c>
      <c r="I97" s="30">
        <f>IF(G97=0,"",H97/G97)</f>
        <v/>
      </c>
      <c r="J97" s="29">
        <f>ROUND(G97*2.5,0)</f>
        <v/>
      </c>
      <c r="K97" s="29">
        <f>ROUND(G97*3.5,0)</f>
        <v/>
      </c>
      <c r="L97" s="29">
        <f>ROUND(G97*4,0)</f>
        <v/>
      </c>
      <c r="M97" s="13" t="inlineStr">
        <is>
          <t>ACTIVE</t>
        </is>
      </c>
      <c r="N97" s="13" t="n">
        <v>1</v>
      </c>
    </row>
    <row r="98">
      <c r="A98" s="28" t="inlineStr">
        <is>
          <t>PELIGRO (&lt;3.5)</t>
        </is>
      </c>
      <c r="B98" s="13" t="inlineStr">
        <is>
          <t>93378841495885</t>
        </is>
      </c>
      <c r="C98" s="13" t="inlineStr">
        <is>
          <t>BALLERINAS MM BLACK CON ZIRCONIAS</t>
        </is>
      </c>
      <c r="D98" s="13" t="inlineStr">
        <is>
          <t>24CM</t>
        </is>
      </c>
      <c r="E98" s="13" t="inlineStr">
        <is>
          <t>ZOEY</t>
        </is>
      </c>
      <c r="F98" s="13" t="inlineStr">
        <is>
          <t>2025-10-25</t>
        </is>
      </c>
      <c r="G98" s="29" t="n">
        <v>1785.61</v>
      </c>
      <c r="H98" s="29" t="n">
        <v>5240</v>
      </c>
      <c r="I98" s="30">
        <f>IF(G98=0,"",H98/G98)</f>
        <v/>
      </c>
      <c r="J98" s="29">
        <f>ROUND(G98*2.5,0)</f>
        <v/>
      </c>
      <c r="K98" s="29">
        <f>ROUND(G98*3.5,0)</f>
        <v/>
      </c>
      <c r="L98" s="29">
        <f>ROUND(G98*4,0)</f>
        <v/>
      </c>
      <c r="M98" s="13" t="inlineStr">
        <is>
          <t>ACTIVE</t>
        </is>
      </c>
      <c r="N98" s="13" t="n">
        <v>1</v>
      </c>
    </row>
    <row r="99">
      <c r="A99" s="28" t="inlineStr">
        <is>
          <t>PELIGRO (&lt;3.5)</t>
        </is>
      </c>
      <c r="B99" s="13" t="inlineStr">
        <is>
          <t>85887252725133</t>
        </is>
      </c>
      <c r="C99" s="13" t="inlineStr">
        <is>
          <t>CONJUNTO WHITE CASHMERE</t>
        </is>
      </c>
      <c r="D99" s="13" t="inlineStr">
        <is>
          <t>M</t>
        </is>
      </c>
      <c r="E99" s="13" t="inlineStr">
        <is>
          <t>MOLLY</t>
        </is>
      </c>
      <c r="F99" s="13" t="inlineStr">
        <is>
          <t>2025-10-10</t>
        </is>
      </c>
      <c r="G99" s="29" t="n">
        <v>482.87</v>
      </c>
      <c r="H99" s="29" t="n">
        <v>1416.28</v>
      </c>
      <c r="I99" s="30">
        <f>IF(G99=0,"",H99/G99)</f>
        <v/>
      </c>
      <c r="J99" s="29">
        <f>ROUND(G99*2.5,0)</f>
        <v/>
      </c>
      <c r="K99" s="29">
        <f>ROUND(G99*3.5,0)</f>
        <v/>
      </c>
      <c r="L99" s="29">
        <f>ROUND(G99*4,0)</f>
        <v/>
      </c>
      <c r="M99" s="13" t="inlineStr">
        <is>
          <t>ACTIVE</t>
        </is>
      </c>
      <c r="N99" s="13" t="n">
        <v>0</v>
      </c>
    </row>
    <row r="100">
      <c r="A100" s="28" t="inlineStr">
        <is>
          <t>PELIGRO (&lt;3.5)</t>
        </is>
      </c>
      <c r="B100" s="13" t="inlineStr">
        <is>
          <t>85887252613805</t>
        </is>
      </c>
      <c r="C100" s="13" t="inlineStr">
        <is>
          <t>BLAZER BLACK FEATHERS JW</t>
        </is>
      </c>
      <c r="D100" s="13" t="inlineStr">
        <is>
          <t>M</t>
        </is>
      </c>
      <c r="E100" s="13" t="inlineStr">
        <is>
          <t>MOLLY</t>
        </is>
      </c>
      <c r="F100" s="13" t="inlineStr">
        <is>
          <t>2025-10-10</t>
        </is>
      </c>
      <c r="G100" s="29" t="n">
        <v>571.45</v>
      </c>
      <c r="H100" s="29" t="n">
        <v>1676.07</v>
      </c>
      <c r="I100" s="30">
        <f>IF(G100=0,"",H100/G100)</f>
        <v/>
      </c>
      <c r="J100" s="29">
        <f>ROUND(G100*2.5,0)</f>
        <v/>
      </c>
      <c r="K100" s="29">
        <f>ROUND(G100*3.5,0)</f>
        <v/>
      </c>
      <c r="L100" s="29">
        <f>ROUND(G100*4,0)</f>
        <v/>
      </c>
      <c r="M100" s="13" t="inlineStr">
        <is>
          <t>ACTIVE</t>
        </is>
      </c>
      <c r="N100" s="13" t="n">
        <v>0</v>
      </c>
    </row>
    <row r="101">
      <c r="A101" s="28" t="inlineStr">
        <is>
          <t>PELIGRO (&lt;3.5)</t>
        </is>
      </c>
      <c r="B101" s="13" t="inlineStr">
        <is>
          <t>85887252596845</t>
        </is>
      </c>
      <c r="C101" s="13" t="inlineStr">
        <is>
          <t>SUETER BROWN CASHMERE</t>
        </is>
      </c>
      <c r="D101" s="13" t="inlineStr">
        <is>
          <t>S</t>
        </is>
      </c>
      <c r="E101" s="13" t="inlineStr">
        <is>
          <t>MOLLY</t>
        </is>
      </c>
      <c r="F101" s="13" t="inlineStr">
        <is>
          <t>2025-10-10</t>
        </is>
      </c>
      <c r="G101" s="29" t="n">
        <v>457.16</v>
      </c>
      <c r="H101" s="29" t="n">
        <v>1340.85</v>
      </c>
      <c r="I101" s="30">
        <f>IF(G101=0,"",H101/G101)</f>
        <v/>
      </c>
      <c r="J101" s="29">
        <f>ROUND(G101*2.5,0)</f>
        <v/>
      </c>
      <c r="K101" s="29">
        <f>ROUND(G101*3.5,0)</f>
        <v/>
      </c>
      <c r="L101" s="29">
        <f>ROUND(G101*4,0)</f>
        <v/>
      </c>
      <c r="M101" s="13" t="inlineStr">
        <is>
          <t>ACTIVE</t>
        </is>
      </c>
      <c r="N101" s="13" t="n">
        <v>0</v>
      </c>
    </row>
    <row r="102">
      <c r="A102" s="28" t="inlineStr">
        <is>
          <t>PELIGRO (&lt;3.5)</t>
        </is>
      </c>
      <c r="B102" s="13" t="inlineStr">
        <is>
          <t>85887251053901</t>
        </is>
      </c>
      <c r="C102" s="13" t="inlineStr">
        <is>
          <t>ABRIGO CAQUI JW</t>
        </is>
      </c>
      <c r="D102" s="13" t="inlineStr">
        <is>
          <t>M</t>
        </is>
      </c>
      <c r="E102" s="13" t="inlineStr">
        <is>
          <t>MOLLY</t>
        </is>
      </c>
      <c r="F102" s="13" t="inlineStr">
        <is>
          <t>2025-10-10</t>
        </is>
      </c>
      <c r="G102" s="29" t="n">
        <v>225.72</v>
      </c>
      <c r="H102" s="29" t="n">
        <v>662.05</v>
      </c>
      <c r="I102" s="30">
        <f>IF(G102=0,"",H102/G102)</f>
        <v/>
      </c>
      <c r="J102" s="29">
        <f>ROUND(G102*2.5,0)</f>
        <v/>
      </c>
      <c r="K102" s="29">
        <f>ROUND(G102*3.5,0)</f>
        <v/>
      </c>
      <c r="L102" s="29">
        <f>ROUND(G102*4,0)</f>
        <v/>
      </c>
      <c r="M102" s="13" t="inlineStr">
        <is>
          <t>ACTIVE</t>
        </is>
      </c>
      <c r="N102" s="13" t="n">
        <v>0</v>
      </c>
    </row>
    <row r="103">
      <c r="A103" s="28" t="inlineStr">
        <is>
          <t>PELIGRO (&lt;3.5)</t>
        </is>
      </c>
      <c r="B103" s="13" t="inlineStr">
        <is>
          <t>85887252345421</t>
        </is>
      </c>
      <c r="C103" s="13" t="inlineStr">
        <is>
          <t>SUETER ZIPPER WHITE JW</t>
        </is>
      </c>
      <c r="D103" s="13" t="inlineStr">
        <is>
          <t>M</t>
        </is>
      </c>
      <c r="E103" s="13" t="inlineStr">
        <is>
          <t>MOLLY</t>
        </is>
      </c>
      <c r="F103" s="13" t="inlineStr">
        <is>
          <t>2025-10-10</t>
        </is>
      </c>
      <c r="G103" s="29" t="n">
        <v>251.44</v>
      </c>
      <c r="H103" s="29" t="n">
        <v>737.47</v>
      </c>
      <c r="I103" s="30">
        <f>IF(G103=0,"",H103/G103)</f>
        <v/>
      </c>
      <c r="J103" s="29">
        <f>ROUND(G103*2.5,0)</f>
        <v/>
      </c>
      <c r="K103" s="29">
        <f>ROUND(G103*3.5,0)</f>
        <v/>
      </c>
      <c r="L103" s="29">
        <f>ROUND(G103*4,0)</f>
        <v/>
      </c>
      <c r="M103" s="13" t="inlineStr">
        <is>
          <t>ACTIVE</t>
        </is>
      </c>
      <c r="N103" s="13" t="n">
        <v>0</v>
      </c>
    </row>
    <row r="104">
      <c r="A104" s="28" t="inlineStr">
        <is>
          <t>PELIGRO (&lt;3.5)</t>
        </is>
      </c>
      <c r="B104" s="13" t="inlineStr">
        <is>
          <t>85887252207565</t>
        </is>
      </c>
      <c r="C104" s="13" t="inlineStr">
        <is>
          <t>SUETER GREY PEARL JW</t>
        </is>
      </c>
      <c r="D104" s="13" t="inlineStr">
        <is>
          <t>M</t>
        </is>
      </c>
      <c r="E104" s="13" t="inlineStr">
        <is>
          <t>MOLLY</t>
        </is>
      </c>
      <c r="F104" s="13" t="inlineStr">
        <is>
          <t>2025-10-10</t>
        </is>
      </c>
      <c r="G104" s="29" t="n">
        <v>457.16</v>
      </c>
      <c r="H104" s="29" t="n">
        <v>1340.85</v>
      </c>
      <c r="I104" s="30">
        <f>IF(G104=0,"",H104/G104)</f>
        <v/>
      </c>
      <c r="J104" s="29">
        <f>ROUND(G104*2.5,0)</f>
        <v/>
      </c>
      <c r="K104" s="29">
        <f>ROUND(G104*3.5,0)</f>
        <v/>
      </c>
      <c r="L104" s="29">
        <f>ROUND(G104*4,0)</f>
        <v/>
      </c>
      <c r="M104" s="13" t="inlineStr">
        <is>
          <t>ACTIVE</t>
        </is>
      </c>
      <c r="N104" s="13" t="n">
        <v>2</v>
      </c>
    </row>
    <row r="105">
      <c r="A105" s="28" t="inlineStr">
        <is>
          <t>PELIGRO (&lt;3.5)</t>
        </is>
      </c>
      <c r="B105" s="13" t="inlineStr">
        <is>
          <t>85887251964013</t>
        </is>
      </c>
      <c r="C105" s="13" t="inlineStr">
        <is>
          <t>CAMISETA WHITE JW</t>
        </is>
      </c>
      <c r="D105" s="13" t="inlineStr">
        <is>
          <t>M</t>
        </is>
      </c>
      <c r="E105" s="13" t="inlineStr">
        <is>
          <t>MOLLY</t>
        </is>
      </c>
      <c r="F105" s="13" t="inlineStr">
        <is>
          <t>2025-10-10</t>
        </is>
      </c>
      <c r="G105" s="29" t="n">
        <v>405.73</v>
      </c>
      <c r="H105" s="29" t="n">
        <v>1190.01</v>
      </c>
      <c r="I105" s="30">
        <f>IF(G105=0,"",H105/G105)</f>
        <v/>
      </c>
      <c r="J105" s="29">
        <f>ROUND(G105*2.5,0)</f>
        <v/>
      </c>
      <c r="K105" s="29">
        <f>ROUND(G105*3.5,0)</f>
        <v/>
      </c>
      <c r="L105" s="29">
        <f>ROUND(G105*4,0)</f>
        <v/>
      </c>
      <c r="M105" s="13" t="inlineStr">
        <is>
          <t>ACTIVE</t>
        </is>
      </c>
      <c r="N105" s="13" t="n">
        <v>1</v>
      </c>
    </row>
    <row r="106">
      <c r="A106" s="28" t="inlineStr">
        <is>
          <t>PELIGRO (&lt;3.5)</t>
        </is>
      </c>
      <c r="B106" s="13" t="inlineStr">
        <is>
          <t>85887251787565</t>
        </is>
      </c>
      <c r="C106" s="13" t="inlineStr">
        <is>
          <t>CAMISETA GREEN JW</t>
        </is>
      </c>
      <c r="D106" s="13" t="inlineStr">
        <is>
          <t>M</t>
        </is>
      </c>
      <c r="E106" s="13" t="inlineStr">
        <is>
          <t>MOLLY</t>
        </is>
      </c>
      <c r="F106" s="13" t="inlineStr">
        <is>
          <t>2025-10-10</t>
        </is>
      </c>
      <c r="G106" s="29" t="n">
        <v>405.73</v>
      </c>
      <c r="H106" s="29" t="n">
        <v>1190.01</v>
      </c>
      <c r="I106" s="30">
        <f>IF(G106=0,"",H106/G106)</f>
        <v/>
      </c>
      <c r="J106" s="29">
        <f>ROUND(G106*2.5,0)</f>
        <v/>
      </c>
      <c r="K106" s="29">
        <f>ROUND(G106*3.5,0)</f>
        <v/>
      </c>
      <c r="L106" s="29">
        <f>ROUND(G106*4,0)</f>
        <v/>
      </c>
      <c r="M106" s="13" t="inlineStr">
        <is>
          <t>ACTIVE</t>
        </is>
      </c>
      <c r="N106" s="13" t="n">
        <v>2</v>
      </c>
    </row>
    <row r="107">
      <c r="A107" s="28" t="inlineStr">
        <is>
          <t>PELIGRO (&lt;3.5)</t>
        </is>
      </c>
      <c r="B107" s="13" t="inlineStr">
        <is>
          <t>85887251610157</t>
        </is>
      </c>
      <c r="C107" s="13" t="inlineStr">
        <is>
          <t>SUETER CLASSIC GREY CASHMERE</t>
        </is>
      </c>
      <c r="D107" s="13" t="inlineStr">
        <is>
          <t>M</t>
        </is>
      </c>
      <c r="E107" s="13" t="inlineStr">
        <is>
          <t>MOLLY</t>
        </is>
      </c>
      <c r="F107" s="13" t="inlineStr">
        <is>
          <t>2025-10-10</t>
        </is>
      </c>
      <c r="G107" s="29" t="n">
        <v>514.3</v>
      </c>
      <c r="H107" s="29" t="n">
        <v>1508.46</v>
      </c>
      <c r="I107" s="30">
        <f>IF(G107=0,"",H107/G107)</f>
        <v/>
      </c>
      <c r="J107" s="29">
        <f>ROUND(G107*2.5,0)</f>
        <v/>
      </c>
      <c r="K107" s="29">
        <f>ROUND(G107*3.5,0)</f>
        <v/>
      </c>
      <c r="L107" s="29">
        <f>ROUND(G107*4,0)</f>
        <v/>
      </c>
      <c r="M107" s="13" t="inlineStr">
        <is>
          <t>ACTIVE</t>
        </is>
      </c>
      <c r="N107" s="13" t="n">
        <v>0</v>
      </c>
    </row>
    <row r="108">
      <c r="A108" s="28" t="inlineStr">
        <is>
          <t>PELIGRO (&lt;3.5)</t>
        </is>
      </c>
      <c r="B108" s="13" t="inlineStr">
        <is>
          <t>85887251539533</t>
        </is>
      </c>
      <c r="C108" s="13" t="inlineStr">
        <is>
          <t>SUETER CLASSIC CAQUI CASHMERE</t>
        </is>
      </c>
      <c r="D108" s="13" t="inlineStr">
        <is>
          <t>M</t>
        </is>
      </c>
      <c r="E108" s="13" t="inlineStr">
        <is>
          <t>MOLLY</t>
        </is>
      </c>
      <c r="F108" s="13" t="inlineStr">
        <is>
          <t>2025-10-10</t>
        </is>
      </c>
      <c r="G108" s="29" t="n">
        <v>514.3</v>
      </c>
      <c r="H108" s="29" t="n">
        <v>1508.46</v>
      </c>
      <c r="I108" s="30">
        <f>IF(G108=0,"",H108/G108)</f>
        <v/>
      </c>
      <c r="J108" s="29">
        <f>ROUND(G108*2.5,0)</f>
        <v/>
      </c>
      <c r="K108" s="29">
        <f>ROUND(G108*3.5,0)</f>
        <v/>
      </c>
      <c r="L108" s="29">
        <f>ROUND(G108*4,0)</f>
        <v/>
      </c>
      <c r="M108" s="13" t="inlineStr">
        <is>
          <t>ACTIVE</t>
        </is>
      </c>
      <c r="N108" s="13" t="n">
        <v>0</v>
      </c>
    </row>
    <row r="109">
      <c r="A109" s="28" t="inlineStr">
        <is>
          <t>PELIGRO (&lt;3.5)</t>
        </is>
      </c>
      <c r="B109" s="13" t="inlineStr">
        <is>
          <t>85887251403373</t>
        </is>
      </c>
      <c r="C109" s="13" t="inlineStr">
        <is>
          <t>SUETER CLASSIC BLACK CASHMERE</t>
        </is>
      </c>
      <c r="D109" s="13" t="inlineStr">
        <is>
          <t>M</t>
        </is>
      </c>
      <c r="E109" s="13" t="inlineStr">
        <is>
          <t>MOLLY</t>
        </is>
      </c>
      <c r="F109" s="13" t="inlineStr">
        <is>
          <t>2025-10-10</t>
        </is>
      </c>
      <c r="G109" s="29" t="n">
        <v>514.3</v>
      </c>
      <c r="H109" s="29" t="n">
        <v>1508.46</v>
      </c>
      <c r="I109" s="30">
        <f>IF(G109=0,"",H109/G109)</f>
        <v/>
      </c>
      <c r="J109" s="29">
        <f>ROUND(G109*2.5,0)</f>
        <v/>
      </c>
      <c r="K109" s="29">
        <f>ROUND(G109*3.5,0)</f>
        <v/>
      </c>
      <c r="L109" s="29">
        <f>ROUND(G109*4,0)</f>
        <v/>
      </c>
      <c r="M109" s="13" t="inlineStr">
        <is>
          <t>ACTIVE</t>
        </is>
      </c>
      <c r="N109" s="13" t="n">
        <v>2</v>
      </c>
    </row>
    <row r="110">
      <c r="A110" s="28" t="inlineStr">
        <is>
          <t>PELIGRO (&lt;3.5)</t>
        </is>
      </c>
      <c r="B110" s="13" t="inlineStr">
        <is>
          <t>2653020127500</t>
        </is>
      </c>
      <c r="C110" s="13" t="inlineStr">
        <is>
          <t>ANILLO TREBOL GOLD BLACK</t>
        </is>
      </c>
      <c r="D110" s="13" t="inlineStr">
        <is>
          <t>8</t>
        </is>
      </c>
      <c r="E110" s="13" t="inlineStr">
        <is>
          <t>NANCY</t>
        </is>
      </c>
      <c r="F110" s="13" t="inlineStr">
        <is>
          <t>2026-05-08</t>
        </is>
      </c>
      <c r="G110" s="29" t="n">
        <v>132.25</v>
      </c>
      <c r="H110" s="29" t="n">
        <v>389</v>
      </c>
      <c r="I110" s="30">
        <f>IF(G110=0,"",H110/G110)</f>
        <v/>
      </c>
      <c r="J110" s="29">
        <f>ROUND(G110*2.5,0)</f>
        <v/>
      </c>
      <c r="K110" s="29">
        <f>ROUND(G110*3.5,0)</f>
        <v/>
      </c>
      <c r="L110" s="29">
        <f>ROUND(G110*4,0)</f>
        <v/>
      </c>
      <c r="M110" s="13" t="inlineStr">
        <is>
          <t>ACTIVE</t>
        </is>
      </c>
      <c r="N110" s="13" t="n">
        <v>3</v>
      </c>
    </row>
    <row r="111">
      <c r="A111" s="28" t="inlineStr">
        <is>
          <t>PELIGRO (&lt;3.5)</t>
        </is>
      </c>
      <c r="B111" s="13" t="inlineStr">
        <is>
          <t>63e0b1e36f7c6</t>
        </is>
      </c>
      <c r="C111" s="13" t="inlineStr">
        <is>
          <t>ANILLO BV ROSE GOLD</t>
        </is>
      </c>
      <c r="D111" s="13" t="inlineStr">
        <is>
          <t>6</t>
        </is>
      </c>
      <c r="E111" s="13" t="inlineStr">
        <is>
          <t>COCOMA</t>
        </is>
      </c>
      <c r="F111" s="13" t="inlineStr">
        <is>
          <t>2026-01-20</t>
        </is>
      </c>
      <c r="G111" s="29" t="n">
        <v>103.91</v>
      </c>
      <c r="H111" s="29" t="n">
        <v>310</v>
      </c>
      <c r="I111" s="30">
        <f>IF(G111=0,"",H111/G111)</f>
        <v/>
      </c>
      <c r="J111" s="29">
        <f>ROUND(G111*2.5,0)</f>
        <v/>
      </c>
      <c r="K111" s="29">
        <f>ROUND(G111*3.5,0)</f>
        <v/>
      </c>
      <c r="L111" s="29">
        <f>ROUND(G111*4,0)</f>
        <v/>
      </c>
      <c r="M111" s="13" t="inlineStr">
        <is>
          <t>ACTIVE</t>
        </is>
      </c>
      <c r="N111" s="13" t="n">
        <v>0</v>
      </c>
    </row>
    <row r="112">
      <c r="A112" s="28" t="inlineStr">
        <is>
          <t>PELIGRO (&lt;3.5)</t>
        </is>
      </c>
      <c r="B112" s="13" t="inlineStr">
        <is>
          <t>72142921022127</t>
        </is>
      </c>
      <c r="C112" s="13" t="inlineStr">
        <is>
          <t>ANILLO CD GOLD WHITE CON ZIRCONIA</t>
        </is>
      </c>
      <c r="D112" s="13" t="inlineStr">
        <is>
          <t>8</t>
        </is>
      </c>
      <c r="E112" s="13" t="inlineStr">
        <is>
          <t>ZOEY</t>
        </is>
      </c>
      <c r="F112" s="13" t="inlineStr">
        <is>
          <t>2025-10-02</t>
        </is>
      </c>
      <c r="G112" s="29" t="n">
        <v>212.62</v>
      </c>
      <c r="H112" s="29" t="n">
        <v>633</v>
      </c>
      <c r="I112" s="30">
        <f>IF(G112=0,"",H112/G112)</f>
        <v/>
      </c>
      <c r="J112" s="29">
        <f>ROUND(G112*2.5,0)</f>
        <v/>
      </c>
      <c r="K112" s="29">
        <f>ROUND(G112*3.5,0)</f>
        <v/>
      </c>
      <c r="L112" s="29">
        <f>ROUND(G112*4,0)</f>
        <v/>
      </c>
      <c r="M112" s="13" t="inlineStr">
        <is>
          <t>ACTIVE</t>
        </is>
      </c>
      <c r="N112" s="13" t="n">
        <v>3</v>
      </c>
    </row>
    <row r="113">
      <c r="A113" s="28" t="inlineStr">
        <is>
          <t>PELIGRO (&lt;3.5)</t>
        </is>
      </c>
      <c r="B113" s="13" t="inlineStr">
        <is>
          <t>665bb9079b157</t>
        </is>
      </c>
      <c r="C113" s="13" t="inlineStr">
        <is>
          <t>BOLSO DOUBLE V LV</t>
        </is>
      </c>
      <c r="D113" s="13" t="inlineStr">
        <is>
          <t>17cm de alto x 23cm de largo x 9.5cm de ancho</t>
        </is>
      </c>
      <c r="E113" s="13" t="inlineStr">
        <is>
          <t>DINA DU</t>
        </is>
      </c>
      <c r="F113" s="13" t="inlineStr">
        <is>
          <t>2025-10-21</t>
        </is>
      </c>
      <c r="G113" s="29" t="n">
        <v>1261.55</v>
      </c>
      <c r="H113" s="29" t="n">
        <v>3766.82</v>
      </c>
      <c r="I113" s="30">
        <f>IF(G113=0,"",H113/G113)</f>
        <v/>
      </c>
      <c r="J113" s="29">
        <f>ROUND(G113*2.5,0)</f>
        <v/>
      </c>
      <c r="K113" s="29">
        <f>ROUND(G113*3.5,0)</f>
        <v/>
      </c>
      <c r="L113" s="29">
        <f>ROUND(G113*4,0)</f>
        <v/>
      </c>
      <c r="M113" s="13" t="inlineStr">
        <is>
          <t>ACTIVE</t>
        </is>
      </c>
      <c r="N113" s="13" t="n">
        <v>0</v>
      </c>
    </row>
    <row r="114">
      <c r="A114" s="28" t="inlineStr">
        <is>
          <t>PELIGRO (&lt;3.5)</t>
        </is>
      </c>
      <c r="B114" s="13" t="inlineStr">
        <is>
          <t>43728084218572</t>
        </is>
      </c>
      <c r="C114" s="13" t="inlineStr">
        <is>
          <t>BOLSO LV DISTRICT BLACK</t>
        </is>
      </c>
      <c r="D114" s="13" t="inlineStr">
        <is>
          <t>25cm de largo x 23cm de alto x 6.5cm de ancho (REMATE)</t>
        </is>
      </c>
      <c r="E114" s="13" t="inlineStr">
        <is>
          <t>DINA DU</t>
        </is>
      </c>
      <c r="F114" s="13" t="inlineStr">
        <is>
          <t>2025-10-21</t>
        </is>
      </c>
      <c r="G114" s="29" t="n">
        <v>588.72</v>
      </c>
      <c r="H114" s="29" t="n">
        <v>1758</v>
      </c>
      <c r="I114" s="30">
        <f>IF(G114=0,"",H114/G114)</f>
        <v/>
      </c>
      <c r="J114" s="29">
        <f>ROUND(G114*2.5,0)</f>
        <v/>
      </c>
      <c r="K114" s="29">
        <f>ROUND(G114*3.5,0)</f>
        <v/>
      </c>
      <c r="L114" s="29">
        <f>ROUND(G114*4,0)</f>
        <v/>
      </c>
      <c r="M114" s="13" t="inlineStr">
        <is>
          <t>ACTIVE</t>
        </is>
      </c>
      <c r="N114" s="13" t="n">
        <v>2</v>
      </c>
    </row>
    <row r="115">
      <c r="A115" s="28" t="inlineStr">
        <is>
          <t>PELIGRO (&lt;3.5)</t>
        </is>
      </c>
      <c r="B115" s="13" t="inlineStr">
        <is>
          <t>94350532835596</t>
        </is>
      </c>
      <c r="C115" s="13" t="inlineStr">
        <is>
          <t>BOLSO YSL CON CADENA BROWN</t>
        </is>
      </c>
      <c r="D115" s="13" t="inlineStr">
        <is>
          <t>REGULAR</t>
        </is>
      </c>
      <c r="E115" s="13" t="inlineStr">
        <is>
          <t>DINA DU</t>
        </is>
      </c>
      <c r="F115" s="13" t="inlineStr">
        <is>
          <t>2025-10-21</t>
        </is>
      </c>
      <c r="G115" s="29" t="n">
        <v>1289.59</v>
      </c>
      <c r="H115" s="29" t="n">
        <v>3850</v>
      </c>
      <c r="I115" s="30">
        <f>IF(G115=0,"",H115/G115)</f>
        <v/>
      </c>
      <c r="J115" s="29">
        <f>ROUND(G115*2.5,0)</f>
        <v/>
      </c>
      <c r="K115" s="29">
        <f>ROUND(G115*3.5,0)</f>
        <v/>
      </c>
      <c r="L115" s="29">
        <f>ROUND(G115*4,0)</f>
        <v/>
      </c>
      <c r="M115" s="13" t="inlineStr">
        <is>
          <t>ACTIVE</t>
        </is>
      </c>
      <c r="N115" s="13" t="n">
        <v>0</v>
      </c>
    </row>
    <row r="116">
      <c r="A116" s="28" t="inlineStr">
        <is>
          <t>PELIGRO (&lt;3.5)</t>
        </is>
      </c>
      <c r="B116" s="13" t="inlineStr">
        <is>
          <t>66745971e789e</t>
        </is>
      </c>
      <c r="C116" s="13" t="inlineStr">
        <is>
          <t>COLLAR 20 TRÉBOLES GOLD WHITE</t>
        </is>
      </c>
      <c r="D116" s="13" t="inlineStr">
        <is>
          <t>Default Title</t>
        </is>
      </c>
      <c r="E116" s="13" t="inlineStr">
        <is>
          <t>NANCY</t>
        </is>
      </c>
      <c r="F116" s="13" t="inlineStr">
        <is>
          <t>2026-05-31</t>
        </is>
      </c>
      <c r="G116" s="29" t="n">
        <v>863.6799999999999</v>
      </c>
      <c r="H116" s="29" t="n">
        <v>2591</v>
      </c>
      <c r="I116" s="30">
        <f>IF(G116=0,"",H116/G116)</f>
        <v/>
      </c>
      <c r="J116" s="29">
        <f>ROUND(G116*2.5,0)</f>
        <v/>
      </c>
      <c r="K116" s="29">
        <f>ROUND(G116*3.5,0)</f>
        <v/>
      </c>
      <c r="L116" s="29">
        <f>ROUND(G116*4,0)</f>
        <v/>
      </c>
      <c r="M116" s="13" t="inlineStr">
        <is>
          <t>ACTIVE</t>
        </is>
      </c>
      <c r="N116" s="13" t="n">
        <v>1</v>
      </c>
    </row>
    <row r="117">
      <c r="A117" s="28" t="inlineStr">
        <is>
          <t>PELIGRO (&lt;3.5)</t>
        </is>
      </c>
      <c r="B117" s="13" t="inlineStr">
        <is>
          <t>43728084854796</t>
        </is>
      </c>
      <c r="C117" s="13" t="inlineStr">
        <is>
          <t>SUÉTER YSL</t>
        </is>
      </c>
      <c r="D117" s="13" t="inlineStr">
        <is>
          <t>M</t>
        </is>
      </c>
      <c r="E117" s="13" t="inlineStr">
        <is>
          <t>ZOEY</t>
        </is>
      </c>
      <c r="F117" s="13" t="inlineStr">
        <is>
          <t>2025-10-25</t>
        </is>
      </c>
      <c r="G117" s="29" t="n">
        <v>942.4</v>
      </c>
      <c r="H117" s="29" t="n">
        <v>2832</v>
      </c>
      <c r="I117" s="30">
        <f>IF(G117=0,"",H117/G117)</f>
        <v/>
      </c>
      <c r="J117" s="29">
        <f>ROUND(G117*2.5,0)</f>
        <v/>
      </c>
      <c r="K117" s="29">
        <f>ROUND(G117*3.5,0)</f>
        <v/>
      </c>
      <c r="L117" s="29">
        <f>ROUND(G117*4,0)</f>
        <v/>
      </c>
      <c r="M117" s="13" t="inlineStr">
        <is>
          <t>ACTIVE</t>
        </is>
      </c>
      <c r="N117" s="13" t="n">
        <v>0</v>
      </c>
    </row>
    <row r="118">
      <c r="A118" s="28" t="inlineStr">
        <is>
          <t>PELIGRO (&lt;3.5)</t>
        </is>
      </c>
      <c r="B118" s="13" t="inlineStr">
        <is>
          <t>58825512266892</t>
        </is>
      </c>
      <c r="C118" s="13" t="inlineStr">
        <is>
          <t>TARJETERO G BROWN</t>
        </is>
      </c>
      <c r="D118" s="13" t="inlineStr">
        <is>
          <t>10.5cm de largo x 7.6cm de alto</t>
        </is>
      </c>
      <c r="E118" s="13" t="inlineStr">
        <is>
          <t>CYNTHIA</t>
        </is>
      </c>
      <c r="F118" s="13" t="inlineStr">
        <is>
          <t>2025-10-25</t>
        </is>
      </c>
      <c r="G118" s="29" t="n">
        <v>662.91</v>
      </c>
      <c r="H118" s="29" t="n">
        <v>1999</v>
      </c>
      <c r="I118" s="30">
        <f>IF(G118=0,"",H118/G118)</f>
        <v/>
      </c>
      <c r="J118" s="29">
        <f>ROUND(G118*2.5,0)</f>
        <v/>
      </c>
      <c r="K118" s="29">
        <f>ROUND(G118*3.5,0)</f>
        <v/>
      </c>
      <c r="L118" s="29">
        <f>ROUND(G118*4,0)</f>
        <v/>
      </c>
      <c r="M118" s="13" t="inlineStr">
        <is>
          <t>ACTIVE</t>
        </is>
      </c>
      <c r="N118" s="13" t="n">
        <v>3</v>
      </c>
    </row>
    <row r="119">
      <c r="A119" s="28" t="inlineStr">
        <is>
          <t>PELIGRO (&lt;3.5)</t>
        </is>
      </c>
      <c r="B119" s="13" t="inlineStr">
        <is>
          <t>654bdc38b0ca9</t>
        </is>
      </c>
      <c r="C119" s="13" t="inlineStr">
        <is>
          <t>BOLSO YSL CON CADENA RED</t>
        </is>
      </c>
      <c r="D119" s="13" t="inlineStr">
        <is>
          <t>17.5cm de alto x 23.5cm de largo x 6cm de ancho</t>
        </is>
      </c>
      <c r="E119" s="13" t="inlineStr">
        <is>
          <t>DINA DU</t>
        </is>
      </c>
      <c r="F119" s="13" t="inlineStr">
        <is>
          <t>2025-10-21</t>
        </is>
      </c>
      <c r="G119" s="29" t="n">
        <v>1289.59</v>
      </c>
      <c r="H119" s="29" t="n">
        <v>3899</v>
      </c>
      <c r="I119" s="30">
        <f>IF(G119=0,"",H119/G119)</f>
        <v/>
      </c>
      <c r="J119" s="29">
        <f>ROUND(G119*2.5,0)</f>
        <v/>
      </c>
      <c r="K119" s="29">
        <f>ROUND(G119*3.5,0)</f>
        <v/>
      </c>
      <c r="L119" s="29">
        <f>ROUND(G119*4,0)</f>
        <v/>
      </c>
      <c r="M119" s="13" t="inlineStr">
        <is>
          <t>DRAFT</t>
        </is>
      </c>
      <c r="N119" s="13" t="n">
        <v>0</v>
      </c>
    </row>
    <row r="120">
      <c r="A120" s="28" t="inlineStr">
        <is>
          <t>PELIGRO (&lt;3.5)</t>
        </is>
      </c>
      <c r="B120" s="13" t="inlineStr">
        <is>
          <t>40154171763309</t>
        </is>
      </c>
      <c r="C120" s="13" t="inlineStr">
        <is>
          <t>BRAZALETE T ELSA PERETTI SILVER</t>
        </is>
      </c>
      <c r="D120" s="13" t="inlineStr">
        <is>
          <t>Default Title</t>
        </is>
      </c>
      <c r="E120" s="13" t="inlineStr">
        <is>
          <t>HAIFENG</t>
        </is>
      </c>
      <c r="F120" s="13" t="inlineStr">
        <is>
          <t>2026-02-05</t>
        </is>
      </c>
      <c r="G120" s="29" t="n">
        <v>128.13</v>
      </c>
      <c r="H120" s="29" t="n">
        <v>389</v>
      </c>
      <c r="I120" s="30">
        <f>IF(G120=0,"",H120/G120)</f>
        <v/>
      </c>
      <c r="J120" s="29">
        <f>ROUND(G120*2.5,0)</f>
        <v/>
      </c>
      <c r="K120" s="29">
        <f>ROUND(G120*3.5,0)</f>
        <v/>
      </c>
      <c r="L120" s="29">
        <f>ROUND(G120*4,0)</f>
        <v/>
      </c>
      <c r="M120" s="13" t="inlineStr">
        <is>
          <t>ACTIVE</t>
        </is>
      </c>
      <c r="N120" s="13" t="n">
        <v>2</v>
      </c>
    </row>
    <row r="121">
      <c r="A121" s="28" t="inlineStr">
        <is>
          <t>PELIGRO (&lt;3.5)</t>
        </is>
      </c>
      <c r="B121" s="13" t="inlineStr">
        <is>
          <t>10132411501101</t>
        </is>
      </c>
      <c r="C121" s="13" t="inlineStr">
        <is>
          <t>CARTERA F GRAPHY WHITE</t>
        </is>
      </c>
      <c r="D121" s="13" t="inlineStr">
        <is>
          <t>Default Title</t>
        </is>
      </c>
      <c r="E121" s="13" t="inlineStr">
        <is>
          <t>DINA DU</t>
        </is>
      </c>
      <c r="F121" s="13" t="inlineStr">
        <is>
          <t>2026-04-27</t>
        </is>
      </c>
      <c r="G121" s="29" t="n">
        <v>1406.3</v>
      </c>
      <c r="H121" s="29" t="n">
        <v>4300</v>
      </c>
      <c r="I121" s="30">
        <f>IF(G121=0,"",H121/G121)</f>
        <v/>
      </c>
      <c r="J121" s="29">
        <f>ROUND(G121*2.5,0)</f>
        <v/>
      </c>
      <c r="K121" s="29">
        <f>ROUND(G121*3.5,0)</f>
        <v/>
      </c>
      <c r="L121" s="29">
        <f>ROUND(G121*4,0)</f>
        <v/>
      </c>
      <c r="M121" s="13" t="inlineStr">
        <is>
          <t>ACTIVE</t>
        </is>
      </c>
      <c r="N121" s="13" t="n">
        <v>2</v>
      </c>
    </row>
    <row r="122">
      <c r="A122" s="28" t="inlineStr">
        <is>
          <t>PELIGRO (&lt;3.5)</t>
        </is>
      </c>
      <c r="B122" s="13" t="inlineStr">
        <is>
          <t>60411861009357</t>
        </is>
      </c>
      <c r="C122" s="13" t="inlineStr">
        <is>
          <t>PULSERA CLAIR DE LUNE SILVER CON ZIRCONIA</t>
        </is>
      </c>
      <c r="D122" s="13" t="inlineStr">
        <is>
          <t>Default Title</t>
        </is>
      </c>
      <c r="E122" s="13" t="inlineStr">
        <is>
          <t>ZOEY</t>
        </is>
      </c>
      <c r="F122" s="13" t="inlineStr">
        <is>
          <t>2025-10-02</t>
        </is>
      </c>
      <c r="G122" s="29" t="n">
        <v>188.99</v>
      </c>
      <c r="H122" s="29" t="n">
        <v>580</v>
      </c>
      <c r="I122" s="30">
        <f>IF(G122=0,"",H122/G122)</f>
        <v/>
      </c>
      <c r="J122" s="29">
        <f>ROUND(G122*2.5,0)</f>
        <v/>
      </c>
      <c r="K122" s="29">
        <f>ROUND(G122*3.5,0)</f>
        <v/>
      </c>
      <c r="L122" s="29">
        <f>ROUND(G122*4,0)</f>
        <v/>
      </c>
      <c r="M122" s="13" t="inlineStr">
        <is>
          <t>ACTIVE</t>
        </is>
      </c>
      <c r="N122" s="13" t="n">
        <v>0</v>
      </c>
    </row>
    <row r="123">
      <c r="A123" s="28" t="inlineStr">
        <is>
          <t>PELIGRO (&lt;3.5)</t>
        </is>
      </c>
      <c r="B123" s="13" t="inlineStr">
        <is>
          <t>67308101075309</t>
        </is>
      </c>
      <c r="C123" s="13" t="inlineStr">
        <is>
          <t>ANILLO CD GOLD BLACK CON ZIRCONIA ANCHO</t>
        </is>
      </c>
      <c r="D123" s="13" t="inlineStr">
        <is>
          <t>7</t>
        </is>
      </c>
      <c r="E123" s="13" t="inlineStr">
        <is>
          <t>ZOEY</t>
        </is>
      </c>
      <c r="F123" s="13" t="inlineStr">
        <is>
          <t>2025-10-02</t>
        </is>
      </c>
      <c r="G123" s="29" t="n">
        <v>212.62</v>
      </c>
      <c r="H123" s="29" t="n">
        <v>652</v>
      </c>
      <c r="I123" s="30">
        <f>IF(G123=0,"",H123/G123)</f>
        <v/>
      </c>
      <c r="J123" s="29">
        <f>ROUND(G123*2.5,0)</f>
        <v/>
      </c>
      <c r="K123" s="29">
        <f>ROUND(G123*3.5,0)</f>
        <v/>
      </c>
      <c r="L123" s="29">
        <f>ROUND(G123*4,0)</f>
        <v/>
      </c>
      <c r="M123" s="13" t="inlineStr">
        <is>
          <t>ACTIVE</t>
        </is>
      </c>
      <c r="N123" s="13" t="n">
        <v>2</v>
      </c>
    </row>
    <row r="124">
      <c r="A124" s="28" t="inlineStr">
        <is>
          <t>PELIGRO (&lt;3.5)</t>
        </is>
      </c>
      <c r="B124" s="13" t="inlineStr">
        <is>
          <t>67308101075310</t>
        </is>
      </c>
      <c r="C124" s="13" t="inlineStr">
        <is>
          <t>ANILLO CD GOLD BLACK CON ZIRCONIA ANCHO</t>
        </is>
      </c>
      <c r="D124" s="13" t="inlineStr">
        <is>
          <t>8</t>
        </is>
      </c>
      <c r="E124" s="13" t="inlineStr">
        <is>
          <t>ZOEY</t>
        </is>
      </c>
      <c r="F124" s="13" t="inlineStr">
        <is>
          <t>2025-10-02</t>
        </is>
      </c>
      <c r="G124" s="29" t="n">
        <v>212.62</v>
      </c>
      <c r="H124" s="29" t="n">
        <v>652</v>
      </c>
      <c r="I124" s="30">
        <f>IF(G124=0,"",H124/G124)</f>
        <v/>
      </c>
      <c r="J124" s="29">
        <f>ROUND(G124*2.5,0)</f>
        <v/>
      </c>
      <c r="K124" s="29">
        <f>ROUND(G124*3.5,0)</f>
        <v/>
      </c>
      <c r="L124" s="29">
        <f>ROUND(G124*4,0)</f>
        <v/>
      </c>
      <c r="M124" s="13" t="inlineStr">
        <is>
          <t>ACTIVE</t>
        </is>
      </c>
      <c r="N124" s="13" t="n">
        <v>2</v>
      </c>
    </row>
    <row r="125">
      <c r="A125" s="28" t="inlineStr">
        <is>
          <t>PELIGRO (&lt;3.5)</t>
        </is>
      </c>
      <c r="B125" s="13" t="inlineStr">
        <is>
          <t>88201821024717</t>
        </is>
      </c>
      <c r="C125" s="13" t="inlineStr">
        <is>
          <t>ANILLO LV SILVER MICROZIRCONIAS</t>
        </is>
      </c>
      <c r="D125" s="13" t="inlineStr">
        <is>
          <t>8</t>
        </is>
      </c>
      <c r="E125" s="13" t="inlineStr">
        <is>
          <t>ZOEY</t>
        </is>
      </c>
      <c r="F125" s="13" t="inlineStr">
        <is>
          <t>2025-10-02</t>
        </is>
      </c>
      <c r="G125" s="29" t="n">
        <v>212.62</v>
      </c>
      <c r="H125" s="29" t="n">
        <v>652</v>
      </c>
      <c r="I125" s="30">
        <f>IF(G125=0,"",H125/G125)</f>
        <v/>
      </c>
      <c r="J125" s="29">
        <f>ROUND(G125*2.5,0)</f>
        <v/>
      </c>
      <c r="K125" s="29">
        <f>ROUND(G125*3.5,0)</f>
        <v/>
      </c>
      <c r="L125" s="29">
        <f>ROUND(G125*4,0)</f>
        <v/>
      </c>
      <c r="M125" s="13" t="inlineStr">
        <is>
          <t>ACTIVE</t>
        </is>
      </c>
      <c r="N125" s="13" t="n">
        <v>3</v>
      </c>
    </row>
    <row r="126">
      <c r="A126" s="28" t="inlineStr">
        <is>
          <t>PELIGRO (&lt;3.5)</t>
        </is>
      </c>
      <c r="B126" s="13" t="inlineStr">
        <is>
          <t>29502191036205</t>
        </is>
      </c>
      <c r="C126" s="13" t="inlineStr">
        <is>
          <t>ANILLO LV LES GASTONS SILVER</t>
        </is>
      </c>
      <c r="D126" s="13" t="inlineStr">
        <is>
          <t>8</t>
        </is>
      </c>
      <c r="E126" s="13" t="inlineStr">
        <is>
          <t>ZOEY</t>
        </is>
      </c>
      <c r="F126" s="13" t="inlineStr">
        <is>
          <t>2025-10-02</t>
        </is>
      </c>
      <c r="G126" s="29" t="n">
        <v>212.62</v>
      </c>
      <c r="H126" s="29" t="n">
        <v>652</v>
      </c>
      <c r="I126" s="30">
        <f>IF(G126=0,"",H126/G126)</f>
        <v/>
      </c>
      <c r="J126" s="29">
        <f>ROUND(G126*2.5,0)</f>
        <v/>
      </c>
      <c r="K126" s="29">
        <f>ROUND(G126*3.5,0)</f>
        <v/>
      </c>
      <c r="L126" s="29">
        <f>ROUND(G126*4,0)</f>
        <v/>
      </c>
      <c r="M126" s="13" t="inlineStr">
        <is>
          <t>ACTIVE</t>
        </is>
      </c>
      <c r="N126" s="13" t="n">
        <v>3</v>
      </c>
    </row>
    <row r="127">
      <c r="A127" s="28" t="inlineStr">
        <is>
          <t>PELIGRO (&lt;3.5)</t>
        </is>
      </c>
      <c r="B127" s="13" t="inlineStr">
        <is>
          <t>29502191036206</t>
        </is>
      </c>
      <c r="C127" s="13" t="inlineStr">
        <is>
          <t>ANILLO LV LES GASTONS SILVER</t>
        </is>
      </c>
      <c r="D127" s="13" t="inlineStr">
        <is>
          <t>9</t>
        </is>
      </c>
      <c r="E127" s="13" t="inlineStr">
        <is>
          <t>ZOEY</t>
        </is>
      </c>
      <c r="F127" s="13" t="inlineStr">
        <is>
          <t>2025-10-02</t>
        </is>
      </c>
      <c r="G127" s="29" t="n">
        <v>212.62</v>
      </c>
      <c r="H127" s="29" t="n">
        <v>652</v>
      </c>
      <c r="I127" s="30">
        <f>IF(G127=0,"",H127/G127)</f>
        <v/>
      </c>
      <c r="J127" s="29">
        <f>ROUND(G127*2.5,0)</f>
        <v/>
      </c>
      <c r="K127" s="29">
        <f>ROUND(G127*3.5,0)</f>
        <v/>
      </c>
      <c r="L127" s="29">
        <f>ROUND(G127*4,0)</f>
        <v/>
      </c>
      <c r="M127" s="13" t="inlineStr">
        <is>
          <t>ACTIVE</t>
        </is>
      </c>
      <c r="N127" s="13" t="n">
        <v>0</v>
      </c>
    </row>
    <row r="128">
      <c r="A128" s="28" t="inlineStr">
        <is>
          <t>PELIGRO (&lt;3.5)</t>
        </is>
      </c>
      <c r="B128" s="13" t="inlineStr">
        <is>
          <t>34241171019789</t>
        </is>
      </c>
      <c r="C128" s="13" t="inlineStr">
        <is>
          <t>COLLAR MM LOGO SILVER CON ZIRCONIA</t>
        </is>
      </c>
      <c r="D128" s="13" t="inlineStr">
        <is>
          <t>Default Title</t>
        </is>
      </c>
      <c r="E128" s="13" t="inlineStr">
        <is>
          <t>ZOEY</t>
        </is>
      </c>
      <c r="F128" s="13" t="inlineStr">
        <is>
          <t>2025-10-02</t>
        </is>
      </c>
      <c r="G128" s="29" t="n">
        <v>236.24</v>
      </c>
      <c r="H128" s="29" t="n">
        <v>725</v>
      </c>
      <c r="I128" s="30">
        <f>IF(G128=0,"",H128/G128)</f>
        <v/>
      </c>
      <c r="J128" s="29">
        <f>ROUND(G128*2.5,0)</f>
        <v/>
      </c>
      <c r="K128" s="29">
        <f>ROUND(G128*3.5,0)</f>
        <v/>
      </c>
      <c r="L128" s="29">
        <f>ROUND(G128*4,0)</f>
        <v/>
      </c>
      <c r="M128" s="13" t="inlineStr">
        <is>
          <t>ACTIVE</t>
        </is>
      </c>
      <c r="N128" s="13" t="n">
        <v>1</v>
      </c>
    </row>
    <row r="129">
      <c r="A129" s="28" t="inlineStr">
        <is>
          <t>PELIGRO (&lt;3.5)</t>
        </is>
      </c>
      <c r="B129" s="13" t="inlineStr">
        <is>
          <t>79958551028717</t>
        </is>
      </c>
      <c r="C129" s="13" t="inlineStr">
        <is>
          <t>COLLAR MM HEART GOLD BLUE</t>
        </is>
      </c>
      <c r="D129" s="13" t="inlineStr">
        <is>
          <t>Default Title</t>
        </is>
      </c>
      <c r="E129" s="13" t="inlineStr">
        <is>
          <t>ZOEY</t>
        </is>
      </c>
      <c r="F129" s="13" t="inlineStr">
        <is>
          <t>2025-10-02</t>
        </is>
      </c>
      <c r="G129" s="29" t="n">
        <v>212.62</v>
      </c>
      <c r="H129" s="29" t="n">
        <v>652.2</v>
      </c>
      <c r="I129" s="30">
        <f>IF(G129=0,"",H129/G129)</f>
        <v/>
      </c>
      <c r="J129" s="29">
        <f>ROUND(G129*2.5,0)</f>
        <v/>
      </c>
      <c r="K129" s="29">
        <f>ROUND(G129*3.5,0)</f>
        <v/>
      </c>
      <c r="L129" s="29">
        <f>ROUND(G129*4,0)</f>
        <v/>
      </c>
      <c r="M129" s="13" t="inlineStr">
        <is>
          <t>ACTIVE</t>
        </is>
      </c>
      <c r="N129" s="13" t="n">
        <v>0</v>
      </c>
    </row>
    <row r="130">
      <c r="A130" s="28" t="inlineStr">
        <is>
          <t>PELIGRO (&lt;3.5)</t>
        </is>
      </c>
      <c r="B130" s="13" t="inlineStr">
        <is>
          <t>80490861139117</t>
        </is>
      </c>
      <c r="C130" s="13" t="inlineStr">
        <is>
          <t>CAMISETA ALLS BLACK</t>
        </is>
      </c>
      <c r="D130" s="13" t="inlineStr">
        <is>
          <t>m</t>
        </is>
      </c>
      <c r="E130" s="13" t="inlineStr">
        <is>
          <t>ZOEY</t>
        </is>
      </c>
      <c r="F130" s="13" t="inlineStr">
        <is>
          <t>2025-10-02</t>
        </is>
      </c>
      <c r="G130" s="29" t="n">
        <v>637.85</v>
      </c>
      <c r="H130" s="29" t="n">
        <v>1956.6</v>
      </c>
      <c r="I130" s="30">
        <f>IF(G130=0,"",H130/G130)</f>
        <v/>
      </c>
      <c r="J130" s="29">
        <f>ROUND(G130*2.5,0)</f>
        <v/>
      </c>
      <c r="K130" s="29">
        <f>ROUND(G130*3.5,0)</f>
        <v/>
      </c>
      <c r="L130" s="29">
        <f>ROUND(G130*4,0)</f>
        <v/>
      </c>
      <c r="M130" s="13" t="inlineStr">
        <is>
          <t>ACTIVE</t>
        </is>
      </c>
      <c r="N130" s="13" t="n">
        <v>2</v>
      </c>
    </row>
    <row r="131">
      <c r="A131" s="28" t="inlineStr">
        <is>
          <t>PELIGRO (&lt;3.5)</t>
        </is>
      </c>
      <c r="B131" s="13" t="inlineStr">
        <is>
          <t>60477551054605</t>
        </is>
      </c>
      <c r="C131" s="13" t="inlineStr">
        <is>
          <t>CAMISETA ALLS WHITE</t>
        </is>
      </c>
      <c r="D131" s="13" t="inlineStr">
        <is>
          <t>M</t>
        </is>
      </c>
      <c r="E131" s="13" t="inlineStr">
        <is>
          <t>ZOEY</t>
        </is>
      </c>
      <c r="F131" s="13" t="inlineStr">
        <is>
          <t>2025-10-02</t>
        </is>
      </c>
      <c r="G131" s="29" t="n">
        <v>637.85</v>
      </c>
      <c r="H131" s="29" t="n">
        <v>1957</v>
      </c>
      <c r="I131" s="30">
        <f>IF(G131=0,"",H131/G131)</f>
        <v/>
      </c>
      <c r="J131" s="29">
        <f>ROUND(G131*2.5,0)</f>
        <v/>
      </c>
      <c r="K131" s="29">
        <f>ROUND(G131*3.5,0)</f>
        <v/>
      </c>
      <c r="L131" s="29">
        <f>ROUND(G131*4,0)</f>
        <v/>
      </c>
      <c r="M131" s="13" t="inlineStr">
        <is>
          <t>ACTIVE</t>
        </is>
      </c>
      <c r="N131" s="13" t="n">
        <v>2</v>
      </c>
    </row>
    <row r="132">
      <c r="A132" s="28" t="inlineStr">
        <is>
          <t>PELIGRO (&lt;3.5)</t>
        </is>
      </c>
      <c r="B132" s="13" t="inlineStr">
        <is>
          <t>60477551054606</t>
        </is>
      </c>
      <c r="C132" s="13" t="inlineStr">
        <is>
          <t>CAMISETA ALLS WHITE</t>
        </is>
      </c>
      <c r="D132" s="13" t="inlineStr">
        <is>
          <t>L</t>
        </is>
      </c>
      <c r="E132" s="13" t="inlineStr">
        <is>
          <t>ZOEY</t>
        </is>
      </c>
      <c r="F132" s="13" t="inlineStr">
        <is>
          <t>2025-10-02</t>
        </is>
      </c>
      <c r="G132" s="29" t="n">
        <v>637.85</v>
      </c>
      <c r="H132" s="29" t="n">
        <v>1957</v>
      </c>
      <c r="I132" s="30">
        <f>IF(G132=0,"",H132/G132)</f>
        <v/>
      </c>
      <c r="J132" s="29">
        <f>ROUND(G132*2.5,0)</f>
        <v/>
      </c>
      <c r="K132" s="29">
        <f>ROUND(G132*3.5,0)</f>
        <v/>
      </c>
      <c r="L132" s="29">
        <f>ROUND(G132*4,0)</f>
        <v/>
      </c>
      <c r="M132" s="13" t="inlineStr">
        <is>
          <t>ACTIVE</t>
        </is>
      </c>
      <c r="N132" s="13" t="n">
        <v>2</v>
      </c>
    </row>
    <row r="133">
      <c r="A133" s="28" t="inlineStr">
        <is>
          <t>PELIGRO (&lt;3.5)</t>
        </is>
      </c>
      <c r="B133" s="13" t="inlineStr">
        <is>
          <t>60739441017133</t>
        </is>
      </c>
      <c r="C133" s="13" t="inlineStr">
        <is>
          <t>SHORT DEPORTIVO ALLS BLACK</t>
        </is>
      </c>
      <c r="D133" s="13" t="inlineStr">
        <is>
          <t>L</t>
        </is>
      </c>
      <c r="E133" s="13" t="inlineStr">
        <is>
          <t>ZOEY</t>
        </is>
      </c>
      <c r="F133" s="13" t="inlineStr">
        <is>
          <t>2025-10-02</t>
        </is>
      </c>
      <c r="G133" s="29" t="n">
        <v>755.97</v>
      </c>
      <c r="H133" s="29" t="n">
        <v>2318.94</v>
      </c>
      <c r="I133" s="30">
        <f>IF(G133=0,"",H133/G133)</f>
        <v/>
      </c>
      <c r="J133" s="29">
        <f>ROUND(G133*2.5,0)</f>
        <v/>
      </c>
      <c r="K133" s="29">
        <f>ROUND(G133*3.5,0)</f>
        <v/>
      </c>
      <c r="L133" s="29">
        <f>ROUND(G133*4,0)</f>
        <v/>
      </c>
      <c r="M133" s="13" t="inlineStr">
        <is>
          <t>ACTIVE</t>
        </is>
      </c>
      <c r="N133" s="13" t="n">
        <v>2</v>
      </c>
    </row>
    <row r="134">
      <c r="A134" s="28" t="inlineStr">
        <is>
          <t>PELIGRO (&lt;3.5)</t>
        </is>
      </c>
      <c r="B134" s="13" t="inlineStr">
        <is>
          <t>88016261004301</t>
        </is>
      </c>
      <c r="C134" s="13" t="inlineStr">
        <is>
          <t>SUDADERA ALLS BLACK</t>
        </is>
      </c>
      <c r="D134" s="13" t="inlineStr">
        <is>
          <t>L</t>
        </is>
      </c>
      <c r="E134" s="13" t="inlineStr">
        <is>
          <t>ZOEY</t>
        </is>
      </c>
      <c r="F134" s="13" t="inlineStr">
        <is>
          <t>2025-10-02</t>
        </is>
      </c>
      <c r="G134" s="29" t="n">
        <v>826.84</v>
      </c>
      <c r="H134" s="29" t="n">
        <v>2536</v>
      </c>
      <c r="I134" s="30">
        <f>IF(G134=0,"",H134/G134)</f>
        <v/>
      </c>
      <c r="J134" s="29">
        <f>ROUND(G134*2.5,0)</f>
        <v/>
      </c>
      <c r="K134" s="29">
        <f>ROUND(G134*3.5,0)</f>
        <v/>
      </c>
      <c r="L134" s="29">
        <f>ROUND(G134*4,0)</f>
        <v/>
      </c>
      <c r="M134" s="13" t="inlineStr">
        <is>
          <t>ACTIVE</t>
        </is>
      </c>
      <c r="N134" s="13" t="n">
        <v>0</v>
      </c>
    </row>
    <row r="135">
      <c r="A135" s="28" t="inlineStr">
        <is>
          <t>PELIGRO (&lt;3.5)</t>
        </is>
      </c>
      <c r="B135" s="13" t="inlineStr">
        <is>
          <t>42981773246604</t>
        </is>
      </c>
      <c r="C135" s="13" t="inlineStr">
        <is>
          <t>ANILLO PANTHERE GOLD</t>
        </is>
      </c>
      <c r="D135" s="13" t="inlineStr">
        <is>
          <t>Regular</t>
        </is>
      </c>
      <c r="E135" s="13" t="inlineStr">
        <is>
          <t>NANCY</t>
        </is>
      </c>
      <c r="F135" s="13" t="inlineStr">
        <is>
          <t>2026-07-09</t>
        </is>
      </c>
      <c r="G135" s="29" t="n">
        <v>177.62</v>
      </c>
      <c r="H135" s="29" t="n">
        <v>545</v>
      </c>
      <c r="I135" s="30">
        <f>IF(G135=0,"",H135/G135)</f>
        <v/>
      </c>
      <c r="J135" s="29">
        <f>ROUND(G135*2.5,0)</f>
        <v/>
      </c>
      <c r="K135" s="29">
        <f>ROUND(G135*3.5,0)</f>
        <v/>
      </c>
      <c r="L135" s="29">
        <f>ROUND(G135*4,0)</f>
        <v/>
      </c>
      <c r="M135" s="13" t="inlineStr">
        <is>
          <t>ACTIVE</t>
        </is>
      </c>
      <c r="N135" s="13" t="n">
        <v>1</v>
      </c>
    </row>
    <row r="136">
      <c r="A136" s="28" t="inlineStr">
        <is>
          <t>PELIGRO (&lt;3.5)</t>
        </is>
      </c>
      <c r="B136" s="13" t="inlineStr">
        <is>
          <t>16117871610765</t>
        </is>
      </c>
      <c r="C136" s="13" t="inlineStr">
        <is>
          <t>ANILLO BV ZERO 1 BLACK-ROSEGOLD</t>
        </is>
      </c>
      <c r="D136" s="13" t="inlineStr">
        <is>
          <t>8</t>
        </is>
      </c>
      <c r="E136" s="13" t="inlineStr">
        <is>
          <t>HAIFENG</t>
        </is>
      </c>
      <c r="F136" s="13" t="inlineStr">
        <is>
          <t>2026-06-16</t>
        </is>
      </c>
      <c r="G136" s="29" t="n">
        <v>189.13</v>
      </c>
      <c r="H136" s="29" t="n">
        <v>580</v>
      </c>
      <c r="I136" s="30">
        <f>IF(G136=0,"",H136/G136)</f>
        <v/>
      </c>
      <c r="J136" s="29">
        <f>ROUND(G136*2.5,0)</f>
        <v/>
      </c>
      <c r="K136" s="29">
        <f>ROUND(G136*3.5,0)</f>
        <v/>
      </c>
      <c r="L136" s="29">
        <f>ROUND(G136*4,0)</f>
        <v/>
      </c>
      <c r="M136" s="13" t="inlineStr">
        <is>
          <t>ACTIVE</t>
        </is>
      </c>
      <c r="N136" s="13" t="n">
        <v>3</v>
      </c>
    </row>
    <row r="137">
      <c r="A137" s="28" t="inlineStr">
        <is>
          <t>PELIGRO (&lt;3.5)</t>
        </is>
      </c>
      <c r="B137" s="13" t="inlineStr">
        <is>
          <t>654bd7ac2dee3</t>
        </is>
      </c>
      <c r="C137" s="13" t="inlineStr">
        <is>
          <t>ANILLO BV 3 OROS</t>
        </is>
      </c>
      <c r="D137" s="13" t="inlineStr">
        <is>
          <t>5</t>
        </is>
      </c>
      <c r="E137" s="13" t="inlineStr">
        <is>
          <t>HAIFENG</t>
        </is>
      </c>
      <c r="F137" s="13" t="inlineStr">
        <is>
          <t>2025-09-25</t>
        </is>
      </c>
      <c r="G137" s="29" t="n">
        <v>168.78</v>
      </c>
      <c r="H137" s="29" t="n">
        <v>520</v>
      </c>
      <c r="I137" s="30">
        <f>IF(G137=0,"",H137/G137)</f>
        <v/>
      </c>
      <c r="J137" s="29">
        <f>ROUND(G137*2.5,0)</f>
        <v/>
      </c>
      <c r="K137" s="29">
        <f>ROUND(G137*3.5,0)</f>
        <v/>
      </c>
      <c r="L137" s="29">
        <f>ROUND(G137*4,0)</f>
        <v/>
      </c>
      <c r="M137" s="13" t="inlineStr">
        <is>
          <t>ACTIVE</t>
        </is>
      </c>
      <c r="N137" s="13" t="n">
        <v>0</v>
      </c>
    </row>
    <row r="138">
      <c r="A138" s="28" t="inlineStr">
        <is>
          <t>PELIGRO (&lt;3.5)</t>
        </is>
      </c>
      <c r="B138" s="13" t="inlineStr">
        <is>
          <t>64e78e7b03ab1</t>
        </is>
      </c>
      <c r="C138" s="13" t="inlineStr">
        <is>
          <t>ANILLO BV 3 OROS</t>
        </is>
      </c>
      <c r="D138" s="13" t="inlineStr">
        <is>
          <t>8</t>
        </is>
      </c>
      <c r="E138" s="13" t="inlineStr">
        <is>
          <t>HAIFENG</t>
        </is>
      </c>
      <c r="F138" s="13" t="inlineStr">
        <is>
          <t>2025-09-25</t>
        </is>
      </c>
      <c r="G138" s="29" t="n">
        <v>168.78</v>
      </c>
      <c r="H138" s="29" t="n">
        <v>520</v>
      </c>
      <c r="I138" s="30">
        <f>IF(G138=0,"",H138/G138)</f>
        <v/>
      </c>
      <c r="J138" s="29">
        <f>ROUND(G138*2.5,0)</f>
        <v/>
      </c>
      <c r="K138" s="29">
        <f>ROUND(G138*3.5,0)</f>
        <v/>
      </c>
      <c r="L138" s="29">
        <f>ROUND(G138*4,0)</f>
        <v/>
      </c>
      <c r="M138" s="13" t="inlineStr">
        <is>
          <t>ACTIVE</t>
        </is>
      </c>
      <c r="N138" s="13" t="n">
        <v>0</v>
      </c>
    </row>
    <row r="139">
      <c r="A139" s="28" t="inlineStr">
        <is>
          <t>PELIGRO (&lt;3.5)</t>
        </is>
      </c>
      <c r="B139" s="13" t="inlineStr">
        <is>
          <t>29953903326061</t>
        </is>
      </c>
      <c r="C139" s="13" t="inlineStr">
        <is>
          <t>BOLSO YSL GABY VANITY</t>
        </is>
      </c>
      <c r="D139" s="13" t="inlineStr"/>
      <c r="E139" s="13" t="inlineStr">
        <is>
          <t>ZOEY</t>
        </is>
      </c>
      <c r="F139" s="13" t="inlineStr">
        <is>
          <t>2026-06-08</t>
        </is>
      </c>
      <c r="G139" s="29" t="n">
        <v>1299.11</v>
      </c>
      <c r="H139" s="29" t="n">
        <v>3999</v>
      </c>
      <c r="I139" s="30">
        <f>IF(G139=0,"",H139/G139)</f>
        <v/>
      </c>
      <c r="J139" s="29">
        <f>ROUND(G139*2.5,0)</f>
        <v/>
      </c>
      <c r="K139" s="29">
        <f>ROUND(G139*3.5,0)</f>
        <v/>
      </c>
      <c r="L139" s="29">
        <f>ROUND(G139*4,0)</f>
        <v/>
      </c>
      <c r="M139" s="13" t="inlineStr">
        <is>
          <t>ACTIVE</t>
        </is>
      </c>
      <c r="N139" s="13" t="n">
        <v>0</v>
      </c>
    </row>
    <row r="140">
      <c r="A140" s="28" t="inlineStr">
        <is>
          <t>PELIGRO (&lt;3.5)</t>
        </is>
      </c>
      <c r="B140" s="13" t="inlineStr">
        <is>
          <t>24469401092557</t>
        </is>
      </c>
      <c r="C140" s="13" t="inlineStr">
        <is>
          <t>UGG PANTUFLAS TAZZ II</t>
        </is>
      </c>
      <c r="D140" s="13" t="inlineStr">
        <is>
          <t>24CM</t>
        </is>
      </c>
      <c r="E140" s="13" t="inlineStr">
        <is>
          <t>CYNTHIA</t>
        </is>
      </c>
      <c r="F140" s="13" t="inlineStr">
        <is>
          <t>2025-10-25</t>
        </is>
      </c>
      <c r="G140" s="29" t="n">
        <v>838.46</v>
      </c>
      <c r="H140" s="29" t="n">
        <v>2592</v>
      </c>
      <c r="I140" s="30">
        <f>IF(G140=0,"",H140/G140)</f>
        <v/>
      </c>
      <c r="J140" s="29">
        <f>ROUND(G140*2.5,0)</f>
        <v/>
      </c>
      <c r="K140" s="29">
        <f>ROUND(G140*3.5,0)</f>
        <v/>
      </c>
      <c r="L140" s="29">
        <f>ROUND(G140*4,0)</f>
        <v/>
      </c>
      <c r="M140" s="13" t="inlineStr">
        <is>
          <t>ACTIVE</t>
        </is>
      </c>
      <c r="N140" s="13" t="n">
        <v>4</v>
      </c>
    </row>
    <row r="141">
      <c r="A141" s="28" t="inlineStr">
        <is>
          <t>PELIGRO (&lt;3.5)</t>
        </is>
      </c>
      <c r="B141" s="13" t="inlineStr">
        <is>
          <t>43047219789964</t>
        </is>
      </c>
      <c r="C141" s="13" t="inlineStr">
        <is>
          <t>PULSERA ONE T CON ZIRCONIA SILVER</t>
        </is>
      </c>
      <c r="D141" s="13" t="inlineStr">
        <is>
          <t>16.58cm</t>
        </is>
      </c>
      <c r="E141" s="13" t="inlineStr">
        <is>
          <t>CYNTHIA</t>
        </is>
      </c>
      <c r="F141" s="13" t="inlineStr">
        <is>
          <t>2025-09-05</t>
        </is>
      </c>
      <c r="G141" s="29" t="n">
        <v>372.65</v>
      </c>
      <c r="H141" s="29" t="n">
        <v>1150</v>
      </c>
      <c r="I141" s="30">
        <f>IF(G141=0,"",H141/G141)</f>
        <v/>
      </c>
      <c r="J141" s="29">
        <f>ROUND(G141*2.5,0)</f>
        <v/>
      </c>
      <c r="K141" s="29">
        <f>ROUND(G141*3.5,0)</f>
        <v/>
      </c>
      <c r="L141" s="29">
        <f>ROUND(G141*4,0)</f>
        <v/>
      </c>
      <c r="M141" s="13" t="inlineStr">
        <is>
          <t>ACTIVE</t>
        </is>
      </c>
      <c r="N141" s="13" t="n">
        <v>1</v>
      </c>
    </row>
    <row r="142">
      <c r="A142" s="28" t="inlineStr">
        <is>
          <t>PELIGRO (&lt;3.5)</t>
        </is>
      </c>
      <c r="B142" s="13" t="inlineStr">
        <is>
          <t>665bce4734fce</t>
        </is>
      </c>
      <c r="C142" s="13" t="inlineStr">
        <is>
          <t>PULSERA PERLEÉ ROSEGOLD</t>
        </is>
      </c>
      <c r="D142" s="13" t="inlineStr">
        <is>
          <t>16cm</t>
        </is>
      </c>
      <c r="E142" s="13" t="inlineStr">
        <is>
          <t>NANCY</t>
        </is>
      </c>
      <c r="F142" s="13" t="inlineStr">
        <is>
          <t>2026-07-09</t>
        </is>
      </c>
      <c r="G142" s="29" t="n">
        <v>277.52</v>
      </c>
      <c r="H142" s="29" t="n">
        <v>860</v>
      </c>
      <c r="I142" s="30">
        <f>IF(G142=0,"",H142/G142)</f>
        <v/>
      </c>
      <c r="J142" s="29">
        <f>ROUND(G142*2.5,0)</f>
        <v/>
      </c>
      <c r="K142" s="29">
        <f>ROUND(G142*3.5,0)</f>
        <v/>
      </c>
      <c r="L142" s="29">
        <f>ROUND(G142*4,0)</f>
        <v/>
      </c>
      <c r="M142" s="13" t="inlineStr">
        <is>
          <t>ACTIVE</t>
        </is>
      </c>
      <c r="N142" s="13" t="n">
        <v>0</v>
      </c>
    </row>
    <row r="143">
      <c r="A143" s="28" t="inlineStr">
        <is>
          <t>PELIGRO (&lt;3.5)</t>
        </is>
      </c>
      <c r="B143" s="13" t="inlineStr">
        <is>
          <t>85563421017997</t>
        </is>
      </c>
      <c r="C143" s="13" t="inlineStr">
        <is>
          <t>COLLAR LV INSIGNIAS BLOSSOM GOLD BLACK</t>
        </is>
      </c>
      <c r="D143" s="13" t="inlineStr">
        <is>
          <t>Default Title</t>
        </is>
      </c>
      <c r="E143" s="13" t="inlineStr">
        <is>
          <t>ZOEY</t>
        </is>
      </c>
      <c r="F143" s="13" t="inlineStr">
        <is>
          <t>2025-10-02</t>
        </is>
      </c>
      <c r="G143" s="29" t="n">
        <v>259.86</v>
      </c>
      <c r="H143" s="29" t="n">
        <v>807</v>
      </c>
      <c r="I143" s="30">
        <f>IF(G143=0,"",H143/G143)</f>
        <v/>
      </c>
      <c r="J143" s="29">
        <f>ROUND(G143*2.5,0)</f>
        <v/>
      </c>
      <c r="K143" s="29">
        <f>ROUND(G143*3.5,0)</f>
        <v/>
      </c>
      <c r="L143" s="29">
        <f>ROUND(G143*4,0)</f>
        <v/>
      </c>
      <c r="M143" s="13" t="inlineStr">
        <is>
          <t>ACTIVE</t>
        </is>
      </c>
      <c r="N143" s="13" t="n">
        <v>1</v>
      </c>
    </row>
    <row r="144">
      <c r="A144" s="28" t="inlineStr">
        <is>
          <t>PELIGRO (&lt;3.5)</t>
        </is>
      </c>
      <c r="B144" s="13" t="inlineStr">
        <is>
          <t>24469411303885</t>
        </is>
      </c>
      <c r="C144" s="13" t="inlineStr">
        <is>
          <t>BOLSO CC CLASIC NUDE</t>
        </is>
      </c>
      <c r="D144" s="13" t="inlineStr">
        <is>
          <t>Default Title</t>
        </is>
      </c>
      <c r="E144" s="13" t="inlineStr">
        <is>
          <t>CYNTHIA</t>
        </is>
      </c>
      <c r="F144" s="13" t="inlineStr">
        <is>
          <t>2025-10-25</t>
        </is>
      </c>
      <c r="G144" s="29" t="n">
        <v>1414.9</v>
      </c>
      <c r="H144" s="29" t="n">
        <v>4449</v>
      </c>
      <c r="I144" s="30">
        <f>IF(G144=0,"",H144/G144)</f>
        <v/>
      </c>
      <c r="J144" s="29">
        <f>ROUND(G144*2.5,0)</f>
        <v/>
      </c>
      <c r="K144" s="29">
        <f>ROUND(G144*3.5,0)</f>
        <v/>
      </c>
      <c r="L144" s="29">
        <f>ROUND(G144*4,0)</f>
        <v/>
      </c>
      <c r="M144" s="13" t="inlineStr">
        <is>
          <t>ACTIVE</t>
        </is>
      </c>
      <c r="N144" s="13" t="n">
        <v>0</v>
      </c>
    </row>
    <row r="145">
      <c r="A145" s="28" t="inlineStr">
        <is>
          <t>PELIGRO (&lt;3.5)</t>
        </is>
      </c>
      <c r="B145" s="13" t="inlineStr">
        <is>
          <t>42981877514380</t>
        </is>
      </c>
      <c r="C145" s="13" t="inlineStr">
        <is>
          <t>COLLAR LOCK CON ZIRCONIAS SILVER</t>
        </is>
      </c>
      <c r="D145" s="13" t="inlineStr">
        <is>
          <t>Default Title</t>
        </is>
      </c>
      <c r="E145" s="13" t="inlineStr">
        <is>
          <t>NANCY</t>
        </is>
      </c>
      <c r="F145" s="13" t="inlineStr">
        <is>
          <t>2026-05-31</t>
        </is>
      </c>
      <c r="G145" s="29" t="n">
        <v>208.46</v>
      </c>
      <c r="H145" s="29" t="n">
        <v>655</v>
      </c>
      <c r="I145" s="30">
        <f>IF(G145=0,"",H145/G145)</f>
        <v/>
      </c>
      <c r="J145" s="29">
        <f>ROUND(G145*2.5,0)</f>
        <v/>
      </c>
      <c r="K145" s="29">
        <f>ROUND(G145*3.5,0)</f>
        <v/>
      </c>
      <c r="L145" s="29">
        <f>ROUND(G145*4,0)</f>
        <v/>
      </c>
      <c r="M145" s="13" t="inlineStr">
        <is>
          <t>ACTIVE</t>
        </is>
      </c>
      <c r="N145" s="13" t="n">
        <v>5</v>
      </c>
    </row>
    <row r="146">
      <c r="A146" s="28" t="inlineStr">
        <is>
          <t>PELIGRO (&lt;3.5)</t>
        </is>
      </c>
      <c r="B146" s="13" t="inlineStr">
        <is>
          <t>24072851105773</t>
        </is>
      </c>
      <c r="C146" s="13" t="inlineStr">
        <is>
          <t>BOLSO CC MINI KELLY BLACK</t>
        </is>
      </c>
      <c r="D146" s="13" t="inlineStr">
        <is>
          <t>Default Title</t>
        </is>
      </c>
      <c r="E146" s="13" t="inlineStr">
        <is>
          <t>CYNTHIA</t>
        </is>
      </c>
      <c r="F146" s="13" t="inlineStr">
        <is>
          <t>2026-04-27</t>
        </is>
      </c>
      <c r="G146" s="29" t="n">
        <v>1375.35</v>
      </c>
      <c r="H146" s="29" t="n">
        <v>4350</v>
      </c>
      <c r="I146" s="30">
        <f>IF(G146=0,"",H146/G146)</f>
        <v/>
      </c>
      <c r="J146" s="29">
        <f>ROUND(G146*2.5,0)</f>
        <v/>
      </c>
      <c r="K146" s="29">
        <f>ROUND(G146*3.5,0)</f>
        <v/>
      </c>
      <c r="L146" s="29">
        <f>ROUND(G146*4,0)</f>
        <v/>
      </c>
      <c r="M146" s="13" t="inlineStr">
        <is>
          <t>ACTIVE</t>
        </is>
      </c>
      <c r="N146" s="13" t="n">
        <v>0</v>
      </c>
    </row>
    <row r="147">
      <c r="A147" s="28" t="inlineStr">
        <is>
          <t>PELIGRO (&lt;3.5)</t>
        </is>
      </c>
      <c r="B147" s="13" t="inlineStr">
        <is>
          <t>83844901025261</t>
        </is>
      </c>
      <c r="C147" s="13" t="inlineStr">
        <is>
          <t>PULSERA DE TELA F GOLD BLACK</t>
        </is>
      </c>
      <c r="D147" s="13" t="inlineStr">
        <is>
          <t>Default Title</t>
        </is>
      </c>
      <c r="E147" s="13" t="inlineStr">
        <is>
          <t>ZOEY</t>
        </is>
      </c>
      <c r="F147" s="13" t="inlineStr">
        <is>
          <t>2025-10-02</t>
        </is>
      </c>
      <c r="G147" s="29" t="n">
        <v>188.99</v>
      </c>
      <c r="H147" s="29" t="n">
        <v>599</v>
      </c>
      <c r="I147" s="30">
        <f>IF(G147=0,"",H147/G147)</f>
        <v/>
      </c>
      <c r="J147" s="29">
        <f>ROUND(G147*2.5,0)</f>
        <v/>
      </c>
      <c r="K147" s="29">
        <f>ROUND(G147*3.5,0)</f>
        <v/>
      </c>
      <c r="L147" s="29">
        <f>ROUND(G147*4,0)</f>
        <v/>
      </c>
      <c r="M147" s="13" t="inlineStr">
        <is>
          <t>ACTIVE</t>
        </is>
      </c>
      <c r="N147" s="13" t="n">
        <v>0</v>
      </c>
    </row>
    <row r="148">
      <c r="A148" s="28" t="inlineStr">
        <is>
          <t>PELIGRO (&lt;3.5)</t>
        </is>
      </c>
      <c r="B148" s="13" t="inlineStr">
        <is>
          <t>15711172277517</t>
        </is>
      </c>
      <c r="C148" s="13" t="inlineStr">
        <is>
          <t>ARETES CD SADDLE GOLD</t>
        </is>
      </c>
      <c r="D148" s="13" t="inlineStr">
        <is>
          <t>3 cm</t>
        </is>
      </c>
      <c r="E148" s="13" t="inlineStr">
        <is>
          <t>CYNTHIA</t>
        </is>
      </c>
      <c r="F148" s="13" t="inlineStr">
        <is>
          <t>2025-10-25</t>
        </is>
      </c>
      <c r="G148" s="29" t="n">
        <v>183.41</v>
      </c>
      <c r="H148" s="29" t="n">
        <v>582.47</v>
      </c>
      <c r="I148" s="30">
        <f>IF(G148=0,"",H148/G148)</f>
        <v/>
      </c>
      <c r="J148" s="29">
        <f>ROUND(G148*2.5,0)</f>
        <v/>
      </c>
      <c r="K148" s="29">
        <f>ROUND(G148*3.5,0)</f>
        <v/>
      </c>
      <c r="L148" s="29">
        <f>ROUND(G148*4,0)</f>
        <v/>
      </c>
      <c r="M148" s="13" t="inlineStr">
        <is>
          <t>ACTIVE</t>
        </is>
      </c>
      <c r="N148" s="13" t="n">
        <v>3</v>
      </c>
    </row>
    <row r="149">
      <c r="A149" s="28" t="inlineStr">
        <is>
          <t>PELIGRO (&lt;3.5)</t>
        </is>
      </c>
      <c r="B149" s="13" t="inlineStr">
        <is>
          <t>41889241640397</t>
        </is>
      </c>
      <c r="C149" s="13" t="inlineStr">
        <is>
          <t>ANILLO CD ZIRCONIAS GOLD-BLACK</t>
        </is>
      </c>
      <c r="D149" s="13" t="inlineStr">
        <is>
          <t>8</t>
        </is>
      </c>
      <c r="E149" s="13" t="inlineStr">
        <is>
          <t>CYNTHIA</t>
        </is>
      </c>
      <c r="F149" s="13" t="inlineStr">
        <is>
          <t>2025-10-25</t>
        </is>
      </c>
      <c r="G149" s="29" t="n">
        <v>248.92</v>
      </c>
      <c r="H149" s="29" t="n">
        <v>790.5</v>
      </c>
      <c r="I149" s="30">
        <f>IF(G149=0,"",H149/G149)</f>
        <v/>
      </c>
      <c r="J149" s="29">
        <f>ROUND(G149*2.5,0)</f>
        <v/>
      </c>
      <c r="K149" s="29">
        <f>ROUND(G149*3.5,0)</f>
        <v/>
      </c>
      <c r="L149" s="29">
        <f>ROUND(G149*4,0)</f>
        <v/>
      </c>
      <c r="M149" s="13" t="inlineStr">
        <is>
          <t>ACTIVE</t>
        </is>
      </c>
      <c r="N149" s="13" t="n">
        <v>0</v>
      </c>
    </row>
    <row r="150">
      <c r="A150" s="28" t="inlineStr">
        <is>
          <t>PELIGRO (&lt;3.5)</t>
        </is>
      </c>
      <c r="B150" s="13" t="inlineStr">
        <is>
          <t>39252671591341</t>
        </is>
      </c>
      <c r="C150" s="13" t="inlineStr">
        <is>
          <t>GORRA LULU WHITE</t>
        </is>
      </c>
      <c r="D150" s="13" t="inlineStr">
        <is>
          <t>Default Title</t>
        </is>
      </c>
      <c r="E150" s="13" t="inlineStr">
        <is>
          <t>CYNTHIA</t>
        </is>
      </c>
      <c r="F150" s="13" t="inlineStr">
        <is>
          <t>2025-10-25</t>
        </is>
      </c>
      <c r="G150" s="29" t="n">
        <v>282.98</v>
      </c>
      <c r="H150" s="29" t="n">
        <v>898.67</v>
      </c>
      <c r="I150" s="30">
        <f>IF(G150=0,"",H150/G150)</f>
        <v/>
      </c>
      <c r="J150" s="29">
        <f>ROUND(G150*2.5,0)</f>
        <v/>
      </c>
      <c r="K150" s="29">
        <f>ROUND(G150*3.5,0)</f>
        <v/>
      </c>
      <c r="L150" s="29">
        <f>ROUND(G150*4,0)</f>
        <v/>
      </c>
      <c r="M150" s="13" t="inlineStr">
        <is>
          <t>ACTIVE</t>
        </is>
      </c>
      <c r="N150" s="13" t="n">
        <v>1</v>
      </c>
    </row>
    <row r="151">
      <c r="A151" s="28" t="inlineStr">
        <is>
          <t>PELIGRO (&lt;3.5)</t>
        </is>
      </c>
      <c r="B151" s="13" t="inlineStr">
        <is>
          <t>42981955928204</t>
        </is>
      </c>
      <c r="C151" s="13" t="inlineStr">
        <is>
          <t>ANILLO TB SILVER</t>
        </is>
      </c>
      <c r="D151" s="13" t="inlineStr">
        <is>
          <t>8</t>
        </is>
      </c>
      <c r="E151" s="13" t="inlineStr">
        <is>
          <t>NANCY</t>
        </is>
      </c>
      <c r="F151" s="13" t="inlineStr">
        <is>
          <t>2026-05-08</t>
        </is>
      </c>
      <c r="G151" s="29" t="n">
        <v>70.73999999999999</v>
      </c>
      <c r="H151" s="29" t="n">
        <v>225</v>
      </c>
      <c r="I151" s="30">
        <f>IF(G151=0,"",H151/G151)</f>
        <v/>
      </c>
      <c r="J151" s="29">
        <f>ROUND(G151*2.5,0)</f>
        <v/>
      </c>
      <c r="K151" s="29">
        <f>ROUND(G151*3.5,0)</f>
        <v/>
      </c>
      <c r="L151" s="29">
        <f>ROUND(G151*4,0)</f>
        <v/>
      </c>
      <c r="M151" s="13" t="inlineStr">
        <is>
          <t>ACTIVE</t>
        </is>
      </c>
      <c r="N151" s="13" t="n">
        <v>4</v>
      </c>
    </row>
    <row r="152">
      <c r="A152" s="28" t="inlineStr">
        <is>
          <t>PELIGRO (&lt;3.5)</t>
        </is>
      </c>
      <c r="B152" s="13" t="inlineStr">
        <is>
          <t>648cc614da168</t>
        </is>
      </c>
      <c r="C152" s="13" t="inlineStr">
        <is>
          <t>BOLSO YSL BLACK</t>
        </is>
      </c>
      <c r="D152" s="13" t="inlineStr">
        <is>
          <t>24cm x 15cm</t>
        </is>
      </c>
      <c r="E152" s="13" t="inlineStr">
        <is>
          <t>CYNTHIA</t>
        </is>
      </c>
      <c r="F152" s="13" t="inlineStr">
        <is>
          <t>2025-09-05</t>
        </is>
      </c>
      <c r="G152" s="29" t="n">
        <v>1359.67</v>
      </c>
      <c r="H152" s="29" t="n">
        <v>4332</v>
      </c>
      <c r="I152" s="30">
        <f>IF(G152=0,"",H152/G152)</f>
        <v/>
      </c>
      <c r="J152" s="29">
        <f>ROUND(G152*2.5,0)</f>
        <v/>
      </c>
      <c r="K152" s="29">
        <f>ROUND(G152*3.5,0)</f>
        <v/>
      </c>
      <c r="L152" s="29">
        <f>ROUND(G152*4,0)</f>
        <v/>
      </c>
      <c r="M152" s="13" t="inlineStr">
        <is>
          <t>ACTIVE</t>
        </is>
      </c>
      <c r="N152" s="13" t="n">
        <v>0</v>
      </c>
    </row>
    <row r="153">
      <c r="A153" s="28" t="inlineStr">
        <is>
          <t>PELIGRO (&lt;3.5)</t>
        </is>
      </c>
      <c r="B153" s="13" t="inlineStr">
        <is>
          <t>14156151055725</t>
        </is>
      </c>
      <c r="C153" s="13" t="inlineStr">
        <is>
          <t>RELOJ PANTHERE SILVER</t>
        </is>
      </c>
      <c r="D153" s="13" t="inlineStr">
        <is>
          <t>RELOJ SIN CAJA</t>
        </is>
      </c>
      <c r="E153" s="13" t="inlineStr">
        <is>
          <t>ZOEY</t>
        </is>
      </c>
      <c r="F153" s="13" t="inlineStr">
        <is>
          <t>2026-01-20</t>
        </is>
      </c>
      <c r="G153" s="29" t="n">
        <v>1509.83</v>
      </c>
      <c r="H153" s="29" t="n">
        <v>4829</v>
      </c>
      <c r="I153" s="30">
        <f>IF(G153=0,"",H153/G153)</f>
        <v/>
      </c>
      <c r="J153" s="29">
        <f>ROUND(G153*2.5,0)</f>
        <v/>
      </c>
      <c r="K153" s="29">
        <f>ROUND(G153*3.5,0)</f>
        <v/>
      </c>
      <c r="L153" s="29">
        <f>ROUND(G153*4,0)</f>
        <v/>
      </c>
      <c r="M153" s="13" t="inlineStr">
        <is>
          <t>ACTIVE</t>
        </is>
      </c>
      <c r="N153" s="13" t="n">
        <v>2</v>
      </c>
    </row>
    <row r="154">
      <c r="A154" s="28" t="inlineStr">
        <is>
          <t>PELIGRO (&lt;3.5)</t>
        </is>
      </c>
      <c r="B154" s="13" t="inlineStr">
        <is>
          <t>10132411606189</t>
        </is>
      </c>
      <c r="C154" s="13" t="inlineStr">
        <is>
          <t>CARTERA F BAGUETTE MINI</t>
        </is>
      </c>
      <c r="D154" s="13" t="inlineStr">
        <is>
          <t>Default Title</t>
        </is>
      </c>
      <c r="E154" s="13" t="inlineStr">
        <is>
          <t>DINA DU</t>
        </is>
      </c>
      <c r="F154" s="13" t="inlineStr">
        <is>
          <t>2026-04-27</t>
        </is>
      </c>
      <c r="G154" s="29" t="n">
        <v>2028.32</v>
      </c>
      <c r="H154" s="29" t="n">
        <v>6500</v>
      </c>
      <c r="I154" s="30">
        <f>IF(G154=0,"",H154/G154)</f>
        <v/>
      </c>
      <c r="J154" s="29">
        <f>ROUND(G154*2.5,0)</f>
        <v/>
      </c>
      <c r="K154" s="29">
        <f>ROUND(G154*3.5,0)</f>
        <v/>
      </c>
      <c r="L154" s="29">
        <f>ROUND(G154*4,0)</f>
        <v/>
      </c>
      <c r="M154" s="13" t="inlineStr">
        <is>
          <t>ACTIVE</t>
        </is>
      </c>
      <c r="N154" s="13" t="n">
        <v>0</v>
      </c>
    </row>
    <row r="155">
      <c r="A155" s="28" t="inlineStr">
        <is>
          <t>PELIGRO (&lt;3.5)</t>
        </is>
      </c>
      <c r="B155" s="13" t="inlineStr">
        <is>
          <t>41889241103149</t>
        </is>
      </c>
      <c r="C155" s="13" t="inlineStr">
        <is>
          <t>BRAZALETE T VICTORIA SILVER</t>
        </is>
      </c>
      <c r="D155" s="13" t="inlineStr">
        <is>
          <t>Default Title</t>
        </is>
      </c>
      <c r="E155" s="13" t="inlineStr">
        <is>
          <t>CYNTHIA</t>
        </is>
      </c>
      <c r="F155" s="13" t="inlineStr">
        <is>
          <t>2026-04-27</t>
        </is>
      </c>
      <c r="G155" s="29" t="n">
        <v>643.5599999999999</v>
      </c>
      <c r="H155" s="29" t="n">
        <v>2065</v>
      </c>
      <c r="I155" s="30">
        <f>IF(G155=0,"",H155/G155)</f>
        <v/>
      </c>
      <c r="J155" s="29">
        <f>ROUND(G155*2.5,0)</f>
        <v/>
      </c>
      <c r="K155" s="29">
        <f>ROUND(G155*3.5,0)</f>
        <v/>
      </c>
      <c r="L155" s="29">
        <f>ROUND(G155*4,0)</f>
        <v/>
      </c>
      <c r="M155" s="13" t="inlineStr">
        <is>
          <t>ACTIVE</t>
        </is>
      </c>
      <c r="N155" s="13" t="n">
        <v>2</v>
      </c>
    </row>
    <row r="156">
      <c r="A156" s="28" t="inlineStr">
        <is>
          <t>PELIGRO (&lt;3.5)</t>
        </is>
      </c>
      <c r="B156" s="13" t="inlineStr">
        <is>
          <t>85887252823437</t>
        </is>
      </c>
      <c r="C156" s="13" t="inlineStr">
        <is>
          <t>BLUSA WHITE-BLACK JW</t>
        </is>
      </c>
      <c r="D156" s="13" t="inlineStr">
        <is>
          <t>M</t>
        </is>
      </c>
      <c r="E156" s="13" t="inlineStr">
        <is>
          <t>MOLLY</t>
        </is>
      </c>
      <c r="F156" s="13" t="inlineStr">
        <is>
          <t>2025-10-10</t>
        </is>
      </c>
      <c r="G156" s="29" t="n">
        <v>311.44</v>
      </c>
      <c r="H156" s="29" t="n">
        <v>1000</v>
      </c>
      <c r="I156" s="30">
        <f>IF(G156=0,"",H156/G156)</f>
        <v/>
      </c>
      <c r="J156" s="29">
        <f>ROUND(G156*2.5,0)</f>
        <v/>
      </c>
      <c r="K156" s="29">
        <f>ROUND(G156*3.5,0)</f>
        <v/>
      </c>
      <c r="L156" s="29">
        <f>ROUND(G156*4,0)</f>
        <v/>
      </c>
      <c r="M156" s="13" t="inlineStr">
        <is>
          <t>ACTIVE</t>
        </is>
      </c>
      <c r="N156" s="13" t="n">
        <v>0</v>
      </c>
    </row>
    <row r="157">
      <c r="A157" s="28" t="inlineStr">
        <is>
          <t>PELIGRO (&lt;3.5)</t>
        </is>
      </c>
      <c r="B157" s="13" t="inlineStr">
        <is>
          <t>43047195607180</t>
        </is>
      </c>
      <c r="C157" s="13" t="inlineStr">
        <is>
          <t>PULSERA ESLABONES ROSE GOLD</t>
        </is>
      </c>
      <c r="D157" s="13" t="inlineStr">
        <is>
          <t>20.5cm</t>
        </is>
      </c>
      <c r="E157" s="13" t="inlineStr">
        <is>
          <t>CYNTHIA</t>
        </is>
      </c>
      <c r="F157" s="13" t="inlineStr">
        <is>
          <t>2026-04-27</t>
        </is>
      </c>
      <c r="G157" s="29" t="n">
        <v>410.01</v>
      </c>
      <c r="H157" s="29" t="n">
        <v>1320</v>
      </c>
      <c r="I157" s="30">
        <f>IF(G157=0,"",H157/G157)</f>
        <v/>
      </c>
      <c r="J157" s="29">
        <f>ROUND(G157*2.5,0)</f>
        <v/>
      </c>
      <c r="K157" s="29">
        <f>ROUND(G157*3.5,0)</f>
        <v/>
      </c>
      <c r="L157" s="29">
        <f>ROUND(G157*4,0)</f>
        <v/>
      </c>
      <c r="M157" s="13" t="inlineStr">
        <is>
          <t>ACTIVE</t>
        </is>
      </c>
      <c r="N157" s="13" t="n">
        <v>4</v>
      </c>
    </row>
    <row r="158">
      <c r="A158" s="28" t="inlineStr">
        <is>
          <t>PELIGRO (&lt;3.5)</t>
        </is>
      </c>
      <c r="B158" s="13" t="inlineStr">
        <is>
          <t>36002955634060</t>
        </is>
      </c>
      <c r="C158" s="13" t="inlineStr">
        <is>
          <t>COLLAR SMILE CON ZIRCONIA SILVER</t>
        </is>
      </c>
      <c r="D158" s="13" t="inlineStr">
        <is>
          <t>45cm</t>
        </is>
      </c>
      <c r="E158" s="13" t="inlineStr">
        <is>
          <t>CYNTHIA</t>
        </is>
      </c>
      <c r="F158" s="13" t="inlineStr">
        <is>
          <t>2026-01-07</t>
        </is>
      </c>
      <c r="G158" s="29" t="n">
        <v>340.32</v>
      </c>
      <c r="H158" s="29" t="n">
        <v>1099</v>
      </c>
      <c r="I158" s="30">
        <f>IF(G158=0,"",H158/G158)</f>
        <v/>
      </c>
      <c r="J158" s="29">
        <f>ROUND(G158*2.5,0)</f>
        <v/>
      </c>
      <c r="K158" s="29">
        <f>ROUND(G158*3.5,0)</f>
        <v/>
      </c>
      <c r="L158" s="29">
        <f>ROUND(G158*4,0)</f>
        <v/>
      </c>
      <c r="M158" s="13" t="inlineStr">
        <is>
          <t>ACTIVE</t>
        </is>
      </c>
      <c r="N158" s="13" t="n">
        <v>0</v>
      </c>
    </row>
    <row r="159">
      <c r="A159" s="28" t="inlineStr">
        <is>
          <t>PELIGRO (&lt;3.5)</t>
        </is>
      </c>
      <c r="B159" s="13" t="inlineStr">
        <is>
          <t>64e78e112a71e</t>
        </is>
      </c>
      <c r="C159" s="13" t="inlineStr">
        <is>
          <t>PULSERA DY SILVER</t>
        </is>
      </c>
      <c r="D159" s="13" t="inlineStr">
        <is>
          <t>18cm</t>
        </is>
      </c>
      <c r="E159" s="13" t="inlineStr">
        <is>
          <t>CYNTHIA</t>
        </is>
      </c>
      <c r="F159" s="13" t="inlineStr">
        <is>
          <t>2026-04-27</t>
        </is>
      </c>
      <c r="G159" s="29" t="n">
        <v>384.06</v>
      </c>
      <c r="H159" s="29" t="n">
        <v>1239</v>
      </c>
      <c r="I159" s="30">
        <f>IF(G159=0,"",H159/G159)</f>
        <v/>
      </c>
      <c r="J159" s="29">
        <f>ROUND(G159*2.5,0)</f>
        <v/>
      </c>
      <c r="K159" s="29">
        <f>ROUND(G159*3.5,0)</f>
        <v/>
      </c>
      <c r="L159" s="29">
        <f>ROUND(G159*4,0)</f>
        <v/>
      </c>
      <c r="M159" s="13" t="inlineStr">
        <is>
          <t>ACTIVE</t>
        </is>
      </c>
      <c r="N159" s="13" t="n">
        <v>3</v>
      </c>
    </row>
    <row r="160">
      <c r="A160" s="28" t="inlineStr">
        <is>
          <t>PELIGRO (&lt;3.5)</t>
        </is>
      </c>
      <c r="B160" s="13" t="inlineStr">
        <is>
          <t>33644561253677</t>
        </is>
      </c>
      <c r="C160" s="13" t="inlineStr">
        <is>
          <t>BOLSO MM TOTE DE TELA</t>
        </is>
      </c>
      <c r="D160" s="13" t="inlineStr">
        <is>
          <t>Default Title</t>
        </is>
      </c>
      <c r="E160" s="13" t="inlineStr">
        <is>
          <t>CYNTHIA</t>
        </is>
      </c>
      <c r="F160" s="13" t="inlineStr">
        <is>
          <t>2026-04-27</t>
        </is>
      </c>
      <c r="G160" s="29" t="n">
        <v>1115.85</v>
      </c>
      <c r="H160" s="29" t="n">
        <v>3599</v>
      </c>
      <c r="I160" s="30">
        <f>IF(G160=0,"",H160/G160)</f>
        <v/>
      </c>
      <c r="J160" s="29">
        <f>ROUND(G160*2.5,0)</f>
        <v/>
      </c>
      <c r="K160" s="29">
        <f>ROUND(G160*3.5,0)</f>
        <v/>
      </c>
      <c r="L160" s="29">
        <f>ROUND(G160*4,0)</f>
        <v/>
      </c>
      <c r="M160" s="13" t="inlineStr">
        <is>
          <t>ACTIVE</t>
        </is>
      </c>
      <c r="N160" s="13" t="n">
        <v>0</v>
      </c>
    </row>
    <row r="161">
      <c r="A161" s="28" t="inlineStr">
        <is>
          <t>PELIGRO (&lt;3.5)</t>
        </is>
      </c>
      <c r="B161" s="13" t="inlineStr">
        <is>
          <t>679be1f9f363c</t>
        </is>
      </c>
      <c r="C161" s="13" t="inlineStr">
        <is>
          <t>RELOJ PP NAUTILUS SILVER BLUE</t>
        </is>
      </c>
      <c r="D161" s="13" t="inlineStr">
        <is>
          <t>Ajustable con caja</t>
        </is>
      </c>
      <c r="E161" s="13" t="inlineStr">
        <is>
          <t>ZOEY</t>
        </is>
      </c>
      <c r="F161" s="13" t="inlineStr">
        <is>
          <t>2026-01-20</t>
        </is>
      </c>
      <c r="G161" s="29" t="n">
        <v>1509.83</v>
      </c>
      <c r="H161" s="29" t="n">
        <v>4899</v>
      </c>
      <c r="I161" s="30">
        <f>IF(G161=0,"",H161/G161)</f>
        <v/>
      </c>
      <c r="J161" s="29">
        <f>ROUND(G161*2.5,0)</f>
        <v/>
      </c>
      <c r="K161" s="29">
        <f>ROUND(G161*3.5,0)</f>
        <v/>
      </c>
      <c r="L161" s="29">
        <f>ROUND(G161*4,0)</f>
        <v/>
      </c>
      <c r="M161" s="13" t="inlineStr">
        <is>
          <t>ACTIVE</t>
        </is>
      </c>
      <c r="N161" s="13" t="n">
        <v>3</v>
      </c>
    </row>
    <row r="162">
      <c r="A162" s="28" t="inlineStr">
        <is>
          <t>PELIGRO (&lt;3.5)</t>
        </is>
      </c>
      <c r="B162" s="13" t="inlineStr">
        <is>
          <t>646f84bdcd369</t>
        </is>
      </c>
      <c r="C162" s="13" t="inlineStr">
        <is>
          <t>COLLAR SMILE CON ZIRCONIA SILVER</t>
        </is>
      </c>
      <c r="D162" s="13" t="inlineStr">
        <is>
          <t>GISEL</t>
        </is>
      </c>
      <c r="E162" s="13" t="inlineStr">
        <is>
          <t>CYNTHIA</t>
        </is>
      </c>
      <c r="F162" s="13" t="inlineStr">
        <is>
          <t>2026-05-31</t>
        </is>
      </c>
      <c r="G162" s="29" t="n">
        <v>339.21</v>
      </c>
      <c r="H162" s="29" t="n">
        <v>1099</v>
      </c>
      <c r="I162" s="30">
        <f>IF(G162=0,"",H162/G162)</f>
        <v/>
      </c>
      <c r="J162" s="29">
        <f>ROUND(G162*2.5,0)</f>
        <v/>
      </c>
      <c r="K162" s="29">
        <f>ROUND(G162*3.5,0)</f>
        <v/>
      </c>
      <c r="L162" s="29">
        <f>ROUND(G162*4,0)</f>
        <v/>
      </c>
      <c r="M162" s="13" t="inlineStr">
        <is>
          <t>ACTIVE</t>
        </is>
      </c>
      <c r="N162" s="13" t="n">
        <v>4</v>
      </c>
    </row>
    <row r="163">
      <c r="A163" s="28" t="inlineStr">
        <is>
          <t>PELIGRO (&lt;3.5)</t>
        </is>
      </c>
      <c r="B163" s="13" t="inlineStr">
        <is>
          <t>43267331015245</t>
        </is>
      </c>
      <c r="C163" s="13" t="inlineStr">
        <is>
          <t>PULSERA KNOT GOLD</t>
        </is>
      </c>
      <c r="D163" s="13" t="inlineStr">
        <is>
          <t>16CM</t>
        </is>
      </c>
      <c r="E163" s="13" t="inlineStr">
        <is>
          <t>CYNTHIA</t>
        </is>
      </c>
      <c r="F163" s="13" t="inlineStr">
        <is>
          <t>2026-04-27</t>
        </is>
      </c>
      <c r="G163" s="29" t="n">
        <v>415.2</v>
      </c>
      <c r="H163" s="29" t="n">
        <v>1350</v>
      </c>
      <c r="I163" s="30">
        <f>IF(G163=0,"",H163/G163)</f>
        <v/>
      </c>
      <c r="J163" s="29">
        <f>ROUND(G163*2.5,0)</f>
        <v/>
      </c>
      <c r="K163" s="29">
        <f>ROUND(G163*3.5,0)</f>
        <v/>
      </c>
      <c r="L163" s="29">
        <f>ROUND(G163*4,0)</f>
        <v/>
      </c>
      <c r="M163" s="13" t="inlineStr">
        <is>
          <t>ACTIVE</t>
        </is>
      </c>
      <c r="N163" s="13" t="n">
        <v>2</v>
      </c>
    </row>
    <row r="164">
      <c r="A164" s="28" t="inlineStr">
        <is>
          <t>PELIGRO (&lt;3.5)</t>
        </is>
      </c>
      <c r="B164" s="13" t="inlineStr">
        <is>
          <t>665bb75a563b8</t>
        </is>
      </c>
      <c r="C164" s="13" t="inlineStr">
        <is>
          <t>ARETES MY LV SILVER</t>
        </is>
      </c>
      <c r="D164" s="13" t="inlineStr">
        <is>
          <t>Default Title</t>
        </is>
      </c>
      <c r="E164" s="13" t="inlineStr">
        <is>
          <t>NANCY</t>
        </is>
      </c>
      <c r="F164" s="13" t="inlineStr">
        <is>
          <t>2026-07-09</t>
        </is>
      </c>
      <c r="G164" s="29" t="n">
        <v>153.26</v>
      </c>
      <c r="H164" s="29" t="n">
        <v>499</v>
      </c>
      <c r="I164" s="30">
        <f>IF(G164=0,"",H164/G164)</f>
        <v/>
      </c>
      <c r="J164" s="29">
        <f>ROUND(G164*2.5,0)</f>
        <v/>
      </c>
      <c r="K164" s="29">
        <f>ROUND(G164*3.5,0)</f>
        <v/>
      </c>
      <c r="L164" s="29">
        <f>ROUND(G164*4,0)</f>
        <v/>
      </c>
      <c r="M164" s="13" t="inlineStr">
        <is>
          <t>ACTIVE</t>
        </is>
      </c>
      <c r="N164" s="13" t="n">
        <v>1</v>
      </c>
    </row>
    <row r="165">
      <c r="A165" s="28" t="inlineStr">
        <is>
          <t>PELIGRO (&lt;3.5)</t>
        </is>
      </c>
      <c r="B165" s="13" t="inlineStr">
        <is>
          <t>66b6834cd5e9b</t>
        </is>
      </c>
      <c r="C165" s="13" t="inlineStr">
        <is>
          <t>ARETES TRINITY</t>
        </is>
      </c>
      <c r="D165" s="13" t="inlineStr">
        <is>
          <t>1.5 cm</t>
        </is>
      </c>
      <c r="E165" s="13" t="inlineStr">
        <is>
          <t>HAIFENG</t>
        </is>
      </c>
      <c r="F165" s="13" t="inlineStr">
        <is>
          <t>2026-02-10</t>
        </is>
      </c>
      <c r="G165" s="29" t="n">
        <v>168.55</v>
      </c>
      <c r="H165" s="29" t="n">
        <v>550</v>
      </c>
      <c r="I165" s="30">
        <f>IF(G165=0,"",H165/G165)</f>
        <v/>
      </c>
      <c r="J165" s="29">
        <f>ROUND(G165*2.5,0)</f>
        <v/>
      </c>
      <c r="K165" s="29">
        <f>ROUND(G165*3.5,0)</f>
        <v/>
      </c>
      <c r="L165" s="29">
        <f>ROUND(G165*4,0)</f>
        <v/>
      </c>
      <c r="M165" s="13" t="inlineStr">
        <is>
          <t>ACTIVE</t>
        </is>
      </c>
      <c r="N165" s="13" t="n">
        <v>5</v>
      </c>
    </row>
    <row r="166">
      <c r="A166" s="28" t="inlineStr">
        <is>
          <t>PELIGRO (&lt;3.5)</t>
        </is>
      </c>
      <c r="B166" s="13" t="inlineStr">
        <is>
          <t>26853591295821</t>
        </is>
      </c>
      <c r="C166" s="13" t="inlineStr">
        <is>
          <t>GORRA EL BARBAS CHROME X CT</t>
        </is>
      </c>
      <c r="D166" s="13" t="inlineStr">
        <is>
          <t>Default Title</t>
        </is>
      </c>
      <c r="E166" s="13" t="inlineStr">
        <is>
          <t>COCO ZHANG</t>
        </is>
      </c>
      <c r="F166" s="13" t="inlineStr">
        <is>
          <t>2026-02-16</t>
        </is>
      </c>
      <c r="G166" s="29" t="n">
        <v>309</v>
      </c>
      <c r="H166" s="29" t="n">
        <v>1007</v>
      </c>
      <c r="I166" s="30">
        <f>IF(G166=0,"",H166/G166)</f>
        <v/>
      </c>
      <c r="J166" s="29">
        <f>ROUND(G166*2.5,0)</f>
        <v/>
      </c>
      <c r="K166" s="29">
        <f>ROUND(G166*3.5,0)</f>
        <v/>
      </c>
      <c r="L166" s="29">
        <f>ROUND(G166*4,0)</f>
        <v/>
      </c>
      <c r="M166" s="13" t="inlineStr">
        <is>
          <t>ACTIVE</t>
        </is>
      </c>
      <c r="N166" s="13" t="n">
        <v>2</v>
      </c>
    </row>
    <row r="167">
      <c r="A167" s="28" t="inlineStr">
        <is>
          <t>PELIGRO (&lt;3.5)</t>
        </is>
      </c>
      <c r="B167" s="13" t="inlineStr">
        <is>
          <t>46281181071009</t>
        </is>
      </c>
      <c r="C167" s="13" t="inlineStr">
        <is>
          <t>BOLSA YSL WHITE</t>
        </is>
      </c>
      <c r="D167" s="13" t="inlineStr">
        <is>
          <t>NUDE 24cm x 15cm</t>
        </is>
      </c>
      <c r="E167" s="13" t="inlineStr">
        <is>
          <t>ZOEY</t>
        </is>
      </c>
      <c r="F167" s="13" t="inlineStr">
        <is>
          <t>2026-04-20</t>
        </is>
      </c>
      <c r="G167" s="29" t="n">
        <v>1331.66</v>
      </c>
      <c r="H167" s="29" t="n">
        <v>4350</v>
      </c>
      <c r="I167" s="30">
        <f>IF(G167=0,"",H167/G167)</f>
        <v/>
      </c>
      <c r="J167" s="29">
        <f>ROUND(G167*2.5,0)</f>
        <v/>
      </c>
      <c r="K167" s="29">
        <f>ROUND(G167*3.5,0)</f>
        <v/>
      </c>
      <c r="L167" s="29">
        <f>ROUND(G167*4,0)</f>
        <v/>
      </c>
      <c r="M167" s="13" t="inlineStr">
        <is>
          <t>ACTIVE</t>
        </is>
      </c>
      <c r="N167" s="13" t="n">
        <v>0</v>
      </c>
    </row>
    <row r="168">
      <c r="A168" s="28" t="inlineStr">
        <is>
          <t>PELIGRO (&lt;3.5)</t>
        </is>
      </c>
      <c r="B168" s="13" t="inlineStr">
        <is>
          <t>34876761335341</t>
        </is>
      </c>
      <c r="C168" s="13" t="inlineStr">
        <is>
          <t>ANILLO T LOVESTRUCK SILVER-ROSE GOLD</t>
        </is>
      </c>
      <c r="D168" s="13" t="inlineStr">
        <is>
          <t>6</t>
        </is>
      </c>
      <c r="E168" s="13" t="inlineStr">
        <is>
          <t>CYNTHIA</t>
        </is>
      </c>
      <c r="F168" s="13" t="inlineStr">
        <is>
          <t>2026-04-27</t>
        </is>
      </c>
      <c r="G168" s="29" t="n">
        <v>228.36</v>
      </c>
      <c r="H168" s="29" t="n">
        <v>750</v>
      </c>
      <c r="I168" s="30">
        <f>IF(G168=0,"",H168/G168)</f>
        <v/>
      </c>
      <c r="J168" s="29">
        <f>ROUND(G168*2.5,0)</f>
        <v/>
      </c>
      <c r="K168" s="29">
        <f>ROUND(G168*3.5,0)</f>
        <v/>
      </c>
      <c r="L168" s="29">
        <f>ROUND(G168*4,0)</f>
        <v/>
      </c>
      <c r="M168" s="13" t="inlineStr">
        <is>
          <t>ACTIVE</t>
        </is>
      </c>
      <c r="N168" s="13" t="n">
        <v>4</v>
      </c>
    </row>
    <row r="169">
      <c r="A169" s="28" t="inlineStr">
        <is>
          <t>PELIGRO (&lt;3.5)</t>
        </is>
      </c>
      <c r="B169" s="13" t="inlineStr">
        <is>
          <t>39252671833741</t>
        </is>
      </c>
      <c r="C169" s="13" t="inlineStr">
        <is>
          <t>COLLAR F GOLD</t>
        </is>
      </c>
      <c r="D169" s="13" t="inlineStr">
        <is>
          <t>Default Title</t>
        </is>
      </c>
      <c r="E169" s="13" t="inlineStr">
        <is>
          <t>CYNTHIA</t>
        </is>
      </c>
      <c r="F169" s="13" t="inlineStr">
        <is>
          <t>2026-04-27</t>
        </is>
      </c>
      <c r="G169" s="29" t="n">
        <v>228.36</v>
      </c>
      <c r="H169" s="29" t="n">
        <v>750</v>
      </c>
      <c r="I169" s="30">
        <f>IF(G169=0,"",H169/G169)</f>
        <v/>
      </c>
      <c r="J169" s="29">
        <f>ROUND(G169*2.5,0)</f>
        <v/>
      </c>
      <c r="K169" s="29">
        <f>ROUND(G169*3.5,0)</f>
        <v/>
      </c>
      <c r="L169" s="29">
        <f>ROUND(G169*4,0)</f>
        <v/>
      </c>
      <c r="M169" s="13" t="inlineStr">
        <is>
          <t>ACTIVE</t>
        </is>
      </c>
      <c r="N169" s="13" t="n">
        <v>3</v>
      </c>
    </row>
    <row r="170">
      <c r="A170" s="28" t="inlineStr">
        <is>
          <t>PELIGRO (&lt;3.5)</t>
        </is>
      </c>
      <c r="B170" s="13" t="inlineStr">
        <is>
          <t>41648081090125</t>
        </is>
      </c>
      <c r="C170" s="13" t="inlineStr">
        <is>
          <t>ANILLO T LOVESTRUCK SILVER-ROSE GOLD</t>
        </is>
      </c>
      <c r="D170" s="13" t="inlineStr">
        <is>
          <t>8</t>
        </is>
      </c>
      <c r="E170" s="13" t="inlineStr">
        <is>
          <t>CYNTHIA</t>
        </is>
      </c>
      <c r="F170" s="13" t="inlineStr">
        <is>
          <t>2026-04-27</t>
        </is>
      </c>
      <c r="G170" s="29" t="n">
        <v>228.36</v>
      </c>
      <c r="H170" s="29" t="n">
        <v>750</v>
      </c>
      <c r="I170" s="30">
        <f>IF(G170=0,"",H170/G170)</f>
        <v/>
      </c>
      <c r="J170" s="29">
        <f>ROUND(G170*2.5,0)</f>
        <v/>
      </c>
      <c r="K170" s="29">
        <f>ROUND(G170*3.5,0)</f>
        <v/>
      </c>
      <c r="L170" s="29">
        <f>ROUND(G170*4,0)</f>
        <v/>
      </c>
      <c r="M170" s="13" t="inlineStr">
        <is>
          <t>ACTIVE</t>
        </is>
      </c>
      <c r="N170" s="13" t="n">
        <v>2</v>
      </c>
    </row>
    <row r="171">
      <c r="A171" s="28" t="inlineStr">
        <is>
          <t>PELIGRO (&lt;3.5)</t>
        </is>
      </c>
      <c r="B171" s="13" t="inlineStr">
        <is>
          <t>43071764562060</t>
        </is>
      </c>
      <c r="C171" s="13" t="inlineStr">
        <is>
          <t>ARRACADAS V GOLD</t>
        </is>
      </c>
      <c r="D171" s="13" t="inlineStr">
        <is>
          <t>Regular</t>
        </is>
      </c>
      <c r="E171" s="13" t="inlineStr">
        <is>
          <t>CYNTHIA</t>
        </is>
      </c>
      <c r="F171" s="13" t="inlineStr">
        <is>
          <t>2026-04-27</t>
        </is>
      </c>
      <c r="G171" s="29" t="n">
        <v>228.36</v>
      </c>
      <c r="H171" s="29" t="n">
        <v>750</v>
      </c>
      <c r="I171" s="30">
        <f>IF(G171=0,"",H171/G171)</f>
        <v/>
      </c>
      <c r="J171" s="29">
        <f>ROUND(G171*2.5,0)</f>
        <v/>
      </c>
      <c r="K171" s="29">
        <f>ROUND(G171*3.5,0)</f>
        <v/>
      </c>
      <c r="L171" s="29">
        <f>ROUND(G171*4,0)</f>
        <v/>
      </c>
      <c r="M171" s="13" t="inlineStr">
        <is>
          <t>ACTIVE</t>
        </is>
      </c>
      <c r="N171" s="13" t="n">
        <v>5</v>
      </c>
    </row>
    <row r="172">
      <c r="A172" s="28" t="inlineStr">
        <is>
          <t>PELIGRO (&lt;3.5)</t>
        </is>
      </c>
      <c r="B172" s="13" t="inlineStr">
        <is>
          <t>88621311058381</t>
        </is>
      </c>
      <c r="C172" s="13" t="inlineStr">
        <is>
          <t>PULSERA LOVE UNLIMITED GOLD</t>
        </is>
      </c>
      <c r="D172" s="13" t="inlineStr">
        <is>
          <t>17</t>
        </is>
      </c>
      <c r="E172" s="13" t="inlineStr">
        <is>
          <t>HAIFENG</t>
        </is>
      </c>
      <c r="F172" s="13" t="inlineStr">
        <is>
          <t>2026-03-11</t>
        </is>
      </c>
      <c r="G172" s="29" t="n">
        <v>426.08</v>
      </c>
      <c r="H172" s="29" t="n">
        <v>1399</v>
      </c>
      <c r="I172" s="30">
        <f>IF(G172=0,"",H172/G172)</f>
        <v/>
      </c>
      <c r="J172" s="29">
        <f>ROUND(G172*2.5,0)</f>
        <v/>
      </c>
      <c r="K172" s="29">
        <f>ROUND(G172*3.5,0)</f>
        <v/>
      </c>
      <c r="L172" s="29">
        <f>ROUND(G172*4,0)</f>
        <v/>
      </c>
      <c r="M172" s="13" t="inlineStr">
        <is>
          <t>ACTIVE</t>
        </is>
      </c>
      <c r="N172" s="13" t="n">
        <v>0</v>
      </c>
    </row>
    <row r="173">
      <c r="A173" s="28" t="inlineStr">
        <is>
          <t>PELIGRO (&lt;3.5)</t>
        </is>
      </c>
      <c r="B173" s="13" t="inlineStr">
        <is>
          <t>91345322036909</t>
        </is>
      </c>
      <c r="C173" s="13" t="inlineStr">
        <is>
          <t>LENTES F FIRST BROWN</t>
        </is>
      </c>
      <c r="D173" s="13" t="inlineStr">
        <is>
          <t>Default Title</t>
        </is>
      </c>
      <c r="E173" s="13" t="inlineStr">
        <is>
          <t>ZOEY</t>
        </is>
      </c>
      <c r="F173" s="13" t="inlineStr">
        <is>
          <t>2026-04-20</t>
        </is>
      </c>
      <c r="G173" s="29" t="n">
        <v>973.13</v>
      </c>
      <c r="H173" s="29" t="n">
        <v>3200</v>
      </c>
      <c r="I173" s="30">
        <f>IF(G173=0,"",H173/G173)</f>
        <v/>
      </c>
      <c r="J173" s="29">
        <f>ROUND(G173*2.5,0)</f>
        <v/>
      </c>
      <c r="K173" s="29">
        <f>ROUND(G173*3.5,0)</f>
        <v/>
      </c>
      <c r="L173" s="29">
        <f>ROUND(G173*4,0)</f>
        <v/>
      </c>
      <c r="M173" s="13" t="inlineStr">
        <is>
          <t>DRAFT</t>
        </is>
      </c>
      <c r="N173" s="13" t="n">
        <v>0</v>
      </c>
    </row>
    <row r="174">
      <c r="A174" s="28" t="inlineStr">
        <is>
          <t>PELIGRO (&lt;3.5)</t>
        </is>
      </c>
      <c r="B174" s="13" t="inlineStr">
        <is>
          <t>66593be0a0b51</t>
        </is>
      </c>
      <c r="C174" s="13" t="inlineStr">
        <is>
          <t>ANILLO PERLEE ROSEGOLD</t>
        </is>
      </c>
      <c r="D174" s="13" t="inlineStr">
        <is>
          <t>8</t>
        </is>
      </c>
      <c r="E174" s="13" t="inlineStr">
        <is>
          <t>NANCY</t>
        </is>
      </c>
      <c r="F174" s="13" t="inlineStr">
        <is>
          <t>2026-03-01</t>
        </is>
      </c>
      <c r="G174" s="29" t="n">
        <v>141.45</v>
      </c>
      <c r="H174" s="29" t="n">
        <v>466</v>
      </c>
      <c r="I174" s="30">
        <f>IF(G174=0,"",H174/G174)</f>
        <v/>
      </c>
      <c r="J174" s="29">
        <f>ROUND(G174*2.5,0)</f>
        <v/>
      </c>
      <c r="K174" s="29">
        <f>ROUND(G174*3.5,0)</f>
        <v/>
      </c>
      <c r="L174" s="29">
        <f>ROUND(G174*4,0)</f>
        <v/>
      </c>
      <c r="M174" s="13" t="inlineStr">
        <is>
          <t>ACTIVE</t>
        </is>
      </c>
      <c r="N174" s="13" t="n">
        <v>2</v>
      </c>
    </row>
    <row r="175">
      <c r="A175" s="28" t="inlineStr">
        <is>
          <t>PELIGRO (&lt;3.5)</t>
        </is>
      </c>
      <c r="B175" s="13" t="inlineStr">
        <is>
          <t>42981580832908</t>
        </is>
      </c>
      <c r="C175" s="13" t="inlineStr">
        <is>
          <t>ANILLO LV VOLT MULTI</t>
        </is>
      </c>
      <c r="D175" s="13" t="inlineStr">
        <is>
          <t>Default Title</t>
        </is>
      </c>
      <c r="E175" s="13" t="inlineStr">
        <is>
          <t>NANCY</t>
        </is>
      </c>
      <c r="F175" s="13" t="inlineStr">
        <is>
          <t>2026-03-01</t>
        </is>
      </c>
      <c r="G175" s="29" t="n">
        <v>141.45</v>
      </c>
      <c r="H175" s="29" t="n">
        <v>466</v>
      </c>
      <c r="I175" s="30">
        <f>IF(G175=0,"",H175/G175)</f>
        <v/>
      </c>
      <c r="J175" s="29">
        <f>ROUND(G175*2.5,0)</f>
        <v/>
      </c>
      <c r="K175" s="29">
        <f>ROUND(G175*3.5,0)</f>
        <v/>
      </c>
      <c r="L175" s="29">
        <f>ROUND(G175*4,0)</f>
        <v/>
      </c>
      <c r="M175" s="13" t="inlineStr">
        <is>
          <t>ACTIVE</t>
        </is>
      </c>
      <c r="N175" s="13" t="n">
        <v>0</v>
      </c>
    </row>
    <row r="176">
      <c r="A176" s="28" t="inlineStr">
        <is>
          <t>PELIGRO (&lt;3.5)</t>
        </is>
      </c>
      <c r="B176" s="13" t="inlineStr">
        <is>
          <t>646f84c300fa5</t>
        </is>
      </c>
      <c r="C176" s="13" t="inlineStr">
        <is>
          <t>ARETES BV GOLD-BLACK</t>
        </is>
      </c>
      <c r="D176" s="13" t="inlineStr">
        <is>
          <t>0.7cm</t>
        </is>
      </c>
      <c r="E176" s="13" t="inlineStr">
        <is>
          <t>NANCY</t>
        </is>
      </c>
      <c r="F176" s="13" t="inlineStr">
        <is>
          <t>2026-07-09</t>
        </is>
      </c>
      <c r="G176" s="29" t="n">
        <v>136.2</v>
      </c>
      <c r="H176" s="29" t="n">
        <v>450</v>
      </c>
      <c r="I176" s="30">
        <f>IF(G176=0,"",H176/G176)</f>
        <v/>
      </c>
      <c r="J176" s="29">
        <f>ROUND(G176*2.5,0)</f>
        <v/>
      </c>
      <c r="K176" s="29">
        <f>ROUND(G176*3.5,0)</f>
        <v/>
      </c>
      <c r="L176" s="29">
        <f>ROUND(G176*4,0)</f>
        <v/>
      </c>
      <c r="M176" s="13" t="inlineStr">
        <is>
          <t>ACTIVE</t>
        </is>
      </c>
      <c r="N176" s="13" t="n">
        <v>1</v>
      </c>
    </row>
    <row r="177">
      <c r="A177" s="28" t="inlineStr">
        <is>
          <t>PELIGRO (&lt;3.5)</t>
        </is>
      </c>
      <c r="B177" s="13" t="inlineStr">
        <is>
          <t>42981640208524</t>
        </is>
      </c>
      <c r="C177" s="13" t="inlineStr">
        <is>
          <t>ARETES CD GOLD CON PERLA COLGANTE</t>
        </is>
      </c>
      <c r="D177" s="13" t="inlineStr">
        <is>
          <t>Default Title</t>
        </is>
      </c>
      <c r="E177" s="13" t="inlineStr">
        <is>
          <t>NANCY</t>
        </is>
      </c>
      <c r="F177" s="13" t="inlineStr">
        <is>
          <t>2026-07-09</t>
        </is>
      </c>
      <c r="G177" s="29" t="n">
        <v>136.2</v>
      </c>
      <c r="H177" s="29" t="n">
        <v>450</v>
      </c>
      <c r="I177" s="30">
        <f>IF(G177=0,"",H177/G177)</f>
        <v/>
      </c>
      <c r="J177" s="29">
        <f>ROUND(G177*2.5,0)</f>
        <v/>
      </c>
      <c r="K177" s="29">
        <f>ROUND(G177*3.5,0)</f>
        <v/>
      </c>
      <c r="L177" s="29">
        <f>ROUND(G177*4,0)</f>
        <v/>
      </c>
      <c r="M177" s="13" t="inlineStr">
        <is>
          <t>ACTIVE</t>
        </is>
      </c>
      <c r="N177" s="13" t="n">
        <v>0</v>
      </c>
    </row>
    <row r="178">
      <c r="A178" s="28" t="inlineStr">
        <is>
          <t>PELIGRO (&lt;3.5)</t>
        </is>
      </c>
      <c r="B178" s="13" t="inlineStr">
        <is>
          <t>43728085758636</t>
        </is>
      </c>
      <c r="C178" s="13" t="inlineStr">
        <is>
          <t>BOLSO DE VIAJE GC LOGO</t>
        </is>
      </c>
      <c r="D178" s="13" t="inlineStr">
        <is>
          <t>42cm de largo</t>
        </is>
      </c>
      <c r="E178" s="13" t="inlineStr">
        <is>
          <t>ZOEY</t>
        </is>
      </c>
      <c r="F178" s="13" t="inlineStr">
        <is>
          <t>2025-09-01</t>
        </is>
      </c>
      <c r="G178" s="29" t="n">
        <v>1883.84</v>
      </c>
      <c r="H178" s="29" t="n">
        <v>6235.4</v>
      </c>
      <c r="I178" s="30">
        <f>IF(G178=0,"",H178/G178)</f>
        <v/>
      </c>
      <c r="J178" s="29">
        <f>ROUND(G178*2.5,0)</f>
        <v/>
      </c>
      <c r="K178" s="29">
        <f>ROUND(G178*3.5,0)</f>
        <v/>
      </c>
      <c r="L178" s="29">
        <f>ROUND(G178*4,0)</f>
        <v/>
      </c>
      <c r="M178" s="13" t="inlineStr">
        <is>
          <t>ACTIVE</t>
        </is>
      </c>
      <c r="N178" s="13" t="n">
        <v>0</v>
      </c>
    </row>
    <row r="179">
      <c r="A179" s="28" t="inlineStr">
        <is>
          <t>PELIGRO (&lt;3.5)</t>
        </is>
      </c>
      <c r="B179" s="13" t="inlineStr">
        <is>
          <t>79684371047438</t>
        </is>
      </c>
      <c r="C179" s="13" t="inlineStr">
        <is>
          <t>ANILLO GC BLONDIE ANCHO CON ZIRCONIA</t>
        </is>
      </c>
      <c r="D179" s="13" t="inlineStr">
        <is>
          <t>7</t>
        </is>
      </c>
      <c r="E179" s="13" t="inlineStr">
        <is>
          <t>ZOEY</t>
        </is>
      </c>
      <c r="F179" s="13" t="inlineStr">
        <is>
          <t>2025-10-02</t>
        </is>
      </c>
      <c r="G179" s="29" t="n">
        <v>283.49</v>
      </c>
      <c r="H179" s="29" t="n">
        <v>945</v>
      </c>
      <c r="I179" s="30">
        <f>IF(G179=0,"",H179/G179)</f>
        <v/>
      </c>
      <c r="J179" s="29">
        <f>ROUND(G179*2.5,0)</f>
        <v/>
      </c>
      <c r="K179" s="29">
        <f>ROUND(G179*3.5,0)</f>
        <v/>
      </c>
      <c r="L179" s="29">
        <f>ROUND(G179*4,0)</f>
        <v/>
      </c>
      <c r="M179" s="13" t="inlineStr">
        <is>
          <t>ACTIVE</t>
        </is>
      </c>
      <c r="N179" s="13" t="n">
        <v>1</v>
      </c>
    </row>
    <row r="180">
      <c r="A180" s="28" t="inlineStr">
        <is>
          <t>PELIGRO (&lt;3.5)</t>
        </is>
      </c>
      <c r="B180" s="13" t="inlineStr">
        <is>
          <t>673cd5677aee7</t>
        </is>
      </c>
      <c r="C180" s="13" t="inlineStr">
        <is>
          <t>ANILLO TRUE GOLD</t>
        </is>
      </c>
      <c r="D180" s="13" t="inlineStr">
        <is>
          <t>6</t>
        </is>
      </c>
      <c r="E180" s="13" t="inlineStr">
        <is>
          <t>NANCY</t>
        </is>
      </c>
      <c r="F180" s="13" t="inlineStr">
        <is>
          <t>2026-03-01</t>
        </is>
      </c>
      <c r="G180" s="29" t="n">
        <v>192.06</v>
      </c>
      <c r="H180" s="29" t="n">
        <v>639</v>
      </c>
      <c r="I180" s="30">
        <f>IF(G180=0,"",H180/G180)</f>
        <v/>
      </c>
      <c r="J180" s="29">
        <f>ROUND(G180*2.5,0)</f>
        <v/>
      </c>
      <c r="K180" s="29">
        <f>ROUND(G180*3.5,0)</f>
        <v/>
      </c>
      <c r="L180" s="29">
        <f>ROUND(G180*4,0)</f>
        <v/>
      </c>
      <c r="M180" s="13" t="inlineStr">
        <is>
          <t>ACTIVE</t>
        </is>
      </c>
      <c r="N180" s="13" t="n">
        <v>2</v>
      </c>
    </row>
    <row r="181">
      <c r="A181" s="28" t="inlineStr">
        <is>
          <t>PELIGRO (&lt;3.5)</t>
        </is>
      </c>
      <c r="B181" s="13" t="inlineStr">
        <is>
          <t>22974392600397</t>
        </is>
      </c>
      <c r="C181" s="13" t="inlineStr">
        <is>
          <t>BRAZALETE CD PETIT MULTI GOLD</t>
        </is>
      </c>
      <c r="D181" s="13" t="inlineStr">
        <is>
          <t>Default Title</t>
        </is>
      </c>
      <c r="E181" s="13" t="inlineStr">
        <is>
          <t>NANCY</t>
        </is>
      </c>
      <c r="F181" s="13" t="inlineStr">
        <is>
          <t>2026-07-09</t>
        </is>
      </c>
      <c r="G181" s="29" t="n">
        <v>194.68</v>
      </c>
      <c r="H181" s="29" t="n">
        <v>650</v>
      </c>
      <c r="I181" s="30">
        <f>IF(G181=0,"",H181/G181)</f>
        <v/>
      </c>
      <c r="J181" s="29">
        <f>ROUND(G181*2.5,0)</f>
        <v/>
      </c>
      <c r="K181" s="29">
        <f>ROUND(G181*3.5,0)</f>
        <v/>
      </c>
      <c r="L181" s="29">
        <f>ROUND(G181*4,0)</f>
        <v/>
      </c>
      <c r="M181" s="13" t="inlineStr">
        <is>
          <t>ACTIVE</t>
        </is>
      </c>
      <c r="N181" s="13" t="n">
        <v>0</v>
      </c>
    </row>
    <row r="182">
      <c r="A182" s="28" t="inlineStr">
        <is>
          <t>PELIGRO (&lt;3.5)</t>
        </is>
      </c>
      <c r="B182" s="13" t="inlineStr">
        <is>
          <t>98219285835148</t>
        </is>
      </c>
      <c r="C182" s="13" t="inlineStr">
        <is>
          <t>MINI BOLSO LV STEAMER</t>
        </is>
      </c>
      <c r="D182" s="13" t="inlineStr">
        <is>
          <t>17cm de largo</t>
        </is>
      </c>
      <c r="E182" s="13" t="inlineStr">
        <is>
          <t>ZOEY</t>
        </is>
      </c>
      <c r="F182" s="13" t="inlineStr">
        <is>
          <t>2025-10-25</t>
        </is>
      </c>
      <c r="G182" s="29" t="n">
        <v>1116</v>
      </c>
      <c r="H182" s="29" t="n">
        <v>3741</v>
      </c>
      <c r="I182" s="30">
        <f>IF(G182=0,"",H182/G182)</f>
        <v/>
      </c>
      <c r="J182" s="29">
        <f>ROUND(G182*2.5,0)</f>
        <v/>
      </c>
      <c r="K182" s="29">
        <f>ROUND(G182*3.5,0)</f>
        <v/>
      </c>
      <c r="L182" s="29">
        <f>ROUND(G182*4,0)</f>
        <v/>
      </c>
      <c r="M182" s="13" t="inlineStr">
        <is>
          <t>ACTIVE</t>
        </is>
      </c>
      <c r="N182" s="13" t="n">
        <v>6</v>
      </c>
    </row>
    <row r="183">
      <c r="A183" s="28" t="inlineStr">
        <is>
          <t>PELIGRO (&lt;3.5)</t>
        </is>
      </c>
      <c r="B183" s="13" t="inlineStr">
        <is>
          <t>79534521342989</t>
        </is>
      </c>
      <c r="C183" s="13" t="inlineStr">
        <is>
          <t>CHAMARRA MM BLACK</t>
        </is>
      </c>
      <c r="D183" s="13" t="inlineStr">
        <is>
          <t>M</t>
        </is>
      </c>
      <c r="E183" s="13" t="inlineStr">
        <is>
          <t>ZOEY</t>
        </is>
      </c>
      <c r="F183" s="13" t="inlineStr">
        <is>
          <t>2025-10-25</t>
        </is>
      </c>
      <c r="G183" s="29" t="n">
        <v>1438.41</v>
      </c>
      <c r="H183" s="29" t="n">
        <v>4820.09</v>
      </c>
      <c r="I183" s="30">
        <f>IF(G183=0,"",H183/G183)</f>
        <v/>
      </c>
      <c r="J183" s="29">
        <f>ROUND(G183*2.5,0)</f>
        <v/>
      </c>
      <c r="K183" s="29">
        <f>ROUND(G183*3.5,0)</f>
        <v/>
      </c>
      <c r="L183" s="29">
        <f>ROUND(G183*4,0)</f>
        <v/>
      </c>
      <c r="M183" s="13" t="inlineStr">
        <is>
          <t>ACTIVE</t>
        </is>
      </c>
      <c r="N183" s="13" t="n">
        <v>0</v>
      </c>
    </row>
    <row r="184">
      <c r="A184" s="28" t="inlineStr">
        <is>
          <t>PELIGRO (&lt;3.5)</t>
        </is>
      </c>
      <c r="B184" s="13" t="inlineStr">
        <is>
          <t>79534521160493</t>
        </is>
      </c>
      <c r="C184" s="13" t="inlineStr">
        <is>
          <t>UGG FUNKARRA BROWN</t>
        </is>
      </c>
      <c r="D184" s="13" t="inlineStr">
        <is>
          <t>23CM</t>
        </is>
      </c>
      <c r="E184" s="13" t="inlineStr">
        <is>
          <t>ZOEY</t>
        </is>
      </c>
      <c r="F184" s="13" t="inlineStr">
        <is>
          <t>2025-10-25</t>
        </is>
      </c>
      <c r="G184" s="29" t="n">
        <v>1438.41</v>
      </c>
      <c r="H184" s="29" t="n">
        <v>4820.09</v>
      </c>
      <c r="I184" s="30">
        <f>IF(G184=0,"",H184/G184)</f>
        <v/>
      </c>
      <c r="J184" s="29">
        <f>ROUND(G184*2.5,0)</f>
        <v/>
      </c>
      <c r="K184" s="29">
        <f>ROUND(G184*3.5,0)</f>
        <v/>
      </c>
      <c r="L184" s="29">
        <f>ROUND(G184*4,0)</f>
        <v/>
      </c>
      <c r="M184" s="13" t="inlineStr">
        <is>
          <t>ACTIVE</t>
        </is>
      </c>
      <c r="N184" s="13" t="n">
        <v>2</v>
      </c>
    </row>
    <row r="185">
      <c r="A185" s="28" t="inlineStr">
        <is>
          <t>PELIGRO (&lt;3.5)</t>
        </is>
      </c>
      <c r="B185" s="13" t="inlineStr">
        <is>
          <t>79534521293261</t>
        </is>
      </c>
      <c r="C185" s="13" t="inlineStr">
        <is>
          <t>UGG FUNKARRA BROWN</t>
        </is>
      </c>
      <c r="D185" s="13" t="inlineStr">
        <is>
          <t>24CM</t>
        </is>
      </c>
      <c r="E185" s="13" t="inlineStr">
        <is>
          <t>ZOEY</t>
        </is>
      </c>
      <c r="F185" s="13" t="inlineStr">
        <is>
          <t>2025-10-25</t>
        </is>
      </c>
      <c r="G185" s="29" t="n">
        <v>1438.41</v>
      </c>
      <c r="H185" s="29" t="n">
        <v>4820.09</v>
      </c>
      <c r="I185" s="30">
        <f>IF(G185=0,"",H185/G185)</f>
        <v/>
      </c>
      <c r="J185" s="29">
        <f>ROUND(G185*2.5,0)</f>
        <v/>
      </c>
      <c r="K185" s="29">
        <f>ROUND(G185*3.5,0)</f>
        <v/>
      </c>
      <c r="L185" s="29">
        <f>ROUND(G185*4,0)</f>
        <v/>
      </c>
      <c r="M185" s="13" t="inlineStr">
        <is>
          <t>ACTIVE</t>
        </is>
      </c>
      <c r="N185" s="13" t="n">
        <v>1</v>
      </c>
    </row>
    <row r="186">
      <c r="A186" s="28" t="inlineStr">
        <is>
          <t>PELIGRO (&lt;3.5)</t>
        </is>
      </c>
      <c r="B186" s="13" t="inlineStr">
        <is>
          <t>72233622795788</t>
        </is>
      </c>
      <c r="C186" s="13" t="inlineStr">
        <is>
          <t>SUÉTER PR MILANO WHITE</t>
        </is>
      </c>
      <c r="D186" s="13" t="inlineStr">
        <is>
          <t>L</t>
        </is>
      </c>
      <c r="E186" s="13" t="inlineStr">
        <is>
          <t>ZOEY</t>
        </is>
      </c>
      <c r="F186" s="13" t="inlineStr">
        <is>
          <t>2026-04-20</t>
        </is>
      </c>
      <c r="G186" s="29" t="n">
        <v>973.13</v>
      </c>
      <c r="H186" s="29" t="n">
        <v>3260</v>
      </c>
      <c r="I186" s="30">
        <f>IF(G186=0,"",H186/G186)</f>
        <v/>
      </c>
      <c r="J186" s="29">
        <f>ROUND(G186*2.5,0)</f>
        <v/>
      </c>
      <c r="K186" s="29">
        <f>ROUND(G186*3.5,0)</f>
        <v/>
      </c>
      <c r="L186" s="29">
        <f>ROUND(G186*4,0)</f>
        <v/>
      </c>
      <c r="M186" s="13" t="inlineStr">
        <is>
          <t>ACTIVE</t>
        </is>
      </c>
      <c r="N186" s="13" t="n">
        <v>1</v>
      </c>
    </row>
    <row r="187">
      <c r="A187" s="28" t="inlineStr">
        <is>
          <t>PELIGRO (&lt;3.5)</t>
        </is>
      </c>
      <c r="B187" s="13" t="inlineStr">
        <is>
          <t>15711173032365</t>
        </is>
      </c>
      <c r="C187" s="13" t="inlineStr">
        <is>
          <t>PERFUME DEVOTION, EAU DE PARFUM 100ML</t>
        </is>
      </c>
      <c r="D187" s="13" t="inlineStr">
        <is>
          <t>Default Title</t>
        </is>
      </c>
      <c r="E187" s="13" t="inlineStr">
        <is>
          <t>ZOEY</t>
        </is>
      </c>
      <c r="F187" s="13" t="inlineStr">
        <is>
          <t>2025-10-25</t>
        </is>
      </c>
      <c r="G187" s="29" t="n">
        <v>446.4</v>
      </c>
      <c r="H187" s="29" t="n">
        <v>1499</v>
      </c>
      <c r="I187" s="30">
        <f>IF(G187=0,"",H187/G187)</f>
        <v/>
      </c>
      <c r="J187" s="29">
        <f>ROUND(G187*2.5,0)</f>
        <v/>
      </c>
      <c r="K187" s="29">
        <f>ROUND(G187*3.5,0)</f>
        <v/>
      </c>
      <c r="L187" s="29">
        <f>ROUND(G187*4,0)</f>
        <v/>
      </c>
      <c r="M187" s="13" t="inlineStr">
        <is>
          <t>ACTIVE</t>
        </is>
      </c>
      <c r="N187" s="13" t="n">
        <v>2</v>
      </c>
    </row>
    <row r="188">
      <c r="A188" s="28" t="inlineStr">
        <is>
          <t>PELIGRO (&lt;3.5)</t>
        </is>
      </c>
      <c r="B188" s="13" t="inlineStr">
        <is>
          <t>63ebddd057ca2</t>
        </is>
      </c>
      <c r="C188" s="13" t="inlineStr">
        <is>
          <t>PULSERA CLAVO SILVER DELGADA CON ZIRCONIA</t>
        </is>
      </c>
      <c r="D188" s="13" t="inlineStr">
        <is>
          <t>17cm</t>
        </is>
      </c>
      <c r="E188" s="13" t="inlineStr">
        <is>
          <t>NANCY</t>
        </is>
      </c>
      <c r="F188" s="13" t="inlineStr">
        <is>
          <t>2025-09-06</t>
        </is>
      </c>
      <c r="G188" s="29" t="n">
        <v>92.91</v>
      </c>
      <c r="H188" s="29" t="n">
        <v>312</v>
      </c>
      <c r="I188" s="30">
        <f>IF(G188=0,"",H188/G188)</f>
        <v/>
      </c>
      <c r="J188" s="29">
        <f>ROUND(G188*2.5,0)</f>
        <v/>
      </c>
      <c r="K188" s="29">
        <f>ROUND(G188*3.5,0)</f>
        <v/>
      </c>
      <c r="L188" s="29">
        <f>ROUND(G188*4,0)</f>
        <v/>
      </c>
      <c r="M188" s="13" t="inlineStr">
        <is>
          <t>ACTIVE</t>
        </is>
      </c>
      <c r="N188" s="13" t="n">
        <v>12</v>
      </c>
    </row>
    <row r="189">
      <c r="A189" s="28" t="inlineStr">
        <is>
          <t>PELIGRO (&lt;3.5)</t>
        </is>
      </c>
      <c r="B189" s="13" t="inlineStr">
        <is>
          <t>665bce65c57fd</t>
        </is>
      </c>
      <c r="C189" s="13" t="inlineStr">
        <is>
          <t>PULSERA SERPENTI LISA SILVER</t>
        </is>
      </c>
      <c r="D189" s="13" t="inlineStr">
        <is>
          <t>18cm</t>
        </is>
      </c>
      <c r="E189" s="13" t="inlineStr">
        <is>
          <t>NANCY</t>
        </is>
      </c>
      <c r="F189" s="13" t="inlineStr">
        <is>
          <t>2026-07-09</t>
        </is>
      </c>
      <c r="G189" s="29" t="n">
        <v>233.66</v>
      </c>
      <c r="H189" s="29" t="n">
        <v>789</v>
      </c>
      <c r="I189" s="30">
        <f>IF(G189=0,"",H189/G189)</f>
        <v/>
      </c>
      <c r="J189" s="29">
        <f>ROUND(G189*2.5,0)</f>
        <v/>
      </c>
      <c r="K189" s="29">
        <f>ROUND(G189*3.5,0)</f>
        <v/>
      </c>
      <c r="L189" s="29">
        <f>ROUND(G189*4,0)</f>
        <v/>
      </c>
      <c r="M189" s="13" t="inlineStr">
        <is>
          <t>ACTIVE</t>
        </is>
      </c>
      <c r="N189" s="13" t="n">
        <v>0</v>
      </c>
    </row>
    <row r="190">
      <c r="A190" s="28" t="inlineStr">
        <is>
          <t>PELIGRO (&lt;3.5)</t>
        </is>
      </c>
      <c r="B190" s="13" t="inlineStr">
        <is>
          <t>21206421648557</t>
        </is>
      </c>
      <c r="C190" s="13" t="inlineStr">
        <is>
          <t>ANILLO LOVE UNLIMITED SILVER</t>
        </is>
      </c>
      <c r="D190" s="13" t="inlineStr">
        <is>
          <t>7</t>
        </is>
      </c>
      <c r="E190" s="13" t="inlineStr">
        <is>
          <t>HAIFENG</t>
        </is>
      </c>
      <c r="F190" s="13" t="inlineStr">
        <is>
          <t>2026-04-16</t>
        </is>
      </c>
      <c r="G190" s="29" t="n">
        <v>105.16</v>
      </c>
      <c r="H190" s="29" t="n">
        <v>357</v>
      </c>
      <c r="I190" s="30">
        <f>IF(G190=0,"",H190/G190)</f>
        <v/>
      </c>
      <c r="J190" s="29">
        <f>ROUND(G190*2.5,0)</f>
        <v/>
      </c>
      <c r="K190" s="29">
        <f>ROUND(G190*3.5,0)</f>
        <v/>
      </c>
      <c r="L190" s="29">
        <f>ROUND(G190*4,0)</f>
        <v/>
      </c>
      <c r="M190" s="13" t="inlineStr">
        <is>
          <t>ACTIVE</t>
        </is>
      </c>
      <c r="N190" s="13" t="n">
        <v>4</v>
      </c>
    </row>
    <row r="191">
      <c r="A191" s="28" t="inlineStr">
        <is>
          <t>PELIGRO (&lt;3.5)</t>
        </is>
      </c>
      <c r="B191" s="13" t="inlineStr">
        <is>
          <t>83391731482125</t>
        </is>
      </c>
      <c r="C191" s="13" t="inlineStr">
        <is>
          <t>ANILLO DOBLE T ROSE GOLD ZIRCONIAS</t>
        </is>
      </c>
      <c r="D191" s="13" t="inlineStr">
        <is>
          <t>7</t>
        </is>
      </c>
      <c r="E191" s="13" t="inlineStr">
        <is>
          <t>HAIFENG</t>
        </is>
      </c>
      <c r="F191" s="13" t="inlineStr">
        <is>
          <t>2026-02-05</t>
        </is>
      </c>
      <c r="G191" s="29" t="n">
        <v>149.48</v>
      </c>
      <c r="H191" s="29" t="n">
        <v>507</v>
      </c>
      <c r="I191" s="30">
        <f>IF(G191=0,"",H191/G191)</f>
        <v/>
      </c>
      <c r="J191" s="29">
        <f>ROUND(G191*2.5,0)</f>
        <v/>
      </c>
      <c r="K191" s="29">
        <f>ROUND(G191*3.5,0)</f>
        <v/>
      </c>
      <c r="L191" s="29">
        <f>ROUND(G191*4,0)</f>
        <v/>
      </c>
      <c r="M191" s="13" t="inlineStr">
        <is>
          <t>ACTIVE</t>
        </is>
      </c>
      <c r="N191" s="13" t="n">
        <v>2</v>
      </c>
    </row>
    <row r="192">
      <c r="A192" s="28" t="inlineStr">
        <is>
          <t>PELIGRO (&lt;3.5)</t>
        </is>
      </c>
      <c r="B192" s="13" t="inlineStr">
        <is>
          <t>66ec817c20ce6</t>
        </is>
      </c>
      <c r="C192" s="13" t="inlineStr">
        <is>
          <t>BOLSO B BLACK</t>
        </is>
      </c>
      <c r="D192" s="13" t="inlineStr">
        <is>
          <t>HIGH QUALITY 23cm de largo x 14.5cm de alto x 10cm de ancho</t>
        </is>
      </c>
      <c r="E192" s="13" t="inlineStr">
        <is>
          <t>ZOEY</t>
        </is>
      </c>
      <c r="F192" s="13" t="inlineStr">
        <is>
          <t>2025-10-25</t>
        </is>
      </c>
      <c r="G192" s="29" t="n">
        <v>1116</v>
      </c>
      <c r="H192" s="29" t="n">
        <v>3799</v>
      </c>
      <c r="I192" s="30">
        <f>IF(G192=0,"",H192/G192)</f>
        <v/>
      </c>
      <c r="J192" s="29">
        <f>ROUND(G192*2.5,0)</f>
        <v/>
      </c>
      <c r="K192" s="29">
        <f>ROUND(G192*3.5,0)</f>
        <v/>
      </c>
      <c r="L192" s="29">
        <f>ROUND(G192*4,0)</f>
        <v/>
      </c>
      <c r="M192" s="13" t="inlineStr">
        <is>
          <t>ACTIVE</t>
        </is>
      </c>
      <c r="N192" s="13" t="n">
        <v>1</v>
      </c>
    </row>
    <row r="193">
      <c r="A193" s="28" t="inlineStr">
        <is>
          <t>PELIGRO (&lt;3.5)</t>
        </is>
      </c>
      <c r="B193" s="13" t="inlineStr">
        <is>
          <t>33891172265901</t>
        </is>
      </c>
      <c r="C193" s="13" t="inlineStr">
        <is>
          <t>CINTO GC ENTRELAZADA SILVER</t>
        </is>
      </c>
      <c r="D193" s="13" t="inlineStr">
        <is>
          <t>100cm</t>
        </is>
      </c>
      <c r="E193" s="13" t="inlineStr">
        <is>
          <t>ZOEY</t>
        </is>
      </c>
      <c r="F193" s="13" t="inlineStr">
        <is>
          <t>2026-06-08</t>
        </is>
      </c>
      <c r="G193" s="29" t="n">
        <v>1176.55</v>
      </c>
      <c r="H193" s="29" t="n">
        <v>4000</v>
      </c>
      <c r="I193" s="30">
        <f>IF(G193=0,"",H193/G193)</f>
        <v/>
      </c>
      <c r="J193" s="29">
        <f>ROUND(G193*2.5,0)</f>
        <v/>
      </c>
      <c r="K193" s="29">
        <f>ROUND(G193*3.5,0)</f>
        <v/>
      </c>
      <c r="L193" s="29">
        <f>ROUND(G193*4,0)</f>
        <v/>
      </c>
      <c r="M193" s="13" t="inlineStr">
        <is>
          <t>ACTIVE</t>
        </is>
      </c>
      <c r="N193" s="13" t="n">
        <v>2</v>
      </c>
    </row>
    <row r="194">
      <c r="A194" s="28" t="inlineStr">
        <is>
          <t>PELIGRO (&lt;3.5)</t>
        </is>
      </c>
      <c r="B194" s="13" t="inlineStr">
        <is>
          <t>33891172393581</t>
        </is>
      </c>
      <c r="C194" s="13" t="inlineStr">
        <is>
          <t>CINTO GC ENTRELAZADA GOLD</t>
        </is>
      </c>
      <c r="D194" s="13" t="inlineStr">
        <is>
          <t>100cm</t>
        </is>
      </c>
      <c r="E194" s="13" t="inlineStr">
        <is>
          <t>ZOEY</t>
        </is>
      </c>
      <c r="F194" s="13" t="inlineStr">
        <is>
          <t>2026-06-08</t>
        </is>
      </c>
      <c r="G194" s="29" t="n">
        <v>1176.55</v>
      </c>
      <c r="H194" s="29" t="n">
        <v>4000</v>
      </c>
      <c r="I194" s="30">
        <f>IF(G194=0,"",H194/G194)</f>
        <v/>
      </c>
      <c r="J194" s="29">
        <f>ROUND(G194*2.5,0)</f>
        <v/>
      </c>
      <c r="K194" s="29">
        <f>ROUND(G194*3.5,0)</f>
        <v/>
      </c>
      <c r="L194" s="29">
        <f>ROUND(G194*4,0)</f>
        <v/>
      </c>
      <c r="M194" s="13" t="inlineStr">
        <is>
          <t>ACTIVE</t>
        </is>
      </c>
      <c r="N194" s="13" t="n">
        <v>2</v>
      </c>
    </row>
    <row r="195">
      <c r="A195" s="28" t="inlineStr">
        <is>
          <t>PELIGRO (&lt;3.5)</t>
        </is>
      </c>
      <c r="B195" s="13" t="inlineStr">
        <is>
          <t>66745aa830c56</t>
        </is>
      </c>
      <c r="C195" s="13" t="inlineStr">
        <is>
          <t>GARGANTILLA 10 TRÉBOLES GOLD GREEN</t>
        </is>
      </c>
      <c r="D195" s="13" t="inlineStr">
        <is>
          <t>15mm</t>
        </is>
      </c>
      <c r="E195" s="13" t="inlineStr">
        <is>
          <t>NANCY</t>
        </is>
      </c>
      <c r="F195" s="13" t="inlineStr">
        <is>
          <t>2026-03-01</t>
        </is>
      </c>
      <c r="G195" s="29" t="n">
        <v>419.79</v>
      </c>
      <c r="H195" s="29" t="n">
        <v>1428</v>
      </c>
      <c r="I195" s="30">
        <f>IF(G195=0,"",H195/G195)</f>
        <v/>
      </c>
      <c r="J195" s="29">
        <f>ROUND(G195*2.5,0)</f>
        <v/>
      </c>
      <c r="K195" s="29">
        <f>ROUND(G195*3.5,0)</f>
        <v/>
      </c>
      <c r="L195" s="29">
        <f>ROUND(G195*4,0)</f>
        <v/>
      </c>
      <c r="M195" s="13" t="inlineStr">
        <is>
          <t>ACTIVE</t>
        </is>
      </c>
      <c r="N195" s="13" t="n">
        <v>3</v>
      </c>
    </row>
    <row r="196">
      <c r="A196" s="28" t="inlineStr">
        <is>
          <t>PELIGRO (&lt;3.5)</t>
        </is>
      </c>
      <c r="B196" s="13" t="inlineStr">
        <is>
          <t>665bce4e1ec6b</t>
        </is>
      </c>
      <c r="C196" s="13" t="inlineStr">
        <is>
          <t>PULSERA PERLEÉ GOLD</t>
        </is>
      </c>
      <c r="D196" s="13" t="inlineStr">
        <is>
          <t>16cm</t>
        </is>
      </c>
      <c r="E196" s="13" t="inlineStr">
        <is>
          <t>NANCY</t>
        </is>
      </c>
      <c r="F196" s="13" t="inlineStr">
        <is>
          <t>2026-07-09</t>
        </is>
      </c>
      <c r="G196" s="29" t="n">
        <v>277.52</v>
      </c>
      <c r="H196" s="29" t="n">
        <v>950</v>
      </c>
      <c r="I196" s="30">
        <f>IF(G196=0,"",H196/G196)</f>
        <v/>
      </c>
      <c r="J196" s="29">
        <f>ROUND(G196*2.5,0)</f>
        <v/>
      </c>
      <c r="K196" s="29">
        <f>ROUND(G196*3.5,0)</f>
        <v/>
      </c>
      <c r="L196" s="29">
        <f>ROUND(G196*4,0)</f>
        <v/>
      </c>
      <c r="M196" s="13" t="inlineStr">
        <is>
          <t>ACTIVE</t>
        </is>
      </c>
      <c r="N196" s="13" t="n">
        <v>0</v>
      </c>
    </row>
    <row r="197">
      <c r="A197" s="28" t="inlineStr">
        <is>
          <t>PELIGRO (&lt;3.5)</t>
        </is>
      </c>
      <c r="B197" s="13" t="inlineStr">
        <is>
          <t>42981951111308</t>
        </is>
      </c>
      <c r="C197" s="13" t="inlineStr">
        <is>
          <t>ANILLO TB GOLD</t>
        </is>
      </c>
      <c r="D197" s="13" t="inlineStr">
        <is>
          <t>7</t>
        </is>
      </c>
      <c r="E197" s="13" t="inlineStr">
        <is>
          <t>NANCY</t>
        </is>
      </c>
      <c r="F197" s="13" t="inlineStr">
        <is>
          <t>2026-07-09</t>
        </is>
      </c>
      <c r="G197" s="29" t="n">
        <v>72.84999999999999</v>
      </c>
      <c r="H197" s="29" t="n">
        <v>250</v>
      </c>
      <c r="I197" s="30">
        <f>IF(G197=0,"",H197/G197)</f>
        <v/>
      </c>
      <c r="J197" s="29">
        <f>ROUND(G197*2.5,0)</f>
        <v/>
      </c>
      <c r="K197" s="29">
        <f>ROUND(G197*3.5,0)</f>
        <v/>
      </c>
      <c r="L197" s="29">
        <f>ROUND(G197*4,0)</f>
        <v/>
      </c>
      <c r="M197" s="13" t="inlineStr">
        <is>
          <t>ACTIVE</t>
        </is>
      </c>
      <c r="N197" s="13" t="n">
        <v>0</v>
      </c>
    </row>
    <row r="198">
      <c r="A198" s="28" t="inlineStr">
        <is>
          <t>PELIGRO (&lt;3.5)</t>
        </is>
      </c>
      <c r="B198" s="13" t="inlineStr">
        <is>
          <t>43047205240972</t>
        </is>
      </c>
      <c r="C198" s="13" t="inlineStr">
        <is>
          <t>COLLAR KNOT GOLD</t>
        </is>
      </c>
      <c r="D198" s="13" t="inlineStr">
        <is>
          <t>Tamaño del dije: 4.5cm  40cm con extensión de 4cm</t>
        </is>
      </c>
      <c r="E198" s="13" t="inlineStr">
        <is>
          <t>NANCY</t>
        </is>
      </c>
      <c r="F198" s="13" t="inlineStr">
        <is>
          <t>2026-07-09</t>
        </is>
      </c>
      <c r="G198" s="29" t="n">
        <v>160.57</v>
      </c>
      <c r="H198" s="29" t="n">
        <v>550</v>
      </c>
      <c r="I198" s="30">
        <f>IF(G198=0,"",H198/G198)</f>
        <v/>
      </c>
      <c r="J198" s="29">
        <f>ROUND(G198*2.5,0)</f>
        <v/>
      </c>
      <c r="K198" s="29">
        <f>ROUND(G198*3.5,0)</f>
        <v/>
      </c>
      <c r="L198" s="29">
        <f>ROUND(G198*4,0)</f>
        <v/>
      </c>
      <c r="M198" s="13" t="inlineStr">
        <is>
          <t>ACTIVE</t>
        </is>
      </c>
      <c r="N198" s="13" t="n">
        <v>0</v>
      </c>
    </row>
    <row r="199">
      <c r="A199" s="28" t="inlineStr">
        <is>
          <t>PELIGRO (&lt;3.5)</t>
        </is>
      </c>
      <c r="B199" s="13" t="inlineStr">
        <is>
          <t>22974392487981</t>
        </is>
      </c>
      <c r="C199" s="13" t="inlineStr">
        <is>
          <t>ARRACADAS GG BLONDIE GOLD</t>
        </is>
      </c>
      <c r="D199" s="13" t="inlineStr">
        <is>
          <t>Default Title</t>
        </is>
      </c>
      <c r="E199" s="13" t="inlineStr">
        <is>
          <t>NANCY</t>
        </is>
      </c>
      <c r="F199" s="13" t="inlineStr">
        <is>
          <t>2026-05-31</t>
        </is>
      </c>
      <c r="G199" s="29" t="n">
        <v>145.36</v>
      </c>
      <c r="H199" s="29" t="n">
        <v>499</v>
      </c>
      <c r="I199" s="30">
        <f>IF(G199=0,"",H199/G199)</f>
        <v/>
      </c>
      <c r="J199" s="29">
        <f>ROUND(G199*2.5,0)</f>
        <v/>
      </c>
      <c r="K199" s="29">
        <f>ROUND(G199*3.5,0)</f>
        <v/>
      </c>
      <c r="L199" s="29">
        <f>ROUND(G199*4,0)</f>
        <v/>
      </c>
      <c r="M199" s="13" t="inlineStr">
        <is>
          <t>ACTIVE</t>
        </is>
      </c>
      <c r="N199" s="13" t="n">
        <v>0</v>
      </c>
    </row>
    <row r="200">
      <c r="A200" s="28" t="inlineStr">
        <is>
          <t>PELIGRO (&lt;3.5)</t>
        </is>
      </c>
      <c r="B200" s="13" t="inlineStr">
        <is>
          <t>84159921033261</t>
        </is>
      </c>
      <c r="C200" s="13" t="inlineStr">
        <is>
          <t>PULSERA GC ROSE GOLD BLONDIE CON ZIRCONIAS</t>
        </is>
      </c>
      <c r="D200" s="13" t="inlineStr">
        <is>
          <t>Default Title</t>
        </is>
      </c>
      <c r="E200" s="13" t="inlineStr">
        <is>
          <t>ZOEY</t>
        </is>
      </c>
      <c r="F200" s="13" t="inlineStr">
        <is>
          <t>2025-10-02</t>
        </is>
      </c>
      <c r="G200" s="29" t="n">
        <v>188.99</v>
      </c>
      <c r="H200" s="29" t="n">
        <v>652</v>
      </c>
      <c r="I200" s="30">
        <f>IF(G200=0,"",H200/G200)</f>
        <v/>
      </c>
      <c r="J200" s="29">
        <f>ROUND(G200*2.5,0)</f>
        <v/>
      </c>
      <c r="K200" s="29">
        <f>ROUND(G200*3.5,0)</f>
        <v/>
      </c>
      <c r="L200" s="29">
        <f>ROUND(G200*4,0)</f>
        <v/>
      </c>
      <c r="M200" s="13" t="inlineStr">
        <is>
          <t>ACTIVE</t>
        </is>
      </c>
      <c r="N200" s="13" t="n">
        <v>3</v>
      </c>
    </row>
    <row r="201">
      <c r="A201" s="28" t="inlineStr">
        <is>
          <t>PELIGRO (&lt;3.5)</t>
        </is>
      </c>
      <c r="B201" s="13" t="inlineStr">
        <is>
          <t>15711173480813</t>
        </is>
      </c>
      <c r="C201" s="13" t="inlineStr">
        <is>
          <t>PERFUME TERRE H 100ML</t>
        </is>
      </c>
      <c r="D201" s="13" t="inlineStr">
        <is>
          <t>100 ml</t>
        </is>
      </c>
      <c r="E201" s="13" t="inlineStr">
        <is>
          <t>ZOEY</t>
        </is>
      </c>
      <c r="F201" s="13" t="inlineStr">
        <is>
          <t>2025-09-01</t>
        </is>
      </c>
      <c r="G201" s="29" t="n">
        <v>452.12</v>
      </c>
      <c r="H201" s="29" t="n">
        <v>1565</v>
      </c>
      <c r="I201" s="30">
        <f>IF(G201=0,"",H201/G201)</f>
        <v/>
      </c>
      <c r="J201" s="29">
        <f>ROUND(G201*2.5,0)</f>
        <v/>
      </c>
      <c r="K201" s="29">
        <f>ROUND(G201*3.5,0)</f>
        <v/>
      </c>
      <c r="L201" s="29">
        <f>ROUND(G201*4,0)</f>
        <v/>
      </c>
      <c r="M201" s="13" t="inlineStr">
        <is>
          <t>ACTIVE</t>
        </is>
      </c>
      <c r="N201" s="13" t="n">
        <v>2</v>
      </c>
    </row>
    <row r="202">
      <c r="A202" s="28" t="inlineStr">
        <is>
          <t>PELIGRO (&lt;3.5)</t>
        </is>
      </c>
      <c r="B202" s="13" t="inlineStr">
        <is>
          <t>654bdb24c007a</t>
        </is>
      </c>
      <c r="C202" s="13" t="inlineStr">
        <is>
          <t>BOLSO LADY D BLACK</t>
        </is>
      </c>
      <c r="D202" s="13" t="inlineStr">
        <is>
          <t>23.5cm de largo x 20.5cm largo x 12.5cm de ancho</t>
        </is>
      </c>
      <c r="E202" s="13" t="inlineStr">
        <is>
          <t>ZOEY</t>
        </is>
      </c>
      <c r="F202" s="13" t="inlineStr">
        <is>
          <t>2025-10-25</t>
        </is>
      </c>
      <c r="G202" s="29" t="n">
        <v>1388.81</v>
      </c>
      <c r="H202" s="29" t="n">
        <v>4800</v>
      </c>
      <c r="I202" s="30">
        <f>IF(G202=0,"",H202/G202)</f>
        <v/>
      </c>
      <c r="J202" s="29">
        <f>ROUND(G202*2.5,0)</f>
        <v/>
      </c>
      <c r="K202" s="29">
        <f>ROUND(G202*3.5,0)</f>
        <v/>
      </c>
      <c r="L202" s="29">
        <f>ROUND(G202*4,0)</f>
        <v/>
      </c>
      <c r="M202" s="13" t="inlineStr">
        <is>
          <t>ACTIVE</t>
        </is>
      </c>
      <c r="N202" s="13" t="n">
        <v>6</v>
      </c>
    </row>
    <row r="203">
      <c r="A203" s="28" t="inlineStr">
        <is>
          <t>PELIGRO (&lt;3.5)</t>
        </is>
      </c>
      <c r="B203" s="13" t="inlineStr">
        <is>
          <t>668eee4ea136d</t>
        </is>
      </c>
      <c r="C203" s="13" t="inlineStr">
        <is>
          <t>PULSERA ESLABONES SILVER</t>
        </is>
      </c>
      <c r="D203" s="13" t="inlineStr">
        <is>
          <t>XGYLB 20cm silve</t>
        </is>
      </c>
      <c r="E203" s="13" t="inlineStr">
        <is>
          <t>CYNTHIA</t>
        </is>
      </c>
      <c r="F203" s="13" t="inlineStr">
        <is>
          <t>2026-03-19</t>
        </is>
      </c>
      <c r="G203" s="29" t="n">
        <v>424.35</v>
      </c>
      <c r="H203" s="29" t="n">
        <v>1469</v>
      </c>
      <c r="I203" s="30">
        <f>IF(G203=0,"",H203/G203)</f>
        <v/>
      </c>
      <c r="J203" s="29">
        <f>ROUND(G203*2.5,0)</f>
        <v/>
      </c>
      <c r="K203" s="29">
        <f>ROUND(G203*3.5,0)</f>
        <v/>
      </c>
      <c r="L203" s="29">
        <f>ROUND(G203*4,0)</f>
        <v/>
      </c>
      <c r="M203" s="13" t="inlineStr">
        <is>
          <t>ACTIVE</t>
        </is>
      </c>
      <c r="N203" s="13" t="n">
        <v>0</v>
      </c>
    </row>
    <row r="204">
      <c r="A204" s="28" t="inlineStr">
        <is>
          <t>PELIGRO (&lt;3.5)</t>
        </is>
      </c>
      <c r="B204" s="13" t="inlineStr">
        <is>
          <t>668eecc4d784e</t>
        </is>
      </c>
      <c r="C204" s="13" t="inlineStr">
        <is>
          <t>PULSERA T ROSE GOLD</t>
        </is>
      </c>
      <c r="D204" s="13" t="inlineStr">
        <is>
          <t>16 cm</t>
        </is>
      </c>
      <c r="E204" s="13" t="inlineStr">
        <is>
          <t>CYNTHIA</t>
        </is>
      </c>
      <c r="F204" s="13" t="inlineStr">
        <is>
          <t>2026-03-19</t>
        </is>
      </c>
      <c r="G204" s="29" t="n">
        <v>255.15</v>
      </c>
      <c r="H204" s="29" t="n">
        <v>885</v>
      </c>
      <c r="I204" s="30">
        <f>IF(G204=0,"",H204/G204)</f>
        <v/>
      </c>
      <c r="J204" s="29">
        <f>ROUND(G204*2.5,0)</f>
        <v/>
      </c>
      <c r="K204" s="29">
        <f>ROUND(G204*3.5,0)</f>
        <v/>
      </c>
      <c r="L204" s="29">
        <f>ROUND(G204*4,0)</f>
        <v/>
      </c>
      <c r="M204" s="13" t="inlineStr">
        <is>
          <t>ACTIVE</t>
        </is>
      </c>
      <c r="N204" s="13" t="n">
        <v>2</v>
      </c>
    </row>
    <row r="205">
      <c r="A205" s="28" t="inlineStr">
        <is>
          <t>PELIGRO (&lt;3.5)</t>
        </is>
      </c>
      <c r="B205" s="13" t="inlineStr">
        <is>
          <t>677c26b31023a</t>
        </is>
      </c>
      <c r="C205" s="13" t="inlineStr">
        <is>
          <t>BOLSO LW GREEN</t>
        </is>
      </c>
      <c r="D205" s="13" t="inlineStr">
        <is>
          <t>28cmx20cm</t>
        </is>
      </c>
      <c r="E205" s="13" t="inlineStr">
        <is>
          <t>CYNTHIA</t>
        </is>
      </c>
      <c r="F205" s="13" t="inlineStr">
        <is>
          <t>2026-05-31</t>
        </is>
      </c>
      <c r="G205" s="29" t="n">
        <v>2014.08</v>
      </c>
      <c r="H205" s="29" t="n">
        <v>6999</v>
      </c>
      <c r="I205" s="30">
        <f>IF(G205=0,"",H205/G205)</f>
        <v/>
      </c>
      <c r="J205" s="29">
        <f>ROUND(G205*2.5,0)</f>
        <v/>
      </c>
      <c r="K205" s="29">
        <f>ROUND(G205*3.5,0)</f>
        <v/>
      </c>
      <c r="L205" s="29">
        <f>ROUND(G205*4,0)</f>
        <v/>
      </c>
      <c r="M205" s="13" t="inlineStr">
        <is>
          <t>ACTIVE</t>
        </is>
      </c>
      <c r="N205" s="13" t="n">
        <v>2</v>
      </c>
    </row>
    <row r="206">
      <c r="A206" s="28" t="inlineStr">
        <is>
          <t>PELIGRO (&lt;3.5)</t>
        </is>
      </c>
      <c r="B206" s="13" t="inlineStr">
        <is>
          <t>22974393134797</t>
        </is>
      </c>
      <c r="C206" s="13" t="inlineStr">
        <is>
          <t>BRAZALETE V B.ZERO1 ROSE GOLD</t>
        </is>
      </c>
      <c r="D206" s="13" t="inlineStr">
        <is>
          <t>Default Title</t>
        </is>
      </c>
      <c r="E206" s="13" t="inlineStr">
        <is>
          <t>NANCY</t>
        </is>
      </c>
      <c r="F206" s="13" t="inlineStr">
        <is>
          <t>2026-04-01</t>
        </is>
      </c>
      <c r="G206" s="29" t="n">
        <v>143.4</v>
      </c>
      <c r="H206" s="29" t="n">
        <v>499</v>
      </c>
      <c r="I206" s="30">
        <f>IF(G206=0,"",H206/G206)</f>
        <v/>
      </c>
      <c r="J206" s="29">
        <f>ROUND(G206*2.5,0)</f>
        <v/>
      </c>
      <c r="K206" s="29">
        <f>ROUND(G206*3.5,0)</f>
        <v/>
      </c>
      <c r="L206" s="29">
        <f>ROUND(G206*4,0)</f>
        <v/>
      </c>
      <c r="M206" s="13" t="inlineStr">
        <is>
          <t>DRAFT</t>
        </is>
      </c>
      <c r="N206" s="13" t="n">
        <v>3</v>
      </c>
    </row>
    <row r="207">
      <c r="A207" s="28" t="inlineStr">
        <is>
          <t>PELIGRO (&lt;3.5)</t>
        </is>
      </c>
      <c r="B207" s="13" t="inlineStr">
        <is>
          <t>58980701120685</t>
        </is>
      </c>
      <c r="C207" s="13" t="inlineStr">
        <is>
          <t>TARJETERO LV CHARMS PINK</t>
        </is>
      </c>
      <c r="D207" s="13" t="inlineStr">
        <is>
          <t>Default Title</t>
        </is>
      </c>
      <c r="E207" s="13" t="inlineStr">
        <is>
          <t>NANCY</t>
        </is>
      </c>
      <c r="F207" s="13" t="inlineStr">
        <is>
          <t>2026-05-31</t>
        </is>
      </c>
      <c r="G207" s="29" t="n">
        <v>358.92</v>
      </c>
      <c r="H207" s="29" t="n">
        <v>1250</v>
      </c>
      <c r="I207" s="30">
        <f>IF(G207=0,"",H207/G207)</f>
        <v/>
      </c>
      <c r="J207" s="29">
        <f>ROUND(G207*2.5,0)</f>
        <v/>
      </c>
      <c r="K207" s="29">
        <f>ROUND(G207*3.5,0)</f>
        <v/>
      </c>
      <c r="L207" s="29">
        <f>ROUND(G207*4,0)</f>
        <v/>
      </c>
      <c r="M207" s="13" t="inlineStr">
        <is>
          <t>ACTIVE</t>
        </is>
      </c>
      <c r="N207" s="13" t="n">
        <v>1</v>
      </c>
    </row>
    <row r="208">
      <c r="A208" s="28" t="inlineStr">
        <is>
          <t>PELIGRO (&lt;3.5)</t>
        </is>
      </c>
      <c r="B208" s="13" t="inlineStr">
        <is>
          <t>648cc5b33a8a2</t>
        </is>
      </c>
      <c r="C208" s="13" t="inlineStr">
        <is>
          <t>ARETES SQUARE V GOLD</t>
        </is>
      </c>
      <c r="D208" s="13" t="inlineStr">
        <is>
          <t>Small 4cm</t>
        </is>
      </c>
      <c r="E208" s="13" t="inlineStr">
        <is>
          <t>NANCY</t>
        </is>
      </c>
      <c r="F208" s="13" t="inlineStr">
        <is>
          <t>2026-04-01</t>
        </is>
      </c>
      <c r="G208" s="29" t="n">
        <v>157.77</v>
      </c>
      <c r="H208" s="29" t="n">
        <v>550</v>
      </c>
      <c r="I208" s="30">
        <f>IF(G208=0,"",H208/G208)</f>
        <v/>
      </c>
      <c r="J208" s="29">
        <f>ROUND(G208*2.5,0)</f>
        <v/>
      </c>
      <c r="K208" s="29">
        <f>ROUND(G208*3.5,0)</f>
        <v/>
      </c>
      <c r="L208" s="29">
        <f>ROUND(G208*4,0)</f>
        <v/>
      </c>
      <c r="M208" s="13" t="inlineStr">
        <is>
          <t>ACTIVE</t>
        </is>
      </c>
      <c r="N208" s="13" t="n">
        <v>0</v>
      </c>
    </row>
    <row r="209">
      <c r="A209" s="28" t="inlineStr">
        <is>
          <t>PELIGRO (&lt;3.5)</t>
        </is>
      </c>
      <c r="B209" s="13" t="inlineStr">
        <is>
          <t>6701d25048325</t>
        </is>
      </c>
      <c r="C209" s="13" t="inlineStr">
        <is>
          <t>BOLSO LV LOOP</t>
        </is>
      </c>
      <c r="D209" s="13" t="inlineStr">
        <is>
          <t>23.5cm de largo x 21cm de alto x 6cm de ancho</t>
        </is>
      </c>
      <c r="E209" s="13" t="inlineStr">
        <is>
          <t>ZOEY</t>
        </is>
      </c>
      <c r="F209" s="13" t="inlineStr">
        <is>
          <t>2026-03-19</t>
        </is>
      </c>
      <c r="G209" s="29" t="n">
        <v>1160.19</v>
      </c>
      <c r="H209" s="29" t="n">
        <v>4060</v>
      </c>
      <c r="I209" s="30">
        <f>IF(G209=0,"",H209/G209)</f>
        <v/>
      </c>
      <c r="J209" s="29">
        <f>ROUND(G209*2.5,0)</f>
        <v/>
      </c>
      <c r="K209" s="29">
        <f>ROUND(G209*3.5,0)</f>
        <v/>
      </c>
      <c r="L209" s="29">
        <f>ROUND(G209*4,0)</f>
        <v/>
      </c>
      <c r="M209" s="13" t="inlineStr">
        <is>
          <t>ACTIVE</t>
        </is>
      </c>
      <c r="N209" s="13" t="n">
        <v>8</v>
      </c>
    </row>
    <row r="210">
      <c r="A210" s="28" t="inlineStr">
        <is>
          <t>PELIGRO (&lt;3.5)</t>
        </is>
      </c>
      <c r="B210" s="13" t="inlineStr">
        <is>
          <t>27168511089165</t>
        </is>
      </c>
      <c r="C210" s="13" t="inlineStr">
        <is>
          <t>BOLSA GG SMALL BROWN</t>
        </is>
      </c>
      <c r="D210" s="13" t="inlineStr">
        <is>
          <t>Default Title</t>
        </is>
      </c>
      <c r="E210" s="13" t="inlineStr">
        <is>
          <t>ZOEY</t>
        </is>
      </c>
      <c r="F210" s="13" t="inlineStr">
        <is>
          <t>2026-03-02</t>
        </is>
      </c>
      <c r="G210" s="29" t="n">
        <v>1208.74</v>
      </c>
      <c r="H210" s="29" t="n">
        <v>4230.59</v>
      </c>
      <c r="I210" s="30">
        <f>IF(G210=0,"",H210/G210)</f>
        <v/>
      </c>
      <c r="J210" s="29">
        <f>ROUND(G210*2.5,0)</f>
        <v/>
      </c>
      <c r="K210" s="29">
        <f>ROUND(G210*3.5,0)</f>
        <v/>
      </c>
      <c r="L210" s="29">
        <f>ROUND(G210*4,0)</f>
        <v/>
      </c>
      <c r="M210" s="13" t="inlineStr">
        <is>
          <t>ACTIVE</t>
        </is>
      </c>
      <c r="N210" s="13" t="n">
        <v>8</v>
      </c>
    </row>
    <row r="211">
      <c r="A211" s="28" t="inlineStr">
        <is>
          <t>PELIGRO (&lt;3.5)</t>
        </is>
      </c>
      <c r="B211" s="13" t="inlineStr">
        <is>
          <t>64e78f8a50e61</t>
        </is>
      </c>
      <c r="C211" s="13" t="inlineStr">
        <is>
          <t>BOLSO GC BLACK</t>
        </is>
      </c>
      <c r="D211" s="13" t="inlineStr">
        <is>
          <t>22.5.cmx15cm</t>
        </is>
      </c>
      <c r="E211" s="13" t="inlineStr">
        <is>
          <t>ZOEY</t>
        </is>
      </c>
      <c r="F211" s="13" t="inlineStr">
        <is>
          <t>2026-01-20</t>
        </is>
      </c>
      <c r="G211" s="29" t="n">
        <v>1457.77</v>
      </c>
      <c r="H211" s="29" t="n">
        <v>5102.19</v>
      </c>
      <c r="I211" s="30">
        <f>IF(G211=0,"",H211/G211)</f>
        <v/>
      </c>
      <c r="J211" s="29">
        <f>ROUND(G211*2.5,0)</f>
        <v/>
      </c>
      <c r="K211" s="29">
        <f>ROUND(G211*3.5,0)</f>
        <v/>
      </c>
      <c r="L211" s="29">
        <f>ROUND(G211*4,0)</f>
        <v/>
      </c>
      <c r="M211" s="13" t="inlineStr">
        <is>
          <t>ACTIVE</t>
        </is>
      </c>
      <c r="N211" s="13" t="n">
        <v>1</v>
      </c>
    </row>
    <row r="212">
      <c r="A212" s="28" t="inlineStr">
        <is>
          <t>PELIGRO (&lt;3.5)</t>
        </is>
      </c>
      <c r="B212" s="13" t="inlineStr">
        <is>
          <t>64e78f8d3897d</t>
        </is>
      </c>
      <c r="C212" s="13" t="inlineStr">
        <is>
          <t>BOLSO GC BROWN</t>
        </is>
      </c>
      <c r="D212" s="13" t="inlineStr">
        <is>
          <t>22.5.cmx15cm</t>
        </is>
      </c>
      <c r="E212" s="13" t="inlineStr">
        <is>
          <t>ZOEY</t>
        </is>
      </c>
      <c r="F212" s="13" t="inlineStr">
        <is>
          <t>2026-04-20</t>
        </is>
      </c>
      <c r="G212" s="29" t="n">
        <v>1434.09</v>
      </c>
      <c r="H212" s="29" t="n">
        <v>5019</v>
      </c>
      <c r="I212" s="30">
        <f>IF(G212=0,"",H212/G212)</f>
        <v/>
      </c>
      <c r="J212" s="29">
        <f>ROUND(G212*2.5,0)</f>
        <v/>
      </c>
      <c r="K212" s="29">
        <f>ROUND(G212*3.5,0)</f>
        <v/>
      </c>
      <c r="L212" s="29">
        <f>ROUND(G212*4,0)</f>
        <v/>
      </c>
      <c r="M212" s="13" t="inlineStr">
        <is>
          <t>ACTIVE</t>
        </is>
      </c>
      <c r="N212" s="13" t="n">
        <v>3</v>
      </c>
    </row>
    <row r="213">
      <c r="A213" s="28" t="inlineStr">
        <is>
          <t>PELIGRO (&lt;3.5)</t>
        </is>
      </c>
      <c r="B213" s="13" t="inlineStr">
        <is>
          <t>66958009110540</t>
        </is>
      </c>
      <c r="C213" s="13" t="inlineStr">
        <is>
          <t>BOLSO LADY D JOY BLACK</t>
        </is>
      </c>
      <c r="D213" s="13" t="inlineStr">
        <is>
          <t>22cm de largo x 11.5cm dde alto x 6.8cm de ancho (REMATE)</t>
        </is>
      </c>
      <c r="E213" s="13" t="inlineStr">
        <is>
          <t>ZOEY</t>
        </is>
      </c>
      <c r="F213" s="13" t="inlineStr">
        <is>
          <t>2026-04-20</t>
        </is>
      </c>
      <c r="G213" s="29" t="n">
        <v>1434.09</v>
      </c>
      <c r="H213" s="29" t="n">
        <v>5019</v>
      </c>
      <c r="I213" s="30">
        <f>IF(G213=0,"",H213/G213)</f>
        <v/>
      </c>
      <c r="J213" s="29">
        <f>ROUND(G213*2.5,0)</f>
        <v/>
      </c>
      <c r="K213" s="29">
        <f>ROUND(G213*3.5,0)</f>
        <v/>
      </c>
      <c r="L213" s="29">
        <f>ROUND(G213*4,0)</f>
        <v/>
      </c>
      <c r="M213" s="13" t="inlineStr">
        <is>
          <t>ACTIVE</t>
        </is>
      </c>
      <c r="N213" s="13" t="n">
        <v>2</v>
      </c>
    </row>
    <row r="214">
      <c r="A214" s="28" t="inlineStr">
        <is>
          <t>PELIGRO (&lt;3.5)</t>
        </is>
      </c>
      <c r="B214" s="13" t="inlineStr">
        <is>
          <t>82224431085741</t>
        </is>
      </c>
      <c r="C214" s="13" t="inlineStr">
        <is>
          <t>BOLSO MM WANDER OFF WHITE</t>
        </is>
      </c>
      <c r="D214" s="13" t="inlineStr">
        <is>
          <t>WHITE</t>
        </is>
      </c>
      <c r="E214" s="13" t="inlineStr">
        <is>
          <t>ZOEY</t>
        </is>
      </c>
      <c r="F214" s="13" t="inlineStr">
        <is>
          <t>2026-03-02</t>
        </is>
      </c>
      <c r="G214" s="29" t="n">
        <v>1261.29</v>
      </c>
      <c r="H214" s="29" t="n">
        <v>4414.53</v>
      </c>
      <c r="I214" s="30">
        <f>IF(G214=0,"",H214/G214)</f>
        <v/>
      </c>
      <c r="J214" s="29">
        <f>ROUND(G214*2.5,0)</f>
        <v/>
      </c>
      <c r="K214" s="29">
        <f>ROUND(G214*3.5,0)</f>
        <v/>
      </c>
      <c r="L214" s="29">
        <f>ROUND(G214*4,0)</f>
        <v/>
      </c>
      <c r="M214" s="13" t="inlineStr">
        <is>
          <t>ACTIVE</t>
        </is>
      </c>
      <c r="N214" s="13" t="n">
        <v>0</v>
      </c>
    </row>
    <row r="215">
      <c r="A215" s="28" t="inlineStr">
        <is>
          <t>PELIGRO (&lt;3.5)</t>
        </is>
      </c>
      <c r="B215" s="13" t="inlineStr">
        <is>
          <t>93098782656749</t>
        </is>
      </c>
      <c r="C215" s="13" t="inlineStr">
        <is>
          <t>CINTO LV REVERSIBLE PRETTY</t>
        </is>
      </c>
      <c r="D215" s="13" t="inlineStr">
        <is>
          <t>BLACK</t>
        </is>
      </c>
      <c r="E215" s="13" t="inlineStr">
        <is>
          <t>ZOEY</t>
        </is>
      </c>
      <c r="F215" s="13" t="inlineStr">
        <is>
          <t>2026-03-02</t>
        </is>
      </c>
      <c r="G215" s="29" t="n">
        <v>1182.46</v>
      </c>
      <c r="H215" s="29" t="n">
        <v>4138.62</v>
      </c>
      <c r="I215" s="30">
        <f>IF(G215=0,"",H215/G215)</f>
        <v/>
      </c>
      <c r="J215" s="29">
        <f>ROUND(G215*2.5,0)</f>
        <v/>
      </c>
      <c r="K215" s="29">
        <f>ROUND(G215*3.5,0)</f>
        <v/>
      </c>
      <c r="L215" s="29">
        <f>ROUND(G215*4,0)</f>
        <v/>
      </c>
      <c r="M215" s="13" t="inlineStr">
        <is>
          <t>ACTIVE</t>
        </is>
      </c>
      <c r="N215" s="13" t="n">
        <v>0</v>
      </c>
    </row>
    <row r="216">
      <c r="A216" s="28" t="inlineStr">
        <is>
          <t>PELIGRO (&lt;3.5)</t>
        </is>
      </c>
      <c r="B216" s="13" t="inlineStr">
        <is>
          <t>93098782555053</t>
        </is>
      </c>
      <c r="C216" s="13" t="inlineStr">
        <is>
          <t>CINTO LV REVERSIBLE MINI</t>
        </is>
      </c>
      <c r="D216" s="13" t="inlineStr">
        <is>
          <t>BLACK</t>
        </is>
      </c>
      <c r="E216" s="13" t="inlineStr">
        <is>
          <t>ZOEY</t>
        </is>
      </c>
      <c r="F216" s="13" t="inlineStr">
        <is>
          <t>2026-03-02</t>
        </is>
      </c>
      <c r="G216" s="29" t="n">
        <v>1182.46</v>
      </c>
      <c r="H216" s="29" t="n">
        <v>4138.62</v>
      </c>
      <c r="I216" s="30">
        <f>IF(G216=0,"",H216/G216)</f>
        <v/>
      </c>
      <c r="J216" s="29">
        <f>ROUND(G216*2.5,0)</f>
        <v/>
      </c>
      <c r="K216" s="29">
        <f>ROUND(G216*3.5,0)</f>
        <v/>
      </c>
      <c r="L216" s="29">
        <f>ROUND(G216*4,0)</f>
        <v/>
      </c>
      <c r="M216" s="13" t="inlineStr">
        <is>
          <t>ACTIVE</t>
        </is>
      </c>
      <c r="N216" s="13" t="n">
        <v>0</v>
      </c>
    </row>
    <row r="217">
      <c r="A217" s="28" t="inlineStr">
        <is>
          <t>PELIGRO (&lt;3.5)</t>
        </is>
      </c>
      <c r="B217" s="13" t="inlineStr">
        <is>
          <t>99781783219981</t>
        </is>
      </c>
      <c r="C217" s="13" t="inlineStr">
        <is>
          <t>LENTES C TRIOMPHIE 01</t>
        </is>
      </c>
      <c r="D217" s="13" t="inlineStr">
        <is>
          <t>BLACK</t>
        </is>
      </c>
      <c r="E217" s="13" t="inlineStr">
        <is>
          <t>ZOEY</t>
        </is>
      </c>
      <c r="F217" s="13" t="inlineStr">
        <is>
          <t>2026-03-02</t>
        </is>
      </c>
      <c r="G217" s="29" t="n">
        <v>840.86</v>
      </c>
      <c r="H217" s="29" t="n">
        <v>2943.02</v>
      </c>
      <c r="I217" s="30">
        <f>IF(G217=0,"",H217/G217)</f>
        <v/>
      </c>
      <c r="J217" s="29">
        <f>ROUND(G217*2.5,0)</f>
        <v/>
      </c>
      <c r="K217" s="29">
        <f>ROUND(G217*3.5,0)</f>
        <v/>
      </c>
      <c r="L217" s="29">
        <f>ROUND(G217*4,0)</f>
        <v/>
      </c>
      <c r="M217" s="13" t="inlineStr">
        <is>
          <t>ACTIVE</t>
        </is>
      </c>
      <c r="N217" s="13" t="n">
        <v>1</v>
      </c>
    </row>
    <row r="218">
      <c r="A218" s="28" t="inlineStr">
        <is>
          <t>PELIGRO (&lt;3.5)</t>
        </is>
      </c>
      <c r="B218" s="13" t="inlineStr">
        <is>
          <t>91345323547213</t>
        </is>
      </c>
      <c r="C218" s="13" t="inlineStr">
        <is>
          <t>RELOJ C BAIGNOIRE GOLD</t>
        </is>
      </c>
      <c r="D218" s="13" t="inlineStr">
        <is>
          <t>Default Title</t>
        </is>
      </c>
      <c r="E218" s="13" t="inlineStr">
        <is>
          <t>ZOEY</t>
        </is>
      </c>
      <c r="F218" s="13" t="inlineStr">
        <is>
          <t>2026-04-20</t>
        </is>
      </c>
      <c r="G218" s="29" t="n">
        <v>2099.92</v>
      </c>
      <c r="H218" s="29" t="n">
        <v>7349</v>
      </c>
      <c r="I218" s="30">
        <f>IF(G218=0,"",H218/G218)</f>
        <v/>
      </c>
      <c r="J218" s="29">
        <f>ROUND(G218*2.5,0)</f>
        <v/>
      </c>
      <c r="K218" s="29">
        <f>ROUND(G218*3.5,0)</f>
        <v/>
      </c>
      <c r="L218" s="29">
        <f>ROUND(G218*4,0)</f>
        <v/>
      </c>
      <c r="M218" s="13" t="inlineStr">
        <is>
          <t>DRAFT</t>
        </is>
      </c>
      <c r="N218" s="13" t="n">
        <v>2</v>
      </c>
    </row>
    <row r="219">
      <c r="A219" s="28" t="inlineStr">
        <is>
          <t>PELIGRO (&lt;3.5)</t>
        </is>
      </c>
      <c r="B219" s="13" t="inlineStr">
        <is>
          <t>91345323704269</t>
        </is>
      </c>
      <c r="C219" s="13" t="inlineStr">
        <is>
          <t>RELOJ C BAIGNOIRE ROSE GOLD</t>
        </is>
      </c>
      <c r="D219" s="13" t="inlineStr">
        <is>
          <t>Default Title</t>
        </is>
      </c>
      <c r="E219" s="13" t="inlineStr">
        <is>
          <t>ZOEY</t>
        </is>
      </c>
      <c r="F219" s="13" t="inlineStr">
        <is>
          <t>2026-04-20</t>
        </is>
      </c>
      <c r="G219" s="29" t="n">
        <v>2099.92</v>
      </c>
      <c r="H219" s="29" t="n">
        <v>7349</v>
      </c>
      <c r="I219" s="30">
        <f>IF(G219=0,"",H219/G219)</f>
        <v/>
      </c>
      <c r="J219" s="29">
        <f>ROUND(G219*2.5,0)</f>
        <v/>
      </c>
      <c r="K219" s="29">
        <f>ROUND(G219*3.5,0)</f>
        <v/>
      </c>
      <c r="L219" s="29">
        <f>ROUND(G219*4,0)</f>
        <v/>
      </c>
      <c r="M219" s="13" t="inlineStr">
        <is>
          <t>DRAFT</t>
        </is>
      </c>
      <c r="N219" s="13" t="n">
        <v>2</v>
      </c>
    </row>
    <row r="220">
      <c r="A220" s="28" t="inlineStr">
        <is>
          <t>PELIGRO (&lt;3.5)</t>
        </is>
      </c>
      <c r="B220" s="13" t="inlineStr">
        <is>
          <t>34163623457677</t>
        </is>
      </c>
      <c r="C220" s="13" t="inlineStr">
        <is>
          <t>PULSERA DE TENNIS DIAMONDS BLUE</t>
        </is>
      </c>
      <c r="D220" s="13" t="inlineStr">
        <is>
          <t>Default Title</t>
        </is>
      </c>
      <c r="E220" s="13" t="inlineStr">
        <is>
          <t>ZOEY</t>
        </is>
      </c>
      <c r="F220" s="13" t="inlineStr">
        <is>
          <t>2026-04-20</t>
        </is>
      </c>
      <c r="G220" s="29" t="n">
        <v>307.31</v>
      </c>
      <c r="H220" s="29" t="n">
        <v>1075</v>
      </c>
      <c r="I220" s="30">
        <f>IF(G220=0,"",H220/G220)</f>
        <v/>
      </c>
      <c r="J220" s="29">
        <f>ROUND(G220*2.5,0)</f>
        <v/>
      </c>
      <c r="K220" s="29">
        <f>ROUND(G220*3.5,0)</f>
        <v/>
      </c>
      <c r="L220" s="29">
        <f>ROUND(G220*4,0)</f>
        <v/>
      </c>
      <c r="M220" s="13" t="inlineStr">
        <is>
          <t>ACTIVE</t>
        </is>
      </c>
      <c r="N220" s="13" t="n">
        <v>1</v>
      </c>
    </row>
    <row r="221">
      <c r="A221" s="28" t="inlineStr">
        <is>
          <t>PELIGRO (&lt;3.5)</t>
        </is>
      </c>
      <c r="B221" s="13" t="inlineStr">
        <is>
          <t>34163623137869</t>
        </is>
      </c>
      <c r="C221" s="13" t="inlineStr">
        <is>
          <t>BOLSO F SUNSHINE BLACK</t>
        </is>
      </c>
      <c r="D221" s="13" t="inlineStr">
        <is>
          <t>Default Title</t>
        </is>
      </c>
      <c r="E221" s="13" t="inlineStr">
        <is>
          <t>ZOEY</t>
        </is>
      </c>
      <c r="F221" s="13" t="inlineStr">
        <is>
          <t>2026-04-20</t>
        </is>
      </c>
      <c r="G221" s="29" t="n">
        <v>1434.09</v>
      </c>
      <c r="H221" s="29" t="n">
        <v>5019</v>
      </c>
      <c r="I221" s="30">
        <f>IF(G221=0,"",H221/G221)</f>
        <v/>
      </c>
      <c r="J221" s="29">
        <f>ROUND(G221*2.5,0)</f>
        <v/>
      </c>
      <c r="K221" s="29">
        <f>ROUND(G221*3.5,0)</f>
        <v/>
      </c>
      <c r="L221" s="29">
        <f>ROUND(G221*4,0)</f>
        <v/>
      </c>
      <c r="M221" s="13" t="inlineStr">
        <is>
          <t>ACTIVE</t>
        </is>
      </c>
      <c r="N221" s="13" t="n">
        <v>0</v>
      </c>
    </row>
    <row r="222">
      <c r="A222" s="28" t="inlineStr">
        <is>
          <t>PELIGRO (&lt;3.5)</t>
        </is>
      </c>
      <c r="B222" s="13" t="inlineStr">
        <is>
          <t>34163622017517</t>
        </is>
      </c>
      <c r="C222" s="13" t="inlineStr">
        <is>
          <t>CARTERA F BAGUETTE WHITE</t>
        </is>
      </c>
      <c r="D222" s="13" t="inlineStr">
        <is>
          <t>HIGH QUALITY</t>
        </is>
      </c>
      <c r="E222" s="13" t="inlineStr">
        <is>
          <t>ZOEY</t>
        </is>
      </c>
      <c r="F222" s="13" t="inlineStr">
        <is>
          <t>2026-04-20</t>
        </is>
      </c>
      <c r="G222" s="29" t="n">
        <v>1331.66</v>
      </c>
      <c r="H222" s="29" t="n">
        <v>4660</v>
      </c>
      <c r="I222" s="30">
        <f>IF(G222=0,"",H222/G222)</f>
        <v/>
      </c>
      <c r="J222" s="29">
        <f>ROUND(G222*2.5,0)</f>
        <v/>
      </c>
      <c r="K222" s="29">
        <f>ROUND(G222*3.5,0)</f>
        <v/>
      </c>
      <c r="L222" s="29">
        <f>ROUND(G222*4,0)</f>
        <v/>
      </c>
      <c r="M222" s="13" t="inlineStr">
        <is>
          <t>ACTIVE</t>
        </is>
      </c>
      <c r="N222" s="13" t="n">
        <v>0</v>
      </c>
    </row>
    <row r="223">
      <c r="A223" s="28" t="inlineStr">
        <is>
          <t>PELIGRO (&lt;3.5)</t>
        </is>
      </c>
      <c r="B223" s="13" t="inlineStr">
        <is>
          <t>34163622850829</t>
        </is>
      </c>
      <c r="C223" s="13" t="inlineStr">
        <is>
          <t>LENTES YSL SL 914 BROWN</t>
        </is>
      </c>
      <c r="D223" s="13" t="inlineStr">
        <is>
          <t>Default Title</t>
        </is>
      </c>
      <c r="E223" s="13" t="inlineStr">
        <is>
          <t>ZOEY</t>
        </is>
      </c>
      <c r="F223" s="13" t="inlineStr">
        <is>
          <t>2026-04-20</t>
        </is>
      </c>
      <c r="G223" s="29" t="n">
        <v>1024.35</v>
      </c>
      <c r="H223" s="29" t="n">
        <v>3585</v>
      </c>
      <c r="I223" s="30">
        <f>IF(G223=0,"",H223/G223)</f>
        <v/>
      </c>
      <c r="J223" s="29">
        <f>ROUND(G223*2.5,0)</f>
        <v/>
      </c>
      <c r="K223" s="29">
        <f>ROUND(G223*3.5,0)</f>
        <v/>
      </c>
      <c r="L223" s="29">
        <f>ROUND(G223*4,0)</f>
        <v/>
      </c>
      <c r="M223" s="13" t="inlineStr">
        <is>
          <t>ACTIVE</t>
        </is>
      </c>
      <c r="N223" s="13" t="n">
        <v>1</v>
      </c>
    </row>
    <row r="224">
      <c r="A224" s="28" t="inlineStr">
        <is>
          <t>PELIGRO (&lt;3.5)</t>
        </is>
      </c>
      <c r="B224" s="13" t="inlineStr">
        <is>
          <t>85430731026029</t>
        </is>
      </c>
      <c r="C224" s="13" t="inlineStr">
        <is>
          <t>RELOJ PANTHERE SILVER</t>
        </is>
      </c>
      <c r="D224" s="13" t="inlineStr">
        <is>
          <t>RELOJ CON CAJA</t>
        </is>
      </c>
      <c r="E224" s="13" t="inlineStr">
        <is>
          <t>ZOEY</t>
        </is>
      </c>
      <c r="F224" s="13" t="inlineStr">
        <is>
          <t>2026-06-08</t>
        </is>
      </c>
      <c r="G224" s="29" t="n">
        <v>1421.66</v>
      </c>
      <c r="H224" s="29" t="n">
        <v>4970</v>
      </c>
      <c r="I224" s="30">
        <f>IF(G224=0,"",H224/G224)</f>
        <v/>
      </c>
      <c r="J224" s="29">
        <f>ROUND(G224*2.5,0)</f>
        <v/>
      </c>
      <c r="K224" s="29">
        <f>ROUND(G224*3.5,0)</f>
        <v/>
      </c>
      <c r="L224" s="29">
        <f>ROUND(G224*4,0)</f>
        <v/>
      </c>
      <c r="M224" s="13" t="inlineStr">
        <is>
          <t>ACTIVE</t>
        </is>
      </c>
      <c r="N224" s="13" t="n">
        <v>1</v>
      </c>
    </row>
    <row r="225">
      <c r="A225" s="28" t="inlineStr">
        <is>
          <t>PELIGRO (&lt;3.5)</t>
        </is>
      </c>
      <c r="B225" s="13" t="inlineStr">
        <is>
          <t>43728084530892</t>
        </is>
      </c>
      <c r="C225" s="13" t="inlineStr">
        <is>
          <t>SUÉTER PR MILANO WHITE</t>
        </is>
      </c>
      <c r="D225" s="13" t="inlineStr">
        <is>
          <t>M</t>
        </is>
      </c>
      <c r="E225" s="13" t="inlineStr">
        <is>
          <t>ZOEY</t>
        </is>
      </c>
      <c r="F225" s="13" t="inlineStr">
        <is>
          <t>2026-06-08</t>
        </is>
      </c>
      <c r="G225" s="29" t="n">
        <v>931.4299999999999</v>
      </c>
      <c r="H225" s="29" t="n">
        <v>3260</v>
      </c>
      <c r="I225" s="30">
        <f>IF(G225=0,"",H225/G225)</f>
        <v/>
      </c>
      <c r="J225" s="29">
        <f>ROUND(G225*2.5,0)</f>
        <v/>
      </c>
      <c r="K225" s="29">
        <f>ROUND(G225*3.5,0)</f>
        <v/>
      </c>
      <c r="L225" s="29">
        <f>ROUND(G225*4,0)</f>
        <v/>
      </c>
      <c r="M225" s="13" t="inlineStr">
        <is>
          <t>ACTIVE</t>
        </is>
      </c>
      <c r="N225" s="13" t="n">
        <v>0</v>
      </c>
    </row>
    <row r="226">
      <c r="A226" s="28" t="inlineStr">
        <is>
          <t>PELIGRO (&lt;3.5)</t>
        </is>
      </c>
      <c r="B226" s="13" t="inlineStr">
        <is>
          <t>24780441331117</t>
        </is>
      </c>
      <c r="C226" s="13" t="inlineStr">
        <is>
          <t>BOLSO LV NANO DIANE MONOGRAM</t>
        </is>
      </c>
      <c r="D226" s="13" t="inlineStr"/>
      <c r="E226" s="13" t="inlineStr">
        <is>
          <t>ZOEY</t>
        </is>
      </c>
      <c r="F226" s="13" t="inlineStr">
        <is>
          <t>2026-06-08</t>
        </is>
      </c>
      <c r="G226" s="29" t="n">
        <v>931.4299999999999</v>
      </c>
      <c r="H226" s="29" t="n">
        <v>3260</v>
      </c>
      <c r="I226" s="30">
        <f>IF(G226=0,"",H226/G226)</f>
        <v/>
      </c>
      <c r="J226" s="29">
        <f>ROUND(G226*2.5,0)</f>
        <v/>
      </c>
      <c r="K226" s="29">
        <f>ROUND(G226*3.5,0)</f>
        <v/>
      </c>
      <c r="L226" s="29">
        <f>ROUND(G226*4,0)</f>
        <v/>
      </c>
      <c r="M226" s="13" t="inlineStr">
        <is>
          <t>ACTIVE</t>
        </is>
      </c>
      <c r="N226" s="13" t="n">
        <v>0</v>
      </c>
    </row>
    <row r="227">
      <c r="A227" s="28" t="inlineStr">
        <is>
          <t>PELIGRO (&lt;3.5)</t>
        </is>
      </c>
      <c r="B227" s="13" t="inlineStr">
        <is>
          <t>62809482933772</t>
        </is>
      </c>
      <c r="C227" s="13" t="inlineStr">
        <is>
          <t>BOLSO CD MESSENGER SADDLE BLUE</t>
        </is>
      </c>
      <c r="D227" s="13" t="inlineStr">
        <is>
          <t>20cm de largo x 14cm de alto x 5cm de ancho</t>
        </is>
      </c>
      <c r="E227" s="13" t="inlineStr">
        <is>
          <t>CYNTHIA</t>
        </is>
      </c>
      <c r="F227" s="13" t="inlineStr">
        <is>
          <t>2026-03-19</t>
        </is>
      </c>
      <c r="G227" s="29" t="n">
        <v>1342.87</v>
      </c>
      <c r="H227" s="29" t="n">
        <v>4700</v>
      </c>
      <c r="I227" s="30">
        <f>IF(G227=0,"",H227/G227)</f>
        <v/>
      </c>
      <c r="J227" s="29">
        <f>ROUND(G227*2.5,0)</f>
        <v/>
      </c>
      <c r="K227" s="29">
        <f>ROUND(G227*3.5,0)</f>
        <v/>
      </c>
      <c r="L227" s="29">
        <f>ROUND(G227*4,0)</f>
        <v/>
      </c>
      <c r="M227" s="13" t="inlineStr">
        <is>
          <t>ACTIVE</t>
        </is>
      </c>
      <c r="N227" s="13" t="n">
        <v>2</v>
      </c>
    </row>
    <row r="228">
      <c r="A228" s="28" t="inlineStr">
        <is>
          <t>PELIGRO (&lt;3.5)</t>
        </is>
      </c>
      <c r="B228" s="13" t="inlineStr">
        <is>
          <t>43728082064620</t>
        </is>
      </c>
      <c r="C228" s="13" t="inlineStr">
        <is>
          <t>BOLSO LW CHERRY</t>
        </is>
      </c>
      <c r="D228" s="13" t="inlineStr">
        <is>
          <t>28cmx20cm</t>
        </is>
      </c>
      <c r="E228" s="13" t="inlineStr">
        <is>
          <t>CYNTHIA</t>
        </is>
      </c>
      <c r="F228" s="13" t="inlineStr">
        <is>
          <t>2026-02-18</t>
        </is>
      </c>
      <c r="G228" s="29" t="n">
        <v>2001.21</v>
      </c>
      <c r="H228" s="29" t="n">
        <v>6999</v>
      </c>
      <c r="I228" s="30">
        <f>IF(G228=0,"",H228/G228)</f>
        <v/>
      </c>
      <c r="J228" s="29">
        <f>ROUND(G228*2.5,0)</f>
        <v/>
      </c>
      <c r="K228" s="29">
        <f>ROUND(G228*3.5,0)</f>
        <v/>
      </c>
      <c r="L228" s="29">
        <f>ROUND(G228*4,0)</f>
        <v/>
      </c>
      <c r="M228" s="13" t="inlineStr">
        <is>
          <t>ACTIVE</t>
        </is>
      </c>
      <c r="N228" s="13" t="n">
        <v>4</v>
      </c>
    </row>
    <row r="229">
      <c r="A229" s="28" t="inlineStr">
        <is>
          <t>PELIGRO (&lt;3.5)</t>
        </is>
      </c>
      <c r="B229" s="13" t="inlineStr">
        <is>
          <t>43728071990540</t>
        </is>
      </c>
      <c r="C229" s="13" t="inlineStr">
        <is>
          <t>BOLSO LW BLACK</t>
        </is>
      </c>
      <c r="D229" s="13" t="inlineStr">
        <is>
          <t>28cm x 20cm</t>
        </is>
      </c>
      <c r="E229" s="13" t="inlineStr">
        <is>
          <t>CYNTHIA</t>
        </is>
      </c>
      <c r="F229" s="13" t="inlineStr">
        <is>
          <t>2026-02-18</t>
        </is>
      </c>
      <c r="G229" s="29" t="n">
        <v>2001.21</v>
      </c>
      <c r="H229" s="29" t="n">
        <v>6999</v>
      </c>
      <c r="I229" s="30">
        <f>IF(G229=0,"",H229/G229)</f>
        <v/>
      </c>
      <c r="J229" s="29">
        <f>ROUND(G229*2.5,0)</f>
        <v/>
      </c>
      <c r="K229" s="29">
        <f>ROUND(G229*3.5,0)</f>
        <v/>
      </c>
      <c r="L229" s="29">
        <f>ROUND(G229*4,0)</f>
        <v/>
      </c>
      <c r="M229" s="13" t="inlineStr">
        <is>
          <t>ACTIVE</t>
        </is>
      </c>
      <c r="N229" s="13" t="n">
        <v>4</v>
      </c>
    </row>
    <row r="230">
      <c r="A230" s="28" t="inlineStr">
        <is>
          <t>PELIGRO (&lt;3.5)</t>
        </is>
      </c>
      <c r="B230" s="13" t="inlineStr">
        <is>
          <t>64e78f9336406</t>
        </is>
      </c>
      <c r="C230" s="13" t="inlineStr">
        <is>
          <t>BOLSO V BLACK</t>
        </is>
      </c>
      <c r="D230" s="13" t="inlineStr">
        <is>
          <t>20.5cmx14cm</t>
        </is>
      </c>
      <c r="E230" s="13" t="inlineStr">
        <is>
          <t>DINA DU</t>
        </is>
      </c>
      <c r="F230" s="13" t="inlineStr">
        <is>
          <t>2026-02-06</t>
        </is>
      </c>
      <c r="G230" s="29" t="n">
        <v>1229.18</v>
      </c>
      <c r="H230" s="29" t="n">
        <v>4302.14</v>
      </c>
      <c r="I230" s="30">
        <f>IF(G230=0,"",H230/G230)</f>
        <v/>
      </c>
      <c r="J230" s="29">
        <f>ROUND(G230*2.5,0)</f>
        <v/>
      </c>
      <c r="K230" s="29">
        <f>ROUND(G230*3.5,0)</f>
        <v/>
      </c>
      <c r="L230" s="29">
        <f>ROUND(G230*4,0)</f>
        <v/>
      </c>
      <c r="M230" s="13" t="inlineStr">
        <is>
          <t>ACTIVE</t>
        </is>
      </c>
      <c r="N230" s="13" t="n">
        <v>2</v>
      </c>
    </row>
    <row r="231">
      <c r="A231" s="28" t="inlineStr">
        <is>
          <t>PELIGRO (&lt;3.5)</t>
        </is>
      </c>
      <c r="B231" s="13" t="inlineStr">
        <is>
          <t>67572cbd4a7ca</t>
        </is>
      </c>
      <c r="C231" s="13" t="inlineStr">
        <is>
          <t>BOLSO YSL CON CADENA BLACK</t>
        </is>
      </c>
      <c r="D231" s="13" t="inlineStr">
        <is>
          <t>19cm de alto x 24cm de largo x 7cm de ancho</t>
        </is>
      </c>
      <c r="E231" s="13" t="inlineStr">
        <is>
          <t>DINA DU</t>
        </is>
      </c>
      <c r="F231" s="13" t="inlineStr">
        <is>
          <t>2026-02-06</t>
        </is>
      </c>
      <c r="G231" s="29" t="n">
        <v>1229.18</v>
      </c>
      <c r="H231" s="29" t="n">
        <v>4302.14</v>
      </c>
      <c r="I231" s="30">
        <f>IF(G231=0,"",H231/G231)</f>
        <v/>
      </c>
      <c r="J231" s="29">
        <f>ROUND(G231*2.5,0)</f>
        <v/>
      </c>
      <c r="K231" s="29">
        <f>ROUND(G231*3.5,0)</f>
        <v/>
      </c>
      <c r="L231" s="29">
        <f>ROUND(G231*4,0)</f>
        <v/>
      </c>
      <c r="M231" s="13" t="inlineStr">
        <is>
          <t>ACTIVE</t>
        </is>
      </c>
      <c r="N231" s="13" t="n">
        <v>1</v>
      </c>
    </row>
    <row r="232">
      <c r="A232" s="28" t="inlineStr">
        <is>
          <t>PELIGRO (&lt;3.5)</t>
        </is>
      </c>
      <c r="B232" s="13" t="inlineStr">
        <is>
          <t>85367152182925</t>
        </is>
      </c>
      <c r="C232" s="13" t="inlineStr">
        <is>
          <t>BOLSO CC SHINY STAR BLACK</t>
        </is>
      </c>
      <c r="D232" s="13" t="inlineStr">
        <is>
          <t>BLACK/GOLD</t>
        </is>
      </c>
      <c r="E232" s="13" t="inlineStr">
        <is>
          <t>DINA DU</t>
        </is>
      </c>
      <c r="F232" s="13" t="inlineStr">
        <is>
          <t>2026-02-06</t>
        </is>
      </c>
      <c r="G232" s="29" t="n">
        <v>1496.4</v>
      </c>
      <c r="H232" s="29" t="n">
        <v>5237.39</v>
      </c>
      <c r="I232" s="30">
        <f>IF(G232=0,"",H232/G232)</f>
        <v/>
      </c>
      <c r="J232" s="29">
        <f>ROUND(G232*2.5,0)</f>
        <v/>
      </c>
      <c r="K232" s="29">
        <f>ROUND(G232*3.5,0)</f>
        <v/>
      </c>
      <c r="L232" s="29">
        <f>ROUND(G232*4,0)</f>
        <v/>
      </c>
      <c r="M232" s="13" t="inlineStr">
        <is>
          <t>ACTIVE</t>
        </is>
      </c>
      <c r="N232" s="13" t="n">
        <v>2</v>
      </c>
    </row>
    <row r="233">
      <c r="A233" s="28" t="inlineStr">
        <is>
          <t>PELIGRO (&lt;3.5)</t>
        </is>
      </c>
      <c r="B233" s="13" t="inlineStr">
        <is>
          <t>85367151372749</t>
        </is>
      </c>
      <c r="C233" s="13" t="inlineStr">
        <is>
          <t>BOLSO CD MESSENGER SOLAPA</t>
        </is>
      </c>
      <c r="D233" s="13" t="inlineStr">
        <is>
          <t>BLACK</t>
        </is>
      </c>
      <c r="E233" s="13" t="inlineStr">
        <is>
          <t>DINA DU</t>
        </is>
      </c>
      <c r="F233" s="13" t="inlineStr">
        <is>
          <t>2026-02-06</t>
        </is>
      </c>
      <c r="G233" s="29" t="n">
        <v>1149.02</v>
      </c>
      <c r="H233" s="29" t="n">
        <v>4021.57</v>
      </c>
      <c r="I233" s="30">
        <f>IF(G233=0,"",H233/G233)</f>
        <v/>
      </c>
      <c r="J233" s="29">
        <f>ROUND(G233*2.5,0)</f>
        <v/>
      </c>
      <c r="K233" s="29">
        <f>ROUND(G233*3.5,0)</f>
        <v/>
      </c>
      <c r="L233" s="29">
        <f>ROUND(G233*4,0)</f>
        <v/>
      </c>
      <c r="M233" s="13" t="inlineStr">
        <is>
          <t>ACTIVE</t>
        </is>
      </c>
      <c r="N233" s="13" t="n">
        <v>0</v>
      </c>
    </row>
    <row r="234">
      <c r="A234" s="28" t="inlineStr">
        <is>
          <t>PELIGRO (&lt;3.5)</t>
        </is>
      </c>
      <c r="B234" s="13" t="inlineStr">
        <is>
          <t>19693770314380</t>
        </is>
      </c>
      <c r="C234" s="13" t="inlineStr">
        <is>
          <t>BOLSO DE VIAJE BROWN LV</t>
        </is>
      </c>
      <c r="D234" s="13" t="inlineStr">
        <is>
          <t>HIGH QUALITY</t>
        </is>
      </c>
      <c r="E234" s="13" t="inlineStr">
        <is>
          <t>DINA DU</t>
        </is>
      </c>
      <c r="F234" s="13" t="inlineStr">
        <is>
          <t>2026-04-27</t>
        </is>
      </c>
      <c r="G234" s="29" t="n">
        <v>1703.79</v>
      </c>
      <c r="H234" s="29" t="n">
        <v>5963.27</v>
      </c>
      <c r="I234" s="30">
        <f>IF(G234=0,"",H234/G234)</f>
        <v/>
      </c>
      <c r="J234" s="29">
        <f>ROUND(G234*2.5,0)</f>
        <v/>
      </c>
      <c r="K234" s="29">
        <f>ROUND(G234*3.5,0)</f>
        <v/>
      </c>
      <c r="L234" s="29">
        <f>ROUND(G234*4,0)</f>
        <v/>
      </c>
      <c r="M234" s="13" t="inlineStr">
        <is>
          <t>ACTIVE</t>
        </is>
      </c>
      <c r="N234" s="13" t="n">
        <v>1</v>
      </c>
    </row>
    <row r="235">
      <c r="A235" s="28" t="inlineStr">
        <is>
          <t>PELIGRO (&lt;3.5)</t>
        </is>
      </c>
      <c r="B235" s="13" t="inlineStr">
        <is>
          <t>43409491041677</t>
        </is>
      </c>
      <c r="C235" s="13" t="inlineStr">
        <is>
          <t>BOLSO YSL CON CADENA NUDE</t>
        </is>
      </c>
      <c r="D235" s="13" t="inlineStr">
        <is>
          <t>REGULAR</t>
        </is>
      </c>
      <c r="E235" s="13" t="inlineStr">
        <is>
          <t>DINA DU</t>
        </is>
      </c>
      <c r="F235" s="13" t="inlineStr">
        <is>
          <t>2026-04-27</t>
        </is>
      </c>
      <c r="G235" s="29" t="n">
        <v>1244.04</v>
      </c>
      <c r="H235" s="29" t="n">
        <v>4354.13</v>
      </c>
      <c r="I235" s="30">
        <f>IF(G235=0,"",H235/G235)</f>
        <v/>
      </c>
      <c r="J235" s="29">
        <f>ROUND(G235*2.5,0)</f>
        <v/>
      </c>
      <c r="K235" s="29">
        <f>ROUND(G235*3.5,0)</f>
        <v/>
      </c>
      <c r="L235" s="29">
        <f>ROUND(G235*4,0)</f>
        <v/>
      </c>
      <c r="M235" s="13" t="inlineStr">
        <is>
          <t>ACTIVE</t>
        </is>
      </c>
      <c r="N235" s="13" t="n">
        <v>2</v>
      </c>
    </row>
    <row r="236">
      <c r="A236" s="28" t="inlineStr">
        <is>
          <t>PELIGRO (&lt;3.5)</t>
        </is>
      </c>
      <c r="B236" s="13" t="inlineStr">
        <is>
          <t>67572cbe60534</t>
        </is>
      </c>
      <c r="C236" s="13" t="inlineStr">
        <is>
          <t>BOLSO YSL CON CADENA OFF WHITE</t>
        </is>
      </c>
      <c r="D236" s="13" t="inlineStr">
        <is>
          <t>Middle Quality</t>
        </is>
      </c>
      <c r="E236" s="13" t="inlineStr">
        <is>
          <t>DINA DU</t>
        </is>
      </c>
      <c r="F236" s="13" t="inlineStr">
        <is>
          <t>2026-04-27</t>
        </is>
      </c>
      <c r="G236" s="29" t="n">
        <v>1244.04</v>
      </c>
      <c r="H236" s="29" t="n">
        <v>4354.13</v>
      </c>
      <c r="I236" s="30">
        <f>IF(G236=0,"",H236/G236)</f>
        <v/>
      </c>
      <c r="J236" s="29">
        <f>ROUND(G236*2.5,0)</f>
        <v/>
      </c>
      <c r="K236" s="29">
        <f>ROUND(G236*3.5,0)</f>
        <v/>
      </c>
      <c r="L236" s="29">
        <f>ROUND(G236*4,0)</f>
        <v/>
      </c>
      <c r="M236" s="13" t="inlineStr">
        <is>
          <t>ACTIVE</t>
        </is>
      </c>
      <c r="N236" s="13" t="n">
        <v>0</v>
      </c>
    </row>
    <row r="237">
      <c r="A237" s="28" t="inlineStr">
        <is>
          <t>PELIGRO (&lt;3.5)</t>
        </is>
      </c>
      <c r="B237" s="13" t="inlineStr">
        <is>
          <t>58071991054829</t>
        </is>
      </c>
      <c r="C237" s="13" t="inlineStr">
        <is>
          <t>BOLSO YSL CON CADENA BURDEOS</t>
        </is>
      </c>
      <c r="D237" s="13" t="inlineStr">
        <is>
          <t>24cm de largo x 18cm de alto x 8cm de ancho.</t>
        </is>
      </c>
      <c r="E237" s="13" t="inlineStr">
        <is>
          <t>DINA DU</t>
        </is>
      </c>
      <c r="F237" s="13" t="inlineStr">
        <is>
          <t>2026-04-27</t>
        </is>
      </c>
      <c r="G237" s="29" t="n">
        <v>1244.04</v>
      </c>
      <c r="H237" s="29" t="n">
        <v>4354.13</v>
      </c>
      <c r="I237" s="30">
        <f>IF(G237=0,"",H237/G237)</f>
        <v/>
      </c>
      <c r="J237" s="29">
        <f>ROUND(G237*2.5,0)</f>
        <v/>
      </c>
      <c r="K237" s="29">
        <f>ROUND(G237*3.5,0)</f>
        <v/>
      </c>
      <c r="L237" s="29">
        <f>ROUND(G237*4,0)</f>
        <v/>
      </c>
      <c r="M237" s="13" t="inlineStr">
        <is>
          <t>ACTIVE</t>
        </is>
      </c>
      <c r="N237" s="13" t="n">
        <v>0</v>
      </c>
    </row>
    <row r="238">
      <c r="A238" s="28" t="inlineStr">
        <is>
          <t>PELIGRO (&lt;3.5)</t>
        </is>
      </c>
      <c r="B238" s="13" t="inlineStr">
        <is>
          <t>10132411318605</t>
        </is>
      </c>
      <c r="C238" s="13" t="inlineStr">
        <is>
          <t>BOLSO CD BOW BLACK</t>
        </is>
      </c>
      <c r="D238" s="13" t="inlineStr">
        <is>
          <t>Default Title</t>
        </is>
      </c>
      <c r="E238" s="13" t="inlineStr">
        <is>
          <t>DINA DU</t>
        </is>
      </c>
      <c r="F238" s="13" t="inlineStr">
        <is>
          <t>2026-04-27</t>
        </is>
      </c>
      <c r="G238" s="29" t="n">
        <v>1920.15</v>
      </c>
      <c r="H238" s="29" t="n">
        <v>6720.51</v>
      </c>
      <c r="I238" s="30">
        <f>IF(G238=0,"",H238/G238)</f>
        <v/>
      </c>
      <c r="J238" s="29">
        <f>ROUND(G238*2.5,0)</f>
        <v/>
      </c>
      <c r="K238" s="29">
        <f>ROUND(G238*3.5,0)</f>
        <v/>
      </c>
      <c r="L238" s="29">
        <f>ROUND(G238*4,0)</f>
        <v/>
      </c>
      <c r="M238" s="13" t="inlineStr">
        <is>
          <t>ACTIVE</t>
        </is>
      </c>
      <c r="N238" s="13" t="n">
        <v>0</v>
      </c>
    </row>
    <row r="239">
      <c r="A239" s="28" t="inlineStr">
        <is>
          <t>PELIGRO (&lt;3.5)</t>
        </is>
      </c>
      <c r="B239" s="13" t="inlineStr">
        <is>
          <t>10132411251373</t>
        </is>
      </c>
      <c r="C239" s="13" t="inlineStr">
        <is>
          <t>BOLSO CD BOW BURGUNDY</t>
        </is>
      </c>
      <c r="D239" s="13" t="inlineStr">
        <is>
          <t>Default Title</t>
        </is>
      </c>
      <c r="E239" s="13" t="inlineStr">
        <is>
          <t>DINA DU</t>
        </is>
      </c>
      <c r="F239" s="13" t="inlineStr">
        <is>
          <t>2026-04-27</t>
        </is>
      </c>
      <c r="G239" s="29" t="n">
        <v>1920.15</v>
      </c>
      <c r="H239" s="29" t="n">
        <v>6720.51</v>
      </c>
      <c r="I239" s="30">
        <f>IF(G239=0,"",H239/G239)</f>
        <v/>
      </c>
      <c r="J239" s="29">
        <f>ROUND(G239*2.5,0)</f>
        <v/>
      </c>
      <c r="K239" s="29">
        <f>ROUND(G239*3.5,0)</f>
        <v/>
      </c>
      <c r="L239" s="29">
        <f>ROUND(G239*4,0)</f>
        <v/>
      </c>
      <c r="M239" s="13" t="inlineStr">
        <is>
          <t>ACTIVE</t>
        </is>
      </c>
      <c r="N239" s="13" t="n">
        <v>1</v>
      </c>
    </row>
  </sheetData>
  <autoFilter ref="A5:N2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1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0" t="inlineStr">
        <is>
          <t>HISTORIAL DE PRECIOS — HAIFENG</t>
        </is>
      </c>
    </row>
    <row r="2">
      <c r="A2" s="11" t="inlineStr">
        <is>
          <t>13 orden(es) · costo unitario en USD · MXN = MEJOR × RESUMEN!B4 · * = dato del historial previo</t>
        </is>
      </c>
    </row>
    <row r="4">
      <c r="A4" s="12" t="inlineStr">
        <is>
          <t>SKU</t>
        </is>
      </c>
      <c r="B4" s="12" t="inlineStr">
        <is>
          <t>PRODUCTO</t>
        </is>
      </c>
      <c r="C4" s="12" t="inlineStr">
        <is>
          <t>VARIANTE</t>
        </is>
      </c>
      <c r="D4" s="12" t="inlineStr">
        <is>
          <t>MATERIAL</t>
        </is>
      </c>
      <c r="E4" s="12" t="inlineStr">
        <is>
          <t>Sep 2025
01/09</t>
        </is>
      </c>
      <c r="F4" s="12" t="inlineStr">
        <is>
          <t>Sep 2025
25/09</t>
        </is>
      </c>
      <c r="G4" s="12" t="inlineStr">
        <is>
          <t>Oct 2025
22/10</t>
        </is>
      </c>
      <c r="H4" s="12" t="inlineStr">
        <is>
          <t>Nov 2025
11/11</t>
        </is>
      </c>
      <c r="I4" s="12" t="inlineStr">
        <is>
          <t>Dic 2025
03/12</t>
        </is>
      </c>
      <c r="J4" s="12" t="inlineStr">
        <is>
          <t>Ene 2026
20/01</t>
        </is>
      </c>
      <c r="K4" s="12" t="inlineStr">
        <is>
          <t>Feb 2026
05/02</t>
        </is>
      </c>
      <c r="L4" s="12" t="inlineStr">
        <is>
          <t>Feb 2026
10/02</t>
        </is>
      </c>
      <c r="M4" s="12" t="inlineStr">
        <is>
          <t>Mar 2026
11/03</t>
        </is>
      </c>
      <c r="N4" s="12" t="inlineStr">
        <is>
          <t>Abr 2026
16/04</t>
        </is>
      </c>
      <c r="O4" s="12" t="inlineStr">
        <is>
          <t>May 2026
06/05</t>
        </is>
      </c>
      <c r="P4" s="12" t="inlineStr">
        <is>
          <t>May 2026
26/05</t>
        </is>
      </c>
      <c r="Q4" s="12" t="inlineStr">
        <is>
          <t>Jun 2026
16/06</t>
        </is>
      </c>
      <c r="R4" s="12" t="inlineStr">
        <is>
          <t>MEJOR
(US)</t>
        </is>
      </c>
      <c r="S4" s="12" t="inlineStr">
        <is>
          <t>ÚLTIMA
(US)</t>
        </is>
      </c>
      <c r="T4" s="12" t="inlineStr">
        <is>
          <t>MXN
(mejor×TC)</t>
        </is>
      </c>
      <c r="U4" s="12" t="inlineStr">
        <is>
          <t># ÓRD.</t>
        </is>
      </c>
    </row>
    <row r="5">
      <c r="A5" s="13" t="inlineStr">
        <is>
          <t>64085742311277</t>
        </is>
      </c>
      <c r="B5" s="13" t="inlineStr">
        <is>
          <t>ANILLO ALLIANCE CON ZIRCONIA C</t>
        </is>
      </c>
      <c r="C5" s="13" t="inlineStr">
        <is>
          <t>5</t>
        </is>
      </c>
      <c r="D5" s="14" t="inlineStr"/>
      <c r="E5" s="13" t="n"/>
      <c r="F5" s="15" t="n">
        <v>2</v>
      </c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6">
        <f>IF(COUNT(E5:Q5)=0,"",MIN(E5:Q5))</f>
        <v/>
      </c>
      <c r="S5" s="15">
        <f>IF(COUNT(E5:Q5)=0,"",LOOKUP(2,1/(E5:Q5&lt;&gt;""),E5:Q5))</f>
        <v/>
      </c>
      <c r="T5" s="17">
        <f>IF(R5="","",ROUND(R5*RESUMEN!$B$4,0))</f>
        <v/>
      </c>
      <c r="U5" s="18">
        <f>COUNT(E5:Q5)</f>
        <v/>
      </c>
    </row>
    <row r="6">
      <c r="A6" s="13" t="inlineStr">
        <is>
          <t>64085742444045</t>
        </is>
      </c>
      <c r="B6" s="13" t="inlineStr">
        <is>
          <t>ANILLO ALLIANCE CON ZIRCONIA C</t>
        </is>
      </c>
      <c r="C6" s="13" t="inlineStr">
        <is>
          <t>6</t>
        </is>
      </c>
      <c r="D6" s="14" t="inlineStr"/>
      <c r="E6" s="13" t="n"/>
      <c r="F6" s="15" t="n">
        <v>2</v>
      </c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6">
        <f>IF(COUNT(E6:Q6)=0,"",MIN(E6:Q6))</f>
        <v/>
      </c>
      <c r="S6" s="15">
        <f>IF(COUNT(E6:Q6)=0,"",LOOKUP(2,1/(E6:Q6&lt;&gt;""),E6:Q6))</f>
        <v/>
      </c>
      <c r="T6" s="17">
        <f>IF(R6="","",ROUND(R6*RESUMEN!$B$4,0))</f>
        <v/>
      </c>
      <c r="U6" s="18">
        <f>COUNT(E6:Q6)</f>
        <v/>
      </c>
    </row>
    <row r="7">
      <c r="A7" s="13" t="inlineStr">
        <is>
          <t>64085742576813</t>
        </is>
      </c>
      <c r="B7" s="13" t="inlineStr">
        <is>
          <t>ANILLO ALLIANCE CON ZIRCONIA ROSE GOLD C</t>
        </is>
      </c>
      <c r="C7" s="13" t="inlineStr">
        <is>
          <t>7</t>
        </is>
      </c>
      <c r="D7" s="14" t="inlineStr">
        <is>
          <t>Stainless Stee</t>
        </is>
      </c>
      <c r="E7" s="13" t="n"/>
      <c r="F7" s="13" t="n"/>
      <c r="G7" s="13" t="n"/>
      <c r="H7" s="15" t="n">
        <v>2</v>
      </c>
      <c r="I7" s="15" t="n">
        <v>2</v>
      </c>
      <c r="J7" s="13" t="n"/>
      <c r="K7" s="13" t="n"/>
      <c r="L7" s="13" t="n"/>
      <c r="M7" s="13" t="n"/>
      <c r="N7" s="13" t="n"/>
      <c r="O7" s="13" t="n"/>
      <c r="P7" s="15" t="n">
        <v>2</v>
      </c>
      <c r="Q7" s="13" t="n"/>
      <c r="R7" s="16">
        <f>IF(COUNT(E7:Q7)=0,"",MIN(E7:Q7))</f>
        <v/>
      </c>
      <c r="S7" s="15">
        <f>IF(COUNT(E7:Q7)=0,"",LOOKUP(2,1/(E7:Q7&lt;&gt;""),E7:Q7))</f>
        <v/>
      </c>
      <c r="T7" s="17">
        <f>IF(R7="","",ROUND(R7*RESUMEN!$B$4,0))</f>
        <v/>
      </c>
      <c r="U7" s="18">
        <f>COUNT(E7:Q7)</f>
        <v/>
      </c>
    </row>
    <row r="8">
      <c r="A8" s="13" t="inlineStr">
        <is>
          <t>64085742794061</t>
        </is>
      </c>
      <c r="B8" s="13" t="inlineStr">
        <is>
          <t>ANILLO ALLIANCE ROSE GOLD C</t>
        </is>
      </c>
      <c r="C8" s="13" t="inlineStr">
        <is>
          <t>6</t>
        </is>
      </c>
      <c r="D8" s="14" t="inlineStr"/>
      <c r="E8" s="13" t="n"/>
      <c r="F8" s="15" t="n">
        <v>2</v>
      </c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6">
        <f>IF(COUNT(E8:Q8)=0,"",MIN(E8:Q8))</f>
        <v/>
      </c>
      <c r="S8" s="15">
        <f>IF(COUNT(E8:Q8)=0,"",LOOKUP(2,1/(E8:Q8&lt;&gt;""),E8:Q8))</f>
        <v/>
      </c>
      <c r="T8" s="17">
        <f>IF(R8="","",ROUND(R8*RESUMEN!$B$4,0))</f>
        <v/>
      </c>
      <c r="U8" s="18">
        <f>COUNT(E8:Q8)</f>
        <v/>
      </c>
    </row>
    <row r="9">
      <c r="A9" s="13" t="inlineStr">
        <is>
          <t>64085742826829</t>
        </is>
      </c>
      <c r="B9" s="13" t="inlineStr">
        <is>
          <t>ANILLO ALLIANCE ROSE GOLD C</t>
        </is>
      </c>
      <c r="C9" s="13" t="inlineStr">
        <is>
          <t>7</t>
        </is>
      </c>
      <c r="D9" s="14" t="inlineStr">
        <is>
          <t>Stainless Stee</t>
        </is>
      </c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5" t="n">
        <v>2</v>
      </c>
      <c r="Q9" s="13" t="n"/>
      <c r="R9" s="16">
        <f>IF(COUNT(E9:Q9)=0,"",MIN(E9:Q9))</f>
        <v/>
      </c>
      <c r="S9" s="15">
        <f>IF(COUNT(E9:Q9)=0,"",LOOKUP(2,1/(E9:Q9&lt;&gt;""),E9:Q9))</f>
        <v/>
      </c>
      <c r="T9" s="17">
        <f>IF(R9="","",ROUND(R9*RESUMEN!$B$4,0))</f>
        <v/>
      </c>
      <c r="U9" s="18">
        <f>COUNT(E9:Q9)</f>
        <v/>
      </c>
    </row>
    <row r="10">
      <c r="A10" s="13" t="inlineStr">
        <is>
          <t>66075791007693</t>
        </is>
      </c>
      <c r="B10" s="13" t="inlineStr">
        <is>
          <t>ANILLO ALLIANCE SILVER C</t>
        </is>
      </c>
      <c r="C10" s="13" t="inlineStr">
        <is>
          <t>7</t>
        </is>
      </c>
      <c r="D10" s="14" t="inlineStr">
        <is>
          <t>Stainless Stee</t>
        </is>
      </c>
      <c r="E10" s="13" t="n"/>
      <c r="F10" s="13" t="n"/>
      <c r="G10" s="13" t="n"/>
      <c r="H10" s="15" t="n">
        <v>2</v>
      </c>
      <c r="I10" s="13" t="n"/>
      <c r="J10" s="13" t="n"/>
      <c r="K10" s="13" t="n"/>
      <c r="L10" s="13" t="n"/>
      <c r="M10" s="13" t="n"/>
      <c r="N10" s="13" t="n"/>
      <c r="O10" s="15" t="n">
        <v>2</v>
      </c>
      <c r="P10" s="13" t="n"/>
      <c r="Q10" s="13" t="n"/>
      <c r="R10" s="16">
        <f>IF(COUNT(E10:Q10)=0,"",MIN(E10:Q10))</f>
        <v/>
      </c>
      <c r="S10" s="15">
        <f>IF(COUNT(E10:Q10)=0,"",LOOKUP(2,1/(E10:Q10&lt;&gt;""),E10:Q10))</f>
        <v/>
      </c>
      <c r="T10" s="17">
        <f>IF(R10="","",ROUND(R10*RESUMEN!$B$4,0))</f>
        <v/>
      </c>
      <c r="U10" s="18">
        <f>COUNT(E10:Q10)</f>
        <v/>
      </c>
    </row>
    <row r="11">
      <c r="A11" s="13" t="inlineStr">
        <is>
          <t>66075801140461</t>
        </is>
      </c>
      <c r="B11" s="13" t="inlineStr">
        <is>
          <t>ANILLO ALLIANCE SILVER C</t>
        </is>
      </c>
      <c r="C11" s="13" t="inlineStr">
        <is>
          <t>8</t>
        </is>
      </c>
      <c r="D11" s="14" t="inlineStr"/>
      <c r="E11" s="13" t="n"/>
      <c r="F11" s="13" t="n"/>
      <c r="G11" s="13" t="n"/>
      <c r="H11" s="15" t="n">
        <v>2</v>
      </c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6">
        <f>IF(COUNT(E11:Q11)=0,"",MIN(E11:Q11))</f>
        <v/>
      </c>
      <c r="S11" s="15">
        <f>IF(COUNT(E11:Q11)=0,"",LOOKUP(2,1/(E11:Q11&lt;&gt;""),E11:Q11))</f>
        <v/>
      </c>
      <c r="T11" s="17">
        <f>IF(R11="","",ROUND(R11*RESUMEN!$B$4,0))</f>
        <v/>
      </c>
      <c r="U11" s="18">
        <f>COUNT(E11:Q11)</f>
        <v/>
      </c>
    </row>
    <row r="12">
      <c r="A12" s="13" t="inlineStr">
        <is>
          <t>66075801273229</t>
        </is>
      </c>
      <c r="B12" s="13" t="inlineStr">
        <is>
          <t>ANILLO ALLIANCE SILVER C</t>
        </is>
      </c>
      <c r="C12" s="13" t="inlineStr">
        <is>
          <t>9</t>
        </is>
      </c>
      <c r="D12" s="14" t="inlineStr">
        <is>
          <t>Stainless stee</t>
        </is>
      </c>
      <c r="E12" s="13" t="n"/>
      <c r="F12" s="13" t="n"/>
      <c r="G12" s="13" t="n"/>
      <c r="H12" s="15" t="n">
        <v>2</v>
      </c>
      <c r="I12" s="15" t="n">
        <v>2</v>
      </c>
      <c r="J12" s="15" t="n">
        <v>2</v>
      </c>
      <c r="K12" s="13" t="n"/>
      <c r="L12" s="13" t="n"/>
      <c r="M12" s="13" t="n"/>
      <c r="N12" s="15" t="n">
        <v>2</v>
      </c>
      <c r="O12" s="13" t="n"/>
      <c r="P12" s="13" t="n"/>
      <c r="Q12" s="13" t="n"/>
      <c r="R12" s="16">
        <f>IF(COUNT(E12:Q12)=0,"",MIN(E12:Q12))</f>
        <v/>
      </c>
      <c r="S12" s="15">
        <f>IF(COUNT(E12:Q12)=0,"",LOOKUP(2,1/(E12:Q12&lt;&gt;""),E12:Q12))</f>
        <v/>
      </c>
      <c r="T12" s="17">
        <f>IF(R12="","",ROUND(R12*RESUMEN!$B$4,0))</f>
        <v/>
      </c>
      <c r="U12" s="18">
        <f>COUNT(E12:Q12)</f>
        <v/>
      </c>
    </row>
    <row r="13">
      <c r="A13" s="13" t="inlineStr">
        <is>
          <t>67201533404653</t>
        </is>
      </c>
      <c r="B13" s="13" t="inlineStr">
        <is>
          <t>ANILLO ANCHO TRUE T GOLD</t>
        </is>
      </c>
      <c r="C13" s="13" t="inlineStr">
        <is>
          <t>6</t>
        </is>
      </c>
      <c r="D13" s="14" t="inlineStr">
        <is>
          <t>Copper Alloy</t>
        </is>
      </c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5" t="n">
        <v>7</v>
      </c>
      <c r="R13" s="16">
        <f>IF(COUNT(E13:Q13)=0,"",MIN(E13:Q13))</f>
        <v/>
      </c>
      <c r="S13" s="15">
        <f>IF(COUNT(E13:Q13)=0,"",LOOKUP(2,1/(E13:Q13&lt;&gt;""),E13:Q13))</f>
        <v/>
      </c>
      <c r="T13" s="17">
        <f>IF(R13="","",ROUND(R13*RESUMEN!$B$4,0))</f>
        <v/>
      </c>
      <c r="U13" s="18">
        <f>COUNT(E13:Q13)</f>
        <v/>
      </c>
    </row>
    <row r="14">
      <c r="A14" s="13" t="inlineStr">
        <is>
          <t>67201533537421</t>
        </is>
      </c>
      <c r="B14" s="13" t="inlineStr">
        <is>
          <t>ANILLO ANCHO TRUE T GOLD</t>
        </is>
      </c>
      <c r="C14" s="13" t="inlineStr">
        <is>
          <t>7</t>
        </is>
      </c>
      <c r="D14" s="14" t="inlineStr"/>
      <c r="E14" s="15" t="n">
        <v>7</v>
      </c>
      <c r="F14" s="13" t="n"/>
      <c r="G14" s="13" t="n"/>
      <c r="H14" s="15" t="n">
        <v>7</v>
      </c>
      <c r="I14" s="15" t="n">
        <v>7</v>
      </c>
      <c r="J14" s="13" t="n"/>
      <c r="K14" s="13" t="n"/>
      <c r="L14" s="13" t="n"/>
      <c r="M14" s="13" t="n"/>
      <c r="N14" s="13" t="n"/>
      <c r="O14" s="13" t="n"/>
      <c r="P14" s="13" t="n"/>
      <c r="Q14" s="13" t="n"/>
      <c r="R14" s="16">
        <f>IF(COUNT(E14:Q14)=0,"",MIN(E14:Q14))</f>
        <v/>
      </c>
      <c r="S14" s="15">
        <f>IF(COUNT(E14:Q14)=0,"",LOOKUP(2,1/(E14:Q14&lt;&gt;""),E14:Q14))</f>
        <v/>
      </c>
      <c r="T14" s="17">
        <f>IF(R14="","",ROUND(R14*RESUMEN!$B$4,0))</f>
        <v/>
      </c>
      <c r="U14" s="18">
        <f>COUNT(E14:Q14)</f>
        <v/>
      </c>
    </row>
    <row r="15">
      <c r="A15" s="13" t="inlineStr">
        <is>
          <t>67201533670189</t>
        </is>
      </c>
      <c r="B15" s="13" t="inlineStr">
        <is>
          <t>ANILLO ANCHO TRUE T GOLD</t>
        </is>
      </c>
      <c r="C15" s="13" t="inlineStr">
        <is>
          <t>8</t>
        </is>
      </c>
      <c r="D15" s="14" t="inlineStr">
        <is>
          <t>Copper alloy</t>
        </is>
      </c>
      <c r="E15" s="15" t="n">
        <v>7</v>
      </c>
      <c r="F15" s="13" t="n"/>
      <c r="G15" s="13" t="n"/>
      <c r="H15" s="13" t="n"/>
      <c r="I15" s="15" t="n">
        <v>7</v>
      </c>
      <c r="J15" s="13" t="n"/>
      <c r="K15" s="13" t="n"/>
      <c r="L15" s="13" t="n"/>
      <c r="M15" s="13" t="n"/>
      <c r="N15" s="15" t="n">
        <v>7</v>
      </c>
      <c r="O15" s="13" t="n"/>
      <c r="P15" s="13" t="n"/>
      <c r="Q15" s="13" t="n"/>
      <c r="R15" s="16">
        <f>IF(COUNT(E15:Q15)=0,"",MIN(E15:Q15))</f>
        <v/>
      </c>
      <c r="S15" s="15">
        <f>IF(COUNT(E15:Q15)=0,"",LOOKUP(2,1/(E15:Q15&lt;&gt;""),E15:Q15))</f>
        <v/>
      </c>
      <c r="T15" s="17">
        <f>IF(R15="","",ROUND(R15*RESUMEN!$B$4,0))</f>
        <v/>
      </c>
      <c r="U15" s="18">
        <f>COUNT(E15:Q15)</f>
        <v/>
      </c>
    </row>
    <row r="16">
      <c r="A16" s="13" t="inlineStr">
        <is>
          <t>21605761269037</t>
        </is>
      </c>
      <c r="B16" s="13" t="inlineStr">
        <is>
          <t>ANILLO BACK SOON T ROSE GOLD</t>
        </is>
      </c>
      <c r="C16" s="13" t="inlineStr">
        <is>
          <t>5</t>
        </is>
      </c>
      <c r="D16" s="14" t="inlineStr">
        <is>
          <t>Stainless stee</t>
        </is>
      </c>
      <c r="E16" s="13" t="n"/>
      <c r="F16" s="15" t="n">
        <v>3</v>
      </c>
      <c r="G16" s="13" t="n"/>
      <c r="H16" s="13" t="n"/>
      <c r="I16" s="13" t="n"/>
      <c r="J16" s="13" t="n"/>
      <c r="K16" s="13" t="n"/>
      <c r="L16" s="13" t="n"/>
      <c r="M16" s="13" t="n"/>
      <c r="N16" s="15" t="n">
        <v>3</v>
      </c>
      <c r="O16" s="13" t="n"/>
      <c r="P16" s="13" t="n"/>
      <c r="Q16" s="13" t="n"/>
      <c r="R16" s="16">
        <f>IF(COUNT(E16:Q16)=0,"",MIN(E16:Q16))</f>
        <v/>
      </c>
      <c r="S16" s="15">
        <f>IF(COUNT(E16:Q16)=0,"",LOOKUP(2,1/(E16:Q16&lt;&gt;""),E16:Q16))</f>
        <v/>
      </c>
      <c r="T16" s="17">
        <f>IF(R16="","",ROUND(R16*RESUMEN!$B$4,0))</f>
        <v/>
      </c>
      <c r="U16" s="18">
        <f>COUNT(E16:Q16)</f>
        <v/>
      </c>
    </row>
    <row r="17">
      <c r="A17" s="13" t="inlineStr">
        <is>
          <t>21605771301805</t>
        </is>
      </c>
      <c r="B17" s="13" t="inlineStr">
        <is>
          <t>ANILLO BACK SOON T ROSE GOLD</t>
        </is>
      </c>
      <c r="C17" s="13" t="inlineStr">
        <is>
          <t>6</t>
        </is>
      </c>
      <c r="D17" s="14" t="inlineStr">
        <is>
          <t>Stainless Stee</t>
        </is>
      </c>
      <c r="E17" s="13" t="n"/>
      <c r="F17" s="15" t="n">
        <v>3</v>
      </c>
      <c r="G17" s="13" t="n"/>
      <c r="H17" s="13" t="n"/>
      <c r="I17" s="13" t="n"/>
      <c r="J17" s="13" t="n"/>
      <c r="K17" s="13" t="n"/>
      <c r="L17" s="13" t="n"/>
      <c r="M17" s="15" t="n">
        <v>3</v>
      </c>
      <c r="N17" s="13" t="n"/>
      <c r="O17" s="13" t="n"/>
      <c r="P17" s="13" t="n"/>
      <c r="Q17" s="15" t="n">
        <v>3</v>
      </c>
      <c r="R17" s="16">
        <f>IF(COUNT(E17:Q17)=0,"",MIN(E17:Q17))</f>
        <v/>
      </c>
      <c r="S17" s="15">
        <f>IF(COUNT(E17:Q17)=0,"",LOOKUP(2,1/(E17:Q17&lt;&gt;""),E17:Q17))</f>
        <v/>
      </c>
      <c r="T17" s="17">
        <f>IF(R17="","",ROUND(R17*RESUMEN!$B$4,0))</f>
        <v/>
      </c>
      <c r="U17" s="18">
        <f>COUNT(E17:Q17)</f>
        <v/>
      </c>
    </row>
    <row r="18">
      <c r="A18" s="13" t="inlineStr">
        <is>
          <t>21605771334573</t>
        </is>
      </c>
      <c r="B18" s="13" t="inlineStr">
        <is>
          <t>ANILLO BACK SOON T ROSE GOLD</t>
        </is>
      </c>
      <c r="C18" s="13" t="inlineStr">
        <is>
          <t>7</t>
        </is>
      </c>
      <c r="D18" s="14" t="inlineStr"/>
      <c r="E18" s="13" t="n"/>
      <c r="F18" s="13" t="n"/>
      <c r="G18" s="13" t="n"/>
      <c r="H18" s="15" t="n">
        <v>3</v>
      </c>
      <c r="I18" s="15" t="n">
        <v>3</v>
      </c>
      <c r="J18" s="13" t="n"/>
      <c r="K18" s="13" t="n"/>
      <c r="L18" s="13" t="n"/>
      <c r="M18" s="13" t="n"/>
      <c r="N18" s="13" t="n"/>
      <c r="O18" s="13" t="n"/>
      <c r="P18" s="13" t="n"/>
      <c r="Q18" s="13" t="n"/>
      <c r="R18" s="16">
        <f>IF(COUNT(E18:Q18)=0,"",MIN(E18:Q18))</f>
        <v/>
      </c>
      <c r="S18" s="15">
        <f>IF(COUNT(E18:Q18)=0,"",LOOKUP(2,1/(E18:Q18&lt;&gt;""),E18:Q18))</f>
        <v/>
      </c>
      <c r="T18" s="17">
        <f>IF(R18="","",ROUND(R18*RESUMEN!$B$4,0))</f>
        <v/>
      </c>
      <c r="U18" s="18">
        <f>COUNT(E18:Q18)</f>
        <v/>
      </c>
    </row>
    <row r="19">
      <c r="A19" s="13" t="inlineStr">
        <is>
          <t>ANDREA</t>
        </is>
      </c>
      <c r="B19" s="13" t="inlineStr">
        <is>
          <t>ANILLO BACK SOON T SILVER</t>
        </is>
      </c>
      <c r="C19" s="13" t="inlineStr"/>
      <c r="D19" s="14" t="inlineStr">
        <is>
          <t>Stainless stee</t>
        </is>
      </c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5" t="n">
        <v>1.8</v>
      </c>
      <c r="R19" s="16">
        <f>IF(COUNT(E19:Q19)=0,"",MIN(E19:Q19))</f>
        <v/>
      </c>
      <c r="S19" s="15">
        <f>IF(COUNT(E19:Q19)=0,"",LOOKUP(2,1/(E19:Q19&lt;&gt;""),E19:Q19))</f>
        <v/>
      </c>
      <c r="T19" s="17">
        <f>IF(R19="","",ROUND(R19*RESUMEN!$B$4,0))</f>
        <v/>
      </c>
      <c r="U19" s="18">
        <f>COUNT(E19:Q19)</f>
        <v/>
      </c>
    </row>
    <row r="20">
      <c r="A20" s="13" t="inlineStr">
        <is>
          <t>21605774283693</t>
        </is>
      </c>
      <c r="B20" s="13" t="inlineStr">
        <is>
          <t>ANILLO BACK SOON T SILVER</t>
        </is>
      </c>
      <c r="C20" s="13" t="inlineStr">
        <is>
          <t>6</t>
        </is>
      </c>
      <c r="D20" s="14" t="inlineStr">
        <is>
          <t>Stainless Stee</t>
        </is>
      </c>
      <c r="E20" s="13" t="n"/>
      <c r="F20" s="15" t="n">
        <v>3</v>
      </c>
      <c r="G20" s="13" t="n"/>
      <c r="H20" s="13" t="n"/>
      <c r="I20" s="15" t="n">
        <v>3</v>
      </c>
      <c r="J20" s="15" t="n">
        <v>3</v>
      </c>
      <c r="K20" s="13" t="n"/>
      <c r="L20" s="13" t="n"/>
      <c r="M20" s="13" t="n"/>
      <c r="N20" s="13" t="n"/>
      <c r="O20" s="15" t="n">
        <v>3</v>
      </c>
      <c r="P20" s="15" t="n">
        <v>3</v>
      </c>
      <c r="Q20" s="13" t="n"/>
      <c r="R20" s="16">
        <f>IF(COUNT(E20:Q20)=0,"",MIN(E20:Q20))</f>
        <v/>
      </c>
      <c r="S20" s="15">
        <f>IF(COUNT(E20:Q20)=0,"",LOOKUP(2,1/(E20:Q20&lt;&gt;""),E20:Q20))</f>
        <v/>
      </c>
      <c r="T20" s="17">
        <f>IF(R20="","",ROUND(R20*RESUMEN!$B$4,0))</f>
        <v/>
      </c>
      <c r="U20" s="18">
        <f>COUNT(E20:Q20)</f>
        <v/>
      </c>
    </row>
    <row r="21">
      <c r="A21" s="13" t="inlineStr">
        <is>
          <t>21605774316461</t>
        </is>
      </c>
      <c r="B21" s="13" t="inlineStr">
        <is>
          <t>ANILLO BACK SOON T SILVER</t>
        </is>
      </c>
      <c r="C21" s="13" t="inlineStr">
        <is>
          <t>7</t>
        </is>
      </c>
      <c r="D21" s="14" t="inlineStr">
        <is>
          <t>Stainless stee</t>
        </is>
      </c>
      <c r="E21" s="13" t="n"/>
      <c r="F21" s="13" t="n"/>
      <c r="G21" s="13" t="n"/>
      <c r="H21" s="15" t="n">
        <v>3</v>
      </c>
      <c r="I21" s="15" t="n">
        <v>3</v>
      </c>
      <c r="J21" s="15" t="n">
        <v>3</v>
      </c>
      <c r="K21" s="13" t="n"/>
      <c r="L21" s="15" t="n">
        <v>3</v>
      </c>
      <c r="M21" s="13" t="n"/>
      <c r="N21" s="15" t="n">
        <v>3</v>
      </c>
      <c r="O21" s="13" t="n"/>
      <c r="P21" s="13" t="n"/>
      <c r="Q21" s="13" t="n"/>
      <c r="R21" s="16">
        <f>IF(COUNT(E21:Q21)=0,"",MIN(E21:Q21))</f>
        <v/>
      </c>
      <c r="S21" s="15">
        <f>IF(COUNT(E21:Q21)=0,"",LOOKUP(2,1/(E21:Q21&lt;&gt;""),E21:Q21))</f>
        <v/>
      </c>
      <c r="T21" s="17">
        <f>IF(R21="","",ROUND(R21*RESUMEN!$B$4,0))</f>
        <v/>
      </c>
      <c r="U21" s="18">
        <f>COUNT(E21:Q21)</f>
        <v/>
      </c>
    </row>
    <row r="22">
      <c r="A22" s="13" t="inlineStr">
        <is>
          <t>21605774349229</t>
        </is>
      </c>
      <c r="B22" s="13" t="inlineStr">
        <is>
          <t>ANILLO BACK SOON T SILVER</t>
        </is>
      </c>
      <c r="C22" s="13" t="inlineStr">
        <is>
          <t>8</t>
        </is>
      </c>
      <c r="D22" s="14" t="inlineStr">
        <is>
          <t>Stainless stee</t>
        </is>
      </c>
      <c r="E22" s="13" t="n"/>
      <c r="F22" s="15" t="n">
        <v>3</v>
      </c>
      <c r="G22" s="13" t="n"/>
      <c r="H22" s="15" t="n">
        <v>3</v>
      </c>
      <c r="I22" s="15" t="n">
        <v>3</v>
      </c>
      <c r="J22" s="13" t="n"/>
      <c r="K22" s="13" t="n"/>
      <c r="L22" s="13" t="n"/>
      <c r="M22" s="13" t="n"/>
      <c r="N22" s="15" t="n">
        <v>3</v>
      </c>
      <c r="O22" s="13" t="n"/>
      <c r="P22" s="13" t="n"/>
      <c r="Q22" s="13" t="n"/>
      <c r="R22" s="16">
        <f>IF(COUNT(E22:Q22)=0,"",MIN(E22:Q22))</f>
        <v/>
      </c>
      <c r="S22" s="15">
        <f>IF(COUNT(E22:Q22)=0,"",LOOKUP(2,1/(E22:Q22&lt;&gt;""),E22:Q22))</f>
        <v/>
      </c>
      <c r="T22" s="17">
        <f>IF(R22="","",ROUND(R22*RESUMEN!$B$4,0))</f>
        <v/>
      </c>
      <c r="U22" s="18">
        <f>COUNT(E22:Q22)</f>
        <v/>
      </c>
    </row>
    <row r="23">
      <c r="A23" s="13" t="inlineStr">
        <is>
          <t>67201533776845</t>
        </is>
      </c>
      <c r="B23" s="13" t="inlineStr">
        <is>
          <t>ANILLO BEAN CON ZIRCONIA GOLD</t>
        </is>
      </c>
      <c r="C23" s="13" t="inlineStr">
        <is>
          <t>6</t>
        </is>
      </c>
      <c r="D23" s="14" t="inlineStr">
        <is>
          <t>Copper alloy</t>
        </is>
      </c>
      <c r="E23" s="13" t="n"/>
      <c r="F23" s="13" t="n"/>
      <c r="G23" s="13" t="n"/>
      <c r="H23" s="15" t="n">
        <v>5</v>
      </c>
      <c r="I23" s="15" t="n">
        <v>5</v>
      </c>
      <c r="J23" s="15" t="n">
        <v>5</v>
      </c>
      <c r="K23" s="13" t="n"/>
      <c r="L23" s="13" t="n"/>
      <c r="M23" s="13" t="n"/>
      <c r="N23" s="15" t="n">
        <v>5</v>
      </c>
      <c r="O23" s="13" t="n"/>
      <c r="P23" s="13" t="n"/>
      <c r="Q23" s="13" t="n"/>
      <c r="R23" s="16">
        <f>IF(COUNT(E23:Q23)=0,"",MIN(E23:Q23))</f>
        <v/>
      </c>
      <c r="S23" s="15">
        <f>IF(COUNT(E23:Q23)=0,"",LOOKUP(2,1/(E23:Q23&lt;&gt;""),E23:Q23))</f>
        <v/>
      </c>
      <c r="T23" s="17">
        <f>IF(R23="","",ROUND(R23*RESUMEN!$B$4,0))</f>
        <v/>
      </c>
      <c r="U23" s="18">
        <f>COUNT(E23:Q23)</f>
        <v/>
      </c>
    </row>
    <row r="24">
      <c r="A24" s="13" t="inlineStr">
        <is>
          <t>67201533809613</t>
        </is>
      </c>
      <c r="B24" s="13" t="inlineStr">
        <is>
          <t>ANILLO BEAN CON ZIRCONIA GOLD</t>
        </is>
      </c>
      <c r="C24" s="13" t="inlineStr">
        <is>
          <t>7</t>
        </is>
      </c>
      <c r="D24" s="14" t="inlineStr">
        <is>
          <t>Copper alloy</t>
        </is>
      </c>
      <c r="E24" s="13" t="n"/>
      <c r="F24" s="15" t="n">
        <v>5</v>
      </c>
      <c r="G24" s="13" t="n"/>
      <c r="H24" s="13" t="n"/>
      <c r="I24" s="13" t="n"/>
      <c r="J24" s="15" t="n">
        <v>5</v>
      </c>
      <c r="K24" s="13" t="n"/>
      <c r="L24" s="15" t="n">
        <v>5</v>
      </c>
      <c r="M24" s="13" t="n"/>
      <c r="N24" s="13" t="n"/>
      <c r="O24" s="13" t="n"/>
      <c r="P24" s="13" t="n"/>
      <c r="Q24" s="13" t="n"/>
      <c r="R24" s="16">
        <f>IF(COUNT(E24:Q24)=0,"",MIN(E24:Q24))</f>
        <v/>
      </c>
      <c r="S24" s="15">
        <f>IF(COUNT(E24:Q24)=0,"",LOOKUP(2,1/(E24:Q24&lt;&gt;""),E24:Q24))</f>
        <v/>
      </c>
      <c r="T24" s="17">
        <f>IF(R24="","",ROUND(R24*RESUMEN!$B$4,0))</f>
        <v/>
      </c>
      <c r="U24" s="18">
        <f>COUNT(E24:Q24)</f>
        <v/>
      </c>
    </row>
    <row r="25">
      <c r="A25" s="13" t="inlineStr">
        <is>
          <t>67201533942381</t>
        </is>
      </c>
      <c r="B25" s="13" t="inlineStr">
        <is>
          <t>ANILLO BEAN CON ZIRCONIA GOLD</t>
        </is>
      </c>
      <c r="C25" s="13" t="inlineStr">
        <is>
          <t>8</t>
        </is>
      </c>
      <c r="D25" s="14" t="inlineStr"/>
      <c r="E25" s="13" t="n"/>
      <c r="F25" s="13" t="n"/>
      <c r="G25" s="13" t="n"/>
      <c r="H25" s="13" t="n"/>
      <c r="I25" s="15" t="n">
        <v>5</v>
      </c>
      <c r="J25" s="13" t="n"/>
      <c r="K25" s="13" t="n"/>
      <c r="L25" s="13" t="n"/>
      <c r="M25" s="13" t="n"/>
      <c r="N25" s="13" t="n"/>
      <c r="O25" s="13" t="n"/>
      <c r="P25" s="13" t="n"/>
      <c r="Q25" s="13" t="n"/>
      <c r="R25" s="16">
        <f>IF(COUNT(E25:Q25)=0,"",MIN(E25:Q25))</f>
        <v/>
      </c>
      <c r="S25" s="15">
        <f>IF(COUNT(E25:Q25)=0,"",LOOKUP(2,1/(E25:Q25&lt;&gt;""),E25:Q25))</f>
        <v/>
      </c>
      <c r="T25" s="17">
        <f>IF(R25="","",ROUND(R25*RESUMEN!$B$4,0))</f>
        <v/>
      </c>
      <c r="U25" s="18">
        <f>COUNT(E25:Q25)</f>
        <v/>
      </c>
    </row>
    <row r="26">
      <c r="A26" s="13" t="inlineStr">
        <is>
          <t>67201534287725</t>
        </is>
      </c>
      <c r="B26" s="13" t="inlineStr">
        <is>
          <t>ANILLO BEAN T SILVER MINI</t>
        </is>
      </c>
      <c r="C26" s="13" t="inlineStr">
        <is>
          <t>6</t>
        </is>
      </c>
      <c r="D26" s="14" t="inlineStr">
        <is>
          <t>Copper alloy</t>
        </is>
      </c>
      <c r="E26" s="13" t="n"/>
      <c r="F26" s="13" t="n"/>
      <c r="G26" s="13" t="n"/>
      <c r="H26" s="13" t="n"/>
      <c r="I26" s="15" t="n">
        <v>5</v>
      </c>
      <c r="J26" s="15" t="n">
        <v>5</v>
      </c>
      <c r="K26" s="13" t="n"/>
      <c r="L26" s="15" t="n">
        <v>5</v>
      </c>
      <c r="M26" s="13" t="n"/>
      <c r="N26" s="13" t="n"/>
      <c r="O26" s="13" t="n"/>
      <c r="P26" s="13" t="n"/>
      <c r="Q26" s="13" t="n"/>
      <c r="R26" s="16">
        <f>IF(COUNT(E26:Q26)=0,"",MIN(E26:Q26))</f>
        <v/>
      </c>
      <c r="S26" s="15">
        <f>IF(COUNT(E26:Q26)=0,"",LOOKUP(2,1/(E26:Q26&lt;&gt;""),E26:Q26))</f>
        <v/>
      </c>
      <c r="T26" s="17">
        <f>IF(R26="","",ROUND(R26*RESUMEN!$B$4,0))</f>
        <v/>
      </c>
      <c r="U26" s="18">
        <f>COUNT(E26:Q26)</f>
        <v/>
      </c>
    </row>
    <row r="27">
      <c r="A27" s="13" t="inlineStr">
        <is>
          <t>654bd7ac2dee3</t>
        </is>
      </c>
      <c r="B27" s="13" t="inlineStr">
        <is>
          <t>ANILLO BV 3 OROS-5</t>
        </is>
      </c>
      <c r="C27" s="13" t="inlineStr">
        <is>
          <t>5</t>
        </is>
      </c>
      <c r="D27" s="14" t="inlineStr"/>
      <c r="E27" s="13" t="n"/>
      <c r="F27" s="15" t="n">
        <v>8</v>
      </c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6">
        <f>IF(COUNT(E27:Q27)=0,"",MIN(E27:Q27))</f>
        <v/>
      </c>
      <c r="S27" s="15">
        <f>IF(COUNT(E27:Q27)=0,"",LOOKUP(2,1/(E27:Q27&lt;&gt;""),E27:Q27))</f>
        <v/>
      </c>
      <c r="T27" s="17">
        <f>IF(R27="","",ROUND(R27*RESUMEN!$B$4,0))</f>
        <v/>
      </c>
      <c r="U27" s="18">
        <f>COUNT(E27:Q27)</f>
        <v/>
      </c>
    </row>
    <row r="28">
      <c r="A28" s="13" t="inlineStr">
        <is>
          <t>64e78e7b03ab1</t>
        </is>
      </c>
      <c r="B28" s="13" t="inlineStr">
        <is>
          <t>ANILLO BV 3 OROS-8</t>
        </is>
      </c>
      <c r="C28" s="13" t="inlineStr">
        <is>
          <t>8</t>
        </is>
      </c>
      <c r="D28" s="14" t="inlineStr"/>
      <c r="E28" s="13" t="n"/>
      <c r="F28" s="15" t="n">
        <v>8</v>
      </c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6">
        <f>IF(COUNT(E28:Q28)=0,"",MIN(E28:Q28))</f>
        <v/>
      </c>
      <c r="S28" s="15">
        <f>IF(COUNT(E28:Q28)=0,"",LOOKUP(2,1/(E28:Q28&lt;&gt;""),E28:Q28))</f>
        <v/>
      </c>
      <c r="T28" s="17">
        <f>IF(R28="","",ROUND(R28*RESUMEN!$B$4,0))</f>
        <v/>
      </c>
      <c r="U28" s="18">
        <f>COUNT(E28:Q28)</f>
        <v/>
      </c>
    </row>
    <row r="29">
      <c r="A29" s="13" t="inlineStr">
        <is>
          <t>64e78e7bb52a6</t>
        </is>
      </c>
      <c r="B29" s="13" t="inlineStr">
        <is>
          <t>ANILLO BV 3 OROS-9</t>
        </is>
      </c>
      <c r="C29" s="13" t="inlineStr">
        <is>
          <t>9</t>
        </is>
      </c>
      <c r="D29" s="14" t="inlineStr"/>
      <c r="E29" s="13" t="n"/>
      <c r="F29" s="15" t="n">
        <v>8</v>
      </c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6">
        <f>IF(COUNT(E29:Q29)=0,"",MIN(E29:Q29))</f>
        <v/>
      </c>
      <c r="S29" s="15">
        <f>IF(COUNT(E29:Q29)=0,"",LOOKUP(2,1/(E29:Q29&lt;&gt;""),E29:Q29))</f>
        <v/>
      </c>
      <c r="T29" s="17">
        <f>IF(R29="","",ROUND(R29*RESUMEN!$B$4,0))</f>
        <v/>
      </c>
      <c r="U29" s="18">
        <f>COUNT(E29:Q29)</f>
        <v/>
      </c>
    </row>
    <row r="30">
      <c r="A30" s="13" t="inlineStr">
        <is>
          <t>17964142179245</t>
        </is>
      </c>
      <c r="B30" s="13" t="inlineStr">
        <is>
          <t>ANILLO BV ANISH KAPOOR</t>
        </is>
      </c>
      <c r="C30" s="13" t="inlineStr">
        <is>
          <t>7</t>
        </is>
      </c>
      <c r="D30" s="14" t="inlineStr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5" t="n">
        <v>8</v>
      </c>
      <c r="P30" s="13" t="n"/>
      <c r="Q30" s="13" t="n"/>
      <c r="R30" s="16">
        <f>IF(COUNT(E30:Q30)=0,"",MIN(E30:Q30))</f>
        <v/>
      </c>
      <c r="S30" s="15">
        <f>IF(COUNT(E30:Q30)=0,"",LOOKUP(2,1/(E30:Q30&lt;&gt;""),E30:Q30))</f>
        <v/>
      </c>
      <c r="T30" s="17">
        <f>IF(R30="","",ROUND(R30*RESUMEN!$B$4,0))</f>
        <v/>
      </c>
      <c r="U30" s="18">
        <f>COUNT(E30:Q30)</f>
        <v/>
      </c>
    </row>
    <row r="31">
      <c r="A31" s="13" t="inlineStr">
        <is>
          <t>40154173040301</t>
        </is>
      </c>
      <c r="B31" s="13" t="inlineStr">
        <is>
          <t>ANILLO BV B.ZERO1 DELGADO SILVER</t>
        </is>
      </c>
      <c r="C31" s="13" t="inlineStr">
        <is>
          <t>6</t>
        </is>
      </c>
      <c r="D31" s="14" t="inlineStr"/>
      <c r="E31" s="13" t="n"/>
      <c r="F31" s="13" t="n"/>
      <c r="G31" s="13" t="n"/>
      <c r="H31" s="13" t="n"/>
      <c r="I31" s="13" t="n"/>
      <c r="J31" s="13" t="n"/>
      <c r="K31" s="15" t="n">
        <v>7</v>
      </c>
      <c r="L31" s="13" t="n"/>
      <c r="M31" s="13" t="n"/>
      <c r="N31" s="13" t="n"/>
      <c r="O31" s="13" t="n"/>
      <c r="P31" s="13" t="n"/>
      <c r="Q31" s="13" t="n"/>
      <c r="R31" s="16">
        <f>IF(COUNT(E31:Q31)=0,"",MIN(E31:Q31))</f>
        <v/>
      </c>
      <c r="S31" s="15">
        <f>IF(COUNT(E31:Q31)=0,"",LOOKUP(2,1/(E31:Q31&lt;&gt;""),E31:Q31))</f>
        <v/>
      </c>
      <c r="T31" s="17">
        <f>IF(R31="","",ROUND(R31*RESUMEN!$B$4,0))</f>
        <v/>
      </c>
      <c r="U31" s="18">
        <f>COUNT(E31:Q31)</f>
        <v/>
      </c>
    </row>
    <row r="32">
      <c r="A32" s="13" t="inlineStr">
        <is>
          <t>40154173173069</t>
        </is>
      </c>
      <c r="B32" s="13" t="inlineStr">
        <is>
          <t>ANILLO BV B.ZERO1 DELGADO SILVER</t>
        </is>
      </c>
      <c r="C32" s="13" t="inlineStr">
        <is>
          <t>7</t>
        </is>
      </c>
      <c r="D32" s="14" t="inlineStr"/>
      <c r="E32" s="13" t="n"/>
      <c r="F32" s="13" t="n"/>
      <c r="G32" s="13" t="n"/>
      <c r="H32" s="13" t="n"/>
      <c r="I32" s="13" t="n"/>
      <c r="J32" s="13" t="n"/>
      <c r="K32" s="15" t="n">
        <v>7</v>
      </c>
      <c r="L32" s="13" t="n"/>
      <c r="M32" s="13" t="n"/>
      <c r="N32" s="13" t="n"/>
      <c r="O32" s="13" t="n"/>
      <c r="P32" s="13" t="n"/>
      <c r="Q32" s="13" t="n"/>
      <c r="R32" s="16">
        <f>IF(COUNT(E32:Q32)=0,"",MIN(E32:Q32))</f>
        <v/>
      </c>
      <c r="S32" s="15">
        <f>IF(COUNT(E32:Q32)=0,"",LOOKUP(2,1/(E32:Q32&lt;&gt;""),E32:Q32))</f>
        <v/>
      </c>
      <c r="T32" s="17">
        <f>IF(R32="","",ROUND(R32*RESUMEN!$B$4,0))</f>
        <v/>
      </c>
      <c r="U32" s="18">
        <f>COUNT(E32:Q32)</f>
        <v/>
      </c>
    </row>
    <row r="33">
      <c r="A33" s="13" t="inlineStr">
        <is>
          <t>66009451058221</t>
        </is>
      </c>
      <c r="B33" s="13" t="inlineStr">
        <is>
          <t>ANILLO BV BROWN</t>
        </is>
      </c>
      <c r="C33" s="13" t="inlineStr">
        <is>
          <t>6</t>
        </is>
      </c>
      <c r="D33" s="14" t="inlineStr">
        <is>
          <t>Stainless stee</t>
        </is>
      </c>
      <c r="E33" s="13" t="n"/>
      <c r="F33" s="13" t="n"/>
      <c r="G33" s="13" t="n"/>
      <c r="H33" s="13" t="n"/>
      <c r="I33" s="13" t="n"/>
      <c r="J33" s="13" t="n"/>
      <c r="K33" s="13" t="n"/>
      <c r="L33" s="15" t="n">
        <v>7</v>
      </c>
      <c r="M33" s="13" t="n"/>
      <c r="N33" s="13" t="n"/>
      <c r="O33" s="13" t="n"/>
      <c r="P33" s="13" t="n"/>
      <c r="Q33" s="13" t="n"/>
      <c r="R33" s="16">
        <f>IF(COUNT(E33:Q33)=0,"",MIN(E33:Q33))</f>
        <v/>
      </c>
      <c r="S33" s="15">
        <f>IF(COUNT(E33:Q33)=0,"",LOOKUP(2,1/(E33:Q33&lt;&gt;""),E33:Q33))</f>
        <v/>
      </c>
      <c r="T33" s="17">
        <f>IF(R33="","",ROUND(R33*RESUMEN!$B$4,0))</f>
        <v/>
      </c>
      <c r="U33" s="18">
        <f>COUNT(E33:Q33)</f>
        <v/>
      </c>
    </row>
    <row r="34">
      <c r="A34" s="13" t="inlineStr">
        <is>
          <t>66009451058222</t>
        </is>
      </c>
      <c r="B34" s="13" t="inlineStr">
        <is>
          <t>ANILLO BV BROWN</t>
        </is>
      </c>
      <c r="C34" s="13" t="inlineStr">
        <is>
          <t>7</t>
        </is>
      </c>
      <c r="D34" s="14" t="inlineStr">
        <is>
          <t>Stainless Stee</t>
        </is>
      </c>
      <c r="E34" s="13" t="n"/>
      <c r="F34" s="13" t="n"/>
      <c r="G34" s="13" t="n"/>
      <c r="H34" s="13" t="n"/>
      <c r="I34" s="13" t="n"/>
      <c r="J34" s="15" t="n">
        <v>7</v>
      </c>
      <c r="K34" s="13" t="n"/>
      <c r="L34" s="15" t="n">
        <v>7</v>
      </c>
      <c r="M34" s="13" t="n"/>
      <c r="N34" s="13" t="n"/>
      <c r="O34" s="15" t="n">
        <v>7</v>
      </c>
      <c r="P34" s="13" t="n"/>
      <c r="Q34" s="13" t="n"/>
      <c r="R34" s="16">
        <f>IF(COUNT(E34:Q34)=0,"",MIN(E34:Q34))</f>
        <v/>
      </c>
      <c r="S34" s="15">
        <f>IF(COUNT(E34:Q34)=0,"",LOOKUP(2,1/(E34:Q34&lt;&gt;""),E34:Q34))</f>
        <v/>
      </c>
      <c r="T34" s="17">
        <f>IF(R34="","",ROUND(R34*RESUMEN!$B$4,0))</f>
        <v/>
      </c>
      <c r="U34" s="18">
        <f>COUNT(E34:Q34)</f>
        <v/>
      </c>
    </row>
    <row r="35">
      <c r="A35" s="13" t="inlineStr">
        <is>
          <t>66009451058223</t>
        </is>
      </c>
      <c r="B35" s="13" t="inlineStr">
        <is>
          <t>ANILLO BV BROWN</t>
        </is>
      </c>
      <c r="C35" s="13" t="inlineStr">
        <is>
          <t>8</t>
        </is>
      </c>
      <c r="D35" s="14" t="inlineStr">
        <is>
          <t>Stainless Stee</t>
        </is>
      </c>
      <c r="E35" s="13" t="n"/>
      <c r="F35" s="13" t="n"/>
      <c r="G35" s="13" t="n"/>
      <c r="H35" s="13" t="n"/>
      <c r="I35" s="13" t="n"/>
      <c r="J35" s="15" t="n">
        <v>7</v>
      </c>
      <c r="K35" s="13" t="n"/>
      <c r="L35" s="15" t="n">
        <v>7</v>
      </c>
      <c r="M35" s="13" t="n"/>
      <c r="N35" s="13" t="n"/>
      <c r="O35" s="13" t="n"/>
      <c r="P35" s="13" t="n"/>
      <c r="Q35" s="15" t="n">
        <v>7</v>
      </c>
      <c r="R35" s="16">
        <f>IF(COUNT(E35:Q35)=0,"",MIN(E35:Q35))</f>
        <v/>
      </c>
      <c r="S35" s="15">
        <f>IF(COUNT(E35:Q35)=0,"",LOOKUP(2,1/(E35:Q35&lt;&gt;""),E35:Q35))</f>
        <v/>
      </c>
      <c r="T35" s="17">
        <f>IF(R35="","",ROUND(R35*RESUMEN!$B$4,0))</f>
        <v/>
      </c>
      <c r="U35" s="18">
        <f>COUNT(E35:Q35)</f>
        <v/>
      </c>
    </row>
    <row r="36">
      <c r="A36" s="13" t="inlineStr">
        <is>
          <t>6</t>
        </is>
      </c>
      <c r="B36" s="13" t="inlineStr">
        <is>
          <t>ANILLO BV BROWN-6</t>
        </is>
      </c>
      <c r="C36" s="13" t="inlineStr"/>
      <c r="D36" s="14" t="inlineStr"/>
      <c r="E36" s="13" t="n"/>
      <c r="F36" s="15" t="n">
        <v>7</v>
      </c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6">
        <f>IF(COUNT(E36:Q36)=0,"",MIN(E36:Q36))</f>
        <v/>
      </c>
      <c r="S36" s="15">
        <f>IF(COUNT(E36:Q36)=0,"",LOOKUP(2,1/(E36:Q36&lt;&gt;""),E36:Q36))</f>
        <v/>
      </c>
      <c r="T36" s="17">
        <f>IF(R36="","",ROUND(R36*RESUMEN!$B$4,0))</f>
        <v/>
      </c>
      <c r="U36" s="18">
        <f>COUNT(E36:Q36)</f>
        <v/>
      </c>
    </row>
    <row r="37">
      <c r="A37" s="13" t="inlineStr">
        <is>
          <t>7</t>
        </is>
      </c>
      <c r="B37" s="13" t="inlineStr">
        <is>
          <t>ANILLO BV BROWN-7</t>
        </is>
      </c>
      <c r="C37" s="13" t="inlineStr"/>
      <c r="D37" s="14" t="inlineStr"/>
      <c r="E37" s="13" t="n"/>
      <c r="F37" s="15" t="n">
        <v>7</v>
      </c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6">
        <f>IF(COUNT(E37:Q37)=0,"",MIN(E37:Q37))</f>
        <v/>
      </c>
      <c r="S37" s="15">
        <f>IF(COUNT(E37:Q37)=0,"",LOOKUP(2,1/(E37:Q37&lt;&gt;""),E37:Q37))</f>
        <v/>
      </c>
      <c r="T37" s="17">
        <f>IF(R37="","",ROUND(R37*RESUMEN!$B$4,0))</f>
        <v/>
      </c>
      <c r="U37" s="18">
        <f>COUNT(E37:Q37)</f>
        <v/>
      </c>
    </row>
    <row r="38">
      <c r="A38" s="13" t="inlineStr">
        <is>
          <t>8</t>
        </is>
      </c>
      <c r="B38" s="13" t="inlineStr">
        <is>
          <t>ANILLO BV BROWN-8</t>
        </is>
      </c>
      <c r="C38" s="13" t="inlineStr"/>
      <c r="D38" s="14" t="inlineStr"/>
      <c r="E38" s="13" t="n"/>
      <c r="F38" s="15" t="n">
        <v>7</v>
      </c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6">
        <f>IF(COUNT(E38:Q38)=0,"",MIN(E38:Q38))</f>
        <v/>
      </c>
      <c r="S38" s="15">
        <f>IF(COUNT(E38:Q38)=0,"",LOOKUP(2,1/(E38:Q38&lt;&gt;""),E38:Q38))</f>
        <v/>
      </c>
      <c r="T38" s="17">
        <f>IF(R38="","",ROUND(R38*RESUMEN!$B$4,0))</f>
        <v/>
      </c>
      <c r="U38" s="18">
        <f>COUNT(E38:Q38)</f>
        <v/>
      </c>
    </row>
    <row r="39">
      <c r="A39" s="13" t="inlineStr">
        <is>
          <t>10956321024557</t>
        </is>
      </c>
      <c r="B39" s="13" t="inlineStr">
        <is>
          <t>ANILLO BV BUMPS GOLD ZIRCONIAS</t>
        </is>
      </c>
      <c r="C39" s="13" t="inlineStr">
        <is>
          <t>6</t>
        </is>
      </c>
      <c r="D39" s="14" t="inlineStr">
        <is>
          <t>nan</t>
        </is>
      </c>
      <c r="E39" s="13" t="n"/>
      <c r="F39" s="15" t="n">
        <v>10</v>
      </c>
      <c r="G39" s="13" t="n"/>
      <c r="H39" s="13" t="n"/>
      <c r="I39" s="13" t="n"/>
      <c r="J39" s="13" t="n"/>
      <c r="K39" s="13" t="n"/>
      <c r="L39" s="13" t="n"/>
      <c r="M39" s="15" t="n">
        <v>11</v>
      </c>
      <c r="N39" s="13" t="n"/>
      <c r="O39" s="13" t="n"/>
      <c r="P39" s="13" t="n"/>
      <c r="Q39" s="13" t="n"/>
      <c r="R39" s="16">
        <f>IF(COUNT(E39:Q39)=0,"",MIN(E39:Q39))</f>
        <v/>
      </c>
      <c r="S39" s="15">
        <f>IF(COUNT(E39:Q39)=0,"",LOOKUP(2,1/(E39:Q39&lt;&gt;""),E39:Q39))</f>
        <v/>
      </c>
      <c r="T39" s="17">
        <f>IF(R39="","",ROUND(R39*RESUMEN!$B$4,0))</f>
        <v/>
      </c>
      <c r="U39" s="18">
        <f>COUNT(E39:Q39)</f>
        <v/>
      </c>
    </row>
    <row r="40">
      <c r="A40" s="13" t="inlineStr">
        <is>
          <t>10956321157325</t>
        </is>
      </c>
      <c r="B40" s="13" t="inlineStr">
        <is>
          <t>ANILLO BV BUMPS GOLD ZIRCONIAS</t>
        </is>
      </c>
      <c r="C40" s="13" t="inlineStr">
        <is>
          <t>7</t>
        </is>
      </c>
      <c r="D40" s="14" t="inlineStr">
        <is>
          <t>Stainless Stee</t>
        </is>
      </c>
      <c r="E40" s="13" t="n"/>
      <c r="F40" s="15" t="n">
        <v>10</v>
      </c>
      <c r="G40" s="13" t="n"/>
      <c r="H40" s="13" t="n"/>
      <c r="I40" s="13" t="n"/>
      <c r="J40" s="13" t="n"/>
      <c r="K40" s="13" t="n"/>
      <c r="L40" s="15" t="n">
        <v>11</v>
      </c>
      <c r="M40" s="13" t="n"/>
      <c r="N40" s="13" t="n"/>
      <c r="O40" s="15" t="n">
        <v>12</v>
      </c>
      <c r="P40" s="13" t="n"/>
      <c r="Q40" s="13" t="n"/>
      <c r="R40" s="16">
        <f>IF(COUNT(E40:Q40)=0,"",MIN(E40:Q40))</f>
        <v/>
      </c>
      <c r="S40" s="15">
        <f>IF(COUNT(E40:Q40)=0,"",LOOKUP(2,1/(E40:Q40&lt;&gt;""),E40:Q40))</f>
        <v/>
      </c>
      <c r="T40" s="17">
        <f>IF(R40="","",ROUND(R40*RESUMEN!$B$4,0))</f>
        <v/>
      </c>
      <c r="U40" s="18">
        <f>COUNT(E40:Q40)</f>
        <v/>
      </c>
    </row>
    <row r="41">
      <c r="A41" s="13" t="inlineStr">
        <is>
          <t>13667531088813</t>
        </is>
      </c>
      <c r="B41" s="13" t="inlineStr">
        <is>
          <t>ANILLO BV BUMPS GOLD-BLACK</t>
        </is>
      </c>
      <c r="C41" s="13" t="inlineStr">
        <is>
          <t>8</t>
        </is>
      </c>
      <c r="D41" s="14" t="inlineStr">
        <is>
          <t>Stainless stee</t>
        </is>
      </c>
      <c r="E41" s="13" t="n"/>
      <c r="F41" s="15" t="n">
        <v>9</v>
      </c>
      <c r="G41" s="13" t="n"/>
      <c r="H41" s="13" t="n"/>
      <c r="I41" s="13" t="n"/>
      <c r="J41" s="13" t="n"/>
      <c r="K41" s="13" t="n"/>
      <c r="L41" s="15" t="n">
        <v>9</v>
      </c>
      <c r="M41" s="13" t="n"/>
      <c r="N41" s="13" t="n"/>
      <c r="O41" s="13" t="n"/>
      <c r="P41" s="13" t="n"/>
      <c r="Q41" s="13" t="n"/>
      <c r="R41" s="16">
        <f>IF(COUNT(E41:Q41)=0,"",MIN(E41:Q41))</f>
        <v/>
      </c>
      <c r="S41" s="15">
        <f>IF(COUNT(E41:Q41)=0,"",LOOKUP(2,1/(E41:Q41&lt;&gt;""),E41:Q41))</f>
        <v/>
      </c>
      <c r="T41" s="17">
        <f>IF(R41="","",ROUND(R41*RESUMEN!$B$4,0))</f>
        <v/>
      </c>
      <c r="U41" s="18">
        <f>COUNT(E41:Q41)</f>
        <v/>
      </c>
    </row>
    <row r="42">
      <c r="A42" s="13" t="inlineStr">
        <is>
          <t>10956321324077</t>
        </is>
      </c>
      <c r="B42" s="13" t="inlineStr">
        <is>
          <t>ANILLO BV BUMPS SILVER ZIRCONIAS</t>
        </is>
      </c>
      <c r="C42" s="13" t="inlineStr">
        <is>
          <t>7</t>
        </is>
      </c>
      <c r="D42" s="14" t="inlineStr">
        <is>
          <t>Stainless stee</t>
        </is>
      </c>
      <c r="E42" s="13" t="n"/>
      <c r="F42" s="15" t="n">
        <v>10</v>
      </c>
      <c r="G42" s="13" t="n"/>
      <c r="H42" s="13" t="n"/>
      <c r="I42" s="13" t="n"/>
      <c r="J42" s="13" t="n"/>
      <c r="K42" s="13" t="n"/>
      <c r="L42" s="13" t="n"/>
      <c r="M42" s="13" t="n"/>
      <c r="N42" s="15" t="n">
        <v>10</v>
      </c>
      <c r="O42" s="13" t="n"/>
      <c r="P42" s="13" t="n"/>
      <c r="Q42" s="13" t="n"/>
      <c r="R42" s="16">
        <f>IF(COUNT(E42:Q42)=0,"",MIN(E42:Q42))</f>
        <v/>
      </c>
      <c r="S42" s="15">
        <f>IF(COUNT(E42:Q42)=0,"",LOOKUP(2,1/(E42:Q42&lt;&gt;""),E42:Q42))</f>
        <v/>
      </c>
      <c r="T42" s="17">
        <f>IF(R42="","",ROUND(R42*RESUMEN!$B$4,0))</f>
        <v/>
      </c>
      <c r="U42" s="18">
        <f>COUNT(E42:Q42)</f>
        <v/>
      </c>
    </row>
    <row r="43">
      <c r="A43" s="13" t="inlineStr">
        <is>
          <t>10956321291309</t>
        </is>
      </c>
      <c r="B43" s="13" t="inlineStr">
        <is>
          <t>ANILLO BV BUMPS SILVER ZIRCONIAS-6</t>
        </is>
      </c>
      <c r="C43" s="13" t="inlineStr">
        <is>
          <t>6</t>
        </is>
      </c>
      <c r="D43" s="14" t="inlineStr"/>
      <c r="E43" s="13" t="n"/>
      <c r="F43" s="15" t="n">
        <v>10</v>
      </c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6">
        <f>IF(COUNT(E43:Q43)=0,"",MIN(E43:Q43))</f>
        <v/>
      </c>
      <c r="S43" s="15">
        <f>IF(COUNT(E43:Q43)=0,"",LOOKUP(2,1/(E43:Q43&lt;&gt;""),E43:Q43))</f>
        <v/>
      </c>
      <c r="T43" s="17">
        <f>IF(R43="","",ROUND(R43*RESUMEN!$B$4,0))</f>
        <v/>
      </c>
      <c r="U43" s="18">
        <f>COUNT(E43:Q43)</f>
        <v/>
      </c>
    </row>
    <row r="44">
      <c r="A44" s="13" t="inlineStr">
        <is>
          <t>22064322680525</t>
        </is>
      </c>
      <c r="B44" s="13" t="inlineStr">
        <is>
          <t>ANILLO BV ROSE GOLD PEARL</t>
        </is>
      </c>
      <c r="C44" s="13" t="inlineStr">
        <is>
          <t>6</t>
        </is>
      </c>
      <c r="D44" s="14" t="inlineStr"/>
      <c r="E44" s="13" t="n"/>
      <c r="F44" s="13" t="n"/>
      <c r="G44" s="13" t="n"/>
      <c r="H44" s="13" t="n"/>
      <c r="I44" s="13" t="n"/>
      <c r="J44" s="13" t="n"/>
      <c r="K44" s="15" t="n">
        <v>8</v>
      </c>
      <c r="L44" s="13" t="n"/>
      <c r="M44" s="13" t="n"/>
      <c r="N44" s="13" t="n"/>
      <c r="O44" s="13" t="n"/>
      <c r="P44" s="13" t="n"/>
      <c r="Q44" s="13" t="n"/>
      <c r="R44" s="16">
        <f>IF(COUNT(E44:Q44)=0,"",MIN(E44:Q44))</f>
        <v/>
      </c>
      <c r="S44" s="15">
        <f>IF(COUNT(E44:Q44)=0,"",LOOKUP(2,1/(E44:Q44&lt;&gt;""),E44:Q44))</f>
        <v/>
      </c>
      <c r="T44" s="17">
        <f>IF(R44="","",ROUND(R44*RESUMEN!$B$4,0))</f>
        <v/>
      </c>
      <c r="U44" s="18">
        <f>COUNT(E44:Q44)</f>
        <v/>
      </c>
    </row>
    <row r="45">
      <c r="A45" s="13" t="inlineStr">
        <is>
          <t>22064322713293</t>
        </is>
      </c>
      <c r="B45" s="13" t="inlineStr">
        <is>
          <t>ANILLO BV ROSE GOLD PEARL</t>
        </is>
      </c>
      <c r="C45" s="13" t="inlineStr">
        <is>
          <t>7</t>
        </is>
      </c>
      <c r="D45" s="14" t="inlineStr">
        <is>
          <t>Copper alloy</t>
        </is>
      </c>
      <c r="E45" s="13" t="n"/>
      <c r="F45" s="13" t="n"/>
      <c r="G45" s="13" t="n"/>
      <c r="H45" s="13" t="n"/>
      <c r="I45" s="13" t="n"/>
      <c r="J45" s="13" t="n"/>
      <c r="K45" s="15" t="n">
        <v>8</v>
      </c>
      <c r="L45" s="13" t="n"/>
      <c r="M45" s="13" t="n"/>
      <c r="N45" s="13" t="n"/>
      <c r="O45" s="13" t="n"/>
      <c r="P45" s="15" t="n">
        <v>8</v>
      </c>
      <c r="Q45" s="13" t="n"/>
      <c r="R45" s="16">
        <f>IF(COUNT(E45:Q45)=0,"",MIN(E45:Q45))</f>
        <v/>
      </c>
      <c r="S45" s="15">
        <f>IF(COUNT(E45:Q45)=0,"",LOOKUP(2,1/(E45:Q45&lt;&gt;""),E45:Q45))</f>
        <v/>
      </c>
      <c r="T45" s="17">
        <f>IF(R45="","",ROUND(R45*RESUMEN!$B$4,0))</f>
        <v/>
      </c>
      <c r="U45" s="18">
        <f>COUNT(E45:Q45)</f>
        <v/>
      </c>
    </row>
    <row r="46">
      <c r="A46" s="13" t="inlineStr">
        <is>
          <t>17964142243085</t>
        </is>
      </c>
      <c r="B46" s="13" t="inlineStr">
        <is>
          <t>ANILLO BV SORTIJA SILVER</t>
        </is>
      </c>
      <c r="C46" s="13" t="inlineStr">
        <is>
          <t>7</t>
        </is>
      </c>
      <c r="D46" s="14" t="inlineStr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5" t="n">
        <v>7</v>
      </c>
      <c r="P46" s="13" t="n"/>
      <c r="Q46" s="13" t="n"/>
      <c r="R46" s="16">
        <f>IF(COUNT(E46:Q46)=0,"",MIN(E46:Q46))</f>
        <v/>
      </c>
      <c r="S46" s="15">
        <f>IF(COUNT(E46:Q46)=0,"",LOOKUP(2,1/(E46:Q46&lt;&gt;""),E46:Q46))</f>
        <v/>
      </c>
      <c r="T46" s="17">
        <f>IF(R46="","",ROUND(R46*RESUMEN!$B$4,0))</f>
        <v/>
      </c>
      <c r="U46" s="18">
        <f>COUNT(E46:Q46)</f>
        <v/>
      </c>
    </row>
    <row r="47">
      <c r="A47" s="13" t="inlineStr">
        <is>
          <t>16117871577997</t>
        </is>
      </c>
      <c r="B47" s="13" t="inlineStr">
        <is>
          <t>ANILLO BV ZERO 1 BLACK-ROSEGOLD</t>
        </is>
      </c>
      <c r="C47" s="13" t="inlineStr">
        <is>
          <t>7</t>
        </is>
      </c>
      <c r="D47" s="14" t="inlineStr">
        <is>
          <t>Stainless stee</t>
        </is>
      </c>
      <c r="E47" s="13" t="n"/>
      <c r="F47" s="15" t="n">
        <v>9</v>
      </c>
      <c r="G47" s="13" t="n"/>
      <c r="H47" s="13" t="n"/>
      <c r="I47" s="13" t="n"/>
      <c r="J47" s="13" t="n"/>
      <c r="K47" s="13" t="n"/>
      <c r="L47" s="15" t="n">
        <v>7</v>
      </c>
      <c r="M47" s="13" t="n"/>
      <c r="N47" s="15" t="n">
        <v>7</v>
      </c>
      <c r="O47" s="13" t="n"/>
      <c r="P47" s="13" t="n"/>
      <c r="Q47" s="13" t="n"/>
      <c r="R47" s="16">
        <f>IF(COUNT(E47:Q47)=0,"",MIN(E47:Q47))</f>
        <v/>
      </c>
      <c r="S47" s="15">
        <f>IF(COUNT(E47:Q47)=0,"",LOOKUP(2,1/(E47:Q47&lt;&gt;""),E47:Q47))</f>
        <v/>
      </c>
      <c r="T47" s="17">
        <f>IF(R47="","",ROUND(R47*RESUMEN!$B$4,0))</f>
        <v/>
      </c>
      <c r="U47" s="18">
        <f>COUNT(E47:Q47)</f>
        <v/>
      </c>
    </row>
    <row r="48">
      <c r="A48" s="13" t="inlineStr">
        <is>
          <t>16117871610765</t>
        </is>
      </c>
      <c r="B48" s="13" t="inlineStr">
        <is>
          <t>ANILLO BV ZERO 1 BLACK-ROSEGOLD</t>
        </is>
      </c>
      <c r="C48" s="13" t="inlineStr">
        <is>
          <t>8</t>
        </is>
      </c>
      <c r="D48" s="14" t="inlineStr">
        <is>
          <t>Stainless Stee</t>
        </is>
      </c>
      <c r="E48" s="13" t="n"/>
      <c r="F48" s="15" t="n">
        <v>9</v>
      </c>
      <c r="G48" s="13" t="n"/>
      <c r="H48" s="13" t="n"/>
      <c r="I48" s="13" t="n"/>
      <c r="J48" s="13" t="n"/>
      <c r="K48" s="13" t="n"/>
      <c r="L48" s="15" t="n">
        <v>7</v>
      </c>
      <c r="M48" s="13" t="n"/>
      <c r="N48" s="13" t="n"/>
      <c r="O48" s="13" t="n"/>
      <c r="P48" s="13" t="n"/>
      <c r="Q48" s="15" t="n">
        <v>9</v>
      </c>
      <c r="R48" s="16">
        <f>IF(COUNT(E48:Q48)=0,"",MIN(E48:Q48))</f>
        <v/>
      </c>
      <c r="S48" s="15">
        <f>IF(COUNT(E48:Q48)=0,"",LOOKUP(2,1/(E48:Q48&lt;&gt;""),E48:Q48))</f>
        <v/>
      </c>
      <c r="T48" s="17">
        <f>IF(R48="","",ROUND(R48*RESUMEN!$B$4,0))</f>
        <v/>
      </c>
      <c r="U48" s="18">
        <f>COUNT(E48:Q48)</f>
        <v/>
      </c>
    </row>
    <row r="49">
      <c r="A49" s="13" t="inlineStr">
        <is>
          <t>94122711058029</t>
        </is>
      </c>
      <c r="B49" s="13" t="inlineStr">
        <is>
          <t>ANILLO BV ZERO 1 SILVER</t>
        </is>
      </c>
      <c r="C49" s="13" t="inlineStr">
        <is>
          <t>7</t>
        </is>
      </c>
      <c r="D49" s="14" t="inlineStr">
        <is>
          <t>nan</t>
        </is>
      </c>
      <c r="E49" s="13" t="n"/>
      <c r="F49" s="15" t="n">
        <v>7</v>
      </c>
      <c r="G49" s="13" t="n"/>
      <c r="H49" s="13" t="n"/>
      <c r="I49" s="13" t="n"/>
      <c r="J49" s="13" t="n"/>
      <c r="K49" s="13" t="n"/>
      <c r="L49" s="13" t="n"/>
      <c r="M49" s="15" t="n">
        <v>6</v>
      </c>
      <c r="N49" s="13" t="n"/>
      <c r="O49" s="13" t="n"/>
      <c r="P49" s="13" t="n"/>
      <c r="Q49" s="13" t="n"/>
      <c r="R49" s="16">
        <f>IF(COUNT(E49:Q49)=0,"",MIN(E49:Q49))</f>
        <v/>
      </c>
      <c r="S49" s="15">
        <f>IF(COUNT(E49:Q49)=0,"",LOOKUP(2,1/(E49:Q49&lt;&gt;""),E49:Q49))</f>
        <v/>
      </c>
      <c r="T49" s="17">
        <f>IF(R49="","",ROUND(R49*RESUMEN!$B$4,0))</f>
        <v/>
      </c>
      <c r="U49" s="18">
        <f>COUNT(E49:Q49)</f>
        <v/>
      </c>
    </row>
    <row r="50">
      <c r="A50" s="13" t="inlineStr">
        <is>
          <t>94122711058030</t>
        </is>
      </c>
      <c r="B50" s="13" t="inlineStr">
        <is>
          <t>ANILLO BV ZERO 1 SILVER</t>
        </is>
      </c>
      <c r="C50" s="13" t="inlineStr">
        <is>
          <t>8</t>
        </is>
      </c>
      <c r="D50" s="14" t="inlineStr">
        <is>
          <t>nan</t>
        </is>
      </c>
      <c r="E50" s="13" t="n"/>
      <c r="F50" s="15" t="n">
        <v>6</v>
      </c>
      <c r="G50" s="13" t="n"/>
      <c r="H50" s="13" t="n"/>
      <c r="I50" s="13" t="n"/>
      <c r="J50" s="13" t="n"/>
      <c r="K50" s="13" t="n"/>
      <c r="L50" s="13" t="n"/>
      <c r="M50" s="15" t="n">
        <v>6</v>
      </c>
      <c r="N50" s="13" t="n"/>
      <c r="O50" s="13" t="n"/>
      <c r="P50" s="13" t="n"/>
      <c r="Q50" s="13" t="n"/>
      <c r="R50" s="16">
        <f>IF(COUNT(E50:Q50)=0,"",MIN(E50:Q50))</f>
        <v/>
      </c>
      <c r="S50" s="15">
        <f>IF(COUNT(E50:Q50)=0,"",LOOKUP(2,1/(E50:Q50&lt;&gt;""),E50:Q50))</f>
        <v/>
      </c>
      <c r="T50" s="17">
        <f>IF(R50="","",ROUND(R50*RESUMEN!$B$4,0))</f>
        <v/>
      </c>
      <c r="U50" s="18">
        <f>COUNT(E50:Q50)</f>
        <v/>
      </c>
    </row>
    <row r="51">
      <c r="A51" s="13" t="inlineStr">
        <is>
          <t>94122711058031</t>
        </is>
      </c>
      <c r="B51" s="13" t="inlineStr">
        <is>
          <t>ANILLO BV ZERO 1 SILVER</t>
        </is>
      </c>
      <c r="C51" s="13" t="inlineStr">
        <is>
          <t>9</t>
        </is>
      </c>
      <c r="D51" s="14" t="inlineStr">
        <is>
          <t>Stainless stee</t>
        </is>
      </c>
      <c r="E51" s="13" t="n"/>
      <c r="F51" s="15" t="n">
        <v>6</v>
      </c>
      <c r="G51" s="13" t="n"/>
      <c r="H51" s="13" t="n"/>
      <c r="I51" s="13" t="n"/>
      <c r="J51" s="13" t="n"/>
      <c r="K51" s="13" t="n"/>
      <c r="L51" s="15" t="n">
        <v>6</v>
      </c>
      <c r="M51" s="13" t="n"/>
      <c r="N51" s="15" t="n">
        <v>6</v>
      </c>
      <c r="O51" s="13" t="n"/>
      <c r="P51" s="13" t="n"/>
      <c r="Q51" s="15" t="n">
        <v>6</v>
      </c>
      <c r="R51" s="16">
        <f>IF(COUNT(E51:Q51)=0,"",MIN(E51:Q51))</f>
        <v/>
      </c>
      <c r="S51" s="15">
        <f>IF(COUNT(E51:Q51)=0,"",LOOKUP(2,1/(E51:Q51&lt;&gt;""),E51:Q51))</f>
        <v/>
      </c>
      <c r="T51" s="17">
        <f>IF(R51="","",ROUND(R51*RESUMEN!$B$4,0))</f>
        <v/>
      </c>
      <c r="U51" s="18">
        <f>COUNT(E51:Q51)</f>
        <v/>
      </c>
    </row>
    <row r="52">
      <c r="A52" s="13" t="inlineStr">
        <is>
          <t>35432871289805</t>
        </is>
      </c>
      <c r="B52" s="13" t="inlineStr">
        <is>
          <t>ANILLO CC COCO CRUSH ROSE GOLD</t>
        </is>
      </c>
      <c r="C52" s="13" t="inlineStr">
        <is>
          <t>6</t>
        </is>
      </c>
      <c r="D52" s="14" t="inlineStr"/>
      <c r="E52" s="13" t="n"/>
      <c r="F52" s="13" t="n"/>
      <c r="G52" s="13" t="n"/>
      <c r="H52" s="13" t="n"/>
      <c r="I52" s="13" t="n"/>
      <c r="J52" s="13" t="n"/>
      <c r="K52" s="15" t="n">
        <v>10</v>
      </c>
      <c r="L52" s="13" t="n"/>
      <c r="M52" s="13" t="n"/>
      <c r="N52" s="13" t="n"/>
      <c r="O52" s="13" t="n"/>
      <c r="P52" s="13" t="n"/>
      <c r="Q52" s="13" t="n"/>
      <c r="R52" s="16">
        <f>IF(COUNT(E52:Q52)=0,"",MIN(E52:Q52))</f>
        <v/>
      </c>
      <c r="S52" s="15">
        <f>IF(COUNT(E52:Q52)=0,"",LOOKUP(2,1/(E52:Q52&lt;&gt;""),E52:Q52))</f>
        <v/>
      </c>
      <c r="T52" s="17">
        <f>IF(R52="","",ROUND(R52*RESUMEN!$B$4,0))</f>
        <v/>
      </c>
      <c r="U52" s="18">
        <f>COUNT(E52:Q52)</f>
        <v/>
      </c>
    </row>
    <row r="53">
      <c r="A53" s="13" t="inlineStr">
        <is>
          <t>35432871322573</t>
        </is>
      </c>
      <c r="B53" s="13" t="inlineStr">
        <is>
          <t>ANILLO CC COCO CRUSH ROSE GOLD</t>
        </is>
      </c>
      <c r="C53" s="13" t="inlineStr">
        <is>
          <t>7</t>
        </is>
      </c>
      <c r="D53" s="14" t="inlineStr"/>
      <c r="E53" s="13" t="n"/>
      <c r="F53" s="13" t="n"/>
      <c r="G53" s="13" t="n"/>
      <c r="H53" s="13" t="n"/>
      <c r="I53" s="13" t="n"/>
      <c r="J53" s="13" t="n"/>
      <c r="K53" s="15" t="n">
        <v>10</v>
      </c>
      <c r="L53" s="13" t="n"/>
      <c r="M53" s="13" t="n"/>
      <c r="N53" s="13" t="n"/>
      <c r="O53" s="13" t="n"/>
      <c r="P53" s="13" t="n"/>
      <c r="Q53" s="13" t="n"/>
      <c r="R53" s="16">
        <f>IF(COUNT(E53:Q53)=0,"",MIN(E53:Q53))</f>
        <v/>
      </c>
      <c r="S53" s="15">
        <f>IF(COUNT(E53:Q53)=0,"",LOOKUP(2,1/(E53:Q53&lt;&gt;""),E53:Q53))</f>
        <v/>
      </c>
      <c r="T53" s="17">
        <f>IF(R53="","",ROUND(R53*RESUMEN!$B$4,0))</f>
        <v/>
      </c>
      <c r="U53" s="18">
        <f>COUNT(E53:Q53)</f>
        <v/>
      </c>
    </row>
    <row r="54">
      <c r="A54" s="13" t="inlineStr">
        <is>
          <t>35432871441773</t>
        </is>
      </c>
      <c r="B54" s="13" t="inlineStr">
        <is>
          <t>ANILLO CC COCO CRUSH ROSE GOLD-SILVER</t>
        </is>
      </c>
      <c r="C54" s="13" t="inlineStr">
        <is>
          <t>6</t>
        </is>
      </c>
      <c r="D54" s="14" t="inlineStr">
        <is>
          <t>Stainless Stee</t>
        </is>
      </c>
      <c r="E54" s="13" t="n"/>
      <c r="F54" s="13" t="n"/>
      <c r="G54" s="13" t="n"/>
      <c r="H54" s="13" t="n"/>
      <c r="I54" s="13" t="n"/>
      <c r="J54" s="13" t="n"/>
      <c r="K54" s="15" t="n">
        <v>10</v>
      </c>
      <c r="L54" s="13" t="n"/>
      <c r="M54" s="13" t="n"/>
      <c r="N54" s="13" t="n"/>
      <c r="O54" s="13" t="n"/>
      <c r="P54" s="15" t="n">
        <v>10</v>
      </c>
      <c r="Q54" s="13" t="n"/>
      <c r="R54" s="16">
        <f>IF(COUNT(E54:Q54)=0,"",MIN(E54:Q54))</f>
        <v/>
      </c>
      <c r="S54" s="15">
        <f>IF(COUNT(E54:Q54)=0,"",LOOKUP(2,1/(E54:Q54&lt;&gt;""),E54:Q54))</f>
        <v/>
      </c>
      <c r="T54" s="17">
        <f>IF(R54="","",ROUND(R54*RESUMEN!$B$4,0))</f>
        <v/>
      </c>
      <c r="U54" s="18">
        <f>COUNT(E54:Q54)</f>
        <v/>
      </c>
    </row>
    <row r="55">
      <c r="A55" s="13" t="inlineStr">
        <is>
          <t>35432871574541</t>
        </is>
      </c>
      <c r="B55" s="13" t="inlineStr">
        <is>
          <t>ANILLO CC COCO CRUSH ROSE GOLD-SILVER</t>
        </is>
      </c>
      <c r="C55" s="13" t="inlineStr">
        <is>
          <t>7</t>
        </is>
      </c>
      <c r="D55" s="14" t="inlineStr">
        <is>
          <t>Stainless Stee</t>
        </is>
      </c>
      <c r="E55" s="13" t="n"/>
      <c r="F55" s="13" t="n"/>
      <c r="G55" s="13" t="n"/>
      <c r="H55" s="13" t="n"/>
      <c r="I55" s="13" t="n"/>
      <c r="J55" s="13" t="n"/>
      <c r="K55" s="15" t="n">
        <v>10</v>
      </c>
      <c r="L55" s="13" t="n"/>
      <c r="M55" s="13" t="n"/>
      <c r="N55" s="13" t="n"/>
      <c r="O55" s="13" t="n"/>
      <c r="P55" s="15" t="n">
        <v>10</v>
      </c>
      <c r="Q55" s="13" t="n"/>
      <c r="R55" s="16">
        <f>IF(COUNT(E55:Q55)=0,"",MIN(E55:Q55))</f>
        <v/>
      </c>
      <c r="S55" s="15">
        <f>IF(COUNT(E55:Q55)=0,"",LOOKUP(2,1/(E55:Q55&lt;&gt;""),E55:Q55))</f>
        <v/>
      </c>
      <c r="T55" s="17">
        <f>IF(R55="","",ROUND(R55*RESUMEN!$B$4,0))</f>
        <v/>
      </c>
      <c r="U55" s="18">
        <f>COUNT(E55:Q55)</f>
        <v/>
      </c>
    </row>
    <row r="56">
      <c r="A56" s="13" t="inlineStr">
        <is>
          <t>86347032550093</t>
        </is>
      </c>
      <c r="B56" s="13" t="inlineStr">
        <is>
          <t>ANILLO CD DIAMOND ZIRCONIAS</t>
        </is>
      </c>
      <c r="C56" s="13" t="inlineStr">
        <is>
          <t>7</t>
        </is>
      </c>
      <c r="D56" s="14" t="inlineStr">
        <is>
          <t>Copper alloy</t>
        </is>
      </c>
      <c r="E56" s="13" t="n"/>
      <c r="F56" s="13" t="n"/>
      <c r="G56" s="15" t="n">
        <v>6</v>
      </c>
      <c r="H56" s="13" t="n"/>
      <c r="I56" s="13" t="n"/>
      <c r="J56" s="13" t="n"/>
      <c r="K56" s="13" t="n"/>
      <c r="L56" s="15" t="n">
        <v>4.9</v>
      </c>
      <c r="M56" s="13" t="n"/>
      <c r="N56" s="15" t="n">
        <v>4.9</v>
      </c>
      <c r="O56" s="13" t="n"/>
      <c r="P56" s="15" t="n">
        <v>4.9</v>
      </c>
      <c r="Q56" s="13" t="n"/>
      <c r="R56" s="16">
        <f>IF(COUNT(E56:Q56)=0,"",MIN(E56:Q56))</f>
        <v/>
      </c>
      <c r="S56" s="15">
        <f>IF(COUNT(E56:Q56)=0,"",LOOKUP(2,1/(E56:Q56&lt;&gt;""),E56:Q56))</f>
        <v/>
      </c>
      <c r="T56" s="17">
        <f>IF(R56="","",ROUND(R56*RESUMEN!$B$4,0))</f>
        <v/>
      </c>
      <c r="U56" s="18">
        <f>COUNT(E56:Q56)</f>
        <v/>
      </c>
    </row>
    <row r="57">
      <c r="A57" s="13" t="inlineStr">
        <is>
          <t>61222821052141</t>
        </is>
      </c>
      <c r="B57" s="13" t="inlineStr">
        <is>
          <t>ANILLO CD GRABADO GOLD BLACK ZIRCONIAS</t>
        </is>
      </c>
      <c r="C57" s="13" t="inlineStr">
        <is>
          <t>6</t>
        </is>
      </c>
      <c r="D57" s="14" t="inlineStr">
        <is>
          <t>Stainless stee</t>
        </is>
      </c>
      <c r="E57" s="13" t="n"/>
      <c r="F57" s="15" t="n">
        <v>6.9</v>
      </c>
      <c r="G57" s="13" t="n"/>
      <c r="H57" s="13" t="n"/>
      <c r="I57" s="13" t="n"/>
      <c r="J57" s="13" t="n"/>
      <c r="K57" s="13" t="n"/>
      <c r="L57" s="15" t="n">
        <v>6.9</v>
      </c>
      <c r="M57" s="13" t="n"/>
      <c r="N57" s="13" t="n"/>
      <c r="O57" s="13" t="n"/>
      <c r="P57" s="13" t="n"/>
      <c r="Q57" s="13" t="n"/>
      <c r="R57" s="16">
        <f>IF(COUNT(E57:Q57)=0,"",MIN(E57:Q57))</f>
        <v/>
      </c>
      <c r="S57" s="15">
        <f>IF(COUNT(E57:Q57)=0,"",LOOKUP(2,1/(E57:Q57&lt;&gt;""),E57:Q57))</f>
        <v/>
      </c>
      <c r="T57" s="17">
        <f>IF(R57="","",ROUND(R57*RESUMEN!$B$4,0))</f>
        <v/>
      </c>
      <c r="U57" s="18">
        <f>COUNT(E57:Q57)</f>
        <v/>
      </c>
    </row>
    <row r="58">
      <c r="A58" s="13" t="inlineStr">
        <is>
          <t>61222821166797</t>
        </is>
      </c>
      <c r="B58" s="13" t="inlineStr">
        <is>
          <t>ANILLO CD GRABADO GOLD BLACK ZIRCONIAS</t>
        </is>
      </c>
      <c r="C58" s="13" t="inlineStr">
        <is>
          <t>8</t>
        </is>
      </c>
      <c r="D58" s="14" t="inlineStr">
        <is>
          <t>Stainless Stee</t>
        </is>
      </c>
      <c r="E58" s="13" t="n"/>
      <c r="F58" s="15" t="n">
        <v>6.9</v>
      </c>
      <c r="G58" s="13" t="n"/>
      <c r="H58" s="13" t="n"/>
      <c r="I58" s="13" t="n"/>
      <c r="J58" s="13" t="n"/>
      <c r="K58" s="13" t="n"/>
      <c r="L58" s="15" t="n">
        <v>6.9</v>
      </c>
      <c r="M58" s="13" t="n"/>
      <c r="N58" s="13" t="n"/>
      <c r="O58" s="13" t="n"/>
      <c r="P58" s="15" t="n">
        <v>7.9</v>
      </c>
      <c r="Q58" s="13" t="n"/>
      <c r="R58" s="16">
        <f>IF(COUNT(E58:Q58)=0,"",MIN(E58:Q58))</f>
        <v/>
      </c>
      <c r="S58" s="15">
        <f>IF(COUNT(E58:Q58)=0,"",LOOKUP(2,1/(E58:Q58&lt;&gt;""),E58:Q58))</f>
        <v/>
      </c>
      <c r="T58" s="17">
        <f>IF(R58="","",ROUND(R58*RESUMEN!$B$4,0))</f>
        <v/>
      </c>
      <c r="U58" s="18">
        <f>COUNT(E58:Q58)</f>
        <v/>
      </c>
    </row>
    <row r="59">
      <c r="A59" s="13" t="inlineStr">
        <is>
          <t>85549091025933</t>
        </is>
      </c>
      <c r="B59" s="13" t="inlineStr">
        <is>
          <t>ANILLO CD LOGO GOLD CON ZIRCONIAS</t>
        </is>
      </c>
      <c r="C59" s="13" t="inlineStr">
        <is>
          <t>Default Title</t>
        </is>
      </c>
      <c r="D59" s="14" t="inlineStr"/>
      <c r="E59" s="13" t="n"/>
      <c r="F59" s="13" t="n"/>
      <c r="G59" s="13" t="n"/>
      <c r="H59" s="13" t="n"/>
      <c r="I59" s="15" t="n">
        <v>6</v>
      </c>
      <c r="J59" s="13" t="n"/>
      <c r="K59" s="13" t="n"/>
      <c r="L59" s="13" t="n"/>
      <c r="M59" s="13" t="n"/>
      <c r="N59" s="13" t="n"/>
      <c r="O59" s="13" t="n"/>
      <c r="P59" s="13" t="n"/>
      <c r="Q59" s="13" t="n"/>
      <c r="R59" s="16">
        <f>IF(COUNT(E59:Q59)=0,"",MIN(E59:Q59))</f>
        <v/>
      </c>
      <c r="S59" s="15">
        <f>IF(COUNT(E59:Q59)=0,"",LOOKUP(2,1/(E59:Q59&lt;&gt;""),E59:Q59))</f>
        <v/>
      </c>
      <c r="T59" s="17">
        <f>IF(R59="","",ROUND(R59*RESUMEN!$B$4,0))</f>
        <v/>
      </c>
      <c r="U59" s="18">
        <f>COUNT(E59:Q59)</f>
        <v/>
      </c>
    </row>
    <row r="60">
      <c r="A60" s="13" t="inlineStr">
        <is>
          <t>29736662234765</t>
        </is>
      </c>
      <c r="B60" s="13" t="inlineStr">
        <is>
          <t>ANILLO CD TRIBALES GOLD</t>
        </is>
      </c>
      <c r="C60" s="13" t="inlineStr">
        <is>
          <t>7</t>
        </is>
      </c>
      <c r="D60" s="14" t="inlineStr">
        <is>
          <t>Copper alloy</t>
        </is>
      </c>
      <c r="E60" s="13" t="n"/>
      <c r="F60" s="13" t="n"/>
      <c r="G60" s="13" t="n"/>
      <c r="H60" s="13" t="n"/>
      <c r="I60" s="13" t="n"/>
      <c r="J60" s="13" t="n"/>
      <c r="K60" s="15" t="n">
        <v>6.99</v>
      </c>
      <c r="L60" s="13" t="n"/>
      <c r="M60" s="13" t="n"/>
      <c r="N60" s="13" t="n"/>
      <c r="O60" s="13" t="n"/>
      <c r="P60" s="15" t="n">
        <v>6.99</v>
      </c>
      <c r="Q60" s="13" t="n"/>
      <c r="R60" s="16">
        <f>IF(COUNT(E60:Q60)=0,"",MIN(E60:Q60))</f>
        <v/>
      </c>
      <c r="S60" s="15">
        <f>IF(COUNT(E60:Q60)=0,"",LOOKUP(2,1/(E60:Q60&lt;&gt;""),E60:Q60))</f>
        <v/>
      </c>
      <c r="T60" s="17">
        <f>IF(R60="","",ROUND(R60*RESUMEN!$B$4,0))</f>
        <v/>
      </c>
      <c r="U60" s="18">
        <f>COUNT(E60:Q60)</f>
        <v/>
      </c>
    </row>
    <row r="61">
      <c r="A61" s="13" t="inlineStr">
        <is>
          <t>10717801055213</t>
        </is>
      </c>
      <c r="B61" s="13" t="inlineStr">
        <is>
          <t>ANILLO CD ZIRCONIAS GOLD-BLACK</t>
        </is>
      </c>
      <c r="C61" s="13" t="inlineStr">
        <is>
          <t>7</t>
        </is>
      </c>
      <c r="D61" s="14" t="inlineStr">
        <is>
          <t>Copper alloy</t>
        </is>
      </c>
      <c r="E61" s="13" t="n"/>
      <c r="F61" s="13" t="n"/>
      <c r="G61" s="13" t="n"/>
      <c r="H61" s="13" t="n"/>
      <c r="I61" s="13" t="n"/>
      <c r="J61" s="15" t="n">
        <v>9.5</v>
      </c>
      <c r="K61" s="13" t="n"/>
      <c r="L61" s="15" t="n">
        <v>9.5</v>
      </c>
      <c r="M61" s="13" t="n"/>
      <c r="N61" s="13" t="n"/>
      <c r="O61" s="13" t="n"/>
      <c r="P61" s="13" t="n"/>
      <c r="Q61" s="13" t="n"/>
      <c r="R61" s="16">
        <f>IF(COUNT(E61:Q61)=0,"",MIN(E61:Q61))</f>
        <v/>
      </c>
      <c r="S61" s="15">
        <f>IF(COUNT(E61:Q61)=0,"",LOOKUP(2,1/(E61:Q61&lt;&gt;""),E61:Q61))</f>
        <v/>
      </c>
      <c r="T61" s="17">
        <f>IF(R61="","",ROUND(R61*RESUMEN!$B$4,0))</f>
        <v/>
      </c>
      <c r="U61" s="18">
        <f>COUNT(E61:Q61)</f>
        <v/>
      </c>
    </row>
    <row r="62">
      <c r="A62" s="13" t="inlineStr">
        <is>
          <t>22064322048301</t>
        </is>
      </c>
      <c r="B62" s="13" t="inlineStr">
        <is>
          <t>ANILLO CLASH DOBLE ROSE GOLD</t>
        </is>
      </c>
      <c r="C62" s="13" t="inlineStr">
        <is>
          <t>6</t>
        </is>
      </c>
      <c r="D62" s="14" t="inlineStr"/>
      <c r="E62" s="13" t="n"/>
      <c r="F62" s="13" t="n"/>
      <c r="G62" s="13" t="n"/>
      <c r="H62" s="13" t="n"/>
      <c r="I62" s="13" t="n"/>
      <c r="J62" s="13" t="n"/>
      <c r="K62" s="15" t="n">
        <v>10</v>
      </c>
      <c r="L62" s="13" t="n"/>
      <c r="M62" s="13" t="n"/>
      <c r="N62" s="13" t="n"/>
      <c r="O62" s="13" t="n"/>
      <c r="P62" s="13" t="n"/>
      <c r="Q62" s="13" t="n"/>
      <c r="R62" s="16">
        <f>IF(COUNT(E62:Q62)=0,"",MIN(E62:Q62))</f>
        <v/>
      </c>
      <c r="S62" s="15">
        <f>IF(COUNT(E62:Q62)=0,"",LOOKUP(2,1/(E62:Q62&lt;&gt;""),E62:Q62))</f>
        <v/>
      </c>
      <c r="T62" s="17">
        <f>IF(R62="","",ROUND(R62*RESUMEN!$B$4,0))</f>
        <v/>
      </c>
      <c r="U62" s="18">
        <f>COUNT(E62:Q62)</f>
        <v/>
      </c>
    </row>
    <row r="63">
      <c r="A63" s="13" t="inlineStr">
        <is>
          <t>22064322181069</t>
        </is>
      </c>
      <c r="B63" s="13" t="inlineStr">
        <is>
          <t>ANILLO CLASH DOBLE ROSE GOLD</t>
        </is>
      </c>
      <c r="C63" s="13" t="inlineStr">
        <is>
          <t>7</t>
        </is>
      </c>
      <c r="D63" s="14" t="inlineStr"/>
      <c r="E63" s="13" t="n"/>
      <c r="F63" s="13" t="n"/>
      <c r="G63" s="13" t="n"/>
      <c r="H63" s="13" t="n"/>
      <c r="I63" s="13" t="n"/>
      <c r="J63" s="13" t="n"/>
      <c r="K63" s="15" t="n">
        <v>10</v>
      </c>
      <c r="L63" s="13" t="n"/>
      <c r="M63" s="13" t="n"/>
      <c r="N63" s="13" t="n"/>
      <c r="O63" s="13" t="n"/>
      <c r="P63" s="13" t="n"/>
      <c r="Q63" s="13" t="n"/>
      <c r="R63" s="16">
        <f>IF(COUNT(E63:Q63)=0,"",MIN(E63:Q63))</f>
        <v/>
      </c>
      <c r="S63" s="15">
        <f>IF(COUNT(E63:Q63)=0,"",LOOKUP(2,1/(E63:Q63&lt;&gt;""),E63:Q63))</f>
        <v/>
      </c>
      <c r="T63" s="17">
        <f>IF(R63="","",ROUND(R63*RESUMEN!$B$4,0))</f>
        <v/>
      </c>
      <c r="U63" s="18">
        <f>COUNT(E63:Q63)</f>
        <v/>
      </c>
    </row>
    <row r="64">
      <c r="A64" s="13" t="inlineStr">
        <is>
          <t>66176e62063fb</t>
        </is>
      </c>
      <c r="B64" s="13" t="inlineStr">
        <is>
          <t>ANILLO CLASH GOLD</t>
        </is>
      </c>
      <c r="C64" s="13" t="inlineStr">
        <is>
          <t>10</t>
        </is>
      </c>
      <c r="D64" s="14" t="inlineStr">
        <is>
          <t>Copper alloy</t>
        </is>
      </c>
      <c r="E64" s="13" t="n"/>
      <c r="F64" s="13" t="n"/>
      <c r="G64" s="13" t="n"/>
      <c r="H64" s="15" t="n">
        <v>10</v>
      </c>
      <c r="I64" s="15" t="n">
        <v>10</v>
      </c>
      <c r="J64" s="13" t="n"/>
      <c r="K64" s="13" t="n"/>
      <c r="L64" s="15" t="n">
        <v>10</v>
      </c>
      <c r="M64" s="13" t="n"/>
      <c r="N64" s="13" t="n"/>
      <c r="O64" s="13" t="n"/>
      <c r="P64" s="13" t="n"/>
      <c r="Q64" s="13" t="n"/>
      <c r="R64" s="16">
        <f>IF(COUNT(E64:Q64)=0,"",MIN(E64:Q64))</f>
        <v/>
      </c>
      <c r="S64" s="15">
        <f>IF(COUNT(E64:Q64)=0,"",LOOKUP(2,1/(E64:Q64&lt;&gt;""),E64:Q64))</f>
        <v/>
      </c>
      <c r="T64" s="17">
        <f>IF(R64="","",ROUND(R64*RESUMEN!$B$4,0))</f>
        <v/>
      </c>
      <c r="U64" s="18">
        <f>COUNT(E64:Q64)</f>
        <v/>
      </c>
    </row>
    <row r="65">
      <c r="A65" s="13" t="inlineStr">
        <is>
          <t>66176e628d423</t>
        </is>
      </c>
      <c r="B65" s="13" t="inlineStr">
        <is>
          <t>ANILLO CLASH GOLD</t>
        </is>
      </c>
      <c r="C65" s="13" t="inlineStr">
        <is>
          <t>11</t>
        </is>
      </c>
      <c r="D65" s="14" t="inlineStr"/>
      <c r="E65" s="13" t="n"/>
      <c r="F65" s="13" t="n"/>
      <c r="G65" s="13" t="n"/>
      <c r="H65" s="15" t="n">
        <v>10</v>
      </c>
      <c r="I65" s="15" t="n">
        <v>10</v>
      </c>
      <c r="J65" s="13" t="n"/>
      <c r="K65" s="13" t="n"/>
      <c r="L65" s="13" t="n"/>
      <c r="M65" s="13" t="n"/>
      <c r="N65" s="13" t="n"/>
      <c r="O65" s="13" t="n"/>
      <c r="P65" s="13" t="n"/>
      <c r="Q65" s="13" t="n"/>
      <c r="R65" s="16">
        <f>IF(COUNT(E65:Q65)=0,"",MIN(E65:Q65))</f>
        <v/>
      </c>
      <c r="S65" s="15">
        <f>IF(COUNT(E65:Q65)=0,"",LOOKUP(2,1/(E65:Q65&lt;&gt;""),E65:Q65))</f>
        <v/>
      </c>
      <c r="T65" s="17">
        <f>IF(R65="","",ROUND(R65*RESUMEN!$B$4,0))</f>
        <v/>
      </c>
      <c r="U65" s="18">
        <f>COUNT(E65:Q65)</f>
        <v/>
      </c>
    </row>
    <row r="66">
      <c r="A66" s="13" t="inlineStr">
        <is>
          <t>66176e5ecde32</t>
        </is>
      </c>
      <c r="B66" s="13" t="inlineStr">
        <is>
          <t>ANILLO CLASH GOLD</t>
        </is>
      </c>
      <c r="C66" s="13" t="inlineStr">
        <is>
          <t>5</t>
        </is>
      </c>
      <c r="D66" s="14" t="inlineStr">
        <is>
          <t>Copper Alloy</t>
        </is>
      </c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5" t="n">
        <v>10</v>
      </c>
      <c r="R66" s="16">
        <f>IF(COUNT(E66:Q66)=0,"",MIN(E66:Q66))</f>
        <v/>
      </c>
      <c r="S66" s="15">
        <f>IF(COUNT(E66:Q66)=0,"",LOOKUP(2,1/(E66:Q66&lt;&gt;""),E66:Q66))</f>
        <v/>
      </c>
      <c r="T66" s="17">
        <f>IF(R66="","",ROUND(R66*RESUMEN!$B$4,0))</f>
        <v/>
      </c>
      <c r="U66" s="18">
        <f>COUNT(E66:Q66)</f>
        <v/>
      </c>
    </row>
    <row r="67">
      <c r="A67" s="13" t="inlineStr">
        <is>
          <t>66176e5f7392c</t>
        </is>
      </c>
      <c r="B67" s="13" t="inlineStr">
        <is>
          <t>ANILLO CLASH GOLD</t>
        </is>
      </c>
      <c r="C67" s="13" t="inlineStr">
        <is>
          <t>6</t>
        </is>
      </c>
      <c r="D67" s="14" t="inlineStr">
        <is>
          <t>Copper Alloy</t>
        </is>
      </c>
      <c r="E67" s="15" t="n">
        <v>10</v>
      </c>
      <c r="F67" s="13" t="n"/>
      <c r="G67" s="13" t="n"/>
      <c r="H67" s="13" t="n"/>
      <c r="I67" s="13" t="n"/>
      <c r="J67" s="15" t="n">
        <v>10</v>
      </c>
      <c r="K67" s="13" t="n"/>
      <c r="L67" s="13" t="n"/>
      <c r="M67" s="13" t="n"/>
      <c r="N67" s="15" t="n">
        <v>10</v>
      </c>
      <c r="O67" s="13" t="n"/>
      <c r="P67" s="13" t="n"/>
      <c r="Q67" s="15" t="n">
        <v>10</v>
      </c>
      <c r="R67" s="16">
        <f>IF(COUNT(E67:Q67)=0,"",MIN(E67:Q67))</f>
        <v/>
      </c>
      <c r="S67" s="15">
        <f>IF(COUNT(E67:Q67)=0,"",LOOKUP(2,1/(E67:Q67&lt;&gt;""),E67:Q67))</f>
        <v/>
      </c>
      <c r="T67" s="17">
        <f>IF(R67="","",ROUND(R67*RESUMEN!$B$4,0))</f>
        <v/>
      </c>
      <c r="U67" s="18">
        <f>COUNT(E67:Q67)</f>
        <v/>
      </c>
    </row>
    <row r="68">
      <c r="A68" s="13" t="inlineStr">
        <is>
          <t>66176e6009ab0</t>
        </is>
      </c>
      <c r="B68" s="13" t="inlineStr">
        <is>
          <t>ANILLO CLASH GOLD</t>
        </is>
      </c>
      <c r="C68" s="13" t="inlineStr">
        <is>
          <t>7</t>
        </is>
      </c>
      <c r="D68" s="14" t="inlineStr">
        <is>
          <t>Copper alloy</t>
        </is>
      </c>
      <c r="E68" s="15" t="n">
        <v>10</v>
      </c>
      <c r="F68" s="13" t="n"/>
      <c r="G68" s="13" t="n"/>
      <c r="H68" s="13" t="n"/>
      <c r="I68" s="13" t="n"/>
      <c r="J68" s="15" t="n">
        <v>10</v>
      </c>
      <c r="K68" s="13" t="n"/>
      <c r="L68" s="13" t="n"/>
      <c r="M68" s="15" t="n">
        <v>10</v>
      </c>
      <c r="N68" s="13" t="n"/>
      <c r="O68" s="13" t="n"/>
      <c r="P68" s="13" t="n"/>
      <c r="Q68" s="15" t="n">
        <v>10</v>
      </c>
      <c r="R68" s="16">
        <f>IF(COUNT(E68:Q68)=0,"",MIN(E68:Q68))</f>
        <v/>
      </c>
      <c r="S68" s="15">
        <f>IF(COUNT(E68:Q68)=0,"",LOOKUP(2,1/(E68:Q68&lt;&gt;""),E68:Q68))</f>
        <v/>
      </c>
      <c r="T68" s="17">
        <f>IF(R68="","",ROUND(R68*RESUMEN!$B$4,0))</f>
        <v/>
      </c>
      <c r="U68" s="18">
        <f>COUNT(E68:Q68)</f>
        <v/>
      </c>
    </row>
    <row r="69">
      <c r="A69" s="13" t="inlineStr">
        <is>
          <t>66176e609b95a</t>
        </is>
      </c>
      <c r="B69" s="13" t="inlineStr">
        <is>
          <t>ANILLO CLASH GOLD</t>
        </is>
      </c>
      <c r="C69" s="13" t="inlineStr">
        <is>
          <t>8</t>
        </is>
      </c>
      <c r="D69" s="14" t="inlineStr">
        <is>
          <t>Copper Alloy</t>
        </is>
      </c>
      <c r="E69" s="13" t="n"/>
      <c r="F69" s="15" t="n">
        <v>10</v>
      </c>
      <c r="G69" s="13" t="n"/>
      <c r="H69" s="13" t="n"/>
      <c r="I69" s="13" t="n"/>
      <c r="J69" s="13" t="n"/>
      <c r="K69" s="13" t="n"/>
      <c r="L69" s="13" t="n"/>
      <c r="M69" s="15" t="n">
        <v>10</v>
      </c>
      <c r="N69" s="13" t="n"/>
      <c r="O69" s="15" t="n">
        <v>10</v>
      </c>
      <c r="P69" s="13" t="n"/>
      <c r="Q69" s="13" t="n"/>
      <c r="R69" s="16">
        <f>IF(COUNT(E69:Q69)=0,"",MIN(E69:Q69))</f>
        <v/>
      </c>
      <c r="S69" s="15">
        <f>IF(COUNT(E69:Q69)=0,"",LOOKUP(2,1/(E69:Q69&lt;&gt;""),E69:Q69))</f>
        <v/>
      </c>
      <c r="T69" s="17">
        <f>IF(R69="","",ROUND(R69*RESUMEN!$B$4,0))</f>
        <v/>
      </c>
      <c r="U69" s="18">
        <f>COUNT(E69:Q69)</f>
        <v/>
      </c>
    </row>
    <row r="70">
      <c r="A70" s="13" t="inlineStr">
        <is>
          <t>66176e6140134</t>
        </is>
      </c>
      <c r="B70" s="13" t="inlineStr">
        <is>
          <t>ANILLO CLASH GOLD</t>
        </is>
      </c>
      <c r="C70" s="13" t="inlineStr">
        <is>
          <t>9</t>
        </is>
      </c>
      <c r="D70" s="14" t="inlineStr">
        <is>
          <t>Copper Alloy</t>
        </is>
      </c>
      <c r="E70" s="15" t="n">
        <v>10</v>
      </c>
      <c r="F70" s="13" t="n"/>
      <c r="G70" s="13" t="n"/>
      <c r="H70" s="13" t="n"/>
      <c r="I70" s="15" t="n">
        <v>10</v>
      </c>
      <c r="J70" s="13" t="n"/>
      <c r="K70" s="13" t="n"/>
      <c r="L70" s="13" t="n"/>
      <c r="M70" s="13" t="n"/>
      <c r="N70" s="15" t="n">
        <v>10</v>
      </c>
      <c r="O70" s="13" t="n"/>
      <c r="P70" s="13" t="n"/>
      <c r="Q70" s="15" t="n">
        <v>10</v>
      </c>
      <c r="R70" s="16">
        <f>IF(COUNT(E70:Q70)=0,"",MIN(E70:Q70))</f>
        <v/>
      </c>
      <c r="S70" s="15">
        <f>IF(COUNT(E70:Q70)=0,"",LOOKUP(2,1/(E70:Q70&lt;&gt;""),E70:Q70))</f>
        <v/>
      </c>
      <c r="T70" s="17">
        <f>IF(R70="","",ROUND(R70*RESUMEN!$B$4,0))</f>
        <v/>
      </c>
      <c r="U70" s="18">
        <f>COUNT(E70:Q70)</f>
        <v/>
      </c>
    </row>
    <row r="71">
      <c r="A71" s="13" t="inlineStr">
        <is>
          <t>66176e62285d1</t>
        </is>
      </c>
      <c r="B71" s="13" t="inlineStr">
        <is>
          <t>ANILLO CLASH ROSEGOLD</t>
        </is>
      </c>
      <c r="C71" s="13" t="inlineStr">
        <is>
          <t>10</t>
        </is>
      </c>
      <c r="D71" s="14" t="inlineStr"/>
      <c r="E71" s="15" t="n">
        <v>10</v>
      </c>
      <c r="F71" s="13" t="n"/>
      <c r="G71" s="13" t="n"/>
      <c r="H71" s="13" t="n"/>
      <c r="I71" s="13" t="n"/>
      <c r="J71" s="15" t="n">
        <v>10</v>
      </c>
      <c r="K71" s="13" t="n"/>
      <c r="L71" s="13" t="n"/>
      <c r="M71" s="13" t="n"/>
      <c r="N71" s="13" t="n"/>
      <c r="O71" s="13" t="n"/>
      <c r="P71" s="13" t="n"/>
      <c r="Q71" s="13" t="n"/>
      <c r="R71" s="16">
        <f>IF(COUNT(E71:Q71)=0,"",MIN(E71:Q71))</f>
        <v/>
      </c>
      <c r="S71" s="15">
        <f>IF(COUNT(E71:Q71)=0,"",LOOKUP(2,1/(E71:Q71&lt;&gt;""),E71:Q71))</f>
        <v/>
      </c>
      <c r="T71" s="17">
        <f>IF(R71="","",ROUND(R71*RESUMEN!$B$4,0))</f>
        <v/>
      </c>
      <c r="U71" s="18">
        <f>COUNT(E71:Q71)</f>
        <v/>
      </c>
    </row>
    <row r="72">
      <c r="A72" s="13" t="inlineStr">
        <is>
          <t>66176e5ee773d</t>
        </is>
      </c>
      <c r="B72" s="13" t="inlineStr">
        <is>
          <t>ANILLO CLASH ROSEGOLD</t>
        </is>
      </c>
      <c r="C72" s="13" t="inlineStr">
        <is>
          <t>5</t>
        </is>
      </c>
      <c r="D72" s="14" t="inlineStr">
        <is>
          <t>Copper alloy</t>
        </is>
      </c>
      <c r="E72" s="13" t="n"/>
      <c r="F72" s="13" t="n"/>
      <c r="G72" s="13" t="n"/>
      <c r="H72" s="15" t="n">
        <v>10</v>
      </c>
      <c r="I72" s="13" t="n"/>
      <c r="J72" s="13" t="n"/>
      <c r="K72" s="13" t="n"/>
      <c r="L72" s="15" t="n">
        <v>10</v>
      </c>
      <c r="M72" s="13" t="n"/>
      <c r="N72" s="15" t="n">
        <v>10</v>
      </c>
      <c r="O72" s="13" t="n"/>
      <c r="P72" s="13" t="n"/>
      <c r="Q72" s="13" t="n"/>
      <c r="R72" s="16">
        <f>IF(COUNT(E72:Q72)=0,"",MIN(E72:Q72))</f>
        <v/>
      </c>
      <c r="S72" s="15">
        <f>IF(COUNT(E72:Q72)=0,"",LOOKUP(2,1/(E72:Q72&lt;&gt;""),E72:Q72))</f>
        <v/>
      </c>
      <c r="T72" s="17">
        <f>IF(R72="","",ROUND(R72*RESUMEN!$B$4,0))</f>
        <v/>
      </c>
      <c r="U72" s="18">
        <f>COUNT(E72:Q72)</f>
        <v/>
      </c>
    </row>
    <row r="73">
      <c r="A73" s="13" t="inlineStr">
        <is>
          <t>66176e5f8fac7</t>
        </is>
      </c>
      <c r="B73" s="13" t="inlineStr">
        <is>
          <t>ANILLO CLASH ROSEGOLD</t>
        </is>
      </c>
      <c r="C73" s="13" t="inlineStr">
        <is>
          <t>6</t>
        </is>
      </c>
      <c r="D73" s="14" t="inlineStr">
        <is>
          <t>Copper</t>
        </is>
      </c>
      <c r="E73" s="15" t="n">
        <v>10</v>
      </c>
      <c r="F73" s="13" t="n"/>
      <c r="G73" s="13" t="n"/>
      <c r="H73" s="15" t="n">
        <v>10</v>
      </c>
      <c r="I73" s="13" t="n"/>
      <c r="J73" s="13" t="n"/>
      <c r="K73" s="13" t="n"/>
      <c r="L73" s="15" t="n">
        <v>10</v>
      </c>
      <c r="M73" s="13" t="n"/>
      <c r="N73" s="13" t="n"/>
      <c r="O73" s="13" t="n"/>
      <c r="P73" s="13" t="n"/>
      <c r="Q73" s="15" t="n">
        <v>10</v>
      </c>
      <c r="R73" s="16">
        <f>IF(COUNT(E73:Q73)=0,"",MIN(E73:Q73))</f>
        <v/>
      </c>
      <c r="S73" s="15">
        <f>IF(COUNT(E73:Q73)=0,"",LOOKUP(2,1/(E73:Q73&lt;&gt;""),E73:Q73))</f>
        <v/>
      </c>
      <c r="T73" s="17">
        <f>IF(R73="","",ROUND(R73*RESUMEN!$B$4,0))</f>
        <v/>
      </c>
      <c r="U73" s="18">
        <f>COUNT(E73:Q73)</f>
        <v/>
      </c>
    </row>
    <row r="74">
      <c r="A74" s="13" t="inlineStr">
        <is>
          <t>66176e602b0bf</t>
        </is>
      </c>
      <c r="B74" s="13" t="inlineStr">
        <is>
          <t>ANILLO CLASH ROSEGOLD</t>
        </is>
      </c>
      <c r="C74" s="13" t="inlineStr">
        <is>
          <t>7</t>
        </is>
      </c>
      <c r="D74" s="14" t="inlineStr">
        <is>
          <t>Copper Alloy</t>
        </is>
      </c>
      <c r="E74" s="13" t="n"/>
      <c r="F74" s="15" t="n">
        <v>10</v>
      </c>
      <c r="G74" s="13" t="n"/>
      <c r="H74" s="13" t="n"/>
      <c r="I74" s="15" t="n">
        <v>10</v>
      </c>
      <c r="J74" s="15" t="n">
        <v>10</v>
      </c>
      <c r="K74" s="13" t="n"/>
      <c r="L74" s="13" t="n"/>
      <c r="M74" s="13" t="n"/>
      <c r="N74" s="15" t="n">
        <v>10</v>
      </c>
      <c r="O74" s="15" t="n">
        <v>10</v>
      </c>
      <c r="P74" s="13" t="n"/>
      <c r="Q74" s="13" t="n"/>
      <c r="R74" s="16">
        <f>IF(COUNT(E74:Q74)=0,"",MIN(E74:Q74))</f>
        <v/>
      </c>
      <c r="S74" s="15">
        <f>IF(COUNT(E74:Q74)=0,"",LOOKUP(2,1/(E74:Q74&lt;&gt;""),E74:Q74))</f>
        <v/>
      </c>
      <c r="T74" s="17">
        <f>IF(R74="","",ROUND(R74*RESUMEN!$B$4,0))</f>
        <v/>
      </c>
      <c r="U74" s="18">
        <f>COUNT(E74:Q74)</f>
        <v/>
      </c>
    </row>
    <row r="75">
      <c r="A75" s="13" t="inlineStr">
        <is>
          <t>66176e60bbec9</t>
        </is>
      </c>
      <c r="B75" s="13" t="inlineStr">
        <is>
          <t>ANILLO CLASH ROSEGOLD</t>
        </is>
      </c>
      <c r="C75" s="13" t="inlineStr">
        <is>
          <t>8</t>
        </is>
      </c>
      <c r="D75" s="14" t="inlineStr">
        <is>
          <t>Copper Alloy</t>
        </is>
      </c>
      <c r="E75" s="13" t="n"/>
      <c r="F75" s="13" t="n"/>
      <c r="G75" s="13" t="n"/>
      <c r="H75" s="15" t="n">
        <v>10</v>
      </c>
      <c r="I75" s="13" t="n"/>
      <c r="J75" s="15" t="n">
        <v>10</v>
      </c>
      <c r="K75" s="13" t="n"/>
      <c r="L75" s="15" t="n">
        <v>10</v>
      </c>
      <c r="M75" s="13" t="n"/>
      <c r="N75" s="13" t="n"/>
      <c r="O75" s="13" t="n"/>
      <c r="P75" s="13" t="n"/>
      <c r="Q75" s="15" t="n">
        <v>10</v>
      </c>
      <c r="R75" s="16">
        <f>IF(COUNT(E75:Q75)=0,"",MIN(E75:Q75))</f>
        <v/>
      </c>
      <c r="S75" s="15">
        <f>IF(COUNT(E75:Q75)=0,"",LOOKUP(2,1/(E75:Q75&lt;&gt;""),E75:Q75))</f>
        <v/>
      </c>
      <c r="T75" s="17">
        <f>IF(R75="","",ROUND(R75*RESUMEN!$B$4,0))</f>
        <v/>
      </c>
      <c r="U75" s="18">
        <f>COUNT(E75:Q75)</f>
        <v/>
      </c>
    </row>
    <row r="76">
      <c r="A76" s="13" t="inlineStr">
        <is>
          <t>66176e616caf6</t>
        </is>
      </c>
      <c r="B76" s="13" t="inlineStr">
        <is>
          <t>ANILLO CLASH ROSEGOLD</t>
        </is>
      </c>
      <c r="C76" s="13" t="inlineStr">
        <is>
          <t>9</t>
        </is>
      </c>
      <c r="D76" s="14" t="inlineStr">
        <is>
          <t>Copper alloy</t>
        </is>
      </c>
      <c r="E76" s="13" t="n"/>
      <c r="F76" s="15" t="n">
        <v>10</v>
      </c>
      <c r="G76" s="13" t="n"/>
      <c r="H76" s="13" t="n"/>
      <c r="I76" s="15" t="n">
        <v>10</v>
      </c>
      <c r="J76" s="13" t="n"/>
      <c r="K76" s="13" t="n"/>
      <c r="L76" s="15" t="n">
        <v>10</v>
      </c>
      <c r="M76" s="13" t="n"/>
      <c r="N76" s="13" t="n"/>
      <c r="O76" s="13" t="n"/>
      <c r="P76" s="13" t="n"/>
      <c r="Q76" s="13" t="n"/>
      <c r="R76" s="16">
        <f>IF(COUNT(E76:Q76)=0,"",MIN(E76:Q76))</f>
        <v/>
      </c>
      <c r="S76" s="15">
        <f>IF(COUNT(E76:Q76)=0,"",LOOKUP(2,1/(E76:Q76&lt;&gt;""),E76:Q76))</f>
        <v/>
      </c>
      <c r="T76" s="17">
        <f>IF(R76="","",ROUND(R76*RESUMEN!$B$4,0))</f>
        <v/>
      </c>
      <c r="U76" s="18">
        <f>COUNT(E76:Q76)</f>
        <v/>
      </c>
    </row>
    <row r="77">
      <c r="A77" s="13" t="inlineStr">
        <is>
          <t>63ebd3f635fb6</t>
        </is>
      </c>
      <c r="B77" s="13" t="inlineStr">
        <is>
          <t>ANILLO CLASH SILVER</t>
        </is>
      </c>
      <c r="C77" s="13" t="inlineStr">
        <is>
          <t>10</t>
        </is>
      </c>
      <c r="D77" s="14" t="inlineStr">
        <is>
          <t>Copper Alloy</t>
        </is>
      </c>
      <c r="E77" s="13" t="n"/>
      <c r="F77" s="15" t="n">
        <v>10</v>
      </c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5" t="n">
        <v>10</v>
      </c>
      <c r="R77" s="16">
        <f>IF(COUNT(E77:Q77)=0,"",MIN(E77:Q77))</f>
        <v/>
      </c>
      <c r="S77" s="15">
        <f>IF(COUNT(E77:Q77)=0,"",LOOKUP(2,1/(E77:Q77&lt;&gt;""),E77:Q77))</f>
        <v/>
      </c>
      <c r="T77" s="17">
        <f>IF(R77="","",ROUND(R77*RESUMEN!$B$4,0))</f>
        <v/>
      </c>
      <c r="U77" s="18">
        <f>COUNT(E77:Q77)</f>
        <v/>
      </c>
    </row>
    <row r="78">
      <c r="A78" s="13" t="inlineStr">
        <is>
          <t>63ebd3f721f2e</t>
        </is>
      </c>
      <c r="B78" s="13" t="inlineStr">
        <is>
          <t>ANILLO CLASH SILVER</t>
        </is>
      </c>
      <c r="C78" s="13" t="inlineStr">
        <is>
          <t>11</t>
        </is>
      </c>
      <c r="D78" s="14" t="inlineStr">
        <is>
          <t>copper alloy</t>
        </is>
      </c>
      <c r="E78" s="13" t="n"/>
      <c r="F78" s="13" t="n"/>
      <c r="G78" s="13" t="n"/>
      <c r="H78" s="13" t="n"/>
      <c r="I78" s="15" t="n">
        <v>10</v>
      </c>
      <c r="J78" s="13" t="n"/>
      <c r="K78" s="13" t="n"/>
      <c r="L78" s="13" t="n"/>
      <c r="M78" s="15" t="n">
        <v>10</v>
      </c>
      <c r="N78" s="13" t="n"/>
      <c r="O78" s="13" t="n"/>
      <c r="P78" s="13" t="n"/>
      <c r="Q78" s="15" t="n">
        <v>10</v>
      </c>
      <c r="R78" s="16">
        <f>IF(COUNT(E78:Q78)=0,"",MIN(E78:Q78))</f>
        <v/>
      </c>
      <c r="S78" s="15">
        <f>IF(COUNT(E78:Q78)=0,"",LOOKUP(2,1/(E78:Q78&lt;&gt;""),E78:Q78))</f>
        <v/>
      </c>
      <c r="T78" s="17">
        <f>IF(R78="","",ROUND(R78*RESUMEN!$B$4,0))</f>
        <v/>
      </c>
      <c r="U78" s="18">
        <f>COUNT(E78:Q78)</f>
        <v/>
      </c>
    </row>
    <row r="79">
      <c r="A79" s="13" t="inlineStr">
        <is>
          <t>63ebd3f136b3c</t>
        </is>
      </c>
      <c r="B79" s="13" t="inlineStr">
        <is>
          <t>ANILLO CLASH SILVER</t>
        </is>
      </c>
      <c r="C79" s="13" t="inlineStr">
        <is>
          <t>5</t>
        </is>
      </c>
      <c r="D79" s="14" t="inlineStr"/>
      <c r="E79" s="15" t="n">
        <v>10</v>
      </c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6">
        <f>IF(COUNT(E79:Q79)=0,"",MIN(E79:Q79))</f>
        <v/>
      </c>
      <c r="S79" s="15">
        <f>IF(COUNT(E79:Q79)=0,"",LOOKUP(2,1/(E79:Q79&lt;&gt;""),E79:Q79))</f>
        <v/>
      </c>
      <c r="T79" s="17">
        <f>IF(R79="","",ROUND(R79*RESUMEN!$B$4,0))</f>
        <v/>
      </c>
      <c r="U79" s="18">
        <f>COUNT(E79:Q79)</f>
        <v/>
      </c>
    </row>
    <row r="80">
      <c r="A80" s="13" t="inlineStr">
        <is>
          <t>63ebd3f2335dc</t>
        </is>
      </c>
      <c r="B80" s="13" t="inlineStr">
        <is>
          <t>ANILLO CLASH SILVER</t>
        </is>
      </c>
      <c r="C80" s="13" t="inlineStr">
        <is>
          <t>6</t>
        </is>
      </c>
      <c r="D80" s="14" t="inlineStr">
        <is>
          <t>copper alloy</t>
        </is>
      </c>
      <c r="E80" s="13" t="n"/>
      <c r="F80" s="13" t="n"/>
      <c r="G80" s="13" t="n"/>
      <c r="H80" s="13" t="n"/>
      <c r="I80" s="15" t="n">
        <v>10</v>
      </c>
      <c r="J80" s="13" t="n"/>
      <c r="K80" s="13" t="n"/>
      <c r="L80" s="13" t="n"/>
      <c r="M80" s="13" t="n"/>
      <c r="N80" s="13" t="n"/>
      <c r="O80" s="13" t="n"/>
      <c r="P80" s="15" t="n">
        <v>10</v>
      </c>
      <c r="Q80" s="13" t="n"/>
      <c r="R80" s="16">
        <f>IF(COUNT(E80:Q80)=0,"",MIN(E80:Q80))</f>
        <v/>
      </c>
      <c r="S80" s="15">
        <f>IF(COUNT(E80:Q80)=0,"",LOOKUP(2,1/(E80:Q80&lt;&gt;""),E80:Q80))</f>
        <v/>
      </c>
      <c r="T80" s="17">
        <f>IF(R80="","",ROUND(R80*RESUMEN!$B$4,0))</f>
        <v/>
      </c>
      <c r="U80" s="18">
        <f>COUNT(E80:Q80)</f>
        <v/>
      </c>
    </row>
    <row r="81">
      <c r="A81" s="13" t="inlineStr">
        <is>
          <t>63ebd3f32bfc9</t>
        </is>
      </c>
      <c r="B81" s="13" t="inlineStr">
        <is>
          <t>ANILLO CLASH SILVER</t>
        </is>
      </c>
      <c r="C81" s="13" t="inlineStr">
        <is>
          <t>7</t>
        </is>
      </c>
      <c r="D81" s="14" t="inlineStr">
        <is>
          <t>Copper alloy</t>
        </is>
      </c>
      <c r="E81" s="15" t="n">
        <v>10</v>
      </c>
      <c r="F81" s="13" t="n"/>
      <c r="G81" s="13" t="n"/>
      <c r="H81" s="13" t="n"/>
      <c r="I81" s="13" t="n"/>
      <c r="J81" s="13" t="n"/>
      <c r="K81" s="13" t="n"/>
      <c r="L81" s="13" t="n"/>
      <c r="M81" s="13" t="n"/>
      <c r="N81" s="15" t="n">
        <v>10</v>
      </c>
      <c r="O81" s="13" t="n"/>
      <c r="P81" s="13" t="n"/>
      <c r="Q81" s="13" t="n"/>
      <c r="R81" s="16">
        <f>IF(COUNT(E81:Q81)=0,"",MIN(E81:Q81))</f>
        <v/>
      </c>
      <c r="S81" s="15">
        <f>IF(COUNT(E81:Q81)=0,"",LOOKUP(2,1/(E81:Q81&lt;&gt;""),E81:Q81))</f>
        <v/>
      </c>
      <c r="T81" s="17">
        <f>IF(R81="","",ROUND(R81*RESUMEN!$B$4,0))</f>
        <v/>
      </c>
      <c r="U81" s="18">
        <f>COUNT(E81:Q81)</f>
        <v/>
      </c>
    </row>
    <row r="82">
      <c r="A82" s="13" t="inlineStr">
        <is>
          <t>63ebd3f42d4db</t>
        </is>
      </c>
      <c r="B82" s="13" t="inlineStr">
        <is>
          <t>ANILLO CLASH SILVER</t>
        </is>
      </c>
      <c r="C82" s="13" t="inlineStr">
        <is>
          <t>8</t>
        </is>
      </c>
      <c r="D82" s="14" t="inlineStr">
        <is>
          <t>Copper alloy</t>
        </is>
      </c>
      <c r="E82" s="15" t="n">
        <v>10</v>
      </c>
      <c r="F82" s="13" t="n"/>
      <c r="G82" s="13" t="n"/>
      <c r="H82" s="13" t="n"/>
      <c r="I82" s="15" t="n">
        <v>10</v>
      </c>
      <c r="J82" s="15" t="n">
        <v>10</v>
      </c>
      <c r="K82" s="13" t="n"/>
      <c r="L82" s="15" t="n">
        <v>10</v>
      </c>
      <c r="M82" s="13" t="n"/>
      <c r="N82" s="15" t="n">
        <v>10</v>
      </c>
      <c r="O82" s="13" t="n"/>
      <c r="P82" s="13" t="n"/>
      <c r="Q82" s="13" t="n"/>
      <c r="R82" s="16">
        <f>IF(COUNT(E82:Q82)=0,"",MIN(E82:Q82))</f>
        <v/>
      </c>
      <c r="S82" s="15">
        <f>IF(COUNT(E82:Q82)=0,"",LOOKUP(2,1/(E82:Q82&lt;&gt;""),E82:Q82))</f>
        <v/>
      </c>
      <c r="T82" s="17">
        <f>IF(R82="","",ROUND(R82*RESUMEN!$B$4,0))</f>
        <v/>
      </c>
      <c r="U82" s="18">
        <f>COUNT(E82:Q82)</f>
        <v/>
      </c>
    </row>
    <row r="83">
      <c r="A83" s="13" t="inlineStr">
        <is>
          <t>63ebd3f53c553</t>
        </is>
      </c>
      <c r="B83" s="13" t="inlineStr">
        <is>
          <t>ANILLO CLASH SILVER</t>
        </is>
      </c>
      <c r="C83" s="13" t="inlineStr">
        <is>
          <t>9</t>
        </is>
      </c>
      <c r="D83" s="14" t="inlineStr"/>
      <c r="E83" s="13" t="n"/>
      <c r="F83" s="13" t="n"/>
      <c r="G83" s="13" t="n"/>
      <c r="H83" s="15" t="n">
        <v>10</v>
      </c>
      <c r="I83" s="15" t="n">
        <v>10</v>
      </c>
      <c r="J83" s="13" t="n"/>
      <c r="K83" s="13" t="n"/>
      <c r="L83" s="13" t="n"/>
      <c r="M83" s="13" t="n"/>
      <c r="N83" s="13" t="n"/>
      <c r="O83" s="13" t="n"/>
      <c r="P83" s="13" t="n"/>
      <c r="Q83" s="13" t="n"/>
      <c r="R83" s="16">
        <f>IF(COUNT(E83:Q83)=0,"",MIN(E83:Q83))</f>
        <v/>
      </c>
      <c r="S83" s="15">
        <f>IF(COUNT(E83:Q83)=0,"",LOOKUP(2,1/(E83:Q83&lt;&gt;""),E83:Q83))</f>
        <v/>
      </c>
      <c r="T83" s="17">
        <f>IF(R83="","",ROUND(R83*RESUMEN!$B$4,0))</f>
        <v/>
      </c>
      <c r="U83" s="18">
        <f>COUNT(E83:Q83)</f>
        <v/>
      </c>
    </row>
    <row r="84">
      <c r="A84" s="13" t="inlineStr">
        <is>
          <t>40154173560109</t>
        </is>
      </c>
      <c r="B84" s="13" t="inlineStr">
        <is>
          <t>ANILLO CLAVO DOBLE GOLD ZIRCONIAS</t>
        </is>
      </c>
      <c r="C84" s="13" t="inlineStr">
        <is>
          <t>6</t>
        </is>
      </c>
      <c r="D84" s="14" t="inlineStr"/>
      <c r="E84" s="13" t="n"/>
      <c r="F84" s="13" t="n"/>
      <c r="G84" s="13" t="n"/>
      <c r="H84" s="13" t="n"/>
      <c r="I84" s="13" t="n"/>
      <c r="J84" s="13" t="n"/>
      <c r="K84" s="15" t="n">
        <v>5</v>
      </c>
      <c r="L84" s="13" t="n"/>
      <c r="M84" s="13" t="n"/>
      <c r="N84" s="13" t="n"/>
      <c r="O84" s="13" t="n"/>
      <c r="P84" s="13" t="n"/>
      <c r="Q84" s="13" t="n"/>
      <c r="R84" s="16">
        <f>IF(COUNT(E84:Q84)=0,"",MIN(E84:Q84))</f>
        <v/>
      </c>
      <c r="S84" s="15">
        <f>IF(COUNT(E84:Q84)=0,"",LOOKUP(2,1/(E84:Q84&lt;&gt;""),E84:Q84))</f>
        <v/>
      </c>
      <c r="T84" s="17">
        <f>IF(R84="","",ROUND(R84*RESUMEN!$B$4,0))</f>
        <v/>
      </c>
      <c r="U84" s="18">
        <f>COUNT(E84:Q84)</f>
        <v/>
      </c>
    </row>
    <row r="85">
      <c r="A85" s="13" t="inlineStr">
        <is>
          <t>40154173692877</t>
        </is>
      </c>
      <c r="B85" s="13" t="inlineStr">
        <is>
          <t>ANILLO CLAVO DOBLE GOLD ZIRCONIAS</t>
        </is>
      </c>
      <c r="C85" s="13" t="inlineStr">
        <is>
          <t>7</t>
        </is>
      </c>
      <c r="D85" s="14" t="inlineStr">
        <is>
          <t>Copper alloy</t>
        </is>
      </c>
      <c r="E85" s="13" t="n"/>
      <c r="F85" s="13" t="n"/>
      <c r="G85" s="13" t="n"/>
      <c r="H85" s="13" t="n"/>
      <c r="I85" s="13" t="n"/>
      <c r="J85" s="13" t="n"/>
      <c r="K85" s="15" t="n">
        <v>5</v>
      </c>
      <c r="L85" s="13" t="n"/>
      <c r="M85" s="13" t="n"/>
      <c r="N85" s="13" t="n"/>
      <c r="O85" s="13" t="n"/>
      <c r="P85" s="15" t="n">
        <v>5</v>
      </c>
      <c r="Q85" s="13" t="n"/>
      <c r="R85" s="16">
        <f>IF(COUNT(E85:Q85)=0,"",MIN(E85:Q85))</f>
        <v/>
      </c>
      <c r="S85" s="15">
        <f>IF(COUNT(E85:Q85)=0,"",LOOKUP(2,1/(E85:Q85&lt;&gt;""),E85:Q85))</f>
        <v/>
      </c>
      <c r="T85" s="17">
        <f>IF(R85="","",ROUND(R85*RESUMEN!$B$4,0))</f>
        <v/>
      </c>
      <c r="U85" s="18">
        <f>COUNT(E85:Q85)</f>
        <v/>
      </c>
    </row>
    <row r="86">
      <c r="A86" s="13" t="inlineStr">
        <is>
          <t>40154173365741</t>
        </is>
      </c>
      <c r="B86" s="13" t="inlineStr">
        <is>
          <t>ANILLO CLAVO DOBLE SILVER ZIRCONIAS</t>
        </is>
      </c>
      <c r="C86" s="13" t="inlineStr">
        <is>
          <t>6</t>
        </is>
      </c>
      <c r="D86" s="14" t="inlineStr"/>
      <c r="E86" s="13" t="n"/>
      <c r="F86" s="13" t="n"/>
      <c r="G86" s="13" t="n"/>
      <c r="H86" s="13" t="n"/>
      <c r="I86" s="13" t="n"/>
      <c r="J86" s="13" t="n"/>
      <c r="K86" s="15" t="n">
        <v>5</v>
      </c>
      <c r="L86" s="13" t="n"/>
      <c r="M86" s="13" t="n"/>
      <c r="N86" s="13" t="n"/>
      <c r="O86" s="13" t="n"/>
      <c r="P86" s="13" t="n"/>
      <c r="Q86" s="13" t="n"/>
      <c r="R86" s="16">
        <f>IF(COUNT(E86:Q86)=0,"",MIN(E86:Q86))</f>
        <v/>
      </c>
      <c r="S86" s="15">
        <f>IF(COUNT(E86:Q86)=0,"",LOOKUP(2,1/(E86:Q86&lt;&gt;""),E86:Q86))</f>
        <v/>
      </c>
      <c r="T86" s="17">
        <f>IF(R86="","",ROUND(R86*RESUMEN!$B$4,0))</f>
        <v/>
      </c>
      <c r="U86" s="18">
        <f>COUNT(E86:Q86)</f>
        <v/>
      </c>
    </row>
    <row r="87">
      <c r="A87" s="13" t="inlineStr">
        <is>
          <t>40154173498509</t>
        </is>
      </c>
      <c r="B87" s="13" t="inlineStr">
        <is>
          <t>ANILLO CLAVO DOBLE SILVER ZIRCONIAS</t>
        </is>
      </c>
      <c r="C87" s="13" t="inlineStr">
        <is>
          <t>7</t>
        </is>
      </c>
      <c r="D87" s="14" t="inlineStr"/>
      <c r="E87" s="13" t="n"/>
      <c r="F87" s="13" t="n"/>
      <c r="G87" s="13" t="n"/>
      <c r="H87" s="13" t="n"/>
      <c r="I87" s="13" t="n"/>
      <c r="J87" s="13" t="n"/>
      <c r="K87" s="15" t="n">
        <v>5</v>
      </c>
      <c r="L87" s="13" t="n"/>
      <c r="M87" s="13" t="n"/>
      <c r="N87" s="13" t="n"/>
      <c r="O87" s="13" t="n"/>
      <c r="P87" s="13" t="n"/>
      <c r="Q87" s="13" t="n"/>
      <c r="R87" s="16">
        <f>IF(COUNT(E87:Q87)=0,"",MIN(E87:Q87))</f>
        <v/>
      </c>
      <c r="S87" s="15">
        <f>IF(COUNT(E87:Q87)=0,"",LOOKUP(2,1/(E87:Q87&lt;&gt;""),E87:Q87))</f>
        <v/>
      </c>
      <c r="T87" s="17">
        <f>IF(R87="","",ROUND(R87*RESUMEN!$B$4,0))</f>
        <v/>
      </c>
      <c r="U87" s="18">
        <f>COUNT(E87:Q87)</f>
        <v/>
      </c>
    </row>
    <row r="88">
      <c r="A88" s="13" t="inlineStr">
        <is>
          <t>GISEL</t>
        </is>
      </c>
      <c r="B88" s="13" t="inlineStr">
        <is>
          <t>ANILLO CLAVO GOLD</t>
        </is>
      </c>
      <c r="C88" s="13" t="inlineStr"/>
      <c r="D88" s="14" t="inlineStr">
        <is>
          <t>Stainless stee</t>
        </is>
      </c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5" t="n">
        <v>2.5</v>
      </c>
      <c r="R88" s="16">
        <f>IF(COUNT(E88:Q88)=0,"",MIN(E88:Q88))</f>
        <v/>
      </c>
      <c r="S88" s="15">
        <f>IF(COUNT(E88:Q88)=0,"",LOOKUP(2,1/(E88:Q88&lt;&gt;""),E88:Q88))</f>
        <v/>
      </c>
      <c r="T88" s="17">
        <f>IF(R88="","",ROUND(R88*RESUMEN!$B$4,0))</f>
        <v/>
      </c>
      <c r="U88" s="18">
        <f>COUNT(E88:Q88)</f>
        <v/>
      </c>
    </row>
    <row r="89">
      <c r="A89" s="13" t="inlineStr">
        <is>
          <t>66176cde28afb</t>
        </is>
      </c>
      <c r="B89" s="13" t="inlineStr">
        <is>
          <t>ANILLO CLAVO GOLD</t>
        </is>
      </c>
      <c r="C89" s="13" t="inlineStr">
        <is>
          <t>10</t>
        </is>
      </c>
      <c r="D89" s="14" t="inlineStr">
        <is>
          <t>Stainless stee</t>
        </is>
      </c>
      <c r="E89" s="13" t="n"/>
      <c r="F89" s="13" t="n"/>
      <c r="G89" s="13" t="n"/>
      <c r="H89" s="13" t="n"/>
      <c r="I89" s="13" t="n"/>
      <c r="J89" s="13" t="n"/>
      <c r="K89" s="13" t="n"/>
      <c r="L89" s="15" t="n">
        <v>2.5</v>
      </c>
      <c r="M89" s="13" t="n"/>
      <c r="N89" s="15" t="n">
        <v>2.5</v>
      </c>
      <c r="O89" s="13" t="n"/>
      <c r="P89" s="13" t="n"/>
      <c r="Q89" s="15" t="n">
        <v>2.5</v>
      </c>
      <c r="R89" s="16">
        <f>IF(COUNT(E89:Q89)=0,"",MIN(E89:Q89))</f>
        <v/>
      </c>
      <c r="S89" s="15">
        <f>IF(COUNT(E89:Q89)=0,"",LOOKUP(2,1/(E89:Q89&lt;&gt;""),E89:Q89))</f>
        <v/>
      </c>
      <c r="T89" s="17">
        <f>IF(R89="","",ROUND(R89*RESUMEN!$B$4,0))</f>
        <v/>
      </c>
      <c r="U89" s="18">
        <f>COUNT(E89:Q89)</f>
        <v/>
      </c>
    </row>
    <row r="90">
      <c r="A90" s="13" t="inlineStr">
        <is>
          <t>66176cdeab849</t>
        </is>
      </c>
      <c r="B90" s="13" t="inlineStr">
        <is>
          <t>ANILLO CLAVO GOLD</t>
        </is>
      </c>
      <c r="C90" s="13" t="inlineStr">
        <is>
          <t>11</t>
        </is>
      </c>
      <c r="D90" s="14" t="inlineStr">
        <is>
          <t>Stainless stee</t>
        </is>
      </c>
      <c r="E90" s="13" t="n"/>
      <c r="F90" s="13" t="n"/>
      <c r="G90" s="13" t="n"/>
      <c r="H90" s="15" t="n">
        <v>2.5</v>
      </c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6">
        <f>IF(COUNT(E90:Q90)=0,"",MIN(E90:Q90))</f>
        <v/>
      </c>
      <c r="S90" s="15">
        <f>IF(COUNT(E90:Q90)=0,"",LOOKUP(2,1/(E90:Q90&lt;&gt;""),E90:Q90))</f>
        <v/>
      </c>
      <c r="T90" s="17">
        <f>IF(R90="","",ROUND(R90*RESUMEN!$B$4,0))</f>
        <v/>
      </c>
      <c r="U90" s="18">
        <f>COUNT(E90:Q90)</f>
        <v/>
      </c>
    </row>
    <row r="91">
      <c r="A91" s="13" t="inlineStr">
        <is>
          <t>66176cdae92c1</t>
        </is>
      </c>
      <c r="B91" s="13" t="inlineStr">
        <is>
          <t>ANILLO CLAVO GOLD</t>
        </is>
      </c>
      <c r="C91" s="13" t="inlineStr">
        <is>
          <t>5 HIGH QUALITY</t>
        </is>
      </c>
      <c r="D91" s="14" t="inlineStr">
        <is>
          <t>stainless stee</t>
        </is>
      </c>
      <c r="E91" s="13" t="n"/>
      <c r="F91" s="13" t="n"/>
      <c r="G91" s="13" t="n"/>
      <c r="H91" s="13" t="n"/>
      <c r="I91" s="15" t="n">
        <v>2.5</v>
      </c>
      <c r="J91" s="15" t="n">
        <v>2.5</v>
      </c>
      <c r="K91" s="13" t="n"/>
      <c r="L91" s="15" t="n">
        <v>2.5</v>
      </c>
      <c r="M91" s="13" t="n"/>
      <c r="N91" s="15" t="n">
        <v>2.5</v>
      </c>
      <c r="O91" s="13" t="n"/>
      <c r="P91" s="13" t="n"/>
      <c r="Q91" s="15" t="n">
        <v>2.5</v>
      </c>
      <c r="R91" s="16">
        <f>IF(COUNT(E91:Q91)=0,"",MIN(E91:Q91))</f>
        <v/>
      </c>
      <c r="S91" s="15">
        <f>IF(COUNT(E91:Q91)=0,"",LOOKUP(2,1/(E91:Q91&lt;&gt;""),E91:Q91))</f>
        <v/>
      </c>
      <c r="T91" s="17">
        <f>IF(R91="","",ROUND(R91*RESUMEN!$B$4,0))</f>
        <v/>
      </c>
      <c r="U91" s="18">
        <f>COUNT(E91:Q91)</f>
        <v/>
      </c>
    </row>
    <row r="92">
      <c r="A92" s="13" t="inlineStr">
        <is>
          <t>66176cdb9f129</t>
        </is>
      </c>
      <c r="B92" s="13" t="inlineStr">
        <is>
          <t>ANILLO CLAVO GOLD</t>
        </is>
      </c>
      <c r="C92" s="13" t="inlineStr">
        <is>
          <t>6 HIGH QUALITY</t>
        </is>
      </c>
      <c r="D92" s="14" t="inlineStr">
        <is>
          <t>Stainless Stee</t>
        </is>
      </c>
      <c r="E92" s="15" t="n">
        <v>2.5</v>
      </c>
      <c r="F92" s="15" t="n">
        <v>2.5</v>
      </c>
      <c r="G92" s="13" t="n"/>
      <c r="H92" s="15" t="n">
        <v>2.5</v>
      </c>
      <c r="I92" s="15" t="n">
        <v>2.5</v>
      </c>
      <c r="J92" s="13" t="n"/>
      <c r="K92" s="13" t="n"/>
      <c r="L92" s="15" t="n">
        <v>2.5</v>
      </c>
      <c r="M92" s="15" t="n">
        <v>2.5</v>
      </c>
      <c r="N92" s="13" t="n"/>
      <c r="O92" s="13" t="n"/>
      <c r="P92" s="15" t="n">
        <v>2.5</v>
      </c>
      <c r="Q92" s="13" t="n"/>
      <c r="R92" s="16">
        <f>IF(COUNT(E92:Q92)=0,"",MIN(E92:Q92))</f>
        <v/>
      </c>
      <c r="S92" s="15">
        <f>IF(COUNT(E92:Q92)=0,"",LOOKUP(2,1/(E92:Q92&lt;&gt;""),E92:Q92))</f>
        <v/>
      </c>
      <c r="T92" s="17">
        <f>IF(R92="","",ROUND(R92*RESUMEN!$B$4,0))</f>
        <v/>
      </c>
      <c r="U92" s="18">
        <f>COUNT(E92:Q92)</f>
        <v/>
      </c>
    </row>
    <row r="93">
      <c r="A93" s="13" t="inlineStr">
        <is>
          <t>66176cdce18ea</t>
        </is>
      </c>
      <c r="B93" s="13" t="inlineStr">
        <is>
          <t>ANILLO CLAVO GOLD</t>
        </is>
      </c>
      <c r="C93" s="13" t="inlineStr">
        <is>
          <t>8 HIGH QUALITY</t>
        </is>
      </c>
      <c r="D93" s="14" t="inlineStr">
        <is>
          <t>Stainless Stee</t>
        </is>
      </c>
      <c r="E93" s="15" t="n">
        <v>2.5</v>
      </c>
      <c r="F93" s="13" t="n"/>
      <c r="G93" s="13" t="n"/>
      <c r="H93" s="15" t="n">
        <v>2.5</v>
      </c>
      <c r="I93" s="15" t="n">
        <v>2.5</v>
      </c>
      <c r="J93" s="13" t="n"/>
      <c r="K93" s="13" t="n"/>
      <c r="L93" s="13" t="n"/>
      <c r="M93" s="15" t="n">
        <v>2.5</v>
      </c>
      <c r="N93" s="13" t="n"/>
      <c r="O93" s="13" t="n"/>
      <c r="P93" s="13" t="n"/>
      <c r="Q93" s="15" t="n">
        <v>2.5</v>
      </c>
      <c r="R93" s="16">
        <f>IF(COUNT(E93:Q93)=0,"",MIN(E93:Q93))</f>
        <v/>
      </c>
      <c r="S93" s="15">
        <f>IF(COUNT(E93:Q93)=0,"",LOOKUP(2,1/(E93:Q93&lt;&gt;""),E93:Q93))</f>
        <v/>
      </c>
      <c r="T93" s="17">
        <f>IF(R93="","",ROUND(R93*RESUMEN!$B$4,0))</f>
        <v/>
      </c>
      <c r="U93" s="18">
        <f>COUNT(E93:Q93)</f>
        <v/>
      </c>
    </row>
    <row r="94">
      <c r="A94" s="13" t="inlineStr">
        <is>
          <t>66176cdd7cc61</t>
        </is>
      </c>
      <c r="B94" s="13" t="inlineStr">
        <is>
          <t>ANILLO CLAVO GOLD</t>
        </is>
      </c>
      <c r="C94" s="13" t="inlineStr">
        <is>
          <t>9 HIGH QUALITY</t>
        </is>
      </c>
      <c r="D94" s="14" t="inlineStr">
        <is>
          <t>Stainless Stee</t>
        </is>
      </c>
      <c r="E94" s="15" t="n">
        <v>2.5</v>
      </c>
      <c r="F94" s="13" t="n"/>
      <c r="G94" s="13" t="n"/>
      <c r="H94" s="15" t="n">
        <v>2.5</v>
      </c>
      <c r="I94" s="15" t="n">
        <v>2.5</v>
      </c>
      <c r="J94" s="13" t="n"/>
      <c r="K94" s="13" t="n"/>
      <c r="L94" s="15" t="n">
        <v>2.5</v>
      </c>
      <c r="M94" s="13" t="n"/>
      <c r="N94" s="13" t="n"/>
      <c r="O94" s="13" t="n"/>
      <c r="P94" s="13" t="n"/>
      <c r="Q94" s="15" t="n">
        <v>2.5</v>
      </c>
      <c r="R94" s="16">
        <f>IF(COUNT(E94:Q94)=0,"",MIN(E94:Q94))</f>
        <v/>
      </c>
      <c r="S94" s="15">
        <f>IF(COUNT(E94:Q94)=0,"",LOOKUP(2,1/(E94:Q94&lt;&gt;""),E94:Q94))</f>
        <v/>
      </c>
      <c r="T94" s="17">
        <f>IF(R94="","",ROUND(R94*RESUMEN!$B$4,0))</f>
        <v/>
      </c>
      <c r="U94" s="18">
        <f>COUNT(E94:Q94)</f>
        <v/>
      </c>
    </row>
    <row r="95">
      <c r="A95" s="13" t="inlineStr">
        <is>
          <t>66176cdc59c57</t>
        </is>
      </c>
      <c r="B95" s="13" t="inlineStr">
        <is>
          <t>ANILLO CLAVO GOLD (WITHOUT ZIRCONIAS)</t>
        </is>
      </c>
      <c r="C95" s="13" t="inlineStr">
        <is>
          <t>7 HIGH QUALITY</t>
        </is>
      </c>
      <c r="D95" s="14" t="inlineStr">
        <is>
          <t>Stainless stee</t>
        </is>
      </c>
      <c r="E95" s="15" t="n">
        <v>2.5</v>
      </c>
      <c r="F95" s="15" t="n">
        <v>2.5</v>
      </c>
      <c r="G95" s="13" t="n"/>
      <c r="H95" s="15" t="n">
        <v>2.5</v>
      </c>
      <c r="I95" s="15" t="n">
        <v>2.5</v>
      </c>
      <c r="J95" s="15" t="n">
        <v>2.5</v>
      </c>
      <c r="K95" s="13" t="n"/>
      <c r="L95" s="13" t="n"/>
      <c r="M95" s="13" t="n"/>
      <c r="N95" s="15" t="n">
        <v>2.5</v>
      </c>
      <c r="O95" s="13" t="n"/>
      <c r="P95" s="13" t="n"/>
      <c r="Q95" s="13" t="n"/>
      <c r="R95" s="16">
        <f>IF(COUNT(E95:Q95)=0,"",MIN(E95:Q95))</f>
        <v/>
      </c>
      <c r="S95" s="15">
        <f>IF(COUNT(E95:Q95)=0,"",LOOKUP(2,1/(E95:Q95&lt;&gt;""),E95:Q95))</f>
        <v/>
      </c>
      <c r="T95" s="17">
        <f>IF(R95="","",ROUND(R95*RESUMEN!$B$4,0))</f>
        <v/>
      </c>
      <c r="U95" s="18">
        <f>COUNT(E95:Q95)</f>
        <v/>
      </c>
    </row>
    <row r="96">
      <c r="A96" s="13" t="inlineStr">
        <is>
          <t>66176ce38fa21</t>
        </is>
      </c>
      <c r="B96" s="13" t="inlineStr">
        <is>
          <t>ANILLO CLAVO ROSE GOLD</t>
        </is>
      </c>
      <c r="C96" s="13" t="inlineStr">
        <is>
          <t>10 HIGH QUALITY</t>
        </is>
      </c>
      <c r="D96" s="14" t="inlineStr"/>
      <c r="E96" s="13" t="n"/>
      <c r="F96" s="15" t="n">
        <v>2.5</v>
      </c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6">
        <f>IF(COUNT(E96:Q96)=0,"",MIN(E96:Q96))</f>
        <v/>
      </c>
      <c r="S96" s="15">
        <f>IF(COUNT(E96:Q96)=0,"",LOOKUP(2,1/(E96:Q96&lt;&gt;""),E96:Q96))</f>
        <v/>
      </c>
      <c r="T96" s="17">
        <f>IF(R96="","",ROUND(R96*RESUMEN!$B$4,0))</f>
        <v/>
      </c>
      <c r="U96" s="18">
        <f>COUNT(E96:Q96)</f>
        <v/>
      </c>
    </row>
    <row r="97">
      <c r="A97" s="13" t="inlineStr">
        <is>
          <t>66176ce0abf98</t>
        </is>
      </c>
      <c r="B97" s="13" t="inlineStr">
        <is>
          <t>ANILLO CLAVO ROSE GOLD</t>
        </is>
      </c>
      <c r="C97" s="13" t="inlineStr">
        <is>
          <t>5 HIGH QUALITY</t>
        </is>
      </c>
      <c r="D97" s="14" t="inlineStr">
        <is>
          <t>Stainless Stee</t>
        </is>
      </c>
      <c r="E97" s="15" t="n">
        <v>2.5</v>
      </c>
      <c r="F97" s="13" t="n"/>
      <c r="G97" s="13" t="n"/>
      <c r="H97" s="13" t="n"/>
      <c r="I97" s="13" t="n"/>
      <c r="J97" s="13" t="n"/>
      <c r="K97" s="13" t="n"/>
      <c r="L97" s="13" t="n"/>
      <c r="M97" s="13" t="n"/>
      <c r="N97" s="15" t="n">
        <v>2.5</v>
      </c>
      <c r="O97" s="13" t="n"/>
      <c r="P97" s="13" t="n"/>
      <c r="Q97" s="15" t="n">
        <v>2.5</v>
      </c>
      <c r="R97" s="16">
        <f>IF(COUNT(E97:Q97)=0,"",MIN(E97:Q97))</f>
        <v/>
      </c>
      <c r="S97" s="15">
        <f>IF(COUNT(E97:Q97)=0,"",LOOKUP(2,1/(E97:Q97&lt;&gt;""),E97:Q97))</f>
        <v/>
      </c>
      <c r="T97" s="17">
        <f>IF(R97="","",ROUND(R97*RESUMEN!$B$4,0))</f>
        <v/>
      </c>
      <c r="U97" s="18">
        <f>COUNT(E97:Q97)</f>
        <v/>
      </c>
    </row>
    <row r="98">
      <c r="A98" s="13" t="inlineStr">
        <is>
          <t>66176ce151d29</t>
        </is>
      </c>
      <c r="B98" s="13" t="inlineStr">
        <is>
          <t>ANILLO CLAVO ROSE GOLD</t>
        </is>
      </c>
      <c r="C98" s="13" t="inlineStr">
        <is>
          <t>6 HIGH QUALITY</t>
        </is>
      </c>
      <c r="D98" s="14" t="inlineStr">
        <is>
          <t>Stainless Stee</t>
        </is>
      </c>
      <c r="E98" s="15" t="n">
        <v>2.5</v>
      </c>
      <c r="F98" s="13" t="n"/>
      <c r="G98" s="13" t="n"/>
      <c r="H98" s="15" t="n">
        <v>2.5</v>
      </c>
      <c r="I98" s="15" t="n">
        <v>2.5</v>
      </c>
      <c r="J98" s="13" t="n"/>
      <c r="K98" s="13" t="n"/>
      <c r="L98" s="13" t="n"/>
      <c r="M98" s="13" t="n"/>
      <c r="N98" s="15" t="n">
        <v>2.5</v>
      </c>
      <c r="O98" s="13" t="n"/>
      <c r="P98" s="13" t="n"/>
      <c r="Q98" s="15" t="n">
        <v>2.5</v>
      </c>
      <c r="R98" s="16">
        <f>IF(COUNT(E98:Q98)=0,"",MIN(E98:Q98))</f>
        <v/>
      </c>
      <c r="S98" s="15">
        <f>IF(COUNT(E98:Q98)=0,"",LOOKUP(2,1/(E98:Q98&lt;&gt;""),E98:Q98))</f>
        <v/>
      </c>
      <c r="T98" s="17">
        <f>IF(R98="","",ROUND(R98*RESUMEN!$B$4,0))</f>
        <v/>
      </c>
      <c r="U98" s="18">
        <f>COUNT(E98:Q98)</f>
        <v/>
      </c>
    </row>
    <row r="99">
      <c r="A99" s="13" t="inlineStr">
        <is>
          <t>66176ce1d817d</t>
        </is>
      </c>
      <c r="B99" s="13" t="inlineStr">
        <is>
          <t>ANILLO CLAVO ROSE GOLD</t>
        </is>
      </c>
      <c r="C99" s="13" t="inlineStr">
        <is>
          <t>7 HIGH QUALITY</t>
        </is>
      </c>
      <c r="D99" s="14" t="inlineStr">
        <is>
          <t>Stainless Stee</t>
        </is>
      </c>
      <c r="E99" s="15" t="n">
        <v>2.5</v>
      </c>
      <c r="F99" s="15" t="n">
        <v>2.5</v>
      </c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5" t="n">
        <v>2.5</v>
      </c>
      <c r="Q99" s="15" t="n">
        <v>2.5</v>
      </c>
      <c r="R99" s="16">
        <f>IF(COUNT(E99:Q99)=0,"",MIN(E99:Q99))</f>
        <v/>
      </c>
      <c r="S99" s="15">
        <f>IF(COUNT(E99:Q99)=0,"",LOOKUP(2,1/(E99:Q99&lt;&gt;""),E99:Q99))</f>
        <v/>
      </c>
      <c r="T99" s="17">
        <f>IF(R99="","",ROUND(R99*RESUMEN!$B$4,0))</f>
        <v/>
      </c>
      <c r="U99" s="18">
        <f>COUNT(E99:Q99)</f>
        <v/>
      </c>
    </row>
    <row r="100">
      <c r="A100" s="13" t="inlineStr">
        <is>
          <t>66176ce26bdb9</t>
        </is>
      </c>
      <c r="B100" s="13" t="inlineStr">
        <is>
          <t>ANILLO CLAVO ROSE GOLD</t>
        </is>
      </c>
      <c r="C100" s="13" t="inlineStr">
        <is>
          <t>8 HIGH QUALITY</t>
        </is>
      </c>
      <c r="D100" s="14" t="inlineStr">
        <is>
          <t>SIN MATERIAL</t>
        </is>
      </c>
      <c r="E100" s="13" t="n"/>
      <c r="F100" s="13" t="n"/>
      <c r="G100" s="13" t="n"/>
      <c r="H100" s="13" t="n"/>
      <c r="I100" s="15" t="n">
        <v>2.5</v>
      </c>
      <c r="J100" s="13" t="n"/>
      <c r="K100" s="13" t="n"/>
      <c r="L100" s="13" t="n"/>
      <c r="M100" s="15" t="n">
        <v>2.5</v>
      </c>
      <c r="N100" s="13" t="n"/>
      <c r="O100" s="13" t="n"/>
      <c r="P100" s="13" t="n"/>
      <c r="Q100" s="15" t="n">
        <v>2.5</v>
      </c>
      <c r="R100" s="16">
        <f>IF(COUNT(E100:Q100)=0,"",MIN(E100:Q100))</f>
        <v/>
      </c>
      <c r="S100" s="15">
        <f>IF(COUNT(E100:Q100)=0,"",LOOKUP(2,1/(E100:Q100&lt;&gt;""),E100:Q100))</f>
        <v/>
      </c>
      <c r="T100" s="17">
        <f>IF(R100="","",ROUND(R100*RESUMEN!$B$4,0))</f>
        <v/>
      </c>
      <c r="U100" s="18">
        <f>COUNT(E100:Q100)</f>
        <v/>
      </c>
    </row>
    <row r="101">
      <c r="A101" s="13" t="inlineStr">
        <is>
          <t>66176ce3090a4</t>
        </is>
      </c>
      <c r="B101" s="13" t="inlineStr">
        <is>
          <t>ANILLO CLAVO ROSE GOLD</t>
        </is>
      </c>
      <c r="C101" s="13" t="inlineStr">
        <is>
          <t>9 HIGH QUALITY</t>
        </is>
      </c>
      <c r="D101" s="14" t="inlineStr">
        <is>
          <t>nan</t>
        </is>
      </c>
      <c r="E101" s="13" t="n"/>
      <c r="F101" s="13" t="n"/>
      <c r="G101" s="13" t="n"/>
      <c r="H101" s="13" t="n"/>
      <c r="I101" s="15" t="n">
        <v>2.5</v>
      </c>
      <c r="J101" s="13" t="n"/>
      <c r="K101" s="13" t="n"/>
      <c r="L101" s="13" t="n"/>
      <c r="M101" s="15" t="n">
        <v>2.5</v>
      </c>
      <c r="N101" s="13" t="n"/>
      <c r="O101" s="13" t="n"/>
      <c r="P101" s="13" t="n"/>
      <c r="Q101" s="13" t="n"/>
      <c r="R101" s="16">
        <f>IF(COUNT(E101:Q101)=0,"",MIN(E101:Q101))</f>
        <v/>
      </c>
      <c r="S101" s="15">
        <f>IF(COUNT(E101:Q101)=0,"",LOOKUP(2,1/(E101:Q101&lt;&gt;""),E101:Q101))</f>
        <v/>
      </c>
      <c r="T101" s="17">
        <f>IF(R101="","",ROUND(R101*RESUMEN!$B$4,0))</f>
        <v/>
      </c>
      <c r="U101" s="18">
        <f>COUNT(E101:Q101)</f>
        <v/>
      </c>
    </row>
    <row r="102">
      <c r="A102" s="13" t="inlineStr">
        <is>
          <t>66176cde74709</t>
        </is>
      </c>
      <c r="B102" s="13" t="inlineStr">
        <is>
          <t>ANILLO CLAVO SILVER</t>
        </is>
      </c>
      <c r="C102" s="13" t="inlineStr">
        <is>
          <t>11</t>
        </is>
      </c>
      <c r="D102" s="14" t="inlineStr">
        <is>
          <t>Stainless stee</t>
        </is>
      </c>
      <c r="E102" s="13" t="n"/>
      <c r="F102" s="13" t="n"/>
      <c r="G102" s="13" t="n"/>
      <c r="H102" s="13" t="n"/>
      <c r="I102" s="15" t="n">
        <v>2.5</v>
      </c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6">
        <f>IF(COUNT(E102:Q102)=0,"",MIN(E102:Q102))</f>
        <v/>
      </c>
      <c r="S102" s="15">
        <f>IF(COUNT(E102:Q102)=0,"",LOOKUP(2,1/(E102:Q102&lt;&gt;""),E102:Q102))</f>
        <v/>
      </c>
      <c r="T102" s="17">
        <f>IF(R102="","",ROUND(R102*RESUMEN!$B$4,0))</f>
        <v/>
      </c>
      <c r="U102" s="18">
        <f>COUNT(E102:Q102)</f>
        <v/>
      </c>
    </row>
    <row r="103">
      <c r="A103" s="13" t="inlineStr">
        <is>
          <t>66176cdc142e2</t>
        </is>
      </c>
      <c r="B103" s="13" t="inlineStr">
        <is>
          <t>ANILLO CLAVO SILVER</t>
        </is>
      </c>
      <c r="C103" s="13" t="inlineStr">
        <is>
          <t>7 HIGH QUALITY</t>
        </is>
      </c>
      <c r="D103" s="14" t="inlineStr">
        <is>
          <t>Stainless Stee</t>
        </is>
      </c>
      <c r="E103" s="15" t="n">
        <v>2.5</v>
      </c>
      <c r="F103" s="13" t="n"/>
      <c r="G103" s="13" t="n"/>
      <c r="H103" s="13" t="n"/>
      <c r="I103" s="15" t="n">
        <v>2.5</v>
      </c>
      <c r="J103" s="13" t="n"/>
      <c r="K103" s="13" t="n"/>
      <c r="L103" s="13" t="n"/>
      <c r="M103" s="13" t="n"/>
      <c r="N103" s="15" t="n">
        <v>2.5</v>
      </c>
      <c r="O103" s="15" t="n">
        <v>2.5</v>
      </c>
      <c r="P103" s="13" t="n"/>
      <c r="Q103" s="13" t="n"/>
      <c r="R103" s="16">
        <f>IF(COUNT(E103:Q103)=0,"",MIN(E103:Q103))</f>
        <v/>
      </c>
      <c r="S103" s="15">
        <f>IF(COUNT(E103:Q103)=0,"",LOOKUP(2,1/(E103:Q103&lt;&gt;""),E103:Q103))</f>
        <v/>
      </c>
      <c r="T103" s="17">
        <f>IF(R103="","",ROUND(R103*RESUMEN!$B$4,0))</f>
        <v/>
      </c>
      <c r="U103" s="18">
        <f>COUNT(E103:Q103)</f>
        <v/>
      </c>
    </row>
    <row r="104">
      <c r="A104" s="13" t="inlineStr">
        <is>
          <t>66176cdcae75a</t>
        </is>
      </c>
      <c r="B104" s="13" t="inlineStr">
        <is>
          <t>ANILLO CLAVO SILVER</t>
        </is>
      </c>
      <c r="C104" s="13" t="inlineStr">
        <is>
          <t>8 HIGH QUALITY</t>
        </is>
      </c>
      <c r="D104" s="14" t="inlineStr"/>
      <c r="E104" s="13" t="n"/>
      <c r="F104" s="15" t="n">
        <v>2.5</v>
      </c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6">
        <f>IF(COUNT(E104:Q104)=0,"",MIN(E104:Q104))</f>
        <v/>
      </c>
      <c r="S104" s="15">
        <f>IF(COUNT(E104:Q104)=0,"",LOOKUP(2,1/(E104:Q104&lt;&gt;""),E104:Q104))</f>
        <v/>
      </c>
      <c r="T104" s="17">
        <f>IF(R104="","",ROUND(R104*RESUMEN!$B$4,0))</f>
        <v/>
      </c>
      <c r="U104" s="18">
        <f>COUNT(E104:Q104)</f>
        <v/>
      </c>
    </row>
    <row r="105">
      <c r="A105" s="13" t="inlineStr">
        <is>
          <t>66176cdd461aa</t>
        </is>
      </c>
      <c r="B105" s="13" t="inlineStr">
        <is>
          <t>ANILLO CLAVO SILVER</t>
        </is>
      </c>
      <c r="C105" s="13" t="inlineStr">
        <is>
          <t>9 HIGH QUALITY</t>
        </is>
      </c>
      <c r="D105" s="14" t="inlineStr">
        <is>
          <t>Stainless stee</t>
        </is>
      </c>
      <c r="E105" s="13" t="n"/>
      <c r="F105" s="15" t="n">
        <v>2.5</v>
      </c>
      <c r="G105" s="13" t="n"/>
      <c r="H105" s="13" t="n"/>
      <c r="I105" s="13" t="n"/>
      <c r="J105" s="13" t="n"/>
      <c r="K105" s="13" t="n"/>
      <c r="L105" s="15" t="n">
        <v>2.5</v>
      </c>
      <c r="M105" s="13" t="n"/>
      <c r="N105" s="13" t="n"/>
      <c r="O105" s="13" t="n"/>
      <c r="P105" s="13" t="n"/>
      <c r="Q105" s="13" t="n"/>
      <c r="R105" s="16">
        <f>IF(COUNT(E105:Q105)=0,"",MIN(E105:Q105))</f>
        <v/>
      </c>
      <c r="S105" s="15">
        <f>IF(COUNT(E105:Q105)=0,"",LOOKUP(2,1/(E105:Q105&lt;&gt;""),E105:Q105))</f>
        <v/>
      </c>
      <c r="T105" s="17">
        <f>IF(R105="","",ROUND(R105*RESUMEN!$B$4,0))</f>
        <v/>
      </c>
      <c r="U105" s="18">
        <f>COUNT(E105:Q105)</f>
        <v/>
      </c>
    </row>
    <row r="106">
      <c r="A106" s="13" t="inlineStr">
        <is>
          <t>81836201247181</t>
        </is>
      </c>
      <c r="B106" s="13" t="inlineStr">
        <is>
          <t>ANILLO CLAVO SILVER (WITHOUT ZIRCONIAS)</t>
        </is>
      </c>
      <c r="C106" s="13" t="inlineStr">
        <is>
          <t>10 HIGH QUALITY</t>
        </is>
      </c>
      <c r="D106" s="14" t="inlineStr">
        <is>
          <t>Stainless stee</t>
        </is>
      </c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5" t="n">
        <v>2.5</v>
      </c>
      <c r="O106" s="13" t="n"/>
      <c r="P106" s="13" t="n"/>
      <c r="Q106" s="13" t="n"/>
      <c r="R106" s="16">
        <f>IF(COUNT(E106:Q106)=0,"",MIN(E106:Q106))</f>
        <v/>
      </c>
      <c r="S106" s="15">
        <f>IF(COUNT(E106:Q106)=0,"",LOOKUP(2,1/(E106:Q106&lt;&gt;""),E106:Q106))</f>
        <v/>
      </c>
      <c r="T106" s="17">
        <f>IF(R106="","",ROUND(R106*RESUMEN!$B$4,0))</f>
        <v/>
      </c>
      <c r="U106" s="18">
        <f>COUNT(E106:Q106)</f>
        <v/>
      </c>
    </row>
    <row r="107">
      <c r="A107" s="13" t="inlineStr">
        <is>
          <t>66176cdaf1735</t>
        </is>
      </c>
      <c r="B107" s="13" t="inlineStr">
        <is>
          <t>ANILLO CLAVO SILVER (WITHOUT ZIRCONIAS)</t>
        </is>
      </c>
      <c r="C107" s="13" t="inlineStr">
        <is>
          <t>5 HIGH QUALITY</t>
        </is>
      </c>
      <c r="D107" s="14" t="inlineStr">
        <is>
          <t>Stainless stee</t>
        </is>
      </c>
      <c r="E107" s="13" t="n"/>
      <c r="F107" s="13" t="n"/>
      <c r="G107" s="13" t="n"/>
      <c r="H107" s="15" t="n">
        <v>2.5</v>
      </c>
      <c r="I107" s="13" t="n"/>
      <c r="J107" s="13" t="n"/>
      <c r="K107" s="13" t="n"/>
      <c r="L107" s="15" t="n">
        <v>2.5</v>
      </c>
      <c r="M107" s="13" t="n"/>
      <c r="N107" s="15" t="n">
        <v>2.5</v>
      </c>
      <c r="O107" s="13" t="n"/>
      <c r="P107" s="13" t="n"/>
      <c r="Q107" s="13" t="n"/>
      <c r="R107" s="16">
        <f>IF(COUNT(E107:Q107)=0,"",MIN(E107:Q107))</f>
        <v/>
      </c>
      <c r="S107" s="15">
        <f>IF(COUNT(E107:Q107)=0,"",LOOKUP(2,1/(E107:Q107&lt;&gt;""),E107:Q107))</f>
        <v/>
      </c>
      <c r="T107" s="17">
        <f>IF(R107="","",ROUND(R107*RESUMEN!$B$4,0))</f>
        <v/>
      </c>
      <c r="U107" s="18">
        <f>COUNT(E107:Q107)</f>
        <v/>
      </c>
    </row>
    <row r="108">
      <c r="A108" s="13" t="inlineStr">
        <is>
          <t>66176cdb7d238</t>
        </is>
      </c>
      <c r="B108" s="13" t="inlineStr">
        <is>
          <t>ANILLO CLAVO SILVER (WITHOUT ZIRCONIAS)</t>
        </is>
      </c>
      <c r="C108" s="13" t="inlineStr">
        <is>
          <t>6 HIGH QUALITY</t>
        </is>
      </c>
      <c r="D108" s="14" t="inlineStr">
        <is>
          <t>Stainless stee</t>
        </is>
      </c>
      <c r="E108" s="13" t="n"/>
      <c r="F108" s="13" t="n"/>
      <c r="G108" s="13" t="n"/>
      <c r="H108" s="13" t="n"/>
      <c r="I108" s="15" t="n">
        <v>2.5</v>
      </c>
      <c r="J108" s="13" t="n"/>
      <c r="K108" s="13" t="n"/>
      <c r="L108" s="13" t="n"/>
      <c r="M108" s="13" t="n"/>
      <c r="N108" s="15" t="n">
        <v>2.5</v>
      </c>
      <c r="O108" s="13" t="n"/>
      <c r="P108" s="13" t="n"/>
      <c r="Q108" s="13" t="n"/>
      <c r="R108" s="16">
        <f>IF(COUNT(E108:Q108)=0,"",MIN(E108:Q108))</f>
        <v/>
      </c>
      <c r="S108" s="15">
        <f>IF(COUNT(E108:Q108)=0,"",LOOKUP(2,1/(E108:Q108&lt;&gt;""),E108:Q108))</f>
        <v/>
      </c>
      <c r="T108" s="17">
        <f>IF(R108="","",ROUND(R108*RESUMEN!$B$4,0))</f>
        <v/>
      </c>
      <c r="U108" s="18">
        <f>COUNT(E108:Q108)</f>
        <v/>
      </c>
    </row>
    <row r="109">
      <c r="A109" s="13" t="inlineStr">
        <is>
          <t>66176ce532532</t>
        </is>
      </c>
      <c r="B109" s="13" t="inlineStr">
        <is>
          <t>ANILLO CLAVO SILVER CON ZIRCONIA</t>
        </is>
      </c>
      <c r="C109" s="13" t="inlineStr">
        <is>
          <t>5</t>
        </is>
      </c>
      <c r="D109" s="14" t="inlineStr">
        <is>
          <t>Stainless stee</t>
        </is>
      </c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5" t="n">
        <v>2.5</v>
      </c>
      <c r="N109" s="13" t="n"/>
      <c r="O109" s="13" t="n"/>
      <c r="P109" s="15" t="n">
        <v>2.5</v>
      </c>
      <c r="Q109" s="13" t="n"/>
      <c r="R109" s="16">
        <f>IF(COUNT(E109:Q109)=0,"",MIN(E109:Q109))</f>
        <v/>
      </c>
      <c r="S109" s="15">
        <f>IF(COUNT(E109:Q109)=0,"",LOOKUP(2,1/(E109:Q109&lt;&gt;""),E109:Q109))</f>
        <v/>
      </c>
      <c r="T109" s="17">
        <f>IF(R109="","",ROUND(R109*RESUMEN!$B$4,0))</f>
        <v/>
      </c>
      <c r="U109" s="18">
        <f>COUNT(E109:Q109)</f>
        <v/>
      </c>
    </row>
    <row r="110">
      <c r="A110" s="13" t="inlineStr">
        <is>
          <t>66176ce5b696e</t>
        </is>
      </c>
      <c r="B110" s="13" t="inlineStr">
        <is>
          <t>ANILLO CLAVO SILVER CON ZIRCONIA</t>
        </is>
      </c>
      <c r="C110" s="13" t="inlineStr">
        <is>
          <t>6</t>
        </is>
      </c>
      <c r="D110" s="14" t="inlineStr">
        <is>
          <t>nan</t>
        </is>
      </c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5" t="n">
        <v>2.5</v>
      </c>
      <c r="N110" s="13" t="n"/>
      <c r="O110" s="13" t="n"/>
      <c r="P110" s="13" t="n"/>
      <c r="Q110" s="13" t="n"/>
      <c r="R110" s="16">
        <f>IF(COUNT(E110:Q110)=0,"",MIN(E110:Q110))</f>
        <v/>
      </c>
      <c r="S110" s="15">
        <f>IF(COUNT(E110:Q110)=0,"",LOOKUP(2,1/(E110:Q110&lt;&gt;""),E110:Q110))</f>
        <v/>
      </c>
      <c r="T110" s="17">
        <f>IF(R110="","",ROUND(R110*RESUMEN!$B$4,0))</f>
        <v/>
      </c>
      <c r="U110" s="18">
        <f>COUNT(E110:Q110)</f>
        <v/>
      </c>
    </row>
    <row r="111">
      <c r="A111" s="13" t="inlineStr">
        <is>
          <t>66176ce64d96f</t>
        </is>
      </c>
      <c r="B111" s="13" t="inlineStr">
        <is>
          <t>ANILLO CLAVO SILVER CON ZIRCONIA</t>
        </is>
      </c>
      <c r="C111" s="13" t="inlineStr">
        <is>
          <t>7</t>
        </is>
      </c>
      <c r="D111" s="14" t="inlineStr">
        <is>
          <t>nan</t>
        </is>
      </c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5" t="n">
        <v>2.5</v>
      </c>
      <c r="N111" s="13" t="n"/>
      <c r="O111" s="13" t="n"/>
      <c r="P111" s="13" t="n"/>
      <c r="Q111" s="13" t="n"/>
      <c r="R111" s="16">
        <f>IF(COUNT(E111:Q111)=0,"",MIN(E111:Q111))</f>
        <v/>
      </c>
      <c r="S111" s="15">
        <f>IF(COUNT(E111:Q111)=0,"",LOOKUP(2,1/(E111:Q111&lt;&gt;""),E111:Q111))</f>
        <v/>
      </c>
      <c r="T111" s="17">
        <f>IF(R111="","",ROUND(R111*RESUMEN!$B$4,0))</f>
        <v/>
      </c>
      <c r="U111" s="18">
        <f>COUNT(E111:Q111)</f>
        <v/>
      </c>
    </row>
    <row r="112">
      <c r="A112" s="13" t="inlineStr">
        <is>
          <t>66176ce6d29ca</t>
        </is>
      </c>
      <c r="B112" s="13" t="inlineStr">
        <is>
          <t>ANILLO CLAVO SILVER CON ZIRCONIA</t>
        </is>
      </c>
      <c r="C112" s="13" t="inlineStr">
        <is>
          <t>8</t>
        </is>
      </c>
      <c r="D112" s="14" t="inlineStr">
        <is>
          <t>nan</t>
        </is>
      </c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5" t="n">
        <v>2.5</v>
      </c>
      <c r="N112" s="13" t="n"/>
      <c r="O112" s="13" t="n"/>
      <c r="P112" s="13" t="n"/>
      <c r="Q112" s="13" t="n"/>
      <c r="R112" s="16">
        <f>IF(COUNT(E112:Q112)=0,"",MIN(E112:Q112))</f>
        <v/>
      </c>
      <c r="S112" s="15">
        <f>IF(COUNT(E112:Q112)=0,"",LOOKUP(2,1/(E112:Q112&lt;&gt;""),E112:Q112))</f>
        <v/>
      </c>
      <c r="T112" s="17">
        <f>IF(R112="","",ROUND(R112*RESUMEN!$B$4,0))</f>
        <v/>
      </c>
      <c r="U112" s="18">
        <f>COUNT(E112:Q112)</f>
        <v/>
      </c>
    </row>
    <row r="113">
      <c r="A113" s="13" t="inlineStr">
        <is>
          <t>46509631089741</t>
        </is>
      </c>
      <c r="B113" s="13" t="inlineStr">
        <is>
          <t>ANILLO CLAVO SPIRAL GOLD CON ZIRCONIA</t>
        </is>
      </c>
      <c r="C113" s="13" t="inlineStr">
        <is>
          <t>6</t>
        </is>
      </c>
      <c r="D113" s="14" t="inlineStr">
        <is>
          <t>Copper alloy</t>
        </is>
      </c>
      <c r="E113" s="13" t="n"/>
      <c r="F113" s="15" t="n">
        <v>7.5</v>
      </c>
      <c r="G113" s="13" t="n"/>
      <c r="H113" s="13" t="n"/>
      <c r="I113" s="13" t="n"/>
      <c r="J113" s="15" t="n">
        <v>7.5</v>
      </c>
      <c r="K113" s="13" t="n"/>
      <c r="L113" s="15" t="n">
        <v>7.5</v>
      </c>
      <c r="M113" s="13" t="n"/>
      <c r="N113" s="13" t="n"/>
      <c r="O113" s="13" t="n"/>
      <c r="P113" s="13" t="n"/>
      <c r="Q113" s="13" t="n"/>
      <c r="R113" s="16">
        <f>IF(COUNT(E113:Q113)=0,"",MIN(E113:Q113))</f>
        <v/>
      </c>
      <c r="S113" s="15">
        <f>IF(COUNT(E113:Q113)=0,"",LOOKUP(2,1/(E113:Q113&lt;&gt;""),E113:Q113))</f>
        <v/>
      </c>
      <c r="T113" s="17">
        <f>IF(R113="","",ROUND(R113*RESUMEN!$B$4,0))</f>
        <v/>
      </c>
      <c r="U113" s="18">
        <f>COUNT(E113:Q113)</f>
        <v/>
      </c>
    </row>
    <row r="114">
      <c r="A114" s="13" t="inlineStr">
        <is>
          <t>47396161022509</t>
        </is>
      </c>
      <c r="B114" s="13" t="inlineStr">
        <is>
          <t>ANILLO CLAVO SPIRAL GOLD CON ZIRCONIA</t>
        </is>
      </c>
      <c r="C114" s="13" t="inlineStr">
        <is>
          <t>7</t>
        </is>
      </c>
      <c r="D114" s="14" t="inlineStr">
        <is>
          <t>Copper Alloy</t>
        </is>
      </c>
      <c r="E114" s="13" t="n"/>
      <c r="F114" s="15" t="n">
        <v>7.5</v>
      </c>
      <c r="G114" s="13" t="n"/>
      <c r="H114" s="13" t="n"/>
      <c r="I114" s="13" t="n"/>
      <c r="J114" s="15" t="n">
        <v>7.5</v>
      </c>
      <c r="K114" s="13" t="n"/>
      <c r="L114" s="13" t="n"/>
      <c r="M114" s="13" t="n"/>
      <c r="N114" s="13" t="n"/>
      <c r="O114" s="13" t="n"/>
      <c r="P114" s="15" t="n">
        <v>7.5</v>
      </c>
      <c r="Q114" s="13" t="n"/>
      <c r="R114" s="16">
        <f>IF(COUNT(E114:Q114)=0,"",MIN(E114:Q114))</f>
        <v/>
      </c>
      <c r="S114" s="15">
        <f>IF(COUNT(E114:Q114)=0,"",LOOKUP(2,1/(E114:Q114&lt;&gt;""),E114:Q114))</f>
        <v/>
      </c>
      <c r="T114" s="17">
        <f>IF(R114="","",ROUND(R114*RESUMEN!$B$4,0))</f>
        <v/>
      </c>
      <c r="U114" s="18">
        <f>COUNT(E114:Q114)</f>
        <v/>
      </c>
    </row>
    <row r="115">
      <c r="A115" s="13" t="inlineStr">
        <is>
          <t>49975331055277</t>
        </is>
      </c>
      <c r="B115" s="13" t="inlineStr">
        <is>
          <t>ANILLO CLAVO SPIRAL GOLD CON ZIRCONIA</t>
        </is>
      </c>
      <c r="C115" s="13" t="inlineStr">
        <is>
          <t>8</t>
        </is>
      </c>
      <c r="D115" s="14" t="inlineStr">
        <is>
          <t>Copper Alloy</t>
        </is>
      </c>
      <c r="E115" s="13" t="n"/>
      <c r="F115" s="15" t="n">
        <v>7.5</v>
      </c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5" t="n">
        <v>7.5</v>
      </c>
      <c r="P115" s="13" t="n"/>
      <c r="Q115" s="13" t="n"/>
      <c r="R115" s="16">
        <f>IF(COUNT(E115:Q115)=0,"",MIN(E115:Q115))</f>
        <v/>
      </c>
      <c r="S115" s="15">
        <f>IF(COUNT(E115:Q115)=0,"",LOOKUP(2,1/(E115:Q115&lt;&gt;""),E115:Q115))</f>
        <v/>
      </c>
      <c r="T115" s="17">
        <f>IF(R115="","",ROUND(R115*RESUMEN!$B$4,0))</f>
        <v/>
      </c>
      <c r="U115" s="18">
        <f>COUNT(E115:Q115)</f>
        <v/>
      </c>
    </row>
    <row r="116">
      <c r="A116" s="13" t="inlineStr">
        <is>
          <t>39129741001261</t>
        </is>
      </c>
      <c r="B116" s="13" t="inlineStr">
        <is>
          <t>ANILLO CLAVO SPIRAL SILVER CON ZIRCONIA</t>
        </is>
      </c>
      <c r="C116" s="13" t="inlineStr">
        <is>
          <t>8</t>
        </is>
      </c>
      <c r="D116" s="14" t="inlineStr">
        <is>
          <t>Copper Alloy</t>
        </is>
      </c>
      <c r="E116" s="13" t="n"/>
      <c r="F116" s="15" t="n">
        <v>7.5</v>
      </c>
      <c r="G116" s="13" t="n"/>
      <c r="H116" s="13" t="n"/>
      <c r="I116" s="13" t="n"/>
      <c r="J116" s="13" t="n"/>
      <c r="K116" s="13" t="n"/>
      <c r="L116" s="13" t="n"/>
      <c r="M116" s="13" t="n"/>
      <c r="N116" s="15" t="n">
        <v>7.5</v>
      </c>
      <c r="O116" s="13" t="n"/>
      <c r="P116" s="13" t="n"/>
      <c r="Q116" s="15" t="n">
        <v>7.5</v>
      </c>
      <c r="R116" s="16">
        <f>IF(COUNT(E116:Q116)=0,"",MIN(E116:Q116))</f>
        <v/>
      </c>
      <c r="S116" s="15">
        <f>IF(COUNT(E116:Q116)=0,"",LOOKUP(2,1/(E116:Q116&lt;&gt;""),E116:Q116))</f>
        <v/>
      </c>
      <c r="T116" s="17">
        <f>IF(R116="","",ROUND(R116*RESUMEN!$B$4,0))</f>
        <v/>
      </c>
      <c r="U116" s="18">
        <f>COUNT(E116:Q116)</f>
        <v/>
      </c>
    </row>
    <row r="117">
      <c r="A117" s="13" t="inlineStr">
        <is>
          <t>66176cdacbf36</t>
        </is>
      </c>
      <c r="B117" s="13" t="inlineStr">
        <is>
          <t>ANILLO CLAVO ZIRCONIA GOLD</t>
        </is>
      </c>
      <c r="C117" s="13" t="inlineStr">
        <is>
          <t>5</t>
        </is>
      </c>
      <c r="D117" s="14" t="inlineStr">
        <is>
          <t>nan</t>
        </is>
      </c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5" t="n">
        <v>2.5</v>
      </c>
      <c r="N117" s="13" t="n"/>
      <c r="O117" s="13" t="n"/>
      <c r="P117" s="13" t="n"/>
      <c r="Q117" s="13" t="n"/>
      <c r="R117" s="16">
        <f>IF(COUNT(E117:Q117)=0,"",MIN(E117:Q117))</f>
        <v/>
      </c>
      <c r="S117" s="15">
        <f>IF(COUNT(E117:Q117)=0,"",LOOKUP(2,1/(E117:Q117&lt;&gt;""),E117:Q117))</f>
        <v/>
      </c>
      <c r="T117" s="17">
        <f>IF(R117="","",ROUND(R117*RESUMEN!$B$4,0))</f>
        <v/>
      </c>
      <c r="U117" s="18">
        <f>COUNT(E117:Q117)</f>
        <v/>
      </c>
    </row>
    <row r="118">
      <c r="A118" s="13" t="inlineStr">
        <is>
          <t>66176cdb6225d</t>
        </is>
      </c>
      <c r="B118" s="13" t="inlineStr">
        <is>
          <t>ANILLO CLAVO ZIRCONIA GOLD</t>
        </is>
      </c>
      <c r="C118" s="13" t="inlineStr">
        <is>
          <t>6</t>
        </is>
      </c>
      <c r="D118" s="14" t="inlineStr">
        <is>
          <t>Stainless stee</t>
        </is>
      </c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5" t="n">
        <v>2.5</v>
      </c>
      <c r="N118" s="13" t="n"/>
      <c r="O118" s="13" t="n"/>
      <c r="P118" s="13" t="n"/>
      <c r="Q118" s="15" t="n">
        <v>2.5</v>
      </c>
      <c r="R118" s="16">
        <f>IF(COUNT(E118:Q118)=0,"",MIN(E118:Q118))</f>
        <v/>
      </c>
      <c r="S118" s="15">
        <f>IF(COUNT(E118:Q118)=0,"",LOOKUP(2,1/(E118:Q118&lt;&gt;""),E118:Q118))</f>
        <v/>
      </c>
      <c r="T118" s="17">
        <f>IF(R118="","",ROUND(R118*RESUMEN!$B$4,0))</f>
        <v/>
      </c>
      <c r="U118" s="18">
        <f>COUNT(E118:Q118)</f>
        <v/>
      </c>
    </row>
    <row r="119">
      <c r="A119" s="13" t="inlineStr">
        <is>
          <t>66176cdbe0e8a</t>
        </is>
      </c>
      <c r="B119" s="13" t="inlineStr">
        <is>
          <t>ANILLO CLAVO ZIRCONIA GOLD</t>
        </is>
      </c>
      <c r="C119" s="13" t="inlineStr">
        <is>
          <t>7</t>
        </is>
      </c>
      <c r="D119" s="14" t="inlineStr">
        <is>
          <t>Stainless stee</t>
        </is>
      </c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5" t="n">
        <v>2.5</v>
      </c>
      <c r="N119" s="13" t="n"/>
      <c r="O119" s="13" t="n"/>
      <c r="P119" s="15" t="n">
        <v>2.5</v>
      </c>
      <c r="Q119" s="15" t="n">
        <v>2.5</v>
      </c>
      <c r="R119" s="16">
        <f>IF(COUNT(E119:Q119)=0,"",MIN(E119:Q119))</f>
        <v/>
      </c>
      <c r="S119" s="15">
        <f>IF(COUNT(E119:Q119)=0,"",LOOKUP(2,1/(E119:Q119&lt;&gt;""),E119:Q119))</f>
        <v/>
      </c>
      <c r="T119" s="17">
        <f>IF(R119="","",ROUND(R119*RESUMEN!$B$4,0))</f>
        <v/>
      </c>
      <c r="U119" s="18">
        <f>COUNT(E119:Q119)</f>
        <v/>
      </c>
    </row>
    <row r="120">
      <c r="A120" s="13" t="inlineStr">
        <is>
          <t>66176cdc74210</t>
        </is>
      </c>
      <c r="B120" s="13" t="inlineStr">
        <is>
          <t>ANILLO CLAVO ZIRCONIA GOLD</t>
        </is>
      </c>
      <c r="C120" s="13" t="inlineStr">
        <is>
          <t>8</t>
        </is>
      </c>
      <c r="D120" s="14" t="inlineStr">
        <is>
          <t>Stainless stee</t>
        </is>
      </c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5" t="n">
        <v>2.5</v>
      </c>
      <c r="N120" s="13" t="n"/>
      <c r="O120" s="13" t="n"/>
      <c r="P120" s="15" t="n">
        <v>2.5</v>
      </c>
      <c r="Q120" s="13" t="n"/>
      <c r="R120" s="16">
        <f>IF(COUNT(E120:Q120)=0,"",MIN(E120:Q120))</f>
        <v/>
      </c>
      <c r="S120" s="15">
        <f>IF(COUNT(E120:Q120)=0,"",LOOKUP(2,1/(E120:Q120&lt;&gt;""),E120:Q120))</f>
        <v/>
      </c>
      <c r="T120" s="17">
        <f>IF(R120="","",ROUND(R120*RESUMEN!$B$4,0))</f>
        <v/>
      </c>
      <c r="U120" s="18">
        <f>COUNT(E120:Q120)</f>
        <v/>
      </c>
    </row>
    <row r="121">
      <c r="A121" s="13" t="inlineStr">
        <is>
          <t>66176cdd1243a</t>
        </is>
      </c>
      <c r="B121" s="13" t="inlineStr">
        <is>
          <t>ANILLO CLAVO ZIRCONIA GOLD</t>
        </is>
      </c>
      <c r="C121" s="13" t="inlineStr">
        <is>
          <t>9</t>
        </is>
      </c>
      <c r="D121" s="14" t="inlineStr">
        <is>
          <t>Stainless stee</t>
        </is>
      </c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5" t="n">
        <v>2.5</v>
      </c>
      <c r="N121" s="13" t="n"/>
      <c r="O121" s="13" t="n"/>
      <c r="P121" s="15" t="n">
        <v>2.5</v>
      </c>
      <c r="Q121" s="13" t="n"/>
      <c r="R121" s="16">
        <f>IF(COUNT(E121:Q121)=0,"",MIN(E121:Q121))</f>
        <v/>
      </c>
      <c r="S121" s="15">
        <f>IF(COUNT(E121:Q121)=0,"",LOOKUP(2,1/(E121:Q121&lt;&gt;""),E121:Q121))</f>
        <v/>
      </c>
      <c r="T121" s="17">
        <f>IF(R121="","",ROUND(R121*RESUMEN!$B$4,0))</f>
        <v/>
      </c>
      <c r="U121" s="18">
        <f>COUNT(E121:Q121)</f>
        <v/>
      </c>
    </row>
    <row r="122">
      <c r="A122" s="13" t="inlineStr">
        <is>
          <t>66176cde9bf02</t>
        </is>
      </c>
      <c r="B122" s="13" t="inlineStr">
        <is>
          <t>ANILLO CLAVO ZIRCONIA ROSE GOLD</t>
        </is>
      </c>
      <c r="C122" s="13" t="inlineStr">
        <is>
          <t>6</t>
        </is>
      </c>
      <c r="D122" s="14" t="inlineStr">
        <is>
          <t>nan</t>
        </is>
      </c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5" t="n">
        <v>2.5</v>
      </c>
      <c r="N122" s="13" t="n"/>
      <c r="O122" s="13" t="n"/>
      <c r="P122" s="13" t="n"/>
      <c r="Q122" s="13" t="n"/>
      <c r="R122" s="16">
        <f>IF(COUNT(E122:Q122)=0,"",MIN(E122:Q122))</f>
        <v/>
      </c>
      <c r="S122" s="15">
        <f>IF(COUNT(E122:Q122)=0,"",LOOKUP(2,1/(E122:Q122&lt;&gt;""),E122:Q122))</f>
        <v/>
      </c>
      <c r="T122" s="17">
        <f>IF(R122="","",ROUND(R122*RESUMEN!$B$4,0))</f>
        <v/>
      </c>
      <c r="U122" s="18">
        <f>COUNT(E122:Q122)</f>
        <v/>
      </c>
    </row>
    <row r="123">
      <c r="A123" s="13" t="inlineStr">
        <is>
          <t>66176cdf23c82</t>
        </is>
      </c>
      <c r="B123" s="13" t="inlineStr">
        <is>
          <t>ANILLO CLAVO ZIRCONIA ROSE GOLD</t>
        </is>
      </c>
      <c r="C123" s="13" t="inlineStr">
        <is>
          <t>7</t>
        </is>
      </c>
      <c r="D123" s="14" t="inlineStr">
        <is>
          <t>Stainless stee</t>
        </is>
      </c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5" t="n">
        <v>2.5</v>
      </c>
      <c r="N123" s="13" t="n"/>
      <c r="O123" s="13" t="n"/>
      <c r="P123" s="15" t="n">
        <v>2.5</v>
      </c>
      <c r="Q123" s="13" t="n"/>
      <c r="R123" s="16">
        <f>IF(COUNT(E123:Q123)=0,"",MIN(E123:Q123))</f>
        <v/>
      </c>
      <c r="S123" s="15">
        <f>IF(COUNT(E123:Q123)=0,"",LOOKUP(2,1/(E123:Q123&lt;&gt;""),E123:Q123))</f>
        <v/>
      </c>
      <c r="T123" s="17">
        <f>IF(R123="","",ROUND(R123*RESUMEN!$B$4,0))</f>
        <v/>
      </c>
      <c r="U123" s="18">
        <f>COUNT(E123:Q123)</f>
        <v/>
      </c>
    </row>
    <row r="124">
      <c r="A124" s="13" t="inlineStr">
        <is>
          <t>66176cdfac886</t>
        </is>
      </c>
      <c r="B124" s="13" t="inlineStr">
        <is>
          <t>ANILLO CLAVO ZIRCONIA ROSE GOLD</t>
        </is>
      </c>
      <c r="C124" s="13" t="inlineStr">
        <is>
          <t>8</t>
        </is>
      </c>
      <c r="D124" s="14" t="inlineStr">
        <is>
          <t>Stainless stee</t>
        </is>
      </c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5" t="n">
        <v>2.5</v>
      </c>
      <c r="N124" s="13" t="n"/>
      <c r="O124" s="13" t="n"/>
      <c r="P124" s="13" t="n"/>
      <c r="Q124" s="15" t="n">
        <v>2.5</v>
      </c>
      <c r="R124" s="16">
        <f>IF(COUNT(E124:Q124)=0,"",MIN(E124:Q124))</f>
        <v/>
      </c>
      <c r="S124" s="15">
        <f>IF(COUNT(E124:Q124)=0,"",LOOKUP(2,1/(E124:Q124&lt;&gt;""),E124:Q124))</f>
        <v/>
      </c>
      <c r="T124" s="17">
        <f>IF(R124="","",ROUND(R124*RESUMEN!$B$4,0))</f>
        <v/>
      </c>
      <c r="U124" s="18">
        <f>COUNT(E124:Q124)</f>
        <v/>
      </c>
    </row>
    <row r="125">
      <c r="A125" s="13" t="inlineStr">
        <is>
          <t>66176cde0d667</t>
        </is>
      </c>
      <c r="B125" s="13" t="inlineStr">
        <is>
          <t>ANILLO CLAVO ZIRCONIA ROSE GOLD (WITH ZIRCONIAS)</t>
        </is>
      </c>
      <c r="C125" s="13" t="inlineStr">
        <is>
          <t>5</t>
        </is>
      </c>
      <c r="D125" s="14" t="inlineStr">
        <is>
          <t>Stainless stee</t>
        </is>
      </c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5" t="n">
        <v>2.5</v>
      </c>
      <c r="O125" s="13" t="n"/>
      <c r="P125" s="13" t="n"/>
      <c r="Q125" s="13" t="n"/>
      <c r="R125" s="16">
        <f>IF(COUNT(E125:Q125)=0,"",MIN(E125:Q125))</f>
        <v/>
      </c>
      <c r="S125" s="15">
        <f>IF(COUNT(E125:Q125)=0,"",LOOKUP(2,1/(E125:Q125&lt;&gt;""),E125:Q125))</f>
        <v/>
      </c>
      <c r="T125" s="17">
        <f>IF(R125="","",ROUND(R125*RESUMEN!$B$4,0))</f>
        <v/>
      </c>
      <c r="U125" s="18">
        <f>COUNT(E125:Q125)</f>
        <v/>
      </c>
    </row>
    <row r="126">
      <c r="A126" s="13" t="inlineStr">
        <is>
          <t>63e0b72a8a859</t>
        </is>
      </c>
      <c r="B126" s="13" t="inlineStr">
        <is>
          <t>ANILLO COCO GOLD</t>
        </is>
      </c>
      <c r="C126" s="13" t="inlineStr">
        <is>
          <t>5</t>
        </is>
      </c>
      <c r="D126" s="14" t="inlineStr">
        <is>
          <t>Stainless stee</t>
        </is>
      </c>
      <c r="E126" s="13" t="n"/>
      <c r="F126" s="13" t="n"/>
      <c r="G126" s="13" t="n"/>
      <c r="H126" s="13" t="n"/>
      <c r="I126" s="13" t="n"/>
      <c r="J126" s="15" t="n">
        <v>1.8</v>
      </c>
      <c r="K126" s="13" t="n"/>
      <c r="L126" s="15" t="n">
        <v>1.8</v>
      </c>
      <c r="M126" s="13" t="n"/>
      <c r="N126" s="13" t="n"/>
      <c r="O126" s="15" t="n">
        <v>1.8</v>
      </c>
      <c r="P126" s="13" t="n"/>
      <c r="Q126" s="15" t="n">
        <v>1.8</v>
      </c>
      <c r="R126" s="16">
        <f>IF(COUNT(E126:Q126)=0,"",MIN(E126:Q126))</f>
        <v/>
      </c>
      <c r="S126" s="15">
        <f>IF(COUNT(E126:Q126)=0,"",LOOKUP(2,1/(E126:Q126&lt;&gt;""),E126:Q126))</f>
        <v/>
      </c>
      <c r="T126" s="17">
        <f>IF(R126="","",ROUND(R126*RESUMEN!$B$4,0))</f>
        <v/>
      </c>
      <c r="U126" s="18">
        <f>COUNT(E126:Q126)</f>
        <v/>
      </c>
    </row>
    <row r="127">
      <c r="A127" s="13" t="inlineStr">
        <is>
          <t>63e0b72b646a2</t>
        </is>
      </c>
      <c r="B127" s="13" t="inlineStr">
        <is>
          <t>ANILLO COCO GOLD</t>
        </is>
      </c>
      <c r="C127" s="13" t="inlineStr">
        <is>
          <t>6</t>
        </is>
      </c>
      <c r="D127" s="14" t="inlineStr">
        <is>
          <t>Stainless Stee</t>
        </is>
      </c>
      <c r="E127" s="15" t="n">
        <v>1.8</v>
      </c>
      <c r="F127" s="15" t="n">
        <v>1.8</v>
      </c>
      <c r="G127" s="13" t="n"/>
      <c r="H127" s="13" t="n"/>
      <c r="I127" s="15" t="n">
        <v>1.8</v>
      </c>
      <c r="J127" s="13" t="n"/>
      <c r="K127" s="13" t="n"/>
      <c r="L127" s="15" t="n">
        <v>1.8</v>
      </c>
      <c r="M127" s="13" t="n"/>
      <c r="N127" s="13" t="n"/>
      <c r="O127" s="13" t="n"/>
      <c r="P127" s="15" t="n">
        <v>1.8</v>
      </c>
      <c r="Q127" s="13" t="n"/>
      <c r="R127" s="16">
        <f>IF(COUNT(E127:Q127)=0,"",MIN(E127:Q127))</f>
        <v/>
      </c>
      <c r="S127" s="15">
        <f>IF(COUNT(E127:Q127)=0,"",LOOKUP(2,1/(E127:Q127&lt;&gt;""),E127:Q127))</f>
        <v/>
      </c>
      <c r="T127" s="17">
        <f>IF(R127="","",ROUND(R127*RESUMEN!$B$4,0))</f>
        <v/>
      </c>
      <c r="U127" s="18">
        <f>COUNT(E127:Q127)</f>
        <v/>
      </c>
    </row>
    <row r="128">
      <c r="A128" s="13" t="inlineStr">
        <is>
          <t>63e0b72c4613b</t>
        </is>
      </c>
      <c r="B128" s="13" t="inlineStr">
        <is>
          <t>ANILLO COCO GOLD</t>
        </is>
      </c>
      <c r="C128" s="13" t="inlineStr">
        <is>
          <t>7</t>
        </is>
      </c>
      <c r="D128" s="14" t="inlineStr">
        <is>
          <t>Stainless stee</t>
        </is>
      </c>
      <c r="E128" s="13" t="n"/>
      <c r="F128" s="13" t="n"/>
      <c r="G128" s="13" t="n"/>
      <c r="H128" s="13" t="n"/>
      <c r="I128" s="13" t="n"/>
      <c r="J128" s="13" t="n"/>
      <c r="K128" s="13" t="n"/>
      <c r="L128" s="15" t="n">
        <v>1.8</v>
      </c>
      <c r="M128" s="15" t="n">
        <v>1.8</v>
      </c>
      <c r="N128" s="13" t="n"/>
      <c r="O128" s="13" t="n"/>
      <c r="P128" s="13" t="n"/>
      <c r="Q128" s="13" t="n"/>
      <c r="R128" s="16">
        <f>IF(COUNT(E128:Q128)=0,"",MIN(E128:Q128))</f>
        <v/>
      </c>
      <c r="S128" s="15">
        <f>IF(COUNT(E128:Q128)=0,"",LOOKUP(2,1/(E128:Q128&lt;&gt;""),E128:Q128))</f>
        <v/>
      </c>
      <c r="T128" s="17">
        <f>IF(R128="","",ROUND(R128*RESUMEN!$B$4,0))</f>
        <v/>
      </c>
      <c r="U128" s="18">
        <f>COUNT(E128:Q128)</f>
        <v/>
      </c>
    </row>
    <row r="129">
      <c r="A129" s="13" t="inlineStr">
        <is>
          <t>63e0b72d387b2</t>
        </is>
      </c>
      <c r="B129" s="13" t="inlineStr">
        <is>
          <t>ANILLO COCO GOLD</t>
        </is>
      </c>
      <c r="C129" s="13" t="inlineStr">
        <is>
          <t>8</t>
        </is>
      </c>
      <c r="D129" s="14" t="inlineStr">
        <is>
          <t>Stainless stee</t>
        </is>
      </c>
      <c r="E129" s="13" t="n"/>
      <c r="F129" s="13" t="n"/>
      <c r="G129" s="13" t="n"/>
      <c r="H129" s="13" t="n"/>
      <c r="I129" s="13" t="n"/>
      <c r="J129" s="13" t="n"/>
      <c r="K129" s="13" t="n"/>
      <c r="L129" s="15" t="n">
        <v>1.8</v>
      </c>
      <c r="M129" s="13" t="n"/>
      <c r="N129" s="13" t="n"/>
      <c r="O129" s="13" t="n"/>
      <c r="P129" s="15" t="n">
        <v>1.8</v>
      </c>
      <c r="Q129" s="15" t="n">
        <v>1.8</v>
      </c>
      <c r="R129" s="16">
        <f>IF(COUNT(E129:Q129)=0,"",MIN(E129:Q129))</f>
        <v/>
      </c>
      <c r="S129" s="15">
        <f>IF(COUNT(E129:Q129)=0,"",LOOKUP(2,1/(E129:Q129&lt;&gt;""),E129:Q129))</f>
        <v/>
      </c>
      <c r="T129" s="17">
        <f>IF(R129="","",ROUND(R129*RESUMEN!$B$4,0))</f>
        <v/>
      </c>
      <c r="U129" s="18">
        <f>COUNT(E129:Q129)</f>
        <v/>
      </c>
    </row>
    <row r="130">
      <c r="A130" s="13" t="inlineStr">
        <is>
          <t>63e0b72e8ae97</t>
        </is>
      </c>
      <c r="B130" s="13" t="inlineStr">
        <is>
          <t>ANILLO COCO GOLD</t>
        </is>
      </c>
      <c r="C130" s="13" t="inlineStr">
        <is>
          <t>9</t>
        </is>
      </c>
      <c r="D130" s="14" t="inlineStr">
        <is>
          <t>Stainless Stee</t>
        </is>
      </c>
      <c r="E130" s="13" t="n"/>
      <c r="F130" s="13" t="n"/>
      <c r="G130" s="13" t="n"/>
      <c r="H130" s="13" t="n"/>
      <c r="I130" s="15" t="n">
        <v>1.8</v>
      </c>
      <c r="J130" s="13" t="n"/>
      <c r="K130" s="13" t="n"/>
      <c r="L130" s="13" t="n"/>
      <c r="M130" s="15" t="n">
        <v>1.8</v>
      </c>
      <c r="N130" s="13" t="n"/>
      <c r="O130" s="15" t="n">
        <v>1.8</v>
      </c>
      <c r="P130" s="15" t="n">
        <v>1.8</v>
      </c>
      <c r="Q130" s="13" t="n"/>
      <c r="R130" s="16">
        <f>IF(COUNT(E130:Q130)=0,"",MIN(E130:Q130))</f>
        <v/>
      </c>
      <c r="S130" s="15">
        <f>IF(COUNT(E130:Q130)=0,"",LOOKUP(2,1/(E130:Q130&lt;&gt;""),E130:Q130))</f>
        <v/>
      </c>
      <c r="T130" s="17">
        <f>IF(R130="","",ROUND(R130*RESUMEN!$B$4,0))</f>
        <v/>
      </c>
      <c r="U130" s="18">
        <f>COUNT(E130:Q130)</f>
        <v/>
      </c>
    </row>
    <row r="131">
      <c r="A131" s="13" t="inlineStr">
        <is>
          <t>63e0b72d92a68</t>
        </is>
      </c>
      <c r="B131" s="13" t="inlineStr">
        <is>
          <t>ANILLO COCO ROSE GOLD</t>
        </is>
      </c>
      <c r="C131" s="13" t="inlineStr">
        <is>
          <t>5</t>
        </is>
      </c>
      <c r="D131" s="14" t="inlineStr">
        <is>
          <t>Stainless stee</t>
        </is>
      </c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5" t="n">
        <v>1.8</v>
      </c>
      <c r="N131" s="13" t="n"/>
      <c r="O131" s="13" t="n"/>
      <c r="P131" s="13" t="n"/>
      <c r="Q131" s="15" t="n">
        <v>1.8</v>
      </c>
      <c r="R131" s="16">
        <f>IF(COUNT(E131:Q131)=0,"",MIN(E131:Q131))</f>
        <v/>
      </c>
      <c r="S131" s="15">
        <f>IF(COUNT(E131:Q131)=0,"",LOOKUP(2,1/(E131:Q131&lt;&gt;""),E131:Q131))</f>
        <v/>
      </c>
      <c r="T131" s="17">
        <f>IF(R131="","",ROUND(R131*RESUMEN!$B$4,0))</f>
        <v/>
      </c>
      <c r="U131" s="18">
        <f>COUNT(E131:Q131)</f>
        <v/>
      </c>
    </row>
    <row r="132">
      <c r="A132" s="13" t="inlineStr">
        <is>
          <t>63e0b72e8ceb1</t>
        </is>
      </c>
      <c r="B132" s="13" t="inlineStr">
        <is>
          <t>ANILLO COCO ROSE GOLD</t>
        </is>
      </c>
      <c r="C132" s="13" t="inlineStr">
        <is>
          <t>6</t>
        </is>
      </c>
      <c r="D132" s="14" t="inlineStr">
        <is>
          <t>Stainless stee</t>
        </is>
      </c>
      <c r="E132" s="13" t="n"/>
      <c r="F132" s="13" t="n"/>
      <c r="G132" s="13" t="n"/>
      <c r="H132" s="13" t="n"/>
      <c r="I132" s="15" t="n">
        <v>1.8</v>
      </c>
      <c r="J132" s="13" t="n"/>
      <c r="K132" s="13" t="n"/>
      <c r="L132" s="13" t="n"/>
      <c r="M132" s="13" t="n"/>
      <c r="N132" s="15" t="n">
        <v>1.8</v>
      </c>
      <c r="O132" s="13" t="n"/>
      <c r="P132" s="13" t="n"/>
      <c r="Q132" s="13" t="n"/>
      <c r="R132" s="16">
        <f>IF(COUNT(E132:Q132)=0,"",MIN(E132:Q132))</f>
        <v/>
      </c>
      <c r="S132" s="15">
        <f>IF(COUNT(E132:Q132)=0,"",LOOKUP(2,1/(E132:Q132&lt;&gt;""),E132:Q132))</f>
        <v/>
      </c>
      <c r="T132" s="17">
        <f>IF(R132="","",ROUND(R132*RESUMEN!$B$4,0))</f>
        <v/>
      </c>
      <c r="U132" s="18">
        <f>COUNT(E132:Q132)</f>
        <v/>
      </c>
    </row>
    <row r="133">
      <c r="A133" s="13" t="inlineStr">
        <is>
          <t>63e0b7307c4b5</t>
        </is>
      </c>
      <c r="B133" s="13" t="inlineStr">
        <is>
          <t>ANILLO COCO ROSE GOLD</t>
        </is>
      </c>
      <c r="C133" s="13" t="inlineStr">
        <is>
          <t>7</t>
        </is>
      </c>
      <c r="D133" s="14" t="inlineStr">
        <is>
          <t>Stainless stee</t>
        </is>
      </c>
      <c r="E133" s="13" t="n"/>
      <c r="F133" s="13" t="n"/>
      <c r="G133" s="13" t="n"/>
      <c r="H133" s="13" t="n"/>
      <c r="I133" s="13" t="n"/>
      <c r="J133" s="13" t="n"/>
      <c r="K133" s="13" t="n"/>
      <c r="L133" s="15" t="n">
        <v>1.8</v>
      </c>
      <c r="M133" s="13" t="n"/>
      <c r="N133" s="15" t="n">
        <v>1.8</v>
      </c>
      <c r="O133" s="13" t="n"/>
      <c r="P133" s="13" t="n"/>
      <c r="Q133" s="15" t="n">
        <v>1.8</v>
      </c>
      <c r="R133" s="16">
        <f>IF(COUNT(E133:Q133)=0,"",MIN(E133:Q133))</f>
        <v/>
      </c>
      <c r="S133" s="15">
        <f>IF(COUNT(E133:Q133)=0,"",LOOKUP(2,1/(E133:Q133&lt;&gt;""),E133:Q133))</f>
        <v/>
      </c>
      <c r="T133" s="17">
        <f>IF(R133="","",ROUND(R133*RESUMEN!$B$4,0))</f>
        <v/>
      </c>
      <c r="U133" s="18">
        <f>COUNT(E133:Q133)</f>
        <v/>
      </c>
    </row>
    <row r="134">
      <c r="A134" s="13" t="inlineStr">
        <is>
          <t>63e0b7315fccc</t>
        </is>
      </c>
      <c r="B134" s="13" t="inlineStr">
        <is>
          <t>ANILLO COCO ROSE GOLD</t>
        </is>
      </c>
      <c r="C134" s="13" t="inlineStr">
        <is>
          <t>8</t>
        </is>
      </c>
      <c r="D134" s="14" t="inlineStr">
        <is>
          <t>Stainless stee</t>
        </is>
      </c>
      <c r="E134" s="13" t="n"/>
      <c r="F134" s="13" t="n"/>
      <c r="G134" s="13" t="n"/>
      <c r="H134" s="13" t="n"/>
      <c r="I134" s="15" t="n">
        <v>1.8</v>
      </c>
      <c r="J134" s="13" t="n"/>
      <c r="K134" s="13" t="n"/>
      <c r="L134" s="13" t="n"/>
      <c r="M134" s="13" t="n"/>
      <c r="N134" s="15" t="n">
        <v>1.8</v>
      </c>
      <c r="O134" s="13" t="n"/>
      <c r="P134" s="13" t="n"/>
      <c r="Q134" s="13" t="n"/>
      <c r="R134" s="16">
        <f>IF(COUNT(E134:Q134)=0,"",MIN(E134:Q134))</f>
        <v/>
      </c>
      <c r="S134" s="15">
        <f>IF(COUNT(E134:Q134)=0,"",LOOKUP(2,1/(E134:Q134&lt;&gt;""),E134:Q134))</f>
        <v/>
      </c>
      <c r="T134" s="17">
        <f>IF(R134="","",ROUND(R134*RESUMEN!$B$4,0))</f>
        <v/>
      </c>
      <c r="U134" s="18">
        <f>COUNT(E134:Q134)</f>
        <v/>
      </c>
    </row>
    <row r="135">
      <c r="A135" s="13" t="inlineStr">
        <is>
          <t>63e0b72f8b602</t>
        </is>
      </c>
      <c r="B135" s="13" t="inlineStr">
        <is>
          <t>ANILLO COCO SILVER</t>
        </is>
      </c>
      <c r="C135" s="13" t="inlineStr">
        <is>
          <t>5</t>
        </is>
      </c>
      <c r="D135" s="14" t="inlineStr">
        <is>
          <t>Stainless Stee</t>
        </is>
      </c>
      <c r="E135" s="13" t="n"/>
      <c r="F135" s="13" t="n"/>
      <c r="G135" s="13" t="n"/>
      <c r="H135" s="13" t="n"/>
      <c r="I135" s="15" t="n">
        <v>1.8</v>
      </c>
      <c r="J135" s="13" t="n"/>
      <c r="K135" s="13" t="n"/>
      <c r="L135" s="13" t="n"/>
      <c r="M135" s="13" t="n"/>
      <c r="N135" s="13" t="n"/>
      <c r="O135" s="13" t="n"/>
      <c r="P135" s="15" t="n">
        <v>1.8</v>
      </c>
      <c r="Q135" s="15" t="n">
        <v>1.8</v>
      </c>
      <c r="R135" s="16">
        <f>IF(COUNT(E135:Q135)=0,"",MIN(E135:Q135))</f>
        <v/>
      </c>
      <c r="S135" s="15">
        <f>IF(COUNT(E135:Q135)=0,"",LOOKUP(2,1/(E135:Q135&lt;&gt;""),E135:Q135))</f>
        <v/>
      </c>
      <c r="T135" s="17">
        <f>IF(R135="","",ROUND(R135*RESUMEN!$B$4,0))</f>
        <v/>
      </c>
      <c r="U135" s="18">
        <f>COUNT(E135:Q135)</f>
        <v/>
      </c>
    </row>
    <row r="136">
      <c r="A136" s="13" t="inlineStr">
        <is>
          <t>63e0b73078446</t>
        </is>
      </c>
      <c r="B136" s="13" t="inlineStr">
        <is>
          <t>ANILLO COCO SILVER</t>
        </is>
      </c>
      <c r="C136" s="13" t="inlineStr">
        <is>
          <t>6</t>
        </is>
      </c>
      <c r="D136" s="14" t="inlineStr">
        <is>
          <t>Stainless Stee</t>
        </is>
      </c>
      <c r="E136" s="15" t="n">
        <v>1.8</v>
      </c>
      <c r="F136" s="13" t="n"/>
      <c r="G136" s="13" t="n"/>
      <c r="H136" s="15" t="n">
        <v>1.8</v>
      </c>
      <c r="I136" s="13" t="n"/>
      <c r="J136" s="13" t="n"/>
      <c r="K136" s="13" t="n"/>
      <c r="L136" s="13" t="n"/>
      <c r="M136" s="13" t="n"/>
      <c r="N136" s="15" t="n">
        <v>1.8</v>
      </c>
      <c r="O136" s="13" t="n"/>
      <c r="P136" s="13" t="n"/>
      <c r="Q136" s="15" t="n">
        <v>1.8</v>
      </c>
      <c r="R136" s="16">
        <f>IF(COUNT(E136:Q136)=0,"",MIN(E136:Q136))</f>
        <v/>
      </c>
      <c r="S136" s="15">
        <f>IF(COUNT(E136:Q136)=0,"",LOOKUP(2,1/(E136:Q136&lt;&gt;""),E136:Q136))</f>
        <v/>
      </c>
      <c r="T136" s="17">
        <f>IF(R136="","",ROUND(R136*RESUMEN!$B$4,0))</f>
        <v/>
      </c>
      <c r="U136" s="18">
        <f>COUNT(E136:Q136)</f>
        <v/>
      </c>
    </row>
    <row r="137">
      <c r="A137" s="13" t="inlineStr">
        <is>
          <t>63e0b731a865e</t>
        </is>
      </c>
      <c r="B137" s="13" t="inlineStr">
        <is>
          <t>ANILLO COCO SILVER</t>
        </is>
      </c>
      <c r="C137" s="13" t="inlineStr">
        <is>
          <t>7</t>
        </is>
      </c>
      <c r="D137" s="14" t="inlineStr">
        <is>
          <t>Stainless Stee</t>
        </is>
      </c>
      <c r="E137" s="15" t="n">
        <v>1.8</v>
      </c>
      <c r="F137" s="15" t="n">
        <v>1.8</v>
      </c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5" t="n">
        <v>1.8</v>
      </c>
      <c r="P137" s="13" t="n"/>
      <c r="Q137" s="13" t="n"/>
      <c r="R137" s="16">
        <f>IF(COUNT(E137:Q137)=0,"",MIN(E137:Q137))</f>
        <v/>
      </c>
      <c r="S137" s="15">
        <f>IF(COUNT(E137:Q137)=0,"",LOOKUP(2,1/(E137:Q137&lt;&gt;""),E137:Q137))</f>
        <v/>
      </c>
      <c r="T137" s="17">
        <f>IF(R137="","",ROUND(R137*RESUMEN!$B$4,0))</f>
        <v/>
      </c>
      <c r="U137" s="18">
        <f>COUNT(E137:Q137)</f>
        <v/>
      </c>
    </row>
    <row r="138">
      <c r="A138" s="13" t="inlineStr">
        <is>
          <t>63e0b7329703a</t>
        </is>
      </c>
      <c r="B138" s="13" t="inlineStr">
        <is>
          <t>ANILLO COCO SILVER</t>
        </is>
      </c>
      <c r="C138" s="13" t="inlineStr">
        <is>
          <t>8</t>
        </is>
      </c>
      <c r="D138" s="14" t="inlineStr">
        <is>
          <t>Stainless Stee</t>
        </is>
      </c>
      <c r="E138" s="15" t="n">
        <v>1.8</v>
      </c>
      <c r="F138" s="13" t="n"/>
      <c r="G138" s="13" t="n"/>
      <c r="H138" s="15" t="n">
        <v>1.8</v>
      </c>
      <c r="I138" s="13" t="n"/>
      <c r="J138" s="13" t="n"/>
      <c r="K138" s="13" t="n"/>
      <c r="L138" s="13" t="n"/>
      <c r="M138" s="15" t="n">
        <v>1.8</v>
      </c>
      <c r="N138" s="13" t="n"/>
      <c r="O138" s="13" t="n"/>
      <c r="P138" s="13" t="n"/>
      <c r="Q138" s="15" t="n">
        <v>1.8</v>
      </c>
      <c r="R138" s="16">
        <f>IF(COUNT(E138:Q138)=0,"",MIN(E138:Q138))</f>
        <v/>
      </c>
      <c r="S138" s="15">
        <f>IF(COUNT(E138:Q138)=0,"",LOOKUP(2,1/(E138:Q138&lt;&gt;""),E138:Q138))</f>
        <v/>
      </c>
      <c r="T138" s="17">
        <f>IF(R138="","",ROUND(R138*RESUMEN!$B$4,0))</f>
        <v/>
      </c>
      <c r="U138" s="18">
        <f>COUNT(E138:Q138)</f>
        <v/>
      </c>
    </row>
    <row r="139">
      <c r="A139" s="13" t="inlineStr">
        <is>
          <t>63e0b7337fc65</t>
        </is>
      </c>
      <c r="B139" s="13" t="inlineStr">
        <is>
          <t>ANILLO COCO SILVER</t>
        </is>
      </c>
      <c r="C139" s="13" t="inlineStr">
        <is>
          <t>9</t>
        </is>
      </c>
      <c r="D139" s="14" t="inlineStr">
        <is>
          <t>nan</t>
        </is>
      </c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5" t="n">
        <v>1.8</v>
      </c>
      <c r="N139" s="13" t="n"/>
      <c r="O139" s="13" t="n"/>
      <c r="P139" s="13" t="n"/>
      <c r="Q139" s="13" t="n"/>
      <c r="R139" s="16">
        <f>IF(COUNT(E139:Q139)=0,"",MIN(E139:Q139))</f>
        <v/>
      </c>
      <c r="S139" s="15">
        <f>IF(COUNT(E139:Q139)=0,"",LOOKUP(2,1/(E139:Q139&lt;&gt;""),E139:Q139))</f>
        <v/>
      </c>
      <c r="T139" s="17">
        <f>IF(R139="","",ROUND(R139*RESUMEN!$B$4,0))</f>
        <v/>
      </c>
      <c r="U139" s="18">
        <f>COUNT(E139:Q139)</f>
        <v/>
      </c>
    </row>
    <row r="140">
      <c r="A140" s="13" t="inlineStr">
        <is>
          <t>56481450498956</t>
        </is>
      </c>
      <c r="B140" s="13" t="inlineStr">
        <is>
          <t>ANILLO CORAZÓN GRABADO</t>
        </is>
      </c>
      <c r="C140" s="13" t="inlineStr">
        <is>
          <t>6</t>
        </is>
      </c>
      <c r="D140" s="14" t="inlineStr">
        <is>
          <t>Copper alloy</t>
        </is>
      </c>
      <c r="E140" s="15" t="n">
        <v>5</v>
      </c>
      <c r="F140" s="13" t="n"/>
      <c r="G140" s="13" t="n"/>
      <c r="H140" s="15" t="n">
        <v>5</v>
      </c>
      <c r="I140" s="15" t="n">
        <v>5</v>
      </c>
      <c r="J140" s="15" t="n">
        <v>5</v>
      </c>
      <c r="K140" s="13" t="n"/>
      <c r="L140" s="15" t="n">
        <v>5</v>
      </c>
      <c r="M140" s="13" t="n"/>
      <c r="N140" s="13" t="n"/>
      <c r="O140" s="13" t="n"/>
      <c r="P140" s="13" t="n"/>
      <c r="Q140" s="13" t="n"/>
      <c r="R140" s="16">
        <f>IF(COUNT(E140:Q140)=0,"",MIN(E140:Q140))</f>
        <v/>
      </c>
      <c r="S140" s="15">
        <f>IF(COUNT(E140:Q140)=0,"",LOOKUP(2,1/(E140:Q140&lt;&gt;""),E140:Q140))</f>
        <v/>
      </c>
      <c r="T140" s="17">
        <f>IF(R140="","",ROUND(R140*RESUMEN!$B$4,0))</f>
        <v/>
      </c>
      <c r="U140" s="18">
        <f>COUNT(E140:Q140)</f>
        <v/>
      </c>
    </row>
    <row r="141">
      <c r="A141" s="13" t="inlineStr">
        <is>
          <t>56481450531724</t>
        </is>
      </c>
      <c r="B141" s="13" t="inlineStr">
        <is>
          <t>ANILLO CORAZÓN GRABADO</t>
        </is>
      </c>
      <c r="C141" s="13" t="inlineStr">
        <is>
          <t>7</t>
        </is>
      </c>
      <c r="D141" s="14" t="inlineStr">
        <is>
          <t>Stainless stee</t>
        </is>
      </c>
      <c r="E141" s="13" t="n"/>
      <c r="F141" s="15" t="n">
        <v>5</v>
      </c>
      <c r="G141" s="13" t="n"/>
      <c r="H141" s="13" t="n"/>
      <c r="I141" s="15" t="n">
        <v>5</v>
      </c>
      <c r="J141" s="13" t="n"/>
      <c r="K141" s="13" t="n"/>
      <c r="L141" s="15" t="n">
        <v>5</v>
      </c>
      <c r="M141" s="13" t="n"/>
      <c r="N141" s="15" t="n">
        <v>5</v>
      </c>
      <c r="O141" s="13" t="n"/>
      <c r="P141" s="13" t="n"/>
      <c r="Q141" s="13" t="n"/>
      <c r="R141" s="16">
        <f>IF(COUNT(E141:Q141)=0,"",MIN(E141:Q141))</f>
        <v/>
      </c>
      <c r="S141" s="15">
        <f>IF(COUNT(E141:Q141)=0,"",LOOKUP(2,1/(E141:Q141&lt;&gt;""),E141:Q141))</f>
        <v/>
      </c>
      <c r="T141" s="17">
        <f>IF(R141="","",ROUND(R141*RESUMEN!$B$4,0))</f>
        <v/>
      </c>
      <c r="U141" s="18">
        <f>COUNT(E141:Q141)</f>
        <v/>
      </c>
    </row>
    <row r="142">
      <c r="A142" s="13" t="inlineStr">
        <is>
          <t>56481450564492</t>
        </is>
      </c>
      <c r="B142" s="13" t="inlineStr">
        <is>
          <t>ANILLO CORAZÓN GRABADO</t>
        </is>
      </c>
      <c r="C142" s="13" t="inlineStr">
        <is>
          <t>8</t>
        </is>
      </c>
      <c r="D142" s="14" t="inlineStr">
        <is>
          <t>Stainless Stee</t>
        </is>
      </c>
      <c r="E142" s="13" t="n"/>
      <c r="F142" s="15" t="n">
        <v>5</v>
      </c>
      <c r="G142" s="13" t="n"/>
      <c r="H142" s="15" t="n">
        <v>5</v>
      </c>
      <c r="I142" s="15" t="n">
        <v>5</v>
      </c>
      <c r="J142" s="15" t="n">
        <v>5</v>
      </c>
      <c r="K142" s="13" t="n"/>
      <c r="L142" s="13" t="n"/>
      <c r="M142" s="13" t="n"/>
      <c r="N142" s="13" t="n"/>
      <c r="O142" s="13" t="n"/>
      <c r="P142" s="13" t="n"/>
      <c r="Q142" s="15" t="n">
        <v>5</v>
      </c>
      <c r="R142" s="16">
        <f>IF(COUNT(E142:Q142)=0,"",MIN(E142:Q142))</f>
        <v/>
      </c>
      <c r="S142" s="15">
        <f>IF(COUNT(E142:Q142)=0,"",LOOKUP(2,1/(E142:Q142&lt;&gt;""),E142:Q142))</f>
        <v/>
      </c>
      <c r="T142" s="17">
        <f>IF(R142="","",ROUND(R142*RESUMEN!$B$4,0))</f>
        <v/>
      </c>
      <c r="U142" s="18">
        <f>COUNT(E142:Q142)</f>
        <v/>
      </c>
    </row>
    <row r="143">
      <c r="A143" s="13" t="inlineStr">
        <is>
          <t>24703361096333</t>
        </is>
      </c>
      <c r="B143" s="13" t="inlineStr">
        <is>
          <t>ANILLO DELGADO T TRUE GOLD</t>
        </is>
      </c>
      <c r="C143" s="13" t="inlineStr">
        <is>
          <t>7</t>
        </is>
      </c>
      <c r="D143" s="14" t="inlineStr">
        <is>
          <t>Copper alloy</t>
        </is>
      </c>
      <c r="E143" s="13" t="n"/>
      <c r="F143" s="13" t="n"/>
      <c r="G143" s="15" t="n">
        <v>6.5</v>
      </c>
      <c r="H143" s="13" t="n"/>
      <c r="I143" s="13" t="n"/>
      <c r="J143" s="13" t="n"/>
      <c r="K143" s="13" t="n"/>
      <c r="L143" s="13" t="n"/>
      <c r="M143" s="13" t="n"/>
      <c r="N143" s="15" t="n">
        <v>2</v>
      </c>
      <c r="O143" s="13" t="n"/>
      <c r="P143" s="13" t="n"/>
      <c r="Q143" s="13" t="n"/>
      <c r="R143" s="16">
        <f>IF(COUNT(E143:Q143)=0,"",MIN(E143:Q143))</f>
        <v/>
      </c>
      <c r="S143" s="15">
        <f>IF(COUNT(E143:Q143)=0,"",LOOKUP(2,1/(E143:Q143&lt;&gt;""),E143:Q143))</f>
        <v/>
      </c>
      <c r="T143" s="17">
        <f>IF(R143="","",ROUND(R143*RESUMEN!$B$4,0))</f>
        <v/>
      </c>
      <c r="U143" s="18">
        <f>COUNT(E143:Q143)</f>
        <v/>
      </c>
    </row>
    <row r="144">
      <c r="A144" s="13" t="inlineStr">
        <is>
          <t>24703361129101</t>
        </is>
      </c>
      <c r="B144" s="13" t="inlineStr">
        <is>
          <t>ANILLO DELGADO T TRUE GOLD</t>
        </is>
      </c>
      <c r="C144" s="13" t="inlineStr">
        <is>
          <t>8</t>
        </is>
      </c>
      <c r="D144" s="14" t="inlineStr"/>
      <c r="E144" s="13" t="n"/>
      <c r="F144" s="13" t="n"/>
      <c r="G144" s="15" t="n">
        <v>6.5</v>
      </c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6">
        <f>IF(COUNT(E144:Q144)=0,"",MIN(E144:Q144))</f>
        <v/>
      </c>
      <c r="S144" s="15">
        <f>IF(COUNT(E144:Q144)=0,"",LOOKUP(2,1/(E144:Q144&lt;&gt;""),E144:Q144))</f>
        <v/>
      </c>
      <c r="T144" s="17">
        <f>IF(R144="","",ROUND(R144*RESUMEN!$B$4,0))</f>
        <v/>
      </c>
      <c r="U144" s="18">
        <f>COUNT(E144:Q144)</f>
        <v/>
      </c>
    </row>
    <row r="145">
      <c r="A145" s="13" t="inlineStr">
        <is>
          <t>22064323225165</t>
        </is>
      </c>
      <c r="B145" s="13" t="inlineStr">
        <is>
          <t>ANILLO DIVAS DREAM ROSE GOLD</t>
        </is>
      </c>
      <c r="C145" s="13" t="inlineStr">
        <is>
          <t>6</t>
        </is>
      </c>
      <c r="D145" s="14" t="inlineStr"/>
      <c r="E145" s="13" t="n"/>
      <c r="F145" s="13" t="n"/>
      <c r="G145" s="13" t="n"/>
      <c r="H145" s="13" t="n"/>
      <c r="I145" s="13" t="n"/>
      <c r="J145" s="13" t="n"/>
      <c r="K145" s="15" t="n">
        <v>6</v>
      </c>
      <c r="L145" s="13" t="n"/>
      <c r="M145" s="13" t="n"/>
      <c r="N145" s="13" t="n"/>
      <c r="O145" s="13" t="n"/>
      <c r="P145" s="13" t="n"/>
      <c r="Q145" s="13" t="n"/>
      <c r="R145" s="16">
        <f>IF(COUNT(E145:Q145)=0,"",MIN(E145:Q145))</f>
        <v/>
      </c>
      <c r="S145" s="15">
        <f>IF(COUNT(E145:Q145)=0,"",LOOKUP(2,1/(E145:Q145&lt;&gt;""),E145:Q145))</f>
        <v/>
      </c>
      <c r="T145" s="17">
        <f>IF(R145="","",ROUND(R145*RESUMEN!$B$4,0))</f>
        <v/>
      </c>
      <c r="U145" s="18">
        <f>COUNT(E145:Q145)</f>
        <v/>
      </c>
    </row>
    <row r="146">
      <c r="A146" s="13" t="inlineStr">
        <is>
          <t>22064323357933</t>
        </is>
      </c>
      <c r="B146" s="13" t="inlineStr">
        <is>
          <t>ANILLO DIVAS DREAM ROSE GOLD</t>
        </is>
      </c>
      <c r="C146" s="13" t="inlineStr">
        <is>
          <t>7</t>
        </is>
      </c>
      <c r="D146" s="14" t="inlineStr"/>
      <c r="E146" s="13" t="n"/>
      <c r="F146" s="13" t="n"/>
      <c r="G146" s="13" t="n"/>
      <c r="H146" s="13" t="n"/>
      <c r="I146" s="13" t="n"/>
      <c r="J146" s="13" t="n"/>
      <c r="K146" s="15" t="n">
        <v>6</v>
      </c>
      <c r="L146" s="13" t="n"/>
      <c r="M146" s="13" t="n"/>
      <c r="N146" s="13" t="n"/>
      <c r="O146" s="13" t="n"/>
      <c r="P146" s="13" t="n"/>
      <c r="Q146" s="13" t="n"/>
      <c r="R146" s="16">
        <f>IF(COUNT(E146:Q146)=0,"",MIN(E146:Q146))</f>
        <v/>
      </c>
      <c r="S146" s="15">
        <f>IF(COUNT(E146:Q146)=0,"",LOOKUP(2,1/(E146:Q146&lt;&gt;""),E146:Q146))</f>
        <v/>
      </c>
      <c r="T146" s="17">
        <f>IF(R146="","",ROUND(R146*RESUMEN!$B$4,0))</f>
        <v/>
      </c>
      <c r="U146" s="18">
        <f>COUNT(E146:Q146)</f>
        <v/>
      </c>
    </row>
    <row r="147">
      <c r="A147" s="13" t="inlineStr">
        <is>
          <t>22064321629645</t>
        </is>
      </c>
      <c r="B147" s="13" t="inlineStr">
        <is>
          <t>ANILLO DOBLE PANTHERE GOLD</t>
        </is>
      </c>
      <c r="C147" s="13" t="inlineStr">
        <is>
          <t>6</t>
        </is>
      </c>
      <c r="D147" s="14" t="inlineStr">
        <is>
          <t>copper alloy</t>
        </is>
      </c>
      <c r="E147" s="13" t="n"/>
      <c r="F147" s="13" t="n"/>
      <c r="G147" s="13" t="n"/>
      <c r="H147" s="13" t="n"/>
      <c r="I147" s="13" t="n"/>
      <c r="J147" s="13" t="n"/>
      <c r="K147" s="15" t="n">
        <v>9</v>
      </c>
      <c r="L147" s="13" t="n"/>
      <c r="M147" s="13" t="n"/>
      <c r="N147" s="13" t="n"/>
      <c r="O147" s="13" t="n"/>
      <c r="P147" s="13" t="n"/>
      <c r="Q147" s="15" t="n">
        <v>9</v>
      </c>
      <c r="R147" s="16">
        <f>IF(COUNT(E147:Q147)=0,"",MIN(E147:Q147))</f>
        <v/>
      </c>
      <c r="S147" s="15">
        <f>IF(COUNT(E147:Q147)=0,"",LOOKUP(2,1/(E147:Q147&lt;&gt;""),E147:Q147))</f>
        <v/>
      </c>
      <c r="T147" s="17">
        <f>IF(R147="","",ROUND(R147*RESUMEN!$B$4,0))</f>
        <v/>
      </c>
      <c r="U147" s="18">
        <f>COUNT(E147:Q147)</f>
        <v/>
      </c>
    </row>
    <row r="148">
      <c r="A148" s="13" t="inlineStr">
        <is>
          <t>22064321762413</t>
        </is>
      </c>
      <c r="B148" s="13" t="inlineStr">
        <is>
          <t>ANILLO DOBLE PANTHERE GOLD</t>
        </is>
      </c>
      <c r="C148" s="13" t="inlineStr">
        <is>
          <t>7</t>
        </is>
      </c>
      <c r="D148" s="14" t="inlineStr">
        <is>
          <t>copper alloy</t>
        </is>
      </c>
      <c r="E148" s="13" t="n"/>
      <c r="F148" s="13" t="n"/>
      <c r="G148" s="13" t="n"/>
      <c r="H148" s="13" t="n"/>
      <c r="I148" s="13" t="n"/>
      <c r="J148" s="13" t="n"/>
      <c r="K148" s="15" t="n">
        <v>9</v>
      </c>
      <c r="L148" s="13" t="n"/>
      <c r="M148" s="13" t="n"/>
      <c r="N148" s="13" t="n"/>
      <c r="O148" s="13" t="n"/>
      <c r="P148" s="13" t="n"/>
      <c r="Q148" s="15" t="n">
        <v>9</v>
      </c>
      <c r="R148" s="16">
        <f>IF(COUNT(E148:Q148)=0,"",MIN(E148:Q148))</f>
        <v/>
      </c>
      <c r="S148" s="15">
        <f>IF(COUNT(E148:Q148)=0,"",LOOKUP(2,1/(E148:Q148&lt;&gt;""),E148:Q148))</f>
        <v/>
      </c>
      <c r="T148" s="17">
        <f>IF(R148="","",ROUND(R148*RESUMEN!$B$4,0))</f>
        <v/>
      </c>
      <c r="U148" s="18">
        <f>COUNT(E148:Q148)</f>
        <v/>
      </c>
    </row>
    <row r="149">
      <c r="A149" s="13" t="inlineStr">
        <is>
          <t>17360611039917</t>
        </is>
      </c>
      <c r="B149" s="13" t="inlineStr">
        <is>
          <t>ANILLO DOBLE T CON ZIRCONIAS SILVER</t>
        </is>
      </c>
      <c r="C149" s="13" t="inlineStr">
        <is>
          <t>7</t>
        </is>
      </c>
      <c r="D149" s="14" t="inlineStr"/>
      <c r="E149" s="13" t="n"/>
      <c r="F149" s="13" t="n"/>
      <c r="G149" s="13" t="n"/>
      <c r="H149" s="15" t="n">
        <v>7</v>
      </c>
      <c r="I149" s="15" t="n">
        <v>7</v>
      </c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6">
        <f>IF(COUNT(E149:Q149)=0,"",MIN(E149:Q149))</f>
        <v/>
      </c>
      <c r="S149" s="15">
        <f>IF(COUNT(E149:Q149)=0,"",LOOKUP(2,1/(E149:Q149&lt;&gt;""),E149:Q149))</f>
        <v/>
      </c>
      <c r="T149" s="17">
        <f>IF(R149="","",ROUND(R149*RESUMEN!$B$4,0))</f>
        <v/>
      </c>
      <c r="U149" s="18">
        <f>COUNT(E149:Q149)</f>
        <v/>
      </c>
    </row>
    <row r="150">
      <c r="A150" s="13" t="inlineStr">
        <is>
          <t>17360611172685</t>
        </is>
      </c>
      <c r="B150" s="13" t="inlineStr">
        <is>
          <t>ANILLO DOBLE T CON ZIRCONIAS SILVER</t>
        </is>
      </c>
      <c r="C150" s="13" t="inlineStr">
        <is>
          <t>8</t>
        </is>
      </c>
      <c r="D150" s="14" t="inlineStr">
        <is>
          <t>Copper alloy</t>
        </is>
      </c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5" t="n">
        <v>6</v>
      </c>
      <c r="Q150" s="13" t="n"/>
      <c r="R150" s="16">
        <f>IF(COUNT(E150:Q150)=0,"",MIN(E150:Q150))</f>
        <v/>
      </c>
      <c r="S150" s="15">
        <f>IF(COUNT(E150:Q150)=0,"",LOOKUP(2,1/(E150:Q150&lt;&gt;""),E150:Q150))</f>
        <v/>
      </c>
      <c r="T150" s="17">
        <f>IF(R150="","",ROUND(R150*RESUMEN!$B$4,0))</f>
        <v/>
      </c>
      <c r="U150" s="18">
        <f>COUNT(E150:Q150)</f>
        <v/>
      </c>
    </row>
    <row r="151">
      <c r="A151" s="13" t="inlineStr">
        <is>
          <t>15711171018701</t>
        </is>
      </c>
      <c r="B151" s="13" t="inlineStr">
        <is>
          <t>ANILLO DOBLE T GOLD</t>
        </is>
      </c>
      <c r="C151" s="13" t="inlineStr">
        <is>
          <t>6</t>
        </is>
      </c>
      <c r="D151" s="14" t="inlineStr"/>
      <c r="E151" s="13" t="n"/>
      <c r="F151" s="13" t="n"/>
      <c r="G151" s="13" t="n"/>
      <c r="H151" s="15" t="n">
        <v>5</v>
      </c>
      <c r="I151" s="15" t="n">
        <v>5</v>
      </c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6">
        <f>IF(COUNT(E151:Q151)=0,"",MIN(E151:Q151))</f>
        <v/>
      </c>
      <c r="S151" s="15">
        <f>IF(COUNT(E151:Q151)=0,"",LOOKUP(2,1/(E151:Q151&lt;&gt;""),E151:Q151))</f>
        <v/>
      </c>
      <c r="T151" s="17">
        <f>IF(R151="","",ROUND(R151*RESUMEN!$B$4,0))</f>
        <v/>
      </c>
      <c r="U151" s="18">
        <f>COUNT(E151:Q151)</f>
        <v/>
      </c>
    </row>
    <row r="152">
      <c r="A152" s="13" t="inlineStr">
        <is>
          <t>15711171151469</t>
        </is>
      </c>
      <c r="B152" s="13" t="inlineStr">
        <is>
          <t>ANILLO DOBLE T GOLD</t>
        </is>
      </c>
      <c r="C152" s="13" t="inlineStr">
        <is>
          <t>7</t>
        </is>
      </c>
      <c r="D152" s="14" t="inlineStr">
        <is>
          <t>Copper alloy</t>
        </is>
      </c>
      <c r="E152" s="13" t="n"/>
      <c r="F152" s="13" t="n"/>
      <c r="G152" s="13" t="n"/>
      <c r="H152" s="13" t="n"/>
      <c r="I152" s="13" t="n"/>
      <c r="J152" s="15" t="n">
        <v>5</v>
      </c>
      <c r="K152" s="13" t="n"/>
      <c r="L152" s="15" t="n">
        <v>5</v>
      </c>
      <c r="M152" s="13" t="n"/>
      <c r="N152" s="13" t="n"/>
      <c r="O152" s="13" t="n"/>
      <c r="P152" s="13" t="n"/>
      <c r="Q152" s="13" t="n"/>
      <c r="R152" s="16">
        <f>IF(COUNT(E152:Q152)=0,"",MIN(E152:Q152))</f>
        <v/>
      </c>
      <c r="S152" s="15">
        <f>IF(COUNT(E152:Q152)=0,"",LOOKUP(2,1/(E152:Q152&lt;&gt;""),E152:Q152))</f>
        <v/>
      </c>
      <c r="T152" s="17">
        <f>IF(R152="","",ROUND(R152*RESUMEN!$B$4,0))</f>
        <v/>
      </c>
      <c r="U152" s="18">
        <f>COUNT(E152:Q152)</f>
        <v/>
      </c>
    </row>
    <row r="153">
      <c r="A153" s="13" t="inlineStr">
        <is>
          <t>15711171284237</t>
        </is>
      </c>
      <c r="B153" s="13" t="inlineStr">
        <is>
          <t>ANILLO DOBLE T GOLD</t>
        </is>
      </c>
      <c r="C153" s="13" t="inlineStr">
        <is>
          <t>8</t>
        </is>
      </c>
      <c r="D153" s="14" t="inlineStr">
        <is>
          <t>copper alloy</t>
        </is>
      </c>
      <c r="E153" s="13" t="n"/>
      <c r="F153" s="13" t="n"/>
      <c r="G153" s="13" t="n"/>
      <c r="H153" s="15" t="n">
        <v>5</v>
      </c>
      <c r="I153" s="15" t="n">
        <v>5</v>
      </c>
      <c r="J153" s="13" t="n"/>
      <c r="K153" s="13" t="n"/>
      <c r="L153" s="15" t="n">
        <v>5</v>
      </c>
      <c r="M153" s="15" t="n">
        <v>5</v>
      </c>
      <c r="N153" s="13" t="n"/>
      <c r="O153" s="15" t="n">
        <v>5</v>
      </c>
      <c r="P153" s="13" t="n"/>
      <c r="Q153" s="13" t="n"/>
      <c r="R153" s="16">
        <f>IF(COUNT(E153:Q153)=0,"",MIN(E153:Q153))</f>
        <v/>
      </c>
      <c r="S153" s="15">
        <f>IF(COUNT(E153:Q153)=0,"",LOOKUP(2,1/(E153:Q153&lt;&gt;""),E153:Q153))</f>
        <v/>
      </c>
      <c r="T153" s="17">
        <f>IF(R153="","",ROUND(R153*RESUMEN!$B$4,0))</f>
        <v/>
      </c>
      <c r="U153" s="18">
        <f>COUNT(E153:Q153)</f>
        <v/>
      </c>
    </row>
    <row r="154">
      <c r="A154" s="13" t="inlineStr">
        <is>
          <t>15711171361197</t>
        </is>
      </c>
      <c r="B154" s="13" t="inlineStr">
        <is>
          <t>ANILLO DOBLE T ROSE GOLD</t>
        </is>
      </c>
      <c r="C154" s="13" t="inlineStr">
        <is>
          <t>6</t>
        </is>
      </c>
      <c r="D154" s="14" t="inlineStr">
        <is>
          <t>nan</t>
        </is>
      </c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5" t="n">
        <v>5</v>
      </c>
      <c r="N154" s="13" t="n"/>
      <c r="O154" s="13" t="n"/>
      <c r="P154" s="13" t="n"/>
      <c r="Q154" s="13" t="n"/>
      <c r="R154" s="16">
        <f>IF(COUNT(E154:Q154)=0,"",MIN(E154:Q154))</f>
        <v/>
      </c>
      <c r="S154" s="15">
        <f>IF(COUNT(E154:Q154)=0,"",LOOKUP(2,1/(E154:Q154&lt;&gt;""),E154:Q154))</f>
        <v/>
      </c>
      <c r="T154" s="17">
        <f>IF(R154="","",ROUND(R154*RESUMEN!$B$4,0))</f>
        <v/>
      </c>
      <c r="U154" s="18">
        <f>COUNT(E154:Q154)</f>
        <v/>
      </c>
    </row>
    <row r="155">
      <c r="A155" s="13" t="inlineStr">
        <is>
          <t>15711171493965</t>
        </is>
      </c>
      <c r="B155" s="13" t="inlineStr">
        <is>
          <t>ANILLO DOBLE T ROSE GOLD</t>
        </is>
      </c>
      <c r="C155" s="13" t="inlineStr">
        <is>
          <t>7</t>
        </is>
      </c>
      <c r="D155" s="14" t="inlineStr"/>
      <c r="E155" s="13" t="n"/>
      <c r="F155" s="13" t="n"/>
      <c r="G155" s="13" t="n"/>
      <c r="H155" s="13" t="n"/>
      <c r="I155" s="15" t="n">
        <v>5</v>
      </c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6">
        <f>IF(COUNT(E155:Q155)=0,"",MIN(E155:Q155))</f>
        <v/>
      </c>
      <c r="S155" s="15">
        <f>IF(COUNT(E155:Q155)=0,"",LOOKUP(2,1/(E155:Q155&lt;&gt;""),E155:Q155))</f>
        <v/>
      </c>
      <c r="T155" s="17">
        <f>IF(R155="","",ROUND(R155*RESUMEN!$B$4,0))</f>
        <v/>
      </c>
      <c r="U155" s="18">
        <f>COUNT(E155:Q155)</f>
        <v/>
      </c>
    </row>
    <row r="156">
      <c r="A156" s="13" t="inlineStr">
        <is>
          <t>15711171526733</t>
        </is>
      </c>
      <c r="B156" s="13" t="inlineStr">
        <is>
          <t>ANILLO DOBLE T ROSE GOLD</t>
        </is>
      </c>
      <c r="C156" s="13" t="inlineStr">
        <is>
          <t>8</t>
        </is>
      </c>
      <c r="D156" s="14" t="inlineStr"/>
      <c r="E156" s="13" t="n"/>
      <c r="F156" s="13" t="n"/>
      <c r="G156" s="13" t="n"/>
      <c r="H156" s="15" t="n">
        <v>5</v>
      </c>
      <c r="I156" s="15" t="n">
        <v>5</v>
      </c>
      <c r="J156" s="15" t="n">
        <v>5</v>
      </c>
      <c r="K156" s="13" t="n"/>
      <c r="L156" s="13" t="n"/>
      <c r="M156" s="13" t="n"/>
      <c r="N156" s="13" t="n"/>
      <c r="O156" s="13" t="n"/>
      <c r="P156" s="13" t="n"/>
      <c r="Q156" s="13" t="n"/>
      <c r="R156" s="16">
        <f>IF(COUNT(E156:Q156)=0,"",MIN(E156:Q156))</f>
        <v/>
      </c>
      <c r="S156" s="15">
        <f>IF(COUNT(E156:Q156)=0,"",LOOKUP(2,1/(E156:Q156&lt;&gt;""),E156:Q156))</f>
        <v/>
      </c>
      <c r="T156" s="17">
        <f>IF(R156="","",ROUND(R156*RESUMEN!$B$4,0))</f>
        <v/>
      </c>
      <c r="U156" s="18">
        <f>COUNT(E156:Q156)</f>
        <v/>
      </c>
    </row>
    <row r="157">
      <c r="A157" s="13" t="inlineStr">
        <is>
          <t>83391731482125</t>
        </is>
      </c>
      <c r="B157" s="13" t="inlineStr">
        <is>
          <t>ANILLO DOBLE T ROSE GOLD ZIRCONIAS</t>
        </is>
      </c>
      <c r="C157" s="13" t="inlineStr">
        <is>
          <t>7</t>
        </is>
      </c>
      <c r="D157" s="14" t="inlineStr"/>
      <c r="E157" s="13" t="n"/>
      <c r="F157" s="13" t="n"/>
      <c r="G157" s="13" t="n"/>
      <c r="H157" s="13" t="n"/>
      <c r="I157" s="13" t="n"/>
      <c r="J157" s="13" t="n"/>
      <c r="K157" s="15" t="n">
        <v>7</v>
      </c>
      <c r="L157" s="13" t="n"/>
      <c r="M157" s="13" t="n"/>
      <c r="N157" s="13" t="n"/>
      <c r="O157" s="13" t="n"/>
      <c r="P157" s="13" t="n"/>
      <c r="Q157" s="13" t="n"/>
      <c r="R157" s="16">
        <f>IF(COUNT(E157:Q157)=0,"",MIN(E157:Q157))</f>
        <v/>
      </c>
      <c r="S157" s="15">
        <f>IF(COUNT(E157:Q157)=0,"",LOOKUP(2,1/(E157:Q157&lt;&gt;""),E157:Q157))</f>
        <v/>
      </c>
      <c r="T157" s="17">
        <f>IF(R157="","",ROUND(R157*RESUMEN!$B$4,0))</f>
        <v/>
      </c>
      <c r="U157" s="18">
        <f>COUNT(E157:Q157)</f>
        <v/>
      </c>
    </row>
    <row r="158">
      <c r="A158" s="13" t="inlineStr">
        <is>
          <t>15711171624141</t>
        </is>
      </c>
      <c r="B158" s="13" t="inlineStr">
        <is>
          <t>ANILLO DOBLE T SILVER</t>
        </is>
      </c>
      <c r="C158" s="13" t="inlineStr">
        <is>
          <t>6</t>
        </is>
      </c>
      <c r="D158" s="14" t="inlineStr">
        <is>
          <t>copper alloy</t>
        </is>
      </c>
      <c r="E158" s="13" t="n"/>
      <c r="F158" s="13" t="n"/>
      <c r="G158" s="13" t="n"/>
      <c r="H158" s="15" t="n">
        <v>5</v>
      </c>
      <c r="I158" s="15" t="n">
        <v>5</v>
      </c>
      <c r="J158" s="13" t="n"/>
      <c r="K158" s="13" t="n"/>
      <c r="L158" s="13" t="n"/>
      <c r="M158" s="13" t="n"/>
      <c r="N158" s="13" t="n"/>
      <c r="O158" s="13" t="n"/>
      <c r="P158" s="13" t="n"/>
      <c r="Q158" s="15" t="n">
        <v>5</v>
      </c>
      <c r="R158" s="16">
        <f>IF(COUNT(E158:Q158)=0,"",MIN(E158:Q158))</f>
        <v/>
      </c>
      <c r="S158" s="15">
        <f>IF(COUNT(E158:Q158)=0,"",LOOKUP(2,1/(E158:Q158&lt;&gt;""),E158:Q158))</f>
        <v/>
      </c>
      <c r="T158" s="17">
        <f>IF(R158="","",ROUND(R158*RESUMEN!$B$4,0))</f>
        <v/>
      </c>
      <c r="U158" s="18">
        <f>COUNT(E158:Q158)</f>
        <v/>
      </c>
    </row>
    <row r="159">
      <c r="A159" s="13" t="inlineStr">
        <is>
          <t>15711171889677</t>
        </is>
      </c>
      <c r="B159" s="13" t="inlineStr">
        <is>
          <t>ANILLO DOBLE T SILVER</t>
        </is>
      </c>
      <c r="C159" s="13" t="inlineStr">
        <is>
          <t>8</t>
        </is>
      </c>
      <c r="D159" s="14" t="inlineStr"/>
      <c r="E159" s="13" t="n"/>
      <c r="F159" s="13" t="n"/>
      <c r="G159" s="13" t="n"/>
      <c r="H159" s="13" t="n"/>
      <c r="I159" s="15" t="n">
        <v>5</v>
      </c>
      <c r="J159" s="15" t="n">
        <v>5</v>
      </c>
      <c r="K159" s="13" t="n"/>
      <c r="L159" s="13" t="n"/>
      <c r="M159" s="13" t="n"/>
      <c r="N159" s="13" t="n"/>
      <c r="O159" s="13" t="n"/>
      <c r="P159" s="13" t="n"/>
      <c r="Q159" s="13" t="n"/>
      <c r="R159" s="16">
        <f>IF(COUNT(E159:Q159)=0,"",MIN(E159:Q159))</f>
        <v/>
      </c>
      <c r="S159" s="15">
        <f>IF(COUNT(E159:Q159)=0,"",LOOKUP(2,1/(E159:Q159&lt;&gt;""),E159:Q159))</f>
        <v/>
      </c>
      <c r="T159" s="17">
        <f>IF(R159="","",ROUND(R159*RESUMEN!$B$4,0))</f>
        <v/>
      </c>
      <c r="U159" s="18">
        <f>COUNT(E159:Q159)</f>
        <v/>
      </c>
    </row>
    <row r="160">
      <c r="A160" s="13" t="inlineStr">
        <is>
          <t>83391731283213</t>
        </is>
      </c>
      <c r="B160" s="13" t="inlineStr">
        <is>
          <t>ANILLO DOBLE T SILVER ZIRCONIAS</t>
        </is>
      </c>
      <c r="C160" s="13" t="inlineStr">
        <is>
          <t>6</t>
        </is>
      </c>
      <c r="D160" s="14" t="inlineStr"/>
      <c r="E160" s="13" t="n"/>
      <c r="F160" s="13" t="n"/>
      <c r="G160" s="13" t="n"/>
      <c r="H160" s="13" t="n"/>
      <c r="I160" s="13" t="n"/>
      <c r="J160" s="13" t="n"/>
      <c r="K160" s="15" t="n">
        <v>7</v>
      </c>
      <c r="L160" s="13" t="n"/>
      <c r="M160" s="13" t="n"/>
      <c r="N160" s="13" t="n"/>
      <c r="O160" s="13" t="n"/>
      <c r="P160" s="13" t="n"/>
      <c r="Q160" s="13" t="n"/>
      <c r="R160" s="16">
        <f>IF(COUNT(E160:Q160)=0,"",MIN(E160:Q160))</f>
        <v/>
      </c>
      <c r="S160" s="15">
        <f>IF(COUNT(E160:Q160)=0,"",LOOKUP(2,1/(E160:Q160&lt;&gt;""),E160:Q160))</f>
        <v/>
      </c>
      <c r="T160" s="17">
        <f>IF(R160="","",ROUND(R160*RESUMEN!$B$4,0))</f>
        <v/>
      </c>
      <c r="U160" s="18">
        <f>COUNT(E160:Q160)</f>
        <v/>
      </c>
    </row>
    <row r="161">
      <c r="A161" s="13" t="inlineStr">
        <is>
          <t>83391731315981</t>
        </is>
      </c>
      <c r="B161" s="13" t="inlineStr">
        <is>
          <t>ANILLO DOBLE T SILVER ZIRCONIAS</t>
        </is>
      </c>
      <c r="C161" s="13" t="inlineStr">
        <is>
          <t>7</t>
        </is>
      </c>
      <c r="D161" s="14" t="inlineStr"/>
      <c r="E161" s="13" t="n"/>
      <c r="F161" s="13" t="n"/>
      <c r="G161" s="13" t="n"/>
      <c r="H161" s="13" t="n"/>
      <c r="I161" s="13" t="n"/>
      <c r="J161" s="13" t="n"/>
      <c r="K161" s="15" t="n">
        <v>7</v>
      </c>
      <c r="L161" s="13" t="n"/>
      <c r="M161" s="13" t="n"/>
      <c r="N161" s="13" t="n"/>
      <c r="O161" s="13" t="n"/>
      <c r="P161" s="13" t="n"/>
      <c r="Q161" s="13" t="n"/>
      <c r="R161" s="16">
        <f>IF(COUNT(E161:Q161)=0,"",MIN(E161:Q161))</f>
        <v/>
      </c>
      <c r="S161" s="15">
        <f>IF(COUNT(E161:Q161)=0,"",LOOKUP(2,1/(E161:Q161&lt;&gt;""),E161:Q161))</f>
        <v/>
      </c>
      <c r="T161" s="17">
        <f>IF(R161="","",ROUND(R161*RESUMEN!$B$4,0))</f>
        <v/>
      </c>
      <c r="U161" s="18">
        <f>COUNT(E161:Q161)</f>
        <v/>
      </c>
    </row>
    <row r="162">
      <c r="A162" s="13" t="inlineStr">
        <is>
          <t>86347032827501</t>
        </is>
      </c>
      <c r="B162" s="13" t="inlineStr">
        <is>
          <t>ANILLO ESLABONES ROSEGOLD ZIRCONIAS</t>
        </is>
      </c>
      <c r="C162" s="13" t="inlineStr">
        <is>
          <t>7</t>
        </is>
      </c>
      <c r="D162" s="14" t="inlineStr">
        <is>
          <t>Copper alloy</t>
        </is>
      </c>
      <c r="E162" s="13" t="n"/>
      <c r="F162" s="13" t="n"/>
      <c r="G162" s="15" t="n">
        <v>7</v>
      </c>
      <c r="H162" s="13" t="n"/>
      <c r="I162" s="13" t="n"/>
      <c r="J162" s="15" t="n">
        <v>7</v>
      </c>
      <c r="K162" s="13" t="n"/>
      <c r="L162" s="15" t="n">
        <v>7</v>
      </c>
      <c r="M162" s="13" t="n"/>
      <c r="N162" s="13" t="n"/>
      <c r="O162" s="13" t="n"/>
      <c r="P162" s="13" t="n"/>
      <c r="Q162" s="13" t="n"/>
      <c r="R162" s="16">
        <f>IF(COUNT(E162:Q162)=0,"",MIN(E162:Q162))</f>
        <v/>
      </c>
      <c r="S162" s="15">
        <f>IF(COUNT(E162:Q162)=0,"",LOOKUP(2,1/(E162:Q162&lt;&gt;""),E162:Q162))</f>
        <v/>
      </c>
      <c r="T162" s="17">
        <f>IF(R162="","",ROUND(R162*RESUMEN!$B$4,0))</f>
        <v/>
      </c>
      <c r="U162" s="18">
        <f>COUNT(E162:Q162)</f>
        <v/>
      </c>
    </row>
    <row r="163">
      <c r="A163" s="13" t="inlineStr">
        <is>
          <t>86347032960269</t>
        </is>
      </c>
      <c r="B163" s="13" t="inlineStr">
        <is>
          <t>ANILLO ESLABONES ROSEGOLD ZIRCONIAS</t>
        </is>
      </c>
      <c r="C163" s="13" t="inlineStr">
        <is>
          <t>9</t>
        </is>
      </c>
      <c r="D163" s="14" t="inlineStr">
        <is>
          <t>Copper alloy</t>
        </is>
      </c>
      <c r="E163" s="13" t="n"/>
      <c r="F163" s="13" t="n"/>
      <c r="G163" s="15" t="n">
        <v>7</v>
      </c>
      <c r="H163" s="13" t="n"/>
      <c r="I163" s="13" t="n"/>
      <c r="J163" s="15" t="n">
        <v>7</v>
      </c>
      <c r="K163" s="13" t="n"/>
      <c r="L163" s="15" t="n">
        <v>7</v>
      </c>
      <c r="M163" s="13" t="n"/>
      <c r="N163" s="13" t="n"/>
      <c r="O163" s="13" t="n"/>
      <c r="P163" s="13" t="n"/>
      <c r="Q163" s="13" t="n"/>
      <c r="R163" s="16">
        <f>IF(COUNT(E163:Q163)=0,"",MIN(E163:Q163))</f>
        <v/>
      </c>
      <c r="S163" s="15">
        <f>IF(COUNT(E163:Q163)=0,"",LOOKUP(2,1/(E163:Q163&lt;&gt;""),E163:Q163))</f>
        <v/>
      </c>
      <c r="T163" s="17">
        <f>IF(R163="","",ROUND(R163*RESUMEN!$B$4,0))</f>
        <v/>
      </c>
      <c r="U163" s="18">
        <f>COUNT(E163:Q163)</f>
        <v/>
      </c>
    </row>
    <row r="164">
      <c r="A164" s="13" t="inlineStr">
        <is>
          <t>56481463199244</t>
        </is>
      </c>
      <c r="B164" s="13" t="inlineStr">
        <is>
          <t>ANILLO ESLABÓN GOLD</t>
        </is>
      </c>
      <c r="C164" s="13" t="inlineStr">
        <is>
          <t>6</t>
        </is>
      </c>
      <c r="D164" s="14" t="inlineStr">
        <is>
          <t>nan</t>
        </is>
      </c>
      <c r="E164" s="15" t="n">
        <v>6</v>
      </c>
      <c r="F164" s="13" t="n"/>
      <c r="G164" s="13" t="n"/>
      <c r="H164" s="15" t="n">
        <v>6</v>
      </c>
      <c r="I164" s="15" t="n">
        <v>6</v>
      </c>
      <c r="J164" s="13" t="n"/>
      <c r="K164" s="13" t="n"/>
      <c r="L164" s="13" t="n"/>
      <c r="M164" s="15" t="n">
        <v>6</v>
      </c>
      <c r="N164" s="13" t="n"/>
      <c r="O164" s="13" t="n"/>
      <c r="P164" s="13" t="n"/>
      <c r="Q164" s="13" t="n"/>
      <c r="R164" s="16">
        <f>IF(COUNT(E164:Q164)=0,"",MIN(E164:Q164))</f>
        <v/>
      </c>
      <c r="S164" s="15">
        <f>IF(COUNT(E164:Q164)=0,"",LOOKUP(2,1/(E164:Q164&lt;&gt;""),E164:Q164))</f>
        <v/>
      </c>
      <c r="T164" s="17">
        <f>IF(R164="","",ROUND(R164*RESUMEN!$B$4,0))</f>
        <v/>
      </c>
      <c r="U164" s="18">
        <f>COUNT(E164:Q164)</f>
        <v/>
      </c>
    </row>
    <row r="165">
      <c r="A165" s="13" t="inlineStr">
        <is>
          <t>56481463232012</t>
        </is>
      </c>
      <c r="B165" s="13" t="inlineStr">
        <is>
          <t>ANILLO ESLABÓN GOLD</t>
        </is>
      </c>
      <c r="C165" s="13" t="inlineStr">
        <is>
          <t>7</t>
        </is>
      </c>
      <c r="D165" s="14" t="inlineStr">
        <is>
          <t>copper alloy</t>
        </is>
      </c>
      <c r="E165" s="15" t="n">
        <v>6</v>
      </c>
      <c r="F165" s="13" t="n"/>
      <c r="G165" s="13" t="n"/>
      <c r="H165" s="15" t="n">
        <v>6</v>
      </c>
      <c r="I165" s="15" t="n">
        <v>6</v>
      </c>
      <c r="J165" s="13" t="n"/>
      <c r="K165" s="13" t="n"/>
      <c r="L165" s="15" t="n">
        <v>6</v>
      </c>
      <c r="M165" s="13" t="n"/>
      <c r="N165" s="15" t="n">
        <v>6</v>
      </c>
      <c r="O165" s="15" t="n">
        <v>6</v>
      </c>
      <c r="P165" s="13" t="n"/>
      <c r="Q165" s="15" t="n">
        <v>6</v>
      </c>
      <c r="R165" s="16">
        <f>IF(COUNT(E165:Q165)=0,"",MIN(E165:Q165))</f>
        <v/>
      </c>
      <c r="S165" s="15">
        <f>IF(COUNT(E165:Q165)=0,"",LOOKUP(2,1/(E165:Q165&lt;&gt;""),E165:Q165))</f>
        <v/>
      </c>
      <c r="T165" s="17">
        <f>IF(R165="","",ROUND(R165*RESUMEN!$B$4,0))</f>
        <v/>
      </c>
      <c r="U165" s="18">
        <f>COUNT(E165:Q165)</f>
        <v/>
      </c>
    </row>
    <row r="166">
      <c r="A166" s="13" t="inlineStr">
        <is>
          <t>56481473264780</t>
        </is>
      </c>
      <c r="B166" s="13" t="inlineStr">
        <is>
          <t>ANILLO ESLABÓN GOLD</t>
        </is>
      </c>
      <c r="C166" s="13" t="inlineStr">
        <is>
          <t>8</t>
        </is>
      </c>
      <c r="D166" s="14" t="inlineStr">
        <is>
          <t>copper alloy</t>
        </is>
      </c>
      <c r="E166" s="13" t="n"/>
      <c r="F166" s="15" t="n">
        <v>6</v>
      </c>
      <c r="G166" s="13" t="n"/>
      <c r="H166" s="15" t="n">
        <v>6</v>
      </c>
      <c r="I166" s="15" t="n">
        <v>6</v>
      </c>
      <c r="J166" s="13" t="n"/>
      <c r="K166" s="13" t="n"/>
      <c r="L166" s="13" t="n"/>
      <c r="M166" s="13" t="n"/>
      <c r="N166" s="15" t="n">
        <v>6</v>
      </c>
      <c r="O166" s="15" t="n">
        <v>6</v>
      </c>
      <c r="P166" s="15" t="n">
        <v>6</v>
      </c>
      <c r="Q166" s="13" t="n"/>
      <c r="R166" s="16">
        <f>IF(COUNT(E166:Q166)=0,"",MIN(E166:Q166))</f>
        <v/>
      </c>
      <c r="S166" s="15">
        <f>IF(COUNT(E166:Q166)=0,"",LOOKUP(2,1/(E166:Q166&lt;&gt;""),E166:Q166))</f>
        <v/>
      </c>
      <c r="T166" s="17">
        <f>IF(R166="","",ROUND(R166*RESUMEN!$B$4,0))</f>
        <v/>
      </c>
      <c r="U166" s="18">
        <f>COUNT(E166:Q166)</f>
        <v/>
      </c>
    </row>
    <row r="167">
      <c r="A167" s="13" t="inlineStr">
        <is>
          <t>12314361063501</t>
        </is>
      </c>
      <c r="B167" s="13" t="inlineStr">
        <is>
          <t>ANILLO F DOBLE GOLD</t>
        </is>
      </c>
      <c r="C167" s="13" t="inlineStr">
        <is>
          <t>AJUSTABLE</t>
        </is>
      </c>
      <c r="D167" s="14" t="inlineStr">
        <is>
          <t>Copper alloy</t>
        </is>
      </c>
      <c r="E167" s="13" t="n"/>
      <c r="F167" s="13" t="n"/>
      <c r="G167" s="15" t="n">
        <v>7</v>
      </c>
      <c r="H167" s="13" t="n"/>
      <c r="I167" s="13" t="n"/>
      <c r="J167" s="15" t="n">
        <v>7</v>
      </c>
      <c r="K167" s="13" t="n"/>
      <c r="L167" s="15" t="n">
        <v>7</v>
      </c>
      <c r="M167" s="13" t="n"/>
      <c r="N167" s="15" t="n">
        <v>7</v>
      </c>
      <c r="O167" s="15" t="n">
        <v>7</v>
      </c>
      <c r="P167" s="13" t="n"/>
      <c r="Q167" s="15" t="n">
        <v>7</v>
      </c>
      <c r="R167" s="16">
        <f>IF(COUNT(E167:Q167)=0,"",MIN(E167:Q167))</f>
        <v/>
      </c>
      <c r="S167" s="15">
        <f>IF(COUNT(E167:Q167)=0,"",LOOKUP(2,1/(E167:Q167&lt;&gt;""),E167:Q167))</f>
        <v/>
      </c>
      <c r="T167" s="17">
        <f>IF(R167="","",ROUND(R167*RESUMEN!$B$4,0))</f>
        <v/>
      </c>
      <c r="U167" s="18">
        <f>COUNT(E167:Q167)</f>
        <v/>
      </c>
    </row>
    <row r="168">
      <c r="A168" s="13" t="inlineStr">
        <is>
          <t>17964141660045</t>
        </is>
      </c>
      <c r="B168" s="13" t="inlineStr">
        <is>
          <t>ANILLO F FF</t>
        </is>
      </c>
      <c r="C168" s="13" t="inlineStr">
        <is>
          <t>8</t>
        </is>
      </c>
      <c r="D168" s="14" t="inlineStr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5" t="n">
        <v>6</v>
      </c>
      <c r="P168" s="13" t="n"/>
      <c r="Q168" s="13" t="n"/>
      <c r="R168" s="16">
        <f>IF(COUNT(E168:Q168)=0,"",MIN(E168:Q168))</f>
        <v/>
      </c>
      <c r="S168" s="15">
        <f>IF(COUNT(E168:Q168)=0,"",LOOKUP(2,1/(E168:Q168&lt;&gt;""),E168:Q168))</f>
        <v/>
      </c>
      <c r="T168" s="17">
        <f>IF(R168="","",ROUND(R168*RESUMEN!$B$4,0))</f>
        <v/>
      </c>
      <c r="U168" s="18">
        <f>COUNT(E168:Q168)</f>
        <v/>
      </c>
    </row>
    <row r="169">
      <c r="A169" s="13" t="inlineStr">
        <is>
          <t>12314362703117</t>
        </is>
      </c>
      <c r="B169" s="13" t="inlineStr">
        <is>
          <t>ANILLO F GOLD ZIRCONIAS</t>
        </is>
      </c>
      <c r="C169" s="13" t="inlineStr">
        <is>
          <t>6</t>
        </is>
      </c>
      <c r="D169" s="14" t="inlineStr">
        <is>
          <t>nan</t>
        </is>
      </c>
      <c r="E169" s="13" t="n"/>
      <c r="F169" s="13" t="n"/>
      <c r="G169" s="15" t="n">
        <v>7</v>
      </c>
      <c r="H169" s="13" t="n"/>
      <c r="I169" s="13" t="n"/>
      <c r="J169" s="13" t="n"/>
      <c r="K169" s="13" t="n"/>
      <c r="L169" s="13" t="n"/>
      <c r="M169" s="15" t="n">
        <v>7</v>
      </c>
      <c r="N169" s="13" t="n"/>
      <c r="O169" s="13" t="n"/>
      <c r="P169" s="13" t="n"/>
      <c r="Q169" s="13" t="n"/>
      <c r="R169" s="16">
        <f>IF(COUNT(E169:Q169)=0,"",MIN(E169:Q169))</f>
        <v/>
      </c>
      <c r="S169" s="15">
        <f>IF(COUNT(E169:Q169)=0,"",LOOKUP(2,1/(E169:Q169&lt;&gt;""),E169:Q169))</f>
        <v/>
      </c>
      <c r="T169" s="17">
        <f>IF(R169="","",ROUND(R169*RESUMEN!$B$4,0))</f>
        <v/>
      </c>
      <c r="U169" s="18">
        <f>COUNT(E169:Q169)</f>
        <v/>
      </c>
    </row>
    <row r="170">
      <c r="A170" s="13" t="inlineStr">
        <is>
          <t>12314362835885</t>
        </is>
      </c>
      <c r="B170" s="13" t="inlineStr">
        <is>
          <t>ANILLO F GOLD ZIRCONIAS</t>
        </is>
      </c>
      <c r="C170" s="13" t="inlineStr">
        <is>
          <t>7</t>
        </is>
      </c>
      <c r="D170" s="14" t="inlineStr">
        <is>
          <t>copper alloy</t>
        </is>
      </c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5" t="n">
        <v>7</v>
      </c>
      <c r="R170" s="16">
        <f>IF(COUNT(E170:Q170)=0,"",MIN(E170:Q170))</f>
        <v/>
      </c>
      <c r="S170" s="15">
        <f>IF(COUNT(E170:Q170)=0,"",LOOKUP(2,1/(E170:Q170&lt;&gt;""),E170:Q170))</f>
        <v/>
      </c>
      <c r="T170" s="17">
        <f>IF(R170="","",ROUND(R170*RESUMEN!$B$4,0))</f>
        <v/>
      </c>
      <c r="U170" s="18">
        <f>COUNT(E170:Q170)</f>
        <v/>
      </c>
    </row>
    <row r="171">
      <c r="A171" s="13" t="inlineStr">
        <is>
          <t>12314361504205</t>
        </is>
      </c>
      <c r="B171" s="13" t="inlineStr">
        <is>
          <t>ANILLO F SILVER ZIRCONIAS</t>
        </is>
      </c>
      <c r="C171" s="13" t="inlineStr">
        <is>
          <t>8</t>
        </is>
      </c>
      <c r="D171" s="14" t="inlineStr">
        <is>
          <t>copper alloy</t>
        </is>
      </c>
      <c r="E171" s="13" t="n"/>
      <c r="F171" s="13" t="n"/>
      <c r="G171" s="15" t="n">
        <v>7</v>
      </c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5" t="n">
        <v>7</v>
      </c>
      <c r="R171" s="16">
        <f>IF(COUNT(E171:Q171)=0,"",MIN(E171:Q171))</f>
        <v/>
      </c>
      <c r="S171" s="15">
        <f>IF(COUNT(E171:Q171)=0,"",LOOKUP(2,1/(E171:Q171&lt;&gt;""),E171:Q171))</f>
        <v/>
      </c>
      <c r="T171" s="17">
        <f>IF(R171="","",ROUND(R171*RESUMEN!$B$4,0))</f>
        <v/>
      </c>
      <c r="U171" s="18">
        <f>COUNT(E171:Q171)</f>
        <v/>
      </c>
    </row>
    <row r="172">
      <c r="A172" s="13" t="inlineStr">
        <is>
          <t>12314361636973</t>
        </is>
      </c>
      <c r="B172" s="13" t="inlineStr">
        <is>
          <t>ANILLO F SILVER ZIRCONIAS</t>
        </is>
      </c>
      <c r="C172" s="13" t="inlineStr">
        <is>
          <t>9</t>
        </is>
      </c>
      <c r="D172" s="14" t="inlineStr"/>
      <c r="E172" s="13" t="n"/>
      <c r="F172" s="13" t="n"/>
      <c r="G172" s="15" t="n">
        <v>7</v>
      </c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6">
        <f>IF(COUNT(E172:Q172)=0,"",MIN(E172:Q172))</f>
        <v/>
      </c>
      <c r="S172" s="15">
        <f>IF(COUNT(E172:Q172)=0,"",LOOKUP(2,1/(E172:Q172&lt;&gt;""),E172:Q172))</f>
        <v/>
      </c>
      <c r="T172" s="17">
        <f>IF(R172="","",ROUND(R172*RESUMEN!$B$4,0))</f>
        <v/>
      </c>
      <c r="U172" s="18">
        <f>COUNT(E172:Q172)</f>
        <v/>
      </c>
    </row>
    <row r="173">
      <c r="A173" s="13" t="inlineStr">
        <is>
          <t>22064323571501</t>
        </is>
      </c>
      <c r="B173" s="13" t="inlineStr">
        <is>
          <t>ANILLO FLOWER DOBLE GOLD</t>
        </is>
      </c>
      <c r="C173" s="13" t="inlineStr">
        <is>
          <t>Default Title</t>
        </is>
      </c>
      <c r="D173" s="14" t="inlineStr">
        <is>
          <t>Copper alloy</t>
        </is>
      </c>
      <c r="E173" s="13" t="n"/>
      <c r="F173" s="13" t="n"/>
      <c r="G173" s="13" t="n"/>
      <c r="H173" s="13" t="n"/>
      <c r="I173" s="13" t="n"/>
      <c r="J173" s="13" t="n"/>
      <c r="K173" s="15" t="n">
        <v>8.9</v>
      </c>
      <c r="L173" s="13" t="n"/>
      <c r="M173" s="13" t="n"/>
      <c r="N173" s="13" t="n"/>
      <c r="O173" s="13" t="n"/>
      <c r="P173" s="13" t="n"/>
      <c r="Q173" s="15" t="n">
        <v>8.9</v>
      </c>
      <c r="R173" s="16">
        <f>IF(COUNT(E173:Q173)=0,"",MIN(E173:Q173))</f>
        <v/>
      </c>
      <c r="S173" s="15">
        <f>IF(COUNT(E173:Q173)=0,"",LOOKUP(2,1/(E173:Q173&lt;&gt;""),E173:Q173))</f>
        <v/>
      </c>
      <c r="T173" s="17">
        <f>IF(R173="","",ROUND(R173*RESUMEN!$B$4,0))</f>
        <v/>
      </c>
      <c r="U173" s="18">
        <f>COUNT(E173:Q173)</f>
        <v/>
      </c>
    </row>
    <row r="174">
      <c r="A174" s="13" t="inlineStr">
        <is>
          <t>22064323404269</t>
        </is>
      </c>
      <c r="B174" s="13" t="inlineStr">
        <is>
          <t>ANILLO FLOWER DOBLE SILVER</t>
        </is>
      </c>
      <c r="C174" s="13" t="inlineStr">
        <is>
          <t>Default Title</t>
        </is>
      </c>
      <c r="D174" s="14" t="inlineStr">
        <is>
          <t>Copper alloy</t>
        </is>
      </c>
      <c r="E174" s="13" t="n"/>
      <c r="F174" s="13" t="n"/>
      <c r="G174" s="13" t="n"/>
      <c r="H174" s="13" t="n"/>
      <c r="I174" s="13" t="n"/>
      <c r="J174" s="13" t="n"/>
      <c r="K174" s="15" t="n">
        <v>8.9</v>
      </c>
      <c r="L174" s="13" t="n"/>
      <c r="M174" s="13" t="n"/>
      <c r="N174" s="13" t="n"/>
      <c r="O174" s="13" t="n"/>
      <c r="P174" s="15" t="n">
        <v>8.9</v>
      </c>
      <c r="Q174" s="13" t="n"/>
      <c r="R174" s="16">
        <f>IF(COUNT(E174:Q174)=0,"",MIN(E174:Q174))</f>
        <v/>
      </c>
      <c r="S174" s="15">
        <f>IF(COUNT(E174:Q174)=0,"",LOOKUP(2,1/(E174:Q174&lt;&gt;""),E174:Q174))</f>
        <v/>
      </c>
      <c r="T174" s="17">
        <f>IF(R174="","",ROUND(R174*RESUMEN!$B$4,0))</f>
        <v/>
      </c>
      <c r="U174" s="18">
        <f>COUNT(E174:Q174)</f>
        <v/>
      </c>
    </row>
    <row r="175">
      <c r="A175" s="13" t="inlineStr">
        <is>
          <t>22064323778285</t>
        </is>
      </c>
      <c r="B175" s="13" t="inlineStr">
        <is>
          <t>ANILLO FLOWER HALF ZIRCONIAS GOLD</t>
        </is>
      </c>
      <c r="C175" s="13" t="inlineStr">
        <is>
          <t>Default Title</t>
        </is>
      </c>
      <c r="D175" s="14" t="inlineStr">
        <is>
          <t>Copper alloy</t>
        </is>
      </c>
      <c r="E175" s="13" t="n"/>
      <c r="F175" s="13" t="n"/>
      <c r="G175" s="13" t="n"/>
      <c r="H175" s="13" t="n"/>
      <c r="I175" s="13" t="n"/>
      <c r="J175" s="13" t="n"/>
      <c r="K175" s="15" t="n">
        <v>8.9</v>
      </c>
      <c r="L175" s="13" t="n"/>
      <c r="M175" s="13" t="n"/>
      <c r="N175" s="13" t="n"/>
      <c r="O175" s="13" t="n"/>
      <c r="P175" s="15" t="n">
        <v>8.9</v>
      </c>
      <c r="Q175" s="13" t="n"/>
      <c r="R175" s="16">
        <f>IF(COUNT(E175:Q175)=0,"",MIN(E175:Q175))</f>
        <v/>
      </c>
      <c r="S175" s="15">
        <f>IF(COUNT(E175:Q175)=0,"",LOOKUP(2,1/(E175:Q175&lt;&gt;""),E175:Q175))</f>
        <v/>
      </c>
      <c r="T175" s="17">
        <f>IF(R175="","",ROUND(R175*RESUMEN!$B$4,0))</f>
        <v/>
      </c>
      <c r="U175" s="18">
        <f>COUNT(E175:Q175)</f>
        <v/>
      </c>
    </row>
    <row r="176">
      <c r="A176" s="13" t="inlineStr">
        <is>
          <t>56481471878796</t>
        </is>
      </c>
      <c r="B176" s="13" t="inlineStr">
        <is>
          <t>ANILLO FORGE</t>
        </is>
      </c>
      <c r="C176" s="13" t="inlineStr">
        <is>
          <t>6</t>
        </is>
      </c>
      <c r="D176" s="14" t="inlineStr"/>
      <c r="E176" s="13" t="n"/>
      <c r="F176" s="15" t="n">
        <v>0</v>
      </c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6">
        <f>IF(COUNT(E176:Q176)=0,"",MIN(E176:Q176))</f>
        <v/>
      </c>
      <c r="S176" s="15">
        <f>IF(COUNT(E176:Q176)=0,"",LOOKUP(2,1/(E176:Q176&lt;&gt;""),E176:Q176))</f>
        <v/>
      </c>
      <c r="T176" s="17">
        <f>IF(R176="","",ROUND(R176*RESUMEN!$B$4,0))</f>
        <v/>
      </c>
      <c r="U176" s="18">
        <f>COUNT(E176:Q176)</f>
        <v/>
      </c>
    </row>
    <row r="177">
      <c r="A177" s="13" t="inlineStr">
        <is>
          <t>89246882471757</t>
        </is>
      </c>
      <c r="B177" s="13" t="inlineStr">
        <is>
          <t>ANILLO H ESCAPE SILVER</t>
        </is>
      </c>
      <c r="C177" s="13" t="inlineStr">
        <is>
          <t>7</t>
        </is>
      </c>
      <c r="D177" s="14" t="inlineStr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5" t="n">
        <v>7</v>
      </c>
      <c r="O177" s="13" t="n"/>
      <c r="P177" s="13" t="n"/>
      <c r="Q177" s="13" t="n"/>
      <c r="R177" s="16">
        <f>IF(COUNT(E177:Q177)=0,"",MIN(E177:Q177))</f>
        <v/>
      </c>
      <c r="S177" s="15">
        <f>IF(COUNT(E177:Q177)=0,"",LOOKUP(2,1/(E177:Q177&lt;&gt;""),E177:Q177))</f>
        <v/>
      </c>
      <c r="T177" s="17">
        <f>IF(R177="","",ROUND(R177*RESUMEN!$B$4,0))</f>
        <v/>
      </c>
      <c r="U177" s="18">
        <f>COUNT(E177:Q177)</f>
        <v/>
      </c>
    </row>
    <row r="178">
      <c r="A178" s="13" t="inlineStr">
        <is>
          <t>89246882509613</t>
        </is>
      </c>
      <c r="B178" s="13" t="inlineStr">
        <is>
          <t>ANILLO H KELLY SILVER</t>
        </is>
      </c>
      <c r="C178" s="13" t="inlineStr">
        <is>
          <t>7</t>
        </is>
      </c>
      <c r="D178" s="14" t="inlineStr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5" t="n">
        <v>7</v>
      </c>
      <c r="O178" s="13" t="n"/>
      <c r="P178" s="13" t="n"/>
      <c r="Q178" s="13" t="n"/>
      <c r="R178" s="16">
        <f>IF(COUNT(E178:Q178)=0,"",MIN(E178:Q178))</f>
        <v/>
      </c>
      <c r="S178" s="15">
        <f>IF(COUNT(E178:Q178)=0,"",LOOKUP(2,1/(E178:Q178&lt;&gt;""),E178:Q178))</f>
        <v/>
      </c>
      <c r="T178" s="17">
        <f>IF(R178="","",ROUND(R178*RESUMEN!$B$4,0))</f>
        <v/>
      </c>
      <c r="U178" s="18">
        <f>COUNT(E178:Q178)</f>
        <v/>
      </c>
    </row>
    <row r="179">
      <c r="A179" s="13" t="inlineStr">
        <is>
          <t>35997321035725</t>
        </is>
      </c>
      <c r="B179" s="13" t="inlineStr">
        <is>
          <t>ANILLO JUSTE UN CLOU SILVER CON ZIRCONIA-6</t>
        </is>
      </c>
      <c r="C179" s="13" t="inlineStr">
        <is>
          <t>6</t>
        </is>
      </c>
      <c r="D179" s="14" t="inlineStr"/>
      <c r="E179" s="13" t="n"/>
      <c r="F179" s="15" t="n">
        <v>7.5</v>
      </c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6">
        <f>IF(COUNT(E179:Q179)=0,"",MIN(E179:Q179))</f>
        <v/>
      </c>
      <c r="S179" s="15">
        <f>IF(COUNT(E179:Q179)=0,"",LOOKUP(2,1/(E179:Q179&lt;&gt;""),E179:Q179))</f>
        <v/>
      </c>
      <c r="T179" s="17">
        <f>IF(R179="","",ROUND(R179*RESUMEN!$B$4,0))</f>
        <v/>
      </c>
      <c r="U179" s="18">
        <f>COUNT(E179:Q179)</f>
        <v/>
      </c>
    </row>
    <row r="180">
      <c r="A180" s="13" t="inlineStr">
        <is>
          <t>38367871068493</t>
        </is>
      </c>
      <c r="B180" s="13" t="inlineStr">
        <is>
          <t>ANILLO JUSTE UN CLOU SILVER CON ZIRCONIA-7</t>
        </is>
      </c>
      <c r="C180" s="13" t="inlineStr">
        <is>
          <t>7</t>
        </is>
      </c>
      <c r="D180" s="14" t="inlineStr"/>
      <c r="E180" s="13" t="n"/>
      <c r="F180" s="15" t="n">
        <v>7.5</v>
      </c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6">
        <f>IF(COUNT(E180:Q180)=0,"",MIN(E180:Q180))</f>
        <v/>
      </c>
      <c r="S180" s="15">
        <f>IF(COUNT(E180:Q180)=0,"",LOOKUP(2,1/(E180:Q180&lt;&gt;""),E180:Q180))</f>
        <v/>
      </c>
      <c r="T180" s="17">
        <f>IF(R180="","",ROUND(R180*RESUMEN!$B$4,0))</f>
        <v/>
      </c>
      <c r="U180" s="18">
        <f>COUNT(E180:Q180)</f>
        <v/>
      </c>
    </row>
    <row r="181">
      <c r="A181" s="13" t="inlineStr">
        <is>
          <t>67201534097677</t>
        </is>
      </c>
      <c r="B181" s="13" t="inlineStr">
        <is>
          <t>ANILLO KNOT CON ZIRCONIAS T GOLD</t>
        </is>
      </c>
      <c r="C181" s="13" t="inlineStr">
        <is>
          <t>6</t>
        </is>
      </c>
      <c r="D181" s="14" t="inlineStr">
        <is>
          <t>Copper alloy</t>
        </is>
      </c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5" t="n">
        <v>2</v>
      </c>
      <c r="O181" s="13" t="n"/>
      <c r="P181" s="13" t="n"/>
      <c r="Q181" s="13" t="n"/>
      <c r="R181" s="16">
        <f>IF(COUNT(E181:Q181)=0,"",MIN(E181:Q181))</f>
        <v/>
      </c>
      <c r="S181" s="15">
        <f>IF(COUNT(E181:Q181)=0,"",LOOKUP(2,1/(E181:Q181&lt;&gt;""),E181:Q181))</f>
        <v/>
      </c>
      <c r="T181" s="17">
        <f>IF(R181="","",ROUND(R181*RESUMEN!$B$4,0))</f>
        <v/>
      </c>
      <c r="U181" s="18">
        <f>COUNT(E181:Q181)</f>
        <v/>
      </c>
    </row>
    <row r="182">
      <c r="A182" s="13" t="inlineStr">
        <is>
          <t>86347033266957</t>
        </is>
      </c>
      <c r="B182" s="13" t="inlineStr">
        <is>
          <t>ANILLO KNOT DOBLE GOLD ZIRCONIAS</t>
        </is>
      </c>
      <c r="C182" s="13" t="inlineStr">
        <is>
          <t>6</t>
        </is>
      </c>
      <c r="D182" s="14" t="inlineStr">
        <is>
          <t>Copper alloy</t>
        </is>
      </c>
      <c r="E182" s="13" t="n"/>
      <c r="F182" s="13" t="n"/>
      <c r="G182" s="15" t="n">
        <v>6.5</v>
      </c>
      <c r="H182" s="13" t="n"/>
      <c r="I182" s="13" t="n"/>
      <c r="J182" s="15" t="n">
        <v>6.5</v>
      </c>
      <c r="K182" s="13" t="n"/>
      <c r="L182" s="15" t="n">
        <v>6.5</v>
      </c>
      <c r="M182" s="13" t="n"/>
      <c r="N182" s="15" t="n">
        <v>6.5</v>
      </c>
      <c r="O182" s="13" t="n"/>
      <c r="P182" s="15" t="n">
        <v>6.5</v>
      </c>
      <c r="Q182" s="15" t="n">
        <v>6.5</v>
      </c>
      <c r="R182" s="16">
        <f>IF(COUNT(E182:Q182)=0,"",MIN(E182:Q182))</f>
        <v/>
      </c>
      <c r="S182" s="15">
        <f>IF(COUNT(E182:Q182)=0,"",LOOKUP(2,1/(E182:Q182&lt;&gt;""),E182:Q182))</f>
        <v/>
      </c>
      <c r="T182" s="17">
        <f>IF(R182="","",ROUND(R182*RESUMEN!$B$4,0))</f>
        <v/>
      </c>
      <c r="U182" s="18">
        <f>COUNT(E182:Q182)</f>
        <v/>
      </c>
    </row>
    <row r="183">
      <c r="A183" s="13" t="inlineStr">
        <is>
          <t>86347033399725</t>
        </is>
      </c>
      <c r="B183" s="13" t="inlineStr">
        <is>
          <t>ANILLO KNOT DOBLE GOLD ZIRCONIAS</t>
        </is>
      </c>
      <c r="C183" s="13" t="inlineStr">
        <is>
          <t>7</t>
        </is>
      </c>
      <c r="D183" s="14" t="inlineStr">
        <is>
          <t>Copper alloy</t>
        </is>
      </c>
      <c r="E183" s="13" t="n"/>
      <c r="F183" s="13" t="n"/>
      <c r="G183" s="15" t="n">
        <v>6.5</v>
      </c>
      <c r="H183" s="13" t="n"/>
      <c r="I183" s="13" t="n"/>
      <c r="J183" s="15" t="n">
        <v>6.5</v>
      </c>
      <c r="K183" s="13" t="n"/>
      <c r="L183" s="15" t="n">
        <v>6.5</v>
      </c>
      <c r="M183" s="13" t="n"/>
      <c r="N183" s="15" t="n">
        <v>6.5</v>
      </c>
      <c r="O183" s="13" t="n"/>
      <c r="P183" s="15" t="n">
        <v>6.5</v>
      </c>
      <c r="Q183" s="15" t="n">
        <v>6.5</v>
      </c>
      <c r="R183" s="16">
        <f>IF(COUNT(E183:Q183)=0,"",MIN(E183:Q183))</f>
        <v/>
      </c>
      <c r="S183" s="15">
        <f>IF(COUNT(E183:Q183)=0,"",LOOKUP(2,1/(E183:Q183&lt;&gt;""),E183:Q183))</f>
        <v/>
      </c>
      <c r="T183" s="17">
        <f>IF(R183="","",ROUND(R183*RESUMEN!$B$4,0))</f>
        <v/>
      </c>
      <c r="U183" s="18">
        <f>COUNT(E183:Q183)</f>
        <v/>
      </c>
    </row>
    <row r="184">
      <c r="A184" s="13" t="inlineStr">
        <is>
          <t>31058341012141</t>
        </is>
      </c>
      <c r="B184" s="13" t="inlineStr">
        <is>
          <t>ANILLO KNOT DOBLE SILVER ZIRCONIAS</t>
        </is>
      </c>
      <c r="C184" s="13" t="inlineStr">
        <is>
          <t>7</t>
        </is>
      </c>
      <c r="D184" s="14" t="inlineStr">
        <is>
          <t>copper alloy</t>
        </is>
      </c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5" t="n">
        <v>6.5</v>
      </c>
      <c r="R184" s="16">
        <f>IF(COUNT(E184:Q184)=0,"",MIN(E184:Q184))</f>
        <v/>
      </c>
      <c r="S184" s="15">
        <f>IF(COUNT(E184:Q184)=0,"",LOOKUP(2,1/(E184:Q184&lt;&gt;""),E184:Q184))</f>
        <v/>
      </c>
      <c r="T184" s="17">
        <f>IF(R184="","",ROUND(R184*RESUMEN!$B$4,0))</f>
        <v/>
      </c>
      <c r="U184" s="18">
        <f>COUNT(E184:Q184)</f>
        <v/>
      </c>
    </row>
    <row r="185">
      <c r="A185" s="13" t="inlineStr">
        <is>
          <t>31058341012142</t>
        </is>
      </c>
      <c r="B185" s="13" t="inlineStr">
        <is>
          <t>ANILLO KNOT DOBLE SILVER ZIRCONIAS</t>
        </is>
      </c>
      <c r="C185" s="13" t="inlineStr">
        <is>
          <t>8</t>
        </is>
      </c>
      <c r="D185" s="14" t="inlineStr">
        <is>
          <t>Copper alloy</t>
        </is>
      </c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5" t="n">
        <v>6.5</v>
      </c>
      <c r="O185" s="13" t="n"/>
      <c r="P185" s="13" t="n"/>
      <c r="Q185" s="13" t="n"/>
      <c r="R185" s="16">
        <f>IF(COUNT(E185:Q185)=0,"",MIN(E185:Q185))</f>
        <v/>
      </c>
      <c r="S185" s="15">
        <f>IF(COUNT(E185:Q185)=0,"",LOOKUP(2,1/(E185:Q185&lt;&gt;""),E185:Q185))</f>
        <v/>
      </c>
      <c r="T185" s="17">
        <f>IF(R185="","",ROUND(R185*RESUMEN!$B$4,0))</f>
        <v/>
      </c>
      <c r="U185" s="18">
        <f>COUNT(E185:Q185)</f>
        <v/>
      </c>
    </row>
    <row r="186">
      <c r="A186" s="13" t="inlineStr">
        <is>
          <t>89205551169997</t>
        </is>
      </c>
      <c r="B186" s="13" t="inlineStr">
        <is>
          <t>ANILLO KNOT SILVER</t>
        </is>
      </c>
      <c r="C186" s="13" t="inlineStr">
        <is>
          <t>7</t>
        </is>
      </c>
      <c r="D186" s="14" t="inlineStr"/>
      <c r="E186" s="13" t="n"/>
      <c r="F186" s="15" t="n">
        <v>5</v>
      </c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6">
        <f>IF(COUNT(E186:Q186)=0,"",MIN(E186:Q186))</f>
        <v/>
      </c>
      <c r="S186" s="15">
        <f>IF(COUNT(E186:Q186)=0,"",LOOKUP(2,1/(E186:Q186&lt;&gt;""),E186:Q186))</f>
        <v/>
      </c>
      <c r="T186" s="17">
        <f>IF(R186="","",ROUND(R186*RESUMEN!$B$4,0))</f>
        <v/>
      </c>
      <c r="U186" s="18">
        <f>COUNT(E186:Q186)</f>
        <v/>
      </c>
    </row>
    <row r="187">
      <c r="A187" s="13" t="inlineStr">
        <is>
          <t>89205551037229</t>
        </is>
      </c>
      <c r="B187" s="13" t="inlineStr">
        <is>
          <t>ANILLO KNOT SILVER ANCHO</t>
        </is>
      </c>
      <c r="C187" s="13" t="inlineStr">
        <is>
          <t>6</t>
        </is>
      </c>
      <c r="D187" s="14" t="inlineStr">
        <is>
          <t>Copper alloy</t>
        </is>
      </c>
      <c r="E187" s="13" t="n"/>
      <c r="F187" s="15" t="n">
        <v>5</v>
      </c>
      <c r="G187" s="13" t="n"/>
      <c r="H187" s="13" t="n"/>
      <c r="I187" s="13" t="n"/>
      <c r="J187" s="15" t="n">
        <v>5</v>
      </c>
      <c r="K187" s="13" t="n"/>
      <c r="L187" s="13" t="n"/>
      <c r="M187" s="15" t="n">
        <v>5</v>
      </c>
      <c r="N187" s="15" t="n">
        <v>5</v>
      </c>
      <c r="O187" s="13" t="n"/>
      <c r="P187" s="13" t="n"/>
      <c r="Q187" s="15" t="n">
        <v>5</v>
      </c>
      <c r="R187" s="16">
        <f>IF(COUNT(E187:Q187)=0,"",MIN(E187:Q187))</f>
        <v/>
      </c>
      <c r="S187" s="15">
        <f>IF(COUNT(E187:Q187)=0,"",LOOKUP(2,1/(E187:Q187&lt;&gt;""),E187:Q187))</f>
        <v/>
      </c>
      <c r="T187" s="17">
        <f>IF(R187="","",ROUND(R187*RESUMEN!$B$4,0))</f>
        <v/>
      </c>
      <c r="U187" s="18">
        <f>COUNT(E187:Q187)</f>
        <v/>
      </c>
    </row>
    <row r="188">
      <c r="A188" s="13" t="inlineStr">
        <is>
          <t>89205551202765</t>
        </is>
      </c>
      <c r="B188" s="13" t="inlineStr">
        <is>
          <t>ANILLO KNOT SILVER ANCHO</t>
        </is>
      </c>
      <c r="C188" s="13" t="inlineStr">
        <is>
          <t>8</t>
        </is>
      </c>
      <c r="D188" s="14" t="inlineStr">
        <is>
          <t>Copper alloy</t>
        </is>
      </c>
      <c r="E188" s="13" t="n"/>
      <c r="F188" s="15" t="n">
        <v>5</v>
      </c>
      <c r="G188" s="13" t="n"/>
      <c r="H188" s="13" t="n"/>
      <c r="I188" s="13" t="n"/>
      <c r="J188" s="13" t="n"/>
      <c r="K188" s="13" t="n"/>
      <c r="L188" s="13" t="n"/>
      <c r="M188" s="15" t="n">
        <v>5</v>
      </c>
      <c r="N188" s="15" t="n">
        <v>5</v>
      </c>
      <c r="O188" s="13" t="n"/>
      <c r="P188" s="13" t="n"/>
      <c r="Q188" s="13" t="n"/>
      <c r="R188" s="16">
        <f>IF(COUNT(E188:Q188)=0,"",MIN(E188:Q188))</f>
        <v/>
      </c>
      <c r="S188" s="15">
        <f>IF(COUNT(E188:Q188)=0,"",LOOKUP(2,1/(E188:Q188&lt;&gt;""),E188:Q188))</f>
        <v/>
      </c>
      <c r="T188" s="17">
        <f>IF(R188="","",ROUND(R188*RESUMEN!$B$4,0))</f>
        <v/>
      </c>
      <c r="U188" s="18">
        <f>COUNT(E188:Q188)</f>
        <v/>
      </c>
    </row>
    <row r="189">
      <c r="A189" s="13" t="inlineStr">
        <is>
          <t>89205551347661</t>
        </is>
      </c>
      <c r="B189" s="13" t="inlineStr">
        <is>
          <t>ANILLO KNOT SILVER ZIRCONIAS</t>
        </is>
      </c>
      <c r="C189" s="13" t="inlineStr">
        <is>
          <t>6</t>
        </is>
      </c>
      <c r="D189" s="14" t="inlineStr">
        <is>
          <t>Copper Alloy</t>
        </is>
      </c>
      <c r="E189" s="13" t="n"/>
      <c r="F189" s="15" t="n">
        <v>6.5</v>
      </c>
      <c r="G189" s="13" t="n"/>
      <c r="H189" s="13" t="n"/>
      <c r="I189" s="13" t="n"/>
      <c r="J189" s="15" t="n">
        <v>6.5</v>
      </c>
      <c r="K189" s="13" t="n"/>
      <c r="L189" s="13" t="n"/>
      <c r="M189" s="13" t="n"/>
      <c r="N189" s="15" t="n">
        <v>6.5</v>
      </c>
      <c r="O189" s="13" t="n"/>
      <c r="P189" s="13" t="n"/>
      <c r="Q189" s="15" t="n">
        <v>6.5</v>
      </c>
      <c r="R189" s="16">
        <f>IF(COUNT(E189:Q189)=0,"",MIN(E189:Q189))</f>
        <v/>
      </c>
      <c r="S189" s="15">
        <f>IF(COUNT(E189:Q189)=0,"",LOOKUP(2,1/(E189:Q189&lt;&gt;""),E189:Q189))</f>
        <v/>
      </c>
      <c r="T189" s="17">
        <f>IF(R189="","",ROUND(R189*RESUMEN!$B$4,0))</f>
        <v/>
      </c>
      <c r="U189" s="18">
        <f>COUNT(E189:Q189)</f>
        <v/>
      </c>
    </row>
    <row r="190">
      <c r="A190" s="13" t="inlineStr">
        <is>
          <t>89205551480429</t>
        </is>
      </c>
      <c r="B190" s="13" t="inlineStr">
        <is>
          <t>ANILLO KNOT SILVER ZIRCONIAS</t>
        </is>
      </c>
      <c r="C190" s="13" t="inlineStr">
        <is>
          <t>7</t>
        </is>
      </c>
      <c r="D190" s="14" t="inlineStr"/>
      <c r="E190" s="13" t="n"/>
      <c r="F190" s="15" t="n">
        <v>6.5</v>
      </c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6">
        <f>IF(COUNT(E190:Q190)=0,"",MIN(E190:Q190))</f>
        <v/>
      </c>
      <c r="S190" s="15">
        <f>IF(COUNT(E190:Q190)=0,"",LOOKUP(2,1/(E190:Q190&lt;&gt;""),E190:Q190))</f>
        <v/>
      </c>
      <c r="T190" s="17">
        <f>IF(R190="","",ROUND(R190*RESUMEN!$B$4,0))</f>
        <v/>
      </c>
      <c r="U190" s="18">
        <f>COUNT(E190:Q190)</f>
        <v/>
      </c>
    </row>
    <row r="191">
      <c r="A191" s="13" t="inlineStr">
        <is>
          <t>89205551513197</t>
        </is>
      </c>
      <c r="B191" s="13" t="inlineStr">
        <is>
          <t>ANILLO KNOT SILVER ZIRCONIAS</t>
        </is>
      </c>
      <c r="C191" s="13" t="inlineStr">
        <is>
          <t>8</t>
        </is>
      </c>
      <c r="D191" s="14" t="inlineStr">
        <is>
          <t>Copper Alloy</t>
        </is>
      </c>
      <c r="E191" s="13" t="n"/>
      <c r="F191" s="15" t="n">
        <v>6.5</v>
      </c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5" t="n">
        <v>6.5</v>
      </c>
      <c r="R191" s="16">
        <f>IF(COUNT(E191:Q191)=0,"",MIN(E191:Q191))</f>
        <v/>
      </c>
      <c r="S191" s="15">
        <f>IF(COUNT(E191:Q191)=0,"",LOOKUP(2,1/(E191:Q191&lt;&gt;""),E191:Q191))</f>
        <v/>
      </c>
      <c r="T191" s="17">
        <f>IF(R191="","",ROUND(R191*RESUMEN!$B$4,0))</f>
        <v/>
      </c>
      <c r="U191" s="18">
        <f>COUNT(E191:Q191)</f>
        <v/>
      </c>
    </row>
    <row r="192">
      <c r="A192" s="13" t="inlineStr">
        <is>
          <t>71036864415628</t>
        </is>
      </c>
      <c r="B192" s="13" t="inlineStr">
        <is>
          <t>ANILLO LOCK GOLD</t>
        </is>
      </c>
      <c r="C192" s="13" t="inlineStr">
        <is>
          <t>6</t>
        </is>
      </c>
      <c r="D192" s="14" t="inlineStr">
        <is>
          <t>copper alloy</t>
        </is>
      </c>
      <c r="E192" s="13" t="n"/>
      <c r="F192" s="13" t="n"/>
      <c r="G192" s="13" t="n"/>
      <c r="H192" s="13" t="n"/>
      <c r="I192" s="15" t="n">
        <v>5</v>
      </c>
      <c r="J192" s="13" t="n"/>
      <c r="K192" s="13" t="n"/>
      <c r="L192" s="13" t="n"/>
      <c r="M192" s="15" t="n">
        <v>5</v>
      </c>
      <c r="N192" s="13" t="n"/>
      <c r="O192" s="13" t="n"/>
      <c r="P192" s="15" t="n">
        <v>5</v>
      </c>
      <c r="Q192" s="13" t="n"/>
      <c r="R192" s="16">
        <f>IF(COUNT(E192:Q192)=0,"",MIN(E192:Q192))</f>
        <v/>
      </c>
      <c r="S192" s="15">
        <f>IF(COUNT(E192:Q192)=0,"",LOOKUP(2,1/(E192:Q192&lt;&gt;""),E192:Q192))</f>
        <v/>
      </c>
      <c r="T192" s="17">
        <f>IF(R192="","",ROUND(R192*RESUMEN!$B$4,0))</f>
        <v/>
      </c>
      <c r="U192" s="18">
        <f>COUNT(E192:Q192)</f>
        <v/>
      </c>
    </row>
    <row r="193">
      <c r="A193" s="13" t="inlineStr">
        <is>
          <t>71036874448396</t>
        </is>
      </c>
      <c r="B193" s="13" t="inlineStr">
        <is>
          <t>ANILLO LOCK GOLD</t>
        </is>
      </c>
      <c r="C193" s="13" t="inlineStr">
        <is>
          <t>7</t>
        </is>
      </c>
      <c r="D193" s="14" t="inlineStr">
        <is>
          <t>Copper alloy</t>
        </is>
      </c>
      <c r="E193" s="15" t="n">
        <v>5</v>
      </c>
      <c r="F193" s="15" t="n">
        <v>5</v>
      </c>
      <c r="G193" s="13" t="n"/>
      <c r="H193" s="15" t="n">
        <v>5</v>
      </c>
      <c r="I193" s="15" t="n">
        <v>5</v>
      </c>
      <c r="J193" s="13" t="n"/>
      <c r="K193" s="13" t="n"/>
      <c r="L193" s="13" t="n"/>
      <c r="M193" s="13" t="n"/>
      <c r="N193" s="15" t="n">
        <v>5</v>
      </c>
      <c r="O193" s="13" t="n"/>
      <c r="P193" s="13" t="n"/>
      <c r="Q193" s="13" t="n"/>
      <c r="R193" s="16">
        <f>IF(COUNT(E193:Q193)=0,"",MIN(E193:Q193))</f>
        <v/>
      </c>
      <c r="S193" s="15">
        <f>IF(COUNT(E193:Q193)=0,"",LOOKUP(2,1/(E193:Q193&lt;&gt;""),E193:Q193))</f>
        <v/>
      </c>
      <c r="T193" s="17">
        <f>IF(R193="","",ROUND(R193*RESUMEN!$B$4,0))</f>
        <v/>
      </c>
      <c r="U193" s="18">
        <f>COUNT(E193:Q193)</f>
        <v/>
      </c>
    </row>
    <row r="194">
      <c r="A194" s="13" t="inlineStr">
        <is>
          <t>71036874481164</t>
        </is>
      </c>
      <c r="B194" s="13" t="inlineStr">
        <is>
          <t>ANILLO LOCK GOLD</t>
        </is>
      </c>
      <c r="C194" s="13" t="inlineStr">
        <is>
          <t>8</t>
        </is>
      </c>
      <c r="D194" s="14" t="inlineStr">
        <is>
          <t>copper alloy</t>
        </is>
      </c>
      <c r="E194" s="15" t="n">
        <v>5</v>
      </c>
      <c r="F194" s="13" t="n"/>
      <c r="G194" s="13" t="n"/>
      <c r="H194" s="15" t="n">
        <v>5</v>
      </c>
      <c r="I194" s="15" t="n">
        <v>5</v>
      </c>
      <c r="J194" s="13" t="n"/>
      <c r="K194" s="13" t="n"/>
      <c r="L194" s="13" t="n"/>
      <c r="M194" s="13" t="n"/>
      <c r="N194" s="15" t="n">
        <v>5</v>
      </c>
      <c r="O194" s="13" t="n"/>
      <c r="P194" s="15" t="n">
        <v>5</v>
      </c>
      <c r="Q194" s="13" t="n"/>
      <c r="R194" s="16">
        <f>IF(COUNT(E194:Q194)=0,"",MIN(E194:Q194))</f>
        <v/>
      </c>
      <c r="S194" s="15">
        <f>IF(COUNT(E194:Q194)=0,"",LOOKUP(2,1/(E194:Q194&lt;&gt;""),E194:Q194))</f>
        <v/>
      </c>
      <c r="T194" s="17">
        <f>IF(R194="","",ROUND(R194*RESUMEN!$B$4,0))</f>
        <v/>
      </c>
      <c r="U194" s="18">
        <f>COUNT(E194:Q194)</f>
        <v/>
      </c>
    </row>
    <row r="195">
      <c r="A195" s="13" t="inlineStr">
        <is>
          <t>71036876217868</t>
        </is>
      </c>
      <c r="B195" s="13" t="inlineStr">
        <is>
          <t>ANILLO LOCK SILVER</t>
        </is>
      </c>
      <c r="C195" s="13" t="inlineStr">
        <is>
          <t>6</t>
        </is>
      </c>
      <c r="D195" s="14" t="inlineStr">
        <is>
          <t>Copper alloy</t>
        </is>
      </c>
      <c r="E195" s="13" t="n"/>
      <c r="F195" s="13" t="n"/>
      <c r="G195" s="13" t="n"/>
      <c r="H195" s="15" t="n">
        <v>5</v>
      </c>
      <c r="I195" s="15" t="n">
        <v>5</v>
      </c>
      <c r="J195" s="13" t="n"/>
      <c r="K195" s="13" t="n"/>
      <c r="L195" s="13" t="n"/>
      <c r="M195" s="13" t="n"/>
      <c r="N195" s="13" t="n"/>
      <c r="O195" s="13" t="n"/>
      <c r="P195" s="15" t="n">
        <v>5</v>
      </c>
      <c r="Q195" s="13" t="n"/>
      <c r="R195" s="16">
        <f>IF(COUNT(E195:Q195)=0,"",MIN(E195:Q195))</f>
        <v/>
      </c>
      <c r="S195" s="15">
        <f>IF(COUNT(E195:Q195)=0,"",LOOKUP(2,1/(E195:Q195&lt;&gt;""),E195:Q195))</f>
        <v/>
      </c>
      <c r="T195" s="17">
        <f>IF(R195="","",ROUND(R195*RESUMEN!$B$4,0))</f>
        <v/>
      </c>
      <c r="U195" s="18">
        <f>COUNT(E195:Q195)</f>
        <v/>
      </c>
    </row>
    <row r="196">
      <c r="A196" s="13" t="inlineStr">
        <is>
          <t>71036876250636</t>
        </is>
      </c>
      <c r="B196" s="13" t="inlineStr">
        <is>
          <t>ANILLO LOCK SILVER</t>
        </is>
      </c>
      <c r="C196" s="13" t="inlineStr">
        <is>
          <t>7</t>
        </is>
      </c>
      <c r="D196" s="14" t="inlineStr">
        <is>
          <t>Copper Alloy</t>
        </is>
      </c>
      <c r="E196" s="13" t="n"/>
      <c r="F196" s="15" t="n">
        <v>5</v>
      </c>
      <c r="G196" s="13" t="n"/>
      <c r="H196" s="13" t="n"/>
      <c r="I196" s="15" t="n">
        <v>5</v>
      </c>
      <c r="J196" s="15" t="n">
        <v>5</v>
      </c>
      <c r="K196" s="13" t="n"/>
      <c r="L196" s="13" t="n"/>
      <c r="M196" s="13" t="n"/>
      <c r="N196" s="13" t="n"/>
      <c r="O196" s="13" t="n"/>
      <c r="P196" s="15" t="n">
        <v>5</v>
      </c>
      <c r="Q196" s="13" t="n"/>
      <c r="R196" s="16">
        <f>IF(COUNT(E196:Q196)=0,"",MIN(E196:Q196))</f>
        <v/>
      </c>
      <c r="S196" s="15">
        <f>IF(COUNT(E196:Q196)=0,"",LOOKUP(2,1/(E196:Q196&lt;&gt;""),E196:Q196))</f>
        <v/>
      </c>
      <c r="T196" s="17">
        <f>IF(R196="","",ROUND(R196*RESUMEN!$B$4,0))</f>
        <v/>
      </c>
      <c r="U196" s="18">
        <f>COUNT(E196:Q196)</f>
        <v/>
      </c>
    </row>
    <row r="197">
      <c r="A197" s="13" t="inlineStr">
        <is>
          <t>71036876283404</t>
        </is>
      </c>
      <c r="B197" s="13" t="inlineStr">
        <is>
          <t>ANILLO LOCK SILVER</t>
        </is>
      </c>
      <c r="C197" s="13" t="inlineStr">
        <is>
          <t>8</t>
        </is>
      </c>
      <c r="D197" s="14" t="inlineStr">
        <is>
          <t>Copper alloy</t>
        </is>
      </c>
      <c r="E197" s="15" t="n">
        <v>5</v>
      </c>
      <c r="F197" s="13" t="n"/>
      <c r="G197" s="13" t="n"/>
      <c r="H197" s="15" t="n">
        <v>5</v>
      </c>
      <c r="I197" s="15" t="n">
        <v>5</v>
      </c>
      <c r="J197" s="15" t="n">
        <v>5</v>
      </c>
      <c r="K197" s="13" t="n"/>
      <c r="L197" s="13" t="n"/>
      <c r="M197" s="15" t="n">
        <v>5</v>
      </c>
      <c r="N197" s="13" t="n"/>
      <c r="O197" s="13" t="n"/>
      <c r="P197" s="15" t="n">
        <v>5</v>
      </c>
      <c r="Q197" s="13" t="n"/>
      <c r="R197" s="16">
        <f>IF(COUNT(E197:Q197)=0,"",MIN(E197:Q197))</f>
        <v/>
      </c>
      <c r="S197" s="15">
        <f>IF(COUNT(E197:Q197)=0,"",LOOKUP(2,1/(E197:Q197&lt;&gt;""),E197:Q197))</f>
        <v/>
      </c>
      <c r="T197" s="17">
        <f>IF(R197="","",ROUND(R197*RESUMEN!$B$4,0))</f>
        <v/>
      </c>
      <c r="U197" s="18">
        <f>COUNT(E197:Q197)</f>
        <v/>
      </c>
    </row>
    <row r="198">
      <c r="A198" s="13" t="inlineStr">
        <is>
          <t>66593bcf8df22</t>
        </is>
      </c>
      <c r="B198" s="13" t="inlineStr">
        <is>
          <t>ANILLO LOVE ANCHO CON ZIRCONIA SILVER</t>
        </is>
      </c>
      <c r="C198" s="13" t="inlineStr">
        <is>
          <t>8</t>
        </is>
      </c>
      <c r="D198" s="14" t="inlineStr"/>
      <c r="E198" s="13" t="n"/>
      <c r="F198" s="13" t="n"/>
      <c r="G198" s="13" t="n"/>
      <c r="H198" s="13" t="n"/>
      <c r="I198" s="15" t="n">
        <v>1.8</v>
      </c>
      <c r="J198" s="13" t="n"/>
      <c r="K198" s="13" t="n"/>
      <c r="L198" s="13" t="n"/>
      <c r="M198" s="13" t="n"/>
      <c r="N198" s="13" t="n"/>
      <c r="O198" s="15" t="n">
        <v>1.8</v>
      </c>
      <c r="P198" s="13" t="n"/>
      <c r="Q198" s="13" t="n"/>
      <c r="R198" s="16">
        <f>IF(COUNT(E198:Q198)=0,"",MIN(E198:Q198))</f>
        <v/>
      </c>
      <c r="S198" s="15">
        <f>IF(COUNT(E198:Q198)=0,"",LOOKUP(2,1/(E198:Q198&lt;&gt;""),E198:Q198))</f>
        <v/>
      </c>
      <c r="T198" s="17">
        <f>IF(R198="","",ROUND(R198*RESUMEN!$B$4,0))</f>
        <v/>
      </c>
      <c r="U198" s="18">
        <f>COUNT(E198:Q198)</f>
        <v/>
      </c>
    </row>
    <row r="199">
      <c r="A199" s="13" t="inlineStr">
        <is>
          <t>89246881063213</t>
        </is>
      </c>
      <c r="B199" s="13" t="inlineStr">
        <is>
          <t>ANILLO LOVE CERAMIC</t>
        </is>
      </c>
      <c r="C199" s="13" t="inlineStr">
        <is>
          <t>8</t>
        </is>
      </c>
      <c r="D199" s="14" t="inlineStr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5" t="n">
        <v>6</v>
      </c>
      <c r="O199" s="13" t="n"/>
      <c r="P199" s="13" t="n"/>
      <c r="Q199" s="13" t="n"/>
      <c r="R199" s="16">
        <f>IF(COUNT(E199:Q199)=0,"",MIN(E199:Q199))</f>
        <v/>
      </c>
      <c r="S199" s="15">
        <f>IF(COUNT(E199:Q199)=0,"",LOOKUP(2,1/(E199:Q199&lt;&gt;""),E199:Q199))</f>
        <v/>
      </c>
      <c r="T199" s="17">
        <f>IF(R199="","",ROUND(R199*RESUMEN!$B$4,0))</f>
        <v/>
      </c>
      <c r="U199" s="18">
        <f>COUNT(E199:Q199)</f>
        <v/>
      </c>
    </row>
    <row r="200">
      <c r="A200" s="13" t="inlineStr">
        <is>
          <t>82224433964333</t>
        </is>
      </c>
      <c r="B200" s="13" t="inlineStr">
        <is>
          <t>ANILLO LOVE CON ZIRCONIA GOLD</t>
        </is>
      </c>
      <c r="C200" s="13" t="inlineStr">
        <is>
          <t>10</t>
        </is>
      </c>
      <c r="D200" s="14" t="inlineStr">
        <is>
          <t>nan</t>
        </is>
      </c>
      <c r="E200" s="13" t="n"/>
      <c r="F200" s="13" t="n"/>
      <c r="G200" s="13" t="n"/>
      <c r="H200" s="13" t="n"/>
      <c r="I200" s="15" t="n">
        <v>1.8</v>
      </c>
      <c r="J200" s="13" t="n"/>
      <c r="K200" s="13" t="n"/>
      <c r="L200" s="13" t="n"/>
      <c r="M200" s="15" t="n">
        <v>1.8</v>
      </c>
      <c r="N200" s="13" t="n"/>
      <c r="O200" s="13" t="n"/>
      <c r="P200" s="13" t="n"/>
      <c r="Q200" s="13" t="n"/>
      <c r="R200" s="16">
        <f>IF(COUNT(E200:Q200)=0,"",MIN(E200:Q200))</f>
        <v/>
      </c>
      <c r="S200" s="15">
        <f>IF(COUNT(E200:Q200)=0,"",LOOKUP(2,1/(E200:Q200&lt;&gt;""),E200:Q200))</f>
        <v/>
      </c>
      <c r="T200" s="17">
        <f>IF(R200="","",ROUND(R200*RESUMEN!$B$4,0))</f>
        <v/>
      </c>
      <c r="U200" s="18">
        <f>COUNT(E200:Q200)</f>
        <v/>
      </c>
    </row>
    <row r="201">
      <c r="A201" s="13" t="inlineStr">
        <is>
          <t>82224433400493</t>
        </is>
      </c>
      <c r="B201" s="13" t="inlineStr">
        <is>
          <t>ANILLO LOVE CON ZIRCONIA GOLD</t>
        </is>
      </c>
      <c r="C201" s="13" t="inlineStr">
        <is>
          <t>5</t>
        </is>
      </c>
      <c r="D201" s="14" t="inlineStr"/>
      <c r="E201" s="13" t="n"/>
      <c r="F201" s="13" t="n"/>
      <c r="G201" s="13" t="n"/>
      <c r="H201" s="13" t="n"/>
      <c r="I201" s="15" t="n">
        <v>1.8</v>
      </c>
      <c r="J201" s="13" t="n"/>
      <c r="K201" s="13" t="n"/>
      <c r="L201" s="15" t="n">
        <v>1.8</v>
      </c>
      <c r="M201" s="13" t="n"/>
      <c r="N201" s="13" t="n"/>
      <c r="O201" s="13" t="n"/>
      <c r="P201" s="13" t="n"/>
      <c r="Q201" s="13" t="n"/>
      <c r="R201" s="16">
        <f>IF(COUNT(E201:Q201)=0,"",MIN(E201:Q201))</f>
        <v/>
      </c>
      <c r="S201" s="15">
        <f>IF(COUNT(E201:Q201)=0,"",LOOKUP(2,1/(E201:Q201&lt;&gt;""),E201:Q201))</f>
        <v/>
      </c>
      <c r="T201" s="17">
        <f>IF(R201="","",ROUND(R201*RESUMEN!$B$4,0))</f>
        <v/>
      </c>
      <c r="U201" s="18">
        <f>COUNT(E201:Q201)</f>
        <v/>
      </c>
    </row>
    <row r="202">
      <c r="A202" s="13" t="inlineStr">
        <is>
          <t>82224433533261</t>
        </is>
      </c>
      <c r="B202" s="13" t="inlineStr">
        <is>
          <t>ANILLO LOVE CON ZIRCONIA GOLD</t>
        </is>
      </c>
      <c r="C202" s="13" t="inlineStr">
        <is>
          <t>6</t>
        </is>
      </c>
      <c r="D202" s="14" t="inlineStr">
        <is>
          <t>Stainless stee</t>
        </is>
      </c>
      <c r="E202" s="13" t="n"/>
      <c r="F202" s="15" t="n">
        <v>1.8</v>
      </c>
      <c r="G202" s="13" t="n"/>
      <c r="H202" s="13" t="n"/>
      <c r="I202" s="13" t="n"/>
      <c r="J202" s="15" t="n">
        <v>1.8</v>
      </c>
      <c r="K202" s="13" t="n"/>
      <c r="L202" s="15" t="n">
        <v>1.8</v>
      </c>
      <c r="M202" s="13" t="n"/>
      <c r="N202" s="13" t="n"/>
      <c r="O202" s="13" t="n"/>
      <c r="P202" s="13" t="n"/>
      <c r="Q202" s="13" t="n"/>
      <c r="R202" s="16">
        <f>IF(COUNT(E202:Q202)=0,"",MIN(E202:Q202))</f>
        <v/>
      </c>
      <c r="S202" s="15">
        <f>IF(COUNT(E202:Q202)=0,"",LOOKUP(2,1/(E202:Q202&lt;&gt;""),E202:Q202))</f>
        <v/>
      </c>
      <c r="T202" s="17">
        <f>IF(R202="","",ROUND(R202*RESUMEN!$B$4,0))</f>
        <v/>
      </c>
      <c r="U202" s="18">
        <f>COUNT(E202:Q202)</f>
        <v/>
      </c>
    </row>
    <row r="203">
      <c r="A203" s="13" t="inlineStr">
        <is>
          <t>82224433666029</t>
        </is>
      </c>
      <c r="B203" s="13" t="inlineStr">
        <is>
          <t>ANILLO LOVE CON ZIRCONIA GOLD</t>
        </is>
      </c>
      <c r="C203" s="13" t="inlineStr">
        <is>
          <t>7</t>
        </is>
      </c>
      <c r="D203" s="14" t="inlineStr">
        <is>
          <t>Stainless Stee</t>
        </is>
      </c>
      <c r="E203" s="13" t="n"/>
      <c r="F203" s="13" t="n"/>
      <c r="G203" s="13" t="n"/>
      <c r="H203" s="15" t="n">
        <v>1.8</v>
      </c>
      <c r="I203" s="15" t="n">
        <v>1.8</v>
      </c>
      <c r="J203" s="13" t="n"/>
      <c r="K203" s="13" t="n"/>
      <c r="L203" s="13" t="n"/>
      <c r="M203" s="13" t="n"/>
      <c r="N203" s="13" t="n"/>
      <c r="O203" s="13" t="n"/>
      <c r="P203" s="15" t="n">
        <v>1.8</v>
      </c>
      <c r="Q203" s="13" t="n"/>
      <c r="R203" s="16">
        <f>IF(COUNT(E203:Q203)=0,"",MIN(E203:Q203))</f>
        <v/>
      </c>
      <c r="S203" s="15">
        <f>IF(COUNT(E203:Q203)=0,"",LOOKUP(2,1/(E203:Q203&lt;&gt;""),E203:Q203))</f>
        <v/>
      </c>
      <c r="T203" s="17">
        <f>IF(R203="","",ROUND(R203*RESUMEN!$B$4,0))</f>
        <v/>
      </c>
      <c r="U203" s="18">
        <f>COUNT(E203:Q203)</f>
        <v/>
      </c>
    </row>
    <row r="204">
      <c r="A204" s="13" t="inlineStr">
        <is>
          <t>82224433798797</t>
        </is>
      </c>
      <c r="B204" s="13" t="inlineStr">
        <is>
          <t>ANILLO LOVE CON ZIRCONIA GOLD</t>
        </is>
      </c>
      <c r="C204" s="13" t="inlineStr">
        <is>
          <t>8</t>
        </is>
      </c>
      <c r="D204" s="14" t="inlineStr">
        <is>
          <t>Stainless Stee</t>
        </is>
      </c>
      <c r="E204" s="13" t="n"/>
      <c r="F204" s="13" t="n"/>
      <c r="G204" s="13" t="n"/>
      <c r="H204" s="13" t="n"/>
      <c r="I204" s="15" t="n">
        <v>1.8</v>
      </c>
      <c r="J204" s="15" t="n">
        <v>1.8</v>
      </c>
      <c r="K204" s="13" t="n"/>
      <c r="L204" s="13" t="n"/>
      <c r="M204" s="13" t="n"/>
      <c r="N204" s="13" t="n"/>
      <c r="O204" s="13" t="n"/>
      <c r="P204" s="15" t="n">
        <v>1.8</v>
      </c>
      <c r="Q204" s="13" t="n"/>
      <c r="R204" s="16">
        <f>IF(COUNT(E204:Q204)=0,"",MIN(E204:Q204))</f>
        <v/>
      </c>
      <c r="S204" s="15">
        <f>IF(COUNT(E204:Q204)=0,"",LOOKUP(2,1/(E204:Q204&lt;&gt;""),E204:Q204))</f>
        <v/>
      </c>
      <c r="T204" s="17">
        <f>IF(R204="","",ROUND(R204*RESUMEN!$B$4,0))</f>
        <v/>
      </c>
      <c r="U204" s="18">
        <f>COUNT(E204:Q204)</f>
        <v/>
      </c>
    </row>
    <row r="205">
      <c r="A205" s="13" t="inlineStr">
        <is>
          <t>82224433831565</t>
        </is>
      </c>
      <c r="B205" s="13" t="inlineStr">
        <is>
          <t>ANILLO LOVE CON ZIRCONIA GOLD</t>
        </is>
      </c>
      <c r="C205" s="13" t="inlineStr">
        <is>
          <t>9</t>
        </is>
      </c>
      <c r="D205" s="14" t="inlineStr">
        <is>
          <t>nan</t>
        </is>
      </c>
      <c r="E205" s="13" t="n"/>
      <c r="F205" s="15" t="n">
        <v>1.8</v>
      </c>
      <c r="G205" s="13" t="n"/>
      <c r="H205" s="13" t="n"/>
      <c r="I205" s="15" t="n">
        <v>1.8</v>
      </c>
      <c r="J205" s="13" t="n"/>
      <c r="K205" s="13" t="n"/>
      <c r="L205" s="15" t="n">
        <v>1.8</v>
      </c>
      <c r="M205" s="15" t="n">
        <v>1.8</v>
      </c>
      <c r="N205" s="13" t="n"/>
      <c r="O205" s="13" t="n"/>
      <c r="P205" s="13" t="n"/>
      <c r="Q205" s="13" t="n"/>
      <c r="R205" s="16">
        <f>IF(COUNT(E205:Q205)=0,"",MIN(E205:Q205))</f>
        <v/>
      </c>
      <c r="S205" s="15">
        <f>IF(COUNT(E205:Q205)=0,"",LOOKUP(2,1/(E205:Q205&lt;&gt;""),E205:Q205))</f>
        <v/>
      </c>
      <c r="T205" s="17">
        <f>IF(R205="","",ROUND(R205*RESUMEN!$B$4,0))</f>
        <v/>
      </c>
      <c r="U205" s="18">
        <f>COUNT(E205:Q205)</f>
        <v/>
      </c>
    </row>
    <row r="206">
      <c r="A206" s="13" t="inlineStr">
        <is>
          <t>82224434292013</t>
        </is>
      </c>
      <c r="B206" s="13" t="inlineStr">
        <is>
          <t>ANILLO LOVE CON ZIRCONIA ROSE GOLD</t>
        </is>
      </c>
      <c r="C206" s="13" t="inlineStr">
        <is>
          <t>7</t>
        </is>
      </c>
      <c r="D206" s="14" t="inlineStr">
        <is>
          <t>Stainless Stee</t>
        </is>
      </c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5" t="n">
        <v>1.8</v>
      </c>
      <c r="R206" s="16">
        <f>IF(COUNT(E206:Q206)=0,"",MIN(E206:Q206))</f>
        <v/>
      </c>
      <c r="S206" s="15">
        <f>IF(COUNT(E206:Q206)=0,"",LOOKUP(2,1/(E206:Q206&lt;&gt;""),E206:Q206))</f>
        <v/>
      </c>
      <c r="T206" s="17">
        <f>IF(R206="","",ROUND(R206*RESUMEN!$B$4,0))</f>
        <v/>
      </c>
      <c r="U206" s="18">
        <f>COUNT(E206:Q206)</f>
        <v/>
      </c>
    </row>
    <row r="207">
      <c r="A207" s="13" t="inlineStr">
        <is>
          <t>82224434457549</t>
        </is>
      </c>
      <c r="B207" s="13" t="inlineStr">
        <is>
          <t>ANILLO LOVE CON ZIRCONIA ROSE GOLD</t>
        </is>
      </c>
      <c r="C207" s="13" t="inlineStr">
        <is>
          <t>9</t>
        </is>
      </c>
      <c r="D207" s="14" t="inlineStr">
        <is>
          <t>Stainless Stee</t>
        </is>
      </c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5" t="n">
        <v>1.8</v>
      </c>
      <c r="R207" s="16">
        <f>IF(COUNT(E207:Q207)=0,"",MIN(E207:Q207))</f>
        <v/>
      </c>
      <c r="S207" s="15">
        <f>IF(COUNT(E207:Q207)=0,"",LOOKUP(2,1/(E207:Q207&lt;&gt;""),E207:Q207))</f>
        <v/>
      </c>
      <c r="T207" s="17">
        <f>IF(R207="","",ROUND(R207*RESUMEN!$B$4,0))</f>
        <v/>
      </c>
      <c r="U207" s="18">
        <f>COUNT(E207:Q207)</f>
        <v/>
      </c>
    </row>
    <row r="208">
      <c r="A208" s="13" t="inlineStr">
        <is>
          <t>82224434159245</t>
        </is>
      </c>
      <c r="B208" s="13" t="inlineStr">
        <is>
          <t>ANILLO LOVE CON ZIRCONIA ROSEGOLD</t>
        </is>
      </c>
      <c r="C208" s="13" t="inlineStr">
        <is>
          <t>6</t>
        </is>
      </c>
      <c r="D208" s="14" t="inlineStr"/>
      <c r="E208" s="13" t="n"/>
      <c r="F208" s="13" t="n"/>
      <c r="G208" s="13" t="n"/>
      <c r="H208" s="13" t="n"/>
      <c r="I208" s="15" t="n">
        <v>1.8</v>
      </c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6">
        <f>IF(COUNT(E208:Q208)=0,"",MIN(E208:Q208))</f>
        <v/>
      </c>
      <c r="S208" s="15">
        <f>IF(COUNT(E208:Q208)=0,"",LOOKUP(2,1/(E208:Q208&lt;&gt;""),E208:Q208))</f>
        <v/>
      </c>
      <c r="T208" s="17">
        <f>IF(R208="","",ROUND(R208*RESUMEN!$B$4,0))</f>
        <v/>
      </c>
      <c r="U208" s="18">
        <f>COUNT(E208:Q208)</f>
        <v/>
      </c>
    </row>
    <row r="209">
      <c r="A209" s="13" t="inlineStr">
        <is>
          <t>59436481593709</t>
        </is>
      </c>
      <c r="B209" s="13" t="inlineStr">
        <is>
          <t>ANILLO LOVE CON ZIRCONIA SILVER</t>
        </is>
      </c>
      <c r="C209" s="13" t="inlineStr">
        <is>
          <t>10</t>
        </is>
      </c>
      <c r="D209" s="14" t="inlineStr">
        <is>
          <t>SIN MATERIAL</t>
        </is>
      </c>
      <c r="E209" s="13" t="n"/>
      <c r="F209" s="13" t="n"/>
      <c r="G209" s="13" t="n"/>
      <c r="H209" s="13" t="n"/>
      <c r="I209" s="15" t="n">
        <v>1.8</v>
      </c>
      <c r="J209" s="13" t="n"/>
      <c r="K209" s="13" t="n"/>
      <c r="L209" s="13" t="n"/>
      <c r="M209" s="13" t="n"/>
      <c r="N209" s="15" t="n">
        <v>1.8</v>
      </c>
      <c r="O209" s="13" t="n"/>
      <c r="P209" s="13" t="n"/>
      <c r="Q209" s="15" t="n">
        <v>1.8</v>
      </c>
      <c r="R209" s="16">
        <f>IF(COUNT(E209:Q209)=0,"",MIN(E209:Q209))</f>
        <v/>
      </c>
      <c r="S209" s="15">
        <f>IF(COUNT(E209:Q209)=0,"",LOOKUP(2,1/(E209:Q209&lt;&gt;""),E209:Q209))</f>
        <v/>
      </c>
      <c r="T209" s="17">
        <f>IF(R209="","",ROUND(R209*RESUMEN!$B$4,0))</f>
        <v/>
      </c>
      <c r="U209" s="18">
        <f>COUNT(E209:Q209)</f>
        <v/>
      </c>
    </row>
    <row r="210">
      <c r="A210" s="13" t="inlineStr">
        <is>
          <t>59436481029869</t>
        </is>
      </c>
      <c r="B210" s="13" t="inlineStr">
        <is>
          <t>ANILLO LOVE CON ZIRCONIA SILVER</t>
        </is>
      </c>
      <c r="C210" s="13" t="inlineStr">
        <is>
          <t>5</t>
        </is>
      </c>
      <c r="D210" s="14" t="inlineStr">
        <is>
          <t>Stainless Stee</t>
        </is>
      </c>
      <c r="E210" s="13" t="n"/>
      <c r="F210" s="15" t="n">
        <v>1.8</v>
      </c>
      <c r="G210" s="13" t="n"/>
      <c r="H210" s="13" t="n"/>
      <c r="I210" s="13" t="n"/>
      <c r="J210" s="13" t="n"/>
      <c r="K210" s="13" t="n"/>
      <c r="L210" s="15" t="n">
        <v>1.8</v>
      </c>
      <c r="M210" s="13" t="n"/>
      <c r="N210" s="13" t="n"/>
      <c r="O210" s="13" t="n"/>
      <c r="P210" s="15" t="n">
        <v>1.8</v>
      </c>
      <c r="Q210" s="13" t="n"/>
      <c r="R210" s="16">
        <f>IF(COUNT(E210:Q210)=0,"",MIN(E210:Q210))</f>
        <v/>
      </c>
      <c r="S210" s="15">
        <f>IF(COUNT(E210:Q210)=0,"",LOOKUP(2,1/(E210:Q210&lt;&gt;""),E210:Q210))</f>
        <v/>
      </c>
      <c r="T210" s="17">
        <f>IF(R210="","",ROUND(R210*RESUMEN!$B$4,0))</f>
        <v/>
      </c>
      <c r="U210" s="18">
        <f>COUNT(E210:Q210)</f>
        <v/>
      </c>
    </row>
    <row r="211">
      <c r="A211" s="13" t="inlineStr">
        <is>
          <t>59436481162637</t>
        </is>
      </c>
      <c r="B211" s="13" t="inlineStr">
        <is>
          <t>ANILLO LOVE CON ZIRCONIA SILVER</t>
        </is>
      </c>
      <c r="C211" s="13" t="inlineStr">
        <is>
          <t>6</t>
        </is>
      </c>
      <c r="D211" s="14" t="inlineStr">
        <is>
          <t>nan</t>
        </is>
      </c>
      <c r="E211" s="13" t="n"/>
      <c r="F211" s="13" t="n"/>
      <c r="G211" s="13" t="n"/>
      <c r="H211" s="13" t="n"/>
      <c r="I211" s="15" t="n">
        <v>1.8</v>
      </c>
      <c r="J211" s="13" t="n"/>
      <c r="K211" s="13" t="n"/>
      <c r="L211" s="13" t="n"/>
      <c r="M211" s="15" t="n">
        <v>1.8</v>
      </c>
      <c r="N211" s="13" t="n"/>
      <c r="O211" s="13" t="n"/>
      <c r="P211" s="13" t="n"/>
      <c r="Q211" s="13" t="n"/>
      <c r="R211" s="16">
        <f>IF(COUNT(E211:Q211)=0,"",MIN(E211:Q211))</f>
        <v/>
      </c>
      <c r="S211" s="15">
        <f>IF(COUNT(E211:Q211)=0,"",LOOKUP(2,1/(E211:Q211&lt;&gt;""),E211:Q211))</f>
        <v/>
      </c>
      <c r="T211" s="17">
        <f>IF(R211="","",ROUND(R211*RESUMEN!$B$4,0))</f>
        <v/>
      </c>
      <c r="U211" s="18">
        <f>COUNT(E211:Q211)</f>
        <v/>
      </c>
    </row>
    <row r="212">
      <c r="A212" s="13" t="inlineStr">
        <is>
          <t>59436481295405</t>
        </is>
      </c>
      <c r="B212" s="13" t="inlineStr">
        <is>
          <t>ANILLO LOVE CON ZIRCONIA SILVER</t>
        </is>
      </c>
      <c r="C212" s="13" t="inlineStr">
        <is>
          <t>7</t>
        </is>
      </c>
      <c r="D212" s="14" t="inlineStr">
        <is>
          <t>Stainless Stee</t>
        </is>
      </c>
      <c r="E212" s="13" t="n"/>
      <c r="F212" s="13" t="n"/>
      <c r="G212" s="13" t="n"/>
      <c r="H212" s="15" t="n">
        <v>1.8</v>
      </c>
      <c r="I212" s="15" t="n">
        <v>1.8</v>
      </c>
      <c r="J212" s="13" t="n"/>
      <c r="K212" s="13" t="n"/>
      <c r="L212" s="13" t="n"/>
      <c r="M212" s="13" t="n"/>
      <c r="N212" s="13" t="n"/>
      <c r="O212" s="13" t="n"/>
      <c r="P212" s="15" t="n">
        <v>1.8</v>
      </c>
      <c r="Q212" s="13" t="n"/>
      <c r="R212" s="16">
        <f>IF(COUNT(E212:Q212)=0,"",MIN(E212:Q212))</f>
        <v/>
      </c>
      <c r="S212" s="15">
        <f>IF(COUNT(E212:Q212)=0,"",LOOKUP(2,1/(E212:Q212&lt;&gt;""),E212:Q212))</f>
        <v/>
      </c>
      <c r="T212" s="17">
        <f>IF(R212="","",ROUND(R212*RESUMEN!$B$4,0))</f>
        <v/>
      </c>
      <c r="U212" s="18">
        <f>COUNT(E212:Q212)</f>
        <v/>
      </c>
    </row>
    <row r="213">
      <c r="A213" s="13" t="inlineStr">
        <is>
          <t>59436481328173</t>
        </is>
      </c>
      <c r="B213" s="13" t="inlineStr">
        <is>
          <t>ANILLO LOVE CON ZIRCONIA SILVER</t>
        </is>
      </c>
      <c r="C213" s="13" t="inlineStr">
        <is>
          <t>8</t>
        </is>
      </c>
      <c r="D213" s="14" t="inlineStr">
        <is>
          <t>Stainless Stee</t>
        </is>
      </c>
      <c r="E213" s="13" t="n"/>
      <c r="F213" s="15" t="n">
        <v>1.8</v>
      </c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5" t="n">
        <v>1.8</v>
      </c>
      <c r="Q213" s="13" t="n"/>
      <c r="R213" s="16">
        <f>IF(COUNT(E213:Q213)=0,"",MIN(E213:Q213))</f>
        <v/>
      </c>
      <c r="S213" s="15">
        <f>IF(COUNT(E213:Q213)=0,"",LOOKUP(2,1/(E213:Q213&lt;&gt;""),E213:Q213))</f>
        <v/>
      </c>
      <c r="T213" s="17">
        <f>IF(R213="","",ROUND(R213*RESUMEN!$B$4,0))</f>
        <v/>
      </c>
      <c r="U213" s="18">
        <f>COUNT(E213:Q213)</f>
        <v/>
      </c>
    </row>
    <row r="214">
      <c r="A214" s="13" t="inlineStr">
        <is>
          <t>59436481460941</t>
        </is>
      </c>
      <c r="B214" s="13" t="inlineStr">
        <is>
          <t>ANILLO LOVE CON ZIRCONIA SILVER</t>
        </is>
      </c>
      <c r="C214" s="13" t="inlineStr">
        <is>
          <t>9</t>
        </is>
      </c>
      <c r="D214" s="14" t="inlineStr">
        <is>
          <t>Stainless Stee</t>
        </is>
      </c>
      <c r="E214" s="13" t="n"/>
      <c r="F214" s="15" t="n">
        <v>1.8</v>
      </c>
      <c r="G214" s="13" t="n"/>
      <c r="H214" s="15" t="n">
        <v>1.8</v>
      </c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5" t="n">
        <v>1.8</v>
      </c>
      <c r="R214" s="16">
        <f>IF(COUNT(E214:Q214)=0,"",MIN(E214:Q214))</f>
        <v/>
      </c>
      <c r="S214" s="15">
        <f>IF(COUNT(E214:Q214)=0,"",LOOKUP(2,1/(E214:Q214&lt;&gt;""),E214:Q214))</f>
        <v/>
      </c>
      <c r="T214" s="17">
        <f>IF(R214="","",ROUND(R214*RESUMEN!$B$4,0))</f>
        <v/>
      </c>
      <c r="U214" s="18">
        <f>COUNT(E214:Q214)</f>
        <v/>
      </c>
    </row>
    <row r="215">
      <c r="A215" s="13" t="inlineStr">
        <is>
          <t>66176a3c25a91</t>
        </is>
      </c>
      <c r="B215" s="13" t="inlineStr">
        <is>
          <t>ANILLO LOVE GOLD</t>
        </is>
      </c>
      <c r="C215" s="13" t="inlineStr">
        <is>
          <t>10</t>
        </is>
      </c>
      <c r="D215" s="14" t="inlineStr"/>
      <c r="E215" s="13" t="n"/>
      <c r="F215" s="13" t="n"/>
      <c r="G215" s="13" t="n"/>
      <c r="H215" s="15" t="n">
        <v>1.8</v>
      </c>
      <c r="I215" s="15" t="n">
        <v>1.8</v>
      </c>
      <c r="J215" s="13" t="n"/>
      <c r="K215" s="13" t="n"/>
      <c r="L215" s="15" t="n">
        <v>1.8</v>
      </c>
      <c r="M215" s="13" t="n"/>
      <c r="N215" s="13" t="n"/>
      <c r="O215" s="13" t="n"/>
      <c r="P215" s="13" t="n"/>
      <c r="Q215" s="13" t="n"/>
      <c r="R215" s="16">
        <f>IF(COUNT(E215:Q215)=0,"",MIN(E215:Q215))</f>
        <v/>
      </c>
      <c r="S215" s="15">
        <f>IF(COUNT(E215:Q215)=0,"",LOOKUP(2,1/(E215:Q215&lt;&gt;""),E215:Q215))</f>
        <v/>
      </c>
      <c r="T215" s="17">
        <f>IF(R215="","",ROUND(R215*RESUMEN!$B$4,0))</f>
        <v/>
      </c>
      <c r="U215" s="18">
        <f>COUNT(E215:Q215)</f>
        <v/>
      </c>
    </row>
    <row r="216">
      <c r="A216" s="13" t="inlineStr">
        <is>
          <t>66176a3cab809</t>
        </is>
      </c>
      <c r="B216" s="13" t="inlineStr">
        <is>
          <t>ANILLO LOVE GOLD</t>
        </is>
      </c>
      <c r="C216" s="13" t="inlineStr">
        <is>
          <t>11</t>
        </is>
      </c>
      <c r="D216" s="14" t="inlineStr">
        <is>
          <t>Stainless stee</t>
        </is>
      </c>
      <c r="E216" s="13" t="n"/>
      <c r="F216" s="13" t="n"/>
      <c r="G216" s="13" t="n"/>
      <c r="H216" s="15" t="n">
        <v>1.8</v>
      </c>
      <c r="I216" s="13" t="n"/>
      <c r="J216" s="13" t="n"/>
      <c r="K216" s="13" t="n"/>
      <c r="L216" s="15" t="n">
        <v>1.8</v>
      </c>
      <c r="M216" s="13" t="n"/>
      <c r="N216" s="13" t="n"/>
      <c r="O216" s="13" t="n"/>
      <c r="P216" s="13" t="n"/>
      <c r="Q216" s="13" t="n"/>
      <c r="R216" s="16">
        <f>IF(COUNT(E216:Q216)=0,"",MIN(E216:Q216))</f>
        <v/>
      </c>
      <c r="S216" s="15">
        <f>IF(COUNT(E216:Q216)=0,"",LOOKUP(2,1/(E216:Q216&lt;&gt;""),E216:Q216))</f>
        <v/>
      </c>
      <c r="T216" s="17">
        <f>IF(R216="","",ROUND(R216*RESUMEN!$B$4,0))</f>
        <v/>
      </c>
      <c r="U216" s="18">
        <f>COUNT(E216:Q216)</f>
        <v/>
      </c>
    </row>
    <row r="217">
      <c r="A217" s="13" t="inlineStr">
        <is>
          <t>66176a393a025</t>
        </is>
      </c>
      <c r="B217" s="13" t="inlineStr">
        <is>
          <t>ANILLO LOVE GOLD</t>
        </is>
      </c>
      <c r="C217" s="13" t="inlineStr">
        <is>
          <t>5</t>
        </is>
      </c>
      <c r="D217" s="14" t="inlineStr">
        <is>
          <t>Stainless Stee</t>
        </is>
      </c>
      <c r="E217" s="13" t="n"/>
      <c r="F217" s="15" t="n">
        <v>1.8</v>
      </c>
      <c r="G217" s="13" t="n"/>
      <c r="H217" s="13" t="n"/>
      <c r="I217" s="13" t="n"/>
      <c r="J217" s="15" t="n">
        <v>1.8</v>
      </c>
      <c r="K217" s="13" t="n"/>
      <c r="L217" s="13" t="n"/>
      <c r="M217" s="13" t="n"/>
      <c r="N217" s="13" t="n"/>
      <c r="O217" s="15" t="n">
        <v>1.8</v>
      </c>
      <c r="P217" s="15" t="n">
        <v>1.8</v>
      </c>
      <c r="Q217" s="13" t="n"/>
      <c r="R217" s="16">
        <f>IF(COUNT(E217:Q217)=0,"",MIN(E217:Q217))</f>
        <v/>
      </c>
      <c r="S217" s="15">
        <f>IF(COUNT(E217:Q217)=0,"",LOOKUP(2,1/(E217:Q217&lt;&gt;""),E217:Q217))</f>
        <v/>
      </c>
      <c r="T217" s="17">
        <f>IF(R217="","",ROUND(R217*RESUMEN!$B$4,0))</f>
        <v/>
      </c>
      <c r="U217" s="18">
        <f>COUNT(E217:Q217)</f>
        <v/>
      </c>
    </row>
    <row r="218">
      <c r="A218" s="13" t="inlineStr">
        <is>
          <t>66176a39da1f0</t>
        </is>
      </c>
      <c r="B218" s="13" t="inlineStr">
        <is>
          <t>ANILLO LOVE GOLD</t>
        </is>
      </c>
      <c r="C218" s="13" t="inlineStr">
        <is>
          <t>6</t>
        </is>
      </c>
      <c r="D218" s="14" t="inlineStr">
        <is>
          <t>Stainless Stee</t>
        </is>
      </c>
      <c r="E218" s="13" t="n"/>
      <c r="F218" s="15" t="n">
        <v>1.8</v>
      </c>
      <c r="G218" s="13" t="n"/>
      <c r="H218" s="13" t="n"/>
      <c r="I218" s="15" t="n">
        <v>1.8</v>
      </c>
      <c r="J218" s="15" t="n">
        <v>1.8</v>
      </c>
      <c r="K218" s="13" t="n"/>
      <c r="L218" s="15" t="n">
        <v>1.8</v>
      </c>
      <c r="M218" s="15" t="n">
        <v>1.8</v>
      </c>
      <c r="N218" s="13" t="n"/>
      <c r="O218" s="15" t="n">
        <v>1.8</v>
      </c>
      <c r="P218" s="13" t="n"/>
      <c r="Q218" s="15" t="n">
        <v>1.8</v>
      </c>
      <c r="R218" s="16">
        <f>IF(COUNT(E218:Q218)=0,"",MIN(E218:Q218))</f>
        <v/>
      </c>
      <c r="S218" s="15">
        <f>IF(COUNT(E218:Q218)=0,"",LOOKUP(2,1/(E218:Q218&lt;&gt;""),E218:Q218))</f>
        <v/>
      </c>
      <c r="T218" s="17">
        <f>IF(R218="","",ROUND(R218*RESUMEN!$B$4,0))</f>
        <v/>
      </c>
      <c r="U218" s="18">
        <f>COUNT(E218:Q218)</f>
        <v/>
      </c>
    </row>
    <row r="219">
      <c r="A219" s="13" t="inlineStr">
        <is>
          <t>66176a3a6e732</t>
        </is>
      </c>
      <c r="B219" s="13" t="inlineStr">
        <is>
          <t>ANILLO LOVE GOLD</t>
        </is>
      </c>
      <c r="C219" s="13" t="inlineStr">
        <is>
          <t>7</t>
        </is>
      </c>
      <c r="D219" s="14" t="inlineStr">
        <is>
          <t>Stainless Stee</t>
        </is>
      </c>
      <c r="E219" s="15" t="n">
        <v>1.8</v>
      </c>
      <c r="F219" s="13" t="n"/>
      <c r="G219" s="13" t="n"/>
      <c r="H219" s="15" t="n">
        <v>1.8</v>
      </c>
      <c r="I219" s="15" t="n">
        <v>1.8</v>
      </c>
      <c r="J219" s="15" t="n">
        <v>1.8</v>
      </c>
      <c r="K219" s="13" t="n"/>
      <c r="L219" s="15" t="n">
        <v>1.8</v>
      </c>
      <c r="M219" s="13" t="n"/>
      <c r="N219" s="15" t="n">
        <v>1.8</v>
      </c>
      <c r="O219" s="13" t="n"/>
      <c r="P219" s="15" t="n">
        <v>1.8</v>
      </c>
      <c r="Q219" s="15" t="n">
        <v>1.8</v>
      </c>
      <c r="R219" s="16">
        <f>IF(COUNT(E219:Q219)=0,"",MIN(E219:Q219))</f>
        <v/>
      </c>
      <c r="S219" s="15">
        <f>IF(COUNT(E219:Q219)=0,"",LOOKUP(2,1/(E219:Q219&lt;&gt;""),E219:Q219))</f>
        <v/>
      </c>
      <c r="T219" s="17">
        <f>IF(R219="","",ROUND(R219*RESUMEN!$B$4,0))</f>
        <v/>
      </c>
      <c r="U219" s="18">
        <f>COUNT(E219:Q219)</f>
        <v/>
      </c>
    </row>
    <row r="220">
      <c r="A220" s="13" t="inlineStr">
        <is>
          <t>66176a3b07b47</t>
        </is>
      </c>
      <c r="B220" s="13" t="inlineStr">
        <is>
          <t>ANILLO LOVE GOLD</t>
        </is>
      </c>
      <c r="C220" s="13" t="inlineStr">
        <is>
          <t>8</t>
        </is>
      </c>
      <c r="D220" s="14" t="inlineStr">
        <is>
          <t>Stainless Stee</t>
        </is>
      </c>
      <c r="E220" s="15" t="n">
        <v>1.8</v>
      </c>
      <c r="F220" s="13" t="n"/>
      <c r="G220" s="13" t="n"/>
      <c r="H220" s="15" t="n">
        <v>1.8</v>
      </c>
      <c r="I220" s="15" t="n">
        <v>1.8</v>
      </c>
      <c r="J220" s="15" t="n">
        <v>1.8</v>
      </c>
      <c r="K220" s="13" t="n"/>
      <c r="L220" s="15" t="n">
        <v>1.8</v>
      </c>
      <c r="M220" s="13" t="n"/>
      <c r="N220" s="13" t="n"/>
      <c r="O220" s="13" t="n"/>
      <c r="P220" s="13" t="n"/>
      <c r="Q220" s="15" t="n">
        <v>1.8</v>
      </c>
      <c r="R220" s="16">
        <f>IF(COUNT(E220:Q220)=0,"",MIN(E220:Q220))</f>
        <v/>
      </c>
      <c r="S220" s="15">
        <f>IF(COUNT(E220:Q220)=0,"",LOOKUP(2,1/(E220:Q220&lt;&gt;""),E220:Q220))</f>
        <v/>
      </c>
      <c r="T220" s="17">
        <f>IF(R220="","",ROUND(R220*RESUMEN!$B$4,0))</f>
        <v/>
      </c>
      <c r="U220" s="18">
        <f>COUNT(E220:Q220)</f>
        <v/>
      </c>
    </row>
    <row r="221">
      <c r="A221" s="13" t="inlineStr">
        <is>
          <t>66176a3b97be5</t>
        </is>
      </c>
      <c r="B221" s="13" t="inlineStr">
        <is>
          <t>ANILLO LOVE GOLD</t>
        </is>
      </c>
      <c r="C221" s="13" t="inlineStr">
        <is>
          <t>9</t>
        </is>
      </c>
      <c r="D221" s="14" t="inlineStr"/>
      <c r="E221" s="13" t="n"/>
      <c r="F221" s="15" t="n">
        <v>1.8</v>
      </c>
      <c r="G221" s="13" t="n"/>
      <c r="H221" s="13" t="n"/>
      <c r="I221" s="15" t="n">
        <v>1.8</v>
      </c>
      <c r="J221" s="15" t="n">
        <v>1.8</v>
      </c>
      <c r="K221" s="13" t="n"/>
      <c r="L221" s="15" t="n">
        <v>1.8</v>
      </c>
      <c r="M221" s="13" t="n"/>
      <c r="N221" s="13" t="n"/>
      <c r="O221" s="13" t="n"/>
      <c r="P221" s="13" t="n"/>
      <c r="Q221" s="13" t="n"/>
      <c r="R221" s="16">
        <f>IF(COUNT(E221:Q221)=0,"",MIN(E221:Q221))</f>
        <v/>
      </c>
      <c r="S221" s="15">
        <f>IF(COUNT(E221:Q221)=0,"",LOOKUP(2,1/(E221:Q221&lt;&gt;""),E221:Q221))</f>
        <v/>
      </c>
      <c r="T221" s="17">
        <f>IF(R221="","",ROUND(R221*RESUMEN!$B$4,0))</f>
        <v/>
      </c>
      <c r="U221" s="18">
        <f>COUNT(E221:Q221)</f>
        <v/>
      </c>
    </row>
    <row r="222">
      <c r="A222" s="13" t="inlineStr">
        <is>
          <t>2653021581836</t>
        </is>
      </c>
      <c r="B222" s="13" t="inlineStr">
        <is>
          <t>ANILLO LOVE GOLD ANCHO</t>
        </is>
      </c>
      <c r="C222" s="13" t="inlineStr">
        <is>
          <t>10</t>
        </is>
      </c>
      <c r="D222" s="14" t="inlineStr">
        <is>
          <t>Stainless Stee</t>
        </is>
      </c>
      <c r="E222" s="13" t="n"/>
      <c r="F222" s="15" t="n">
        <v>1.8</v>
      </c>
      <c r="G222" s="13" t="n"/>
      <c r="H222" s="13" t="n"/>
      <c r="I222" s="13" t="n"/>
      <c r="J222" s="15" t="n">
        <v>1.8</v>
      </c>
      <c r="K222" s="13" t="n"/>
      <c r="L222" s="13" t="n"/>
      <c r="M222" s="13" t="n"/>
      <c r="N222" s="13" t="n"/>
      <c r="O222" s="15" t="n">
        <v>1.8</v>
      </c>
      <c r="P222" s="13" t="n"/>
      <c r="Q222" s="13" t="n"/>
      <c r="R222" s="16">
        <f>IF(COUNT(E222:Q222)=0,"",MIN(E222:Q222))</f>
        <v/>
      </c>
      <c r="S222" s="15">
        <f>IF(COUNT(E222:Q222)=0,"",LOOKUP(2,1/(E222:Q222&lt;&gt;""),E222:Q222))</f>
        <v/>
      </c>
      <c r="T222" s="17">
        <f>IF(R222="","",ROUND(R222*RESUMEN!$B$4,0))</f>
        <v/>
      </c>
      <c r="U222" s="18">
        <f>COUNT(E222:Q222)</f>
        <v/>
      </c>
    </row>
    <row r="223">
      <c r="A223" s="13" t="inlineStr">
        <is>
          <t>2653021614604</t>
        </is>
      </c>
      <c r="B223" s="13" t="inlineStr">
        <is>
          <t>ANILLO LOVE GOLD ANCHO</t>
        </is>
      </c>
      <c r="C223" s="13" t="inlineStr">
        <is>
          <t>11</t>
        </is>
      </c>
      <c r="D223" s="14" t="inlineStr">
        <is>
          <t>Stainless Stee</t>
        </is>
      </c>
      <c r="E223" s="15" t="n">
        <v>1.8</v>
      </c>
      <c r="F223" s="13" t="n"/>
      <c r="G223" s="13" t="n"/>
      <c r="H223" s="13" t="n"/>
      <c r="I223" s="13" t="n"/>
      <c r="J223" s="15" t="n">
        <v>1.8</v>
      </c>
      <c r="K223" s="13" t="n"/>
      <c r="L223" s="13" t="n"/>
      <c r="M223" s="13" t="n"/>
      <c r="N223" s="13" t="n"/>
      <c r="O223" s="15" t="n">
        <v>1.8</v>
      </c>
      <c r="P223" s="15" t="n">
        <v>1.8</v>
      </c>
      <c r="Q223" s="13" t="n"/>
      <c r="R223" s="16">
        <f>IF(COUNT(E223:Q223)=0,"",MIN(E223:Q223))</f>
        <v/>
      </c>
      <c r="S223" s="15">
        <f>IF(COUNT(E223:Q223)=0,"",LOOKUP(2,1/(E223:Q223&lt;&gt;""),E223:Q223))</f>
        <v/>
      </c>
      <c r="T223" s="17">
        <f>IF(R223="","",ROUND(R223*RESUMEN!$B$4,0))</f>
        <v/>
      </c>
      <c r="U223" s="18">
        <f>COUNT(E223:Q223)</f>
        <v/>
      </c>
    </row>
    <row r="224">
      <c r="A224" s="13" t="inlineStr">
        <is>
          <t>2653021417996</t>
        </is>
      </c>
      <c r="B224" s="13" t="inlineStr">
        <is>
          <t>ANILLO LOVE GOLD ANCHO (WIDE)</t>
        </is>
      </c>
      <c r="C224" s="13" t="inlineStr">
        <is>
          <t>5</t>
        </is>
      </c>
      <c r="D224" s="14" t="inlineStr">
        <is>
          <t>Stainless Stee</t>
        </is>
      </c>
      <c r="E224" s="15" t="n">
        <v>1.8</v>
      </c>
      <c r="F224" s="13" t="n"/>
      <c r="G224" s="13" t="n"/>
      <c r="H224" s="13" t="n"/>
      <c r="I224" s="15" t="n">
        <v>1.8</v>
      </c>
      <c r="J224" s="15" t="n">
        <v>1.8</v>
      </c>
      <c r="K224" s="13" t="n"/>
      <c r="L224" s="13" t="n"/>
      <c r="M224" s="13" t="n"/>
      <c r="N224" s="13" t="n"/>
      <c r="O224" s="15" t="n">
        <v>1.8</v>
      </c>
      <c r="P224" s="13" t="n"/>
      <c r="Q224" s="15" t="n">
        <v>1.8</v>
      </c>
      <c r="R224" s="16">
        <f>IF(COUNT(E224:Q224)=0,"",MIN(E224:Q224))</f>
        <v/>
      </c>
      <c r="S224" s="15">
        <f>IF(COUNT(E224:Q224)=0,"",LOOKUP(2,1/(E224:Q224&lt;&gt;""),E224:Q224))</f>
        <v/>
      </c>
      <c r="T224" s="17">
        <f>IF(R224="","",ROUND(R224*RESUMEN!$B$4,0))</f>
        <v/>
      </c>
      <c r="U224" s="18">
        <f>COUNT(E224:Q224)</f>
        <v/>
      </c>
    </row>
    <row r="225">
      <c r="A225" s="13" t="inlineStr">
        <is>
          <t>2653021450764</t>
        </is>
      </c>
      <c r="B225" s="13" t="inlineStr">
        <is>
          <t>ANILLO LOVE GOLD ANCHO (WIDE)</t>
        </is>
      </c>
      <c r="C225" s="13" t="inlineStr">
        <is>
          <t>6</t>
        </is>
      </c>
      <c r="D225" s="14" t="inlineStr">
        <is>
          <t>Stainless Stee</t>
        </is>
      </c>
      <c r="E225" s="15" t="n">
        <v>1.8</v>
      </c>
      <c r="F225" s="13" t="n"/>
      <c r="G225" s="13" t="n"/>
      <c r="H225" s="13" t="n"/>
      <c r="I225" s="15" t="n">
        <v>1.8</v>
      </c>
      <c r="J225" s="15" t="n">
        <v>1.8</v>
      </c>
      <c r="K225" s="13" t="n"/>
      <c r="L225" s="13" t="n"/>
      <c r="M225" s="13" t="n"/>
      <c r="N225" s="15" t="n">
        <v>1.8</v>
      </c>
      <c r="O225" s="13" t="n"/>
      <c r="P225" s="13" t="n"/>
      <c r="Q225" s="15" t="n">
        <v>1.8</v>
      </c>
      <c r="R225" s="16">
        <f>IF(COUNT(E225:Q225)=0,"",MIN(E225:Q225))</f>
        <v/>
      </c>
      <c r="S225" s="15">
        <f>IF(COUNT(E225:Q225)=0,"",LOOKUP(2,1/(E225:Q225&lt;&gt;""),E225:Q225))</f>
        <v/>
      </c>
      <c r="T225" s="17">
        <f>IF(R225="","",ROUND(R225*RESUMEN!$B$4,0))</f>
        <v/>
      </c>
      <c r="U225" s="18">
        <f>COUNT(E225:Q225)</f>
        <v/>
      </c>
    </row>
    <row r="226">
      <c r="A226" s="13" t="inlineStr">
        <is>
          <t>2653021516300</t>
        </is>
      </c>
      <c r="B226" s="13" t="inlineStr">
        <is>
          <t>ANILLO LOVE GOLD ANCHO (WIDE)</t>
        </is>
      </c>
      <c r="C226" s="13" t="inlineStr">
        <is>
          <t>8</t>
        </is>
      </c>
      <c r="D226" s="14" t="inlineStr">
        <is>
          <t>Stainless Stee</t>
        </is>
      </c>
      <c r="E226" s="13" t="n"/>
      <c r="F226" s="15" t="n">
        <v>1.8</v>
      </c>
      <c r="G226" s="13" t="n"/>
      <c r="H226" s="15" t="n">
        <v>1.8</v>
      </c>
      <c r="I226" s="15" t="n">
        <v>1.8</v>
      </c>
      <c r="J226" s="15" t="n">
        <v>1.8</v>
      </c>
      <c r="K226" s="13" t="n"/>
      <c r="L226" s="13" t="n"/>
      <c r="M226" s="13" t="n"/>
      <c r="N226" s="13" t="n"/>
      <c r="O226" s="15" t="n">
        <v>1.8</v>
      </c>
      <c r="P226" s="13" t="n"/>
      <c r="Q226" s="15" t="n">
        <v>1.8</v>
      </c>
      <c r="R226" s="16">
        <f>IF(COUNT(E226:Q226)=0,"",MIN(E226:Q226))</f>
        <v/>
      </c>
      <c r="S226" s="15">
        <f>IF(COUNT(E226:Q226)=0,"",LOOKUP(2,1/(E226:Q226&lt;&gt;""),E226:Q226))</f>
        <v/>
      </c>
      <c r="T226" s="17">
        <f>IF(R226="","",ROUND(R226*RESUMEN!$B$4,0))</f>
        <v/>
      </c>
      <c r="U226" s="18">
        <f>COUNT(E226:Q226)</f>
        <v/>
      </c>
    </row>
    <row r="227">
      <c r="A227" s="13" t="inlineStr">
        <is>
          <t>2653021549068</t>
        </is>
      </c>
      <c r="B227" s="13" t="inlineStr">
        <is>
          <t>ANILLO LOVE GOLD ANCHO (WIDE)</t>
        </is>
      </c>
      <c r="C227" s="13" t="inlineStr">
        <is>
          <t>9</t>
        </is>
      </c>
      <c r="D227" s="14" t="inlineStr">
        <is>
          <t>Stainless Stee</t>
        </is>
      </c>
      <c r="E227" s="13" t="n"/>
      <c r="F227" s="15" t="n">
        <v>1.8</v>
      </c>
      <c r="G227" s="13" t="n"/>
      <c r="H227" s="15" t="n">
        <v>1.8</v>
      </c>
      <c r="I227" s="13" t="n"/>
      <c r="J227" s="15" t="n">
        <v>1.8</v>
      </c>
      <c r="K227" s="13" t="n"/>
      <c r="L227" s="13" t="n"/>
      <c r="M227" s="13" t="n"/>
      <c r="N227" s="15" t="n">
        <v>1.8</v>
      </c>
      <c r="O227" s="13" t="n"/>
      <c r="P227" s="13" t="n"/>
      <c r="Q227" s="15" t="n">
        <v>1.8</v>
      </c>
      <c r="R227" s="16">
        <f>IF(COUNT(E227:Q227)=0,"",MIN(E227:Q227))</f>
        <v/>
      </c>
      <c r="S227" s="15">
        <f>IF(COUNT(E227:Q227)=0,"",LOOKUP(2,1/(E227:Q227&lt;&gt;""),E227:Q227))</f>
        <v/>
      </c>
      <c r="T227" s="17">
        <f>IF(R227="","",ROUND(R227*RESUMEN!$B$4,0))</f>
        <v/>
      </c>
      <c r="U227" s="18">
        <f>COUNT(E227:Q227)</f>
        <v/>
      </c>
    </row>
    <row r="228">
      <c r="A228" s="13" t="inlineStr">
        <is>
          <t>2653021483532</t>
        </is>
      </c>
      <c r="B228" s="13" t="inlineStr">
        <is>
          <t>ANILLO LOVE GOLD ANCHO (WIDHT WITHOUT ZIRCONIAS)</t>
        </is>
      </c>
      <c r="C228" s="13" t="inlineStr">
        <is>
          <t>7</t>
        </is>
      </c>
      <c r="D228" s="14" t="inlineStr">
        <is>
          <t>Stainless stee</t>
        </is>
      </c>
      <c r="E228" s="13" t="n"/>
      <c r="F228" s="15" t="n">
        <v>1.8</v>
      </c>
      <c r="G228" s="13" t="n"/>
      <c r="H228" s="15" t="n">
        <v>1.8</v>
      </c>
      <c r="I228" s="15" t="n">
        <v>1.8</v>
      </c>
      <c r="J228" s="15" t="n">
        <v>1.8</v>
      </c>
      <c r="K228" s="13" t="n"/>
      <c r="L228" s="13" t="n"/>
      <c r="M228" s="13" t="n"/>
      <c r="N228" s="15" t="n">
        <v>1.8</v>
      </c>
      <c r="O228" s="13" t="n"/>
      <c r="P228" s="13" t="n"/>
      <c r="Q228" s="13" t="n"/>
      <c r="R228" s="16">
        <f>IF(COUNT(E228:Q228)=0,"",MIN(E228:Q228))</f>
        <v/>
      </c>
      <c r="S228" s="15">
        <f>IF(COUNT(E228:Q228)=0,"",LOOKUP(2,1/(E228:Q228&lt;&gt;""),E228:Q228))</f>
        <v/>
      </c>
      <c r="T228" s="17">
        <f>IF(R228="","",ROUND(R228*RESUMEN!$B$4,0))</f>
        <v/>
      </c>
      <c r="U228" s="18">
        <f>COUNT(E228:Q228)</f>
        <v/>
      </c>
    </row>
    <row r="229">
      <c r="A229" s="13" t="inlineStr">
        <is>
          <t>66176c908bd7d</t>
        </is>
      </c>
      <c r="B229" s="13" t="inlineStr">
        <is>
          <t>ANILLO LOVE GOLD ANCHO (WIDHT WITh ZIRCONIAS)</t>
        </is>
      </c>
      <c r="C229" s="13" t="inlineStr">
        <is>
          <t>5</t>
        </is>
      </c>
      <c r="D229" s="14" t="inlineStr">
        <is>
          <t>Stainless stee</t>
        </is>
      </c>
      <c r="E229" s="15" t="n">
        <v>1.8</v>
      </c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5" t="n">
        <v>1.8</v>
      </c>
      <c r="O229" s="13" t="n"/>
      <c r="P229" s="13" t="n"/>
      <c r="Q229" s="13" t="n"/>
      <c r="R229" s="16">
        <f>IF(COUNT(E229:Q229)=0,"",MIN(E229:Q229))</f>
        <v/>
      </c>
      <c r="S229" s="15">
        <f>IF(COUNT(E229:Q229)=0,"",LOOKUP(2,1/(E229:Q229&lt;&gt;""),E229:Q229))</f>
        <v/>
      </c>
      <c r="T229" s="17">
        <f>IF(R229="","",ROUND(R229*RESUMEN!$B$4,0))</f>
        <v/>
      </c>
      <c r="U229" s="18">
        <f>COUNT(E229:Q229)</f>
        <v/>
      </c>
    </row>
    <row r="230">
      <c r="A230" s="13" t="inlineStr">
        <is>
          <t>66176c93808a4</t>
        </is>
      </c>
      <c r="B230" s="13" t="inlineStr">
        <is>
          <t>ANILLO LOVE GOLD ANCHO CON ZIRCONIA</t>
        </is>
      </c>
      <c r="C230" s="13" t="inlineStr">
        <is>
          <t>10</t>
        </is>
      </c>
      <c r="D230" s="14" t="inlineStr">
        <is>
          <t>Stainless stee</t>
        </is>
      </c>
      <c r="E230" s="13" t="n"/>
      <c r="F230" s="13" t="n"/>
      <c r="G230" s="13" t="n"/>
      <c r="H230" s="13" t="n"/>
      <c r="I230" s="15" t="n">
        <v>1.8</v>
      </c>
      <c r="J230" s="13" t="n"/>
      <c r="K230" s="13" t="n"/>
      <c r="L230" s="15" t="n">
        <v>3</v>
      </c>
      <c r="M230" s="13" t="n"/>
      <c r="N230" s="13" t="n"/>
      <c r="O230" s="13" t="n"/>
      <c r="P230" s="13" t="n"/>
      <c r="Q230" s="13" t="n"/>
      <c r="R230" s="16">
        <f>IF(COUNT(E230:Q230)=0,"",MIN(E230:Q230))</f>
        <v/>
      </c>
      <c r="S230" s="15">
        <f>IF(COUNT(E230:Q230)=0,"",LOOKUP(2,1/(E230:Q230&lt;&gt;""),E230:Q230))</f>
        <v/>
      </c>
      <c r="T230" s="17">
        <f>IF(R230="","",ROUND(R230*RESUMEN!$B$4,0))</f>
        <v/>
      </c>
      <c r="U230" s="18">
        <f>COUNT(E230:Q230)</f>
        <v/>
      </c>
    </row>
    <row r="231">
      <c r="A231" s="13" t="inlineStr">
        <is>
          <t>66176c9121303</t>
        </is>
      </c>
      <c r="B231" s="13" t="inlineStr">
        <is>
          <t>ANILLO LOVE GOLD ANCHO CON ZIRCONIA</t>
        </is>
      </c>
      <c r="C231" s="13" t="inlineStr">
        <is>
          <t>6</t>
        </is>
      </c>
      <c r="D231" s="14" t="inlineStr">
        <is>
          <t>Stainless stee</t>
        </is>
      </c>
      <c r="E231" s="13" t="n"/>
      <c r="F231" s="13" t="n"/>
      <c r="G231" s="13" t="n"/>
      <c r="H231" s="15" t="n">
        <v>1.8</v>
      </c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6">
        <f>IF(COUNT(E231:Q231)=0,"",MIN(E231:Q231))</f>
        <v/>
      </c>
      <c r="S231" s="15">
        <f>IF(COUNT(E231:Q231)=0,"",LOOKUP(2,1/(E231:Q231&lt;&gt;""),E231:Q231))</f>
        <v/>
      </c>
      <c r="T231" s="17">
        <f>IF(R231="","",ROUND(R231*RESUMEN!$B$4,0))</f>
        <v/>
      </c>
      <c r="U231" s="18">
        <f>COUNT(E231:Q231)</f>
        <v/>
      </c>
    </row>
    <row r="232">
      <c r="A232" s="13" t="inlineStr">
        <is>
          <t>66176c91b3d77</t>
        </is>
      </c>
      <c r="B232" s="13" t="inlineStr">
        <is>
          <t>ANILLO LOVE GOLD ANCHO CON ZIRCONIA</t>
        </is>
      </c>
      <c r="C232" s="13" t="inlineStr">
        <is>
          <t>7</t>
        </is>
      </c>
      <c r="D232" s="14" t="inlineStr">
        <is>
          <t>Stainless Stee</t>
        </is>
      </c>
      <c r="E232" s="13" t="n"/>
      <c r="F232" s="15" t="n">
        <v>1.8</v>
      </c>
      <c r="G232" s="13" t="n"/>
      <c r="H232" s="15" t="n">
        <v>1.8</v>
      </c>
      <c r="I232" s="13" t="n"/>
      <c r="J232" s="13" t="n"/>
      <c r="K232" s="13" t="n"/>
      <c r="L232" s="13" t="n"/>
      <c r="M232" s="13" t="n"/>
      <c r="N232" s="13" t="n"/>
      <c r="O232" s="15" t="n">
        <v>1.8</v>
      </c>
      <c r="P232" s="13" t="n"/>
      <c r="Q232" s="13" t="n"/>
      <c r="R232" s="16">
        <f>IF(COUNT(E232:Q232)=0,"",MIN(E232:Q232))</f>
        <v/>
      </c>
      <c r="S232" s="15">
        <f>IF(COUNT(E232:Q232)=0,"",LOOKUP(2,1/(E232:Q232&lt;&gt;""),E232:Q232))</f>
        <v/>
      </c>
      <c r="T232" s="17">
        <f>IF(R232="","",ROUND(R232*RESUMEN!$B$4,0))</f>
        <v/>
      </c>
      <c r="U232" s="18">
        <f>COUNT(E232:Q232)</f>
        <v/>
      </c>
    </row>
    <row r="233">
      <c r="A233" s="13" t="inlineStr">
        <is>
          <t>66176c92ddb57</t>
        </is>
      </c>
      <c r="B233" s="13" t="inlineStr">
        <is>
          <t>ANILLO LOVE GOLD ANCHO CON ZIRCONIA</t>
        </is>
      </c>
      <c r="C233" s="13" t="inlineStr">
        <is>
          <t>9</t>
        </is>
      </c>
      <c r="D233" s="14" t="inlineStr">
        <is>
          <t>Stainless Stee</t>
        </is>
      </c>
      <c r="E233" s="15" t="n">
        <v>1.8</v>
      </c>
      <c r="F233" s="13" t="n"/>
      <c r="G233" s="13" t="n"/>
      <c r="H233" s="15" t="n">
        <v>1.8</v>
      </c>
      <c r="I233" s="13" t="n"/>
      <c r="J233" s="15" t="n">
        <v>1.8</v>
      </c>
      <c r="K233" s="13" t="n"/>
      <c r="L233" s="13" t="n"/>
      <c r="M233" s="13" t="n"/>
      <c r="N233" s="13" t="n"/>
      <c r="O233" s="15" t="n">
        <v>1.8</v>
      </c>
      <c r="P233" s="15" t="n">
        <v>1.8</v>
      </c>
      <c r="Q233" s="13" t="n"/>
      <c r="R233" s="16">
        <f>IF(COUNT(E233:Q233)=0,"",MIN(E233:Q233))</f>
        <v/>
      </c>
      <c r="S233" s="15">
        <f>IF(COUNT(E233:Q233)=0,"",LOOKUP(2,1/(E233:Q233&lt;&gt;""),E233:Q233))</f>
        <v/>
      </c>
      <c r="T233" s="17">
        <f>IF(R233="","",ROUND(R233*RESUMEN!$B$4,0))</f>
        <v/>
      </c>
      <c r="U233" s="18">
        <f>COUNT(E233:Q233)</f>
        <v/>
      </c>
    </row>
    <row r="234">
      <c r="A234" s="13" t="inlineStr">
        <is>
          <t>66176c924830f</t>
        </is>
      </c>
      <c r="B234" s="13" t="inlineStr">
        <is>
          <t>ANILLO LOVE GOLD ANCHO CON ZIRCONIA(WIDE)</t>
        </is>
      </c>
      <c r="C234" s="13" t="inlineStr">
        <is>
          <t>8</t>
        </is>
      </c>
      <c r="D234" s="14" t="inlineStr">
        <is>
          <t>Stainless Stee</t>
        </is>
      </c>
      <c r="E234" s="13" t="n"/>
      <c r="F234" s="13" t="n"/>
      <c r="G234" s="13" t="n"/>
      <c r="H234" s="13" t="n"/>
      <c r="I234" s="13" t="n"/>
      <c r="J234" s="15" t="n">
        <v>1.8</v>
      </c>
      <c r="K234" s="13" t="n"/>
      <c r="L234" s="15" t="n">
        <v>3</v>
      </c>
      <c r="M234" s="13" t="n"/>
      <c r="N234" s="13" t="n"/>
      <c r="O234" s="13" t="n"/>
      <c r="P234" s="13" t="n"/>
      <c r="Q234" s="15" t="n">
        <v>1.8</v>
      </c>
      <c r="R234" s="16">
        <f>IF(COUNT(E234:Q234)=0,"",MIN(E234:Q234))</f>
        <v/>
      </c>
      <c r="S234" s="15">
        <f>IF(COUNT(E234:Q234)=0,"",LOOKUP(2,1/(E234:Q234&lt;&gt;""),E234:Q234))</f>
        <v/>
      </c>
      <c r="T234" s="17">
        <f>IF(R234="","",ROUND(R234*RESUMEN!$B$4,0))</f>
        <v/>
      </c>
      <c r="U234" s="18">
        <f>COUNT(E234:Q234)</f>
        <v/>
      </c>
    </row>
    <row r="235">
      <c r="A235" s="13" t="inlineStr">
        <is>
          <t>56481480610956</t>
        </is>
      </c>
      <c r="B235" s="13" t="inlineStr">
        <is>
          <t>ANILLO LOVE LOVE ROSEGOLD-SILVER ZIRCONIAS</t>
        </is>
      </c>
      <c r="C235" s="13" t="inlineStr">
        <is>
          <t>6</t>
        </is>
      </c>
      <c r="D235" s="14" t="inlineStr">
        <is>
          <t>Stainless stee</t>
        </is>
      </c>
      <c r="E235" s="15" t="n">
        <v>7.5</v>
      </c>
      <c r="F235" s="13" t="n"/>
      <c r="G235" s="13" t="n"/>
      <c r="H235" s="13" t="n"/>
      <c r="I235" s="15" t="n">
        <v>7.5</v>
      </c>
      <c r="J235" s="13" t="n"/>
      <c r="K235" s="13" t="n"/>
      <c r="L235" s="15" t="n">
        <v>7.5</v>
      </c>
      <c r="M235" s="13" t="n"/>
      <c r="N235" s="13" t="n"/>
      <c r="O235" s="13" t="n"/>
      <c r="P235" s="13" t="n"/>
      <c r="Q235" s="13" t="n"/>
      <c r="R235" s="16">
        <f>IF(COUNT(E235:Q235)=0,"",MIN(E235:Q235))</f>
        <v/>
      </c>
      <c r="S235" s="15">
        <f>IF(COUNT(E235:Q235)=0,"",LOOKUP(2,1/(E235:Q235&lt;&gt;""),E235:Q235))</f>
        <v/>
      </c>
      <c r="T235" s="17">
        <f>IF(R235="","",ROUND(R235*RESUMEN!$B$4,0))</f>
        <v/>
      </c>
      <c r="U235" s="18">
        <f>COUNT(E235:Q235)</f>
        <v/>
      </c>
    </row>
    <row r="236">
      <c r="A236" s="13" t="inlineStr">
        <is>
          <t>56481480643724</t>
        </is>
      </c>
      <c r="B236" s="13" t="inlineStr">
        <is>
          <t>ANILLO LOVE LOVE ROSEGOLD-SILVER ZIRCONIAS</t>
        </is>
      </c>
      <c r="C236" s="13" t="inlineStr">
        <is>
          <t>7</t>
        </is>
      </c>
      <c r="D236" s="14" t="inlineStr">
        <is>
          <t>Stainless stee</t>
        </is>
      </c>
      <c r="E236" s="15" t="n">
        <v>7.5</v>
      </c>
      <c r="F236" s="15" t="n">
        <v>7.5</v>
      </c>
      <c r="G236" s="13" t="n"/>
      <c r="H236" s="13" t="n"/>
      <c r="I236" s="13" t="n"/>
      <c r="J236" s="13" t="n"/>
      <c r="K236" s="13" t="n"/>
      <c r="L236" s="15" t="n">
        <v>7.5</v>
      </c>
      <c r="M236" s="13" t="n"/>
      <c r="N236" s="13" t="n"/>
      <c r="O236" s="13" t="n"/>
      <c r="P236" s="13" t="n"/>
      <c r="Q236" s="13" t="n"/>
      <c r="R236" s="16">
        <f>IF(COUNT(E236:Q236)=0,"",MIN(E236:Q236))</f>
        <v/>
      </c>
      <c r="S236" s="15">
        <f>IF(COUNT(E236:Q236)=0,"",LOOKUP(2,1/(E236:Q236&lt;&gt;""),E236:Q236))</f>
        <v/>
      </c>
      <c r="T236" s="17">
        <f>IF(R236="","",ROUND(R236*RESUMEN!$B$4,0))</f>
        <v/>
      </c>
      <c r="U236" s="18">
        <f>COUNT(E236:Q236)</f>
        <v/>
      </c>
    </row>
    <row r="237">
      <c r="A237" s="13" t="inlineStr">
        <is>
          <t>56481480676492</t>
        </is>
      </c>
      <c r="B237" s="13" t="inlineStr">
        <is>
          <t>ANILLO LOVE LOVE ROSEGOLD-SILVER ZIRCONIAS</t>
        </is>
      </c>
      <c r="C237" s="13" t="inlineStr">
        <is>
          <t>8</t>
        </is>
      </c>
      <c r="D237" s="14" t="inlineStr">
        <is>
          <t>Stainless Stee</t>
        </is>
      </c>
      <c r="E237" s="15" t="n">
        <v>7.5</v>
      </c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5" t="n">
        <v>7.5</v>
      </c>
      <c r="R237" s="16">
        <f>IF(COUNT(E237:Q237)=0,"",MIN(E237:Q237))</f>
        <v/>
      </c>
      <c r="S237" s="15">
        <f>IF(COUNT(E237:Q237)=0,"",LOOKUP(2,1/(E237:Q237&lt;&gt;""),E237:Q237))</f>
        <v/>
      </c>
      <c r="T237" s="17">
        <f>IF(R237="","",ROUND(R237*RESUMEN!$B$4,0))</f>
        <v/>
      </c>
      <c r="U237" s="18">
        <f>COUNT(E237:Q237)</f>
        <v/>
      </c>
    </row>
    <row r="238">
      <c r="A238" s="13" t="inlineStr">
        <is>
          <t>66593bc501571</t>
        </is>
      </c>
      <c r="B238" s="13" t="inlineStr">
        <is>
          <t>ANILLO LOVE MZ GOLD</t>
        </is>
      </c>
      <c r="C238" s="13" t="inlineStr">
        <is>
          <t>10</t>
        </is>
      </c>
      <c r="D238" s="14" t="inlineStr">
        <is>
          <t>Stainless Stee</t>
        </is>
      </c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5" t="n">
        <v>5.8</v>
      </c>
      <c r="P238" s="13" t="n"/>
      <c r="Q238" s="13" t="n"/>
      <c r="R238" s="16">
        <f>IF(COUNT(E238:Q238)=0,"",MIN(E238:Q238))</f>
        <v/>
      </c>
      <c r="S238" s="15">
        <f>IF(COUNT(E238:Q238)=0,"",LOOKUP(2,1/(E238:Q238&lt;&gt;""),E238:Q238))</f>
        <v/>
      </c>
      <c r="T238" s="17">
        <f>IF(R238="","",ROUND(R238*RESUMEN!$B$4,0))</f>
        <v/>
      </c>
      <c r="U238" s="18">
        <f>COUNT(E238:Q238)</f>
        <v/>
      </c>
    </row>
    <row r="239">
      <c r="A239" s="13" t="inlineStr">
        <is>
          <t>66593bc59b5a1</t>
        </is>
      </c>
      <c r="B239" s="13" t="inlineStr">
        <is>
          <t>ANILLO LOVE MZ GOLD</t>
        </is>
      </c>
      <c r="C239" s="13" t="inlineStr">
        <is>
          <t>11</t>
        </is>
      </c>
      <c r="D239" s="14" t="inlineStr"/>
      <c r="E239" s="13" t="n"/>
      <c r="F239" s="15" t="n">
        <v>5.8</v>
      </c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6">
        <f>IF(COUNT(E239:Q239)=0,"",MIN(E239:Q239))</f>
        <v/>
      </c>
      <c r="S239" s="15">
        <f>IF(COUNT(E239:Q239)=0,"",LOOKUP(2,1/(E239:Q239&lt;&gt;""),E239:Q239))</f>
        <v/>
      </c>
      <c r="T239" s="17">
        <f>IF(R239="","",ROUND(R239*RESUMEN!$B$4,0))</f>
        <v/>
      </c>
      <c r="U239" s="18">
        <f>COUNT(E239:Q239)</f>
        <v/>
      </c>
    </row>
    <row r="240">
      <c r="A240" s="13" t="inlineStr">
        <is>
          <t>66593bc1df809</t>
        </is>
      </c>
      <c r="B240" s="13" t="inlineStr">
        <is>
          <t>ANILLO LOVE MZ GOLD</t>
        </is>
      </c>
      <c r="C240" s="13" t="inlineStr">
        <is>
          <t>5</t>
        </is>
      </c>
      <c r="D240" s="14" t="inlineStr">
        <is>
          <t>Stainless Stee</t>
        </is>
      </c>
      <c r="E240" s="13" t="n"/>
      <c r="F240" s="13" t="n"/>
      <c r="G240" s="13" t="n"/>
      <c r="H240" s="13" t="n"/>
      <c r="I240" s="13" t="n"/>
      <c r="J240" s="13" t="n"/>
      <c r="K240" s="13" t="n"/>
      <c r="L240" s="15" t="n">
        <v>5.8</v>
      </c>
      <c r="M240" s="13" t="n"/>
      <c r="N240" s="13" t="n"/>
      <c r="O240" s="13" t="n"/>
      <c r="P240" s="15" t="n">
        <v>5.8</v>
      </c>
      <c r="Q240" s="13" t="n"/>
      <c r="R240" s="16">
        <f>IF(COUNT(E240:Q240)=0,"",MIN(E240:Q240))</f>
        <v/>
      </c>
      <c r="S240" s="15">
        <f>IF(COUNT(E240:Q240)=0,"",LOOKUP(2,1/(E240:Q240&lt;&gt;""),E240:Q240))</f>
        <v/>
      </c>
      <c r="T240" s="17">
        <f>IF(R240="","",ROUND(R240*RESUMEN!$B$4,0))</f>
        <v/>
      </c>
      <c r="U240" s="18">
        <f>COUNT(E240:Q240)</f>
        <v/>
      </c>
    </row>
    <row r="241">
      <c r="A241" s="13" t="inlineStr">
        <is>
          <t>66593bc27f55c</t>
        </is>
      </c>
      <c r="B241" s="13" t="inlineStr">
        <is>
          <t>ANILLO LOVE MZ GOLD</t>
        </is>
      </c>
      <c r="C241" s="13" t="inlineStr">
        <is>
          <t>6</t>
        </is>
      </c>
      <c r="D241" s="14" t="inlineStr">
        <is>
          <t>Stainless stee</t>
        </is>
      </c>
      <c r="E241" s="13" t="n"/>
      <c r="F241" s="13" t="n"/>
      <c r="G241" s="13" t="n"/>
      <c r="H241" s="13" t="n"/>
      <c r="I241" s="13" t="n"/>
      <c r="J241" s="15" t="n">
        <v>5.8</v>
      </c>
      <c r="K241" s="13" t="n"/>
      <c r="L241" s="15" t="n">
        <v>5.8</v>
      </c>
      <c r="M241" s="15" t="n">
        <v>5.8</v>
      </c>
      <c r="N241" s="13" t="n"/>
      <c r="O241" s="13" t="n"/>
      <c r="P241" s="13" t="n"/>
      <c r="Q241" s="15" t="n">
        <v>5.8</v>
      </c>
      <c r="R241" s="16">
        <f>IF(COUNT(E241:Q241)=0,"",MIN(E241:Q241))</f>
        <v/>
      </c>
      <c r="S241" s="15">
        <f>IF(COUNT(E241:Q241)=0,"",LOOKUP(2,1/(E241:Q241&lt;&gt;""),E241:Q241))</f>
        <v/>
      </c>
      <c r="T241" s="17">
        <f>IF(R241="","",ROUND(R241*RESUMEN!$B$4,0))</f>
        <v/>
      </c>
      <c r="U241" s="18">
        <f>COUNT(E241:Q241)</f>
        <v/>
      </c>
    </row>
    <row r="242">
      <c r="A242" s="13" t="inlineStr">
        <is>
          <t>66593bc3186e1</t>
        </is>
      </c>
      <c r="B242" s="13" t="inlineStr">
        <is>
          <t>ANILLO LOVE MZ GOLD</t>
        </is>
      </c>
      <c r="C242" s="13" t="inlineStr">
        <is>
          <t>7</t>
        </is>
      </c>
      <c r="D242" s="14" t="inlineStr">
        <is>
          <t>Stainless stee</t>
        </is>
      </c>
      <c r="E242" s="13" t="n"/>
      <c r="F242" s="13" t="n"/>
      <c r="G242" s="13" t="n"/>
      <c r="H242" s="13" t="n"/>
      <c r="I242" s="13" t="n"/>
      <c r="J242" s="13" t="n"/>
      <c r="K242" s="13" t="n"/>
      <c r="L242" s="15" t="n">
        <v>5.8</v>
      </c>
      <c r="M242" s="13" t="n"/>
      <c r="N242" s="15" t="n">
        <v>5.8</v>
      </c>
      <c r="O242" s="13" t="n"/>
      <c r="P242" s="13" t="n"/>
      <c r="Q242" s="13" t="n"/>
      <c r="R242" s="16">
        <f>IF(COUNT(E242:Q242)=0,"",MIN(E242:Q242))</f>
        <v/>
      </c>
      <c r="S242" s="15">
        <f>IF(COUNT(E242:Q242)=0,"",LOOKUP(2,1/(E242:Q242&lt;&gt;""),E242:Q242))</f>
        <v/>
      </c>
      <c r="T242" s="17">
        <f>IF(R242="","",ROUND(R242*RESUMEN!$B$4,0))</f>
        <v/>
      </c>
      <c r="U242" s="18">
        <f>COUNT(E242:Q242)</f>
        <v/>
      </c>
    </row>
    <row r="243">
      <c r="A243" s="13" t="inlineStr">
        <is>
          <t>66593bc3b73c7</t>
        </is>
      </c>
      <c r="B243" s="13" t="inlineStr">
        <is>
          <t>ANILLO LOVE MZ GOLD</t>
        </is>
      </c>
      <c r="C243" s="13" t="inlineStr">
        <is>
          <t>8</t>
        </is>
      </c>
      <c r="D243" s="14" t="inlineStr">
        <is>
          <t>Stainless Stee</t>
        </is>
      </c>
      <c r="E243" s="13" t="n"/>
      <c r="F243" s="15" t="n">
        <v>5.8</v>
      </c>
      <c r="G243" s="13" t="n"/>
      <c r="H243" s="13" t="n"/>
      <c r="I243" s="13" t="n"/>
      <c r="J243" s="13" t="n"/>
      <c r="K243" s="13" t="n"/>
      <c r="L243" s="15" t="n">
        <v>5.8</v>
      </c>
      <c r="M243" s="13" t="n"/>
      <c r="N243" s="13" t="n"/>
      <c r="O243" s="15" t="n">
        <v>5.8</v>
      </c>
      <c r="P243" s="13" t="n"/>
      <c r="Q243" s="15" t="n">
        <v>5.8</v>
      </c>
      <c r="R243" s="16">
        <f>IF(COUNT(E243:Q243)=0,"",MIN(E243:Q243))</f>
        <v/>
      </c>
      <c r="S243" s="15">
        <f>IF(COUNT(E243:Q243)=0,"",LOOKUP(2,1/(E243:Q243&lt;&gt;""),E243:Q243))</f>
        <v/>
      </c>
      <c r="T243" s="17">
        <f>IF(R243="","",ROUND(R243*RESUMEN!$B$4,0))</f>
        <v/>
      </c>
      <c r="U243" s="18">
        <f>COUNT(E243:Q243)</f>
        <v/>
      </c>
    </row>
    <row r="244">
      <c r="A244" s="13" t="inlineStr">
        <is>
          <t>66593bc4595bd</t>
        </is>
      </c>
      <c r="B244" s="13" t="inlineStr">
        <is>
          <t>ANILLO LOVE MZ GOLD</t>
        </is>
      </c>
      <c r="C244" s="13" t="inlineStr">
        <is>
          <t>9</t>
        </is>
      </c>
      <c r="D244" s="14" t="inlineStr">
        <is>
          <t>Stainless Stee</t>
        </is>
      </c>
      <c r="E244" s="15" t="n">
        <v>5.8</v>
      </c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5" t="n">
        <v>5.8</v>
      </c>
      <c r="Q244" s="13" t="n"/>
      <c r="R244" s="16">
        <f>IF(COUNT(E244:Q244)=0,"",MIN(E244:Q244))</f>
        <v/>
      </c>
      <c r="S244" s="15">
        <f>IF(COUNT(E244:Q244)=0,"",LOOKUP(2,1/(E244:Q244&lt;&gt;""),E244:Q244))</f>
        <v/>
      </c>
      <c r="T244" s="17">
        <f>IF(R244="","",ROUND(R244*RESUMEN!$B$4,0))</f>
        <v/>
      </c>
      <c r="U244" s="18">
        <f>COUNT(E244:Q244)</f>
        <v/>
      </c>
    </row>
    <row r="245">
      <c r="A245" s="13" t="inlineStr">
        <is>
          <t>66593bc531d7c</t>
        </is>
      </c>
      <c r="B245" s="13" t="inlineStr">
        <is>
          <t>ANILLO LOVE MZ SILVER</t>
        </is>
      </c>
      <c r="C245" s="13" t="inlineStr">
        <is>
          <t>10</t>
        </is>
      </c>
      <c r="D245" s="14" t="inlineStr">
        <is>
          <t>Stainless stee</t>
        </is>
      </c>
      <c r="E245" s="15" t="n">
        <v>5.8</v>
      </c>
      <c r="F245" s="13" t="n"/>
      <c r="G245" s="13" t="n"/>
      <c r="H245" s="13" t="n"/>
      <c r="I245" s="15" t="n">
        <v>5.8</v>
      </c>
      <c r="J245" s="13" t="n"/>
      <c r="K245" s="13" t="n"/>
      <c r="L245" s="15" t="n">
        <v>5.8</v>
      </c>
      <c r="M245" s="13" t="n"/>
      <c r="N245" s="13" t="n"/>
      <c r="O245" s="13" t="n"/>
      <c r="P245" s="13" t="n"/>
      <c r="Q245" s="13" t="n"/>
      <c r="R245" s="16">
        <f>IF(COUNT(E245:Q245)=0,"",MIN(E245:Q245))</f>
        <v/>
      </c>
      <c r="S245" s="15">
        <f>IF(COUNT(E245:Q245)=0,"",LOOKUP(2,1/(E245:Q245&lt;&gt;""),E245:Q245))</f>
        <v/>
      </c>
      <c r="T245" s="17">
        <f>IF(R245="","",ROUND(R245*RESUMEN!$B$4,0))</f>
        <v/>
      </c>
      <c r="U245" s="18">
        <f>COUNT(E245:Q245)</f>
        <v/>
      </c>
    </row>
    <row r="246">
      <c r="A246" s="13" t="inlineStr">
        <is>
          <t>66593bc5d26f2</t>
        </is>
      </c>
      <c r="B246" s="13" t="inlineStr">
        <is>
          <t>ANILLO LOVE MZ SILVER</t>
        </is>
      </c>
      <c r="C246" s="13" t="inlineStr">
        <is>
          <t>11</t>
        </is>
      </c>
      <c r="D246" s="14" t="inlineStr"/>
      <c r="E246" s="15" t="n">
        <v>5.8</v>
      </c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6">
        <f>IF(COUNT(E246:Q246)=0,"",MIN(E246:Q246))</f>
        <v/>
      </c>
      <c r="S246" s="15">
        <f>IF(COUNT(E246:Q246)=0,"",LOOKUP(2,1/(E246:Q246&lt;&gt;""),E246:Q246))</f>
        <v/>
      </c>
      <c r="T246" s="17">
        <f>IF(R246="","",ROUND(R246*RESUMEN!$B$4,0))</f>
        <v/>
      </c>
      <c r="U246" s="18">
        <f>COUNT(E246:Q246)</f>
        <v/>
      </c>
    </row>
    <row r="247">
      <c r="A247" s="13" t="inlineStr">
        <is>
          <t>66593bc1ef37c</t>
        </is>
      </c>
      <c r="B247" s="13" t="inlineStr">
        <is>
          <t>ANILLO LOVE MZ SILVER</t>
        </is>
      </c>
      <c r="C247" s="13" t="inlineStr">
        <is>
          <t>5</t>
        </is>
      </c>
      <c r="D247" s="14" t="inlineStr">
        <is>
          <t>Stainless Stee</t>
        </is>
      </c>
      <c r="E247" s="15" t="n">
        <v>5.8</v>
      </c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5" t="n">
        <v>5.8</v>
      </c>
      <c r="P247" s="15" t="n">
        <v>5.8</v>
      </c>
      <c r="Q247" s="13" t="n"/>
      <c r="R247" s="16">
        <f>IF(COUNT(E247:Q247)=0,"",MIN(E247:Q247))</f>
        <v/>
      </c>
      <c r="S247" s="15">
        <f>IF(COUNT(E247:Q247)=0,"",LOOKUP(2,1/(E247:Q247&lt;&gt;""),E247:Q247))</f>
        <v/>
      </c>
      <c r="T247" s="17">
        <f>IF(R247="","",ROUND(R247*RESUMEN!$B$4,0))</f>
        <v/>
      </c>
      <c r="U247" s="18">
        <f>COUNT(E247:Q247)</f>
        <v/>
      </c>
    </row>
    <row r="248">
      <c r="A248" s="13" t="inlineStr">
        <is>
          <t>66593bc296789</t>
        </is>
      </c>
      <c r="B248" s="13" t="inlineStr">
        <is>
          <t>ANILLO LOVE MZ SILVER</t>
        </is>
      </c>
      <c r="C248" s="13" t="inlineStr">
        <is>
          <t>6</t>
        </is>
      </c>
      <c r="D248" s="14" t="inlineStr">
        <is>
          <t>Stainless stee</t>
        </is>
      </c>
      <c r="E248" s="15" t="n">
        <v>5.8</v>
      </c>
      <c r="F248" s="13" t="n"/>
      <c r="G248" s="13" t="n"/>
      <c r="H248" s="13" t="n"/>
      <c r="I248" s="15" t="n">
        <v>5.8</v>
      </c>
      <c r="J248" s="13" t="n"/>
      <c r="K248" s="13" t="n"/>
      <c r="L248" s="15" t="n">
        <v>5.8</v>
      </c>
      <c r="M248" s="15" t="n">
        <v>5.8</v>
      </c>
      <c r="N248" s="13" t="n"/>
      <c r="O248" s="13" t="n"/>
      <c r="P248" s="13" t="n"/>
      <c r="Q248" s="13" t="n"/>
      <c r="R248" s="16">
        <f>IF(COUNT(E248:Q248)=0,"",MIN(E248:Q248))</f>
        <v/>
      </c>
      <c r="S248" s="15">
        <f>IF(COUNT(E248:Q248)=0,"",LOOKUP(2,1/(E248:Q248&lt;&gt;""),E248:Q248))</f>
        <v/>
      </c>
      <c r="T248" s="17">
        <f>IF(R248="","",ROUND(R248*RESUMEN!$B$4,0))</f>
        <v/>
      </c>
      <c r="U248" s="18">
        <f>COUNT(E248:Q248)</f>
        <v/>
      </c>
    </row>
    <row r="249">
      <c r="A249" s="13" t="inlineStr">
        <is>
          <t>66593bc339714</t>
        </is>
      </c>
      <c r="B249" s="13" t="inlineStr">
        <is>
          <t>ANILLO LOVE MZ SILVER</t>
        </is>
      </c>
      <c r="C249" s="13" t="inlineStr">
        <is>
          <t>7</t>
        </is>
      </c>
      <c r="D249" s="14" t="inlineStr">
        <is>
          <t>Stainless stee</t>
        </is>
      </c>
      <c r="E249" s="15" t="n">
        <v>5.8</v>
      </c>
      <c r="F249" s="13" t="n"/>
      <c r="G249" s="13" t="n"/>
      <c r="H249" s="15" t="n">
        <v>5.8</v>
      </c>
      <c r="I249" s="15" t="n">
        <v>5.8</v>
      </c>
      <c r="J249" s="13" t="n"/>
      <c r="K249" s="13" t="n"/>
      <c r="L249" s="13" t="n"/>
      <c r="M249" s="13" t="n"/>
      <c r="N249" s="15" t="n">
        <v>5.8</v>
      </c>
      <c r="O249" s="13" t="n"/>
      <c r="P249" s="13" t="n"/>
      <c r="Q249" s="13" t="n"/>
      <c r="R249" s="16">
        <f>IF(COUNT(E249:Q249)=0,"",MIN(E249:Q249))</f>
        <v/>
      </c>
      <c r="S249" s="15">
        <f>IF(COUNT(E249:Q249)=0,"",LOOKUP(2,1/(E249:Q249&lt;&gt;""),E249:Q249))</f>
        <v/>
      </c>
      <c r="T249" s="17">
        <f>IF(R249="","",ROUND(R249*RESUMEN!$B$4,0))</f>
        <v/>
      </c>
      <c r="U249" s="18">
        <f>COUNT(E249:Q249)</f>
        <v/>
      </c>
    </row>
    <row r="250">
      <c r="A250" s="13" t="inlineStr">
        <is>
          <t>66593bc3df025</t>
        </is>
      </c>
      <c r="B250" s="13" t="inlineStr">
        <is>
          <t>ANILLO LOVE MZ SILVER</t>
        </is>
      </c>
      <c r="C250" s="13" t="inlineStr">
        <is>
          <t>8</t>
        </is>
      </c>
      <c r="D250" s="14" t="inlineStr">
        <is>
          <t>Stainless Stee</t>
        </is>
      </c>
      <c r="E250" s="15" t="n">
        <v>5.8</v>
      </c>
      <c r="F250" s="13" t="n"/>
      <c r="G250" s="13" t="n"/>
      <c r="H250" s="13" t="n"/>
      <c r="I250" s="13" t="n"/>
      <c r="J250" s="13" t="n"/>
      <c r="K250" s="13" t="n"/>
      <c r="L250" s="15" t="n">
        <v>5.8</v>
      </c>
      <c r="M250" s="13" t="n"/>
      <c r="N250" s="13" t="n"/>
      <c r="O250" s="13" t="n"/>
      <c r="P250" s="15" t="n">
        <v>5.8</v>
      </c>
      <c r="Q250" s="13" t="n"/>
      <c r="R250" s="16">
        <f>IF(COUNT(E250:Q250)=0,"",MIN(E250:Q250))</f>
        <v/>
      </c>
      <c r="S250" s="15">
        <f>IF(COUNT(E250:Q250)=0,"",LOOKUP(2,1/(E250:Q250&lt;&gt;""),E250:Q250))</f>
        <v/>
      </c>
      <c r="T250" s="17">
        <f>IF(R250="","",ROUND(R250*RESUMEN!$B$4,0))</f>
        <v/>
      </c>
      <c r="U250" s="18">
        <f>COUNT(E250:Q250)</f>
        <v/>
      </c>
    </row>
    <row r="251">
      <c r="A251" s="13" t="inlineStr">
        <is>
          <t>66593bc48c52f</t>
        </is>
      </c>
      <c r="B251" s="13" t="inlineStr">
        <is>
          <t>ANILLO LOVE MZ SILVER</t>
        </is>
      </c>
      <c r="C251" s="13" t="inlineStr">
        <is>
          <t>9</t>
        </is>
      </c>
      <c r="D251" s="14" t="inlineStr">
        <is>
          <t>Stainless Stee</t>
        </is>
      </c>
      <c r="E251" s="15" t="n">
        <v>5.8</v>
      </c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5" t="n">
        <v>5.8</v>
      </c>
      <c r="O251" s="13" t="n"/>
      <c r="P251" s="13" t="n"/>
      <c r="Q251" s="15" t="n">
        <v>5.8</v>
      </c>
      <c r="R251" s="16">
        <f>IF(COUNT(E251:Q251)=0,"",MIN(E251:Q251))</f>
        <v/>
      </c>
      <c r="S251" s="15">
        <f>IF(COUNT(E251:Q251)=0,"",LOOKUP(2,1/(E251:Q251&lt;&gt;""),E251:Q251))</f>
        <v/>
      </c>
      <c r="T251" s="17">
        <f>IF(R251="","",ROUND(R251*RESUMEN!$B$4,0))</f>
        <v/>
      </c>
      <c r="U251" s="18">
        <f>COUNT(E251:Q251)</f>
        <v/>
      </c>
    </row>
    <row r="252">
      <c r="A252" s="13" t="inlineStr">
        <is>
          <t>66176c87347f1</t>
        </is>
      </c>
      <c r="B252" s="13" t="inlineStr">
        <is>
          <t>ANILLO LOVE ROSE GOLD</t>
        </is>
      </c>
      <c r="C252" s="13" t="inlineStr">
        <is>
          <t>5</t>
        </is>
      </c>
      <c r="D252" s="14" t="inlineStr"/>
      <c r="E252" s="13" t="n"/>
      <c r="F252" s="13" t="n"/>
      <c r="G252" s="13" t="n"/>
      <c r="H252" s="13" t="n"/>
      <c r="I252" s="15" t="n">
        <v>1.8</v>
      </c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6">
        <f>IF(COUNT(E252:Q252)=0,"",MIN(E252:Q252))</f>
        <v/>
      </c>
      <c r="S252" s="15">
        <f>IF(COUNT(E252:Q252)=0,"",LOOKUP(2,1/(E252:Q252&lt;&gt;""),E252:Q252))</f>
        <v/>
      </c>
      <c r="T252" s="17">
        <f>IF(R252="","",ROUND(R252*RESUMEN!$B$4,0))</f>
        <v/>
      </c>
      <c r="U252" s="18">
        <f>COUNT(E252:Q252)</f>
        <v/>
      </c>
    </row>
    <row r="253">
      <c r="A253" s="13" t="inlineStr">
        <is>
          <t>66176c87bb2e1</t>
        </is>
      </c>
      <c r="B253" s="13" t="inlineStr">
        <is>
          <t>ANILLO LOVE ROSE GOLD</t>
        </is>
      </c>
      <c r="C253" s="13" t="inlineStr">
        <is>
          <t>6</t>
        </is>
      </c>
      <c r="D253" s="14" t="inlineStr"/>
      <c r="E253" s="13" t="n"/>
      <c r="F253" s="13" t="n"/>
      <c r="G253" s="13" t="n"/>
      <c r="H253" s="13" t="n"/>
      <c r="I253" s="13" t="n"/>
      <c r="J253" s="15" t="n">
        <v>1.8</v>
      </c>
      <c r="K253" s="13" t="n"/>
      <c r="L253" s="15" t="n">
        <v>1.8</v>
      </c>
      <c r="M253" s="13" t="n"/>
      <c r="N253" s="13" t="n"/>
      <c r="O253" s="13" t="n"/>
      <c r="P253" s="13" t="n"/>
      <c r="Q253" s="13" t="n"/>
      <c r="R253" s="16">
        <f>IF(COUNT(E253:Q253)=0,"",MIN(E253:Q253))</f>
        <v/>
      </c>
      <c r="S253" s="15">
        <f>IF(COUNT(E253:Q253)=0,"",LOOKUP(2,1/(E253:Q253&lt;&gt;""),E253:Q253))</f>
        <v/>
      </c>
      <c r="T253" s="17">
        <f>IF(R253="","",ROUND(R253*RESUMEN!$B$4,0))</f>
        <v/>
      </c>
      <c r="U253" s="18">
        <f>COUNT(E253:Q253)</f>
        <v/>
      </c>
    </row>
    <row r="254">
      <c r="A254" s="13" t="inlineStr">
        <is>
          <t>66176c8851d40</t>
        </is>
      </c>
      <c r="B254" s="13" t="inlineStr">
        <is>
          <t>ANILLO LOVE ROSE GOLD</t>
        </is>
      </c>
      <c r="C254" s="13" t="inlineStr">
        <is>
          <t>7</t>
        </is>
      </c>
      <c r="D254" s="14" t="inlineStr">
        <is>
          <t>Stainless Stee</t>
        </is>
      </c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5" t="n">
        <v>1.8</v>
      </c>
      <c r="R254" s="16">
        <f>IF(COUNT(E254:Q254)=0,"",MIN(E254:Q254))</f>
        <v/>
      </c>
      <c r="S254" s="15">
        <f>IF(COUNT(E254:Q254)=0,"",LOOKUP(2,1/(E254:Q254&lt;&gt;""),E254:Q254))</f>
        <v/>
      </c>
      <c r="T254" s="17">
        <f>IF(R254="","",ROUND(R254*RESUMEN!$B$4,0))</f>
        <v/>
      </c>
      <c r="U254" s="18">
        <f>COUNT(E254:Q254)</f>
        <v/>
      </c>
    </row>
    <row r="255">
      <c r="A255" s="13" t="inlineStr">
        <is>
          <t>66176c895cc2a</t>
        </is>
      </c>
      <c r="B255" s="13" t="inlineStr">
        <is>
          <t>ANILLO LOVE ROSE GOLD</t>
        </is>
      </c>
      <c r="C255" s="13" t="inlineStr">
        <is>
          <t>9</t>
        </is>
      </c>
      <c r="D255" s="14" t="inlineStr"/>
      <c r="E255" s="13" t="n"/>
      <c r="F255" s="13" t="n"/>
      <c r="G255" s="13" t="n"/>
      <c r="H255" s="13" t="n"/>
      <c r="I255" s="15" t="n">
        <v>1.8</v>
      </c>
      <c r="J255" s="15" t="n">
        <v>1.8</v>
      </c>
      <c r="K255" s="13" t="n"/>
      <c r="L255" s="15" t="n">
        <v>1.8</v>
      </c>
      <c r="M255" s="13" t="n"/>
      <c r="N255" s="13" t="n"/>
      <c r="O255" s="13" t="n"/>
      <c r="P255" s="13" t="n"/>
      <c r="Q255" s="13" t="n"/>
      <c r="R255" s="16">
        <f>IF(COUNT(E255:Q255)=0,"",MIN(E255:Q255))</f>
        <v/>
      </c>
      <c r="S255" s="15">
        <f>IF(COUNT(E255:Q255)=0,"",LOOKUP(2,1/(E255:Q255&lt;&gt;""),E255:Q255))</f>
        <v/>
      </c>
      <c r="T255" s="17">
        <f>IF(R255="","",ROUND(R255*RESUMEN!$B$4,0))</f>
        <v/>
      </c>
      <c r="U255" s="18">
        <f>COUNT(E255:Q255)</f>
        <v/>
      </c>
    </row>
    <row r="256">
      <c r="A256" s="13" t="inlineStr">
        <is>
          <t>66176c8d6ed4d</t>
        </is>
      </c>
      <c r="B256" s="13" t="inlineStr">
        <is>
          <t>ANILLO LOVE ROSE GOLD ANCHO</t>
        </is>
      </c>
      <c r="C256" s="13" t="inlineStr">
        <is>
          <t>11</t>
        </is>
      </c>
      <c r="D256" s="14" t="inlineStr">
        <is>
          <t>Stainless stee</t>
        </is>
      </c>
      <c r="E256" s="13" t="n"/>
      <c r="F256" s="13" t="n"/>
      <c r="G256" s="13" t="n"/>
      <c r="H256" s="15" t="n">
        <v>1.8</v>
      </c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6">
        <f>IF(COUNT(E256:Q256)=0,"",MIN(E256:Q256))</f>
        <v/>
      </c>
      <c r="S256" s="15">
        <f>IF(COUNT(E256:Q256)=0,"",LOOKUP(2,1/(E256:Q256&lt;&gt;""),E256:Q256))</f>
        <v/>
      </c>
      <c r="T256" s="17">
        <f>IF(R256="","",ROUND(R256*RESUMEN!$B$4,0))</f>
        <v/>
      </c>
      <c r="U256" s="18">
        <f>COUNT(E256:Q256)</f>
        <v/>
      </c>
    </row>
    <row r="257">
      <c r="A257" s="13" t="inlineStr">
        <is>
          <t>67762863713709</t>
        </is>
      </c>
      <c r="B257" s="13" t="inlineStr">
        <is>
          <t>ANILLO LOVE ROSE GOLD ANCHO</t>
        </is>
      </c>
      <c r="C257" s="13" t="inlineStr">
        <is>
          <t>5</t>
        </is>
      </c>
      <c r="D257" s="14" t="inlineStr">
        <is>
          <t>nan</t>
        </is>
      </c>
      <c r="E257" s="13" t="n"/>
      <c r="F257" s="13" t="n"/>
      <c r="G257" s="13" t="n"/>
      <c r="H257" s="15" t="n">
        <v>1.8</v>
      </c>
      <c r="I257" s="13" t="n"/>
      <c r="J257" s="13" t="n"/>
      <c r="K257" s="13" t="n"/>
      <c r="L257" s="13" t="n"/>
      <c r="M257" s="15" t="n">
        <v>1.8</v>
      </c>
      <c r="N257" s="13" t="n"/>
      <c r="O257" s="13" t="n"/>
      <c r="P257" s="13" t="n"/>
      <c r="Q257" s="13" t="n"/>
      <c r="R257" s="16">
        <f>IF(COUNT(E257:Q257)=0,"",MIN(E257:Q257))</f>
        <v/>
      </c>
      <c r="S257" s="15">
        <f>IF(COUNT(E257:Q257)=0,"",LOOKUP(2,1/(E257:Q257&lt;&gt;""),E257:Q257))</f>
        <v/>
      </c>
      <c r="T257" s="17">
        <f>IF(R257="","",ROUND(R257*RESUMEN!$B$4,0))</f>
        <v/>
      </c>
      <c r="U257" s="18">
        <f>COUNT(E257:Q257)</f>
        <v/>
      </c>
    </row>
    <row r="258">
      <c r="A258" s="13" t="inlineStr">
        <is>
          <t>66176c8ac28e0</t>
        </is>
      </c>
      <c r="B258" s="13" t="inlineStr">
        <is>
          <t>ANILLO LOVE ROSE GOLD ANCHO</t>
        </is>
      </c>
      <c r="C258" s="13" t="inlineStr">
        <is>
          <t>6</t>
        </is>
      </c>
      <c r="D258" s="14" t="inlineStr">
        <is>
          <t>Stainless Stee</t>
        </is>
      </c>
      <c r="E258" s="13" t="n"/>
      <c r="F258" s="13" t="n"/>
      <c r="G258" s="13" t="n"/>
      <c r="H258" s="13" t="n"/>
      <c r="I258" s="15" t="n">
        <v>1.8</v>
      </c>
      <c r="J258" s="13" t="n"/>
      <c r="K258" s="13" t="n"/>
      <c r="L258" s="13" t="n"/>
      <c r="M258" s="13" t="n"/>
      <c r="N258" s="13" t="n"/>
      <c r="O258" s="15" t="n">
        <v>1.8</v>
      </c>
      <c r="P258" s="13" t="n"/>
      <c r="Q258" s="13" t="n"/>
      <c r="R258" s="16">
        <f>IF(COUNT(E258:Q258)=0,"",MIN(E258:Q258))</f>
        <v/>
      </c>
      <c r="S258" s="15">
        <f>IF(COUNT(E258:Q258)=0,"",LOOKUP(2,1/(E258:Q258&lt;&gt;""),E258:Q258))</f>
        <v/>
      </c>
      <c r="T258" s="17">
        <f>IF(R258="","",ROUND(R258*RESUMEN!$B$4,0))</f>
        <v/>
      </c>
      <c r="U258" s="18">
        <f>COUNT(E258:Q258)</f>
        <v/>
      </c>
    </row>
    <row r="259">
      <c r="A259" s="13" t="inlineStr">
        <is>
          <t>66176c8b55e0c</t>
        </is>
      </c>
      <c r="B259" s="13" t="inlineStr">
        <is>
          <t>ANILLO LOVE ROSE GOLD ANCHO</t>
        </is>
      </c>
      <c r="C259" s="13" t="inlineStr">
        <is>
          <t>7</t>
        </is>
      </c>
      <c r="D259" s="14" t="inlineStr"/>
      <c r="E259" s="13" t="n"/>
      <c r="F259" s="15" t="n">
        <v>2</v>
      </c>
      <c r="G259" s="13" t="n"/>
      <c r="H259" s="13" t="n"/>
      <c r="I259" s="15" t="n">
        <v>1.8</v>
      </c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6">
        <f>IF(COUNT(E259:Q259)=0,"",MIN(E259:Q259))</f>
        <v/>
      </c>
      <c r="S259" s="15">
        <f>IF(COUNT(E259:Q259)=0,"",LOOKUP(2,1/(E259:Q259&lt;&gt;""),E259:Q259))</f>
        <v/>
      </c>
      <c r="T259" s="17">
        <f>IF(R259="","",ROUND(R259*RESUMEN!$B$4,0))</f>
        <v/>
      </c>
      <c r="U259" s="18">
        <f>COUNT(E259:Q259)</f>
        <v/>
      </c>
    </row>
    <row r="260">
      <c r="A260" s="13" t="inlineStr">
        <is>
          <t>66176c8c6241e</t>
        </is>
      </c>
      <c r="B260" s="13" t="inlineStr">
        <is>
          <t>ANILLO LOVE ROSE GOLD ANCHO</t>
        </is>
      </c>
      <c r="C260" s="13" t="inlineStr">
        <is>
          <t>9</t>
        </is>
      </c>
      <c r="D260" s="14" t="inlineStr">
        <is>
          <t>Stainless stee</t>
        </is>
      </c>
      <c r="E260" s="13" t="n"/>
      <c r="F260" s="13" t="n"/>
      <c r="G260" s="13" t="n"/>
      <c r="H260" s="15" t="n">
        <v>1.8</v>
      </c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6">
        <f>IF(COUNT(E260:Q260)=0,"",MIN(E260:Q260))</f>
        <v/>
      </c>
      <c r="S260" s="15">
        <f>IF(COUNT(E260:Q260)=0,"",LOOKUP(2,1/(E260:Q260&lt;&gt;""),E260:Q260))</f>
        <v/>
      </c>
      <c r="T260" s="17">
        <f>IF(R260="","",ROUND(R260*RESUMEN!$B$4,0))</f>
        <v/>
      </c>
      <c r="U260" s="18">
        <f>COUNT(E260:Q260)</f>
        <v/>
      </c>
    </row>
    <row r="261">
      <c r="A261" s="13" t="inlineStr">
        <is>
          <t>66176c8bd1187</t>
        </is>
      </c>
      <c r="B261" s="13" t="inlineStr">
        <is>
          <t>ANILLO LOVE ROSE GOLD ANCHO (WIDE)</t>
        </is>
      </c>
      <c r="C261" s="13" t="inlineStr">
        <is>
          <t>8</t>
        </is>
      </c>
      <c r="D261" s="14" t="inlineStr">
        <is>
          <t>Stainless stee</t>
        </is>
      </c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5" t="n">
        <v>1.8</v>
      </c>
      <c r="O261" s="13" t="n"/>
      <c r="P261" s="13" t="n"/>
      <c r="Q261" s="15" t="n">
        <v>1.8</v>
      </c>
      <c r="R261" s="16">
        <f>IF(COUNT(E261:Q261)=0,"",MIN(E261:Q261))</f>
        <v/>
      </c>
      <c r="S261" s="15">
        <f>IF(COUNT(E261:Q261)=0,"",LOOKUP(2,1/(E261:Q261&lt;&gt;""),E261:Q261))</f>
        <v/>
      </c>
      <c r="T261" s="17">
        <f>IF(R261="","",ROUND(R261*RESUMEN!$B$4,0))</f>
        <v/>
      </c>
      <c r="U261" s="18">
        <f>COUNT(E261:Q261)</f>
        <v/>
      </c>
    </row>
    <row r="262">
      <c r="A262" s="13" t="inlineStr">
        <is>
          <t>66593bca3c26c</t>
        </is>
      </c>
      <c r="B262" s="13" t="inlineStr">
        <is>
          <t>ANILLO LOVE ROSE GOLD ANCHO CON ZIRCONIA (WIDHT WITH ZIRCONIAS)</t>
        </is>
      </c>
      <c r="C262" s="13" t="inlineStr">
        <is>
          <t>10</t>
        </is>
      </c>
      <c r="D262" s="14" t="inlineStr">
        <is>
          <t>Stainless stee</t>
        </is>
      </c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5" t="n">
        <v>1.8</v>
      </c>
      <c r="O262" s="13" t="n"/>
      <c r="P262" s="13" t="n"/>
      <c r="Q262" s="13" t="n"/>
      <c r="R262" s="16">
        <f>IF(COUNT(E262:Q262)=0,"",MIN(E262:Q262))</f>
        <v/>
      </c>
      <c r="S262" s="15">
        <f>IF(COUNT(E262:Q262)=0,"",LOOKUP(2,1/(E262:Q262&lt;&gt;""),E262:Q262))</f>
        <v/>
      </c>
      <c r="T262" s="17">
        <f>IF(R262="","",ROUND(R262*RESUMEN!$B$4,0))</f>
        <v/>
      </c>
      <c r="U262" s="18">
        <f>COUNT(E262:Q262)</f>
        <v/>
      </c>
    </row>
    <row r="263">
      <c r="A263" s="13" t="inlineStr">
        <is>
          <t>66176c86bbe5a</t>
        </is>
      </c>
      <c r="B263" s="13" t="inlineStr">
        <is>
          <t>ANILLO LOVE SILVER</t>
        </is>
      </c>
      <c r="C263" s="13" t="inlineStr">
        <is>
          <t>10</t>
        </is>
      </c>
      <c r="D263" s="14" t="inlineStr">
        <is>
          <t>Stainless Stee</t>
        </is>
      </c>
      <c r="E263" s="13" t="n"/>
      <c r="F263" s="13" t="n"/>
      <c r="G263" s="13" t="n"/>
      <c r="H263" s="13" t="n"/>
      <c r="I263" s="15" t="n">
        <v>1.8</v>
      </c>
      <c r="J263" s="13" t="n"/>
      <c r="K263" s="13" t="n"/>
      <c r="L263" s="13" t="n"/>
      <c r="M263" s="13" t="n"/>
      <c r="N263" s="15" t="n">
        <v>1.8</v>
      </c>
      <c r="O263" s="13" t="n"/>
      <c r="P263" s="13" t="n"/>
      <c r="Q263" s="15" t="n">
        <v>1.8</v>
      </c>
      <c r="R263" s="16">
        <f>IF(COUNT(E263:Q263)=0,"",MIN(E263:Q263))</f>
        <v/>
      </c>
      <c r="S263" s="15">
        <f>IF(COUNT(E263:Q263)=0,"",LOOKUP(2,1/(E263:Q263&lt;&gt;""),E263:Q263))</f>
        <v/>
      </c>
      <c r="T263" s="17">
        <f>IF(R263="","",ROUND(R263*RESUMEN!$B$4,0))</f>
        <v/>
      </c>
      <c r="U263" s="18">
        <f>COUNT(E263:Q263)</f>
        <v/>
      </c>
    </row>
    <row r="264">
      <c r="A264" s="13" t="inlineStr">
        <is>
          <t>66176c83f3f50</t>
        </is>
      </c>
      <c r="B264" s="13" t="inlineStr">
        <is>
          <t>ANILLO LOVE SILVER</t>
        </is>
      </c>
      <c r="C264" s="13" t="inlineStr">
        <is>
          <t>5</t>
        </is>
      </c>
      <c r="D264" s="14" t="inlineStr">
        <is>
          <t>Stainless Stee</t>
        </is>
      </c>
      <c r="E264" s="13" t="n"/>
      <c r="F264" s="13" t="n"/>
      <c r="G264" s="13" t="n"/>
      <c r="H264" s="13" t="n"/>
      <c r="I264" s="15" t="n">
        <v>1.8</v>
      </c>
      <c r="J264" s="15" t="n">
        <v>1.8</v>
      </c>
      <c r="K264" s="13" t="n"/>
      <c r="L264" s="15" t="n">
        <v>1.8</v>
      </c>
      <c r="M264" s="13" t="n"/>
      <c r="N264" s="15" t="n">
        <v>1.8</v>
      </c>
      <c r="O264" s="15" t="n">
        <v>1.8</v>
      </c>
      <c r="P264" s="13" t="n"/>
      <c r="Q264" s="13" t="n"/>
      <c r="R264" s="16">
        <f>IF(COUNT(E264:Q264)=0,"",MIN(E264:Q264))</f>
        <v/>
      </c>
      <c r="S264" s="15">
        <f>IF(COUNT(E264:Q264)=0,"",LOOKUP(2,1/(E264:Q264&lt;&gt;""),E264:Q264))</f>
        <v/>
      </c>
      <c r="T264" s="17">
        <f>IF(R264="","",ROUND(R264*RESUMEN!$B$4,0))</f>
        <v/>
      </c>
      <c r="U264" s="18">
        <f>COUNT(E264:Q264)</f>
        <v/>
      </c>
    </row>
    <row r="265">
      <c r="A265" s="13" t="inlineStr">
        <is>
          <t>66176c8482af4</t>
        </is>
      </c>
      <c r="B265" s="13" t="inlineStr">
        <is>
          <t>ANILLO LOVE SILVER</t>
        </is>
      </c>
      <c r="C265" s="13" t="inlineStr">
        <is>
          <t>6</t>
        </is>
      </c>
      <c r="D265" s="14" t="inlineStr">
        <is>
          <t>Stainless Stee</t>
        </is>
      </c>
      <c r="E265" s="13" t="n"/>
      <c r="F265" s="13" t="n"/>
      <c r="G265" s="13" t="n"/>
      <c r="H265" s="15" t="n">
        <v>1.8</v>
      </c>
      <c r="I265" s="13" t="n"/>
      <c r="J265" s="15" t="n">
        <v>1.8</v>
      </c>
      <c r="K265" s="13" t="n"/>
      <c r="L265" s="15" t="n">
        <v>1.8</v>
      </c>
      <c r="M265" s="13" t="n"/>
      <c r="N265" s="13" t="n"/>
      <c r="O265" s="13" t="n"/>
      <c r="P265" s="15" t="n">
        <v>1.8</v>
      </c>
      <c r="Q265" s="15" t="n">
        <v>1.8</v>
      </c>
      <c r="R265" s="16">
        <f>IF(COUNT(E265:Q265)=0,"",MIN(E265:Q265))</f>
        <v/>
      </c>
      <c r="S265" s="15">
        <f>IF(COUNT(E265:Q265)=0,"",LOOKUP(2,1/(E265:Q265&lt;&gt;""),E265:Q265))</f>
        <v/>
      </c>
      <c r="T265" s="17">
        <f>IF(R265="","",ROUND(R265*RESUMEN!$B$4,0))</f>
        <v/>
      </c>
      <c r="U265" s="18">
        <f>COUNT(E265:Q265)</f>
        <v/>
      </c>
    </row>
    <row r="266">
      <c r="A266" s="13" t="inlineStr">
        <is>
          <t>66176c8628af3</t>
        </is>
      </c>
      <c r="B266" s="13" t="inlineStr">
        <is>
          <t>ANILLO LOVE SILVER</t>
        </is>
      </c>
      <c r="C266" s="13" t="inlineStr">
        <is>
          <t>9</t>
        </is>
      </c>
      <c r="D266" s="14" t="inlineStr">
        <is>
          <t>Stainless Stee</t>
        </is>
      </c>
      <c r="E266" s="13" t="n"/>
      <c r="F266" s="13" t="n"/>
      <c r="G266" s="13" t="n"/>
      <c r="H266" s="15" t="n">
        <v>1.8</v>
      </c>
      <c r="I266" s="15" t="n">
        <v>1.8</v>
      </c>
      <c r="J266" s="15" t="n">
        <v>1.8</v>
      </c>
      <c r="K266" s="13" t="n"/>
      <c r="L266" s="13" t="n"/>
      <c r="M266" s="13" t="n"/>
      <c r="N266" s="15" t="n">
        <v>1.8</v>
      </c>
      <c r="O266" s="13" t="n"/>
      <c r="P266" s="15" t="n">
        <v>1.8</v>
      </c>
      <c r="Q266" s="13" t="n"/>
      <c r="R266" s="16">
        <f>IF(COUNT(E266:Q266)=0,"",MIN(E266:Q266))</f>
        <v/>
      </c>
      <c r="S266" s="15">
        <f>IF(COUNT(E266:Q266)=0,"",LOOKUP(2,1/(E266:Q266&lt;&gt;""),E266:Q266))</f>
        <v/>
      </c>
      <c r="T266" s="17">
        <f>IF(R266="","",ROUND(R266*RESUMEN!$B$4,0))</f>
        <v/>
      </c>
      <c r="U266" s="18">
        <f>COUNT(E266:Q266)</f>
        <v/>
      </c>
    </row>
    <row r="267">
      <c r="A267" s="13" t="inlineStr">
        <is>
          <t>66176c850b76a</t>
        </is>
      </c>
      <c r="B267" s="13" t="inlineStr">
        <is>
          <t>ANILLO LOVE SILVER (THIN WITHOUT ZIRCONIAS)</t>
        </is>
      </c>
      <c r="C267" s="13" t="inlineStr">
        <is>
          <t>7</t>
        </is>
      </c>
      <c r="D267" s="14" t="inlineStr">
        <is>
          <t>Stainless stee</t>
        </is>
      </c>
      <c r="E267" s="13" t="n"/>
      <c r="F267" s="13" t="n"/>
      <c r="G267" s="13" t="n"/>
      <c r="H267" s="13" t="n"/>
      <c r="I267" s="15" t="n">
        <v>1.8</v>
      </c>
      <c r="J267" s="15" t="n">
        <v>1.8</v>
      </c>
      <c r="K267" s="13" t="n"/>
      <c r="L267" s="15" t="n">
        <v>1.8</v>
      </c>
      <c r="M267" s="13" t="n"/>
      <c r="N267" s="15" t="n">
        <v>1.8</v>
      </c>
      <c r="O267" s="13" t="n"/>
      <c r="P267" s="13" t="n"/>
      <c r="Q267" s="13" t="n"/>
      <c r="R267" s="16">
        <f>IF(COUNT(E267:Q267)=0,"",MIN(E267:Q267))</f>
        <v/>
      </c>
      <c r="S267" s="15">
        <f>IF(COUNT(E267:Q267)=0,"",LOOKUP(2,1/(E267:Q267&lt;&gt;""),E267:Q267))</f>
        <v/>
      </c>
      <c r="T267" s="17">
        <f>IF(R267="","",ROUND(R267*RESUMEN!$B$4,0))</f>
        <v/>
      </c>
      <c r="U267" s="18">
        <f>COUNT(E267:Q267)</f>
        <v/>
      </c>
    </row>
    <row r="268">
      <c r="A268" s="13" t="inlineStr">
        <is>
          <t>66176c8589787</t>
        </is>
      </c>
      <c r="B268" s="13" t="inlineStr">
        <is>
          <t>ANILLO LOVE SILVER (THIN WITHOUT ZIRCONIAS)</t>
        </is>
      </c>
      <c r="C268" s="13" t="inlineStr">
        <is>
          <t>8</t>
        </is>
      </c>
      <c r="D268" s="14" t="inlineStr">
        <is>
          <t>Stainless stee</t>
        </is>
      </c>
      <c r="E268" s="13" t="n"/>
      <c r="F268" s="13" t="n"/>
      <c r="G268" s="13" t="n"/>
      <c r="H268" s="15" t="n">
        <v>1.8</v>
      </c>
      <c r="I268" s="15" t="n">
        <v>1.8</v>
      </c>
      <c r="J268" s="15" t="n">
        <v>1.8</v>
      </c>
      <c r="K268" s="13" t="n"/>
      <c r="L268" s="15" t="n">
        <v>1.8</v>
      </c>
      <c r="M268" s="13" t="n"/>
      <c r="N268" s="15" t="n">
        <v>1.8</v>
      </c>
      <c r="O268" s="13" t="n"/>
      <c r="P268" s="13" t="n"/>
      <c r="Q268" s="13" t="n"/>
      <c r="R268" s="16">
        <f>IF(COUNT(E268:Q268)=0,"",MIN(E268:Q268))</f>
        <v/>
      </c>
      <c r="S268" s="15">
        <f>IF(COUNT(E268:Q268)=0,"",LOOKUP(2,1/(E268:Q268&lt;&gt;""),E268:Q268))</f>
        <v/>
      </c>
      <c r="T268" s="17">
        <f>IF(R268="","",ROUND(R268*RESUMEN!$B$4,0))</f>
        <v/>
      </c>
      <c r="U268" s="18">
        <f>COUNT(E268:Q268)</f>
        <v/>
      </c>
    </row>
    <row r="269">
      <c r="A269" s="13" t="inlineStr">
        <is>
          <t>2653036267660</t>
        </is>
      </c>
      <c r="B269" s="13" t="inlineStr">
        <is>
          <t>ANILLO LOVE SILVER ANCHO</t>
        </is>
      </c>
      <c r="C269" s="13" t="inlineStr">
        <is>
          <t>11</t>
        </is>
      </c>
      <c r="D269" s="14" t="inlineStr">
        <is>
          <t>Stainless Stee</t>
        </is>
      </c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5" t="n">
        <v>1.8</v>
      </c>
      <c r="N269" s="13" t="n"/>
      <c r="O269" s="13" t="n"/>
      <c r="P269" s="15" t="n">
        <v>1.8</v>
      </c>
      <c r="Q269" s="13" t="n"/>
      <c r="R269" s="16">
        <f>IF(COUNT(E269:Q269)=0,"",MIN(E269:Q269))</f>
        <v/>
      </c>
      <c r="S269" s="15">
        <f>IF(COUNT(E269:Q269)=0,"",LOOKUP(2,1/(E269:Q269&lt;&gt;""),E269:Q269))</f>
        <v/>
      </c>
      <c r="T269" s="17">
        <f>IF(R269="","",ROUND(R269*RESUMEN!$B$4,0))</f>
        <v/>
      </c>
      <c r="U269" s="18">
        <f>COUNT(E269:Q269)</f>
        <v/>
      </c>
    </row>
    <row r="270">
      <c r="A270" s="13" t="inlineStr">
        <is>
          <t>2653026071052</t>
        </is>
      </c>
      <c r="B270" s="13" t="inlineStr">
        <is>
          <t>ANILLO LOVE SILVER ANCHO</t>
        </is>
      </c>
      <c r="C270" s="13" t="inlineStr">
        <is>
          <t>5</t>
        </is>
      </c>
      <c r="D270" s="14" t="inlineStr">
        <is>
          <t>Stainless Stee</t>
        </is>
      </c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5" t="n">
        <v>1.8</v>
      </c>
      <c r="P270" s="13" t="n"/>
      <c r="Q270" s="13" t="n"/>
      <c r="R270" s="16">
        <f>IF(COUNT(E270:Q270)=0,"",MIN(E270:Q270))</f>
        <v/>
      </c>
      <c r="S270" s="15">
        <f>IF(COUNT(E270:Q270)=0,"",LOOKUP(2,1/(E270:Q270&lt;&gt;""),E270:Q270))</f>
        <v/>
      </c>
      <c r="T270" s="17">
        <f>IF(R270="","",ROUND(R270*RESUMEN!$B$4,0))</f>
        <v/>
      </c>
      <c r="U270" s="18">
        <f>COUNT(E270:Q270)</f>
        <v/>
      </c>
    </row>
    <row r="271">
      <c r="A271" s="13" t="inlineStr">
        <is>
          <t>2653026103820</t>
        </is>
      </c>
      <c r="B271" s="13" t="inlineStr">
        <is>
          <t>ANILLO LOVE SILVER ANCHO</t>
        </is>
      </c>
      <c r="C271" s="13" t="inlineStr">
        <is>
          <t>6</t>
        </is>
      </c>
      <c r="D271" s="14" t="inlineStr">
        <is>
          <t>Stainless stee</t>
        </is>
      </c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5" t="n">
        <v>1.8</v>
      </c>
      <c r="N271" s="13" t="n"/>
      <c r="O271" s="15" t="n">
        <v>1.8</v>
      </c>
      <c r="P271" s="13" t="n"/>
      <c r="Q271" s="13" t="n"/>
      <c r="R271" s="16">
        <f>IF(COUNT(E271:Q271)=0,"",MIN(E271:Q271))</f>
        <v/>
      </c>
      <c r="S271" s="15">
        <f>IF(COUNT(E271:Q271)=0,"",LOOKUP(2,1/(E271:Q271&lt;&gt;""),E271:Q271))</f>
        <v/>
      </c>
      <c r="T271" s="17">
        <f>IF(R271="","",ROUND(R271*RESUMEN!$B$4,0))</f>
        <v/>
      </c>
      <c r="U271" s="18">
        <f>COUNT(E271:Q271)</f>
        <v/>
      </c>
    </row>
    <row r="272">
      <c r="A272" s="13" t="inlineStr">
        <is>
          <t>2653036169356</t>
        </is>
      </c>
      <c r="B272" s="13" t="inlineStr">
        <is>
          <t>ANILLO LOVE SILVER ANCHO</t>
        </is>
      </c>
      <c r="C272" s="13" t="inlineStr">
        <is>
          <t>8</t>
        </is>
      </c>
      <c r="D272" s="14" t="inlineStr">
        <is>
          <t>nan</t>
        </is>
      </c>
      <c r="E272" s="13" t="n"/>
      <c r="F272" s="13" t="n"/>
      <c r="G272" s="13" t="n"/>
      <c r="H272" s="15" t="n">
        <v>1.8</v>
      </c>
      <c r="I272" s="15" t="n">
        <v>1.8</v>
      </c>
      <c r="J272" s="13" t="n"/>
      <c r="K272" s="13" t="n"/>
      <c r="L272" s="13" t="n"/>
      <c r="M272" s="15" t="n">
        <v>1.8</v>
      </c>
      <c r="N272" s="13" t="n"/>
      <c r="O272" s="13" t="n"/>
      <c r="P272" s="13" t="n"/>
      <c r="Q272" s="13" t="n"/>
      <c r="R272" s="16">
        <f>IF(COUNT(E272:Q272)=0,"",MIN(E272:Q272))</f>
        <v/>
      </c>
      <c r="S272" s="15">
        <f>IF(COUNT(E272:Q272)=0,"",LOOKUP(2,1/(E272:Q272&lt;&gt;""),E272:Q272))</f>
        <v/>
      </c>
      <c r="T272" s="17">
        <f>IF(R272="","",ROUND(R272*RESUMEN!$B$4,0))</f>
        <v/>
      </c>
      <c r="U272" s="18">
        <f>COUNT(E272:Q272)</f>
        <v/>
      </c>
    </row>
    <row r="273">
      <c r="A273" s="13" t="inlineStr">
        <is>
          <t>2653036202124</t>
        </is>
      </c>
      <c r="B273" s="13" t="inlineStr">
        <is>
          <t>ANILLO LOVE SILVER ANCHO</t>
        </is>
      </c>
      <c r="C273" s="13" t="inlineStr">
        <is>
          <t>9</t>
        </is>
      </c>
      <c r="D273" s="14" t="inlineStr"/>
      <c r="E273" s="15" t="n">
        <v>1.8</v>
      </c>
      <c r="F273" s="13" t="n"/>
      <c r="G273" s="13" t="n"/>
      <c r="H273" s="15" t="n">
        <v>1.8</v>
      </c>
      <c r="I273" s="15" t="n">
        <v>1.8</v>
      </c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6">
        <f>IF(COUNT(E273:Q273)=0,"",MIN(E273:Q273))</f>
        <v/>
      </c>
      <c r="S273" s="15">
        <f>IF(COUNT(E273:Q273)=0,"",LOOKUP(2,1/(E273:Q273&lt;&gt;""),E273:Q273))</f>
        <v/>
      </c>
      <c r="T273" s="17">
        <f>IF(R273="","",ROUND(R273*RESUMEN!$B$4,0))</f>
        <v/>
      </c>
      <c r="U273" s="18">
        <f>COUNT(E273:Q273)</f>
        <v/>
      </c>
    </row>
    <row r="274">
      <c r="A274" s="13" t="inlineStr">
        <is>
          <t>2653036234892</t>
        </is>
      </c>
      <c r="B274" s="13" t="inlineStr">
        <is>
          <t>ANILLO LOVE SILVER ANCHO (WIDHT WIHTOUT ZIRCONIAS)</t>
        </is>
      </c>
      <c r="C274" s="13" t="inlineStr">
        <is>
          <t>10</t>
        </is>
      </c>
      <c r="D274" s="14" t="inlineStr">
        <is>
          <t>Stainless stee</t>
        </is>
      </c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5" t="n">
        <v>1.8</v>
      </c>
      <c r="O274" s="13" t="n"/>
      <c r="P274" s="13" t="n"/>
      <c r="Q274" s="13" t="n"/>
      <c r="R274" s="16">
        <f>IF(COUNT(E274:Q274)=0,"",MIN(E274:Q274))</f>
        <v/>
      </c>
      <c r="S274" s="15">
        <f>IF(COUNT(E274:Q274)=0,"",LOOKUP(2,1/(E274:Q274&lt;&gt;""),E274:Q274))</f>
        <v/>
      </c>
      <c r="T274" s="17">
        <f>IF(R274="","",ROUND(R274*RESUMEN!$B$4,0))</f>
        <v/>
      </c>
      <c r="U274" s="18">
        <f>COUNT(E274:Q274)</f>
        <v/>
      </c>
    </row>
    <row r="275">
      <c r="A275" s="13" t="inlineStr">
        <is>
          <t>2653026136588</t>
        </is>
      </c>
      <c r="B275" s="13" t="inlineStr">
        <is>
          <t>ANILLO LOVE SILVER ANCHO (WIDHT WIHTOUT ZIRCONIAS)</t>
        </is>
      </c>
      <c r="C275" s="13" t="inlineStr">
        <is>
          <t>7</t>
        </is>
      </c>
      <c r="D275" s="14" t="inlineStr">
        <is>
          <t>Stainless stee</t>
        </is>
      </c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5" t="n">
        <v>1.8</v>
      </c>
      <c r="N275" s="15" t="n">
        <v>1.8</v>
      </c>
      <c r="O275" s="13" t="n"/>
      <c r="P275" s="13" t="n"/>
      <c r="Q275" s="13" t="n"/>
      <c r="R275" s="16">
        <f>IF(COUNT(E275:Q275)=0,"",MIN(E275:Q275))</f>
        <v/>
      </c>
      <c r="S275" s="15">
        <f>IF(COUNT(E275:Q275)=0,"",LOOKUP(2,1/(E275:Q275&lt;&gt;""),E275:Q275))</f>
        <v/>
      </c>
      <c r="T275" s="17">
        <f>IF(R275="","",ROUND(R275*RESUMEN!$B$4,0))</f>
        <v/>
      </c>
      <c r="U275" s="18">
        <f>COUNT(E275:Q275)</f>
        <v/>
      </c>
    </row>
    <row r="276">
      <c r="A276" s="13" t="inlineStr">
        <is>
          <t>66593bd178f08</t>
        </is>
      </c>
      <c r="B276" s="13" t="inlineStr">
        <is>
          <t>ANILLO LOVE SILVER ANCHO CON ZIRCONIA</t>
        </is>
      </c>
      <c r="C276" s="13" t="inlineStr">
        <is>
          <t>11</t>
        </is>
      </c>
      <c r="D276" s="14" t="inlineStr">
        <is>
          <t>Stainless Stee</t>
        </is>
      </c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5" t="n">
        <v>1.8</v>
      </c>
      <c r="R276" s="16">
        <f>IF(COUNT(E276:Q276)=0,"",MIN(E276:Q276))</f>
        <v/>
      </c>
      <c r="S276" s="15">
        <f>IF(COUNT(E276:Q276)=0,"",LOOKUP(2,1/(E276:Q276&lt;&gt;""),E276:Q276))</f>
        <v/>
      </c>
      <c r="T276" s="17">
        <f>IF(R276="","",ROUND(R276*RESUMEN!$B$4,0))</f>
        <v/>
      </c>
      <c r="U276" s="18">
        <f>COUNT(E276:Q276)</f>
        <v/>
      </c>
    </row>
    <row r="277">
      <c r="A277" s="13" t="inlineStr">
        <is>
          <t>66593bcedcf0c</t>
        </is>
      </c>
      <c r="B277" s="13" t="inlineStr">
        <is>
          <t>ANILLO LOVE SILVER ANCHO CON ZIRCONIA</t>
        </is>
      </c>
      <c r="C277" s="13" t="inlineStr">
        <is>
          <t>7</t>
        </is>
      </c>
      <c r="D277" s="14" t="inlineStr">
        <is>
          <t>Stainless Stee</t>
        </is>
      </c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5" t="n">
        <v>1.8</v>
      </c>
      <c r="P277" s="13" t="n"/>
      <c r="Q277" s="13" t="n"/>
      <c r="R277" s="16">
        <f>IF(COUNT(E277:Q277)=0,"",MIN(E277:Q277))</f>
        <v/>
      </c>
      <c r="S277" s="15">
        <f>IF(COUNT(E277:Q277)=0,"",LOOKUP(2,1/(E277:Q277&lt;&gt;""),E277:Q277))</f>
        <v/>
      </c>
      <c r="T277" s="17">
        <f>IF(R277="","",ROUND(R277*RESUMEN!$B$4,0))</f>
        <v/>
      </c>
      <c r="U277" s="18">
        <f>COUNT(E277:Q277)</f>
        <v/>
      </c>
    </row>
    <row r="278">
      <c r="A278" s="13" t="inlineStr">
        <is>
          <t>22064321319469</t>
        </is>
      </c>
      <c r="B278" s="13" t="inlineStr">
        <is>
          <t>ANILLO LOVE SILVER-BLACK MICROZIRCONIAS</t>
        </is>
      </c>
      <c r="C278" s="13" t="inlineStr">
        <is>
          <t>8</t>
        </is>
      </c>
      <c r="D278" s="14" t="inlineStr">
        <is>
          <t>Stainless Stee</t>
        </is>
      </c>
      <c r="E278" s="13" t="n"/>
      <c r="F278" s="13" t="n"/>
      <c r="G278" s="13" t="n"/>
      <c r="H278" s="13" t="n"/>
      <c r="I278" s="13" t="n"/>
      <c r="J278" s="13" t="n"/>
      <c r="K278" s="15" t="n">
        <v>8</v>
      </c>
      <c r="L278" s="13" t="n"/>
      <c r="M278" s="13" t="n"/>
      <c r="N278" s="13" t="n"/>
      <c r="O278" s="13" t="n"/>
      <c r="P278" s="15" t="n">
        <v>12</v>
      </c>
      <c r="Q278" s="13" t="n"/>
      <c r="R278" s="16">
        <f>IF(COUNT(E278:Q278)=0,"",MIN(E278:Q278))</f>
        <v/>
      </c>
      <c r="S278" s="15">
        <f>IF(COUNT(E278:Q278)=0,"",LOOKUP(2,1/(E278:Q278&lt;&gt;""),E278:Q278))</f>
        <v/>
      </c>
      <c r="T278" s="17">
        <f>IF(R278="","",ROUND(R278*RESUMEN!$B$4,0))</f>
        <v/>
      </c>
      <c r="U278" s="18">
        <f>COUNT(E278:Q278)</f>
        <v/>
      </c>
    </row>
    <row r="279">
      <c r="A279" s="13" t="inlineStr">
        <is>
          <t>22064321452237</t>
        </is>
      </c>
      <c r="B279" s="13" t="inlineStr">
        <is>
          <t>ANILLO LOVE SILVER-BLACK MICROZIRCONIAS</t>
        </is>
      </c>
      <c r="C279" s="13" t="inlineStr">
        <is>
          <t>9</t>
        </is>
      </c>
      <c r="D279" s="14" t="inlineStr"/>
      <c r="E279" s="13" t="n"/>
      <c r="F279" s="13" t="n"/>
      <c r="G279" s="13" t="n"/>
      <c r="H279" s="13" t="n"/>
      <c r="I279" s="13" t="n"/>
      <c r="J279" s="13" t="n"/>
      <c r="K279" s="15" t="n">
        <v>8</v>
      </c>
      <c r="L279" s="13" t="n"/>
      <c r="M279" s="13" t="n"/>
      <c r="N279" s="13" t="n"/>
      <c r="O279" s="13" t="n"/>
      <c r="P279" s="13" t="n"/>
      <c r="Q279" s="13" t="n"/>
      <c r="R279" s="16">
        <f>IF(COUNT(E279:Q279)=0,"",MIN(E279:Q279))</f>
        <v/>
      </c>
      <c r="S279" s="15">
        <f>IF(COUNT(E279:Q279)=0,"",LOOKUP(2,1/(E279:Q279&lt;&gt;""),E279:Q279))</f>
        <v/>
      </c>
      <c r="T279" s="17">
        <f>IF(R279="","",ROUND(R279*RESUMEN!$B$4,0))</f>
        <v/>
      </c>
      <c r="U279" s="18">
        <f>COUNT(E279:Q279)</f>
        <v/>
      </c>
    </row>
    <row r="280">
      <c r="A280" s="13" t="inlineStr">
        <is>
          <t>66075801474733</t>
        </is>
      </c>
      <c r="B280" s="13" t="inlineStr">
        <is>
          <t>ANILLO LOVE SOLITAIRE ROSE GOLD C</t>
        </is>
      </c>
      <c r="C280" s="13" t="inlineStr">
        <is>
          <t>6</t>
        </is>
      </c>
      <c r="D280" s="14" t="inlineStr"/>
      <c r="E280" s="13" t="n"/>
      <c r="F280" s="13" t="n"/>
      <c r="G280" s="13" t="n"/>
      <c r="H280" s="13" t="n"/>
      <c r="I280" s="15" t="n">
        <v>7</v>
      </c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6">
        <f>IF(COUNT(E280:Q280)=0,"",MIN(E280:Q280))</f>
        <v/>
      </c>
      <c r="S280" s="15">
        <f>IF(COUNT(E280:Q280)=0,"",LOOKUP(2,1/(E280:Q280&lt;&gt;""),E280:Q280))</f>
        <v/>
      </c>
      <c r="T280" s="17">
        <f>IF(R280="","",ROUND(R280*RESUMEN!$B$4,0))</f>
        <v/>
      </c>
      <c r="U280" s="18">
        <f>COUNT(E280:Q280)</f>
        <v/>
      </c>
    </row>
    <row r="281">
      <c r="A281" s="13" t="inlineStr">
        <is>
          <t>21206411294893</t>
        </is>
      </c>
      <c r="B281" s="13" t="inlineStr">
        <is>
          <t>ANILLO LOVE UNLIMITED GOLD</t>
        </is>
      </c>
      <c r="C281" s="13" t="inlineStr">
        <is>
          <t>6</t>
        </is>
      </c>
      <c r="D281" s="14" t="inlineStr">
        <is>
          <t>Stainless Stee</t>
        </is>
      </c>
      <c r="E281" s="13" t="n"/>
      <c r="F281" s="13" t="n"/>
      <c r="G281" s="13" t="n"/>
      <c r="H281" s="15" t="n">
        <v>5</v>
      </c>
      <c r="I281" s="13" t="n"/>
      <c r="J281" s="13" t="n"/>
      <c r="K281" s="13" t="n"/>
      <c r="L281" s="13" t="n"/>
      <c r="M281" s="13" t="n"/>
      <c r="N281" s="13" t="n"/>
      <c r="O281" s="15" t="n">
        <v>5.99</v>
      </c>
      <c r="P281" s="15" t="n">
        <v>5</v>
      </c>
      <c r="Q281" s="13" t="n"/>
      <c r="R281" s="16">
        <f>IF(COUNT(E281:Q281)=0,"",MIN(E281:Q281))</f>
        <v/>
      </c>
      <c r="S281" s="15">
        <f>IF(COUNT(E281:Q281)=0,"",LOOKUP(2,1/(E281:Q281&lt;&gt;""),E281:Q281))</f>
        <v/>
      </c>
      <c r="T281" s="17">
        <f>IF(R281="","",ROUND(R281*RESUMEN!$B$4,0))</f>
        <v/>
      </c>
      <c r="U281" s="18">
        <f>COUNT(E281:Q281)</f>
        <v/>
      </c>
    </row>
    <row r="282">
      <c r="A282" s="13" t="inlineStr">
        <is>
          <t>21206411327661</t>
        </is>
      </c>
      <c r="B282" s="13" t="inlineStr">
        <is>
          <t>ANILLO LOVE UNLIMITED GOLD</t>
        </is>
      </c>
      <c r="C282" s="13" t="inlineStr">
        <is>
          <t>7</t>
        </is>
      </c>
      <c r="D282" s="14" t="inlineStr">
        <is>
          <t>Stainless stee</t>
        </is>
      </c>
      <c r="E282" s="13" t="n"/>
      <c r="F282" s="13" t="n"/>
      <c r="G282" s="13" t="n"/>
      <c r="H282" s="15" t="n">
        <v>5</v>
      </c>
      <c r="I282" s="13" t="n"/>
      <c r="J282" s="13" t="n"/>
      <c r="K282" s="13" t="n"/>
      <c r="L282" s="13" t="n"/>
      <c r="M282" s="13" t="n"/>
      <c r="N282" s="15" t="n">
        <v>5</v>
      </c>
      <c r="O282" s="13" t="n"/>
      <c r="P282" s="13" t="n"/>
      <c r="Q282" s="15" t="n">
        <v>5</v>
      </c>
      <c r="R282" s="16">
        <f>IF(COUNT(E282:Q282)=0,"",MIN(E282:Q282))</f>
        <v/>
      </c>
      <c r="S282" s="15">
        <f>IF(COUNT(E282:Q282)=0,"",LOOKUP(2,1/(E282:Q282&lt;&gt;""),E282:Q282))</f>
        <v/>
      </c>
      <c r="T282" s="17">
        <f>IF(R282="","",ROUND(R282*RESUMEN!$B$4,0))</f>
        <v/>
      </c>
      <c r="U282" s="18">
        <f>COUNT(E282:Q282)</f>
        <v/>
      </c>
    </row>
    <row r="283">
      <c r="A283" s="13" t="inlineStr">
        <is>
          <t>21206411460429</t>
        </is>
      </c>
      <c r="B283" s="13" t="inlineStr">
        <is>
          <t>ANILLO LOVE UNLIMITED GOLD</t>
        </is>
      </c>
      <c r="C283" s="13" t="inlineStr">
        <is>
          <t>8</t>
        </is>
      </c>
      <c r="D283" s="14" t="inlineStr">
        <is>
          <t>Stainless stee</t>
        </is>
      </c>
      <c r="E283" s="13" t="n"/>
      <c r="F283" s="13" t="n"/>
      <c r="G283" s="13" t="n"/>
      <c r="H283" s="15" t="n">
        <v>5</v>
      </c>
      <c r="I283" s="13" t="n"/>
      <c r="J283" s="15" t="n">
        <v>5</v>
      </c>
      <c r="K283" s="13" t="n"/>
      <c r="L283" s="15" t="n">
        <v>5</v>
      </c>
      <c r="M283" s="13" t="n"/>
      <c r="N283" s="15" t="n">
        <v>5</v>
      </c>
      <c r="O283" s="13" t="n"/>
      <c r="P283" s="13" t="n"/>
      <c r="Q283" s="13" t="n"/>
      <c r="R283" s="16">
        <f>IF(COUNT(E283:Q283)=0,"",MIN(E283:Q283))</f>
        <v/>
      </c>
      <c r="S283" s="15">
        <f>IF(COUNT(E283:Q283)=0,"",LOOKUP(2,1/(E283:Q283&lt;&gt;""),E283:Q283))</f>
        <v/>
      </c>
      <c r="T283" s="17">
        <f>IF(R283="","",ROUND(R283*RESUMEN!$B$4,0))</f>
        <v/>
      </c>
      <c r="U283" s="18">
        <f>COUNT(E283:Q283)</f>
        <v/>
      </c>
    </row>
    <row r="284">
      <c r="A284" s="13" t="inlineStr">
        <is>
          <t>21206411051949</t>
        </is>
      </c>
      <c r="B284" s="13" t="inlineStr">
        <is>
          <t>ANILLO LOVE UNLIMITED ROSEGOLD</t>
        </is>
      </c>
      <c r="C284" s="13" t="inlineStr">
        <is>
          <t>6</t>
        </is>
      </c>
      <c r="D284" s="14" t="inlineStr">
        <is>
          <t>Stainless stee</t>
        </is>
      </c>
      <c r="E284" s="13" t="n"/>
      <c r="F284" s="13" t="n"/>
      <c r="G284" s="13" t="n"/>
      <c r="H284" s="13" t="n"/>
      <c r="I284" s="13" t="n"/>
      <c r="J284" s="13" t="n"/>
      <c r="K284" s="13" t="n"/>
      <c r="L284" s="15" t="n">
        <v>5</v>
      </c>
      <c r="M284" s="15" t="n">
        <v>5</v>
      </c>
      <c r="N284" s="13" t="n"/>
      <c r="O284" s="13" t="n"/>
      <c r="P284" s="13" t="n"/>
      <c r="Q284" s="13" t="n"/>
      <c r="R284" s="16">
        <f>IF(COUNT(E284:Q284)=0,"",MIN(E284:Q284))</f>
        <v/>
      </c>
      <c r="S284" s="15">
        <f>IF(COUNT(E284:Q284)=0,"",LOOKUP(2,1/(E284:Q284&lt;&gt;""),E284:Q284))</f>
        <v/>
      </c>
      <c r="T284" s="17">
        <f>IF(R284="","",ROUND(R284*RESUMEN!$B$4,0))</f>
        <v/>
      </c>
      <c r="U284" s="18">
        <f>COUNT(E284:Q284)</f>
        <v/>
      </c>
    </row>
    <row r="285">
      <c r="A285" s="13" t="inlineStr">
        <is>
          <t>21206411184717</t>
        </is>
      </c>
      <c r="B285" s="13" t="inlineStr">
        <is>
          <t>ANILLO LOVE UNLIMITED ROSEGOLD</t>
        </is>
      </c>
      <c r="C285" s="13" t="inlineStr">
        <is>
          <t>7</t>
        </is>
      </c>
      <c r="D285" s="14" t="inlineStr">
        <is>
          <t>Stainless stee</t>
        </is>
      </c>
      <c r="E285" s="13" t="n"/>
      <c r="F285" s="13" t="n"/>
      <c r="G285" s="13" t="n"/>
      <c r="H285" s="15" t="n">
        <v>5</v>
      </c>
      <c r="I285" s="13" t="n"/>
      <c r="J285" s="13" t="n"/>
      <c r="K285" s="13" t="n"/>
      <c r="L285" s="13" t="n"/>
      <c r="M285" s="15" t="n">
        <v>5</v>
      </c>
      <c r="N285" s="15" t="n">
        <v>5</v>
      </c>
      <c r="O285" s="13" t="n"/>
      <c r="P285" s="13" t="n"/>
      <c r="Q285" s="13" t="n"/>
      <c r="R285" s="16">
        <f>IF(COUNT(E285:Q285)=0,"",MIN(E285:Q285))</f>
        <v/>
      </c>
      <c r="S285" s="15">
        <f>IF(COUNT(E285:Q285)=0,"",LOOKUP(2,1/(E285:Q285&lt;&gt;""),E285:Q285))</f>
        <v/>
      </c>
      <c r="T285" s="17">
        <f>IF(R285="","",ROUND(R285*RESUMEN!$B$4,0))</f>
        <v/>
      </c>
      <c r="U285" s="18">
        <f>COUNT(E285:Q285)</f>
        <v/>
      </c>
    </row>
    <row r="286">
      <c r="A286" s="13" t="inlineStr">
        <is>
          <t>21206411515789</t>
        </is>
      </c>
      <c r="B286" s="13" t="inlineStr">
        <is>
          <t>ANILLO LOVE UNLIMITED SILVER</t>
        </is>
      </c>
      <c r="C286" s="13" t="inlineStr">
        <is>
          <t>6</t>
        </is>
      </c>
      <c r="D286" s="14" t="inlineStr">
        <is>
          <t>Stainless Stee</t>
        </is>
      </c>
      <c r="E286" s="13" t="n"/>
      <c r="F286" s="13" t="n"/>
      <c r="G286" s="13" t="n"/>
      <c r="H286" s="15" t="n">
        <v>5</v>
      </c>
      <c r="I286" s="13" t="n"/>
      <c r="J286" s="13" t="n"/>
      <c r="K286" s="13" t="n"/>
      <c r="L286" s="13" t="n"/>
      <c r="M286" s="13" t="n"/>
      <c r="N286" s="13" t="n"/>
      <c r="O286" s="13" t="n"/>
      <c r="P286" s="15" t="n">
        <v>5</v>
      </c>
      <c r="Q286" s="13" t="n"/>
      <c r="R286" s="16">
        <f>IF(COUNT(E286:Q286)=0,"",MIN(E286:Q286))</f>
        <v/>
      </c>
      <c r="S286" s="15">
        <f>IF(COUNT(E286:Q286)=0,"",LOOKUP(2,1/(E286:Q286&lt;&gt;""),E286:Q286))</f>
        <v/>
      </c>
      <c r="T286" s="17">
        <f>IF(R286="","",ROUND(R286*RESUMEN!$B$4,0))</f>
        <v/>
      </c>
      <c r="U286" s="18">
        <f>COUNT(E286:Q286)</f>
        <v/>
      </c>
    </row>
    <row r="287">
      <c r="A287" s="13" t="inlineStr">
        <is>
          <t>21206421648557</t>
        </is>
      </c>
      <c r="B287" s="13" t="inlineStr">
        <is>
          <t>ANILLO LOVE UNLIMITED SILVER</t>
        </is>
      </c>
      <c r="C287" s="13" t="inlineStr">
        <is>
          <t>7</t>
        </is>
      </c>
      <c r="D287" s="14" t="inlineStr">
        <is>
          <t>Stainless stee</t>
        </is>
      </c>
      <c r="E287" s="13" t="n"/>
      <c r="F287" s="13" t="n"/>
      <c r="G287" s="13" t="n"/>
      <c r="H287" s="15" t="n">
        <v>5</v>
      </c>
      <c r="I287" s="13" t="n"/>
      <c r="J287" s="13" t="n"/>
      <c r="K287" s="13" t="n"/>
      <c r="L287" s="13" t="n"/>
      <c r="M287" s="13" t="n"/>
      <c r="N287" s="15" t="n">
        <v>5</v>
      </c>
      <c r="O287" s="13" t="n"/>
      <c r="P287" s="13" t="n"/>
      <c r="Q287" s="13" t="n"/>
      <c r="R287" s="16">
        <f>IF(COUNT(E287:Q287)=0,"",MIN(E287:Q287))</f>
        <v/>
      </c>
      <c r="S287" s="15">
        <f>IF(COUNT(E287:Q287)=0,"",LOOKUP(2,1/(E287:Q287&lt;&gt;""),E287:Q287))</f>
        <v/>
      </c>
      <c r="T287" s="17">
        <f>IF(R287="","",ROUND(R287*RESUMEN!$B$4,0))</f>
        <v/>
      </c>
      <c r="U287" s="18">
        <f>COUNT(E287:Q287)</f>
        <v/>
      </c>
    </row>
    <row r="288">
      <c r="A288" s="13" t="inlineStr">
        <is>
          <t>21206421781325</t>
        </is>
      </c>
      <c r="B288" s="13" t="inlineStr">
        <is>
          <t>ANILLO LOVE UNLIMITED SILVER</t>
        </is>
      </c>
      <c r="C288" s="13" t="inlineStr">
        <is>
          <t>8</t>
        </is>
      </c>
      <c r="D288" s="14" t="inlineStr">
        <is>
          <t>Stainless stee</t>
        </is>
      </c>
      <c r="E288" s="13" t="n"/>
      <c r="F288" s="13" t="n"/>
      <c r="G288" s="13" t="n"/>
      <c r="H288" s="15" t="n">
        <v>5</v>
      </c>
      <c r="I288" s="13" t="n"/>
      <c r="J288" s="13" t="n"/>
      <c r="K288" s="13" t="n"/>
      <c r="L288" s="13" t="n"/>
      <c r="M288" s="15" t="n">
        <v>5</v>
      </c>
      <c r="N288" s="13" t="n"/>
      <c r="O288" s="13" t="n"/>
      <c r="P288" s="15" t="n">
        <v>5</v>
      </c>
      <c r="Q288" s="13" t="n"/>
      <c r="R288" s="16">
        <f>IF(COUNT(E288:Q288)=0,"",MIN(E288:Q288))</f>
        <v/>
      </c>
      <c r="S288" s="15">
        <f>IF(COUNT(E288:Q288)=0,"",LOOKUP(2,1/(E288:Q288&lt;&gt;""),E288:Q288))</f>
        <v/>
      </c>
      <c r="T288" s="17">
        <f>IF(R288="","",ROUND(R288*RESUMEN!$B$4,0))</f>
        <v/>
      </c>
      <c r="U288" s="18">
        <f>COUNT(E288:Q288)</f>
        <v/>
      </c>
    </row>
    <row r="289">
      <c r="A289" s="13" t="inlineStr">
        <is>
          <t>34876761468109</t>
        </is>
      </c>
      <c r="B289" s="13" t="inlineStr">
        <is>
          <t>ANILLO LOVESTRUCK</t>
        </is>
      </c>
      <c r="C289" s="13" t="inlineStr">
        <is>
          <t>7</t>
        </is>
      </c>
      <c r="D289" s="14" t="inlineStr"/>
      <c r="E289" s="13" t="n"/>
      <c r="F289" s="13" t="n"/>
      <c r="G289" s="13" t="n"/>
      <c r="H289" s="13" t="n"/>
      <c r="I289" s="13" t="n"/>
      <c r="J289" s="13" t="n"/>
      <c r="K289" s="15" t="n">
        <v>5</v>
      </c>
      <c r="L289" s="13" t="n"/>
      <c r="M289" s="13" t="n"/>
      <c r="N289" s="13" t="n"/>
      <c r="O289" s="13" t="n"/>
      <c r="P289" s="13" t="n"/>
      <c r="Q289" s="13" t="n"/>
      <c r="R289" s="16">
        <f>IF(COUNT(E289:Q289)=0,"",MIN(E289:Q289))</f>
        <v/>
      </c>
      <c r="S289" s="15">
        <f>IF(COUNT(E289:Q289)=0,"",LOOKUP(2,1/(E289:Q289&lt;&gt;""),E289:Q289))</f>
        <v/>
      </c>
      <c r="T289" s="17">
        <f>IF(R289="","",ROUND(R289*RESUMEN!$B$4,0))</f>
        <v/>
      </c>
      <c r="U289" s="18">
        <f>COUNT(E289:Q289)</f>
        <v/>
      </c>
    </row>
    <row r="290">
      <c r="A290" s="13" t="inlineStr">
        <is>
          <t>71078751481933</t>
        </is>
      </c>
      <c r="B290" s="13" t="inlineStr">
        <is>
          <t>ANILLO LV GRABADO SILVER</t>
        </is>
      </c>
      <c r="C290" s="13" t="inlineStr">
        <is>
          <t>8</t>
        </is>
      </c>
      <c r="D290" s="14" t="inlineStr">
        <is>
          <t>Stainless stee</t>
        </is>
      </c>
      <c r="E290" s="13" t="n"/>
      <c r="F290" s="13" t="n"/>
      <c r="G290" s="15" t="n">
        <v>5.99</v>
      </c>
      <c r="H290" s="13" t="n"/>
      <c r="I290" s="13" t="n"/>
      <c r="J290" s="13" t="n"/>
      <c r="K290" s="13" t="n"/>
      <c r="L290" s="15" t="n">
        <v>6.99</v>
      </c>
      <c r="M290" s="15" t="n">
        <v>6.99</v>
      </c>
      <c r="N290" s="13" t="n"/>
      <c r="O290" s="13" t="n"/>
      <c r="P290" s="13" t="n"/>
      <c r="Q290" s="13" t="n"/>
      <c r="R290" s="16">
        <f>IF(COUNT(E290:Q290)=0,"",MIN(E290:Q290))</f>
        <v/>
      </c>
      <c r="S290" s="15">
        <f>IF(COUNT(E290:Q290)=0,"",LOOKUP(2,1/(E290:Q290&lt;&gt;""),E290:Q290))</f>
        <v/>
      </c>
      <c r="T290" s="17">
        <f>IF(R290="","",ROUND(R290*RESUMEN!$B$4,0))</f>
        <v/>
      </c>
      <c r="U290" s="18">
        <f>COUNT(E290:Q290)</f>
        <v/>
      </c>
    </row>
    <row r="291">
      <c r="A291" s="13" t="inlineStr">
        <is>
          <t>41078751514701</t>
        </is>
      </c>
      <c r="B291" s="13" t="inlineStr">
        <is>
          <t>ANILLO LV GRABADO SILVER</t>
        </is>
      </c>
      <c r="C291" s="13" t="inlineStr">
        <is>
          <t>9</t>
        </is>
      </c>
      <c r="D291" s="14" t="inlineStr">
        <is>
          <t>Stainless Stee</t>
        </is>
      </c>
      <c r="E291" s="13" t="n"/>
      <c r="F291" s="13" t="n"/>
      <c r="G291" s="15" t="n">
        <v>5.99</v>
      </c>
      <c r="H291" s="13" t="n"/>
      <c r="I291" s="13" t="n"/>
      <c r="J291" s="13" t="n"/>
      <c r="K291" s="13" t="n"/>
      <c r="L291" s="15" t="n">
        <v>6.99</v>
      </c>
      <c r="M291" s="13" t="n"/>
      <c r="N291" s="13" t="n"/>
      <c r="O291" s="13" t="n"/>
      <c r="P291" s="15" t="n">
        <v>6.99</v>
      </c>
      <c r="Q291" s="13" t="n"/>
      <c r="R291" s="16">
        <f>IF(COUNT(E291:Q291)=0,"",MIN(E291:Q291))</f>
        <v/>
      </c>
      <c r="S291" s="15">
        <f>IF(COUNT(E291:Q291)=0,"",LOOKUP(2,1/(E291:Q291&lt;&gt;""),E291:Q291))</f>
        <v/>
      </c>
      <c r="T291" s="17">
        <f>IF(R291="","",ROUND(R291*RESUMEN!$B$4,0))</f>
        <v/>
      </c>
      <c r="U291" s="18">
        <f>COUNT(E291:Q291)</f>
        <v/>
      </c>
    </row>
    <row r="292">
      <c r="A292" s="13" t="inlineStr">
        <is>
          <t>15104861336493</t>
        </is>
      </c>
      <c r="B292" s="13" t="inlineStr">
        <is>
          <t>ANILLO LV GREEN BLOSSOM STAR ROSE GOLD</t>
        </is>
      </c>
      <c r="C292" s="13" t="inlineStr">
        <is>
          <t>6</t>
        </is>
      </c>
      <c r="D292" s="14" t="inlineStr"/>
      <c r="E292" s="13" t="n"/>
      <c r="F292" s="13" t="n"/>
      <c r="G292" s="13" t="n"/>
      <c r="H292" s="13" t="n"/>
      <c r="I292" s="13" t="n"/>
      <c r="J292" s="13" t="n"/>
      <c r="K292" s="15" t="n">
        <v>8.99</v>
      </c>
      <c r="L292" s="13" t="n"/>
      <c r="M292" s="13" t="n"/>
      <c r="N292" s="13" t="n"/>
      <c r="O292" s="13" t="n"/>
      <c r="P292" s="13" t="n"/>
      <c r="Q292" s="13" t="n"/>
      <c r="R292" s="16">
        <f>IF(COUNT(E292:Q292)=0,"",MIN(E292:Q292))</f>
        <v/>
      </c>
      <c r="S292" s="15">
        <f>IF(COUNT(E292:Q292)=0,"",LOOKUP(2,1/(E292:Q292&lt;&gt;""),E292:Q292))</f>
        <v/>
      </c>
      <c r="T292" s="17">
        <f>IF(R292="","",ROUND(R292*RESUMEN!$B$4,0))</f>
        <v/>
      </c>
      <c r="U292" s="18">
        <f>COUNT(E292:Q292)</f>
        <v/>
      </c>
    </row>
    <row r="293">
      <c r="A293" s="13" t="inlineStr">
        <is>
          <t>15104861469261</t>
        </is>
      </c>
      <c r="B293" s="13" t="inlineStr">
        <is>
          <t>ANILLO LV GREEN BLOSSOM STAR ROSE GOLD</t>
        </is>
      </c>
      <c r="C293" s="13" t="inlineStr">
        <is>
          <t>7</t>
        </is>
      </c>
      <c r="D293" s="14" t="inlineStr">
        <is>
          <t>Stainless stee</t>
        </is>
      </c>
      <c r="E293" s="13" t="n"/>
      <c r="F293" s="13" t="n"/>
      <c r="G293" s="13" t="n"/>
      <c r="H293" s="13" t="n"/>
      <c r="I293" s="13" t="n"/>
      <c r="J293" s="13" t="n"/>
      <c r="K293" s="15" t="n">
        <v>8.99</v>
      </c>
      <c r="L293" s="13" t="n"/>
      <c r="M293" s="13" t="n"/>
      <c r="N293" s="13" t="n"/>
      <c r="O293" s="13" t="n"/>
      <c r="P293" s="15" t="n">
        <v>8.99</v>
      </c>
      <c r="Q293" s="13" t="n"/>
      <c r="R293" s="16">
        <f>IF(COUNT(E293:Q293)=0,"",MIN(E293:Q293))</f>
        <v/>
      </c>
      <c r="S293" s="15">
        <f>IF(COUNT(E293:Q293)=0,"",LOOKUP(2,1/(E293:Q293&lt;&gt;""),E293:Q293))</f>
        <v/>
      </c>
      <c r="T293" s="17">
        <f>IF(R293="","",ROUND(R293*RESUMEN!$B$4,0))</f>
        <v/>
      </c>
      <c r="U293" s="18">
        <f>COUNT(E293:Q293)</f>
        <v/>
      </c>
    </row>
    <row r="294">
      <c r="A294" s="13" t="inlineStr">
        <is>
          <t>94256261066701</t>
        </is>
      </c>
      <c r="B294" s="13" t="inlineStr">
        <is>
          <t>ANILLO LV IDYLLE BLOSSOM TRICOLOR</t>
        </is>
      </c>
      <c r="C294" s="13" t="inlineStr">
        <is>
          <t>Default Title</t>
        </is>
      </c>
      <c r="D294" s="14" t="inlineStr">
        <is>
          <t>Copper alloy</t>
        </is>
      </c>
      <c r="E294" s="13" t="n"/>
      <c r="F294" s="15" t="n">
        <v>5.99</v>
      </c>
      <c r="G294" s="13" t="n"/>
      <c r="H294" s="13" t="n"/>
      <c r="I294" s="13" t="n"/>
      <c r="J294" s="15" t="n">
        <v>5.99</v>
      </c>
      <c r="K294" s="13" t="n"/>
      <c r="L294" s="13" t="n"/>
      <c r="M294" s="13" t="n"/>
      <c r="N294" s="13" t="n"/>
      <c r="O294" s="15" t="n">
        <v>14.97</v>
      </c>
      <c r="P294" s="13" t="n"/>
      <c r="Q294" s="13" t="n"/>
      <c r="R294" s="16">
        <f>IF(COUNT(E294:Q294)=0,"",MIN(E294:Q294))</f>
        <v/>
      </c>
      <c r="S294" s="15">
        <f>IF(COUNT(E294:Q294)=0,"",LOOKUP(2,1/(E294:Q294&lt;&gt;""),E294:Q294))</f>
        <v/>
      </c>
      <c r="T294" s="17">
        <f>IF(R294="","",ROUND(R294*RESUMEN!$B$4,0))</f>
        <v/>
      </c>
      <c r="U294" s="18">
        <f>COUNT(E294:Q294)</f>
        <v/>
      </c>
    </row>
    <row r="295">
      <c r="A295" s="13" t="inlineStr">
        <is>
          <t>82112081096013</t>
        </is>
      </c>
      <c r="B295" s="13" t="inlineStr">
        <is>
          <t>ANILLO LV INSTICT GOLD-8</t>
        </is>
      </c>
      <c r="C295" s="13" t="inlineStr">
        <is>
          <t>8</t>
        </is>
      </c>
      <c r="D295" s="14" t="inlineStr"/>
      <c r="E295" s="13" t="n"/>
      <c r="F295" s="15" t="n">
        <v>5.99</v>
      </c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6">
        <f>IF(COUNT(E295:Q295)=0,"",MIN(E295:Q295))</f>
        <v/>
      </c>
      <c r="S295" s="15">
        <f>IF(COUNT(E295:Q295)=0,"",LOOKUP(2,1/(E295:Q295&lt;&gt;""),E295:Q295))</f>
        <v/>
      </c>
      <c r="T295" s="17">
        <f>IF(R295="","",ROUND(R295*RESUMEN!$B$4,0))</f>
        <v/>
      </c>
      <c r="U295" s="18">
        <f>COUNT(E295:Q295)</f>
        <v/>
      </c>
    </row>
    <row r="296">
      <c r="A296" s="13" t="inlineStr">
        <is>
          <t>82112081096014</t>
        </is>
      </c>
      <c r="B296" s="13" t="inlineStr">
        <is>
          <t>ANILLO LV INSTICT GOLD-9</t>
        </is>
      </c>
      <c r="C296" s="13" t="inlineStr">
        <is>
          <t>9</t>
        </is>
      </c>
      <c r="D296" s="14" t="inlineStr"/>
      <c r="E296" s="13" t="n"/>
      <c r="F296" s="15" t="n">
        <v>5.99</v>
      </c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6">
        <f>IF(COUNT(E296:Q296)=0,"",MIN(E296:Q296))</f>
        <v/>
      </c>
      <c r="S296" s="15">
        <f>IF(COUNT(E296:Q296)=0,"",LOOKUP(2,1/(E296:Q296&lt;&gt;""),E296:Q296))</f>
        <v/>
      </c>
      <c r="T296" s="17">
        <f>IF(R296="","",ROUND(R296*RESUMEN!$B$4,0))</f>
        <v/>
      </c>
      <c r="U296" s="18">
        <f>COUNT(E296:Q296)</f>
        <v/>
      </c>
    </row>
    <row r="297">
      <c r="A297" s="13" t="inlineStr">
        <is>
          <t>83765241087533</t>
        </is>
      </c>
      <c r="B297" s="13" t="inlineStr">
        <is>
          <t>ANILLO LV INSTICT SILVER</t>
        </is>
      </c>
      <c r="C297" s="13" t="inlineStr">
        <is>
          <t>8</t>
        </is>
      </c>
      <c r="D297" s="14" t="inlineStr">
        <is>
          <t>Stainless stee</t>
        </is>
      </c>
      <c r="E297" s="13" t="n"/>
      <c r="F297" s="15" t="n">
        <v>5.99</v>
      </c>
      <c r="G297" s="13" t="n"/>
      <c r="H297" s="13" t="n"/>
      <c r="I297" s="13" t="n"/>
      <c r="J297" s="13" t="n"/>
      <c r="K297" s="13" t="n"/>
      <c r="L297" s="15" t="n">
        <v>5.99</v>
      </c>
      <c r="M297" s="13" t="n"/>
      <c r="N297" s="13" t="n"/>
      <c r="O297" s="13" t="n"/>
      <c r="P297" s="13" t="n"/>
      <c r="Q297" s="13" t="n"/>
      <c r="R297" s="16">
        <f>IF(COUNT(E297:Q297)=0,"",MIN(E297:Q297))</f>
        <v/>
      </c>
      <c r="S297" s="15">
        <f>IF(COUNT(E297:Q297)=0,"",LOOKUP(2,1/(E297:Q297&lt;&gt;""),E297:Q297))</f>
        <v/>
      </c>
      <c r="T297" s="17">
        <f>IF(R297="","",ROUND(R297*RESUMEN!$B$4,0))</f>
        <v/>
      </c>
      <c r="U297" s="18">
        <f>COUNT(E297:Q297)</f>
        <v/>
      </c>
    </row>
    <row r="298">
      <c r="A298" s="13" t="inlineStr">
        <is>
          <t>33765241120301</t>
        </is>
      </c>
      <c r="B298" s="13" t="inlineStr">
        <is>
          <t>ANILLO LV INSTICT SILVER-9</t>
        </is>
      </c>
      <c r="C298" s="13" t="inlineStr">
        <is>
          <t>9</t>
        </is>
      </c>
      <c r="D298" s="14" t="inlineStr">
        <is>
          <t>Stainless stee</t>
        </is>
      </c>
      <c r="E298" s="13" t="n"/>
      <c r="F298" s="15" t="n">
        <v>5.99</v>
      </c>
      <c r="G298" s="13" t="n"/>
      <c r="H298" s="13" t="n"/>
      <c r="I298" s="13" t="n"/>
      <c r="J298" s="13" t="n"/>
      <c r="K298" s="13" t="n"/>
      <c r="L298" s="15" t="n">
        <v>5.99</v>
      </c>
      <c r="M298" s="13" t="n"/>
      <c r="N298" s="13" t="n"/>
      <c r="O298" s="13" t="n"/>
      <c r="P298" s="13" t="n"/>
      <c r="Q298" s="13" t="n"/>
      <c r="R298" s="16">
        <f>IF(COUNT(E298:Q298)=0,"",MIN(E298:Q298))</f>
        <v/>
      </c>
      <c r="S298" s="15">
        <f>IF(COUNT(E298:Q298)=0,"",LOOKUP(2,1/(E298:Q298&lt;&gt;""),E298:Q298))</f>
        <v/>
      </c>
      <c r="T298" s="17">
        <f>IF(R298="","",ROUND(R298*RESUMEN!$B$4,0))</f>
        <v/>
      </c>
      <c r="U298" s="18">
        <f>COUNT(E298:Q298)</f>
        <v/>
      </c>
    </row>
    <row r="299">
      <c r="A299" s="13" t="inlineStr">
        <is>
          <t>17964141440845</t>
        </is>
      </c>
      <c r="B299" s="13" t="inlineStr">
        <is>
          <t>ANILLO LV MOSAIC SOO</t>
        </is>
      </c>
      <c r="C299" s="13" t="inlineStr">
        <is>
          <t>8</t>
        </is>
      </c>
      <c r="D299" s="14" t="inlineStr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5" t="n">
        <v>6</v>
      </c>
      <c r="P299" s="13" t="n"/>
      <c r="Q299" s="13" t="n"/>
      <c r="R299" s="16">
        <f>IF(COUNT(E299:Q299)=0,"",MIN(E299:Q299))</f>
        <v/>
      </c>
      <c r="S299" s="15">
        <f>IF(COUNT(E299:Q299)=0,"",LOOKUP(2,1/(E299:Q299&lt;&gt;""),E299:Q299))</f>
        <v/>
      </c>
      <c r="T299" s="17">
        <f>IF(R299="","",ROUND(R299*RESUMEN!$B$4,0))</f>
        <v/>
      </c>
      <c r="U299" s="18">
        <f>COUNT(E299:Q299)</f>
        <v/>
      </c>
    </row>
    <row r="300">
      <c r="A300" s="13" t="inlineStr">
        <is>
          <t>15104861195245</t>
        </is>
      </c>
      <c r="B300" s="13" t="inlineStr">
        <is>
          <t>ANILLO LV RED BLOSSOM STAR ROSE GOLD</t>
        </is>
      </c>
      <c r="C300" s="13" t="inlineStr">
        <is>
          <t>6</t>
        </is>
      </c>
      <c r="D300" s="14" t="inlineStr"/>
      <c r="E300" s="13" t="n"/>
      <c r="F300" s="13" t="n"/>
      <c r="G300" s="13" t="n"/>
      <c r="H300" s="13" t="n"/>
      <c r="I300" s="13" t="n"/>
      <c r="J300" s="13" t="n"/>
      <c r="K300" s="15" t="n">
        <v>8.99</v>
      </c>
      <c r="L300" s="13" t="n"/>
      <c r="M300" s="13" t="n"/>
      <c r="N300" s="13" t="n"/>
      <c r="O300" s="13" t="n"/>
      <c r="P300" s="13" t="n"/>
      <c r="Q300" s="13" t="n"/>
      <c r="R300" s="16">
        <f>IF(COUNT(E300:Q300)=0,"",MIN(E300:Q300))</f>
        <v/>
      </c>
      <c r="S300" s="15">
        <f>IF(COUNT(E300:Q300)=0,"",LOOKUP(2,1/(E300:Q300&lt;&gt;""),E300:Q300))</f>
        <v/>
      </c>
      <c r="T300" s="17">
        <f>IF(R300="","",ROUND(R300*RESUMEN!$B$4,0))</f>
        <v/>
      </c>
      <c r="U300" s="18">
        <f>COUNT(E300:Q300)</f>
        <v/>
      </c>
    </row>
    <row r="301">
      <c r="A301" s="13" t="inlineStr">
        <is>
          <t>15104861228013</t>
        </is>
      </c>
      <c r="B301" s="13" t="inlineStr">
        <is>
          <t>ANILLO LV RED BLOSSOM STAR ROSE GOLD</t>
        </is>
      </c>
      <c r="C301" s="13" t="inlineStr">
        <is>
          <t>7</t>
        </is>
      </c>
      <c r="D301" s="14" t="inlineStr">
        <is>
          <t>Stainless stee</t>
        </is>
      </c>
      <c r="E301" s="13" t="n"/>
      <c r="F301" s="13" t="n"/>
      <c r="G301" s="13" t="n"/>
      <c r="H301" s="13" t="n"/>
      <c r="I301" s="13" t="n"/>
      <c r="J301" s="13" t="n"/>
      <c r="K301" s="15" t="n">
        <v>8.99</v>
      </c>
      <c r="L301" s="13" t="n"/>
      <c r="M301" s="13" t="n"/>
      <c r="N301" s="13" t="n"/>
      <c r="O301" s="13" t="n"/>
      <c r="P301" s="15" t="n">
        <v>8.99</v>
      </c>
      <c r="Q301" s="13" t="n"/>
      <c r="R301" s="16">
        <f>IF(COUNT(E301:Q301)=0,"",MIN(E301:Q301))</f>
        <v/>
      </c>
      <c r="S301" s="15">
        <f>IF(COUNT(E301:Q301)=0,"",LOOKUP(2,1/(E301:Q301&lt;&gt;""),E301:Q301))</f>
        <v/>
      </c>
      <c r="T301" s="17">
        <f>IF(R301="","",ROUND(R301*RESUMEN!$B$4,0))</f>
        <v/>
      </c>
      <c r="U301" s="18">
        <f>COUNT(E301:Q301)</f>
        <v/>
      </c>
    </row>
    <row r="302">
      <c r="A302" s="13" t="inlineStr">
        <is>
          <t>53073321001165</t>
        </is>
      </c>
      <c r="B302" s="13" t="inlineStr">
        <is>
          <t>ANILLO LV SELLO GOLD-8</t>
        </is>
      </c>
      <c r="C302" s="13" t="inlineStr">
        <is>
          <t>8</t>
        </is>
      </c>
      <c r="D302" s="14" t="inlineStr"/>
      <c r="E302" s="13" t="n"/>
      <c r="F302" s="15" t="n">
        <v>8.99</v>
      </c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6">
        <f>IF(COUNT(E302:Q302)=0,"",MIN(E302:Q302))</f>
        <v/>
      </c>
      <c r="S302" s="15">
        <f>IF(COUNT(E302:Q302)=0,"",LOOKUP(2,1/(E302:Q302&lt;&gt;""),E302:Q302))</f>
        <v/>
      </c>
      <c r="T302" s="17">
        <f>IF(R302="","",ROUND(R302*RESUMEN!$B$4,0))</f>
        <v/>
      </c>
      <c r="U302" s="18">
        <f>COUNT(E302:Q302)</f>
        <v/>
      </c>
    </row>
    <row r="303">
      <c r="A303" s="13" t="inlineStr">
        <is>
          <t>63220631032173</t>
        </is>
      </c>
      <c r="B303" s="13" t="inlineStr">
        <is>
          <t>ANILLO LV SELLO GOLD-9</t>
        </is>
      </c>
      <c r="C303" s="13" t="inlineStr">
        <is>
          <t>9</t>
        </is>
      </c>
      <c r="D303" s="14" t="inlineStr">
        <is>
          <t>Stainless stee</t>
        </is>
      </c>
      <c r="E303" s="13" t="n"/>
      <c r="F303" s="15" t="n">
        <v>8.99</v>
      </c>
      <c r="G303" s="13" t="n"/>
      <c r="H303" s="13" t="n"/>
      <c r="I303" s="13" t="n"/>
      <c r="J303" s="13" t="n"/>
      <c r="K303" s="13" t="n"/>
      <c r="L303" s="15" t="n">
        <v>8.99</v>
      </c>
      <c r="M303" s="13" t="n"/>
      <c r="N303" s="13" t="n"/>
      <c r="O303" s="13" t="n"/>
      <c r="P303" s="13" t="n"/>
      <c r="Q303" s="13" t="n"/>
      <c r="R303" s="16">
        <f>IF(COUNT(E303:Q303)=0,"",MIN(E303:Q303))</f>
        <v/>
      </c>
      <c r="S303" s="15">
        <f>IF(COUNT(E303:Q303)=0,"",LOOKUP(2,1/(E303:Q303&lt;&gt;""),E303:Q303))</f>
        <v/>
      </c>
      <c r="T303" s="17">
        <f>IF(R303="","",ROUND(R303*RESUMEN!$B$4,0))</f>
        <v/>
      </c>
      <c r="U303" s="18">
        <f>COUNT(E303:Q303)</f>
        <v/>
      </c>
    </row>
    <row r="304">
      <c r="A304" s="13" t="inlineStr">
        <is>
          <t>64155891097709</t>
        </is>
      </c>
      <c r="B304" s="13" t="inlineStr">
        <is>
          <t>ANILLO LV SELLO SILVER</t>
        </is>
      </c>
      <c r="C304" s="13" t="inlineStr">
        <is>
          <t>8</t>
        </is>
      </c>
      <c r="D304" s="14" t="inlineStr">
        <is>
          <t>Stainless stee</t>
        </is>
      </c>
      <c r="E304" s="13" t="n"/>
      <c r="F304" s="15" t="n">
        <v>5.99</v>
      </c>
      <c r="G304" s="13" t="n"/>
      <c r="H304" s="13" t="n"/>
      <c r="I304" s="13" t="n"/>
      <c r="J304" s="13" t="n"/>
      <c r="K304" s="13" t="n"/>
      <c r="L304" s="15" t="n">
        <v>8.99</v>
      </c>
      <c r="M304" s="13" t="n"/>
      <c r="N304" s="13" t="n"/>
      <c r="O304" s="13" t="n"/>
      <c r="P304" s="13" t="n"/>
      <c r="Q304" s="13" t="n"/>
      <c r="R304" s="16">
        <f>IF(COUNT(E304:Q304)=0,"",MIN(E304:Q304))</f>
        <v/>
      </c>
      <c r="S304" s="15">
        <f>IF(COUNT(E304:Q304)=0,"",LOOKUP(2,1/(E304:Q304&lt;&gt;""),E304:Q304))</f>
        <v/>
      </c>
      <c r="T304" s="17">
        <f>IF(R304="","",ROUND(R304*RESUMEN!$B$4,0))</f>
        <v/>
      </c>
      <c r="U304" s="18">
        <f>COUNT(E304:Q304)</f>
        <v/>
      </c>
    </row>
    <row r="305">
      <c r="A305" s="13" t="inlineStr">
        <is>
          <t>65654871016909</t>
        </is>
      </c>
      <c r="B305" s="13" t="inlineStr">
        <is>
          <t>ANILLO LV SELLO SILVER-9</t>
        </is>
      </c>
      <c r="C305" s="13" t="inlineStr">
        <is>
          <t>9</t>
        </is>
      </c>
      <c r="D305" s="14" t="inlineStr"/>
      <c r="E305" s="13" t="n"/>
      <c r="F305" s="15" t="n">
        <v>5.99</v>
      </c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6">
        <f>IF(COUNT(E305:Q305)=0,"",MIN(E305:Q305))</f>
        <v/>
      </c>
      <c r="S305" s="15">
        <f>IF(COUNT(E305:Q305)=0,"",LOOKUP(2,1/(E305:Q305&lt;&gt;""),E305:Q305))</f>
        <v/>
      </c>
      <c r="T305" s="17">
        <f>IF(R305="","",ROUND(R305*RESUMEN!$B$4,0))</f>
        <v/>
      </c>
      <c r="U305" s="18">
        <f>COUNT(E305:Q305)</f>
        <v/>
      </c>
    </row>
    <row r="306">
      <c r="A306" s="13" t="inlineStr">
        <is>
          <t>17964141190029</t>
        </is>
      </c>
      <c r="B306" s="13" t="inlineStr">
        <is>
          <t>ANILLO LV TAILOR SOO</t>
        </is>
      </c>
      <c r="C306" s="13" t="inlineStr">
        <is>
          <t>AJUSTABLE</t>
        </is>
      </c>
      <c r="D306" s="14" t="inlineStr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5" t="n">
        <v>6</v>
      </c>
      <c r="P306" s="13" t="n"/>
      <c r="Q306" s="13" t="n"/>
      <c r="R306" s="16">
        <f>IF(COUNT(E306:Q306)=0,"",MIN(E306:Q306))</f>
        <v/>
      </c>
      <c r="S306" s="15">
        <f>IF(COUNT(E306:Q306)=0,"",LOOKUP(2,1/(E306:Q306&lt;&gt;""),E306:Q306))</f>
        <v/>
      </c>
      <c r="T306" s="17">
        <f>IF(R306="","",ROUND(R306*RESUMEN!$B$4,0))</f>
        <v/>
      </c>
      <c r="U306" s="18">
        <f>COUNT(E306:Q306)</f>
        <v/>
      </c>
    </row>
    <row r="307">
      <c r="A307" s="13" t="inlineStr">
        <is>
          <t>22064323607661</t>
        </is>
      </c>
      <c r="B307" s="13" t="inlineStr">
        <is>
          <t>ANILLO MARIPOSA DOBLE SILVER</t>
        </is>
      </c>
      <c r="C307" s="13" t="inlineStr">
        <is>
          <t>Default Title</t>
        </is>
      </c>
      <c r="D307" s="14" t="inlineStr">
        <is>
          <t>Copper alloy</t>
        </is>
      </c>
      <c r="E307" s="13" t="n"/>
      <c r="F307" s="13" t="n"/>
      <c r="G307" s="13" t="n"/>
      <c r="H307" s="13" t="n"/>
      <c r="I307" s="13" t="n"/>
      <c r="J307" s="13" t="n"/>
      <c r="K307" s="15" t="n">
        <v>8.9</v>
      </c>
      <c r="L307" s="13" t="n"/>
      <c r="M307" s="13" t="n"/>
      <c r="N307" s="13" t="n"/>
      <c r="O307" s="13" t="n"/>
      <c r="P307" s="15" t="n">
        <v>8.9</v>
      </c>
      <c r="Q307" s="15" t="n">
        <v>8.9</v>
      </c>
      <c r="R307" s="16">
        <f>IF(COUNT(E307:Q307)=0,"",MIN(E307:Q307))</f>
        <v/>
      </c>
      <c r="S307" s="15">
        <f>IF(COUNT(E307:Q307)=0,"",LOOKUP(2,1/(E307:Q307&lt;&gt;""),E307:Q307))</f>
        <v/>
      </c>
      <c r="T307" s="17">
        <f>IF(R307="","",ROUND(R307*RESUMEN!$B$4,0))</f>
        <v/>
      </c>
      <c r="U307" s="18">
        <f>COUNT(E307:Q307)</f>
        <v/>
      </c>
    </row>
    <row r="308">
      <c r="A308" s="13" t="inlineStr">
        <is>
          <t>22064323845517</t>
        </is>
      </c>
      <c r="B308" s="13" t="inlineStr">
        <is>
          <t>ANILLO MARIQUITA ROSE GOLD</t>
        </is>
      </c>
      <c r="C308" s="13" t="inlineStr">
        <is>
          <t>Default Title</t>
        </is>
      </c>
      <c r="D308" s="14" t="inlineStr">
        <is>
          <t>Copper alloy</t>
        </is>
      </c>
      <c r="E308" s="13" t="n"/>
      <c r="F308" s="13" t="n"/>
      <c r="G308" s="13" t="n"/>
      <c r="H308" s="13" t="n"/>
      <c r="I308" s="13" t="n"/>
      <c r="J308" s="13" t="n"/>
      <c r="K308" s="15" t="n">
        <v>8.9</v>
      </c>
      <c r="L308" s="13" t="n"/>
      <c r="M308" s="13" t="n"/>
      <c r="N308" s="13" t="n"/>
      <c r="O308" s="15" t="n">
        <v>8.9</v>
      </c>
      <c r="P308" s="15" t="n">
        <v>8.9</v>
      </c>
      <c r="Q308" s="13" t="n"/>
      <c r="R308" s="16">
        <f>IF(COUNT(E308:Q308)=0,"",MIN(E308:Q308))</f>
        <v/>
      </c>
      <c r="S308" s="15">
        <f>IF(COUNT(E308:Q308)=0,"",LOOKUP(2,1/(E308:Q308&lt;&gt;""),E308:Q308))</f>
        <v/>
      </c>
      <c r="T308" s="17">
        <f>IF(R308="","",ROUND(R308*RESUMEN!$B$4,0))</f>
        <v/>
      </c>
      <c r="U308" s="18">
        <f>COUNT(E308:Q308)</f>
        <v/>
      </c>
    </row>
    <row r="309">
      <c r="A309" s="13" t="inlineStr">
        <is>
          <t>67201534320493</t>
        </is>
      </c>
      <c r="B309" s="13" t="inlineStr">
        <is>
          <t>ANILLO MINI BEAN T SILVER</t>
        </is>
      </c>
      <c r="C309" s="13" t="inlineStr">
        <is>
          <t>7</t>
        </is>
      </c>
      <c r="D309" s="14" t="inlineStr"/>
      <c r="E309" s="13" t="n"/>
      <c r="F309" s="13" t="n"/>
      <c r="G309" s="13" t="n"/>
      <c r="H309" s="15" t="n">
        <v>5</v>
      </c>
      <c r="I309" s="15" t="n">
        <v>5</v>
      </c>
      <c r="J309" s="15" t="n">
        <v>5</v>
      </c>
      <c r="K309" s="13" t="n"/>
      <c r="L309" s="13" t="n"/>
      <c r="M309" s="13" t="n"/>
      <c r="N309" s="13" t="n"/>
      <c r="O309" s="13" t="n"/>
      <c r="P309" s="13" t="n"/>
      <c r="Q309" s="13" t="n"/>
      <c r="R309" s="16">
        <f>IF(COUNT(E309:Q309)=0,"",MIN(E309:Q309))</f>
        <v/>
      </c>
      <c r="S309" s="15">
        <f>IF(COUNT(E309:Q309)=0,"",LOOKUP(2,1/(E309:Q309&lt;&gt;""),E309:Q309))</f>
        <v/>
      </c>
      <c r="T309" s="17">
        <f>IF(R309="","",ROUND(R309*RESUMEN!$B$4,0))</f>
        <v/>
      </c>
      <c r="U309" s="18">
        <f>COUNT(E309:Q309)</f>
        <v/>
      </c>
    </row>
    <row r="310">
      <c r="A310" s="13" t="inlineStr">
        <is>
          <t>15554121015853</t>
        </is>
      </c>
      <c r="B310" s="13" t="inlineStr">
        <is>
          <t>ANILLO MOVE PAVE GOLD</t>
        </is>
      </c>
      <c r="C310" s="13" t="inlineStr">
        <is>
          <t>6</t>
        </is>
      </c>
      <c r="D310" s="14" t="inlineStr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5" t="n">
        <v>6</v>
      </c>
      <c r="O310" s="13" t="n"/>
      <c r="P310" s="13" t="n"/>
      <c r="Q310" s="13" t="n"/>
      <c r="R310" s="16">
        <f>IF(COUNT(E310:Q310)=0,"",MIN(E310:Q310))</f>
        <v/>
      </c>
      <c r="S310" s="15">
        <f>IF(COUNT(E310:Q310)=0,"",LOOKUP(2,1/(E310:Q310&lt;&gt;""),E310:Q310))</f>
        <v/>
      </c>
      <c r="T310" s="17">
        <f>IF(R310="","",ROUND(R310*RESUMEN!$B$4,0))</f>
        <v/>
      </c>
      <c r="U310" s="18">
        <f>COUNT(E310:Q310)</f>
        <v/>
      </c>
    </row>
    <row r="311">
      <c r="A311" s="13" t="inlineStr">
        <is>
          <t>15554121148621</t>
        </is>
      </c>
      <c r="B311" s="13" t="inlineStr">
        <is>
          <t>ANILLO MOVE PAVE GOLD</t>
        </is>
      </c>
      <c r="C311" s="13" t="inlineStr">
        <is>
          <t>7</t>
        </is>
      </c>
      <c r="D311" s="14" t="inlineStr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5" t="n">
        <v>6</v>
      </c>
      <c r="O311" s="13" t="n"/>
      <c r="P311" s="13" t="n"/>
      <c r="Q311" s="13" t="n"/>
      <c r="R311" s="16">
        <f>IF(COUNT(E311:Q311)=0,"",MIN(E311:Q311))</f>
        <v/>
      </c>
      <c r="S311" s="15">
        <f>IF(COUNT(E311:Q311)=0,"",LOOKUP(2,1/(E311:Q311&lt;&gt;""),E311:Q311))</f>
        <v/>
      </c>
      <c r="T311" s="17">
        <f>IF(R311="","",ROUND(R311*RESUMEN!$B$4,0))</f>
        <v/>
      </c>
      <c r="U311" s="18">
        <f>COUNT(E311:Q311)</f>
        <v/>
      </c>
    </row>
    <row r="312">
      <c r="A312" s="13" t="inlineStr">
        <is>
          <t>15554121422637</t>
        </is>
      </c>
      <c r="B312" s="13" t="inlineStr">
        <is>
          <t>ANILLO MOVE PAVE SILVER</t>
        </is>
      </c>
      <c r="C312" s="13" t="inlineStr">
        <is>
          <t>6</t>
        </is>
      </c>
      <c r="D312" s="14" t="inlineStr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5" t="n">
        <v>6.5</v>
      </c>
      <c r="O312" s="13" t="n"/>
      <c r="P312" s="13" t="n"/>
      <c r="Q312" s="13" t="n"/>
      <c r="R312" s="16">
        <f>IF(COUNT(E312:Q312)=0,"",MIN(E312:Q312))</f>
        <v/>
      </c>
      <c r="S312" s="15">
        <f>IF(COUNT(E312:Q312)=0,"",LOOKUP(2,1/(E312:Q312&lt;&gt;""),E312:Q312))</f>
        <v/>
      </c>
      <c r="T312" s="17">
        <f>IF(R312="","",ROUND(R312*RESUMEN!$B$4,0))</f>
        <v/>
      </c>
      <c r="U312" s="18">
        <f>COUNT(E312:Q312)</f>
        <v/>
      </c>
    </row>
    <row r="313">
      <c r="A313" s="13" t="inlineStr">
        <is>
          <t>15554121555405</t>
        </is>
      </c>
      <c r="B313" s="13" t="inlineStr">
        <is>
          <t>ANILLO MOVE PAVE SILVER</t>
        </is>
      </c>
      <c r="C313" s="13" t="inlineStr">
        <is>
          <t>7</t>
        </is>
      </c>
      <c r="D313" s="14" t="inlineStr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5" t="n">
        <v>6.5</v>
      </c>
      <c r="O313" s="13" t="n"/>
      <c r="P313" s="13" t="n"/>
      <c r="Q313" s="13" t="n"/>
      <c r="R313" s="16">
        <f>IF(COUNT(E313:Q313)=0,"",MIN(E313:Q313))</f>
        <v/>
      </c>
      <c r="S313" s="15">
        <f>IF(COUNT(E313:Q313)=0,"",LOOKUP(2,1/(E313:Q313&lt;&gt;""),E313:Q313))</f>
        <v/>
      </c>
      <c r="T313" s="17">
        <f>IF(R313="","",ROUND(R313*RESUMEN!$B$4,0))</f>
        <v/>
      </c>
      <c r="U313" s="18">
        <f>COUNT(E313:Q313)</f>
        <v/>
      </c>
    </row>
    <row r="314">
      <c r="A314" s="13" t="inlineStr">
        <is>
          <t>15554121245229</t>
        </is>
      </c>
      <c r="B314" s="13" t="inlineStr">
        <is>
          <t>ANILLO MOVE UNO PAVE DROP GOLD</t>
        </is>
      </c>
      <c r="C314" s="13" t="inlineStr">
        <is>
          <t>7</t>
        </is>
      </c>
      <c r="D314" s="14" t="inlineStr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5" t="n">
        <v>7</v>
      </c>
      <c r="O314" s="13" t="n"/>
      <c r="P314" s="13" t="n"/>
      <c r="Q314" s="13" t="n"/>
      <c r="R314" s="16">
        <f>IF(COUNT(E314:Q314)=0,"",MIN(E314:Q314))</f>
        <v/>
      </c>
      <c r="S314" s="15">
        <f>IF(COUNT(E314:Q314)=0,"",LOOKUP(2,1/(E314:Q314&lt;&gt;""),E314:Q314))</f>
        <v/>
      </c>
      <c r="T314" s="17">
        <f>IF(R314="","",ROUND(R314*RESUMEN!$B$4,0))</f>
        <v/>
      </c>
      <c r="U314" s="18">
        <f>COUNT(E314:Q314)</f>
        <v/>
      </c>
    </row>
    <row r="315">
      <c r="A315" s="13" t="inlineStr">
        <is>
          <t>89246883414157</t>
        </is>
      </c>
      <c r="B315" s="13" t="inlineStr">
        <is>
          <t>ANILLO MOVE UNO SILVER ZIRCONIAS</t>
        </is>
      </c>
      <c r="C315" s="13" t="inlineStr">
        <is>
          <t>7</t>
        </is>
      </c>
      <c r="D315" s="14" t="inlineStr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5" t="n">
        <v>5</v>
      </c>
      <c r="O315" s="13" t="n"/>
      <c r="P315" s="13" t="n"/>
      <c r="Q315" s="13" t="n"/>
      <c r="R315" s="16">
        <f>IF(COUNT(E315:Q315)=0,"",MIN(E315:Q315))</f>
        <v/>
      </c>
      <c r="S315" s="15">
        <f>IF(COUNT(E315:Q315)=0,"",LOOKUP(2,1/(E315:Q315&lt;&gt;""),E315:Q315))</f>
        <v/>
      </c>
      <c r="T315" s="17">
        <f>IF(R315="","",ROUND(R315*RESUMEN!$B$4,0))</f>
        <v/>
      </c>
      <c r="U315" s="18">
        <f>COUNT(E315:Q315)</f>
        <v/>
      </c>
    </row>
    <row r="316">
      <c r="A316" s="13" t="inlineStr">
        <is>
          <t>89246883546925</t>
        </is>
      </c>
      <c r="B316" s="13" t="inlineStr">
        <is>
          <t>ANILLO MOVE UNO SILVER ZIRCONIAS</t>
        </is>
      </c>
      <c r="C316" s="13" t="inlineStr">
        <is>
          <t>8</t>
        </is>
      </c>
      <c r="D316" s="14" t="inlineStr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5" t="n">
        <v>5</v>
      </c>
      <c r="O316" s="13" t="n"/>
      <c r="P316" s="13" t="n"/>
      <c r="Q316" s="13" t="n"/>
      <c r="R316" s="16">
        <f>IF(COUNT(E316:Q316)=0,"",MIN(E316:Q316))</f>
        <v/>
      </c>
      <c r="S316" s="15">
        <f>IF(COUNT(E316:Q316)=0,"",LOOKUP(2,1/(E316:Q316&lt;&gt;""),E316:Q316))</f>
        <v/>
      </c>
      <c r="T316" s="17">
        <f>IF(R316="","",ROUND(R316*RESUMEN!$B$4,0))</f>
        <v/>
      </c>
      <c r="U316" s="18">
        <f>COUNT(E316:Q316)</f>
        <v/>
      </c>
    </row>
    <row r="317">
      <c r="A317" s="13" t="inlineStr">
        <is>
          <t>86347031781645</t>
        </is>
      </c>
      <c r="B317" s="13" t="inlineStr">
        <is>
          <t>ANILLO OLYMPE GOLD-BLACK</t>
        </is>
      </c>
      <c r="C317" s="13" t="inlineStr">
        <is>
          <t>10</t>
        </is>
      </c>
      <c r="D317" s="14" t="inlineStr"/>
      <c r="E317" s="13" t="n"/>
      <c r="F317" s="13" t="n"/>
      <c r="G317" s="15" t="n">
        <v>6</v>
      </c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6">
        <f>IF(COUNT(E317:Q317)=0,"",MIN(E317:Q317))</f>
        <v/>
      </c>
      <c r="S317" s="15">
        <f>IF(COUNT(E317:Q317)=0,"",LOOKUP(2,1/(E317:Q317&lt;&gt;""),E317:Q317))</f>
        <v/>
      </c>
      <c r="T317" s="17">
        <f>IF(R317="","",ROUND(R317*RESUMEN!$B$4,0))</f>
        <v/>
      </c>
      <c r="U317" s="18">
        <f>COUNT(E317:Q317)</f>
        <v/>
      </c>
    </row>
    <row r="318">
      <c r="A318" s="13" t="inlineStr">
        <is>
          <t>86347031552269</t>
        </is>
      </c>
      <c r="B318" s="13" t="inlineStr">
        <is>
          <t>ANILLO OLYMPE GOLD-BLACK</t>
        </is>
      </c>
      <c r="C318" s="13" t="inlineStr">
        <is>
          <t>8</t>
        </is>
      </c>
      <c r="D318" s="14" t="inlineStr">
        <is>
          <t>Stainless stee</t>
        </is>
      </c>
      <c r="E318" s="13" t="n"/>
      <c r="F318" s="13" t="n"/>
      <c r="G318" s="15" t="n">
        <v>6</v>
      </c>
      <c r="H318" s="13" t="n"/>
      <c r="I318" s="13" t="n"/>
      <c r="J318" s="13" t="n"/>
      <c r="K318" s="13" t="n"/>
      <c r="L318" s="15" t="n">
        <v>9</v>
      </c>
      <c r="M318" s="13" t="n"/>
      <c r="N318" s="13" t="n"/>
      <c r="O318" s="13" t="n"/>
      <c r="P318" s="13" t="n"/>
      <c r="Q318" s="13" t="n"/>
      <c r="R318" s="16">
        <f>IF(COUNT(E318:Q318)=0,"",MIN(E318:Q318))</f>
        <v/>
      </c>
      <c r="S318" s="15">
        <f>IF(COUNT(E318:Q318)=0,"",LOOKUP(2,1/(E318:Q318&lt;&gt;""),E318:Q318))</f>
        <v/>
      </c>
      <c r="T318" s="17">
        <f>IF(R318="","",ROUND(R318*RESUMEN!$B$4,0))</f>
        <v/>
      </c>
      <c r="U318" s="18">
        <f>COUNT(E318:Q318)</f>
        <v/>
      </c>
    </row>
    <row r="319">
      <c r="A319" s="13" t="inlineStr">
        <is>
          <t>86347031685037</t>
        </is>
      </c>
      <c r="B319" s="13" t="inlineStr">
        <is>
          <t>ANILLO OLYMPE GOLD-BLACK</t>
        </is>
      </c>
      <c r="C319" s="13" t="inlineStr">
        <is>
          <t>9</t>
        </is>
      </c>
      <c r="D319" s="14" t="inlineStr">
        <is>
          <t>Stainless stee</t>
        </is>
      </c>
      <c r="E319" s="13" t="n"/>
      <c r="F319" s="13" t="n"/>
      <c r="G319" s="15" t="n">
        <v>6</v>
      </c>
      <c r="H319" s="13" t="n"/>
      <c r="I319" s="13" t="n"/>
      <c r="J319" s="13" t="n"/>
      <c r="K319" s="13" t="n"/>
      <c r="L319" s="15" t="n">
        <v>9</v>
      </c>
      <c r="M319" s="13" t="n"/>
      <c r="N319" s="13" t="n"/>
      <c r="O319" s="13" t="n"/>
      <c r="P319" s="13" t="n"/>
      <c r="Q319" s="13" t="n"/>
      <c r="R319" s="16">
        <f>IF(COUNT(E319:Q319)=0,"",MIN(E319:Q319))</f>
        <v/>
      </c>
      <c r="S319" s="15">
        <f>IF(COUNT(E319:Q319)=0,"",LOOKUP(2,1/(E319:Q319&lt;&gt;""),E319:Q319))</f>
        <v/>
      </c>
      <c r="T319" s="17">
        <f>IF(R319="","",ROUND(R319*RESUMEN!$B$4,0))</f>
        <v/>
      </c>
      <c r="U319" s="18">
        <f>COUNT(E319:Q319)</f>
        <v/>
      </c>
    </row>
    <row r="320">
      <c r="A320" s="13" t="inlineStr">
        <is>
          <t>673cd55e4a3ca</t>
        </is>
      </c>
      <c r="B320" s="13" t="inlineStr">
        <is>
          <t>ANILLO ONE T CON ZIRCONIA GOLD</t>
        </is>
      </c>
      <c r="C320" s="13" t="inlineStr">
        <is>
          <t>6</t>
        </is>
      </c>
      <c r="D320" s="14" t="inlineStr">
        <is>
          <t>Copper alloy</t>
        </is>
      </c>
      <c r="E320" s="13" t="n"/>
      <c r="F320" s="13" t="n"/>
      <c r="G320" s="13" t="n"/>
      <c r="H320" s="13" t="n"/>
      <c r="I320" s="13" t="n"/>
      <c r="J320" s="13" t="n"/>
      <c r="K320" s="13" t="n"/>
      <c r="L320" s="15" t="n">
        <v>5</v>
      </c>
      <c r="M320" s="13" t="n"/>
      <c r="N320" s="15" t="n">
        <v>5</v>
      </c>
      <c r="O320" s="13" t="n"/>
      <c r="P320" s="13" t="n"/>
      <c r="Q320" s="13" t="n"/>
      <c r="R320" s="16">
        <f>IF(COUNT(E320:Q320)=0,"",MIN(E320:Q320))</f>
        <v/>
      </c>
      <c r="S320" s="15">
        <f>IF(COUNT(E320:Q320)=0,"",LOOKUP(2,1/(E320:Q320&lt;&gt;""),E320:Q320))</f>
        <v/>
      </c>
      <c r="T320" s="17">
        <f>IF(R320="","",ROUND(R320*RESUMEN!$B$4,0))</f>
        <v/>
      </c>
      <c r="U320" s="18">
        <f>COUNT(E320:Q320)</f>
        <v/>
      </c>
    </row>
    <row r="321">
      <c r="A321" s="13" t="inlineStr">
        <is>
          <t>673cd55edea9b</t>
        </is>
      </c>
      <c r="B321" s="13" t="inlineStr">
        <is>
          <t>ANILLO ONE T CON ZIRCONIA GOLD</t>
        </is>
      </c>
      <c r="C321" s="13" t="inlineStr">
        <is>
          <t>7</t>
        </is>
      </c>
      <c r="D321" s="14" t="inlineStr">
        <is>
          <t>Copper Alloy</t>
        </is>
      </c>
      <c r="E321" s="15" t="n">
        <v>5</v>
      </c>
      <c r="F321" s="13" t="n"/>
      <c r="G321" s="13" t="n"/>
      <c r="H321" s="13" t="n"/>
      <c r="I321" s="15" t="n">
        <v>5</v>
      </c>
      <c r="J321" s="13" t="n"/>
      <c r="K321" s="13" t="n"/>
      <c r="L321" s="13" t="n"/>
      <c r="M321" s="13" t="n"/>
      <c r="N321" s="13" t="n"/>
      <c r="O321" s="13" t="n"/>
      <c r="P321" s="13" t="n"/>
      <c r="Q321" s="15" t="n">
        <v>5</v>
      </c>
      <c r="R321" s="16">
        <f>IF(COUNT(E321:Q321)=0,"",MIN(E321:Q321))</f>
        <v/>
      </c>
      <c r="S321" s="15">
        <f>IF(COUNT(E321:Q321)=0,"",LOOKUP(2,1/(E321:Q321&lt;&gt;""),E321:Q321))</f>
        <v/>
      </c>
      <c r="T321" s="17">
        <f>IF(R321="","",ROUND(R321*RESUMEN!$B$4,0))</f>
        <v/>
      </c>
      <c r="U321" s="18">
        <f>COUNT(E321:Q321)</f>
        <v/>
      </c>
    </row>
    <row r="322">
      <c r="A322" s="13" t="inlineStr">
        <is>
          <t>77174549298188</t>
        </is>
      </c>
      <c r="B322" s="13" t="inlineStr">
        <is>
          <t>ANILLO ONE T CON ZIRCONIA GOLD</t>
        </is>
      </c>
      <c r="C322" s="13" t="inlineStr">
        <is>
          <t>8</t>
        </is>
      </c>
      <c r="D322" s="14" t="inlineStr"/>
      <c r="E322" s="15" t="n">
        <v>5</v>
      </c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6">
        <f>IF(COUNT(E322:Q322)=0,"",MIN(E322:Q322))</f>
        <v/>
      </c>
      <c r="S322" s="15">
        <f>IF(COUNT(E322:Q322)=0,"",LOOKUP(2,1/(E322:Q322&lt;&gt;""),E322:Q322))</f>
        <v/>
      </c>
      <c r="T322" s="17">
        <f>IF(R322="","",ROUND(R322*RESUMEN!$B$4,0))</f>
        <v/>
      </c>
      <c r="U322" s="18">
        <f>COUNT(E322:Q322)</f>
        <v/>
      </c>
    </row>
    <row r="323">
      <c r="A323" s="13" t="inlineStr">
        <is>
          <t>43047225884812</t>
        </is>
      </c>
      <c r="B323" s="13" t="inlineStr">
        <is>
          <t>ANILLO ONE T GOLD</t>
        </is>
      </c>
      <c r="C323" s="13" t="inlineStr">
        <is>
          <t>6</t>
        </is>
      </c>
      <c r="D323" s="14" t="inlineStr">
        <is>
          <t>copper alloy</t>
        </is>
      </c>
      <c r="E323" s="13" t="n"/>
      <c r="F323" s="13" t="n"/>
      <c r="G323" s="13" t="n"/>
      <c r="H323" s="15" t="n">
        <v>4</v>
      </c>
      <c r="I323" s="15" t="n">
        <v>4</v>
      </c>
      <c r="J323" s="13" t="n"/>
      <c r="K323" s="13" t="n"/>
      <c r="L323" s="13" t="n"/>
      <c r="M323" s="13" t="n"/>
      <c r="N323" s="13" t="n"/>
      <c r="O323" s="13" t="n"/>
      <c r="P323" s="13" t="n"/>
      <c r="Q323" s="15" t="n">
        <v>4</v>
      </c>
      <c r="R323" s="16">
        <f>IF(COUNT(E323:Q323)=0,"",MIN(E323:Q323))</f>
        <v/>
      </c>
      <c r="S323" s="15">
        <f>IF(COUNT(E323:Q323)=0,"",LOOKUP(2,1/(E323:Q323&lt;&gt;""),E323:Q323))</f>
        <v/>
      </c>
      <c r="T323" s="17">
        <f>IF(R323="","",ROUND(R323*RESUMEN!$B$4,0))</f>
        <v/>
      </c>
      <c r="U323" s="18">
        <f>COUNT(E323:Q323)</f>
        <v/>
      </c>
    </row>
    <row r="324">
      <c r="A324" s="13" t="inlineStr">
        <is>
          <t>96547211050721</t>
        </is>
      </c>
      <c r="B324" s="13" t="inlineStr">
        <is>
          <t>ANILLO ONE T GOLD</t>
        </is>
      </c>
      <c r="C324" s="13" t="inlineStr">
        <is>
          <t>6 titanio</t>
        </is>
      </c>
      <c r="D324" s="14" t="inlineStr">
        <is>
          <t>Copper Alloy</t>
        </is>
      </c>
      <c r="E324" s="13" t="n"/>
      <c r="F324" s="13" t="n"/>
      <c r="G324" s="13" t="n"/>
      <c r="H324" s="13" t="n"/>
      <c r="I324" s="13" t="n"/>
      <c r="J324" s="13" t="n"/>
      <c r="K324" s="13" t="n"/>
      <c r="L324" s="15" t="n">
        <v>4</v>
      </c>
      <c r="M324" s="13" t="n"/>
      <c r="N324" s="13" t="n"/>
      <c r="O324" s="13" t="n"/>
      <c r="P324" s="13" t="n"/>
      <c r="Q324" s="15" t="n">
        <v>4</v>
      </c>
      <c r="R324" s="16">
        <f>IF(COUNT(E324:Q324)=0,"",MIN(E324:Q324))</f>
        <v/>
      </c>
      <c r="S324" s="15">
        <f>IF(COUNT(E324:Q324)=0,"",LOOKUP(2,1/(E324:Q324&lt;&gt;""),E324:Q324))</f>
        <v/>
      </c>
      <c r="T324" s="17">
        <f>IF(R324="","",ROUND(R324*RESUMEN!$B$4,0))</f>
        <v/>
      </c>
      <c r="U324" s="18">
        <f>COUNT(E324:Q324)</f>
        <v/>
      </c>
    </row>
    <row r="325">
      <c r="A325" s="13" t="inlineStr">
        <is>
          <t>43047225917580</t>
        </is>
      </c>
      <c r="B325" s="13" t="inlineStr">
        <is>
          <t>ANILLO ONE T GOLD</t>
        </is>
      </c>
      <c r="C325" s="13" t="inlineStr">
        <is>
          <t>7</t>
        </is>
      </c>
      <c r="D325" s="14" t="inlineStr">
        <is>
          <t>Copper alloy</t>
        </is>
      </c>
      <c r="E325" s="13" t="n"/>
      <c r="F325" s="15" t="n">
        <v>5</v>
      </c>
      <c r="G325" s="13" t="n"/>
      <c r="H325" s="13" t="n"/>
      <c r="I325" s="13" t="n"/>
      <c r="J325" s="13" t="n"/>
      <c r="K325" s="13" t="n"/>
      <c r="L325" s="15" t="n">
        <v>4</v>
      </c>
      <c r="M325" s="15" t="n">
        <v>4</v>
      </c>
      <c r="N325" s="13" t="n"/>
      <c r="O325" s="13" t="n"/>
      <c r="P325" s="13" t="n"/>
      <c r="Q325" s="13" t="n"/>
      <c r="R325" s="16">
        <f>IF(COUNT(E325:Q325)=0,"",MIN(E325:Q325))</f>
        <v/>
      </c>
      <c r="S325" s="15">
        <f>IF(COUNT(E325:Q325)=0,"",LOOKUP(2,1/(E325:Q325&lt;&gt;""),E325:Q325))</f>
        <v/>
      </c>
      <c r="T325" s="17">
        <f>IF(R325="","",ROUND(R325*RESUMEN!$B$4,0))</f>
        <v/>
      </c>
      <c r="U325" s="18">
        <f>COUNT(E325:Q325)</f>
        <v/>
      </c>
    </row>
    <row r="326">
      <c r="A326" s="13" t="inlineStr">
        <is>
          <t>43047225950348</t>
        </is>
      </c>
      <c r="B326" s="13" t="inlineStr">
        <is>
          <t>ANILLO ONE T GOLD</t>
        </is>
      </c>
      <c r="C326" s="13" t="inlineStr">
        <is>
          <t>8</t>
        </is>
      </c>
      <c r="D326" s="14" t="inlineStr">
        <is>
          <t>copper alloy</t>
        </is>
      </c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5" t="n">
        <v>4</v>
      </c>
      <c r="P326" s="13" t="n"/>
      <c r="Q326" s="13" t="n"/>
      <c r="R326" s="16">
        <f>IF(COUNT(E326:Q326)=0,"",MIN(E326:Q326))</f>
        <v/>
      </c>
      <c r="S326" s="15">
        <f>IF(COUNT(E326:Q326)=0,"",LOOKUP(2,1/(E326:Q326&lt;&gt;""),E326:Q326))</f>
        <v/>
      </c>
      <c r="T326" s="17">
        <f>IF(R326="","",ROUND(R326*RESUMEN!$B$4,0))</f>
        <v/>
      </c>
      <c r="U326" s="18">
        <f>COUNT(E326:Q326)</f>
        <v/>
      </c>
    </row>
    <row r="327">
      <c r="A327" s="13" t="inlineStr">
        <is>
          <t>43047227359372</t>
        </is>
      </c>
      <c r="B327" s="13" t="inlineStr">
        <is>
          <t>ANILLO ONE T ROSE GOLD CON ZIRCONIA</t>
        </is>
      </c>
      <c r="C327" s="13" t="inlineStr">
        <is>
          <t>6 HIGH QUALITY</t>
        </is>
      </c>
      <c r="D327" s="14" t="inlineStr">
        <is>
          <t>Copper alloy</t>
        </is>
      </c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5" t="n">
        <v>5</v>
      </c>
      <c r="O327" s="13" t="n"/>
      <c r="P327" s="13" t="n"/>
      <c r="Q327" s="13" t="n"/>
      <c r="R327" s="16">
        <f>IF(COUNT(E327:Q327)=0,"",MIN(E327:Q327))</f>
        <v/>
      </c>
      <c r="S327" s="15">
        <f>IF(COUNT(E327:Q327)=0,"",LOOKUP(2,1/(E327:Q327&lt;&gt;""),E327:Q327))</f>
        <v/>
      </c>
      <c r="T327" s="17">
        <f>IF(R327="","",ROUND(R327*RESUMEN!$B$4,0))</f>
        <v/>
      </c>
      <c r="U327" s="18">
        <f>COUNT(E327:Q327)</f>
        <v/>
      </c>
    </row>
    <row r="328">
      <c r="A328" s="13" t="inlineStr">
        <is>
          <t>43047227392140</t>
        </is>
      </c>
      <c r="B328" s="13" t="inlineStr">
        <is>
          <t>ANILLO ONE T ROSE GOLD CON ZIRCONIA</t>
        </is>
      </c>
      <c r="C328" s="13" t="inlineStr">
        <is>
          <t>7 HIGH QUALITY</t>
        </is>
      </c>
      <c r="D328" s="14" t="inlineStr">
        <is>
          <t>nan</t>
        </is>
      </c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5" t="n">
        <v>5</v>
      </c>
      <c r="N328" s="13" t="n"/>
      <c r="O328" s="13" t="n"/>
      <c r="P328" s="13" t="n"/>
      <c r="Q328" s="13" t="n"/>
      <c r="R328" s="16">
        <f>IF(COUNT(E328:Q328)=0,"",MIN(E328:Q328))</f>
        <v/>
      </c>
      <c r="S328" s="15">
        <f>IF(COUNT(E328:Q328)=0,"",LOOKUP(2,1/(E328:Q328&lt;&gt;""),E328:Q328))</f>
        <v/>
      </c>
      <c r="T328" s="17">
        <f>IF(R328="","",ROUND(R328*RESUMEN!$B$4,0))</f>
        <v/>
      </c>
      <c r="U328" s="18">
        <f>COUNT(E328:Q328)</f>
        <v/>
      </c>
    </row>
    <row r="329">
      <c r="A329" s="13" t="inlineStr">
        <is>
          <t>43047227424908</t>
        </is>
      </c>
      <c r="B329" s="13" t="inlineStr">
        <is>
          <t>ANILLO ONE T ROSE GOLD CON ZIRCONIA</t>
        </is>
      </c>
      <c r="C329" s="13" t="inlineStr">
        <is>
          <t>8</t>
        </is>
      </c>
      <c r="D329" s="14" t="inlineStr">
        <is>
          <t>Copper alloy</t>
        </is>
      </c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5" t="n">
        <v>5</v>
      </c>
      <c r="O329" s="13" t="n"/>
      <c r="P329" s="13" t="n"/>
      <c r="Q329" s="13" t="n"/>
      <c r="R329" s="16">
        <f>IF(COUNT(E329:Q329)=0,"",MIN(E329:Q329))</f>
        <v/>
      </c>
      <c r="S329" s="15">
        <f>IF(COUNT(E329:Q329)=0,"",LOOKUP(2,1/(E329:Q329&lt;&gt;""),E329:Q329))</f>
        <v/>
      </c>
      <c r="T329" s="17">
        <f>IF(R329="","",ROUND(R329*RESUMEN!$B$4,0))</f>
        <v/>
      </c>
      <c r="U329" s="18">
        <f>COUNT(E329:Q329)</f>
        <v/>
      </c>
    </row>
    <row r="330">
      <c r="A330" s="13" t="inlineStr">
        <is>
          <t>673cd561eb622</t>
        </is>
      </c>
      <c r="B330" s="13" t="inlineStr">
        <is>
          <t>ANILLO ONE T ROSE GOLD CON ZIRCONIA</t>
        </is>
      </c>
      <c r="C330" s="13" t="inlineStr">
        <is>
          <t>8 HIGH QUALITY</t>
        </is>
      </c>
      <c r="D330" s="14" t="inlineStr">
        <is>
          <t>Copper Alloy</t>
        </is>
      </c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5" t="n">
        <v>5</v>
      </c>
      <c r="P330" s="13" t="n"/>
      <c r="Q330" s="15" t="n">
        <v>5</v>
      </c>
      <c r="R330" s="16">
        <f>IF(COUNT(E330:Q330)=0,"",MIN(E330:Q330))</f>
        <v/>
      </c>
      <c r="S330" s="15">
        <f>IF(COUNT(E330:Q330)=0,"",LOOKUP(2,1/(E330:Q330&lt;&gt;""),E330:Q330))</f>
        <v/>
      </c>
      <c r="T330" s="17">
        <f>IF(R330="","",ROUND(R330*RESUMEN!$B$4,0))</f>
        <v/>
      </c>
      <c r="U330" s="18">
        <f>COUNT(E330:Q330)</f>
        <v/>
      </c>
    </row>
    <row r="331">
      <c r="A331" s="13" t="inlineStr">
        <is>
          <t>673cd55cc4ae5</t>
        </is>
      </c>
      <c r="B331" s="13" t="inlineStr">
        <is>
          <t>ANILLO ONE T ROSEGOLD</t>
        </is>
      </c>
      <c r="C331" s="13" t="inlineStr">
        <is>
          <t>6</t>
        </is>
      </c>
      <c r="D331" s="14" t="inlineStr">
        <is>
          <t>Copper alloy</t>
        </is>
      </c>
      <c r="E331" s="13" t="n"/>
      <c r="F331" s="13" t="n"/>
      <c r="G331" s="13" t="n"/>
      <c r="H331" s="13" t="n"/>
      <c r="I331" s="13" t="n"/>
      <c r="J331" s="13" t="n"/>
      <c r="K331" s="13" t="n"/>
      <c r="L331" s="15" t="n">
        <v>4</v>
      </c>
      <c r="M331" s="13" t="n"/>
      <c r="N331" s="13" t="n"/>
      <c r="O331" s="13" t="n"/>
      <c r="P331" s="15" t="n">
        <v>4</v>
      </c>
      <c r="Q331" s="13" t="n"/>
      <c r="R331" s="16">
        <f>IF(COUNT(E331:Q331)=0,"",MIN(E331:Q331))</f>
        <v/>
      </c>
      <c r="S331" s="15">
        <f>IF(COUNT(E331:Q331)=0,"",LOOKUP(2,1/(E331:Q331&lt;&gt;""),E331:Q331))</f>
        <v/>
      </c>
      <c r="T331" s="17">
        <f>IF(R331="","",ROUND(R331*RESUMEN!$B$4,0))</f>
        <v/>
      </c>
      <c r="U331" s="18">
        <f>COUNT(E331:Q331)</f>
        <v/>
      </c>
    </row>
    <row r="332">
      <c r="A332" s="13" t="inlineStr">
        <is>
          <t>673cd55d87e7f</t>
        </is>
      </c>
      <c r="B332" s="13" t="inlineStr">
        <is>
          <t>ANILLO ONE T ROSEGOLD</t>
        </is>
      </c>
      <c r="C332" s="13" t="inlineStr">
        <is>
          <t>7</t>
        </is>
      </c>
      <c r="D332" s="14" t="inlineStr">
        <is>
          <t>Copper alloy</t>
        </is>
      </c>
      <c r="E332" s="13" t="n"/>
      <c r="F332" s="15" t="n">
        <v>5</v>
      </c>
      <c r="G332" s="13" t="n"/>
      <c r="H332" s="15" t="n">
        <v>4</v>
      </c>
      <c r="I332" s="13" t="n"/>
      <c r="J332" s="13" t="n"/>
      <c r="K332" s="13" t="n"/>
      <c r="L332" s="15" t="n">
        <v>4</v>
      </c>
      <c r="M332" s="13" t="n"/>
      <c r="N332" s="13" t="n"/>
      <c r="O332" s="13" t="n"/>
      <c r="P332" s="13" t="n"/>
      <c r="Q332" s="13" t="n"/>
      <c r="R332" s="16">
        <f>IF(COUNT(E332:Q332)=0,"",MIN(E332:Q332))</f>
        <v/>
      </c>
      <c r="S332" s="15">
        <f>IF(COUNT(E332:Q332)=0,"",LOOKUP(2,1/(E332:Q332&lt;&gt;""),E332:Q332))</f>
        <v/>
      </c>
      <c r="T332" s="17">
        <f>IF(R332="","",ROUND(R332*RESUMEN!$B$4,0))</f>
        <v/>
      </c>
      <c r="U332" s="18">
        <f>COUNT(E332:Q332)</f>
        <v/>
      </c>
    </row>
    <row r="333">
      <c r="A333" s="13" t="inlineStr">
        <is>
          <t>29736662528589</t>
        </is>
      </c>
      <c r="B333" s="13" t="inlineStr">
        <is>
          <t>ANILLO OPEN HEART SILVER</t>
        </is>
      </c>
      <c r="C333" s="13" t="inlineStr">
        <is>
          <t>7</t>
        </is>
      </c>
      <c r="D333" s="14" t="inlineStr"/>
      <c r="E333" s="13" t="n"/>
      <c r="F333" s="13" t="n"/>
      <c r="G333" s="13" t="n"/>
      <c r="H333" s="13" t="n"/>
      <c r="I333" s="13" t="n"/>
      <c r="J333" s="13" t="n"/>
      <c r="K333" s="15" t="n">
        <v>6.99</v>
      </c>
      <c r="L333" s="13" t="n"/>
      <c r="M333" s="13" t="n"/>
      <c r="N333" s="13" t="n"/>
      <c r="O333" s="13" t="n"/>
      <c r="P333" s="13" t="n"/>
      <c r="Q333" s="13" t="n"/>
      <c r="R333" s="16">
        <f>IF(COUNT(E333:Q333)=0,"",MIN(E333:Q333))</f>
        <v/>
      </c>
      <c r="S333" s="15">
        <f>IF(COUNT(E333:Q333)=0,"",LOOKUP(2,1/(E333:Q333&lt;&gt;""),E333:Q333))</f>
        <v/>
      </c>
      <c r="T333" s="17">
        <f>IF(R333="","",ROUND(R333*RESUMEN!$B$4,0))</f>
        <v/>
      </c>
      <c r="U333" s="18">
        <f>COUNT(E333:Q333)</f>
        <v/>
      </c>
    </row>
    <row r="334">
      <c r="A334" s="13" t="inlineStr">
        <is>
          <t>29736662661357</t>
        </is>
      </c>
      <c r="B334" s="13" t="inlineStr">
        <is>
          <t>ANILLO OPEN HEART SILVER</t>
        </is>
      </c>
      <c r="C334" s="13" t="inlineStr">
        <is>
          <t>8</t>
        </is>
      </c>
      <c r="D334" s="14" t="inlineStr">
        <is>
          <t>Copper Alloy</t>
        </is>
      </c>
      <c r="E334" s="13" t="n"/>
      <c r="F334" s="13" t="n"/>
      <c r="G334" s="13" t="n"/>
      <c r="H334" s="13" t="n"/>
      <c r="I334" s="13" t="n"/>
      <c r="J334" s="13" t="n"/>
      <c r="K334" s="15" t="n">
        <v>6.99</v>
      </c>
      <c r="L334" s="13" t="n"/>
      <c r="M334" s="13" t="n"/>
      <c r="N334" s="13" t="n"/>
      <c r="O334" s="13" t="n"/>
      <c r="P334" s="15" t="n">
        <v>6.99</v>
      </c>
      <c r="Q334" s="15" t="n">
        <v>6.99</v>
      </c>
      <c r="R334" s="16">
        <f>IF(COUNT(E334:Q334)=0,"",MIN(E334:Q334))</f>
        <v/>
      </c>
      <c r="S334" s="15">
        <f>IF(COUNT(E334:Q334)=0,"",LOOKUP(2,1/(E334:Q334&lt;&gt;""),E334:Q334))</f>
        <v/>
      </c>
      <c r="T334" s="17">
        <f>IF(R334="","",ROUND(R334*RESUMEN!$B$4,0))</f>
        <v/>
      </c>
      <c r="U334" s="18">
        <f>COUNT(E334:Q334)</f>
        <v/>
      </c>
    </row>
    <row r="335">
      <c r="A335" s="13" t="inlineStr">
        <is>
          <t>47861321014669</t>
        </is>
      </c>
      <c r="B335" s="13" t="inlineStr">
        <is>
          <t>ANILLO PANTHERE BIG GOLD C</t>
        </is>
      </c>
      <c r="C335" s="13" t="inlineStr">
        <is>
          <t>8</t>
        </is>
      </c>
      <c r="D335" s="14" t="inlineStr">
        <is>
          <t>Copper alloy</t>
        </is>
      </c>
      <c r="E335" s="13" t="n"/>
      <c r="F335" s="13" t="n"/>
      <c r="G335" s="13" t="n"/>
      <c r="H335" s="15" t="n">
        <v>9</v>
      </c>
      <c r="I335" s="15" t="n">
        <v>9</v>
      </c>
      <c r="J335" s="13" t="n"/>
      <c r="K335" s="13" t="n"/>
      <c r="L335" s="15" t="n">
        <v>9</v>
      </c>
      <c r="M335" s="13" t="n"/>
      <c r="N335" s="13" t="n"/>
      <c r="O335" s="13" t="n"/>
      <c r="P335" s="13" t="n"/>
      <c r="Q335" s="13" t="n"/>
      <c r="R335" s="16">
        <f>IF(COUNT(E335:Q335)=0,"",MIN(E335:Q335))</f>
        <v/>
      </c>
      <c r="S335" s="15">
        <f>IF(COUNT(E335:Q335)=0,"",LOOKUP(2,1/(E335:Q335&lt;&gt;""),E335:Q335))</f>
        <v/>
      </c>
      <c r="T335" s="17">
        <f>IF(R335="","",ROUND(R335*RESUMEN!$B$4,0))</f>
        <v/>
      </c>
      <c r="U335" s="18">
        <f>COUNT(E335:Q335)</f>
        <v/>
      </c>
    </row>
    <row r="336">
      <c r="A336" s="13" t="inlineStr">
        <is>
          <t>27009181053197</t>
        </is>
      </c>
      <c r="B336" s="13" t="inlineStr">
        <is>
          <t>ANILLO PANTHERE BIG SILVER C</t>
        </is>
      </c>
      <c r="C336" s="13" t="inlineStr">
        <is>
          <t>Default Title</t>
        </is>
      </c>
      <c r="D336" s="14" t="inlineStr"/>
      <c r="E336" s="13" t="n"/>
      <c r="F336" s="13" t="n"/>
      <c r="G336" s="13" t="n"/>
      <c r="H336" s="15" t="n">
        <v>9</v>
      </c>
      <c r="I336" s="15" t="n">
        <v>9</v>
      </c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6">
        <f>IF(COUNT(E336:Q336)=0,"",MIN(E336:Q336))</f>
        <v/>
      </c>
      <c r="S336" s="15">
        <f>IF(COUNT(E336:Q336)=0,"",LOOKUP(2,1/(E336:Q336&lt;&gt;""),E336:Q336))</f>
        <v/>
      </c>
      <c r="T336" s="17">
        <f>IF(R336="","",ROUND(R336*RESUMEN!$B$4,0))</f>
        <v/>
      </c>
      <c r="U336" s="18">
        <f>COUNT(E336:Q336)</f>
        <v/>
      </c>
    </row>
    <row r="337">
      <c r="A337" s="13" t="inlineStr">
        <is>
          <t>67201535429901</t>
        </is>
      </c>
      <c r="B337" s="13" t="inlineStr">
        <is>
          <t>ANILLO PERLEE SIGNATURE SILVER VF</t>
        </is>
      </c>
      <c r="C337" s="13" t="inlineStr">
        <is>
          <t>7</t>
        </is>
      </c>
      <c r="D337" s="14" t="inlineStr"/>
      <c r="E337" s="13" t="n"/>
      <c r="F337" s="15" t="n">
        <v>6.99</v>
      </c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6">
        <f>IF(COUNT(E337:Q337)=0,"",MIN(E337:Q337))</f>
        <v/>
      </c>
      <c r="S337" s="15">
        <f>IF(COUNT(E337:Q337)=0,"",LOOKUP(2,1/(E337:Q337&lt;&gt;""),E337:Q337))</f>
        <v/>
      </c>
      <c r="T337" s="17">
        <f>IF(R337="","",ROUND(R337*RESUMEN!$B$4,0))</f>
        <v/>
      </c>
      <c r="U337" s="18">
        <f>COUNT(E337:Q337)</f>
        <v/>
      </c>
    </row>
    <row r="338">
      <c r="A338" s="13" t="inlineStr">
        <is>
          <t>22064322816685</t>
        </is>
      </c>
      <c r="B338" s="13" t="inlineStr">
        <is>
          <t>ANILLO SERPENTI VIPER ROSE GOLD GREEN</t>
        </is>
      </c>
      <c r="C338" s="13" t="inlineStr">
        <is>
          <t>7</t>
        </is>
      </c>
      <c r="D338" s="14" t="inlineStr">
        <is>
          <t>Copper alloy</t>
        </is>
      </c>
      <c r="E338" s="13" t="n"/>
      <c r="F338" s="13" t="n"/>
      <c r="G338" s="13" t="n"/>
      <c r="H338" s="13" t="n"/>
      <c r="I338" s="13" t="n"/>
      <c r="J338" s="13" t="n"/>
      <c r="K338" s="15" t="n">
        <v>9</v>
      </c>
      <c r="L338" s="13" t="n"/>
      <c r="M338" s="13" t="n"/>
      <c r="N338" s="13" t="n"/>
      <c r="O338" s="15" t="n">
        <v>9</v>
      </c>
      <c r="P338" s="13" t="n"/>
      <c r="Q338" s="13" t="n"/>
      <c r="R338" s="16">
        <f>IF(COUNT(E338:Q338)=0,"",MIN(E338:Q338))</f>
        <v/>
      </c>
      <c r="S338" s="15">
        <f>IF(COUNT(E338:Q338)=0,"",LOOKUP(2,1/(E338:Q338&lt;&gt;""),E338:Q338))</f>
        <v/>
      </c>
      <c r="T338" s="17">
        <f>IF(R338="","",ROUND(R338*RESUMEN!$B$4,0))</f>
        <v/>
      </c>
      <c r="U338" s="18">
        <f>COUNT(E338:Q338)</f>
        <v/>
      </c>
    </row>
    <row r="339">
      <c r="A339" s="13" t="inlineStr">
        <is>
          <t>22064322949453</t>
        </is>
      </c>
      <c r="B339" s="13" t="inlineStr">
        <is>
          <t>ANILLO SERPENTI VIPER ROSE GOLD GREEN</t>
        </is>
      </c>
      <c r="C339" s="13" t="inlineStr">
        <is>
          <t>8</t>
        </is>
      </c>
      <c r="D339" s="14" t="inlineStr">
        <is>
          <t>Copper alloy</t>
        </is>
      </c>
      <c r="E339" s="13" t="n"/>
      <c r="F339" s="13" t="n"/>
      <c r="G339" s="13" t="n"/>
      <c r="H339" s="13" t="n"/>
      <c r="I339" s="13" t="n"/>
      <c r="J339" s="13" t="n"/>
      <c r="K339" s="15" t="n">
        <v>9</v>
      </c>
      <c r="L339" s="13" t="n"/>
      <c r="M339" s="13" t="n"/>
      <c r="N339" s="13" t="n"/>
      <c r="O339" s="13" t="n"/>
      <c r="P339" s="13" t="n"/>
      <c r="Q339" s="15" t="n">
        <v>9</v>
      </c>
      <c r="R339" s="16">
        <f>IF(COUNT(E339:Q339)=0,"",MIN(E339:Q339))</f>
        <v/>
      </c>
      <c r="S339" s="15">
        <f>IF(COUNT(E339:Q339)=0,"",LOOKUP(2,1/(E339:Q339&lt;&gt;""),E339:Q339))</f>
        <v/>
      </c>
      <c r="T339" s="17">
        <f>IF(R339="","",ROUND(R339*RESUMEN!$B$4,0))</f>
        <v/>
      </c>
      <c r="U339" s="18">
        <f>COUNT(E339:Q339)</f>
        <v/>
      </c>
    </row>
    <row r="340">
      <c r="A340" s="13" t="inlineStr">
        <is>
          <t>22064323054541</t>
        </is>
      </c>
      <c r="B340" s="13" t="inlineStr">
        <is>
          <t>ANILLO SERPENTI VIPER ROSE GOLD WHITE</t>
        </is>
      </c>
      <c r="C340" s="13" t="inlineStr">
        <is>
          <t>7</t>
        </is>
      </c>
      <c r="D340" s="14" t="inlineStr"/>
      <c r="E340" s="13" t="n"/>
      <c r="F340" s="13" t="n"/>
      <c r="G340" s="13" t="n"/>
      <c r="H340" s="13" t="n"/>
      <c r="I340" s="13" t="n"/>
      <c r="J340" s="13" t="n"/>
      <c r="K340" s="15" t="n">
        <v>9</v>
      </c>
      <c r="L340" s="13" t="n"/>
      <c r="M340" s="13" t="n"/>
      <c r="N340" s="13" t="n"/>
      <c r="O340" s="13" t="n"/>
      <c r="P340" s="13" t="n"/>
      <c r="Q340" s="13" t="n"/>
      <c r="R340" s="16">
        <f>IF(COUNT(E340:Q340)=0,"",MIN(E340:Q340))</f>
        <v/>
      </c>
      <c r="S340" s="15">
        <f>IF(COUNT(E340:Q340)=0,"",LOOKUP(2,1/(E340:Q340&lt;&gt;""),E340:Q340))</f>
        <v/>
      </c>
      <c r="T340" s="17">
        <f>IF(R340="","",ROUND(R340*RESUMEN!$B$4,0))</f>
        <v/>
      </c>
      <c r="U340" s="18">
        <f>COUNT(E340:Q340)</f>
        <v/>
      </c>
    </row>
    <row r="341">
      <c r="A341" s="13" t="inlineStr">
        <is>
          <t>22064323187309</t>
        </is>
      </c>
      <c r="B341" s="13" t="inlineStr">
        <is>
          <t>ANILLO SERPENTI VIPER ROSE GOLD WHITE</t>
        </is>
      </c>
      <c r="C341" s="13" t="inlineStr">
        <is>
          <t>8</t>
        </is>
      </c>
      <c r="D341" s="14" t="inlineStr"/>
      <c r="E341" s="13" t="n"/>
      <c r="F341" s="13" t="n"/>
      <c r="G341" s="13" t="n"/>
      <c r="H341" s="13" t="n"/>
      <c r="I341" s="13" t="n"/>
      <c r="J341" s="13" t="n"/>
      <c r="K341" s="15" t="n">
        <v>9</v>
      </c>
      <c r="L341" s="13" t="n"/>
      <c r="M341" s="13" t="n"/>
      <c r="N341" s="13" t="n"/>
      <c r="O341" s="13" t="n"/>
      <c r="P341" s="13" t="n"/>
      <c r="Q341" s="13" t="n"/>
      <c r="R341" s="16">
        <f>IF(COUNT(E341:Q341)=0,"",MIN(E341:Q341))</f>
        <v/>
      </c>
      <c r="S341" s="15">
        <f>IF(COUNT(E341:Q341)=0,"",LOOKUP(2,1/(E341:Q341&lt;&gt;""),E341:Q341))</f>
        <v/>
      </c>
      <c r="T341" s="17">
        <f>IF(R341="","",ROUND(R341*RESUMEN!$B$4,0))</f>
        <v/>
      </c>
      <c r="U341" s="18">
        <f>COUNT(E341:Q341)</f>
        <v/>
      </c>
    </row>
    <row r="342">
      <c r="A342" s="13" t="inlineStr">
        <is>
          <t>40154172899053</t>
        </is>
      </c>
      <c r="B342" s="13" t="inlineStr">
        <is>
          <t>ANILLO SERPENTI VIPER SILVER</t>
        </is>
      </c>
      <c r="C342" s="13" t="inlineStr">
        <is>
          <t>6</t>
        </is>
      </c>
      <c r="D342" s="14" t="inlineStr"/>
      <c r="E342" s="13" t="n"/>
      <c r="F342" s="13" t="n"/>
      <c r="G342" s="13" t="n"/>
      <c r="H342" s="13" t="n"/>
      <c r="I342" s="13" t="n"/>
      <c r="J342" s="13" t="n"/>
      <c r="K342" s="15" t="n">
        <v>7</v>
      </c>
      <c r="L342" s="13" t="n"/>
      <c r="M342" s="13" t="n"/>
      <c r="N342" s="13" t="n"/>
      <c r="O342" s="13" t="n"/>
      <c r="P342" s="13" t="n"/>
      <c r="Q342" s="13" t="n"/>
      <c r="R342" s="16">
        <f>IF(COUNT(E342:Q342)=0,"",MIN(E342:Q342))</f>
        <v/>
      </c>
      <c r="S342" s="15">
        <f>IF(COUNT(E342:Q342)=0,"",LOOKUP(2,1/(E342:Q342&lt;&gt;""),E342:Q342))</f>
        <v/>
      </c>
      <c r="T342" s="17">
        <f>IF(R342="","",ROUND(R342*RESUMEN!$B$4,0))</f>
        <v/>
      </c>
      <c r="U342" s="18">
        <f>COUNT(E342:Q342)</f>
        <v/>
      </c>
    </row>
    <row r="343">
      <c r="A343" s="13" t="inlineStr">
        <is>
          <t>40154172931821</t>
        </is>
      </c>
      <c r="B343" s="13" t="inlineStr">
        <is>
          <t>ANILLO SERPENTI VIPER SILVER</t>
        </is>
      </c>
      <c r="C343" s="13" t="inlineStr">
        <is>
          <t>7</t>
        </is>
      </c>
      <c r="D343" s="14" t="inlineStr">
        <is>
          <t>Copper Alloy</t>
        </is>
      </c>
      <c r="E343" s="13" t="n"/>
      <c r="F343" s="13" t="n"/>
      <c r="G343" s="13" t="n"/>
      <c r="H343" s="13" t="n"/>
      <c r="I343" s="13" t="n"/>
      <c r="J343" s="13" t="n"/>
      <c r="K343" s="15" t="n">
        <v>7</v>
      </c>
      <c r="L343" s="13" t="n"/>
      <c r="M343" s="13" t="n"/>
      <c r="N343" s="13" t="n"/>
      <c r="O343" s="13" t="n"/>
      <c r="P343" s="13" t="n"/>
      <c r="Q343" s="15" t="n">
        <v>7</v>
      </c>
      <c r="R343" s="16">
        <f>IF(COUNT(E343:Q343)=0,"",MIN(E343:Q343))</f>
        <v/>
      </c>
      <c r="S343" s="15">
        <f>IF(COUNT(E343:Q343)=0,"",LOOKUP(2,1/(E343:Q343&lt;&gt;""),E343:Q343))</f>
        <v/>
      </c>
      <c r="T343" s="17">
        <f>IF(R343="","",ROUND(R343*RESUMEN!$B$4,0))</f>
        <v/>
      </c>
      <c r="U343" s="18">
        <f>COUNT(E343:Q343)</f>
        <v/>
      </c>
    </row>
    <row r="344">
      <c r="A344" s="13" t="inlineStr">
        <is>
          <t>43047226540172</t>
        </is>
      </c>
      <c r="B344" s="13" t="inlineStr">
        <is>
          <t>ANILLO SIXTEEN STONE</t>
        </is>
      </c>
      <c r="C344" s="13" t="inlineStr">
        <is>
          <t>HIGH QUALITY 6</t>
        </is>
      </c>
      <c r="D344" s="14" t="inlineStr">
        <is>
          <t>Copper alloy</t>
        </is>
      </c>
      <c r="E344" s="15" t="n">
        <v>6</v>
      </c>
      <c r="F344" s="13" t="n"/>
      <c r="G344" s="13" t="n"/>
      <c r="H344" s="13" t="n"/>
      <c r="I344" s="13" t="n"/>
      <c r="J344" s="13" t="n"/>
      <c r="K344" s="13" t="n"/>
      <c r="L344" s="15" t="n">
        <v>6</v>
      </c>
      <c r="M344" s="13" t="n"/>
      <c r="N344" s="13" t="n"/>
      <c r="O344" s="13" t="n"/>
      <c r="P344" s="13" t="n"/>
      <c r="Q344" s="13" t="n"/>
      <c r="R344" s="16">
        <f>IF(COUNT(E344:Q344)=0,"",MIN(E344:Q344))</f>
        <v/>
      </c>
      <c r="S344" s="15">
        <f>IF(COUNT(E344:Q344)=0,"",LOOKUP(2,1/(E344:Q344&lt;&gt;""),E344:Q344))</f>
        <v/>
      </c>
      <c r="T344" s="17">
        <f>IF(R344="","",ROUND(R344*RESUMEN!$B$4,0))</f>
        <v/>
      </c>
      <c r="U344" s="18">
        <f>COUNT(E344:Q344)</f>
        <v/>
      </c>
    </row>
    <row r="345">
      <c r="A345" s="13" t="inlineStr">
        <is>
          <t>43047226572940</t>
        </is>
      </c>
      <c r="B345" s="13" t="inlineStr">
        <is>
          <t>ANILLO SIXTEEN STONE</t>
        </is>
      </c>
      <c r="C345" s="13" t="inlineStr">
        <is>
          <t>HIGH QUALITY 7</t>
        </is>
      </c>
      <c r="D345" s="14" t="inlineStr">
        <is>
          <t>Copper Alloy</t>
        </is>
      </c>
      <c r="E345" s="15" t="n">
        <v>6</v>
      </c>
      <c r="F345" s="15" t="n">
        <v>6</v>
      </c>
      <c r="G345" s="13" t="n"/>
      <c r="H345" s="13" t="n"/>
      <c r="I345" s="13" t="n"/>
      <c r="J345" s="15" t="n">
        <v>6</v>
      </c>
      <c r="K345" s="13" t="n"/>
      <c r="L345" s="13" t="n"/>
      <c r="M345" s="13" t="n"/>
      <c r="N345" s="15" t="n">
        <v>6</v>
      </c>
      <c r="O345" s="15" t="n">
        <v>6</v>
      </c>
      <c r="P345" s="13" t="n"/>
      <c r="Q345" s="15" t="n">
        <v>6</v>
      </c>
      <c r="R345" s="16">
        <f>IF(COUNT(E345:Q345)=0,"",MIN(E345:Q345))</f>
        <v/>
      </c>
      <c r="S345" s="15">
        <f>IF(COUNT(E345:Q345)=0,"",LOOKUP(2,1/(E345:Q345&lt;&gt;""),E345:Q345))</f>
        <v/>
      </c>
      <c r="T345" s="17">
        <f>IF(R345="","",ROUND(R345*RESUMEN!$B$4,0))</f>
        <v/>
      </c>
      <c r="U345" s="18">
        <f>COUNT(E345:Q345)</f>
        <v/>
      </c>
    </row>
    <row r="346">
      <c r="A346" s="13" t="inlineStr">
        <is>
          <t>43047226605708</t>
        </is>
      </c>
      <c r="B346" s="13" t="inlineStr">
        <is>
          <t>ANILLO SIXTEEN STONE</t>
        </is>
      </c>
      <c r="C346" s="13" t="inlineStr">
        <is>
          <t>HIGH QUALITY 8</t>
        </is>
      </c>
      <c r="D346" s="14" t="inlineStr">
        <is>
          <t>Copper alloy</t>
        </is>
      </c>
      <c r="E346" s="13" t="n"/>
      <c r="F346" s="13" t="n"/>
      <c r="G346" s="13" t="n"/>
      <c r="H346" s="13" t="n"/>
      <c r="I346" s="13" t="n"/>
      <c r="J346" s="13" t="n"/>
      <c r="K346" s="13" t="n"/>
      <c r="L346" s="15" t="n">
        <v>6</v>
      </c>
      <c r="M346" s="13" t="n"/>
      <c r="N346" s="13" t="n"/>
      <c r="O346" s="15" t="n">
        <v>6</v>
      </c>
      <c r="P346" s="15" t="n">
        <v>6</v>
      </c>
      <c r="Q346" s="13" t="n"/>
      <c r="R346" s="16">
        <f>IF(COUNT(E346:Q346)=0,"",MIN(E346:Q346))</f>
        <v/>
      </c>
      <c r="S346" s="15">
        <f>IF(COUNT(E346:Q346)=0,"",LOOKUP(2,1/(E346:Q346&lt;&gt;""),E346:Q346))</f>
        <v/>
      </c>
      <c r="T346" s="17">
        <f>IF(R346="","",ROUND(R346*RESUMEN!$B$4,0))</f>
        <v/>
      </c>
      <c r="U346" s="18">
        <f>COUNT(E346:Q346)</f>
        <v/>
      </c>
    </row>
    <row r="347">
      <c r="A347" s="13" t="inlineStr">
        <is>
          <t>43047226638476</t>
        </is>
      </c>
      <c r="B347" s="13" t="inlineStr">
        <is>
          <t>ANILLO SIXTEEN STONE</t>
        </is>
      </c>
      <c r="C347" s="13" t="inlineStr">
        <is>
          <t>HIGH QUALITY 9</t>
        </is>
      </c>
      <c r="D347" s="14" t="inlineStr">
        <is>
          <t>Copper Alloy</t>
        </is>
      </c>
      <c r="E347" s="15" t="n">
        <v>6</v>
      </c>
      <c r="F347" s="15" t="n">
        <v>6</v>
      </c>
      <c r="G347" s="13" t="n"/>
      <c r="H347" s="13" t="n"/>
      <c r="I347" s="13" t="n"/>
      <c r="J347" s="15" t="n">
        <v>6</v>
      </c>
      <c r="K347" s="13" t="n"/>
      <c r="L347" s="13" t="n"/>
      <c r="M347" s="13" t="n"/>
      <c r="N347" s="13" t="n"/>
      <c r="O347" s="13" t="n"/>
      <c r="P347" s="15" t="n">
        <v>6</v>
      </c>
      <c r="Q347" s="13" t="n"/>
      <c r="R347" s="16">
        <f>IF(COUNT(E347:Q347)=0,"",MIN(E347:Q347))</f>
        <v/>
      </c>
      <c r="S347" s="15">
        <f>IF(COUNT(E347:Q347)=0,"",LOOKUP(2,1/(E347:Q347&lt;&gt;""),E347:Q347))</f>
        <v/>
      </c>
      <c r="T347" s="17">
        <f>IF(R347="","",ROUND(R347*RESUMEN!$B$4,0))</f>
        <v/>
      </c>
      <c r="U347" s="18">
        <f>COUNT(E347:Q347)</f>
        <v/>
      </c>
    </row>
    <row r="348">
      <c r="A348" s="13" t="inlineStr">
        <is>
          <t>56481484246028</t>
        </is>
      </c>
      <c r="B348" s="13" t="inlineStr">
        <is>
          <t>ANILLO SIXTEEN STONE GOLD/RED</t>
        </is>
      </c>
      <c r="C348" s="13" t="inlineStr">
        <is>
          <t>6</t>
        </is>
      </c>
      <c r="D348" s="14" t="inlineStr">
        <is>
          <t>Copper alloy</t>
        </is>
      </c>
      <c r="E348" s="15" t="n">
        <v>6</v>
      </c>
      <c r="F348" s="13" t="n"/>
      <c r="G348" s="13" t="n"/>
      <c r="H348" s="15" t="n">
        <v>6</v>
      </c>
      <c r="I348" s="15" t="n">
        <v>6</v>
      </c>
      <c r="J348" s="13" t="n"/>
      <c r="K348" s="13" t="n"/>
      <c r="L348" s="15" t="n">
        <v>6</v>
      </c>
      <c r="M348" s="13" t="n"/>
      <c r="N348" s="13" t="n"/>
      <c r="O348" s="13" t="n"/>
      <c r="P348" s="15" t="n">
        <v>6</v>
      </c>
      <c r="Q348" s="13" t="n"/>
      <c r="R348" s="16">
        <f>IF(COUNT(E348:Q348)=0,"",MIN(E348:Q348))</f>
        <v/>
      </c>
      <c r="S348" s="15">
        <f>IF(COUNT(E348:Q348)=0,"",LOOKUP(2,1/(E348:Q348&lt;&gt;""),E348:Q348))</f>
        <v/>
      </c>
      <c r="T348" s="17">
        <f>IF(R348="","",ROUND(R348*RESUMEN!$B$4,0))</f>
        <v/>
      </c>
      <c r="U348" s="18">
        <f>COUNT(E348:Q348)</f>
        <v/>
      </c>
    </row>
    <row r="349">
      <c r="A349" s="13" t="inlineStr">
        <is>
          <t>56481484278796</t>
        </is>
      </c>
      <c r="B349" s="13" t="inlineStr">
        <is>
          <t>ANILLO SIXTEEN STONE GOLD/RED</t>
        </is>
      </c>
      <c r="C349" s="13" t="inlineStr">
        <is>
          <t>7</t>
        </is>
      </c>
      <c r="D349" s="14" t="inlineStr">
        <is>
          <t>Copper Alloy</t>
        </is>
      </c>
      <c r="E349" s="15" t="n">
        <v>6</v>
      </c>
      <c r="F349" s="15" t="n">
        <v>6</v>
      </c>
      <c r="G349" s="13" t="n"/>
      <c r="H349" s="15" t="n">
        <v>6</v>
      </c>
      <c r="I349" s="15" t="n">
        <v>6</v>
      </c>
      <c r="J349" s="15" t="n">
        <v>6</v>
      </c>
      <c r="K349" s="13" t="n"/>
      <c r="L349" s="15" t="n">
        <v>6</v>
      </c>
      <c r="M349" s="13" t="n"/>
      <c r="N349" s="13" t="n"/>
      <c r="O349" s="13" t="n"/>
      <c r="P349" s="13" t="n"/>
      <c r="Q349" s="15" t="n">
        <v>6</v>
      </c>
      <c r="R349" s="16">
        <f>IF(COUNT(E349:Q349)=0,"",MIN(E349:Q349))</f>
        <v/>
      </c>
      <c r="S349" s="15">
        <f>IF(COUNT(E349:Q349)=0,"",LOOKUP(2,1/(E349:Q349&lt;&gt;""),E349:Q349))</f>
        <v/>
      </c>
      <c r="T349" s="17">
        <f>IF(R349="","",ROUND(R349*RESUMEN!$B$4,0))</f>
        <v/>
      </c>
      <c r="U349" s="18">
        <f>COUNT(E349:Q349)</f>
        <v/>
      </c>
    </row>
    <row r="350">
      <c r="A350" s="13" t="inlineStr">
        <is>
          <t>56481484311564</t>
        </is>
      </c>
      <c r="B350" s="13" t="inlineStr">
        <is>
          <t>ANILLO SIXTEEN STONE GOLD/RED</t>
        </is>
      </c>
      <c r="C350" s="13" t="inlineStr">
        <is>
          <t>8</t>
        </is>
      </c>
      <c r="D350" s="14" t="inlineStr">
        <is>
          <t>Copper alloy</t>
        </is>
      </c>
      <c r="E350" s="13" t="n"/>
      <c r="F350" s="13" t="n"/>
      <c r="G350" s="13" t="n"/>
      <c r="H350" s="13" t="n"/>
      <c r="I350" s="15" t="n">
        <v>6</v>
      </c>
      <c r="J350" s="15" t="n">
        <v>6</v>
      </c>
      <c r="K350" s="13" t="n"/>
      <c r="L350" s="13" t="n"/>
      <c r="M350" s="15" t="n">
        <v>6</v>
      </c>
      <c r="N350" s="15" t="n">
        <v>6</v>
      </c>
      <c r="O350" s="15" t="n">
        <v>6</v>
      </c>
      <c r="P350" s="13" t="n"/>
      <c r="Q350" s="13" t="n"/>
      <c r="R350" s="16">
        <f>IF(COUNT(E350:Q350)=0,"",MIN(E350:Q350))</f>
        <v/>
      </c>
      <c r="S350" s="15">
        <f>IF(COUNT(E350:Q350)=0,"",LOOKUP(2,1/(E350:Q350&lt;&gt;""),E350:Q350))</f>
        <v/>
      </c>
      <c r="T350" s="17">
        <f>IF(R350="","",ROUND(R350*RESUMEN!$B$4,0))</f>
        <v/>
      </c>
      <c r="U350" s="18">
        <f>COUNT(E350:Q350)</f>
        <v/>
      </c>
    </row>
    <row r="351">
      <c r="A351" s="13" t="inlineStr">
        <is>
          <t>76843721024525</t>
        </is>
      </c>
      <c r="B351" s="13" t="inlineStr">
        <is>
          <t>ANILLO SIXTEEN STONE GOLD/RED</t>
        </is>
      </c>
      <c r="C351" s="13" t="inlineStr">
        <is>
          <t>9</t>
        </is>
      </c>
      <c r="D351" s="14" t="inlineStr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5" t="n">
        <v>6</v>
      </c>
      <c r="Q351" s="13" t="n"/>
      <c r="R351" s="16">
        <f>IF(COUNT(E351:Q351)=0,"",MIN(E351:Q351))</f>
        <v/>
      </c>
      <c r="S351" s="15">
        <f>IF(COUNT(E351:Q351)=0,"",LOOKUP(2,1/(E351:Q351&lt;&gt;""),E351:Q351))</f>
        <v/>
      </c>
      <c r="T351" s="17">
        <f>IF(R351="","",ROUND(R351*RESUMEN!$B$4,0))</f>
        <v/>
      </c>
      <c r="U351" s="18">
        <f>COUNT(E351:Q351)</f>
        <v/>
      </c>
    </row>
    <row r="352">
      <c r="A352" s="13" t="inlineStr">
        <is>
          <t>59109723011725</t>
        </is>
      </c>
      <c r="B352" s="13" t="inlineStr">
        <is>
          <t>ANILLO SIXTEEN STONE SCHLUM</t>
        </is>
      </c>
      <c r="C352" s="13" t="inlineStr">
        <is>
          <t>6</t>
        </is>
      </c>
      <c r="D352" s="14" t="inlineStr">
        <is>
          <t>copper alloy</t>
        </is>
      </c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5" t="n">
        <v>5.5</v>
      </c>
      <c r="Q352" s="13" t="n"/>
      <c r="R352" s="16">
        <f>IF(COUNT(E352:Q352)=0,"",MIN(E352:Q352))</f>
        <v/>
      </c>
      <c r="S352" s="15">
        <f>IF(COUNT(E352:Q352)=0,"",LOOKUP(2,1/(E352:Q352&lt;&gt;""),E352:Q352))</f>
        <v/>
      </c>
      <c r="T352" s="17">
        <f>IF(R352="","",ROUND(R352*RESUMEN!$B$4,0))</f>
        <v/>
      </c>
      <c r="U352" s="18">
        <f>COUNT(E352:Q352)</f>
        <v/>
      </c>
    </row>
    <row r="353">
      <c r="A353" s="13" t="inlineStr">
        <is>
          <t>59109723144493</t>
        </is>
      </c>
      <c r="B353" s="13" t="inlineStr">
        <is>
          <t>ANILLO SIXTEEN STONE SCHLUM</t>
        </is>
      </c>
      <c r="C353" s="13" t="inlineStr">
        <is>
          <t>7</t>
        </is>
      </c>
      <c r="D353" s="14" t="inlineStr">
        <is>
          <t>copper alloy</t>
        </is>
      </c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5" t="n">
        <v>5.5</v>
      </c>
      <c r="Q353" s="13" t="n"/>
      <c r="R353" s="16">
        <f>IF(COUNT(E353:Q353)=0,"",MIN(E353:Q353))</f>
        <v/>
      </c>
      <c r="S353" s="15">
        <f>IF(COUNT(E353:Q353)=0,"",LOOKUP(2,1/(E353:Q353&lt;&gt;""),E353:Q353))</f>
        <v/>
      </c>
      <c r="T353" s="17">
        <f>IF(R353="","",ROUND(R353*RESUMEN!$B$4,0))</f>
        <v/>
      </c>
      <c r="U353" s="18">
        <f>COUNT(E353:Q353)</f>
        <v/>
      </c>
    </row>
    <row r="354">
      <c r="A354" s="13" t="inlineStr">
        <is>
          <t>59109723277261</t>
        </is>
      </c>
      <c r="B354" s="13" t="inlineStr">
        <is>
          <t>ANILLO SIXTEEN STONE SCHLUM</t>
        </is>
      </c>
      <c r="C354" s="13" t="inlineStr">
        <is>
          <t>8</t>
        </is>
      </c>
      <c r="D354" s="14" t="inlineStr">
        <is>
          <t>copper alloy</t>
        </is>
      </c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5" t="n">
        <v>5.5</v>
      </c>
      <c r="Q354" s="13" t="n"/>
      <c r="R354" s="16">
        <f>IF(COUNT(E354:Q354)=0,"",MIN(E354:Q354))</f>
        <v/>
      </c>
      <c r="S354" s="15">
        <f>IF(COUNT(E354:Q354)=0,"",LOOKUP(2,1/(E354:Q354&lt;&gt;""),E354:Q354))</f>
        <v/>
      </c>
      <c r="T354" s="17">
        <f>IF(R354="","",ROUND(R354*RESUMEN!$B$4,0))</f>
        <v/>
      </c>
      <c r="U354" s="18">
        <f>COUNT(E354:Q354)</f>
        <v/>
      </c>
    </row>
    <row r="355">
      <c r="A355" s="13" t="inlineStr">
        <is>
          <t>2653019476748</t>
        </is>
      </c>
      <c r="B355" s="13" t="inlineStr">
        <is>
          <t>ANILLO SIXTEEN STONE SILVER</t>
        </is>
      </c>
      <c r="C355" s="13" t="inlineStr">
        <is>
          <t>HIGH QUALITY 5</t>
        </is>
      </c>
      <c r="D355" s="14" t="inlineStr">
        <is>
          <t>copper alloy</t>
        </is>
      </c>
      <c r="E355" s="15" t="n">
        <v>6</v>
      </c>
      <c r="F355" s="13" t="n"/>
      <c r="G355" s="13" t="n"/>
      <c r="H355" s="15" t="n">
        <v>6</v>
      </c>
      <c r="I355" s="15" t="n">
        <v>6</v>
      </c>
      <c r="J355" s="13" t="n"/>
      <c r="K355" s="13" t="n"/>
      <c r="L355" s="13" t="n"/>
      <c r="M355" s="13" t="n"/>
      <c r="N355" s="13" t="n"/>
      <c r="O355" s="13" t="n"/>
      <c r="P355" s="13" t="n"/>
      <c r="Q355" s="15" t="n">
        <v>6</v>
      </c>
      <c r="R355" s="16">
        <f>IF(COUNT(E355:Q355)=0,"",MIN(E355:Q355))</f>
        <v/>
      </c>
      <c r="S355" s="15">
        <f>IF(COUNT(E355:Q355)=0,"",LOOKUP(2,1/(E355:Q355&lt;&gt;""),E355:Q355))</f>
        <v/>
      </c>
      <c r="T355" s="17">
        <f>IF(R355="","",ROUND(R355*RESUMEN!$B$4,0))</f>
        <v/>
      </c>
      <c r="U355" s="18">
        <f>COUNT(E355:Q355)</f>
        <v/>
      </c>
    </row>
    <row r="356">
      <c r="A356" s="13" t="inlineStr">
        <is>
          <t>2653019509516</t>
        </is>
      </c>
      <c r="B356" s="13" t="inlineStr">
        <is>
          <t>ANILLO SIXTEEN STONE SILVER</t>
        </is>
      </c>
      <c r="C356" s="13" t="inlineStr">
        <is>
          <t>HIGH QUALITY 6</t>
        </is>
      </c>
      <c r="D356" s="14" t="inlineStr"/>
      <c r="E356" s="13" t="n"/>
      <c r="F356" s="13" t="n"/>
      <c r="G356" s="13" t="n"/>
      <c r="H356" s="15" t="n">
        <v>6</v>
      </c>
      <c r="I356" s="15" t="n">
        <v>6</v>
      </c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6">
        <f>IF(COUNT(E356:Q356)=0,"",MIN(E356:Q356))</f>
        <v/>
      </c>
      <c r="S356" s="15">
        <f>IF(COUNT(E356:Q356)=0,"",LOOKUP(2,1/(E356:Q356&lt;&gt;""),E356:Q356))</f>
        <v/>
      </c>
      <c r="T356" s="17">
        <f>IF(R356="","",ROUND(R356*RESUMEN!$B$4,0))</f>
        <v/>
      </c>
      <c r="U356" s="18">
        <f>COUNT(E356:Q356)</f>
        <v/>
      </c>
    </row>
    <row r="357">
      <c r="A357" s="13" t="inlineStr">
        <is>
          <t>2653019542284</t>
        </is>
      </c>
      <c r="B357" s="13" t="inlineStr">
        <is>
          <t>ANILLO SIXTEEN STONE SILVER</t>
        </is>
      </c>
      <c r="C357" s="13" t="inlineStr">
        <is>
          <t>HIGH QUALITY 7</t>
        </is>
      </c>
      <c r="D357" s="14" t="inlineStr"/>
      <c r="E357" s="13" t="n"/>
      <c r="F357" s="15" t="n">
        <v>6</v>
      </c>
      <c r="G357" s="13" t="n"/>
      <c r="H357" s="15" t="n">
        <v>6</v>
      </c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6">
        <f>IF(COUNT(E357:Q357)=0,"",MIN(E357:Q357))</f>
        <v/>
      </c>
      <c r="S357" s="15">
        <f>IF(COUNT(E357:Q357)=0,"",LOOKUP(2,1/(E357:Q357&lt;&gt;""),E357:Q357))</f>
        <v/>
      </c>
      <c r="T357" s="17">
        <f>IF(R357="","",ROUND(R357*RESUMEN!$B$4,0))</f>
        <v/>
      </c>
      <c r="U357" s="18">
        <f>COUNT(E357:Q357)</f>
        <v/>
      </c>
    </row>
    <row r="358">
      <c r="A358" s="13" t="inlineStr">
        <is>
          <t>2653028529932</t>
        </is>
      </c>
      <c r="B358" s="13" t="inlineStr">
        <is>
          <t>ANILLO SIXTEEN STONE SILVER</t>
        </is>
      </c>
      <c r="C358" s="13" t="inlineStr">
        <is>
          <t>HIGH QUALITY 8</t>
        </is>
      </c>
      <c r="D358" s="14" t="inlineStr"/>
      <c r="E358" s="13" t="n"/>
      <c r="F358" s="13" t="n"/>
      <c r="G358" s="13" t="n"/>
      <c r="H358" s="13" t="n"/>
      <c r="I358" s="13" t="n"/>
      <c r="J358" s="15" t="n">
        <v>6</v>
      </c>
      <c r="K358" s="13" t="n"/>
      <c r="L358" s="13" t="n"/>
      <c r="M358" s="13" t="n"/>
      <c r="N358" s="13" t="n"/>
      <c r="O358" s="13" t="n"/>
      <c r="P358" s="13" t="n"/>
      <c r="Q358" s="13" t="n"/>
      <c r="R358" s="16">
        <f>IF(COUNT(E358:Q358)=0,"",MIN(E358:Q358))</f>
        <v/>
      </c>
      <c r="S358" s="15">
        <f>IF(COUNT(E358:Q358)=0,"",LOOKUP(2,1/(E358:Q358&lt;&gt;""),E358:Q358))</f>
        <v/>
      </c>
      <c r="T358" s="17">
        <f>IF(R358="","",ROUND(R358*RESUMEN!$B$4,0))</f>
        <v/>
      </c>
      <c r="U358" s="18">
        <f>COUNT(E358:Q358)</f>
        <v/>
      </c>
    </row>
    <row r="359">
      <c r="A359" s="13" t="inlineStr">
        <is>
          <t>22214572663341</t>
        </is>
      </c>
      <c r="B359" s="13" t="inlineStr">
        <is>
          <t>ANILLO SIXTEEN STONE SILVER</t>
        </is>
      </c>
      <c r="C359" s="13" t="inlineStr">
        <is>
          <t>REGULAR 6</t>
        </is>
      </c>
      <c r="D359" s="14" t="inlineStr">
        <is>
          <t>nan</t>
        </is>
      </c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5" t="n">
        <v>6</v>
      </c>
      <c r="N359" s="13" t="n"/>
      <c r="O359" s="13" t="n"/>
      <c r="P359" s="13" t="n"/>
      <c r="Q359" s="13" t="n"/>
      <c r="R359" s="16">
        <f>IF(COUNT(E359:Q359)=0,"",MIN(E359:Q359))</f>
        <v/>
      </c>
      <c r="S359" s="15">
        <f>IF(COUNT(E359:Q359)=0,"",LOOKUP(2,1/(E359:Q359&lt;&gt;""),E359:Q359))</f>
        <v/>
      </c>
      <c r="T359" s="17">
        <f>IF(R359="","",ROUND(R359*RESUMEN!$B$4,0))</f>
        <v/>
      </c>
      <c r="U359" s="18">
        <f>COUNT(E359:Q359)</f>
        <v/>
      </c>
    </row>
    <row r="360">
      <c r="A360" s="13" t="inlineStr">
        <is>
          <t>43728116060268</t>
        </is>
      </c>
      <c r="B360" s="13" t="inlineStr">
        <is>
          <t>ANILLO SIXTEEN STONE SILVER</t>
        </is>
      </c>
      <c r="C360" s="13" t="inlineStr">
        <is>
          <t>REGULAR 7</t>
        </is>
      </c>
      <c r="D360" s="14" t="inlineStr">
        <is>
          <t>nan</t>
        </is>
      </c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5" t="n">
        <v>6</v>
      </c>
      <c r="N360" s="13" t="n"/>
      <c r="O360" s="13" t="n"/>
      <c r="P360" s="13" t="n"/>
      <c r="Q360" s="13" t="n"/>
      <c r="R360" s="16">
        <f>IF(COUNT(E360:Q360)=0,"",MIN(E360:Q360))</f>
        <v/>
      </c>
      <c r="S360" s="15">
        <f>IF(COUNT(E360:Q360)=0,"",LOOKUP(2,1/(E360:Q360&lt;&gt;""),E360:Q360))</f>
        <v/>
      </c>
      <c r="T360" s="17">
        <f>IF(R360="","",ROUND(R360*RESUMEN!$B$4,0))</f>
        <v/>
      </c>
      <c r="U360" s="18">
        <f>COUNT(E360:Q360)</f>
        <v/>
      </c>
    </row>
    <row r="361">
      <c r="A361" s="13" t="inlineStr">
        <is>
          <t>43728116293036</t>
        </is>
      </c>
      <c r="B361" s="13" t="inlineStr">
        <is>
          <t>ANILLO SIXTEEN STONE SILVER</t>
        </is>
      </c>
      <c r="C361" s="13" t="inlineStr">
        <is>
          <t>REGULAR 8</t>
        </is>
      </c>
      <c r="D361" s="14" t="inlineStr">
        <is>
          <t>nan</t>
        </is>
      </c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5" t="n">
        <v>6</v>
      </c>
      <c r="N361" s="13" t="n"/>
      <c r="O361" s="13" t="n"/>
      <c r="P361" s="13" t="n"/>
      <c r="Q361" s="13" t="n"/>
      <c r="R361" s="16">
        <f>IF(COUNT(E361:Q361)=0,"",MIN(E361:Q361))</f>
        <v/>
      </c>
      <c r="S361" s="15">
        <f>IF(COUNT(E361:Q361)=0,"",LOOKUP(2,1/(E361:Q361&lt;&gt;""),E361:Q361))</f>
        <v/>
      </c>
      <c r="T361" s="17">
        <f>IF(R361="","",ROUND(R361*RESUMEN!$B$4,0))</f>
        <v/>
      </c>
      <c r="U361" s="18">
        <f>COUNT(E361:Q361)</f>
        <v/>
      </c>
    </row>
    <row r="362">
      <c r="A362" s="13" t="inlineStr">
        <is>
          <t>29736673163725</t>
        </is>
      </c>
      <c r="B362" s="13" t="inlineStr">
        <is>
          <t>ANILLO T BONE SILVER</t>
        </is>
      </c>
      <c r="C362" s="13" t="inlineStr">
        <is>
          <t>Default Title</t>
        </is>
      </c>
      <c r="D362" s="14" t="inlineStr"/>
      <c r="E362" s="13" t="n"/>
      <c r="F362" s="13" t="n"/>
      <c r="G362" s="13" t="n"/>
      <c r="H362" s="13" t="n"/>
      <c r="I362" s="13" t="n"/>
      <c r="J362" s="13" t="n"/>
      <c r="K362" s="15" t="n">
        <v>8</v>
      </c>
      <c r="L362" s="13" t="n"/>
      <c r="M362" s="13" t="n"/>
      <c r="N362" s="13" t="n"/>
      <c r="O362" s="13" t="n"/>
      <c r="P362" s="13" t="n"/>
      <c r="Q362" s="13" t="n"/>
      <c r="R362" s="16">
        <f>IF(COUNT(E362:Q362)=0,"",MIN(E362:Q362))</f>
        <v/>
      </c>
      <c r="S362" s="15">
        <f>IF(COUNT(E362:Q362)=0,"",LOOKUP(2,1/(E362:Q362&lt;&gt;""),E362:Q362))</f>
        <v/>
      </c>
      <c r="T362" s="17">
        <f>IF(R362="","",ROUND(R362*RESUMEN!$B$4,0))</f>
        <v/>
      </c>
      <c r="U362" s="18">
        <f>COUNT(E362:Q362)</f>
        <v/>
      </c>
    </row>
    <row r="363">
      <c r="A363" s="13" t="inlineStr">
        <is>
          <t>59109722620205</t>
        </is>
      </c>
      <c r="B363" s="13" t="inlineStr">
        <is>
          <t>ANILLO T BUGS BUTTERFLY</t>
        </is>
      </c>
      <c r="C363" s="13" t="inlineStr">
        <is>
          <t>6</t>
        </is>
      </c>
      <c r="D363" s="14" t="inlineStr">
        <is>
          <t>copper alloy</t>
        </is>
      </c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5" t="n">
        <v>5</v>
      </c>
      <c r="Q363" s="13" t="n"/>
      <c r="R363" s="16">
        <f>IF(COUNT(E363:Q363)=0,"",MIN(E363:Q363))</f>
        <v/>
      </c>
      <c r="S363" s="15">
        <f>IF(COUNT(E363:Q363)=0,"",LOOKUP(2,1/(E363:Q363&lt;&gt;""),E363:Q363))</f>
        <v/>
      </c>
      <c r="T363" s="17">
        <f>IF(R363="","",ROUND(R363*RESUMEN!$B$4,0))</f>
        <v/>
      </c>
      <c r="U363" s="18">
        <f>COUNT(E363:Q363)</f>
        <v/>
      </c>
    </row>
    <row r="364">
      <c r="A364" s="13" t="inlineStr">
        <is>
          <t>59109722752973</t>
        </is>
      </c>
      <c r="B364" s="13" t="inlineStr">
        <is>
          <t>ANILLO T BUGS BUTTERFLY</t>
        </is>
      </c>
      <c r="C364" s="13" t="inlineStr">
        <is>
          <t>7</t>
        </is>
      </c>
      <c r="D364" s="14" t="inlineStr">
        <is>
          <t>copper alloy</t>
        </is>
      </c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5" t="n">
        <v>5</v>
      </c>
      <c r="Q364" s="13" t="n"/>
      <c r="R364" s="16">
        <f>IF(COUNT(E364:Q364)=0,"",MIN(E364:Q364))</f>
        <v/>
      </c>
      <c r="S364" s="15">
        <f>IF(COUNT(E364:Q364)=0,"",LOOKUP(2,1/(E364:Q364&lt;&gt;""),E364:Q364))</f>
        <v/>
      </c>
      <c r="T364" s="17">
        <f>IF(R364="","",ROUND(R364*RESUMEN!$B$4,0))</f>
        <v/>
      </c>
      <c r="U364" s="18">
        <f>COUNT(E364:Q364)</f>
        <v/>
      </c>
    </row>
    <row r="365">
      <c r="A365" s="13" t="inlineStr">
        <is>
          <t>29736662373773</t>
        </is>
      </c>
      <c r="B365" s="13" t="inlineStr">
        <is>
          <t>ANILLO T CIERRE DOBLE SILVER</t>
        </is>
      </c>
      <c r="C365" s="13" t="inlineStr">
        <is>
          <t>6</t>
        </is>
      </c>
      <c r="D365" s="14" t="inlineStr"/>
      <c r="E365" s="13" t="n"/>
      <c r="F365" s="13" t="n"/>
      <c r="G365" s="13" t="n"/>
      <c r="H365" s="13" t="n"/>
      <c r="I365" s="13" t="n"/>
      <c r="J365" s="13" t="n"/>
      <c r="K365" s="15" t="n">
        <v>5</v>
      </c>
      <c r="L365" s="13" t="n"/>
      <c r="M365" s="13" t="n"/>
      <c r="N365" s="13" t="n"/>
      <c r="O365" s="13" t="n"/>
      <c r="P365" s="13" t="n"/>
      <c r="Q365" s="13" t="n"/>
      <c r="R365" s="16">
        <f>IF(COUNT(E365:Q365)=0,"",MIN(E365:Q365))</f>
        <v/>
      </c>
      <c r="S365" s="15">
        <f>IF(COUNT(E365:Q365)=0,"",LOOKUP(2,1/(E365:Q365&lt;&gt;""),E365:Q365))</f>
        <v/>
      </c>
      <c r="T365" s="17">
        <f>IF(R365="","",ROUND(R365*RESUMEN!$B$4,0))</f>
        <v/>
      </c>
      <c r="U365" s="18">
        <f>COUNT(E365:Q365)</f>
        <v/>
      </c>
    </row>
    <row r="366">
      <c r="A366" s="13" t="inlineStr">
        <is>
          <t>29736662406541</t>
        </is>
      </c>
      <c r="B366" s="13" t="inlineStr">
        <is>
          <t>ANILLO T CIERRE DOBLE SILVER</t>
        </is>
      </c>
      <c r="C366" s="13" t="inlineStr">
        <is>
          <t>8</t>
        </is>
      </c>
      <c r="D366" s="14" t="inlineStr"/>
      <c r="E366" s="13" t="n"/>
      <c r="F366" s="13" t="n"/>
      <c r="G366" s="13" t="n"/>
      <c r="H366" s="13" t="n"/>
      <c r="I366" s="13" t="n"/>
      <c r="J366" s="13" t="n"/>
      <c r="K366" s="15" t="n">
        <v>5</v>
      </c>
      <c r="L366" s="13" t="n"/>
      <c r="M366" s="13" t="n"/>
      <c r="N366" s="13" t="n"/>
      <c r="O366" s="13" t="n"/>
      <c r="P366" s="13" t="n"/>
      <c r="Q366" s="13" t="n"/>
      <c r="R366" s="16">
        <f>IF(COUNT(E366:Q366)=0,"",MIN(E366:Q366))</f>
        <v/>
      </c>
      <c r="S366" s="15">
        <f>IF(COUNT(E366:Q366)=0,"",LOOKUP(2,1/(E366:Q366&lt;&gt;""),E366:Q366))</f>
        <v/>
      </c>
      <c r="T366" s="17">
        <f>IF(R366="","",ROUND(R366*RESUMEN!$B$4,0))</f>
        <v/>
      </c>
      <c r="U366" s="18">
        <f>COUNT(E366:Q366)</f>
        <v/>
      </c>
    </row>
    <row r="367">
      <c r="A367" s="13" t="inlineStr">
        <is>
          <t>668eee497dfb4</t>
        </is>
      </c>
      <c r="B367" s="13" t="inlineStr">
        <is>
          <t>ANILLO T CON TURQUESA Y ZIRCONIA</t>
        </is>
      </c>
      <c r="C367" s="13" t="inlineStr">
        <is>
          <t>AJUSTABLE</t>
        </is>
      </c>
      <c r="D367" s="14" t="inlineStr">
        <is>
          <t>Copper Alloy</t>
        </is>
      </c>
      <c r="E367" s="13" t="n"/>
      <c r="F367" s="15" t="n">
        <v>5</v>
      </c>
      <c r="G367" s="13" t="n"/>
      <c r="H367" s="13" t="n"/>
      <c r="I367" s="15" t="n">
        <v>5</v>
      </c>
      <c r="J367" s="15" t="n">
        <v>5</v>
      </c>
      <c r="K367" s="13" t="n"/>
      <c r="L367" s="13" t="n"/>
      <c r="M367" s="13" t="n"/>
      <c r="N367" s="15" t="n">
        <v>5</v>
      </c>
      <c r="O367" s="13" t="n"/>
      <c r="P367" s="15" t="n">
        <v>5</v>
      </c>
      <c r="Q367" s="13" t="n"/>
      <c r="R367" s="16">
        <f>IF(COUNT(E367:Q367)=0,"",MIN(E367:Q367))</f>
        <v/>
      </c>
      <c r="S367" s="15">
        <f>IF(COUNT(E367:Q367)=0,"",LOOKUP(2,1/(E367:Q367&lt;&gt;""),E367:Q367))</f>
        <v/>
      </c>
      <c r="T367" s="17">
        <f>IF(R367="","",ROUND(R367*RESUMEN!$B$4,0))</f>
        <v/>
      </c>
      <c r="U367" s="18">
        <f>COUNT(E367:Q367)</f>
        <v/>
      </c>
    </row>
    <row r="368">
      <c r="A368" s="13" t="inlineStr">
        <is>
          <t>71036879166988</t>
        </is>
      </c>
      <c r="B368" s="13" t="inlineStr">
        <is>
          <t>ANILLO T DE COMPROMISO</t>
        </is>
      </c>
      <c r="C368" s="13" t="inlineStr">
        <is>
          <t>6</t>
        </is>
      </c>
      <c r="D368" s="14" t="inlineStr">
        <is>
          <t>copper alloy</t>
        </is>
      </c>
      <c r="E368" s="15" t="n">
        <v>5</v>
      </c>
      <c r="F368" s="13" t="n"/>
      <c r="G368" s="13" t="n"/>
      <c r="H368" s="15" t="n">
        <v>5</v>
      </c>
      <c r="I368" s="15" t="n">
        <v>5</v>
      </c>
      <c r="J368" s="15" t="n">
        <v>5</v>
      </c>
      <c r="K368" s="13" t="n"/>
      <c r="L368" s="15" t="n">
        <v>5</v>
      </c>
      <c r="M368" s="13" t="n"/>
      <c r="N368" s="13" t="n"/>
      <c r="O368" s="15" t="n">
        <v>5</v>
      </c>
      <c r="P368" s="13" t="n"/>
      <c r="Q368" s="13" t="n"/>
      <c r="R368" s="16">
        <f>IF(COUNT(E368:Q368)=0,"",MIN(E368:Q368))</f>
        <v/>
      </c>
      <c r="S368" s="15">
        <f>IF(COUNT(E368:Q368)=0,"",LOOKUP(2,1/(E368:Q368&lt;&gt;""),E368:Q368))</f>
        <v/>
      </c>
      <c r="T368" s="17">
        <f>IF(R368="","",ROUND(R368*RESUMEN!$B$4,0))</f>
        <v/>
      </c>
      <c r="U368" s="18">
        <f>COUNT(E368:Q368)</f>
        <v/>
      </c>
    </row>
    <row r="369">
      <c r="A369" s="13" t="inlineStr">
        <is>
          <t>71036889199756</t>
        </is>
      </c>
      <c r="B369" s="13" t="inlineStr">
        <is>
          <t>ANILLO T DE COMPROMISO</t>
        </is>
      </c>
      <c r="C369" s="13" t="inlineStr">
        <is>
          <t>7</t>
        </is>
      </c>
      <c r="D369" s="14" t="inlineStr">
        <is>
          <t>Copper Alloy</t>
        </is>
      </c>
      <c r="E369" s="15" t="n">
        <v>5</v>
      </c>
      <c r="F369" s="13" t="n"/>
      <c r="G369" s="13" t="n"/>
      <c r="H369" s="13" t="n"/>
      <c r="I369" s="15" t="n">
        <v>5</v>
      </c>
      <c r="J369" s="15" t="n">
        <v>5</v>
      </c>
      <c r="K369" s="13" t="n"/>
      <c r="L369" s="13" t="n"/>
      <c r="M369" s="13" t="n"/>
      <c r="N369" s="13" t="n"/>
      <c r="O369" s="15" t="n">
        <v>5</v>
      </c>
      <c r="P369" s="13" t="n"/>
      <c r="Q369" s="13" t="n"/>
      <c r="R369" s="16">
        <f>IF(COUNT(E369:Q369)=0,"",MIN(E369:Q369))</f>
        <v/>
      </c>
      <c r="S369" s="15">
        <f>IF(COUNT(E369:Q369)=0,"",LOOKUP(2,1/(E369:Q369&lt;&gt;""),E369:Q369))</f>
        <v/>
      </c>
      <c r="T369" s="17">
        <f>IF(R369="","",ROUND(R369*RESUMEN!$B$4,0))</f>
        <v/>
      </c>
      <c r="U369" s="18">
        <f>COUNT(E369:Q369)</f>
        <v/>
      </c>
    </row>
    <row r="370">
      <c r="A370" s="13" t="inlineStr">
        <is>
          <t>71036889232524</t>
        </is>
      </c>
      <c r="B370" s="13" t="inlineStr">
        <is>
          <t>ANILLO T DE COMPROMISO</t>
        </is>
      </c>
      <c r="C370" s="13" t="inlineStr">
        <is>
          <t>8</t>
        </is>
      </c>
      <c r="D370" s="14" t="inlineStr">
        <is>
          <t>Copper Alloy</t>
        </is>
      </c>
      <c r="E370" s="15" t="n">
        <v>5</v>
      </c>
      <c r="F370" s="13" t="n"/>
      <c r="G370" s="13" t="n"/>
      <c r="H370" s="13" t="n"/>
      <c r="I370" s="13" t="n"/>
      <c r="J370" s="13" t="n"/>
      <c r="K370" s="13" t="n"/>
      <c r="L370" s="15" t="n">
        <v>5</v>
      </c>
      <c r="M370" s="13" t="n"/>
      <c r="N370" s="13" t="n"/>
      <c r="O370" s="15" t="n">
        <v>5</v>
      </c>
      <c r="P370" s="13" t="n"/>
      <c r="Q370" s="15" t="n">
        <v>5</v>
      </c>
      <c r="R370" s="16">
        <f>IF(COUNT(E370:Q370)=0,"",MIN(E370:Q370))</f>
        <v/>
      </c>
      <c r="S370" s="15">
        <f>IF(COUNT(E370:Q370)=0,"",LOOKUP(2,1/(E370:Q370&lt;&gt;""),E370:Q370))</f>
        <v/>
      </c>
      <c r="T370" s="17">
        <f>IF(R370="","",ROUND(R370*RESUMEN!$B$4,0))</f>
        <v/>
      </c>
      <c r="U370" s="18">
        <f>COUNT(E370:Q370)</f>
        <v/>
      </c>
    </row>
    <row r="371">
      <c r="A371" s="13" t="inlineStr">
        <is>
          <t>86347033042765</t>
        </is>
      </c>
      <c r="B371" s="13" t="inlineStr">
        <is>
          <t>ANILLO T ENTRELAZDOS SILVER</t>
        </is>
      </c>
      <c r="C371" s="13" t="inlineStr">
        <is>
          <t>7</t>
        </is>
      </c>
      <c r="D371" s="14" t="inlineStr">
        <is>
          <t>Copper alloy</t>
        </is>
      </c>
      <c r="E371" s="13" t="n"/>
      <c r="F371" s="13" t="n"/>
      <c r="G371" s="15" t="n">
        <v>8.99</v>
      </c>
      <c r="H371" s="13" t="n"/>
      <c r="I371" s="13" t="n"/>
      <c r="J371" s="13" t="n"/>
      <c r="K371" s="13" t="n"/>
      <c r="L371" s="15" t="n">
        <v>6</v>
      </c>
      <c r="M371" s="13" t="n"/>
      <c r="N371" s="13" t="n"/>
      <c r="O371" s="13" t="n"/>
      <c r="P371" s="13" t="n"/>
      <c r="Q371" s="13" t="n"/>
      <c r="R371" s="16">
        <f>IF(COUNT(E371:Q371)=0,"",MIN(E371:Q371))</f>
        <v/>
      </c>
      <c r="S371" s="15">
        <f>IF(COUNT(E371:Q371)=0,"",LOOKUP(2,1/(E371:Q371&lt;&gt;""),E371:Q371))</f>
        <v/>
      </c>
      <c r="T371" s="17">
        <f>IF(R371="","",ROUND(R371*RESUMEN!$B$4,0))</f>
        <v/>
      </c>
      <c r="U371" s="18">
        <f>COUNT(E371:Q371)</f>
        <v/>
      </c>
    </row>
    <row r="372">
      <c r="A372" s="13" t="inlineStr">
        <is>
          <t>86347033175533</t>
        </is>
      </c>
      <c r="B372" s="13" t="inlineStr">
        <is>
          <t>ANILLO T ENTRELAZDOS SILVER</t>
        </is>
      </c>
      <c r="C372" s="13" t="inlineStr">
        <is>
          <t>8</t>
        </is>
      </c>
      <c r="D372" s="14" t="inlineStr">
        <is>
          <t>Copper alloy</t>
        </is>
      </c>
      <c r="E372" s="13" t="n"/>
      <c r="F372" s="13" t="n"/>
      <c r="G372" s="15" t="n">
        <v>8.99</v>
      </c>
      <c r="H372" s="13" t="n"/>
      <c r="I372" s="13" t="n"/>
      <c r="J372" s="13" t="n"/>
      <c r="K372" s="13" t="n"/>
      <c r="L372" s="13" t="n"/>
      <c r="M372" s="13" t="n"/>
      <c r="N372" s="15" t="n">
        <v>3</v>
      </c>
      <c r="O372" s="13" t="n"/>
      <c r="P372" s="13" t="n"/>
      <c r="Q372" s="13" t="n"/>
      <c r="R372" s="16">
        <f>IF(COUNT(E372:Q372)=0,"",MIN(E372:Q372))</f>
        <v/>
      </c>
      <c r="S372" s="15">
        <f>IF(COUNT(E372:Q372)=0,"",LOOKUP(2,1/(E372:Q372&lt;&gt;""),E372:Q372))</f>
        <v/>
      </c>
      <c r="T372" s="17">
        <f>IF(R372="","",ROUND(R372*RESUMEN!$B$4,0))</f>
        <v/>
      </c>
      <c r="U372" s="18">
        <f>COUNT(E372:Q372)</f>
        <v/>
      </c>
    </row>
    <row r="373">
      <c r="A373" s="13" t="inlineStr">
        <is>
          <t>668eecd447a15</t>
        </is>
      </c>
      <c r="B373" s="13" t="inlineStr">
        <is>
          <t>ANILLO T GOLD</t>
        </is>
      </c>
      <c r="C373" s="13" t="inlineStr">
        <is>
          <t>6</t>
        </is>
      </c>
      <c r="D373" s="14" t="inlineStr">
        <is>
          <t>Stainless Stee</t>
        </is>
      </c>
      <c r="E373" s="15" t="n">
        <v>5</v>
      </c>
      <c r="F373" s="13" t="n"/>
      <c r="G373" s="13" t="n"/>
      <c r="H373" s="15" t="n">
        <v>5</v>
      </c>
      <c r="I373" s="15" t="n">
        <v>5</v>
      </c>
      <c r="J373" s="13" t="n"/>
      <c r="K373" s="13" t="n"/>
      <c r="L373" s="13" t="n"/>
      <c r="M373" s="13" t="n"/>
      <c r="N373" s="13" t="n"/>
      <c r="O373" s="15" t="n">
        <v>5</v>
      </c>
      <c r="P373" s="15" t="n">
        <v>5</v>
      </c>
      <c r="Q373" s="13" t="n"/>
      <c r="R373" s="16">
        <f>IF(COUNT(E373:Q373)=0,"",MIN(E373:Q373))</f>
        <v/>
      </c>
      <c r="S373" s="15">
        <f>IF(COUNT(E373:Q373)=0,"",LOOKUP(2,1/(E373:Q373&lt;&gt;""),E373:Q373))</f>
        <v/>
      </c>
      <c r="T373" s="17">
        <f>IF(R373="","",ROUND(R373*RESUMEN!$B$4,0))</f>
        <v/>
      </c>
      <c r="U373" s="18">
        <f>COUNT(E373:Q373)</f>
        <v/>
      </c>
    </row>
    <row r="374">
      <c r="A374" s="13" t="inlineStr">
        <is>
          <t>668eecd4df850</t>
        </is>
      </c>
      <c r="B374" s="13" t="inlineStr">
        <is>
          <t>ANILLO T GOLD</t>
        </is>
      </c>
      <c r="C374" s="13" t="inlineStr">
        <is>
          <t>7</t>
        </is>
      </c>
      <c r="D374" s="14" t="inlineStr">
        <is>
          <t>Stainless Stee</t>
        </is>
      </c>
      <c r="E374" s="15" t="n">
        <v>5</v>
      </c>
      <c r="F374" s="13" t="n"/>
      <c r="G374" s="13" t="n"/>
      <c r="H374" s="15" t="n">
        <v>5</v>
      </c>
      <c r="I374" s="15" t="n">
        <v>5</v>
      </c>
      <c r="J374" s="13" t="n"/>
      <c r="K374" s="13" t="n"/>
      <c r="L374" s="13" t="n"/>
      <c r="M374" s="15" t="n">
        <v>5</v>
      </c>
      <c r="N374" s="13" t="n"/>
      <c r="O374" s="13" t="n"/>
      <c r="P374" s="15" t="n">
        <v>5</v>
      </c>
      <c r="Q374" s="15" t="n">
        <v>5</v>
      </c>
      <c r="R374" s="16">
        <f>IF(COUNT(E374:Q374)=0,"",MIN(E374:Q374))</f>
        <v/>
      </c>
      <c r="S374" s="15">
        <f>IF(COUNT(E374:Q374)=0,"",LOOKUP(2,1/(E374:Q374&lt;&gt;""),E374:Q374))</f>
        <v/>
      </c>
      <c r="T374" s="17">
        <f>IF(R374="","",ROUND(R374*RESUMEN!$B$4,0))</f>
        <v/>
      </c>
      <c r="U374" s="18">
        <f>COUNT(E374:Q374)</f>
        <v/>
      </c>
    </row>
    <row r="375">
      <c r="A375" s="13" t="inlineStr">
        <is>
          <t>668eecd5a989f</t>
        </is>
      </c>
      <c r="B375" s="13" t="inlineStr">
        <is>
          <t>ANILLO T GOLD</t>
        </is>
      </c>
      <c r="C375" s="13" t="inlineStr">
        <is>
          <t>8</t>
        </is>
      </c>
      <c r="D375" s="14" t="inlineStr">
        <is>
          <t>Stainless Stee</t>
        </is>
      </c>
      <c r="E375" s="15" t="n">
        <v>5</v>
      </c>
      <c r="F375" s="13" t="n"/>
      <c r="G375" s="13" t="n"/>
      <c r="H375" s="13" t="n"/>
      <c r="I375" s="15" t="n">
        <v>5</v>
      </c>
      <c r="J375" s="13" t="n"/>
      <c r="K375" s="13" t="n"/>
      <c r="L375" s="13" t="n"/>
      <c r="M375" s="13" t="n"/>
      <c r="N375" s="13" t="n"/>
      <c r="O375" s="15" t="n">
        <v>5</v>
      </c>
      <c r="P375" s="13" t="n"/>
      <c r="Q375" s="15" t="n">
        <v>5</v>
      </c>
      <c r="R375" s="16">
        <f>IF(COUNT(E375:Q375)=0,"",MIN(E375:Q375))</f>
        <v/>
      </c>
      <c r="S375" s="15">
        <f>IF(COUNT(E375:Q375)=0,"",LOOKUP(2,1/(E375:Q375&lt;&gt;""),E375:Q375))</f>
        <v/>
      </c>
      <c r="T375" s="17">
        <f>IF(R375="","",ROUND(R375*RESUMEN!$B$4,0))</f>
        <v/>
      </c>
      <c r="U375" s="18">
        <f>COUNT(E375:Q375)</f>
        <v/>
      </c>
    </row>
    <row r="376">
      <c r="A376" s="13" t="inlineStr">
        <is>
          <t>59109722815117</t>
        </is>
      </c>
      <c r="B376" s="13" t="inlineStr">
        <is>
          <t>ANILLO T LADY BUG</t>
        </is>
      </c>
      <c r="C376" s="13" t="inlineStr">
        <is>
          <t>6</t>
        </is>
      </c>
      <c r="D376" s="14" t="inlineStr">
        <is>
          <t>copper alloy</t>
        </is>
      </c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5" t="n">
        <v>5</v>
      </c>
      <c r="Q376" s="13" t="n"/>
      <c r="R376" s="16">
        <f>IF(COUNT(E376:Q376)=0,"",MIN(E376:Q376))</f>
        <v/>
      </c>
      <c r="S376" s="15">
        <f>IF(COUNT(E376:Q376)=0,"",LOOKUP(2,1/(E376:Q376&lt;&gt;""),E376:Q376))</f>
        <v/>
      </c>
      <c r="T376" s="17">
        <f>IF(R376="","",ROUND(R376*RESUMEN!$B$4,0))</f>
        <v/>
      </c>
      <c r="U376" s="18">
        <f>COUNT(E376:Q376)</f>
        <v/>
      </c>
    </row>
    <row r="377">
      <c r="A377" s="13" t="inlineStr">
        <is>
          <t>59109722947885</t>
        </is>
      </c>
      <c r="B377" s="13" t="inlineStr">
        <is>
          <t>ANILLO T LADY BUG</t>
        </is>
      </c>
      <c r="C377" s="13" t="inlineStr">
        <is>
          <t>7</t>
        </is>
      </c>
      <c r="D377" s="14" t="inlineStr">
        <is>
          <t>copper alloy</t>
        </is>
      </c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5" t="n">
        <v>5</v>
      </c>
      <c r="Q377" s="13" t="n"/>
      <c r="R377" s="16">
        <f>IF(COUNT(E377:Q377)=0,"",MIN(E377:Q377))</f>
        <v/>
      </c>
      <c r="S377" s="15">
        <f>IF(COUNT(E377:Q377)=0,"",LOOKUP(2,1/(E377:Q377&lt;&gt;""),E377:Q377))</f>
        <v/>
      </c>
      <c r="T377" s="17">
        <f>IF(R377="","",ROUND(R377*RESUMEN!$B$4,0))</f>
        <v/>
      </c>
      <c r="U377" s="18">
        <f>COUNT(E377:Q377)</f>
        <v/>
      </c>
    </row>
    <row r="378">
      <c r="A378" s="13" t="inlineStr">
        <is>
          <t>59109722426989</t>
        </is>
      </c>
      <c r="B378" s="13" t="inlineStr">
        <is>
          <t>ANILLO T LOVE HEART</t>
        </is>
      </c>
      <c r="C378" s="13" t="inlineStr">
        <is>
          <t>6</t>
        </is>
      </c>
      <c r="D378" s="14" t="inlineStr">
        <is>
          <t>copper alloy</t>
        </is>
      </c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5" t="n">
        <v>5.5</v>
      </c>
      <c r="Q378" s="13" t="n"/>
      <c r="R378" s="16">
        <f>IF(COUNT(E378:Q378)=0,"",MIN(E378:Q378))</f>
        <v/>
      </c>
      <c r="S378" s="15">
        <f>IF(COUNT(E378:Q378)=0,"",LOOKUP(2,1/(E378:Q378&lt;&gt;""),E378:Q378))</f>
        <v/>
      </c>
      <c r="T378" s="17">
        <f>IF(R378="","",ROUND(R378*RESUMEN!$B$4,0))</f>
        <v/>
      </c>
      <c r="U378" s="18">
        <f>COUNT(E378:Q378)</f>
        <v/>
      </c>
    </row>
    <row r="379">
      <c r="A379" s="13" t="inlineStr">
        <is>
          <t>59109722559757</t>
        </is>
      </c>
      <c r="B379" s="13" t="inlineStr">
        <is>
          <t>ANILLO T LOVE HEART</t>
        </is>
      </c>
      <c r="C379" s="13" t="inlineStr">
        <is>
          <t>7</t>
        </is>
      </c>
      <c r="D379" s="14" t="inlineStr">
        <is>
          <t>copper alloy</t>
        </is>
      </c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5" t="n">
        <v>5.5</v>
      </c>
      <c r="Q379" s="13" t="n"/>
      <c r="R379" s="16">
        <f>IF(COUNT(E379:Q379)=0,"",MIN(E379:Q379))</f>
        <v/>
      </c>
      <c r="S379" s="15">
        <f>IF(COUNT(E379:Q379)=0,"",LOOKUP(2,1/(E379:Q379&lt;&gt;""),E379:Q379))</f>
        <v/>
      </c>
      <c r="T379" s="17">
        <f>IF(R379="","",ROUND(R379*RESUMEN!$B$4,0))</f>
        <v/>
      </c>
      <c r="U379" s="18">
        <f>COUNT(E379:Q379)</f>
        <v/>
      </c>
    </row>
    <row r="380">
      <c r="A380" s="13" t="inlineStr">
        <is>
          <t>59109722266541</t>
        </is>
      </c>
      <c r="B380" s="13" t="inlineStr">
        <is>
          <t>ANILLO T PADLOCK SILVER</t>
        </is>
      </c>
      <c r="C380" s="13" t="inlineStr">
        <is>
          <t>7</t>
        </is>
      </c>
      <c r="D380" s="14" t="inlineStr">
        <is>
          <t>copper alloy</t>
        </is>
      </c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5" t="n">
        <v>5</v>
      </c>
      <c r="Q380" s="13" t="n"/>
      <c r="R380" s="16">
        <f>IF(COUNT(E380:Q380)=0,"",MIN(E380:Q380))</f>
        <v/>
      </c>
      <c r="S380" s="15">
        <f>IF(COUNT(E380:Q380)=0,"",LOOKUP(2,1/(E380:Q380&lt;&gt;""),E380:Q380))</f>
        <v/>
      </c>
      <c r="T380" s="17">
        <f>IF(R380="","",ROUND(R380*RESUMEN!$B$4,0))</f>
        <v/>
      </c>
      <c r="U380" s="18">
        <f>COUNT(E380:Q380)</f>
        <v/>
      </c>
    </row>
    <row r="381">
      <c r="A381" s="13" t="inlineStr">
        <is>
          <t>59109722399309</t>
        </is>
      </c>
      <c r="B381" s="13" t="inlineStr">
        <is>
          <t>ANILLO T PADLOCK SILVER</t>
        </is>
      </c>
      <c r="C381" s="13" t="inlineStr">
        <is>
          <t>8</t>
        </is>
      </c>
      <c r="D381" s="14" t="inlineStr">
        <is>
          <t>copper alloy</t>
        </is>
      </c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5" t="n">
        <v>5</v>
      </c>
      <c r="Q381" s="13" t="n"/>
      <c r="R381" s="16">
        <f>IF(COUNT(E381:Q381)=0,"",MIN(E381:Q381))</f>
        <v/>
      </c>
      <c r="S381" s="15">
        <f>IF(COUNT(E381:Q381)=0,"",LOOKUP(2,1/(E381:Q381&lt;&gt;""),E381:Q381))</f>
        <v/>
      </c>
      <c r="T381" s="17">
        <f>IF(R381="","",ROUND(R381*RESUMEN!$B$4,0))</f>
        <v/>
      </c>
      <c r="U381" s="18">
        <f>COUNT(E381:Q381)</f>
        <v/>
      </c>
    </row>
    <row r="382">
      <c r="A382" s="13" t="inlineStr">
        <is>
          <t>29736672903821</t>
        </is>
      </c>
      <c r="B382" s="13" t="inlineStr">
        <is>
          <t>ANILLO T PEARL ROSE GOLD</t>
        </is>
      </c>
      <c r="C382" s="13" t="inlineStr">
        <is>
          <t>6</t>
        </is>
      </c>
      <c r="D382" s="14" t="inlineStr">
        <is>
          <t>Copper Alloy</t>
        </is>
      </c>
      <c r="E382" s="13" t="n"/>
      <c r="F382" s="13" t="n"/>
      <c r="G382" s="13" t="n"/>
      <c r="H382" s="13" t="n"/>
      <c r="I382" s="13" t="n"/>
      <c r="J382" s="13" t="n"/>
      <c r="K382" s="15" t="n">
        <v>5</v>
      </c>
      <c r="L382" s="13" t="n"/>
      <c r="M382" s="13" t="n"/>
      <c r="N382" s="13" t="n"/>
      <c r="O382" s="13" t="n"/>
      <c r="P382" s="13" t="n"/>
      <c r="Q382" s="15" t="n">
        <v>5</v>
      </c>
      <c r="R382" s="16">
        <f>IF(COUNT(E382:Q382)=0,"",MIN(E382:Q382))</f>
        <v/>
      </c>
      <c r="S382" s="15">
        <f>IF(COUNT(E382:Q382)=0,"",LOOKUP(2,1/(E382:Q382&lt;&gt;""),E382:Q382))</f>
        <v/>
      </c>
      <c r="T382" s="17">
        <f>IF(R382="","",ROUND(R382*RESUMEN!$B$4,0))</f>
        <v/>
      </c>
      <c r="U382" s="18">
        <f>COUNT(E382:Q382)</f>
        <v/>
      </c>
    </row>
    <row r="383">
      <c r="A383" s="13" t="inlineStr">
        <is>
          <t>29736673036589</t>
        </is>
      </c>
      <c r="B383" s="13" t="inlineStr">
        <is>
          <t>ANILLO T PEARL ROSE GOLD</t>
        </is>
      </c>
      <c r="C383" s="13" t="inlineStr">
        <is>
          <t>7</t>
        </is>
      </c>
      <c r="D383" s="14" t="inlineStr"/>
      <c r="E383" s="13" t="n"/>
      <c r="F383" s="13" t="n"/>
      <c r="G383" s="13" t="n"/>
      <c r="H383" s="13" t="n"/>
      <c r="I383" s="13" t="n"/>
      <c r="J383" s="13" t="n"/>
      <c r="K383" s="15" t="n">
        <v>5</v>
      </c>
      <c r="L383" s="13" t="n"/>
      <c r="M383" s="13" t="n"/>
      <c r="N383" s="13" t="n"/>
      <c r="O383" s="13" t="n"/>
      <c r="P383" s="13" t="n"/>
      <c r="Q383" s="13" t="n"/>
      <c r="R383" s="16">
        <f>IF(COUNT(E383:Q383)=0,"",MIN(E383:Q383))</f>
        <v/>
      </c>
      <c r="S383" s="15">
        <f>IF(COUNT(E383:Q383)=0,"",LOOKUP(2,1/(E383:Q383&lt;&gt;""),E383:Q383))</f>
        <v/>
      </c>
      <c r="T383" s="17">
        <f>IF(R383="","",ROUND(R383*RESUMEN!$B$4,0))</f>
        <v/>
      </c>
      <c r="U383" s="18">
        <f>COUNT(E383:Q383)</f>
        <v/>
      </c>
    </row>
    <row r="384">
      <c r="A384" s="13" t="inlineStr">
        <is>
          <t>668eecd028acd</t>
        </is>
      </c>
      <c r="B384" s="13" t="inlineStr">
        <is>
          <t>ANILLO T ROSE GOLD</t>
        </is>
      </c>
      <c r="C384" s="13" t="inlineStr">
        <is>
          <t>6</t>
        </is>
      </c>
      <c r="D384" s="14" t="inlineStr">
        <is>
          <t>Stainless Stee</t>
        </is>
      </c>
      <c r="E384" s="13" t="n"/>
      <c r="F384" s="13" t="n"/>
      <c r="G384" s="13" t="n"/>
      <c r="H384" s="15" t="n">
        <v>5</v>
      </c>
      <c r="I384" s="15" t="n">
        <v>5</v>
      </c>
      <c r="J384" s="13" t="n"/>
      <c r="K384" s="13" t="n"/>
      <c r="L384" s="13" t="n"/>
      <c r="M384" s="13" t="n"/>
      <c r="N384" s="13" t="n"/>
      <c r="O384" s="15" t="n">
        <v>5</v>
      </c>
      <c r="P384" s="13" t="n"/>
      <c r="Q384" s="13" t="n"/>
      <c r="R384" s="16">
        <f>IF(COUNT(E384:Q384)=0,"",MIN(E384:Q384))</f>
        <v/>
      </c>
      <c r="S384" s="15">
        <f>IF(COUNT(E384:Q384)=0,"",LOOKUP(2,1/(E384:Q384&lt;&gt;""),E384:Q384))</f>
        <v/>
      </c>
      <c r="T384" s="17">
        <f>IF(R384="","",ROUND(R384*RESUMEN!$B$4,0))</f>
        <v/>
      </c>
      <c r="U384" s="18">
        <f>COUNT(E384:Q384)</f>
        <v/>
      </c>
    </row>
    <row r="385">
      <c r="A385" s="13" t="inlineStr">
        <is>
          <t>668eecd0c3f2e</t>
        </is>
      </c>
      <c r="B385" s="13" t="inlineStr">
        <is>
          <t>ANILLO T ROSE GOLD</t>
        </is>
      </c>
      <c r="C385" s="13" t="inlineStr">
        <is>
          <t>7</t>
        </is>
      </c>
      <c r="D385" s="14" t="inlineStr">
        <is>
          <t>Stainless stee</t>
        </is>
      </c>
      <c r="E385" s="13" t="n"/>
      <c r="F385" s="13" t="n"/>
      <c r="G385" s="13" t="n"/>
      <c r="H385" s="15" t="n">
        <v>5</v>
      </c>
      <c r="I385" s="15" t="n">
        <v>5</v>
      </c>
      <c r="J385" s="15" t="n">
        <v>5</v>
      </c>
      <c r="K385" s="13" t="n"/>
      <c r="L385" s="15" t="n">
        <v>5</v>
      </c>
      <c r="M385" s="15" t="n">
        <v>5</v>
      </c>
      <c r="N385" s="13" t="n"/>
      <c r="O385" s="13" t="n"/>
      <c r="P385" s="13" t="n"/>
      <c r="Q385" s="13" t="n"/>
      <c r="R385" s="16">
        <f>IF(COUNT(E385:Q385)=0,"",MIN(E385:Q385))</f>
        <v/>
      </c>
      <c r="S385" s="15">
        <f>IF(COUNT(E385:Q385)=0,"",LOOKUP(2,1/(E385:Q385&lt;&gt;""),E385:Q385))</f>
        <v/>
      </c>
      <c r="T385" s="17">
        <f>IF(R385="","",ROUND(R385*RESUMEN!$B$4,0))</f>
        <v/>
      </c>
      <c r="U385" s="18">
        <f>COUNT(E385:Q385)</f>
        <v/>
      </c>
    </row>
    <row r="386">
      <c r="A386" s="13" t="inlineStr">
        <is>
          <t>668eecd16590f</t>
        </is>
      </c>
      <c r="B386" s="13" t="inlineStr">
        <is>
          <t>ANILLO T ROSE GOLD</t>
        </is>
      </c>
      <c r="C386" s="13" t="inlineStr">
        <is>
          <t>8</t>
        </is>
      </c>
      <c r="D386" s="14" t="inlineStr">
        <is>
          <t>Stainless Stee</t>
        </is>
      </c>
      <c r="E386" s="15" t="n">
        <v>5</v>
      </c>
      <c r="F386" s="13" t="n"/>
      <c r="G386" s="13" t="n"/>
      <c r="H386" s="15" t="n">
        <v>5</v>
      </c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5" t="n">
        <v>5</v>
      </c>
      <c r="R386" s="16">
        <f>IF(COUNT(E386:Q386)=0,"",MIN(E386:Q386))</f>
        <v/>
      </c>
      <c r="S386" s="15">
        <f>IF(COUNT(E386:Q386)=0,"",LOOKUP(2,1/(E386:Q386&lt;&gt;""),E386:Q386))</f>
        <v/>
      </c>
      <c r="T386" s="17">
        <f>IF(R386="","",ROUND(R386*RESUMEN!$B$4,0))</f>
        <v/>
      </c>
      <c r="U386" s="18">
        <f>COUNT(E386:Q386)</f>
        <v/>
      </c>
    </row>
    <row r="387">
      <c r="A387" s="13" t="inlineStr">
        <is>
          <t>30615281046477</t>
        </is>
      </c>
      <c r="B387" s="13" t="inlineStr">
        <is>
          <t>ANILLO T SERPIENTE GOLD</t>
        </is>
      </c>
      <c r="C387" s="13" t="inlineStr">
        <is>
          <t>6</t>
        </is>
      </c>
      <c r="D387" s="14" t="inlineStr">
        <is>
          <t>Copper Alloy</t>
        </is>
      </c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5" t="n">
        <v>6.99</v>
      </c>
      <c r="R387" s="16">
        <f>IF(COUNT(E387:Q387)=0,"",MIN(E387:Q387))</f>
        <v/>
      </c>
      <c r="S387" s="15">
        <f>IF(COUNT(E387:Q387)=0,"",LOOKUP(2,1/(E387:Q387&lt;&gt;""),E387:Q387))</f>
        <v/>
      </c>
      <c r="T387" s="17">
        <f>IF(R387="","",ROUND(R387*RESUMEN!$B$4,0))</f>
        <v/>
      </c>
      <c r="U387" s="18">
        <f>COUNT(E387:Q387)</f>
        <v/>
      </c>
    </row>
    <row r="388">
      <c r="A388" s="13" t="inlineStr">
        <is>
          <t>29736662086733</t>
        </is>
      </c>
      <c r="B388" s="13" t="inlineStr">
        <is>
          <t>ANILLO T SERPIENTE GOLD</t>
        </is>
      </c>
      <c r="C388" s="13" t="inlineStr">
        <is>
          <t>7</t>
        </is>
      </c>
      <c r="D388" s="14" t="inlineStr">
        <is>
          <t>Copper alloy</t>
        </is>
      </c>
      <c r="E388" s="13" t="n"/>
      <c r="F388" s="13" t="n"/>
      <c r="G388" s="13" t="n"/>
      <c r="H388" s="13" t="n"/>
      <c r="I388" s="13" t="n"/>
      <c r="J388" s="13" t="n"/>
      <c r="K388" s="15" t="n">
        <v>5</v>
      </c>
      <c r="L388" s="13" t="n"/>
      <c r="M388" s="13" t="n"/>
      <c r="N388" s="13" t="n"/>
      <c r="O388" s="13" t="n"/>
      <c r="P388" s="15" t="n">
        <v>5</v>
      </c>
      <c r="Q388" s="13" t="n"/>
      <c r="R388" s="16">
        <f>IF(COUNT(E388:Q388)=0,"",MIN(E388:Q388))</f>
        <v/>
      </c>
      <c r="S388" s="15">
        <f>IF(COUNT(E388:Q388)=0,"",LOOKUP(2,1/(E388:Q388&lt;&gt;""),E388:Q388))</f>
        <v/>
      </c>
      <c r="T388" s="17">
        <f>IF(R388="","",ROUND(R388*RESUMEN!$B$4,0))</f>
        <v/>
      </c>
      <c r="U388" s="18">
        <f>COUNT(E388:Q388)</f>
        <v/>
      </c>
    </row>
    <row r="389">
      <c r="A389" s="13" t="inlineStr">
        <is>
          <t>29736662119501</t>
        </is>
      </c>
      <c r="B389" s="13" t="inlineStr">
        <is>
          <t>ANILLO T SERPIENTE GOLD</t>
        </is>
      </c>
      <c r="C389" s="13" t="inlineStr">
        <is>
          <t>8</t>
        </is>
      </c>
      <c r="D389" s="14" t="inlineStr">
        <is>
          <t>copper alloy</t>
        </is>
      </c>
      <c r="E389" s="13" t="n"/>
      <c r="F389" s="13" t="n"/>
      <c r="G389" s="13" t="n"/>
      <c r="H389" s="13" t="n"/>
      <c r="I389" s="13" t="n"/>
      <c r="J389" s="13" t="n"/>
      <c r="K389" s="15" t="n">
        <v>5</v>
      </c>
      <c r="L389" s="13" t="n"/>
      <c r="M389" s="13" t="n"/>
      <c r="N389" s="13" t="n"/>
      <c r="O389" s="15" t="n">
        <v>6.99</v>
      </c>
      <c r="P389" s="13" t="n"/>
      <c r="Q389" s="13" t="n"/>
      <c r="R389" s="16">
        <f>IF(COUNT(E389:Q389)=0,"",MIN(E389:Q389))</f>
        <v/>
      </c>
      <c r="S389" s="15">
        <f>IF(COUNT(E389:Q389)=0,"",LOOKUP(2,1/(E389:Q389&lt;&gt;""),E389:Q389))</f>
        <v/>
      </c>
      <c r="T389" s="17">
        <f>IF(R389="","",ROUND(R389*RESUMEN!$B$4,0))</f>
        <v/>
      </c>
      <c r="U389" s="18">
        <f>COUNT(E389:Q389)</f>
        <v/>
      </c>
    </row>
    <row r="390">
      <c r="A390" s="13" t="inlineStr">
        <is>
          <t>668eee338c77b</t>
        </is>
      </c>
      <c r="B390" s="13" t="inlineStr">
        <is>
          <t>ANILLO T SILVER</t>
        </is>
      </c>
      <c r="C390" s="13" t="inlineStr">
        <is>
          <t>6</t>
        </is>
      </c>
      <c r="D390" s="14" t="inlineStr">
        <is>
          <t>Stainless Stee</t>
        </is>
      </c>
      <c r="E390" s="15" t="n">
        <v>5</v>
      </c>
      <c r="F390" s="13" t="n"/>
      <c r="G390" s="13" t="n"/>
      <c r="H390" s="13" t="n"/>
      <c r="I390" s="15" t="n">
        <v>5</v>
      </c>
      <c r="J390" s="15" t="n">
        <v>5</v>
      </c>
      <c r="K390" s="13" t="n"/>
      <c r="L390" s="13" t="n"/>
      <c r="M390" s="13" t="n"/>
      <c r="N390" s="15" t="n">
        <v>5</v>
      </c>
      <c r="O390" s="13" t="n"/>
      <c r="P390" s="13" t="n"/>
      <c r="Q390" s="15" t="n">
        <v>5</v>
      </c>
      <c r="R390" s="16">
        <f>IF(COUNT(E390:Q390)=0,"",MIN(E390:Q390))</f>
        <v/>
      </c>
      <c r="S390" s="15">
        <f>IF(COUNT(E390:Q390)=0,"",LOOKUP(2,1/(E390:Q390&lt;&gt;""),E390:Q390))</f>
        <v/>
      </c>
      <c r="T390" s="17">
        <f>IF(R390="","",ROUND(R390*RESUMEN!$B$4,0))</f>
        <v/>
      </c>
      <c r="U390" s="18">
        <f>COUNT(E390:Q390)</f>
        <v/>
      </c>
    </row>
    <row r="391">
      <c r="A391" s="13" t="inlineStr">
        <is>
          <t>668eee34483a2</t>
        </is>
      </c>
      <c r="B391" s="13" t="inlineStr">
        <is>
          <t>ANILLO T SILVER</t>
        </is>
      </c>
      <c r="C391" s="13" t="inlineStr">
        <is>
          <t>7</t>
        </is>
      </c>
      <c r="D391" s="14" t="inlineStr">
        <is>
          <t>Stainless Stee</t>
        </is>
      </c>
      <c r="E391" s="15" t="n">
        <v>5</v>
      </c>
      <c r="F391" s="15" t="n">
        <v>5</v>
      </c>
      <c r="G391" s="13" t="n"/>
      <c r="H391" s="13" t="n"/>
      <c r="I391" s="13" t="n"/>
      <c r="J391" s="15" t="n">
        <v>5</v>
      </c>
      <c r="K391" s="13" t="n"/>
      <c r="L391" s="15" t="n">
        <v>5</v>
      </c>
      <c r="M391" s="13" t="n"/>
      <c r="N391" s="15" t="n">
        <v>5</v>
      </c>
      <c r="O391" s="15" t="n">
        <v>5</v>
      </c>
      <c r="P391" s="13" t="n"/>
      <c r="Q391" s="13" t="n"/>
      <c r="R391" s="16">
        <f>IF(COUNT(E391:Q391)=0,"",MIN(E391:Q391))</f>
        <v/>
      </c>
      <c r="S391" s="15">
        <f>IF(COUNT(E391:Q391)=0,"",LOOKUP(2,1/(E391:Q391&lt;&gt;""),E391:Q391))</f>
        <v/>
      </c>
      <c r="T391" s="17">
        <f>IF(R391="","",ROUND(R391*RESUMEN!$B$4,0))</f>
        <v/>
      </c>
      <c r="U391" s="18">
        <f>COUNT(E391:Q391)</f>
        <v/>
      </c>
    </row>
    <row r="392">
      <c r="A392" s="13" t="inlineStr">
        <is>
          <t>668eee34e7e6d</t>
        </is>
      </c>
      <c r="B392" s="13" t="inlineStr">
        <is>
          <t>ANILLO T SILVER</t>
        </is>
      </c>
      <c r="C392" s="13" t="inlineStr">
        <is>
          <t>8</t>
        </is>
      </c>
      <c r="D392" s="14" t="inlineStr">
        <is>
          <t>Stainless stee</t>
        </is>
      </c>
      <c r="E392" s="15" t="n">
        <v>5</v>
      </c>
      <c r="F392" s="13" t="n"/>
      <c r="G392" s="13" t="n"/>
      <c r="H392" s="13" t="n"/>
      <c r="I392" s="15" t="n">
        <v>5</v>
      </c>
      <c r="J392" s="13" t="n"/>
      <c r="K392" s="13" t="n"/>
      <c r="L392" s="15" t="n">
        <v>5</v>
      </c>
      <c r="M392" s="13" t="n"/>
      <c r="N392" s="15" t="n">
        <v>5</v>
      </c>
      <c r="O392" s="13" t="n"/>
      <c r="P392" s="13" t="n"/>
      <c r="Q392" s="13" t="n"/>
      <c r="R392" s="16">
        <f>IF(COUNT(E392:Q392)=0,"",MIN(E392:Q392))</f>
        <v/>
      </c>
      <c r="S392" s="15">
        <f>IF(COUNT(E392:Q392)=0,"",LOOKUP(2,1/(E392:Q392&lt;&gt;""),E392:Q392))</f>
        <v/>
      </c>
      <c r="T392" s="17">
        <f>IF(R392="","",ROUND(R392*RESUMEN!$B$4,0))</f>
        <v/>
      </c>
      <c r="U392" s="18">
        <f>COUNT(E392:Q392)</f>
        <v/>
      </c>
    </row>
    <row r="393">
      <c r="A393" s="13" t="inlineStr">
        <is>
          <t>29736662752941</t>
        </is>
      </c>
      <c r="B393" s="13" t="inlineStr">
        <is>
          <t>ANILLO T SILVER CON ZIRCONIA</t>
        </is>
      </c>
      <c r="C393" s="13" t="inlineStr">
        <is>
          <t>7</t>
        </is>
      </c>
      <c r="D393" s="14" t="inlineStr">
        <is>
          <t>Copper alloy</t>
        </is>
      </c>
      <c r="E393" s="13" t="n"/>
      <c r="F393" s="13" t="n"/>
      <c r="G393" s="13" t="n"/>
      <c r="H393" s="13" t="n"/>
      <c r="I393" s="13" t="n"/>
      <c r="J393" s="13" t="n"/>
      <c r="K393" s="15" t="n">
        <v>4</v>
      </c>
      <c r="L393" s="13" t="n"/>
      <c r="M393" s="13" t="n"/>
      <c r="N393" s="13" t="n"/>
      <c r="O393" s="13" t="n"/>
      <c r="P393" s="15" t="n">
        <v>4</v>
      </c>
      <c r="Q393" s="13" t="n"/>
      <c r="R393" s="16">
        <f>IF(COUNT(E393:Q393)=0,"",MIN(E393:Q393))</f>
        <v/>
      </c>
      <c r="S393" s="15">
        <f>IF(COUNT(E393:Q393)=0,"",LOOKUP(2,1/(E393:Q393&lt;&gt;""),E393:Q393))</f>
        <v/>
      </c>
      <c r="T393" s="17">
        <f>IF(R393="","",ROUND(R393*RESUMEN!$B$4,0))</f>
        <v/>
      </c>
      <c r="U393" s="18">
        <f>COUNT(E393:Q393)</f>
        <v/>
      </c>
    </row>
    <row r="394">
      <c r="A394" s="13" t="inlineStr">
        <is>
          <t>29736662885709</t>
        </is>
      </c>
      <c r="B394" s="13" t="inlineStr">
        <is>
          <t>ANILLO T SILVER ZIRCONIAS</t>
        </is>
      </c>
      <c r="C394" s="13" t="inlineStr">
        <is>
          <t>8</t>
        </is>
      </c>
      <c r="D394" s="14" t="inlineStr">
        <is>
          <t>copper alloy</t>
        </is>
      </c>
      <c r="E394" s="13" t="n"/>
      <c r="F394" s="13" t="n"/>
      <c r="G394" s="13" t="n"/>
      <c r="H394" s="13" t="n"/>
      <c r="I394" s="13" t="n"/>
      <c r="J394" s="13" t="n"/>
      <c r="K394" s="15" t="n">
        <v>4</v>
      </c>
      <c r="L394" s="13" t="n"/>
      <c r="M394" s="13" t="n"/>
      <c r="N394" s="13" t="n"/>
      <c r="O394" s="13" t="n"/>
      <c r="P394" s="13" t="n"/>
      <c r="Q394" s="13" t="n"/>
      <c r="R394" s="16">
        <f>IF(COUNT(E394:Q394)=0,"",MIN(E394:Q394))</f>
        <v/>
      </c>
      <c r="S394" s="15">
        <f>IF(COUNT(E394:Q394)=0,"",LOOKUP(2,1/(E394:Q394&lt;&gt;""),E394:Q394))</f>
        <v/>
      </c>
      <c r="T394" s="17">
        <f>IF(R394="","",ROUND(R394*RESUMEN!$B$4,0))</f>
        <v/>
      </c>
      <c r="U394" s="18">
        <f>COUNT(E394:Q394)</f>
        <v/>
      </c>
    </row>
    <row r="395">
      <c r="A395" s="13" t="inlineStr">
        <is>
          <t>58431441010509</t>
        </is>
      </c>
      <c r="B395" s="13" t="inlineStr">
        <is>
          <t>ANILLO T SILVER ZIRCONIAS</t>
        </is>
      </c>
      <c r="C395" s="13" t="inlineStr">
        <is>
          <t>AJUSTABLE</t>
        </is>
      </c>
      <c r="D395" s="14" t="inlineStr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5" t="n">
        <v>4</v>
      </c>
      <c r="P395" s="13" t="n"/>
      <c r="Q395" s="13" t="n"/>
      <c r="R395" s="16">
        <f>IF(COUNT(E395:Q395)=0,"",MIN(E395:Q395))</f>
        <v/>
      </c>
      <c r="S395" s="15">
        <f>IF(COUNT(E395:Q395)=0,"",LOOKUP(2,1/(E395:Q395&lt;&gt;""),E395:Q395))</f>
        <v/>
      </c>
      <c r="T395" s="17">
        <f>IF(R395="","",ROUND(R395*RESUMEN!$B$4,0))</f>
        <v/>
      </c>
      <c r="U395" s="18">
        <f>COUNT(E395:Q395)</f>
        <v/>
      </c>
    </row>
    <row r="396">
      <c r="A396" s="13" t="inlineStr">
        <is>
          <t>59109723572173</t>
        </is>
      </c>
      <c r="B396" s="13" t="inlineStr">
        <is>
          <t>ANILLO T STERLING SILVER</t>
        </is>
      </c>
      <c r="C396" s="13" t="inlineStr">
        <is>
          <t>8</t>
        </is>
      </c>
      <c r="D396" s="14" t="inlineStr">
        <is>
          <t>copper alloy</t>
        </is>
      </c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5" t="n">
        <v>6</v>
      </c>
      <c r="Q396" s="13" t="n"/>
      <c r="R396" s="16">
        <f>IF(COUNT(E396:Q396)=0,"",MIN(E396:Q396))</f>
        <v/>
      </c>
      <c r="S396" s="15">
        <f>IF(COUNT(E396:Q396)=0,"",LOOKUP(2,1/(E396:Q396&lt;&gt;""),E396:Q396))</f>
        <v/>
      </c>
      <c r="T396" s="17">
        <f>IF(R396="","",ROUND(R396*RESUMEN!$B$4,0))</f>
        <v/>
      </c>
      <c r="U396" s="18">
        <f>COUNT(E396:Q396)</f>
        <v/>
      </c>
    </row>
    <row r="397">
      <c r="A397" s="13" t="inlineStr">
        <is>
          <t>59109723604941</t>
        </is>
      </c>
      <c r="B397" s="13" t="inlineStr">
        <is>
          <t>ANILLO T STERLING SILVER</t>
        </is>
      </c>
      <c r="C397" s="13" t="inlineStr">
        <is>
          <t>9</t>
        </is>
      </c>
      <c r="D397" s="14" t="inlineStr">
        <is>
          <t>copper alloy</t>
        </is>
      </c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5" t="n">
        <v>6</v>
      </c>
      <c r="Q397" s="13" t="n"/>
      <c r="R397" s="16">
        <f>IF(COUNT(E397:Q397)=0,"",MIN(E397:Q397))</f>
        <v/>
      </c>
      <c r="S397" s="15">
        <f>IF(COUNT(E397:Q397)=0,"",LOOKUP(2,1/(E397:Q397&lt;&gt;""),E397:Q397))</f>
        <v/>
      </c>
      <c r="T397" s="17">
        <f>IF(R397="","",ROUND(R397*RESUMEN!$B$4,0))</f>
        <v/>
      </c>
      <c r="U397" s="18">
        <f>COUNT(E397:Q397)</f>
        <v/>
      </c>
    </row>
    <row r="398">
      <c r="A398" s="13" t="inlineStr">
        <is>
          <t>59109723341101</t>
        </is>
      </c>
      <c r="B398" s="13" t="inlineStr">
        <is>
          <t>ANILLO T VICTORIA VINE</t>
        </is>
      </c>
      <c r="C398" s="13" t="inlineStr">
        <is>
          <t>6</t>
        </is>
      </c>
      <c r="D398" s="14" t="inlineStr">
        <is>
          <t>copper alloy</t>
        </is>
      </c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5" t="n">
        <v>6.5</v>
      </c>
      <c r="Q398" s="13" t="n"/>
      <c r="R398" s="16">
        <f>IF(COUNT(E398:Q398)=0,"",MIN(E398:Q398))</f>
        <v/>
      </c>
      <c r="S398" s="15">
        <f>IF(COUNT(E398:Q398)=0,"",LOOKUP(2,1/(E398:Q398&lt;&gt;""),E398:Q398))</f>
        <v/>
      </c>
      <c r="T398" s="17">
        <f>IF(R398="","",ROUND(R398*RESUMEN!$B$4,0))</f>
        <v/>
      </c>
      <c r="U398" s="18">
        <f>COUNT(E398:Q398)</f>
        <v/>
      </c>
    </row>
    <row r="399">
      <c r="A399" s="13" t="inlineStr">
        <is>
          <t>59109723473869</t>
        </is>
      </c>
      <c r="B399" s="13" t="inlineStr">
        <is>
          <t>ANILLO T VICTORIA VINE</t>
        </is>
      </c>
      <c r="C399" s="13" t="inlineStr">
        <is>
          <t>7</t>
        </is>
      </c>
      <c r="D399" s="14" t="inlineStr">
        <is>
          <t>copper alloy</t>
        </is>
      </c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5" t="n">
        <v>6.5</v>
      </c>
      <c r="Q399" s="13" t="n"/>
      <c r="R399" s="16">
        <f>IF(COUNT(E399:Q399)=0,"",MIN(E399:Q399))</f>
        <v/>
      </c>
      <c r="S399" s="15">
        <f>IF(COUNT(E399:Q399)=0,"",LOOKUP(2,1/(E399:Q399&lt;&gt;""),E399:Q399))</f>
        <v/>
      </c>
      <c r="T399" s="17">
        <f>IF(R399="","",ROUND(R399*RESUMEN!$B$4,0))</f>
        <v/>
      </c>
      <c r="U399" s="18">
        <f>COUNT(E399:Q399)</f>
        <v/>
      </c>
    </row>
    <row r="400">
      <c r="A400" s="13" t="inlineStr">
        <is>
          <t>29736661818349</t>
        </is>
      </c>
      <c r="B400" s="13" t="inlineStr">
        <is>
          <t>ANILLO T X GOLD</t>
        </is>
      </c>
      <c r="C400" s="13" t="inlineStr">
        <is>
          <t>6</t>
        </is>
      </c>
      <c r="D400" s="14" t="inlineStr">
        <is>
          <t>Copper alloy</t>
        </is>
      </c>
      <c r="E400" s="13" t="n"/>
      <c r="F400" s="13" t="n"/>
      <c r="G400" s="13" t="n"/>
      <c r="H400" s="13" t="n"/>
      <c r="I400" s="13" t="n"/>
      <c r="J400" s="13" t="n"/>
      <c r="K400" s="15" t="n">
        <v>6</v>
      </c>
      <c r="L400" s="13" t="n"/>
      <c r="M400" s="13" t="n"/>
      <c r="N400" s="13" t="n"/>
      <c r="O400" s="13" t="n"/>
      <c r="P400" s="15" t="n">
        <v>6</v>
      </c>
      <c r="Q400" s="13" t="n"/>
      <c r="R400" s="16">
        <f>IF(COUNT(E400:Q400)=0,"",MIN(E400:Q400))</f>
        <v/>
      </c>
      <c r="S400" s="15">
        <f>IF(COUNT(E400:Q400)=0,"",LOOKUP(2,1/(E400:Q400&lt;&gt;""),E400:Q400))</f>
        <v/>
      </c>
      <c r="T400" s="17">
        <f>IF(R400="","",ROUND(R400*RESUMEN!$B$4,0))</f>
        <v/>
      </c>
      <c r="U400" s="18">
        <f>COUNT(E400:Q400)</f>
        <v/>
      </c>
    </row>
    <row r="401">
      <c r="A401" s="13" t="inlineStr">
        <is>
          <t>29736661951117</t>
        </is>
      </c>
      <c r="B401" s="13" t="inlineStr">
        <is>
          <t>ANILLO T X GOLD</t>
        </is>
      </c>
      <c r="C401" s="13" t="inlineStr">
        <is>
          <t>7</t>
        </is>
      </c>
      <c r="D401" s="14" t="inlineStr"/>
      <c r="E401" s="13" t="n"/>
      <c r="F401" s="13" t="n"/>
      <c r="G401" s="13" t="n"/>
      <c r="H401" s="13" t="n"/>
      <c r="I401" s="13" t="n"/>
      <c r="J401" s="13" t="n"/>
      <c r="K401" s="15" t="n">
        <v>6</v>
      </c>
      <c r="L401" s="13" t="n"/>
      <c r="M401" s="13" t="n"/>
      <c r="N401" s="13" t="n"/>
      <c r="O401" s="13" t="n"/>
      <c r="P401" s="13" t="n"/>
      <c r="Q401" s="13" t="n"/>
      <c r="R401" s="16">
        <f>IF(COUNT(E401:Q401)=0,"",MIN(E401:Q401))</f>
        <v/>
      </c>
      <c r="S401" s="15">
        <f>IF(COUNT(E401:Q401)=0,"",LOOKUP(2,1/(E401:Q401&lt;&gt;""),E401:Q401))</f>
        <v/>
      </c>
      <c r="T401" s="17">
        <f>IF(R401="","",ROUND(R401*RESUMEN!$B$4,0))</f>
        <v/>
      </c>
      <c r="U401" s="18">
        <f>COUNT(E401:Q401)</f>
        <v/>
      </c>
    </row>
    <row r="402">
      <c r="A402" s="13" t="inlineStr">
        <is>
          <t>29736673276749</t>
        </is>
      </c>
      <c r="B402" s="13" t="inlineStr">
        <is>
          <t>ANILLO T ZIRCONIAS GOLD</t>
        </is>
      </c>
      <c r="C402" s="13" t="inlineStr">
        <is>
          <t>6</t>
        </is>
      </c>
      <c r="D402" s="14" t="inlineStr"/>
      <c r="E402" s="13" t="n"/>
      <c r="F402" s="13" t="n"/>
      <c r="G402" s="13" t="n"/>
      <c r="H402" s="13" t="n"/>
      <c r="I402" s="13" t="n"/>
      <c r="J402" s="13" t="n"/>
      <c r="K402" s="15" t="n">
        <v>4</v>
      </c>
      <c r="L402" s="13" t="n"/>
      <c r="M402" s="13" t="n"/>
      <c r="N402" s="13" t="n"/>
      <c r="O402" s="13" t="n"/>
      <c r="P402" s="13" t="n"/>
      <c r="Q402" s="13" t="n"/>
      <c r="R402" s="16">
        <f>IF(COUNT(E402:Q402)=0,"",MIN(E402:Q402))</f>
        <v/>
      </c>
      <c r="S402" s="15">
        <f>IF(COUNT(E402:Q402)=0,"",LOOKUP(2,1/(E402:Q402&lt;&gt;""),E402:Q402))</f>
        <v/>
      </c>
      <c r="T402" s="17">
        <f>IF(R402="","",ROUND(R402*RESUMEN!$B$4,0))</f>
        <v/>
      </c>
      <c r="U402" s="18">
        <f>COUNT(E402:Q402)</f>
        <v/>
      </c>
    </row>
    <row r="403">
      <c r="A403" s="13" t="inlineStr">
        <is>
          <t>29736673309517</t>
        </is>
      </c>
      <c r="B403" s="13" t="inlineStr">
        <is>
          <t>ANILLO T ZIRCONIAS GOLD</t>
        </is>
      </c>
      <c r="C403" s="13" t="inlineStr">
        <is>
          <t>7</t>
        </is>
      </c>
      <c r="D403" s="14" t="inlineStr">
        <is>
          <t>copper alloy</t>
        </is>
      </c>
      <c r="E403" s="13" t="n"/>
      <c r="F403" s="13" t="n"/>
      <c r="G403" s="13" t="n"/>
      <c r="H403" s="13" t="n"/>
      <c r="I403" s="13" t="n"/>
      <c r="J403" s="13" t="n"/>
      <c r="K403" s="15" t="n">
        <v>4</v>
      </c>
      <c r="L403" s="13" t="n"/>
      <c r="M403" s="13" t="n"/>
      <c r="N403" s="13" t="n"/>
      <c r="O403" s="13" t="n"/>
      <c r="P403" s="13" t="n"/>
      <c r="Q403" s="13" t="n"/>
      <c r="R403" s="16">
        <f>IF(COUNT(E403:Q403)=0,"",MIN(E403:Q403))</f>
        <v/>
      </c>
      <c r="S403" s="15">
        <f>IF(COUNT(E403:Q403)=0,"",LOOKUP(2,1/(E403:Q403&lt;&gt;""),E403:Q403))</f>
        <v/>
      </c>
      <c r="T403" s="17">
        <f>IF(R403="","",ROUND(R403*RESUMEN!$B$4,0))</f>
        <v/>
      </c>
      <c r="U403" s="18">
        <f>COUNT(E403:Q403)</f>
        <v/>
      </c>
    </row>
    <row r="404">
      <c r="A404" s="13" t="inlineStr">
        <is>
          <t>59002381085069</t>
        </is>
      </c>
      <c r="B404" s="13" t="inlineStr">
        <is>
          <t>ANILLO T ZIRCONIAS GOLD</t>
        </is>
      </c>
      <c r="C404" s="13" t="inlineStr">
        <is>
          <t>AJUSTABLE</t>
        </is>
      </c>
      <c r="D404" s="14" t="inlineStr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5" t="n">
        <v>4</v>
      </c>
      <c r="P404" s="13" t="n"/>
      <c r="Q404" s="13" t="n"/>
      <c r="R404" s="16">
        <f>IF(COUNT(E404:Q404)=0,"",MIN(E404:Q404))</f>
        <v/>
      </c>
      <c r="S404" s="15">
        <f>IF(COUNT(E404:Q404)=0,"",LOOKUP(2,1/(E404:Q404&lt;&gt;""),E404:Q404))</f>
        <v/>
      </c>
      <c r="T404" s="17">
        <f>IF(R404="","",ROUND(R404*RESUMEN!$B$4,0))</f>
        <v/>
      </c>
      <c r="U404" s="18">
        <f>COUNT(E404:Q404)</f>
        <v/>
      </c>
    </row>
    <row r="405">
      <c r="A405" s="13" t="inlineStr">
        <is>
          <t>29736673439437</t>
        </is>
      </c>
      <c r="B405" s="13" t="inlineStr">
        <is>
          <t>ANILLO T ZIRCONIAS ROSE GOLD</t>
        </is>
      </c>
      <c r="C405" s="13" t="inlineStr">
        <is>
          <t>6</t>
        </is>
      </c>
      <c r="D405" s="14" t="inlineStr"/>
      <c r="E405" s="13" t="n"/>
      <c r="F405" s="13" t="n"/>
      <c r="G405" s="13" t="n"/>
      <c r="H405" s="13" t="n"/>
      <c r="I405" s="13" t="n"/>
      <c r="J405" s="13" t="n"/>
      <c r="K405" s="15" t="n">
        <v>4</v>
      </c>
      <c r="L405" s="13" t="n"/>
      <c r="M405" s="13" t="n"/>
      <c r="N405" s="13" t="n"/>
      <c r="O405" s="13" t="n"/>
      <c r="P405" s="13" t="n"/>
      <c r="Q405" s="13" t="n"/>
      <c r="R405" s="16">
        <f>IF(COUNT(E405:Q405)=0,"",MIN(E405:Q405))</f>
        <v/>
      </c>
      <c r="S405" s="15">
        <f>IF(COUNT(E405:Q405)=0,"",LOOKUP(2,1/(E405:Q405&lt;&gt;""),E405:Q405))</f>
        <v/>
      </c>
      <c r="T405" s="17">
        <f>IF(R405="","",ROUND(R405*RESUMEN!$B$4,0))</f>
        <v/>
      </c>
      <c r="U405" s="18">
        <f>COUNT(E405:Q405)</f>
        <v/>
      </c>
    </row>
    <row r="406">
      <c r="A406" s="13" t="inlineStr">
        <is>
          <t>29736673572205</t>
        </is>
      </c>
      <c r="B406" s="13" t="inlineStr">
        <is>
          <t>ANILLO T ZIRCONIAS ROSE GOLD</t>
        </is>
      </c>
      <c r="C406" s="13" t="inlineStr">
        <is>
          <t>7</t>
        </is>
      </c>
      <c r="D406" s="14" t="inlineStr"/>
      <c r="E406" s="13" t="n"/>
      <c r="F406" s="13" t="n"/>
      <c r="G406" s="13" t="n"/>
      <c r="H406" s="13" t="n"/>
      <c r="I406" s="13" t="n"/>
      <c r="J406" s="13" t="n"/>
      <c r="K406" s="15" t="n">
        <v>4</v>
      </c>
      <c r="L406" s="13" t="n"/>
      <c r="M406" s="13" t="n"/>
      <c r="N406" s="13" t="n"/>
      <c r="O406" s="13" t="n"/>
      <c r="P406" s="13" t="n"/>
      <c r="Q406" s="13" t="n"/>
      <c r="R406" s="16">
        <f>IF(COUNT(E406:Q406)=0,"",MIN(E406:Q406))</f>
        <v/>
      </c>
      <c r="S406" s="15">
        <f>IF(COUNT(E406:Q406)=0,"",LOOKUP(2,1/(E406:Q406&lt;&gt;""),E406:Q406))</f>
        <v/>
      </c>
      <c r="T406" s="17">
        <f>IF(R406="","",ROUND(R406*RESUMEN!$B$4,0))</f>
        <v/>
      </c>
      <c r="U406" s="18">
        <f>COUNT(E406:Q406)</f>
        <v/>
      </c>
    </row>
    <row r="407">
      <c r="A407" s="13" t="inlineStr">
        <is>
          <t>67201532907277</t>
        </is>
      </c>
      <c r="B407" s="13" t="inlineStr">
        <is>
          <t>ANILLO T1 T GOLD</t>
        </is>
      </c>
      <c r="C407" s="13" t="inlineStr">
        <is>
          <t>7</t>
        </is>
      </c>
      <c r="D407" s="14" t="inlineStr">
        <is>
          <t>nan</t>
        </is>
      </c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5" t="n">
        <v>5.5</v>
      </c>
      <c r="N407" s="13" t="n"/>
      <c r="O407" s="13" t="n"/>
      <c r="P407" s="13" t="n"/>
      <c r="Q407" s="13" t="n"/>
      <c r="R407" s="16">
        <f>IF(COUNT(E407:Q407)=0,"",MIN(E407:Q407))</f>
        <v/>
      </c>
      <c r="S407" s="15">
        <f>IF(COUNT(E407:Q407)=0,"",LOOKUP(2,1/(E407:Q407&lt;&gt;""),E407:Q407))</f>
        <v/>
      </c>
      <c r="T407" s="17">
        <f>IF(R407="","",ROUND(R407*RESUMEN!$B$4,0))</f>
        <v/>
      </c>
      <c r="U407" s="18">
        <f>COUNT(E407:Q407)</f>
        <v/>
      </c>
    </row>
    <row r="408">
      <c r="A408" s="13" t="inlineStr">
        <is>
          <t>67201533040045</t>
        </is>
      </c>
      <c r="B408" s="13" t="inlineStr">
        <is>
          <t>ANILLO T1 T GOLD</t>
        </is>
      </c>
      <c r="C408" s="13" t="inlineStr">
        <is>
          <t>8</t>
        </is>
      </c>
      <c r="D408" s="14" t="inlineStr">
        <is>
          <t>nan</t>
        </is>
      </c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5" t="n">
        <v>5.5</v>
      </c>
      <c r="N408" s="13" t="n"/>
      <c r="O408" s="13" t="n"/>
      <c r="P408" s="13" t="n"/>
      <c r="Q408" s="13" t="n"/>
      <c r="R408" s="16">
        <f>IF(COUNT(E408:Q408)=0,"",MIN(E408:Q408))</f>
        <v/>
      </c>
      <c r="S408" s="15">
        <f>IF(COUNT(E408:Q408)=0,"",LOOKUP(2,1/(E408:Q408&lt;&gt;""),E408:Q408))</f>
        <v/>
      </c>
      <c r="T408" s="17">
        <f>IF(R408="","",ROUND(R408*RESUMEN!$B$4,0))</f>
        <v/>
      </c>
      <c r="U408" s="18">
        <f>COUNT(E408:Q408)</f>
        <v/>
      </c>
    </row>
    <row r="409">
      <c r="A409" s="13" t="inlineStr">
        <is>
          <t>67201533116173</t>
        </is>
      </c>
      <c r="B409" s="13" t="inlineStr">
        <is>
          <t>ANILLO T1 T SILVER</t>
        </is>
      </c>
      <c r="C409" s="13" t="inlineStr">
        <is>
          <t>6</t>
        </is>
      </c>
      <c r="D409" s="14" t="inlineStr"/>
      <c r="E409" s="13" t="n"/>
      <c r="F409" s="13" t="n"/>
      <c r="G409" s="13" t="n"/>
      <c r="H409" s="15" t="n">
        <v>5.5</v>
      </c>
      <c r="I409" s="15" t="n">
        <v>5.5</v>
      </c>
      <c r="J409" s="15" t="n">
        <v>5.5</v>
      </c>
      <c r="K409" s="13" t="n"/>
      <c r="L409" s="13" t="n"/>
      <c r="M409" s="13" t="n"/>
      <c r="N409" s="13" t="n"/>
      <c r="O409" s="13" t="n"/>
      <c r="P409" s="13" t="n"/>
      <c r="Q409" s="13" t="n"/>
      <c r="R409" s="16">
        <f>IF(COUNT(E409:Q409)=0,"",MIN(E409:Q409))</f>
        <v/>
      </c>
      <c r="S409" s="15">
        <f>IF(COUNT(E409:Q409)=0,"",LOOKUP(2,1/(E409:Q409&lt;&gt;""),E409:Q409))</f>
        <v/>
      </c>
      <c r="T409" s="17">
        <f>IF(R409="","",ROUND(R409*RESUMEN!$B$4,0))</f>
        <v/>
      </c>
      <c r="U409" s="18">
        <f>COUNT(E409:Q409)</f>
        <v/>
      </c>
    </row>
    <row r="410">
      <c r="A410" s="13" t="inlineStr">
        <is>
          <t>67201533248941</t>
        </is>
      </c>
      <c r="B410" s="13" t="inlineStr">
        <is>
          <t>ANILLO T1 T SILVER</t>
        </is>
      </c>
      <c r="C410" s="13" t="inlineStr">
        <is>
          <t>7</t>
        </is>
      </c>
      <c r="D410" s="14" t="inlineStr"/>
      <c r="E410" s="13" t="n"/>
      <c r="F410" s="13" t="n"/>
      <c r="G410" s="13" t="n"/>
      <c r="H410" s="13" t="n"/>
      <c r="I410" s="15" t="n">
        <v>5.5</v>
      </c>
      <c r="J410" s="15" t="n">
        <v>5.5</v>
      </c>
      <c r="K410" s="13" t="n"/>
      <c r="L410" s="13" t="n"/>
      <c r="M410" s="13" t="n"/>
      <c r="N410" s="13" t="n"/>
      <c r="O410" s="13" t="n"/>
      <c r="P410" s="13" t="n"/>
      <c r="Q410" s="13" t="n"/>
      <c r="R410" s="16">
        <f>IF(COUNT(E410:Q410)=0,"",MIN(E410:Q410))</f>
        <v/>
      </c>
      <c r="S410" s="15">
        <f>IF(COUNT(E410:Q410)=0,"",LOOKUP(2,1/(E410:Q410&lt;&gt;""),E410:Q410))</f>
        <v/>
      </c>
      <c r="T410" s="17">
        <f>IF(R410="","",ROUND(R410*RESUMEN!$B$4,0))</f>
        <v/>
      </c>
      <c r="U410" s="18">
        <f>COUNT(E410:Q410)</f>
        <v/>
      </c>
    </row>
    <row r="411">
      <c r="A411" s="13" t="inlineStr">
        <is>
          <t>67201533381709</t>
        </is>
      </c>
      <c r="B411" s="13" t="inlineStr">
        <is>
          <t>ANILLO T1 T SILVER</t>
        </is>
      </c>
      <c r="C411" s="13" t="inlineStr">
        <is>
          <t>8</t>
        </is>
      </c>
      <c r="D411" s="14" t="inlineStr">
        <is>
          <t>Copper alloy</t>
        </is>
      </c>
      <c r="E411" s="13" t="n"/>
      <c r="F411" s="13" t="n"/>
      <c r="G411" s="13" t="n"/>
      <c r="H411" s="13" t="n"/>
      <c r="I411" s="13" t="n"/>
      <c r="J411" s="15" t="n">
        <v>5.5</v>
      </c>
      <c r="K411" s="13" t="n"/>
      <c r="L411" s="13" t="n"/>
      <c r="M411" s="13" t="n"/>
      <c r="N411" s="15" t="n">
        <v>5.5</v>
      </c>
      <c r="O411" s="13" t="n"/>
      <c r="P411" s="13" t="n"/>
      <c r="Q411" s="13" t="n"/>
      <c r="R411" s="16">
        <f>IF(COUNT(E411:Q411)=0,"",MIN(E411:Q411))</f>
        <v/>
      </c>
      <c r="S411" s="15">
        <f>IF(COUNT(E411:Q411)=0,"",LOOKUP(2,1/(E411:Q411&lt;&gt;""),E411:Q411))</f>
        <v/>
      </c>
      <c r="T411" s="17">
        <f>IF(R411="","",ROUND(R411*RESUMEN!$B$4,0))</f>
        <v/>
      </c>
      <c r="U411" s="18">
        <f>COUNT(E411:Q411)</f>
        <v/>
      </c>
    </row>
    <row r="412">
      <c r="A412" s="13" t="inlineStr">
        <is>
          <t>38334521139841</t>
        </is>
      </c>
      <c r="B412" s="13" t="inlineStr">
        <is>
          <t>ANILLO TREBOL GOLD</t>
        </is>
      </c>
      <c r="C412" s="13" t="inlineStr">
        <is>
          <t>6</t>
        </is>
      </c>
      <c r="D412" s="14" t="inlineStr"/>
      <c r="E412" s="15" t="n">
        <v>5.99</v>
      </c>
      <c r="F412" s="13" t="n"/>
      <c r="G412" s="13" t="n"/>
      <c r="H412" s="15" t="n">
        <v>5.99</v>
      </c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6">
        <f>IF(COUNT(E412:Q412)=0,"",MIN(E412:Q412))</f>
        <v/>
      </c>
      <c r="S412" s="15">
        <f>IF(COUNT(E412:Q412)=0,"",LOOKUP(2,1/(E412:Q412&lt;&gt;""),E412:Q412))</f>
        <v/>
      </c>
      <c r="T412" s="17">
        <f>IF(R412="","",ROUND(R412*RESUMEN!$B$4,0))</f>
        <v/>
      </c>
      <c r="U412" s="18">
        <f>COUNT(E412:Q412)</f>
        <v/>
      </c>
    </row>
    <row r="413">
      <c r="A413" s="13" t="inlineStr">
        <is>
          <t>673cd567a7edc</t>
        </is>
      </c>
      <c r="B413" s="13" t="inlineStr">
        <is>
          <t>ANILLO TRES AROS</t>
        </is>
      </c>
      <c r="C413" s="13" t="inlineStr">
        <is>
          <t>5</t>
        </is>
      </c>
      <c r="D413" s="14" t="inlineStr"/>
      <c r="E413" s="13" t="n"/>
      <c r="F413" s="13" t="n"/>
      <c r="G413" s="13" t="n"/>
      <c r="H413" s="13" t="n"/>
      <c r="I413" s="15" t="n">
        <v>4.7</v>
      </c>
      <c r="J413" s="15" t="n">
        <v>4.7</v>
      </c>
      <c r="K413" s="13" t="n"/>
      <c r="L413" s="13" t="n"/>
      <c r="M413" s="13" t="n"/>
      <c r="N413" s="13" t="n"/>
      <c r="O413" s="13" t="n"/>
      <c r="P413" s="13" t="n"/>
      <c r="Q413" s="13" t="n"/>
      <c r="R413" s="16">
        <f>IF(COUNT(E413:Q413)=0,"",MIN(E413:Q413))</f>
        <v/>
      </c>
      <c r="S413" s="15">
        <f>IF(COUNT(E413:Q413)=0,"",LOOKUP(2,1/(E413:Q413&lt;&gt;""),E413:Q413))</f>
        <v/>
      </c>
      <c r="T413" s="17">
        <f>IF(R413="","",ROUND(R413*RESUMEN!$B$4,0))</f>
        <v/>
      </c>
      <c r="U413" s="18">
        <f>COUNT(E413:Q413)</f>
        <v/>
      </c>
    </row>
    <row r="414">
      <c r="A414" s="13" t="inlineStr">
        <is>
          <t>15857685585804</t>
        </is>
      </c>
      <c r="B414" s="13" t="inlineStr">
        <is>
          <t>ANILLO TRES AROS</t>
        </is>
      </c>
      <c r="C414" s="13" t="inlineStr">
        <is>
          <t>6</t>
        </is>
      </c>
      <c r="D414" s="14" t="inlineStr">
        <is>
          <t>Stainless Stee</t>
        </is>
      </c>
      <c r="E414" s="15" t="n">
        <v>5</v>
      </c>
      <c r="F414" s="13" t="n"/>
      <c r="G414" s="13" t="n"/>
      <c r="H414" s="13" t="n"/>
      <c r="I414" s="15" t="n">
        <v>4.7</v>
      </c>
      <c r="J414" s="15" t="n">
        <v>4.7</v>
      </c>
      <c r="K414" s="13" t="n"/>
      <c r="L414" s="13" t="n"/>
      <c r="M414" s="13" t="n"/>
      <c r="N414" s="15" t="n">
        <v>4.7</v>
      </c>
      <c r="O414" s="13" t="n"/>
      <c r="P414" s="15" t="n">
        <v>4.7</v>
      </c>
      <c r="Q414" s="15" t="n">
        <v>4.7</v>
      </c>
      <c r="R414" s="16">
        <f>IF(COUNT(E414:Q414)=0,"",MIN(E414:Q414))</f>
        <v/>
      </c>
      <c r="S414" s="15">
        <f>IF(COUNT(E414:Q414)=0,"",LOOKUP(2,1/(E414:Q414&lt;&gt;""),E414:Q414))</f>
        <v/>
      </c>
      <c r="T414" s="17">
        <f>IF(R414="","",ROUND(R414*RESUMEN!$B$4,0))</f>
        <v/>
      </c>
      <c r="U414" s="18">
        <f>COUNT(E414:Q414)</f>
        <v/>
      </c>
    </row>
    <row r="415">
      <c r="A415" s="13" t="inlineStr">
        <is>
          <t>15857683908876</t>
        </is>
      </c>
      <c r="B415" s="13" t="inlineStr">
        <is>
          <t>ANILLO TRES AROS</t>
        </is>
      </c>
      <c r="C415" s="13" t="inlineStr">
        <is>
          <t>7</t>
        </is>
      </c>
      <c r="D415" s="14" t="inlineStr">
        <is>
          <t>Stainless Stee</t>
        </is>
      </c>
      <c r="E415" s="13" t="n"/>
      <c r="F415" s="15" t="n">
        <v>4.7</v>
      </c>
      <c r="G415" s="13" t="n"/>
      <c r="H415" s="13" t="n"/>
      <c r="I415" s="15" t="n">
        <v>4.7</v>
      </c>
      <c r="J415" s="15" t="n">
        <v>4.7</v>
      </c>
      <c r="K415" s="13" t="n"/>
      <c r="L415" s="13" t="n"/>
      <c r="M415" s="13" t="n"/>
      <c r="N415" s="13" t="n"/>
      <c r="O415" s="13" t="n"/>
      <c r="P415" s="15" t="n">
        <v>4.7</v>
      </c>
      <c r="Q415" s="13" t="n"/>
      <c r="R415" s="16">
        <f>IF(COUNT(E415:Q415)=0,"",MIN(E415:Q415))</f>
        <v/>
      </c>
      <c r="S415" s="15">
        <f>IF(COUNT(E415:Q415)=0,"",LOOKUP(2,1/(E415:Q415&lt;&gt;""),E415:Q415))</f>
        <v/>
      </c>
      <c r="T415" s="17">
        <f>IF(R415="","",ROUND(R415*RESUMEN!$B$4,0))</f>
        <v/>
      </c>
      <c r="U415" s="18">
        <f>COUNT(E415:Q415)</f>
        <v/>
      </c>
    </row>
    <row r="416">
      <c r="A416" s="13" t="inlineStr">
        <is>
          <t>15857685448972</t>
        </is>
      </c>
      <c r="B416" s="13" t="inlineStr">
        <is>
          <t>ANILLO TRES AROS</t>
        </is>
      </c>
      <c r="C416" s="13" t="inlineStr">
        <is>
          <t>8</t>
        </is>
      </c>
      <c r="D416" s="14" t="inlineStr">
        <is>
          <t>Stainless Stee</t>
        </is>
      </c>
      <c r="E416" s="13" t="n"/>
      <c r="F416" s="13" t="n"/>
      <c r="G416" s="13" t="n"/>
      <c r="H416" s="15" t="n">
        <v>4.7</v>
      </c>
      <c r="I416" s="15" t="n">
        <v>4.7</v>
      </c>
      <c r="J416" s="15" t="n">
        <v>4.7</v>
      </c>
      <c r="K416" s="13" t="n"/>
      <c r="L416" s="13" t="n"/>
      <c r="M416" s="13" t="n"/>
      <c r="N416" s="13" t="n"/>
      <c r="O416" s="15" t="n">
        <v>4.7</v>
      </c>
      <c r="P416" s="13" t="n"/>
      <c r="Q416" s="15" t="n">
        <v>4.7</v>
      </c>
      <c r="R416" s="16">
        <f>IF(COUNT(E416:Q416)=0,"",MIN(E416:Q416))</f>
        <v/>
      </c>
      <c r="S416" s="15">
        <f>IF(COUNT(E416:Q416)=0,"",LOOKUP(2,1/(E416:Q416&lt;&gt;""),E416:Q416))</f>
        <v/>
      </c>
      <c r="T416" s="17">
        <f>IF(R416="","",ROUND(R416*RESUMEN!$B$4,0))</f>
        <v/>
      </c>
      <c r="U416" s="18">
        <f>COUNT(E416:Q416)</f>
        <v/>
      </c>
    </row>
    <row r="417">
      <c r="A417" s="13" t="inlineStr">
        <is>
          <t>15857686786700</t>
        </is>
      </c>
      <c r="B417" s="13" t="inlineStr">
        <is>
          <t>ANILLO TRES AROS</t>
        </is>
      </c>
      <c r="C417" s="13" t="inlineStr">
        <is>
          <t>9</t>
        </is>
      </c>
      <c r="D417" s="14" t="inlineStr">
        <is>
          <t>Stainless stee</t>
        </is>
      </c>
      <c r="E417" s="13" t="n"/>
      <c r="F417" s="13" t="n"/>
      <c r="G417" s="13" t="n"/>
      <c r="H417" s="15" t="n">
        <v>4.7</v>
      </c>
      <c r="I417" s="13" t="n"/>
      <c r="J417" s="15" t="n">
        <v>4.7</v>
      </c>
      <c r="K417" s="13" t="n"/>
      <c r="L417" s="13" t="n"/>
      <c r="M417" s="15" t="n">
        <v>4.7</v>
      </c>
      <c r="N417" s="15" t="n">
        <v>4.7</v>
      </c>
      <c r="O417" s="15" t="n">
        <v>4.7</v>
      </c>
      <c r="P417" s="13" t="n"/>
      <c r="Q417" s="13" t="n"/>
      <c r="R417" s="16">
        <f>IF(COUNT(E417:Q417)=0,"",MIN(E417:Q417))</f>
        <v/>
      </c>
      <c r="S417" s="15">
        <f>IF(COUNT(E417:Q417)=0,"",LOOKUP(2,1/(E417:Q417&lt;&gt;""),E417:Q417))</f>
        <v/>
      </c>
      <c r="T417" s="17">
        <f>IF(R417="","",ROUND(R417*RESUMEN!$B$4,0))</f>
        <v/>
      </c>
      <c r="U417" s="18">
        <f>COUNT(E417:Q417)</f>
        <v/>
      </c>
    </row>
    <row r="418">
      <c r="A418" s="13" t="inlineStr">
        <is>
          <t>99824591015117</t>
        </is>
      </c>
      <c r="B418" s="13" t="inlineStr">
        <is>
          <t>ANILLO TRES AROS CON ZIRCONIA</t>
        </is>
      </c>
      <c r="C418" s="13" t="inlineStr">
        <is>
          <t>5</t>
        </is>
      </c>
      <c r="D418" s="14" t="inlineStr">
        <is>
          <t>Stainless stee</t>
        </is>
      </c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5" t="n">
        <v>10</v>
      </c>
      <c r="N418" s="13" t="n"/>
      <c r="O418" s="13" t="n"/>
      <c r="P418" s="15" t="n">
        <v>10</v>
      </c>
      <c r="Q418" s="13" t="n"/>
      <c r="R418" s="16">
        <f>IF(COUNT(E418:Q418)=0,"",MIN(E418:Q418))</f>
        <v/>
      </c>
      <c r="S418" s="15">
        <f>IF(COUNT(E418:Q418)=0,"",LOOKUP(2,1/(E418:Q418&lt;&gt;""),E418:Q418))</f>
        <v/>
      </c>
      <c r="T418" s="17">
        <f>IF(R418="","",ROUND(R418*RESUMEN!$B$4,0))</f>
        <v/>
      </c>
      <c r="U418" s="18">
        <f>COUNT(E418:Q418)</f>
        <v/>
      </c>
    </row>
    <row r="419">
      <c r="A419" s="13" t="inlineStr">
        <is>
          <t>56481488554124</t>
        </is>
      </c>
      <c r="B419" s="13" t="inlineStr">
        <is>
          <t>ANILLO TRES AROS CON ZIRCONIA</t>
        </is>
      </c>
      <c r="C419" s="13" t="inlineStr">
        <is>
          <t>6</t>
        </is>
      </c>
      <c r="D419" s="14" t="inlineStr">
        <is>
          <t>Copper alloy</t>
        </is>
      </c>
      <c r="E419" s="15" t="n">
        <v>5</v>
      </c>
      <c r="F419" s="15" t="n">
        <v>9</v>
      </c>
      <c r="G419" s="13" t="n"/>
      <c r="H419" s="15" t="n">
        <v>10</v>
      </c>
      <c r="I419" s="15" t="n">
        <v>10</v>
      </c>
      <c r="J419" s="13" t="n"/>
      <c r="K419" s="13" t="n"/>
      <c r="L419" s="15" t="n">
        <v>10</v>
      </c>
      <c r="M419" s="13" t="n"/>
      <c r="N419" s="13" t="n"/>
      <c r="O419" s="13" t="n"/>
      <c r="P419" s="13" t="n"/>
      <c r="Q419" s="13" t="n"/>
      <c r="R419" s="16">
        <f>IF(COUNT(E419:Q419)=0,"",MIN(E419:Q419))</f>
        <v/>
      </c>
      <c r="S419" s="15">
        <f>IF(COUNT(E419:Q419)=0,"",LOOKUP(2,1/(E419:Q419&lt;&gt;""),E419:Q419))</f>
        <v/>
      </c>
      <c r="T419" s="17">
        <f>IF(R419="","",ROUND(R419*RESUMEN!$B$4,0))</f>
        <v/>
      </c>
      <c r="U419" s="18">
        <f>COUNT(E419:Q419)</f>
        <v/>
      </c>
    </row>
    <row r="420">
      <c r="A420" s="13" t="inlineStr">
        <is>
          <t>56481488586892</t>
        </is>
      </c>
      <c r="B420" s="13" t="inlineStr">
        <is>
          <t>ANILLO TRES AROS CON ZIRCONIA</t>
        </is>
      </c>
      <c r="C420" s="13" t="inlineStr">
        <is>
          <t>7</t>
        </is>
      </c>
      <c r="D420" s="14" t="inlineStr"/>
      <c r="E420" s="15" t="n">
        <v>5</v>
      </c>
      <c r="F420" s="13" t="n"/>
      <c r="G420" s="13" t="n"/>
      <c r="H420" s="15" t="n">
        <v>10</v>
      </c>
      <c r="I420" s="15" t="n">
        <v>10</v>
      </c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6">
        <f>IF(COUNT(E420:Q420)=0,"",MIN(E420:Q420))</f>
        <v/>
      </c>
      <c r="S420" s="15">
        <f>IF(COUNT(E420:Q420)=0,"",LOOKUP(2,1/(E420:Q420&lt;&gt;""),E420:Q420))</f>
        <v/>
      </c>
      <c r="T420" s="17">
        <f>IF(R420="","",ROUND(R420*RESUMEN!$B$4,0))</f>
        <v/>
      </c>
      <c r="U420" s="18">
        <f>COUNT(E420:Q420)</f>
        <v/>
      </c>
    </row>
    <row r="421">
      <c r="A421" s="13" t="inlineStr">
        <is>
          <t>56481488619660</t>
        </is>
      </c>
      <c r="B421" s="13" t="inlineStr">
        <is>
          <t>ANILLO TRES AROS CON ZIRCONIA</t>
        </is>
      </c>
      <c r="C421" s="13" t="inlineStr">
        <is>
          <t>8</t>
        </is>
      </c>
      <c r="D421" s="14" t="inlineStr">
        <is>
          <t>Stainless stee</t>
        </is>
      </c>
      <c r="E421" s="13" t="n"/>
      <c r="F421" s="13" t="n"/>
      <c r="G421" s="13" t="n"/>
      <c r="H421" s="15" t="n">
        <v>10</v>
      </c>
      <c r="I421" s="13" t="n"/>
      <c r="J421" s="15" t="n">
        <v>10</v>
      </c>
      <c r="K421" s="13" t="n"/>
      <c r="L421" s="13" t="n"/>
      <c r="M421" s="15" t="n">
        <v>10</v>
      </c>
      <c r="N421" s="15" t="n">
        <v>10</v>
      </c>
      <c r="O421" s="15" t="n">
        <v>10</v>
      </c>
      <c r="P421" s="13" t="n"/>
      <c r="Q421" s="13" t="n"/>
      <c r="R421" s="16">
        <f>IF(COUNT(E421:Q421)=0,"",MIN(E421:Q421))</f>
        <v/>
      </c>
      <c r="S421" s="15">
        <f>IF(COUNT(E421:Q421)=0,"",LOOKUP(2,1/(E421:Q421&lt;&gt;""),E421:Q421))</f>
        <v/>
      </c>
      <c r="T421" s="17">
        <f>IF(R421="","",ROUND(R421*RESUMEN!$B$4,0))</f>
        <v/>
      </c>
      <c r="U421" s="18">
        <f>COUNT(E421:Q421)</f>
        <v/>
      </c>
    </row>
    <row r="422">
      <c r="A422" s="13" t="inlineStr">
        <is>
          <t>56481485096204</t>
        </is>
      </c>
      <c r="B422" s="13" t="inlineStr">
        <is>
          <t>ANILLO TRES AROS SILVER/BLACK</t>
        </is>
      </c>
      <c r="C422" s="13" t="inlineStr">
        <is>
          <t>10</t>
        </is>
      </c>
      <c r="D422" s="14" t="inlineStr">
        <is>
          <t>Stainless Stee</t>
        </is>
      </c>
      <c r="E422" s="13" t="n"/>
      <c r="F422" s="15" t="n">
        <v>5</v>
      </c>
      <c r="G422" s="13" t="n"/>
      <c r="H422" s="13" t="n"/>
      <c r="I422" s="15" t="n">
        <v>5</v>
      </c>
      <c r="J422" s="13" t="n"/>
      <c r="K422" s="13" t="n"/>
      <c r="L422" s="15" t="n">
        <v>5</v>
      </c>
      <c r="M422" s="13" t="n"/>
      <c r="N422" s="13" t="n"/>
      <c r="O422" s="13" t="n"/>
      <c r="P422" s="13" t="n"/>
      <c r="Q422" s="15" t="n">
        <v>5</v>
      </c>
      <c r="R422" s="16">
        <f>IF(COUNT(E422:Q422)=0,"",MIN(E422:Q422))</f>
        <v/>
      </c>
      <c r="S422" s="15">
        <f>IF(COUNT(E422:Q422)=0,"",LOOKUP(2,1/(E422:Q422&lt;&gt;""),E422:Q422))</f>
        <v/>
      </c>
      <c r="T422" s="17">
        <f>IF(R422="","",ROUND(R422*RESUMEN!$B$4,0))</f>
        <v/>
      </c>
      <c r="U422" s="18">
        <f>COUNT(E422:Q422)</f>
        <v/>
      </c>
    </row>
    <row r="423">
      <c r="A423" s="13" t="inlineStr">
        <is>
          <t>33943761064813</t>
        </is>
      </c>
      <c r="B423" s="13" t="inlineStr">
        <is>
          <t>ANILLO TRES AROS SILVER/BLACK</t>
        </is>
      </c>
      <c r="C423" s="13" t="inlineStr">
        <is>
          <t>7</t>
        </is>
      </c>
      <c r="D423" s="14" t="inlineStr">
        <is>
          <t>Stainless Stee</t>
        </is>
      </c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5" t="n">
        <v>5</v>
      </c>
      <c r="Q423" s="13" t="n"/>
      <c r="R423" s="16">
        <f>IF(COUNT(E423:Q423)=0,"",MIN(E423:Q423))</f>
        <v/>
      </c>
      <c r="S423" s="15">
        <f>IF(COUNT(E423:Q423)=0,"",LOOKUP(2,1/(E423:Q423&lt;&gt;""),E423:Q423))</f>
        <v/>
      </c>
      <c r="T423" s="17">
        <f>IF(R423="","",ROUND(R423*RESUMEN!$B$4,0))</f>
        <v/>
      </c>
      <c r="U423" s="18">
        <f>COUNT(E423:Q423)</f>
        <v/>
      </c>
    </row>
    <row r="424">
      <c r="A424" s="13" t="inlineStr">
        <is>
          <t>56481485030668</t>
        </is>
      </c>
      <c r="B424" s="13" t="inlineStr">
        <is>
          <t>ANILLO TRES AROS SILVER/BLACK</t>
        </is>
      </c>
      <c r="C424" s="13" t="inlineStr">
        <is>
          <t>8</t>
        </is>
      </c>
      <c r="D424" s="14" t="inlineStr">
        <is>
          <t>Stainless Stee</t>
        </is>
      </c>
      <c r="E424" s="15" t="n">
        <v>5</v>
      </c>
      <c r="F424" s="13" t="n"/>
      <c r="G424" s="13" t="n"/>
      <c r="H424" s="15" t="n">
        <v>5</v>
      </c>
      <c r="I424" s="15" t="n">
        <v>5</v>
      </c>
      <c r="J424" s="13" t="n"/>
      <c r="K424" s="13" t="n"/>
      <c r="L424" s="13" t="n"/>
      <c r="M424" s="15" t="n">
        <v>5</v>
      </c>
      <c r="N424" s="13" t="n"/>
      <c r="O424" s="13" t="n"/>
      <c r="P424" s="15" t="n">
        <v>5</v>
      </c>
      <c r="Q424" s="15" t="n">
        <v>5</v>
      </c>
      <c r="R424" s="16">
        <f>IF(COUNT(E424:Q424)=0,"",MIN(E424:Q424))</f>
        <v/>
      </c>
      <c r="S424" s="15">
        <f>IF(COUNT(E424:Q424)=0,"",LOOKUP(2,1/(E424:Q424&lt;&gt;""),E424:Q424))</f>
        <v/>
      </c>
      <c r="T424" s="17">
        <f>IF(R424="","",ROUND(R424*RESUMEN!$B$4,0))</f>
        <v/>
      </c>
      <c r="U424" s="18">
        <f>COUNT(E424:Q424)</f>
        <v/>
      </c>
    </row>
    <row r="425">
      <c r="A425" s="13" t="inlineStr">
        <is>
          <t>56481485063436</t>
        </is>
      </c>
      <c r="B425" s="13" t="inlineStr">
        <is>
          <t>ANILLO TRES AROS SILVER/BLACK</t>
        </is>
      </c>
      <c r="C425" s="13" t="inlineStr">
        <is>
          <t>9</t>
        </is>
      </c>
      <c r="D425" s="14" t="inlineStr">
        <is>
          <t>Stainless Stee</t>
        </is>
      </c>
      <c r="E425" s="15" t="n">
        <v>5</v>
      </c>
      <c r="F425" s="13" t="n"/>
      <c r="G425" s="13" t="n"/>
      <c r="H425" s="13" t="n"/>
      <c r="I425" s="13" t="n"/>
      <c r="J425" s="15" t="n">
        <v>5</v>
      </c>
      <c r="K425" s="13" t="n"/>
      <c r="L425" s="15" t="n">
        <v>5</v>
      </c>
      <c r="M425" s="13" t="n"/>
      <c r="N425" s="13" t="n"/>
      <c r="O425" s="13" t="n"/>
      <c r="P425" s="13" t="n"/>
      <c r="Q425" s="15" t="n">
        <v>5</v>
      </c>
      <c r="R425" s="16">
        <f>IF(COUNT(E425:Q425)=0,"",MIN(E425:Q425))</f>
        <v/>
      </c>
      <c r="S425" s="15">
        <f>IF(COUNT(E425:Q425)=0,"",LOOKUP(2,1/(E425:Q425&lt;&gt;""),E425:Q425))</f>
        <v/>
      </c>
      <c r="T425" s="17">
        <f>IF(R425="","",ROUND(R425*RESUMEN!$B$4,0))</f>
        <v/>
      </c>
      <c r="U425" s="18">
        <f>COUNT(E425:Q425)</f>
        <v/>
      </c>
    </row>
    <row r="426">
      <c r="A426" s="13" t="inlineStr">
        <is>
          <t>22064321801965</t>
        </is>
      </c>
      <c r="B426" s="13" t="inlineStr">
        <is>
          <t>ANILLO TRINITY</t>
        </is>
      </c>
      <c r="C426" s="13" t="inlineStr">
        <is>
          <t>6</t>
        </is>
      </c>
      <c r="D426" s="14" t="inlineStr"/>
      <c r="E426" s="13" t="n"/>
      <c r="F426" s="13" t="n"/>
      <c r="G426" s="13" t="n"/>
      <c r="H426" s="13" t="n"/>
      <c r="I426" s="13" t="n"/>
      <c r="J426" s="13" t="n"/>
      <c r="K426" s="15" t="n">
        <v>8</v>
      </c>
      <c r="L426" s="13" t="n"/>
      <c r="M426" s="13" t="n"/>
      <c r="N426" s="13" t="n"/>
      <c r="O426" s="13" t="n"/>
      <c r="P426" s="13" t="n"/>
      <c r="Q426" s="13" t="n"/>
      <c r="R426" s="16">
        <f>IF(COUNT(E426:Q426)=0,"",MIN(E426:Q426))</f>
        <v/>
      </c>
      <c r="S426" s="15">
        <f>IF(COUNT(E426:Q426)=0,"",LOOKUP(2,1/(E426:Q426&lt;&gt;""),E426:Q426))</f>
        <v/>
      </c>
      <c r="T426" s="17">
        <f>IF(R426="","",ROUND(R426*RESUMEN!$B$4,0))</f>
        <v/>
      </c>
      <c r="U426" s="18">
        <f>COUNT(E426:Q426)</f>
        <v/>
      </c>
    </row>
    <row r="427">
      <c r="A427" s="13" t="inlineStr">
        <is>
          <t>22064321934733</t>
        </is>
      </c>
      <c r="B427" s="13" t="inlineStr">
        <is>
          <t>ANILLO TRINITY</t>
        </is>
      </c>
      <c r="C427" s="13" t="inlineStr">
        <is>
          <t>7</t>
        </is>
      </c>
      <c r="D427" s="14" t="inlineStr">
        <is>
          <t>Stainless Stee</t>
        </is>
      </c>
      <c r="E427" s="13" t="n"/>
      <c r="F427" s="13" t="n"/>
      <c r="G427" s="13" t="n"/>
      <c r="H427" s="13" t="n"/>
      <c r="I427" s="13" t="n"/>
      <c r="J427" s="13" t="n"/>
      <c r="K427" s="15" t="n">
        <v>8</v>
      </c>
      <c r="L427" s="13" t="n"/>
      <c r="M427" s="13" t="n"/>
      <c r="N427" s="13" t="n"/>
      <c r="O427" s="13" t="n"/>
      <c r="P427" s="13" t="n"/>
      <c r="Q427" s="15" t="n">
        <v>8</v>
      </c>
      <c r="R427" s="16">
        <f>IF(COUNT(E427:Q427)=0,"",MIN(E427:Q427))</f>
        <v/>
      </c>
      <c r="S427" s="15">
        <f>IF(COUNT(E427:Q427)=0,"",LOOKUP(2,1/(E427:Q427&lt;&gt;""),E427:Q427))</f>
        <v/>
      </c>
      <c r="T427" s="17">
        <f>IF(R427="","",ROUND(R427*RESUMEN!$B$4,0))</f>
        <v/>
      </c>
      <c r="U427" s="18">
        <f>COUNT(E427:Q427)</f>
        <v/>
      </c>
    </row>
    <row r="428">
      <c r="A428" s="13" t="inlineStr">
        <is>
          <t>89246881116333</t>
        </is>
      </c>
      <c r="B428" s="13" t="inlineStr">
        <is>
          <t>ANILLO TRINITY TRES AROS</t>
        </is>
      </c>
      <c r="C428" s="13" t="inlineStr">
        <is>
          <t>7</t>
        </is>
      </c>
      <c r="D428" s="14" t="inlineStr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5" t="n">
        <v>6</v>
      </c>
      <c r="O428" s="13" t="n"/>
      <c r="P428" s="13" t="n"/>
      <c r="Q428" s="13" t="n"/>
      <c r="R428" s="16">
        <f>IF(COUNT(E428:Q428)=0,"",MIN(E428:Q428))</f>
        <v/>
      </c>
      <c r="S428" s="15">
        <f>IF(COUNT(E428:Q428)=0,"",LOOKUP(2,1/(E428:Q428&lt;&gt;""),E428:Q428))</f>
        <v/>
      </c>
      <c r="T428" s="17">
        <f>IF(R428="","",ROUND(R428*RESUMEN!$B$4,0))</f>
        <v/>
      </c>
      <c r="U428" s="18">
        <f>COUNT(E428:Q428)</f>
        <v/>
      </c>
    </row>
    <row r="429">
      <c r="A429" s="13" t="inlineStr">
        <is>
          <t>95854382554189</t>
        </is>
      </c>
      <c r="B429" s="13" t="inlineStr">
        <is>
          <t>ANILLO TRINITY TRICOLOR</t>
        </is>
      </c>
      <c r="C429" s="13" t="inlineStr">
        <is>
          <t>7</t>
        </is>
      </c>
      <c r="D429" s="14" t="inlineStr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5" t="n">
        <v>7.5</v>
      </c>
      <c r="O429" s="13" t="n"/>
      <c r="P429" s="13" t="n"/>
      <c r="Q429" s="13" t="n"/>
      <c r="R429" s="16">
        <f>IF(COUNT(E429:Q429)=0,"",MIN(E429:Q429))</f>
        <v/>
      </c>
      <c r="S429" s="15">
        <f>IF(COUNT(E429:Q429)=0,"",LOOKUP(2,1/(E429:Q429&lt;&gt;""),E429:Q429))</f>
        <v/>
      </c>
      <c r="T429" s="17">
        <f>IF(R429="","",ROUND(R429*RESUMEN!$B$4,0))</f>
        <v/>
      </c>
      <c r="U429" s="18">
        <f>COUNT(E429:Q429)</f>
        <v/>
      </c>
    </row>
    <row r="430">
      <c r="A430" s="13" t="inlineStr">
        <is>
          <t>99045341185485</t>
        </is>
      </c>
      <c r="B430" s="13" t="inlineStr">
        <is>
          <t>ANILLO TRÉBOL CON ZIRCONIA GOLD VF</t>
        </is>
      </c>
      <c r="C430" s="13" t="inlineStr">
        <is>
          <t>7</t>
        </is>
      </c>
      <c r="D430" s="14" t="inlineStr">
        <is>
          <t>Copper Alloy</t>
        </is>
      </c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5" t="n">
        <v>5.99</v>
      </c>
      <c r="R430" s="16">
        <f>IF(COUNT(E430:Q430)=0,"",MIN(E430:Q430))</f>
        <v/>
      </c>
      <c r="S430" s="15">
        <f>IF(COUNT(E430:Q430)=0,"",LOOKUP(2,1/(E430:Q430&lt;&gt;""),E430:Q430))</f>
        <v/>
      </c>
      <c r="T430" s="17">
        <f>IF(R430="","",ROUND(R430*RESUMEN!$B$4,0))</f>
        <v/>
      </c>
      <c r="U430" s="18">
        <f>COUNT(E430:Q430)</f>
        <v/>
      </c>
    </row>
    <row r="431">
      <c r="A431" s="13" t="inlineStr">
        <is>
          <t>67201535739341</t>
        </is>
      </c>
      <c r="B431" s="13" t="inlineStr">
        <is>
          <t>ANILLO TRÉBOL CON ZIRCONIA ROSE GOLD VF</t>
        </is>
      </c>
      <c r="C431" s="13" t="inlineStr">
        <is>
          <t>6</t>
        </is>
      </c>
      <c r="D431" s="14" t="inlineStr">
        <is>
          <t>Copper Alloy</t>
        </is>
      </c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5" t="n">
        <v>5.99</v>
      </c>
      <c r="R431" s="16">
        <f>IF(COUNT(E431:Q431)=0,"",MIN(E431:Q431))</f>
        <v/>
      </c>
      <c r="S431" s="15">
        <f>IF(COUNT(E431:Q431)=0,"",LOOKUP(2,1/(E431:Q431&lt;&gt;""),E431:Q431))</f>
        <v/>
      </c>
      <c r="T431" s="17">
        <f>IF(R431="","",ROUND(R431*RESUMEN!$B$4,0))</f>
        <v/>
      </c>
      <c r="U431" s="18">
        <f>COUNT(E431:Q431)</f>
        <v/>
      </c>
    </row>
    <row r="432">
      <c r="A432" s="13" t="inlineStr">
        <is>
          <t>50498801106509</t>
        </is>
      </c>
      <c r="B432" s="13" t="inlineStr">
        <is>
          <t>ANILLO TRÉBOL CON ZIRCONIA SILVER VF</t>
        </is>
      </c>
      <c r="C432" s="13" t="inlineStr">
        <is>
          <t>7</t>
        </is>
      </c>
      <c r="D432" s="14" t="inlineStr">
        <is>
          <t>Copper alloy</t>
        </is>
      </c>
      <c r="E432" s="13" t="n"/>
      <c r="F432" s="13" t="n"/>
      <c r="G432" s="13" t="n"/>
      <c r="H432" s="13" t="n"/>
      <c r="I432" s="13" t="n"/>
      <c r="J432" s="15" t="n">
        <v>5.99</v>
      </c>
      <c r="K432" s="13" t="n"/>
      <c r="L432" s="15" t="n">
        <v>5.99</v>
      </c>
      <c r="M432" s="13" t="n"/>
      <c r="N432" s="13" t="n"/>
      <c r="O432" s="13" t="n"/>
      <c r="P432" s="13" t="n"/>
      <c r="Q432" s="13" t="n"/>
      <c r="R432" s="16">
        <f>IF(COUNT(E432:Q432)=0,"",MIN(E432:Q432))</f>
        <v/>
      </c>
      <c r="S432" s="15">
        <f>IF(COUNT(E432:Q432)=0,"",LOOKUP(2,1/(E432:Q432&lt;&gt;""),E432:Q432))</f>
        <v/>
      </c>
      <c r="T432" s="17">
        <f>IF(R432="","",ROUND(R432*RESUMEN!$B$4,0))</f>
        <v/>
      </c>
      <c r="U432" s="18">
        <f>COUNT(E432:Q432)</f>
        <v/>
      </c>
    </row>
    <row r="433">
      <c r="A433" s="13" t="inlineStr">
        <is>
          <t>38334521007073</t>
        </is>
      </c>
      <c r="B433" s="13" t="inlineStr">
        <is>
          <t>ANILLO TRÉBOL GOLD</t>
        </is>
      </c>
      <c r="C433" s="13" t="inlineStr">
        <is>
          <t>7</t>
        </is>
      </c>
      <c r="D433" s="14" t="inlineStr">
        <is>
          <t>Copper alloy</t>
        </is>
      </c>
      <c r="E433" s="13" t="n"/>
      <c r="F433" s="15" t="n">
        <v>5.99</v>
      </c>
      <c r="G433" s="13" t="n"/>
      <c r="H433" s="13" t="n"/>
      <c r="I433" s="13" t="n"/>
      <c r="J433" s="15" t="n">
        <v>5.99</v>
      </c>
      <c r="K433" s="13" t="n"/>
      <c r="L433" s="15" t="n">
        <v>5.99</v>
      </c>
      <c r="M433" s="13" t="n"/>
      <c r="N433" s="13" t="n"/>
      <c r="O433" s="13" t="n"/>
      <c r="P433" s="15" t="n">
        <v>5.99</v>
      </c>
      <c r="Q433" s="13" t="n"/>
      <c r="R433" s="16">
        <f>IF(COUNT(E433:Q433)=0,"",MIN(E433:Q433))</f>
        <v/>
      </c>
      <c r="S433" s="15">
        <f>IF(COUNT(E433:Q433)=0,"",LOOKUP(2,1/(E433:Q433&lt;&gt;""),E433:Q433))</f>
        <v/>
      </c>
      <c r="T433" s="17">
        <f>IF(R433="","",ROUND(R433*RESUMEN!$B$4,0))</f>
        <v/>
      </c>
      <c r="U433" s="18">
        <f>COUNT(E433:Q433)</f>
        <v/>
      </c>
    </row>
    <row r="434">
      <c r="A434" s="13" t="inlineStr">
        <is>
          <t>29973521015533</t>
        </is>
      </c>
      <c r="B434" s="13" t="inlineStr">
        <is>
          <t>ANILLO TRÉBOL SILVER</t>
        </is>
      </c>
      <c r="C434" s="13" t="inlineStr">
        <is>
          <t>6</t>
        </is>
      </c>
      <c r="D434" s="14" t="inlineStr"/>
      <c r="E434" s="13" t="n"/>
      <c r="F434" s="13" t="n"/>
      <c r="G434" s="13" t="n"/>
      <c r="H434" s="15" t="n">
        <v>5.99</v>
      </c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6">
        <f>IF(COUNT(E434:Q434)=0,"",MIN(E434:Q434))</f>
        <v/>
      </c>
      <c r="S434" s="15">
        <f>IF(COUNT(E434:Q434)=0,"",LOOKUP(2,1/(E434:Q434&lt;&gt;""),E434:Q434))</f>
        <v/>
      </c>
      <c r="T434" s="17">
        <f>IF(R434="","",ROUND(R434*RESUMEN!$B$4,0))</f>
        <v/>
      </c>
      <c r="U434" s="18">
        <f>COUNT(E434:Q434)</f>
        <v/>
      </c>
    </row>
    <row r="435">
      <c r="A435" s="13" t="inlineStr">
        <is>
          <t>38334521369409</t>
        </is>
      </c>
      <c r="B435" s="13" t="inlineStr">
        <is>
          <t>ANILLO TRÉBOL SILVER</t>
        </is>
      </c>
      <c r="C435" s="13" t="inlineStr">
        <is>
          <t>7</t>
        </is>
      </c>
      <c r="D435" s="14" t="inlineStr">
        <is>
          <t>Copper alloy</t>
        </is>
      </c>
      <c r="E435" s="13" t="n"/>
      <c r="F435" s="13" t="n"/>
      <c r="G435" s="13" t="n"/>
      <c r="H435" s="15" t="n">
        <v>5.99</v>
      </c>
      <c r="I435" s="15" t="n">
        <v>5.99</v>
      </c>
      <c r="J435" s="15" t="n">
        <v>5.99</v>
      </c>
      <c r="K435" s="13" t="n"/>
      <c r="L435" s="13" t="n"/>
      <c r="M435" s="13" t="n"/>
      <c r="N435" s="15" t="n">
        <v>5.99</v>
      </c>
      <c r="O435" s="13" t="n"/>
      <c r="P435" s="13" t="n"/>
      <c r="Q435" s="13" t="n"/>
      <c r="R435" s="16">
        <f>IF(COUNT(E435:Q435)=0,"",MIN(E435:Q435))</f>
        <v/>
      </c>
      <c r="S435" s="15">
        <f>IF(COUNT(E435:Q435)=0,"",LOOKUP(2,1/(E435:Q435&lt;&gt;""),E435:Q435))</f>
        <v/>
      </c>
      <c r="T435" s="17">
        <f>IF(R435="","",ROUND(R435*RESUMEN!$B$4,0))</f>
        <v/>
      </c>
      <c r="U435" s="18">
        <f>COUNT(E435:Q435)</f>
        <v/>
      </c>
    </row>
    <row r="436">
      <c r="A436" s="13" t="inlineStr">
        <is>
          <t>86347032691341</t>
        </is>
      </c>
      <c r="B436" s="13" t="inlineStr">
        <is>
          <t>ANILLO TWO-ROW GOLD</t>
        </is>
      </c>
      <c r="C436" s="13" t="inlineStr">
        <is>
          <t>6</t>
        </is>
      </c>
      <c r="D436" s="14" t="inlineStr">
        <is>
          <t>Copper alloy</t>
        </is>
      </c>
      <c r="E436" s="13" t="n"/>
      <c r="F436" s="13" t="n"/>
      <c r="G436" s="15" t="n">
        <v>6.99</v>
      </c>
      <c r="H436" s="13" t="n"/>
      <c r="I436" s="13" t="n"/>
      <c r="J436" s="13" t="n"/>
      <c r="K436" s="13" t="n"/>
      <c r="L436" s="15" t="n">
        <v>5.5</v>
      </c>
      <c r="M436" s="13" t="n"/>
      <c r="N436" s="13" t="n"/>
      <c r="O436" s="13" t="n"/>
      <c r="P436" s="13" t="n"/>
      <c r="Q436" s="15" t="n">
        <v>5.5</v>
      </c>
      <c r="R436" s="16">
        <f>IF(COUNT(E436:Q436)=0,"",MIN(E436:Q436))</f>
        <v/>
      </c>
      <c r="S436" s="15">
        <f>IF(COUNT(E436:Q436)=0,"",LOOKUP(2,1/(E436:Q436&lt;&gt;""),E436:Q436))</f>
        <v/>
      </c>
      <c r="T436" s="17">
        <f>IF(R436="","",ROUND(R436*RESUMEN!$B$4,0))</f>
        <v/>
      </c>
      <c r="U436" s="18">
        <f>COUNT(E436:Q436)</f>
        <v/>
      </c>
    </row>
    <row r="437">
      <c r="A437" s="13" t="inlineStr">
        <is>
          <t>86347032724109</t>
        </is>
      </c>
      <c r="B437" s="13" t="inlineStr">
        <is>
          <t>ANILLO TWO-ROW GOLD</t>
        </is>
      </c>
      <c r="C437" s="13" t="inlineStr">
        <is>
          <t>7</t>
        </is>
      </c>
      <c r="D437" s="14" t="inlineStr">
        <is>
          <t>Copper alloy</t>
        </is>
      </c>
      <c r="E437" s="13" t="n"/>
      <c r="F437" s="13" t="n"/>
      <c r="G437" s="15" t="n">
        <v>6.99</v>
      </c>
      <c r="H437" s="13" t="n"/>
      <c r="I437" s="13" t="n"/>
      <c r="J437" s="15" t="n">
        <v>6</v>
      </c>
      <c r="K437" s="13" t="n"/>
      <c r="L437" s="13" t="n"/>
      <c r="M437" s="15" t="n">
        <v>5.5</v>
      </c>
      <c r="N437" s="15" t="n">
        <v>5.5</v>
      </c>
      <c r="O437" s="13" t="n"/>
      <c r="P437" s="15" t="n">
        <v>5.5</v>
      </c>
      <c r="Q437" s="13" t="n"/>
      <c r="R437" s="16">
        <f>IF(COUNT(E437:Q437)=0,"",MIN(E437:Q437))</f>
        <v/>
      </c>
      <c r="S437" s="15">
        <f>IF(COUNT(E437:Q437)=0,"",LOOKUP(2,1/(E437:Q437&lt;&gt;""),E437:Q437))</f>
        <v/>
      </c>
      <c r="T437" s="17">
        <f>IF(R437="","",ROUND(R437*RESUMEN!$B$4,0))</f>
        <v/>
      </c>
      <c r="U437" s="18">
        <f>COUNT(E437:Q437)</f>
        <v/>
      </c>
    </row>
    <row r="438">
      <c r="A438" s="13" t="inlineStr">
        <is>
          <t>64085742023341</t>
        </is>
      </c>
      <c r="B438" s="13" t="inlineStr">
        <is>
          <t>ANILLO VENDOME TRICOLOR C</t>
        </is>
      </c>
      <c r="C438" s="13" t="inlineStr">
        <is>
          <t>5</t>
        </is>
      </c>
      <c r="D438" s="14" t="inlineStr">
        <is>
          <t>Stainless Stee</t>
        </is>
      </c>
      <c r="E438" s="13" t="n"/>
      <c r="F438" s="13" t="n"/>
      <c r="G438" s="13" t="n"/>
      <c r="H438" s="15" t="n">
        <v>6</v>
      </c>
      <c r="I438" s="15" t="n">
        <v>6</v>
      </c>
      <c r="J438" s="13" t="n"/>
      <c r="K438" s="13" t="n"/>
      <c r="L438" s="13" t="n"/>
      <c r="M438" s="13" t="n"/>
      <c r="N438" s="13" t="n"/>
      <c r="O438" s="13" t="n"/>
      <c r="P438" s="15" t="n">
        <v>6</v>
      </c>
      <c r="Q438" s="13" t="n"/>
      <c r="R438" s="16">
        <f>IF(COUNT(E438:Q438)=0,"",MIN(E438:Q438))</f>
        <v/>
      </c>
      <c r="S438" s="15">
        <f>IF(COUNT(E438:Q438)=0,"",LOOKUP(2,1/(E438:Q438&lt;&gt;""),E438:Q438))</f>
        <v/>
      </c>
      <c r="T438" s="17">
        <f>IF(R438="","",ROUND(R438*RESUMEN!$B$4,0))</f>
        <v/>
      </c>
      <c r="U438" s="18">
        <f>COUNT(E438:Q438)</f>
        <v/>
      </c>
    </row>
    <row r="439">
      <c r="A439" s="13" t="inlineStr">
        <is>
          <t>64085742114861</t>
        </is>
      </c>
      <c r="B439" s="13" t="inlineStr">
        <is>
          <t>ANILLO VENDOME TRICOLOR C</t>
        </is>
      </c>
      <c r="C439" s="13" t="inlineStr">
        <is>
          <t>6</t>
        </is>
      </c>
      <c r="D439" s="14" t="inlineStr">
        <is>
          <t>Stainless Stee</t>
        </is>
      </c>
      <c r="E439" s="13" t="n"/>
      <c r="F439" s="15" t="n">
        <v>6</v>
      </c>
      <c r="G439" s="13" t="n"/>
      <c r="H439" s="13" t="n"/>
      <c r="I439" s="13" t="n"/>
      <c r="J439" s="13" t="n"/>
      <c r="K439" s="13" t="n"/>
      <c r="L439" s="15" t="n">
        <v>6</v>
      </c>
      <c r="M439" s="13" t="n"/>
      <c r="N439" s="13" t="n"/>
      <c r="O439" s="13" t="n"/>
      <c r="P439" s="15" t="n">
        <v>6</v>
      </c>
      <c r="Q439" s="13" t="n"/>
      <c r="R439" s="16">
        <f>IF(COUNT(E439:Q439)=0,"",MIN(E439:Q439))</f>
        <v/>
      </c>
      <c r="S439" s="15">
        <f>IF(COUNT(E439:Q439)=0,"",LOOKUP(2,1/(E439:Q439&lt;&gt;""),E439:Q439))</f>
        <v/>
      </c>
      <c r="T439" s="17">
        <f>IF(R439="","",ROUND(R439*RESUMEN!$B$4,0))</f>
        <v/>
      </c>
      <c r="U439" s="18">
        <f>COUNT(E439:Q439)</f>
        <v/>
      </c>
    </row>
    <row r="440">
      <c r="A440" s="13" t="inlineStr">
        <is>
          <t>64085742247629</t>
        </is>
      </c>
      <c r="B440" s="13" t="inlineStr">
        <is>
          <t>ANILLO VENDOME TRICOLOR C</t>
        </is>
      </c>
      <c r="C440" s="13" t="inlineStr">
        <is>
          <t>7</t>
        </is>
      </c>
      <c r="D440" s="14" t="inlineStr">
        <is>
          <t>Stainless Stee</t>
        </is>
      </c>
      <c r="E440" s="13" t="n"/>
      <c r="F440" s="13" t="n"/>
      <c r="G440" s="13" t="n"/>
      <c r="H440" s="15" t="n">
        <v>6</v>
      </c>
      <c r="I440" s="15" t="n">
        <v>6</v>
      </c>
      <c r="J440" s="13" t="n"/>
      <c r="K440" s="13" t="n"/>
      <c r="L440" s="13" t="n"/>
      <c r="M440" s="13" t="n"/>
      <c r="N440" s="13" t="n"/>
      <c r="O440" s="13" t="n"/>
      <c r="P440" s="15" t="n">
        <v>6</v>
      </c>
      <c r="Q440" s="13" t="n"/>
      <c r="R440" s="16">
        <f>IF(COUNT(E440:Q440)=0,"",MIN(E440:Q440))</f>
        <v/>
      </c>
      <c r="S440" s="15">
        <f>IF(COUNT(E440:Q440)=0,"",LOOKUP(2,1/(E440:Q440&lt;&gt;""),E440:Q440))</f>
        <v/>
      </c>
      <c r="T440" s="17">
        <f>IF(R440="","",ROUND(R440*RESUMEN!$B$4,0))</f>
        <v/>
      </c>
      <c r="U440" s="18">
        <f>COUNT(E440:Q440)</f>
        <v/>
      </c>
    </row>
    <row r="441">
      <c r="A441" s="13" t="inlineStr">
        <is>
          <t>95854381283501</t>
        </is>
      </c>
      <c r="B441" s="13" t="inlineStr">
        <is>
          <t>ANILLO VF 1FLOR</t>
        </is>
      </c>
      <c r="C441" s="13" t="inlineStr">
        <is>
          <t>7</t>
        </is>
      </c>
      <c r="D441" s="14" t="inlineStr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5" t="n">
        <v>6.99</v>
      </c>
      <c r="O441" s="13" t="n"/>
      <c r="P441" s="13" t="n"/>
      <c r="Q441" s="13" t="n"/>
      <c r="R441" s="16">
        <f>IF(COUNT(E441:Q441)=0,"",MIN(E441:Q441))</f>
        <v/>
      </c>
      <c r="S441" s="15">
        <f>IF(COUNT(E441:Q441)=0,"",LOOKUP(2,1/(E441:Q441&lt;&gt;""),E441:Q441))</f>
        <v/>
      </c>
      <c r="T441" s="17">
        <f>IF(R441="","",ROUND(R441*RESUMEN!$B$4,0))</f>
        <v/>
      </c>
      <c r="U441" s="18">
        <f>COUNT(E441:Q441)</f>
        <v/>
      </c>
    </row>
    <row r="442">
      <c r="A442" s="13" t="inlineStr">
        <is>
          <t>95854381181805</t>
        </is>
      </c>
      <c r="B442" s="13" t="inlineStr">
        <is>
          <t>ANILLO VF PERLEE CLOVERS</t>
        </is>
      </c>
      <c r="C442" s="13" t="inlineStr">
        <is>
          <t>7</t>
        </is>
      </c>
      <c r="D442" s="14" t="inlineStr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5" t="n">
        <v>6.99</v>
      </c>
      <c r="O442" s="13" t="n"/>
      <c r="P442" s="13" t="n"/>
      <c r="Q442" s="13" t="n"/>
      <c r="R442" s="16">
        <f>IF(COUNT(E442:Q442)=0,"",MIN(E442:Q442))</f>
        <v/>
      </c>
      <c r="S442" s="15">
        <f>IF(COUNT(E442:Q442)=0,"",LOOKUP(2,1/(E442:Q442&lt;&gt;""),E442:Q442))</f>
        <v/>
      </c>
      <c r="T442" s="17">
        <f>IF(R442="","",ROUND(R442*RESUMEN!$B$4,0))</f>
        <v/>
      </c>
      <c r="U442" s="18">
        <f>COUNT(E442:Q442)</f>
        <v/>
      </c>
    </row>
    <row r="443">
      <c r="A443" s="13" t="inlineStr">
        <is>
          <t>95854381352429</t>
        </is>
      </c>
      <c r="B443" s="13" t="inlineStr">
        <is>
          <t>ANILLO VF VINTAGE ALHAMBRA</t>
        </is>
      </c>
      <c r="C443" s="13" t="inlineStr">
        <is>
          <t>7</t>
        </is>
      </c>
      <c r="D443" s="14" t="inlineStr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5" t="n">
        <v>5.99</v>
      </c>
      <c r="O443" s="13" t="n"/>
      <c r="P443" s="13" t="n"/>
      <c r="Q443" s="13" t="n"/>
      <c r="R443" s="16">
        <f>IF(COUNT(E443:Q443)=0,"",MIN(E443:Q443))</f>
        <v/>
      </c>
      <c r="S443" s="15">
        <f>IF(COUNT(E443:Q443)=0,"",LOOKUP(2,1/(E443:Q443&lt;&gt;""),E443:Q443))</f>
        <v/>
      </c>
      <c r="T443" s="17">
        <f>IF(R443="","",ROUND(R443*RESUMEN!$B$4,0))</f>
        <v/>
      </c>
      <c r="U443" s="18">
        <f>COUNT(E443:Q443)</f>
        <v/>
      </c>
    </row>
    <row r="444">
      <c r="A444" s="13" t="inlineStr">
        <is>
          <t>81078751345773</t>
        </is>
      </c>
      <c r="B444" s="13" t="inlineStr">
        <is>
          <t>ARETES BLOSSOM COLGANTES ROSEGOLD</t>
        </is>
      </c>
      <c r="C444" s="13" t="inlineStr">
        <is>
          <t>Default Title</t>
        </is>
      </c>
      <c r="D444" s="14" t="inlineStr">
        <is>
          <t>Stainless Stee</t>
        </is>
      </c>
      <c r="E444" s="13" t="n"/>
      <c r="F444" s="13" t="n"/>
      <c r="G444" s="15" t="n">
        <v>8.99</v>
      </c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5" t="n">
        <v>11</v>
      </c>
      <c r="Q444" s="13" t="n"/>
      <c r="R444" s="16">
        <f>IF(COUNT(E444:Q444)=0,"",MIN(E444:Q444))</f>
        <v/>
      </c>
      <c r="S444" s="15">
        <f>IF(COUNT(E444:Q444)=0,"",LOOKUP(2,1/(E444:Q444&lt;&gt;""),E444:Q444))</f>
        <v/>
      </c>
      <c r="T444" s="17">
        <f>IF(R444="","",ROUND(R444*RESUMEN!$B$4,0))</f>
        <v/>
      </c>
      <c r="U444" s="18">
        <f>COUNT(E444:Q444)</f>
        <v/>
      </c>
    </row>
    <row r="445">
      <c r="A445" s="13" t="inlineStr">
        <is>
          <t>22064322578829</t>
        </is>
      </c>
      <c r="B445" s="13" t="inlineStr">
        <is>
          <t>ARETES BV B.ZERO ROSE GOLD</t>
        </is>
      </c>
      <c r="C445" s="13" t="inlineStr">
        <is>
          <t>Default Title</t>
        </is>
      </c>
      <c r="D445" s="14" t="inlineStr"/>
      <c r="E445" s="13" t="n"/>
      <c r="F445" s="13" t="n"/>
      <c r="G445" s="13" t="n"/>
      <c r="H445" s="13" t="n"/>
      <c r="I445" s="13" t="n"/>
      <c r="J445" s="13" t="n"/>
      <c r="K445" s="15" t="n">
        <v>10</v>
      </c>
      <c r="L445" s="13" t="n"/>
      <c r="M445" s="13" t="n"/>
      <c r="N445" s="13" t="n"/>
      <c r="O445" s="13" t="n"/>
      <c r="P445" s="13" t="n"/>
      <c r="Q445" s="13" t="n"/>
      <c r="R445" s="16">
        <f>IF(COUNT(E445:Q445)=0,"",MIN(E445:Q445))</f>
        <v/>
      </c>
      <c r="S445" s="15">
        <f>IF(COUNT(E445:Q445)=0,"",LOOKUP(2,1/(E445:Q445&lt;&gt;""),E445:Q445))</f>
        <v/>
      </c>
      <c r="T445" s="17">
        <f>IF(R445="","",ROUND(R445*RESUMEN!$B$4,0))</f>
        <v/>
      </c>
      <c r="U445" s="18">
        <f>COUNT(E445:Q445)</f>
        <v/>
      </c>
    </row>
    <row r="446">
      <c r="A446" s="13" t="inlineStr">
        <is>
          <t>89205551641453</t>
        </is>
      </c>
      <c r="B446" s="13" t="inlineStr">
        <is>
          <t>ARETES BV ROSEGOLD-WHITE</t>
        </is>
      </c>
      <c r="C446" s="13" t="inlineStr">
        <is>
          <t>Default Title</t>
        </is>
      </c>
      <c r="D446" s="14" t="inlineStr">
        <is>
          <t>Stainless Stee</t>
        </is>
      </c>
      <c r="E446" s="13" t="n"/>
      <c r="F446" s="15" t="n">
        <v>6</v>
      </c>
      <c r="G446" s="13" t="n"/>
      <c r="H446" s="13" t="n"/>
      <c r="I446" s="13" t="n"/>
      <c r="J446" s="15" t="n">
        <v>6</v>
      </c>
      <c r="K446" s="13" t="n"/>
      <c r="L446" s="15" t="n">
        <v>6</v>
      </c>
      <c r="M446" s="13" t="n"/>
      <c r="N446" s="13" t="n"/>
      <c r="O446" s="13" t="n"/>
      <c r="P446" s="15" t="n">
        <v>6</v>
      </c>
      <c r="Q446" s="13" t="n"/>
      <c r="R446" s="16">
        <f>IF(COUNT(E446:Q446)=0,"",MIN(E446:Q446))</f>
        <v/>
      </c>
      <c r="S446" s="15">
        <f>IF(COUNT(E446:Q446)=0,"",LOOKUP(2,1/(E446:Q446&lt;&gt;""),E446:Q446))</f>
        <v/>
      </c>
      <c r="T446" s="17">
        <f>IF(R446="","",ROUND(R446*RESUMEN!$B$4,0))</f>
        <v/>
      </c>
      <c r="U446" s="18">
        <f>COUNT(E446:Q446)</f>
        <v/>
      </c>
    </row>
    <row r="447">
      <c r="A447" s="13" t="inlineStr">
        <is>
          <t>60255941038093</t>
        </is>
      </c>
      <c r="B447" s="13" t="inlineStr">
        <is>
          <t>ARETES BV ROUND ROSEGOLD CON ZIRCONIA</t>
        </is>
      </c>
      <c r="C447" s="13" t="inlineStr">
        <is>
          <t>Default Title</t>
        </is>
      </c>
      <c r="D447" s="14" t="inlineStr">
        <is>
          <t>Stainless Stee</t>
        </is>
      </c>
      <c r="E447" s="13" t="n"/>
      <c r="F447" s="15" t="n">
        <v>7</v>
      </c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5" t="n">
        <v>7</v>
      </c>
      <c r="P447" s="13" t="n"/>
      <c r="Q447" s="13" t="n"/>
      <c r="R447" s="16">
        <f>IF(COUNT(E447:Q447)=0,"",MIN(E447:Q447))</f>
        <v/>
      </c>
      <c r="S447" s="15">
        <f>IF(COUNT(E447:Q447)=0,"",LOOKUP(2,1/(E447:Q447&lt;&gt;""),E447:Q447))</f>
        <v/>
      </c>
      <c r="T447" s="17">
        <f>IF(R447="","",ROUND(R447*RESUMEN!$B$4,0))</f>
        <v/>
      </c>
      <c r="U447" s="18">
        <f>COUNT(E447:Q447)</f>
        <v/>
      </c>
    </row>
    <row r="448">
      <c r="A448" s="13" t="inlineStr">
        <is>
          <t>49680571041677</t>
        </is>
      </c>
      <c r="B448" s="13" t="inlineStr">
        <is>
          <t>ARETES BV ROUND SILVER CON ZIRCONIA</t>
        </is>
      </c>
      <c r="C448" s="13" t="inlineStr">
        <is>
          <t>Default Title</t>
        </is>
      </c>
      <c r="D448" s="14" t="inlineStr">
        <is>
          <t>Stainless Stee</t>
        </is>
      </c>
      <c r="E448" s="13" t="n"/>
      <c r="F448" s="15" t="n">
        <v>7</v>
      </c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5" t="n">
        <v>7</v>
      </c>
      <c r="P448" s="13" t="n"/>
      <c r="Q448" s="13" t="n"/>
      <c r="R448" s="16">
        <f>IF(COUNT(E448:Q448)=0,"",MIN(E448:Q448))</f>
        <v/>
      </c>
      <c r="S448" s="15">
        <f>IF(COUNT(E448:Q448)=0,"",LOOKUP(2,1/(E448:Q448&lt;&gt;""),E448:Q448))</f>
        <v/>
      </c>
      <c r="T448" s="17">
        <f>IF(R448="","",ROUND(R448*RESUMEN!$B$4,0))</f>
        <v/>
      </c>
      <c r="U448" s="18">
        <f>COUNT(E448:Q448)</f>
        <v/>
      </c>
    </row>
    <row r="449">
      <c r="A449" s="13" t="inlineStr">
        <is>
          <t>64e78ca690d8e</t>
        </is>
      </c>
      <c r="B449" s="13" t="inlineStr">
        <is>
          <t>ARETES BV SILVER-BLACK</t>
        </is>
      </c>
      <c r="C449" s="13" t="inlineStr">
        <is>
          <t>0.7 cm</t>
        </is>
      </c>
      <c r="D449" s="14" t="inlineStr"/>
      <c r="E449" s="13" t="n"/>
      <c r="F449" s="15" t="n">
        <v>6</v>
      </c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6">
        <f>IF(COUNT(E449:Q449)=0,"",MIN(E449:Q449))</f>
        <v/>
      </c>
      <c r="S449" s="15">
        <f>IF(COUNT(E449:Q449)=0,"",LOOKUP(2,1/(E449:Q449&lt;&gt;""),E449:Q449))</f>
        <v/>
      </c>
      <c r="T449" s="17">
        <f>IF(R449="","",ROUND(R449*RESUMEN!$B$4,0))</f>
        <v/>
      </c>
      <c r="U449" s="18">
        <f>COUNT(E449:Q449)</f>
        <v/>
      </c>
    </row>
    <row r="450">
      <c r="A450" s="13" t="inlineStr">
        <is>
          <t>51078752492301</t>
        </is>
      </c>
      <c r="B450" s="13" t="inlineStr">
        <is>
          <t>ARETES C GOLD</t>
        </is>
      </c>
      <c r="C450" s="13" t="inlineStr">
        <is>
          <t>Default Title</t>
        </is>
      </c>
      <c r="D450" s="14" t="inlineStr">
        <is>
          <t>Copper alloy</t>
        </is>
      </c>
      <c r="E450" s="13" t="n"/>
      <c r="F450" s="13" t="n"/>
      <c r="G450" s="15" t="n">
        <v>5.99</v>
      </c>
      <c r="H450" s="13" t="n"/>
      <c r="I450" s="13" t="n"/>
      <c r="J450" s="15" t="n">
        <v>5.99</v>
      </c>
      <c r="K450" s="13" t="n"/>
      <c r="L450" s="15" t="n">
        <v>5.99</v>
      </c>
      <c r="M450" s="15" t="n">
        <v>5.99</v>
      </c>
      <c r="N450" s="13" t="n"/>
      <c r="O450" s="15" t="n">
        <v>5.99</v>
      </c>
      <c r="P450" s="15" t="n">
        <v>5.99</v>
      </c>
      <c r="Q450" s="13" t="n"/>
      <c r="R450" s="16">
        <f>IF(COUNT(E450:Q450)=0,"",MIN(E450:Q450))</f>
        <v/>
      </c>
      <c r="S450" s="15">
        <f>IF(COUNT(E450:Q450)=0,"",LOOKUP(2,1/(E450:Q450&lt;&gt;""),E450:Q450))</f>
        <v/>
      </c>
      <c r="T450" s="17">
        <f>IF(R450="","",ROUND(R450*RESUMEN!$B$4,0))</f>
        <v/>
      </c>
      <c r="U450" s="18">
        <f>COUNT(E450:Q450)</f>
        <v/>
      </c>
    </row>
    <row r="451">
      <c r="A451" s="13" t="inlineStr">
        <is>
          <t>11078752382541</t>
        </is>
      </c>
      <c r="B451" s="13" t="inlineStr">
        <is>
          <t>ARETES C GOLD PEARL</t>
        </is>
      </c>
      <c r="C451" s="13" t="inlineStr">
        <is>
          <t>Default Title</t>
        </is>
      </c>
      <c r="D451" s="14" t="inlineStr">
        <is>
          <t>Copper alloy</t>
        </is>
      </c>
      <c r="E451" s="13" t="n"/>
      <c r="F451" s="13" t="n"/>
      <c r="G451" s="15" t="n">
        <v>5.99</v>
      </c>
      <c r="H451" s="13" t="n"/>
      <c r="I451" s="13" t="n"/>
      <c r="J451" s="15" t="n">
        <v>5.99</v>
      </c>
      <c r="K451" s="13" t="n"/>
      <c r="L451" s="15" t="n">
        <v>5.99</v>
      </c>
      <c r="M451" s="13" t="n"/>
      <c r="N451" s="15" t="n">
        <v>5.99</v>
      </c>
      <c r="O451" s="13" t="n"/>
      <c r="P451" s="13" t="n"/>
      <c r="Q451" s="15" t="n">
        <v>5.99</v>
      </c>
      <c r="R451" s="16">
        <f>IF(COUNT(E451:Q451)=0,"",MIN(E451:Q451))</f>
        <v/>
      </c>
      <c r="S451" s="15">
        <f>IF(COUNT(E451:Q451)=0,"",LOOKUP(2,1/(E451:Q451&lt;&gt;""),E451:Q451))</f>
        <v/>
      </c>
      <c r="T451" s="17">
        <f>IF(R451="","",ROUND(R451*RESUMEN!$B$4,0))</f>
        <v/>
      </c>
      <c r="U451" s="18">
        <f>COUNT(E451:Q451)</f>
        <v/>
      </c>
    </row>
    <row r="452">
      <c r="A452" s="13" t="inlineStr">
        <is>
          <t>11078751910221</t>
        </is>
      </c>
      <c r="B452" s="13" t="inlineStr">
        <is>
          <t>ARETES C GOLD ZIRCONIAS</t>
        </is>
      </c>
      <c r="C452" s="13" t="inlineStr">
        <is>
          <t>Default Title</t>
        </is>
      </c>
      <c r="D452" s="14" t="inlineStr">
        <is>
          <t>Copper alloy</t>
        </is>
      </c>
      <c r="E452" s="13" t="n"/>
      <c r="F452" s="13" t="n"/>
      <c r="G452" s="15" t="n">
        <v>5.99</v>
      </c>
      <c r="H452" s="13" t="n"/>
      <c r="I452" s="13" t="n"/>
      <c r="J452" s="15" t="n">
        <v>5.99</v>
      </c>
      <c r="K452" s="13" t="n"/>
      <c r="L452" s="15" t="n">
        <v>5.99</v>
      </c>
      <c r="M452" s="13" t="n"/>
      <c r="N452" s="15" t="n">
        <v>5.99</v>
      </c>
      <c r="O452" s="13" t="n"/>
      <c r="P452" s="15" t="n">
        <v>5.99</v>
      </c>
      <c r="Q452" s="13" t="n"/>
      <c r="R452" s="16">
        <f>IF(COUNT(E452:Q452)=0,"",MIN(E452:Q452))</f>
        <v/>
      </c>
      <c r="S452" s="15">
        <f>IF(COUNT(E452:Q452)=0,"",LOOKUP(2,1/(E452:Q452&lt;&gt;""),E452:Q452))</f>
        <v/>
      </c>
      <c r="T452" s="17">
        <f>IF(R452="","",ROUND(R452*RESUMEN!$B$4,0))</f>
        <v/>
      </c>
      <c r="U452" s="18">
        <f>COUNT(E452:Q452)</f>
        <v/>
      </c>
    </row>
    <row r="453">
      <c r="A453" s="13" t="inlineStr">
        <is>
          <t>91078752530157</t>
        </is>
      </c>
      <c r="B453" s="13" t="inlineStr">
        <is>
          <t>ARETES C SILVER</t>
        </is>
      </c>
      <c r="C453" s="13" t="inlineStr">
        <is>
          <t>Default Title</t>
        </is>
      </c>
      <c r="D453" s="14" t="inlineStr">
        <is>
          <t>Copper alloy</t>
        </is>
      </c>
      <c r="E453" s="13" t="n"/>
      <c r="F453" s="13" t="n"/>
      <c r="G453" s="15" t="n">
        <v>5.99</v>
      </c>
      <c r="H453" s="13" t="n"/>
      <c r="I453" s="13" t="n"/>
      <c r="J453" s="15" t="n">
        <v>5.99</v>
      </c>
      <c r="K453" s="13" t="n"/>
      <c r="L453" s="15" t="n">
        <v>5.99</v>
      </c>
      <c r="M453" s="13" t="n"/>
      <c r="N453" s="15" t="n">
        <v>5.99</v>
      </c>
      <c r="O453" s="13" t="n"/>
      <c r="P453" s="13" t="n"/>
      <c r="Q453" s="15" t="n">
        <v>5.99</v>
      </c>
      <c r="R453" s="16">
        <f>IF(COUNT(E453:Q453)=0,"",MIN(E453:Q453))</f>
        <v/>
      </c>
      <c r="S453" s="15">
        <f>IF(COUNT(E453:Q453)=0,"",LOOKUP(2,1/(E453:Q453&lt;&gt;""),E453:Q453))</f>
        <v/>
      </c>
      <c r="T453" s="17">
        <f>IF(R453="","",ROUND(R453*RESUMEN!$B$4,0))</f>
        <v/>
      </c>
      <c r="U453" s="18">
        <f>COUNT(E453:Q453)</f>
        <v/>
      </c>
    </row>
    <row r="454">
      <c r="A454" s="13" t="inlineStr">
        <is>
          <t>31078752039597</t>
        </is>
      </c>
      <c r="B454" s="13" t="inlineStr">
        <is>
          <t>ARETES C SILVER ZIRCONIAS</t>
        </is>
      </c>
      <c r="C454" s="13" t="inlineStr">
        <is>
          <t>Default Title</t>
        </is>
      </c>
      <c r="D454" s="14" t="inlineStr">
        <is>
          <t>Copper alloy</t>
        </is>
      </c>
      <c r="E454" s="13" t="n"/>
      <c r="F454" s="13" t="n"/>
      <c r="G454" s="15" t="n">
        <v>5.99</v>
      </c>
      <c r="H454" s="13" t="n"/>
      <c r="I454" s="13" t="n"/>
      <c r="J454" s="13" t="n"/>
      <c r="K454" s="13" t="n"/>
      <c r="L454" s="13" t="n"/>
      <c r="M454" s="15" t="n">
        <v>5.99</v>
      </c>
      <c r="N454" s="13" t="n"/>
      <c r="O454" s="15" t="n">
        <v>5.99</v>
      </c>
      <c r="P454" s="13" t="n"/>
      <c r="Q454" s="15" t="n">
        <v>5.99</v>
      </c>
      <c r="R454" s="16">
        <f>IF(COUNT(E454:Q454)=0,"",MIN(E454:Q454))</f>
        <v/>
      </c>
      <c r="S454" s="15">
        <f>IF(COUNT(E454:Q454)=0,"",LOOKUP(2,1/(E454:Q454&lt;&gt;""),E454:Q454))</f>
        <v/>
      </c>
      <c r="T454" s="17">
        <f>IF(R454="","",ROUND(R454*RESUMEN!$B$4,0))</f>
        <v/>
      </c>
      <c r="U454" s="18">
        <f>COUNT(E454:Q454)</f>
        <v/>
      </c>
    </row>
    <row r="455">
      <c r="A455" s="13" t="inlineStr">
        <is>
          <t>15104863678477</t>
        </is>
      </c>
      <c r="B455" s="13" t="inlineStr">
        <is>
          <t>ARETES CC BOUTON CAMELIA GOLD</t>
        </is>
      </c>
      <c r="C455" s="13" t="inlineStr">
        <is>
          <t>Default Title</t>
        </is>
      </c>
      <c r="D455" s="14" t="inlineStr"/>
      <c r="E455" s="13" t="n"/>
      <c r="F455" s="13" t="n"/>
      <c r="G455" s="13" t="n"/>
      <c r="H455" s="13" t="n"/>
      <c r="I455" s="13" t="n"/>
      <c r="J455" s="13" t="n"/>
      <c r="K455" s="15" t="n">
        <v>8.99</v>
      </c>
      <c r="L455" s="13" t="n"/>
      <c r="M455" s="13" t="n"/>
      <c r="N455" s="13" t="n"/>
      <c r="O455" s="13" t="n"/>
      <c r="P455" s="13" t="n"/>
      <c r="Q455" s="13" t="n"/>
      <c r="R455" s="16">
        <f>IF(COUNT(E455:Q455)=0,"",MIN(E455:Q455))</f>
        <v/>
      </c>
      <c r="S455" s="15">
        <f>IF(COUNT(E455:Q455)=0,"",LOOKUP(2,1/(E455:Q455&lt;&gt;""),E455:Q455))</f>
        <v/>
      </c>
      <c r="T455" s="17">
        <f>IF(R455="","",ROUND(R455*RESUMEN!$B$4,0))</f>
        <v/>
      </c>
      <c r="U455" s="18">
        <f>COUNT(E455:Q455)</f>
        <v/>
      </c>
    </row>
    <row r="456">
      <c r="A456" s="13" t="inlineStr">
        <is>
          <t>86347032129677</t>
        </is>
      </c>
      <c r="B456" s="13" t="inlineStr">
        <is>
          <t>ARETES CD BAROQUE GOLD-BLACK</t>
        </is>
      </c>
      <c r="C456" s="13" t="inlineStr">
        <is>
          <t>Default Title</t>
        </is>
      </c>
      <c r="D456" s="14" t="inlineStr">
        <is>
          <t>copper alloy</t>
        </is>
      </c>
      <c r="E456" s="13" t="n"/>
      <c r="F456" s="13" t="n"/>
      <c r="G456" s="15" t="n">
        <v>6</v>
      </c>
      <c r="H456" s="13" t="n"/>
      <c r="I456" s="13" t="n"/>
      <c r="J456" s="15" t="n">
        <v>6</v>
      </c>
      <c r="K456" s="13" t="n"/>
      <c r="L456" s="15" t="n">
        <v>6</v>
      </c>
      <c r="M456" s="13" t="n"/>
      <c r="N456" s="13" t="n"/>
      <c r="O456" s="15" t="n">
        <v>6</v>
      </c>
      <c r="P456" s="13" t="n"/>
      <c r="Q456" s="13" t="n"/>
      <c r="R456" s="16">
        <f>IF(COUNT(E456:Q456)=0,"",MIN(E456:Q456))</f>
        <v/>
      </c>
      <c r="S456" s="15">
        <f>IF(COUNT(E456:Q456)=0,"",LOOKUP(2,1/(E456:Q456&lt;&gt;""),E456:Q456))</f>
        <v/>
      </c>
      <c r="T456" s="17">
        <f>IF(R456="","",ROUND(R456*RESUMEN!$B$4,0))</f>
        <v/>
      </c>
      <c r="U456" s="18">
        <f>COUNT(E456:Q456)</f>
        <v/>
      </c>
    </row>
    <row r="457">
      <c r="A457" s="13" t="inlineStr">
        <is>
          <t>29736661558989</t>
        </is>
      </c>
      <c r="B457" s="13" t="inlineStr">
        <is>
          <t>ARETES CD D-LUCK GOLD</t>
        </is>
      </c>
      <c r="C457" s="13" t="inlineStr">
        <is>
          <t>Default Title</t>
        </is>
      </c>
      <c r="D457" s="14" t="inlineStr">
        <is>
          <t>Copper alloy</t>
        </is>
      </c>
      <c r="E457" s="13" t="n"/>
      <c r="F457" s="13" t="n"/>
      <c r="G457" s="13" t="n"/>
      <c r="H457" s="13" t="n"/>
      <c r="I457" s="13" t="n"/>
      <c r="J457" s="13" t="n"/>
      <c r="K457" s="15" t="n">
        <v>6</v>
      </c>
      <c r="L457" s="13" t="n"/>
      <c r="M457" s="13" t="n"/>
      <c r="N457" s="13" t="n"/>
      <c r="O457" s="13" t="n"/>
      <c r="P457" s="15" t="n">
        <v>6</v>
      </c>
      <c r="Q457" s="13" t="n"/>
      <c r="R457" s="16">
        <f>IF(COUNT(E457:Q457)=0,"",MIN(E457:Q457))</f>
        <v/>
      </c>
      <c r="S457" s="15">
        <f>IF(COUNT(E457:Q457)=0,"",LOOKUP(2,1/(E457:Q457&lt;&gt;""),E457:Q457))</f>
        <v/>
      </c>
      <c r="T457" s="17">
        <f>IF(R457="","",ROUND(R457*RESUMEN!$B$4,0))</f>
        <v/>
      </c>
      <c r="U457" s="18">
        <f>COUNT(E457:Q457)</f>
        <v/>
      </c>
    </row>
    <row r="458">
      <c r="A458" s="13" t="inlineStr">
        <is>
          <t>89246882037293</t>
        </is>
      </c>
      <c r="B458" s="13" t="inlineStr">
        <is>
          <t>ARETES CD HALF PEARL</t>
        </is>
      </c>
      <c r="C458" s="13" t="inlineStr">
        <is>
          <t>Default Title</t>
        </is>
      </c>
      <c r="D458" s="14" t="inlineStr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5" t="n">
        <v>4</v>
      </c>
      <c r="O458" s="13" t="n"/>
      <c r="P458" s="13" t="n"/>
      <c r="Q458" s="13" t="n"/>
      <c r="R458" s="16">
        <f>IF(COUNT(E458:Q458)=0,"",MIN(E458:Q458))</f>
        <v/>
      </c>
      <c r="S458" s="15">
        <f>IF(COUNT(E458:Q458)=0,"",LOOKUP(2,1/(E458:Q458&lt;&gt;""),E458:Q458))</f>
        <v/>
      </c>
      <c r="T458" s="17">
        <f>IF(R458="","",ROUND(R458*RESUMEN!$B$4,0))</f>
        <v/>
      </c>
      <c r="U458" s="18">
        <f>COUNT(E458:Q458)</f>
        <v/>
      </c>
    </row>
    <row r="459">
      <c r="A459" s="13" t="inlineStr">
        <is>
          <t>67201531170029</t>
        </is>
      </c>
      <c r="B459" s="13" t="inlineStr">
        <is>
          <t>ARETES CD LOGO CON ZIRCONIA</t>
        </is>
      </c>
      <c r="C459" s="13" t="inlineStr">
        <is>
          <t>Default Title</t>
        </is>
      </c>
      <c r="D459" s="14" t="inlineStr">
        <is>
          <t>Copper alloy</t>
        </is>
      </c>
      <c r="E459" s="15" t="n">
        <v>5.9</v>
      </c>
      <c r="F459" s="13" t="n"/>
      <c r="G459" s="13" t="n"/>
      <c r="H459" s="13" t="n"/>
      <c r="I459" s="15" t="n">
        <v>5.9</v>
      </c>
      <c r="J459" s="13" t="n"/>
      <c r="K459" s="13" t="n"/>
      <c r="L459" s="13" t="n"/>
      <c r="M459" s="13" t="n"/>
      <c r="N459" s="15" t="n">
        <v>5.9</v>
      </c>
      <c r="O459" s="13" t="n"/>
      <c r="P459" s="13" t="n"/>
      <c r="Q459" s="13" t="n"/>
      <c r="R459" s="16">
        <f>IF(COUNT(E459:Q459)=0,"",MIN(E459:Q459))</f>
        <v/>
      </c>
      <c r="S459" s="15">
        <f>IF(COUNT(E459:Q459)=0,"",LOOKUP(2,1/(E459:Q459&lt;&gt;""),E459:Q459))</f>
        <v/>
      </c>
      <c r="T459" s="17">
        <f>IF(R459="","",ROUND(R459*RESUMEN!$B$4,0))</f>
        <v/>
      </c>
      <c r="U459" s="18">
        <f>COUNT(E459:Q459)</f>
        <v/>
      </c>
    </row>
    <row r="460">
      <c r="A460" s="13" t="inlineStr">
        <is>
          <t>86347032270925</t>
        </is>
      </c>
      <c r="B460" s="13" t="inlineStr">
        <is>
          <t>ARETES CD LUCKY DIAMOND SILVER</t>
        </is>
      </c>
      <c r="C460" s="13" t="inlineStr">
        <is>
          <t>Default Title</t>
        </is>
      </c>
      <c r="D460" s="14" t="inlineStr"/>
      <c r="E460" s="13" t="n"/>
      <c r="F460" s="13" t="n"/>
      <c r="G460" s="15" t="n">
        <v>5.5</v>
      </c>
      <c r="H460" s="13" t="n"/>
      <c r="I460" s="13" t="n"/>
      <c r="J460" s="15" t="n">
        <v>5.5</v>
      </c>
      <c r="K460" s="13" t="n"/>
      <c r="L460" s="13" t="n"/>
      <c r="M460" s="13" t="n"/>
      <c r="N460" s="13" t="n"/>
      <c r="O460" s="13" t="n"/>
      <c r="P460" s="13" t="n"/>
      <c r="Q460" s="13" t="n"/>
      <c r="R460" s="16">
        <f>IF(COUNT(E460:Q460)=0,"",MIN(E460:Q460))</f>
        <v/>
      </c>
      <c r="S460" s="15">
        <f>IF(COUNT(E460:Q460)=0,"",LOOKUP(2,1/(E460:Q460&lt;&gt;""),E460:Q460))</f>
        <v/>
      </c>
      <c r="T460" s="17">
        <f>IF(R460="","",ROUND(R460*RESUMEN!$B$4,0))</f>
        <v/>
      </c>
      <c r="U460" s="18">
        <f>COUNT(E460:Q460)</f>
        <v/>
      </c>
    </row>
    <row r="461">
      <c r="A461" s="13" t="inlineStr">
        <is>
          <t>89246882101133</t>
        </is>
      </c>
      <c r="B461" s="13" t="inlineStr">
        <is>
          <t>ARETES CD PEARL</t>
        </is>
      </c>
      <c r="C461" s="13" t="inlineStr">
        <is>
          <t>Default Title</t>
        </is>
      </c>
      <c r="D461" s="14" t="inlineStr">
        <is>
          <t>Copper alloy</t>
        </is>
      </c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5" t="n">
        <v>5</v>
      </c>
      <c r="O461" s="13" t="n"/>
      <c r="P461" s="13" t="n"/>
      <c r="Q461" s="15" t="n">
        <v>5</v>
      </c>
      <c r="R461" s="16">
        <f>IF(COUNT(E461:Q461)=0,"",MIN(E461:Q461))</f>
        <v/>
      </c>
      <c r="S461" s="15">
        <f>IF(COUNT(E461:Q461)=0,"",LOOKUP(2,1/(E461:Q461&lt;&gt;""),E461:Q461))</f>
        <v/>
      </c>
      <c r="T461" s="17">
        <f>IF(R461="","",ROUND(R461*RESUMEN!$B$4,0))</f>
        <v/>
      </c>
      <c r="U461" s="18">
        <f>COUNT(E461:Q461)</f>
        <v/>
      </c>
    </row>
    <row r="462">
      <c r="A462" s="13" t="inlineStr">
        <is>
          <t>29736661440333</t>
        </is>
      </c>
      <c r="B462" s="13" t="inlineStr">
        <is>
          <t>ARETES CD PETIT DUO GOLD</t>
        </is>
      </c>
      <c r="C462" s="13" t="inlineStr">
        <is>
          <t>Default Title</t>
        </is>
      </c>
      <c r="D462" s="14" t="inlineStr">
        <is>
          <t>Copper alloy</t>
        </is>
      </c>
      <c r="E462" s="13" t="n"/>
      <c r="F462" s="13" t="n"/>
      <c r="G462" s="13" t="n"/>
      <c r="H462" s="13" t="n"/>
      <c r="I462" s="13" t="n"/>
      <c r="J462" s="13" t="n"/>
      <c r="K462" s="15" t="n">
        <v>10</v>
      </c>
      <c r="L462" s="13" t="n"/>
      <c r="M462" s="13" t="n"/>
      <c r="N462" s="13" t="n"/>
      <c r="O462" s="13" t="n"/>
      <c r="P462" s="15" t="n">
        <v>10</v>
      </c>
      <c r="Q462" s="13" t="n"/>
      <c r="R462" s="16">
        <f>IF(COUNT(E462:Q462)=0,"",MIN(E462:Q462))</f>
        <v/>
      </c>
      <c r="S462" s="15">
        <f>IF(COUNT(E462:Q462)=0,"",LOOKUP(2,1/(E462:Q462&lt;&gt;""),E462:Q462))</f>
        <v/>
      </c>
      <c r="T462" s="17">
        <f>IF(R462="","",ROUND(R462*RESUMEN!$B$4,0))</f>
        <v/>
      </c>
      <c r="U462" s="18">
        <f>COUNT(E462:Q462)</f>
        <v/>
      </c>
    </row>
    <row r="463">
      <c r="A463" s="13" t="inlineStr">
        <is>
          <t>66075801971917</t>
        </is>
      </c>
      <c r="B463" s="13" t="inlineStr">
        <is>
          <t>ARETES CD PETIT GOLD</t>
        </is>
      </c>
      <c r="C463" s="13" t="inlineStr">
        <is>
          <t>Default Title</t>
        </is>
      </c>
      <c r="D463" s="14" t="inlineStr">
        <is>
          <t>copper alloy</t>
        </is>
      </c>
      <c r="E463" s="15" t="n">
        <v>3.8</v>
      </c>
      <c r="F463" s="13" t="n"/>
      <c r="G463" s="13" t="n"/>
      <c r="H463" s="15" t="n">
        <v>3.8</v>
      </c>
      <c r="I463" s="15" t="n">
        <v>3.8</v>
      </c>
      <c r="J463" s="13" t="n"/>
      <c r="K463" s="13" t="n"/>
      <c r="L463" s="13" t="n"/>
      <c r="M463" s="15" t="n">
        <v>3.8</v>
      </c>
      <c r="N463" s="15" t="n">
        <v>3.8</v>
      </c>
      <c r="O463" s="15" t="n">
        <v>3.8</v>
      </c>
      <c r="P463" s="15" t="n">
        <v>3.8</v>
      </c>
      <c r="Q463" s="13" t="n"/>
      <c r="R463" s="16">
        <f>IF(COUNT(E463:Q463)=0,"",MIN(E463:Q463))</f>
        <v/>
      </c>
      <c r="S463" s="15">
        <f>IF(COUNT(E463:Q463)=0,"",LOOKUP(2,1/(E463:Q463&lt;&gt;""),E463:Q463))</f>
        <v/>
      </c>
      <c r="T463" s="17">
        <f>IF(R463="","",ROUND(R463*RESUMEN!$B$4,0))</f>
        <v/>
      </c>
      <c r="U463" s="18">
        <f>COUNT(E463:Q463)</f>
        <v/>
      </c>
    </row>
    <row r="464">
      <c r="A464" s="13" t="inlineStr">
        <is>
          <t>89633861063789</t>
        </is>
      </c>
      <c r="B464" s="13" t="inlineStr">
        <is>
          <t>ARETES CD ROUND LOGO CON ZIRCONIAS</t>
        </is>
      </c>
      <c r="C464" s="13" t="inlineStr">
        <is>
          <t>HIGH QUALITY</t>
        </is>
      </c>
      <c r="D464" s="14" t="inlineStr"/>
      <c r="E464" s="13" t="n"/>
      <c r="F464" s="13" t="n"/>
      <c r="G464" s="15" t="n">
        <v>6</v>
      </c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6">
        <f>IF(COUNT(E464:Q464)=0,"",MIN(E464:Q464))</f>
        <v/>
      </c>
      <c r="S464" s="15">
        <f>IF(COUNT(E464:Q464)=0,"",LOOKUP(2,1/(E464:Q464&lt;&gt;""),E464:Q464))</f>
        <v/>
      </c>
      <c r="T464" s="17">
        <f>IF(R464="","",ROUND(R464*RESUMEN!$B$4,0))</f>
        <v/>
      </c>
      <c r="U464" s="18">
        <f>COUNT(E464:Q464)</f>
        <v/>
      </c>
    </row>
    <row r="465">
      <c r="A465" s="13" t="inlineStr">
        <is>
          <t>16117871063213</t>
        </is>
      </c>
      <c r="B465" s="13" t="inlineStr">
        <is>
          <t>ARETES CD SASOM PEARL BLUE</t>
        </is>
      </c>
      <c r="C465" s="13" t="inlineStr">
        <is>
          <t>Default Title</t>
        </is>
      </c>
      <c r="D465" s="14" t="inlineStr"/>
      <c r="E465" s="13" t="n"/>
      <c r="F465" s="15" t="n">
        <v>6</v>
      </c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6">
        <f>IF(COUNT(E465:Q465)=0,"",MIN(E465:Q465))</f>
        <v/>
      </c>
      <c r="S465" s="15">
        <f>IF(COUNT(E465:Q465)=0,"",LOOKUP(2,1/(E465:Q465&lt;&gt;""),E465:Q465))</f>
        <v/>
      </c>
      <c r="T465" s="17">
        <f>IF(R465="","",ROUND(R465*RESUMEN!$B$4,0))</f>
        <v/>
      </c>
      <c r="U465" s="18">
        <f>COUNT(E465:Q465)</f>
        <v/>
      </c>
    </row>
    <row r="466">
      <c r="A466" s="13" t="inlineStr">
        <is>
          <t>89246882368365</t>
        </is>
      </c>
      <c r="B466" s="13" t="inlineStr">
        <is>
          <t>ARETES CD TREASURE GOLD</t>
        </is>
      </c>
      <c r="C466" s="13" t="inlineStr">
        <is>
          <t>Default Title</t>
        </is>
      </c>
      <c r="D466" s="14" t="inlineStr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5" t="n">
        <v>4</v>
      </c>
      <c r="O466" s="13" t="n"/>
      <c r="P466" s="13" t="n"/>
      <c r="Q466" s="13" t="n"/>
      <c r="R466" s="16">
        <f>IF(COUNT(E466:Q466)=0,"",MIN(E466:Q466))</f>
        <v/>
      </c>
      <c r="S466" s="15">
        <f>IF(COUNT(E466:Q466)=0,"",LOOKUP(2,1/(E466:Q466&lt;&gt;""),E466:Q466))</f>
        <v/>
      </c>
      <c r="T466" s="17">
        <f>IF(R466="","",ROUND(R466*RESUMEN!$B$4,0))</f>
        <v/>
      </c>
      <c r="U466" s="18">
        <f>COUNT(E466:Q466)</f>
        <v/>
      </c>
    </row>
    <row r="467">
      <c r="A467" s="13" t="inlineStr">
        <is>
          <t>89246882202829</t>
        </is>
      </c>
      <c r="B467" s="13" t="inlineStr">
        <is>
          <t>ARETES CD VINTAGE PEARL GOLD</t>
        </is>
      </c>
      <c r="C467" s="13" t="inlineStr">
        <is>
          <t>Default Title</t>
        </is>
      </c>
      <c r="D467" s="14" t="inlineStr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5" t="n">
        <v>5</v>
      </c>
      <c r="O467" s="13" t="n"/>
      <c r="P467" s="13" t="n"/>
      <c r="Q467" s="13" t="n"/>
      <c r="R467" s="16">
        <f>IF(COUNT(E467:Q467)=0,"",MIN(E467:Q467))</f>
        <v/>
      </c>
      <c r="S467" s="15">
        <f>IF(COUNT(E467:Q467)=0,"",LOOKUP(2,1/(E467:Q467&lt;&gt;""),E467:Q467))</f>
        <v/>
      </c>
      <c r="T467" s="17">
        <f>IF(R467="","",ROUND(R467*RESUMEN!$B$4,0))</f>
        <v/>
      </c>
      <c r="U467" s="18">
        <f>COUNT(E467:Q467)</f>
        <v/>
      </c>
    </row>
    <row r="468">
      <c r="A468" s="13" t="inlineStr">
        <is>
          <t>66075802035149</t>
        </is>
      </c>
      <c r="B468" s="13" t="inlineStr">
        <is>
          <t>ARETES CLAIR D LUNE GOLD CD</t>
        </is>
      </c>
      <c r="C468" s="13" t="inlineStr">
        <is>
          <t>Default Title</t>
        </is>
      </c>
      <c r="D468" s="14" t="inlineStr">
        <is>
          <t>Copper Alloy</t>
        </is>
      </c>
      <c r="E468" s="13" t="n"/>
      <c r="F468" s="15" t="n">
        <v>5</v>
      </c>
      <c r="G468" s="13" t="n"/>
      <c r="H468" s="13" t="n"/>
      <c r="I468" s="15" t="n">
        <v>5</v>
      </c>
      <c r="J468" s="13" t="n"/>
      <c r="K468" s="13" t="n"/>
      <c r="L468" s="13" t="n"/>
      <c r="M468" s="13" t="n"/>
      <c r="N468" s="15" t="n">
        <v>5</v>
      </c>
      <c r="O468" s="15" t="n">
        <v>5</v>
      </c>
      <c r="P468" s="13" t="n"/>
      <c r="Q468" s="15" t="n">
        <v>5</v>
      </c>
      <c r="R468" s="16">
        <f>IF(COUNT(E468:Q468)=0,"",MIN(E468:Q468))</f>
        <v/>
      </c>
      <c r="S468" s="15">
        <f>IF(COUNT(E468:Q468)=0,"",LOOKUP(2,1/(E468:Q468&lt;&gt;""),E468:Q468))</f>
        <v/>
      </c>
      <c r="T468" s="17">
        <f>IF(R468="","",ROUND(R468*RESUMEN!$B$4,0))</f>
        <v/>
      </c>
      <c r="U468" s="18">
        <f>COUNT(E468:Q468)</f>
        <v/>
      </c>
    </row>
    <row r="469">
      <c r="A469" s="13" t="inlineStr">
        <is>
          <t>64085741294285</t>
        </is>
      </c>
      <c r="B469" s="13" t="inlineStr">
        <is>
          <t>ARETES CLASH GOLD C</t>
        </is>
      </c>
      <c r="C469" s="13" t="inlineStr">
        <is>
          <t>Default Title</t>
        </is>
      </c>
      <c r="D469" s="14" t="inlineStr">
        <is>
          <t>Copper Alloy</t>
        </is>
      </c>
      <c r="E469" s="15" t="n">
        <v>9</v>
      </c>
      <c r="F469" s="15" t="n">
        <v>9</v>
      </c>
      <c r="G469" s="13" t="n"/>
      <c r="H469" s="13" t="n"/>
      <c r="I469" s="15" t="n">
        <v>9</v>
      </c>
      <c r="J469" s="15" t="n">
        <v>9</v>
      </c>
      <c r="K469" s="13" t="n"/>
      <c r="L469" s="13" t="n"/>
      <c r="M469" s="13" t="n"/>
      <c r="N469" s="15" t="n">
        <v>9</v>
      </c>
      <c r="O469" s="13" t="n"/>
      <c r="P469" s="15" t="n">
        <v>9</v>
      </c>
      <c r="Q469" s="15" t="n">
        <v>9</v>
      </c>
      <c r="R469" s="16">
        <f>IF(COUNT(E469:Q469)=0,"",MIN(E469:Q469))</f>
        <v/>
      </c>
      <c r="S469" s="15">
        <f>IF(COUNT(E469:Q469)=0,"",LOOKUP(2,1/(E469:Q469&lt;&gt;""),E469:Q469))</f>
        <v/>
      </c>
      <c r="T469" s="17">
        <f>IF(R469="","",ROUND(R469*RESUMEN!$B$4,0))</f>
        <v/>
      </c>
      <c r="U469" s="18">
        <f>COUNT(E469:Q469)</f>
        <v/>
      </c>
    </row>
    <row r="470">
      <c r="A470" s="13" t="inlineStr">
        <is>
          <t>64085741359693</t>
        </is>
      </c>
      <c r="B470" s="13" t="inlineStr">
        <is>
          <t>ARETES CLASH ROSE GOLD C</t>
        </is>
      </c>
      <c r="C470" s="13" t="inlineStr">
        <is>
          <t>Default Title</t>
        </is>
      </c>
      <c r="D470" s="14" t="inlineStr">
        <is>
          <t>Copper Alloy</t>
        </is>
      </c>
      <c r="E470" s="15" t="n">
        <v>9</v>
      </c>
      <c r="F470" s="15" t="n">
        <v>9</v>
      </c>
      <c r="G470" s="13" t="n"/>
      <c r="H470" s="15" t="n">
        <v>9</v>
      </c>
      <c r="I470" s="15" t="n">
        <v>9</v>
      </c>
      <c r="J470" s="13" t="n"/>
      <c r="K470" s="13" t="n"/>
      <c r="L470" s="15" t="n">
        <v>9</v>
      </c>
      <c r="M470" s="15" t="n">
        <v>9</v>
      </c>
      <c r="N470" s="13" t="n"/>
      <c r="O470" s="13" t="n"/>
      <c r="P470" s="13" t="n"/>
      <c r="Q470" s="15" t="n">
        <v>9</v>
      </c>
      <c r="R470" s="16">
        <f>IF(COUNT(E470:Q470)=0,"",MIN(E470:Q470))</f>
        <v/>
      </c>
      <c r="S470" s="15">
        <f>IF(COUNT(E470:Q470)=0,"",LOOKUP(2,1/(E470:Q470&lt;&gt;""),E470:Q470))</f>
        <v/>
      </c>
      <c r="T470" s="17">
        <f>IF(R470="","",ROUND(R470*RESUMEN!$B$4,0))</f>
        <v/>
      </c>
      <c r="U470" s="18">
        <f>COUNT(E470:Q470)</f>
        <v/>
      </c>
    </row>
    <row r="471">
      <c r="A471" s="13" t="inlineStr">
        <is>
          <t>64085741420077</t>
        </is>
      </c>
      <c r="B471" s="13" t="inlineStr">
        <is>
          <t>ARETES CLASH SILVER C</t>
        </is>
      </c>
      <c r="C471" s="13" t="inlineStr">
        <is>
          <t>Default Title</t>
        </is>
      </c>
      <c r="D471" s="14" t="inlineStr">
        <is>
          <t>Copper Alloy</t>
        </is>
      </c>
      <c r="E471" s="13" t="n"/>
      <c r="F471" s="15" t="n">
        <v>9</v>
      </c>
      <c r="G471" s="13" t="n"/>
      <c r="H471" s="13" t="n"/>
      <c r="I471" s="13" t="n"/>
      <c r="J471" s="13" t="n"/>
      <c r="K471" s="13" t="n"/>
      <c r="L471" s="13" t="n"/>
      <c r="M471" s="13" t="n"/>
      <c r="N471" s="15" t="n">
        <v>9</v>
      </c>
      <c r="O471" s="13" t="n"/>
      <c r="P471" s="13" t="n"/>
      <c r="Q471" s="15" t="n">
        <v>9</v>
      </c>
      <c r="R471" s="16">
        <f>IF(COUNT(E471:Q471)=0,"",MIN(E471:Q471))</f>
        <v/>
      </c>
      <c r="S471" s="15">
        <f>IF(COUNT(E471:Q471)=0,"",LOOKUP(2,1/(E471:Q471&lt;&gt;""),E471:Q471))</f>
        <v/>
      </c>
      <c r="T471" s="17">
        <f>IF(R471="","",ROUND(R471*RESUMEN!$B$4,0))</f>
        <v/>
      </c>
      <c r="U471" s="18">
        <f>COUNT(E471:Q471)</f>
        <v/>
      </c>
    </row>
    <row r="472">
      <c r="A472" s="13" t="inlineStr">
        <is>
          <t>665bd4a63435b</t>
        </is>
      </c>
      <c r="B472" s="13" t="inlineStr">
        <is>
          <t>ARETES CLAVO GOLD</t>
        </is>
      </c>
      <c r="C472" s="13" t="inlineStr">
        <is>
          <t>Default Title</t>
        </is>
      </c>
      <c r="D472" s="14" t="inlineStr">
        <is>
          <t>Copper alloy</t>
        </is>
      </c>
      <c r="E472" s="13" t="n"/>
      <c r="F472" s="15" t="n">
        <v>2.99</v>
      </c>
      <c r="G472" s="13" t="n"/>
      <c r="H472" s="15" t="n">
        <v>2.99</v>
      </c>
      <c r="I472" s="15" t="n">
        <v>2.99</v>
      </c>
      <c r="J472" s="15" t="n">
        <v>2.99</v>
      </c>
      <c r="K472" s="13" t="n"/>
      <c r="L472" s="15" t="n">
        <v>2.99</v>
      </c>
      <c r="M472" s="15" t="n">
        <v>2.99</v>
      </c>
      <c r="N472" s="13" t="n"/>
      <c r="O472" s="13" t="n"/>
      <c r="P472" s="15" t="n">
        <v>2.99</v>
      </c>
      <c r="Q472" s="15" t="n">
        <v>2.99</v>
      </c>
      <c r="R472" s="16">
        <f>IF(COUNT(E472:Q472)=0,"",MIN(E472:Q472))</f>
        <v/>
      </c>
      <c r="S472" s="15">
        <f>IF(COUNT(E472:Q472)=0,"",LOOKUP(2,1/(E472:Q472&lt;&gt;""),E472:Q472))</f>
        <v/>
      </c>
      <c r="T472" s="17">
        <f>IF(R472="","",ROUND(R472*RESUMEN!$B$4,0))</f>
        <v/>
      </c>
      <c r="U472" s="18">
        <f>COUNT(E472:Q472)</f>
        <v/>
      </c>
    </row>
    <row r="473">
      <c r="A473" s="13" t="inlineStr">
        <is>
          <t>86347031100845</t>
        </is>
      </c>
      <c r="B473" s="13" t="inlineStr">
        <is>
          <t>ARETES CLAVO GOLD ZIRCONIAS</t>
        </is>
      </c>
      <c r="C473" s="13" t="inlineStr">
        <is>
          <t>HIGH QUALITY</t>
        </is>
      </c>
      <c r="D473" s="14" t="inlineStr">
        <is>
          <t>Copper alloy</t>
        </is>
      </c>
      <c r="E473" s="13" t="n"/>
      <c r="F473" s="13" t="n"/>
      <c r="G473" s="15" t="n">
        <v>7</v>
      </c>
      <c r="H473" s="13" t="n"/>
      <c r="I473" s="13" t="n"/>
      <c r="J473" s="15" t="n">
        <v>7</v>
      </c>
      <c r="K473" s="13" t="n"/>
      <c r="L473" s="15" t="n">
        <v>7</v>
      </c>
      <c r="M473" s="13" t="n"/>
      <c r="N473" s="15" t="n">
        <v>7</v>
      </c>
      <c r="O473" s="13" t="n"/>
      <c r="P473" s="15" t="n">
        <v>7</v>
      </c>
      <c r="Q473" s="15" t="n">
        <v>7</v>
      </c>
      <c r="R473" s="16">
        <f>IF(COUNT(E473:Q473)=0,"",MIN(E473:Q473))</f>
        <v/>
      </c>
      <c r="S473" s="15">
        <f>IF(COUNT(E473:Q473)=0,"",LOOKUP(2,1/(E473:Q473&lt;&gt;""),E473:Q473))</f>
        <v/>
      </c>
      <c r="T473" s="17">
        <f>IF(R473="","",ROUND(R473*RESUMEN!$B$4,0))</f>
        <v/>
      </c>
      <c r="U473" s="18">
        <f>COUNT(E473:Q473)</f>
        <v/>
      </c>
    </row>
    <row r="474">
      <c r="A474" s="13" t="inlineStr">
        <is>
          <t>665bd4a42501a-1</t>
        </is>
      </c>
      <c r="B474" s="13" t="inlineStr">
        <is>
          <t>ARETES CLAVO SILVER</t>
        </is>
      </c>
      <c r="C474" s="13" t="inlineStr">
        <is>
          <t>Regular</t>
        </is>
      </c>
      <c r="D474" s="14" t="inlineStr">
        <is>
          <t>Copper alloy</t>
        </is>
      </c>
      <c r="E474" s="13" t="n"/>
      <c r="F474" s="13" t="n"/>
      <c r="G474" s="13" t="n"/>
      <c r="H474" s="13" t="n"/>
      <c r="I474" s="15" t="n">
        <v>2.99</v>
      </c>
      <c r="J474" s="13" t="n"/>
      <c r="K474" s="13" t="n"/>
      <c r="L474" s="15" t="n">
        <v>2.99</v>
      </c>
      <c r="M474" s="13" t="n"/>
      <c r="N474" s="15" t="n">
        <v>2.99</v>
      </c>
      <c r="O474" s="13" t="n"/>
      <c r="P474" s="13" t="n"/>
      <c r="Q474" s="15" t="n">
        <v>2.99</v>
      </c>
      <c r="R474" s="16">
        <f>IF(COUNT(E474:Q474)=0,"",MIN(E474:Q474))</f>
        <v/>
      </c>
      <c r="S474" s="15">
        <f>IF(COUNT(E474:Q474)=0,"",LOOKUP(2,1/(E474:Q474&lt;&gt;""),E474:Q474))</f>
        <v/>
      </c>
      <c r="T474" s="17">
        <f>IF(R474="","",ROUND(R474*RESUMEN!$B$4,0))</f>
        <v/>
      </c>
      <c r="U474" s="18">
        <f>COUNT(E474:Q474)</f>
        <v/>
      </c>
    </row>
    <row r="475">
      <c r="A475" s="13" t="inlineStr">
        <is>
          <t>86347031066381</t>
        </is>
      </c>
      <c r="B475" s="13" t="inlineStr">
        <is>
          <t>ARETES CLAVO SILVER ZIRCONIAS</t>
        </is>
      </c>
      <c r="C475" s="13" t="inlineStr">
        <is>
          <t>Default Title</t>
        </is>
      </c>
      <c r="D475" s="14" t="inlineStr">
        <is>
          <t>Copper alloy</t>
        </is>
      </c>
      <c r="E475" s="13" t="n"/>
      <c r="F475" s="13" t="n"/>
      <c r="G475" s="15" t="n">
        <v>7</v>
      </c>
      <c r="H475" s="13" t="n"/>
      <c r="I475" s="13" t="n"/>
      <c r="J475" s="13" t="n"/>
      <c r="K475" s="13" t="n"/>
      <c r="L475" s="15" t="n">
        <v>7</v>
      </c>
      <c r="M475" s="13" t="n"/>
      <c r="N475" s="15" t="n">
        <v>5</v>
      </c>
      <c r="O475" s="13" t="n"/>
      <c r="P475" s="13" t="n"/>
      <c r="Q475" s="13" t="n"/>
      <c r="R475" s="16">
        <f>IF(COUNT(E475:Q475)=0,"",MIN(E475:Q475))</f>
        <v/>
      </c>
      <c r="S475" s="15">
        <f>IF(COUNT(E475:Q475)=0,"",LOOKUP(2,1/(E475:Q475&lt;&gt;""),E475:Q475))</f>
        <v/>
      </c>
      <c r="T475" s="17">
        <f>IF(R475="","",ROUND(R475*RESUMEN!$B$4,0))</f>
        <v/>
      </c>
      <c r="U475" s="18">
        <f>COUNT(E475:Q475)</f>
        <v/>
      </c>
    </row>
    <row r="476">
      <c r="A476" s="13" t="inlineStr">
        <is>
          <t>67201534868749</t>
        </is>
      </c>
      <c r="B476" s="13" t="inlineStr">
        <is>
          <t>ARETES CON DOBLE CIERRE T GOLD</t>
        </is>
      </c>
      <c r="C476" s="13" t="inlineStr">
        <is>
          <t>Default Title</t>
        </is>
      </c>
      <c r="D476" s="14" t="inlineStr"/>
      <c r="E476" s="15" t="n">
        <v>5</v>
      </c>
      <c r="F476" s="13" t="n"/>
      <c r="G476" s="13" t="n"/>
      <c r="H476" s="13" t="n"/>
      <c r="I476" s="13" t="n"/>
      <c r="J476" s="15" t="n">
        <v>8</v>
      </c>
      <c r="K476" s="13" t="n"/>
      <c r="L476" s="13" t="n"/>
      <c r="M476" s="13" t="n"/>
      <c r="N476" s="13" t="n"/>
      <c r="O476" s="13" t="n"/>
      <c r="P476" s="13" t="n"/>
      <c r="Q476" s="13" t="n"/>
      <c r="R476" s="16">
        <f>IF(COUNT(E476:Q476)=0,"",MIN(E476:Q476))</f>
        <v/>
      </c>
      <c r="S476" s="15">
        <f>IF(COUNT(E476:Q476)=0,"",LOOKUP(2,1/(E476:Q476&lt;&gt;""),E476:Q476))</f>
        <v/>
      </c>
      <c r="T476" s="17">
        <f>IF(R476="","",ROUND(R476*RESUMEN!$B$4,0))</f>
        <v/>
      </c>
      <c r="U476" s="18">
        <f>COUNT(E476:Q476)</f>
        <v/>
      </c>
    </row>
    <row r="477">
      <c r="A477" s="13" t="inlineStr">
        <is>
          <t>43047218282636</t>
        </is>
      </c>
      <c r="B477" s="13" t="inlineStr">
        <is>
          <t>ARETES CORAZÓN TURQUESA</t>
        </is>
      </c>
      <c r="C477" s="13" t="inlineStr">
        <is>
          <t>Regular</t>
        </is>
      </c>
      <c r="D477" s="14" t="inlineStr">
        <is>
          <t>Stainless stee</t>
        </is>
      </c>
      <c r="E477" s="13" t="n"/>
      <c r="F477" s="13" t="n"/>
      <c r="G477" s="13" t="n"/>
      <c r="H477" s="15" t="n">
        <v>6</v>
      </c>
      <c r="I477" s="15" t="n">
        <v>6</v>
      </c>
      <c r="J477" s="13" t="n"/>
      <c r="K477" s="13" t="n"/>
      <c r="L477" s="13" t="n"/>
      <c r="M477" s="15" t="n">
        <v>6</v>
      </c>
      <c r="N477" s="15" t="n">
        <v>6</v>
      </c>
      <c r="O477" s="13" t="n"/>
      <c r="P477" s="13" t="n"/>
      <c r="Q477" s="13" t="n"/>
      <c r="R477" s="16">
        <f>IF(COUNT(E477:Q477)=0,"",MIN(E477:Q477))</f>
        <v/>
      </c>
      <c r="S477" s="15">
        <f>IF(COUNT(E477:Q477)=0,"",LOOKUP(2,1/(E477:Q477&lt;&gt;""),E477:Q477))</f>
        <v/>
      </c>
      <c r="T477" s="17">
        <f>IF(R477="","",ROUND(R477*RESUMEN!$B$4,0))</f>
        <v/>
      </c>
      <c r="U477" s="18">
        <f>COUNT(E477:Q477)</f>
        <v/>
      </c>
    </row>
    <row r="478">
      <c r="A478" s="13" t="inlineStr">
        <is>
          <t>64085721001581</t>
        </is>
      </c>
      <c r="B478" s="13" t="inlineStr">
        <is>
          <t>ARETES D’AMOUR XS GOLD C</t>
        </is>
      </c>
      <c r="C478" s="13" t="inlineStr">
        <is>
          <t>Default Title</t>
        </is>
      </c>
      <c r="D478" s="14" t="inlineStr">
        <is>
          <t>Stainless stee</t>
        </is>
      </c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5" t="n">
        <v>2.99</v>
      </c>
      <c r="O478" s="15" t="n">
        <v>5.5</v>
      </c>
      <c r="P478" s="13" t="n"/>
      <c r="Q478" s="13" t="n"/>
      <c r="R478" s="16">
        <f>IF(COUNT(E478:Q478)=0,"",MIN(E478:Q478))</f>
        <v/>
      </c>
      <c r="S478" s="15">
        <f>IF(COUNT(E478:Q478)=0,"",LOOKUP(2,1/(E478:Q478&lt;&gt;""),E478:Q478))</f>
        <v/>
      </c>
      <c r="T478" s="17">
        <f>IF(R478="","",ROUND(R478*RESUMEN!$B$4,0))</f>
        <v/>
      </c>
      <c r="U478" s="18">
        <f>COUNT(E478:Q478)</f>
        <v/>
      </c>
    </row>
    <row r="479">
      <c r="A479" s="13" t="inlineStr">
        <is>
          <t>12314361469741</t>
        </is>
      </c>
      <c r="B479" s="13" t="inlineStr">
        <is>
          <t>ARETES F FILO GOLD</t>
        </is>
      </c>
      <c r="C479" s="13" t="inlineStr">
        <is>
          <t>Default Title</t>
        </is>
      </c>
      <c r="D479" s="14" t="inlineStr">
        <is>
          <t>Copper alloy</t>
        </is>
      </c>
      <c r="E479" s="13" t="n"/>
      <c r="F479" s="13" t="n"/>
      <c r="G479" s="15" t="n">
        <v>6</v>
      </c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5" t="n">
        <v>7.99</v>
      </c>
      <c r="Q479" s="13" t="n"/>
      <c r="R479" s="16">
        <f>IF(COUNT(E479:Q479)=0,"",MIN(E479:Q479))</f>
        <v/>
      </c>
      <c r="S479" s="15">
        <f>IF(COUNT(E479:Q479)=0,"",LOOKUP(2,1/(E479:Q479&lt;&gt;""),E479:Q479))</f>
        <v/>
      </c>
      <c r="T479" s="17">
        <f>IF(R479="","",ROUND(R479*RESUMEN!$B$4,0))</f>
        <v/>
      </c>
      <c r="U479" s="18">
        <f>COUNT(E479:Q479)</f>
        <v/>
      </c>
    </row>
    <row r="480">
      <c r="A480" s="13" t="inlineStr">
        <is>
          <t>12314362492941</t>
        </is>
      </c>
      <c r="B480" s="13" t="inlineStr">
        <is>
          <t>ARETES F GOLD</t>
        </is>
      </c>
      <c r="C480" s="13" t="inlineStr">
        <is>
          <t>Default Title</t>
        </is>
      </c>
      <c r="D480" s="14" t="inlineStr">
        <is>
          <t>Stainless Stee</t>
        </is>
      </c>
      <c r="E480" s="13" t="n"/>
      <c r="F480" s="13" t="n"/>
      <c r="G480" s="15" t="n">
        <v>6</v>
      </c>
      <c r="H480" s="13" t="n"/>
      <c r="I480" s="13" t="n"/>
      <c r="J480" s="15" t="n">
        <v>6</v>
      </c>
      <c r="K480" s="13" t="n"/>
      <c r="L480" s="15" t="n">
        <v>6</v>
      </c>
      <c r="M480" s="15" t="n">
        <v>6</v>
      </c>
      <c r="N480" s="13" t="n"/>
      <c r="O480" s="15" t="n">
        <v>6</v>
      </c>
      <c r="P480" s="15" t="n">
        <v>6</v>
      </c>
      <c r="Q480" s="13" t="n"/>
      <c r="R480" s="16">
        <f>IF(COUNT(E480:Q480)=0,"",MIN(E480:Q480))</f>
        <v/>
      </c>
      <c r="S480" s="15">
        <f>IF(COUNT(E480:Q480)=0,"",LOOKUP(2,1/(E480:Q480&lt;&gt;""),E480:Q480))</f>
        <v/>
      </c>
      <c r="T480" s="17">
        <f>IF(R480="","",ROUND(R480*RESUMEN!$B$4,0))</f>
        <v/>
      </c>
      <c r="U480" s="18">
        <f>COUNT(E480:Q480)</f>
        <v/>
      </c>
    </row>
    <row r="481">
      <c r="A481" s="13" t="inlineStr">
        <is>
          <t>12314361364653</t>
        </is>
      </c>
      <c r="B481" s="13" t="inlineStr">
        <is>
          <t>ARETES F GOLD PEARL</t>
        </is>
      </c>
      <c r="C481" s="13" t="inlineStr">
        <is>
          <t>Default Title</t>
        </is>
      </c>
      <c r="D481" s="14" t="inlineStr">
        <is>
          <t>Copper alloy</t>
        </is>
      </c>
      <c r="E481" s="13" t="n"/>
      <c r="F481" s="13" t="n"/>
      <c r="G481" s="15" t="n">
        <v>8</v>
      </c>
      <c r="H481" s="13" t="n"/>
      <c r="I481" s="13" t="n"/>
      <c r="J481" s="15" t="n">
        <v>8</v>
      </c>
      <c r="K481" s="13" t="n"/>
      <c r="L481" s="15" t="n">
        <v>8</v>
      </c>
      <c r="M481" s="13" t="n"/>
      <c r="N481" s="13" t="n"/>
      <c r="O481" s="13" t="n"/>
      <c r="P481" s="15" t="n">
        <v>8</v>
      </c>
      <c r="Q481" s="15" t="n">
        <v>8</v>
      </c>
      <c r="R481" s="16">
        <f>IF(COUNT(E481:Q481)=0,"",MIN(E481:Q481))</f>
        <v/>
      </c>
      <c r="S481" s="15">
        <f>IF(COUNT(E481:Q481)=0,"",LOOKUP(2,1/(E481:Q481&lt;&gt;""),E481:Q481))</f>
        <v/>
      </c>
      <c r="T481" s="17">
        <f>IF(R481="","",ROUND(R481*RESUMEN!$B$4,0))</f>
        <v/>
      </c>
      <c r="U481" s="18">
        <f>COUNT(E481:Q481)</f>
        <v/>
      </c>
    </row>
    <row r="482">
      <c r="A482" s="13" t="inlineStr">
        <is>
          <t>12314362081613</t>
        </is>
      </c>
      <c r="B482" s="13" t="inlineStr">
        <is>
          <t>ARETES F GOLD ZIRCONIAS</t>
        </is>
      </c>
      <c r="C482" s="13" t="inlineStr">
        <is>
          <t>Default Title</t>
        </is>
      </c>
      <c r="D482" s="14" t="inlineStr">
        <is>
          <t>Copper alloy</t>
        </is>
      </c>
      <c r="E482" s="13" t="n"/>
      <c r="F482" s="13" t="n"/>
      <c r="G482" s="15" t="n">
        <v>7</v>
      </c>
      <c r="H482" s="13" t="n"/>
      <c r="I482" s="13" t="n"/>
      <c r="J482" s="15" t="n">
        <v>7</v>
      </c>
      <c r="K482" s="13" t="n"/>
      <c r="L482" s="15" t="n">
        <v>7</v>
      </c>
      <c r="M482" s="13" t="n"/>
      <c r="N482" s="15" t="n">
        <v>7</v>
      </c>
      <c r="O482" s="13" t="n"/>
      <c r="P482" s="13" t="n"/>
      <c r="Q482" s="15" t="n">
        <v>7</v>
      </c>
      <c r="R482" s="16">
        <f>IF(COUNT(E482:Q482)=0,"",MIN(E482:Q482))</f>
        <v/>
      </c>
      <c r="S482" s="15">
        <f>IF(COUNT(E482:Q482)=0,"",LOOKUP(2,1/(E482:Q482&lt;&gt;""),E482:Q482))</f>
        <v/>
      </c>
      <c r="T482" s="17">
        <f>IF(R482="","",ROUND(R482*RESUMEN!$B$4,0))</f>
        <v/>
      </c>
      <c r="U482" s="18">
        <f>COUNT(E482:Q482)</f>
        <v/>
      </c>
    </row>
    <row r="483">
      <c r="A483" s="13" t="inlineStr">
        <is>
          <t>14247351086093</t>
        </is>
      </c>
      <c r="B483" s="13" t="inlineStr">
        <is>
          <t>ARETES F O'LOCK SILVER</t>
        </is>
      </c>
      <c r="C483" s="13" t="inlineStr">
        <is>
          <t>Default Title</t>
        </is>
      </c>
      <c r="D483" s="14" t="inlineStr">
        <is>
          <t>Copper alloy</t>
        </is>
      </c>
      <c r="E483" s="13" t="n"/>
      <c r="F483" s="13" t="n"/>
      <c r="G483" s="15" t="n">
        <v>8</v>
      </c>
      <c r="H483" s="13" t="n"/>
      <c r="I483" s="13" t="n"/>
      <c r="J483" s="15" t="n">
        <v>8</v>
      </c>
      <c r="K483" s="13" t="n"/>
      <c r="L483" s="15" t="n">
        <v>8</v>
      </c>
      <c r="M483" s="13" t="n"/>
      <c r="N483" s="15" t="n">
        <v>75</v>
      </c>
      <c r="O483" s="13" t="n"/>
      <c r="P483" s="13" t="n"/>
      <c r="Q483" s="15" t="n">
        <v>8</v>
      </c>
      <c r="R483" s="16">
        <f>IF(COUNT(E483:Q483)=0,"",MIN(E483:Q483))</f>
        <v/>
      </c>
      <c r="S483" s="15">
        <f>IF(COUNT(E483:Q483)=0,"",LOOKUP(2,1/(E483:Q483&lt;&gt;""),E483:Q483))</f>
        <v/>
      </c>
      <c r="T483" s="17">
        <f>IF(R483="","",ROUND(R483*RESUMEN!$B$4,0))</f>
        <v/>
      </c>
      <c r="U483" s="18">
        <f>COUNT(E483:Q483)</f>
        <v/>
      </c>
    </row>
    <row r="484">
      <c r="A484" s="13" t="inlineStr">
        <is>
          <t>12314361978221</t>
        </is>
      </c>
      <c r="B484" s="13" t="inlineStr">
        <is>
          <t>ARETES F SILVER ZIRCONIAS</t>
        </is>
      </c>
      <c r="C484" s="13" t="inlineStr">
        <is>
          <t>Default Title</t>
        </is>
      </c>
      <c r="D484" s="14" t="inlineStr">
        <is>
          <t>Copper alloy</t>
        </is>
      </c>
      <c r="E484" s="13" t="n"/>
      <c r="F484" s="13" t="n"/>
      <c r="G484" s="15" t="n">
        <v>7</v>
      </c>
      <c r="H484" s="13" t="n"/>
      <c r="I484" s="13" t="n"/>
      <c r="J484" s="15" t="n">
        <v>7</v>
      </c>
      <c r="K484" s="13" t="n"/>
      <c r="L484" s="15" t="n">
        <v>7</v>
      </c>
      <c r="M484" s="13" t="n"/>
      <c r="N484" s="13" t="n"/>
      <c r="O484" s="13" t="n"/>
      <c r="P484" s="13" t="n"/>
      <c r="Q484" s="15" t="n">
        <v>7</v>
      </c>
      <c r="R484" s="16">
        <f>IF(COUNT(E484:Q484)=0,"",MIN(E484:Q484))</f>
        <v/>
      </c>
      <c r="S484" s="15">
        <f>IF(COUNT(E484:Q484)=0,"",LOOKUP(2,1/(E484:Q484&lt;&gt;""),E484:Q484))</f>
        <v/>
      </c>
      <c r="T484" s="17">
        <f>IF(R484="","",ROUND(R484*RESUMEN!$B$4,0))</f>
        <v/>
      </c>
      <c r="U484" s="18">
        <f>COUNT(E484:Q484)</f>
        <v/>
      </c>
    </row>
    <row r="485">
      <c r="A485" s="13" t="inlineStr">
        <is>
          <t>37491250366220</t>
        </is>
      </c>
      <c r="B485" s="13" t="inlineStr">
        <is>
          <t>ARETES FLOWER VF</t>
        </is>
      </c>
      <c r="C485" s="13" t="inlineStr">
        <is>
          <t>Default Title</t>
        </is>
      </c>
      <c r="D485" s="14" t="inlineStr">
        <is>
          <t>copper alloy</t>
        </is>
      </c>
      <c r="E485" s="13" t="n"/>
      <c r="F485" s="15" t="n">
        <v>8</v>
      </c>
      <c r="G485" s="13" t="n"/>
      <c r="H485" s="15" t="n">
        <v>8</v>
      </c>
      <c r="I485" s="15" t="n">
        <v>8</v>
      </c>
      <c r="J485" s="13" t="n"/>
      <c r="K485" s="13" t="n"/>
      <c r="L485" s="13" t="n"/>
      <c r="M485" s="13" t="n"/>
      <c r="N485" s="13" t="n"/>
      <c r="O485" s="13" t="n"/>
      <c r="P485" s="15" t="n">
        <v>8</v>
      </c>
      <c r="Q485" s="13" t="n"/>
      <c r="R485" s="16">
        <f>IF(COUNT(E485:Q485)=0,"",MIN(E485:Q485))</f>
        <v/>
      </c>
      <c r="S485" s="15">
        <f>IF(COUNT(E485:Q485)=0,"",LOOKUP(2,1/(E485:Q485&lt;&gt;""),E485:Q485))</f>
        <v/>
      </c>
      <c r="T485" s="17">
        <f>IF(R485="","",ROUND(R485*RESUMEN!$B$4,0))</f>
        <v/>
      </c>
      <c r="U485" s="18">
        <f>COUNT(E485:Q485)</f>
        <v/>
      </c>
    </row>
    <row r="486">
      <c r="A486" s="13" t="inlineStr">
        <is>
          <t>42981998657676</t>
        </is>
      </c>
      <c r="B486" s="13" t="inlineStr">
        <is>
          <t>ARETES FR GOLD</t>
        </is>
      </c>
      <c r="C486" s="13" t="inlineStr">
        <is>
          <t>Default Title</t>
        </is>
      </c>
      <c r="D486" s="14" t="inlineStr"/>
      <c r="E486" s="13" t="n"/>
      <c r="F486" s="13" t="n"/>
      <c r="G486" s="13" t="n"/>
      <c r="H486" s="13" t="n"/>
      <c r="I486" s="13" t="n"/>
      <c r="J486" s="15" t="n">
        <v>5</v>
      </c>
      <c r="K486" s="13" t="n"/>
      <c r="L486" s="13" t="n"/>
      <c r="M486" s="13" t="n"/>
      <c r="N486" s="13" t="n"/>
      <c r="O486" s="13" t="n"/>
      <c r="P486" s="13" t="n"/>
      <c r="Q486" s="13" t="n"/>
      <c r="R486" s="16">
        <f>IF(COUNT(E486:Q486)=0,"",MIN(E486:Q486))</f>
        <v/>
      </c>
      <c r="S486" s="15">
        <f>IF(COUNT(E486:Q486)=0,"",LOOKUP(2,1/(E486:Q486&lt;&gt;""),E486:Q486))</f>
        <v/>
      </c>
      <c r="T486" s="17">
        <f>IF(R486="","",ROUND(R486*RESUMEN!$B$4,0))</f>
        <v/>
      </c>
      <c r="U486" s="18">
        <f>COUNT(E486:Q486)</f>
        <v/>
      </c>
    </row>
    <row r="487">
      <c r="A487" s="13" t="inlineStr">
        <is>
          <t>42982006882444</t>
        </is>
      </c>
      <c r="B487" s="13" t="inlineStr">
        <is>
          <t>ARETES FR GOLD CON PERLA</t>
        </is>
      </c>
      <c r="C487" s="13" t="inlineStr">
        <is>
          <t>Default Title</t>
        </is>
      </c>
      <c r="D487" s="14" t="inlineStr"/>
      <c r="E487" s="13" t="n"/>
      <c r="F487" s="13" t="n"/>
      <c r="G487" s="13" t="n"/>
      <c r="H487" s="13" t="n"/>
      <c r="I487" s="13" t="n"/>
      <c r="J487" s="15" t="n">
        <v>6</v>
      </c>
      <c r="K487" s="13" t="n"/>
      <c r="L487" s="13" t="n"/>
      <c r="M487" s="13" t="n"/>
      <c r="N487" s="13" t="n"/>
      <c r="O487" s="13" t="n"/>
      <c r="P487" s="13" t="n"/>
      <c r="Q487" s="13" t="n"/>
      <c r="R487" s="16">
        <f>IF(COUNT(E487:Q487)=0,"",MIN(E487:Q487))</f>
        <v/>
      </c>
      <c r="S487" s="15">
        <f>IF(COUNT(E487:Q487)=0,"",LOOKUP(2,1/(E487:Q487&lt;&gt;""),E487:Q487))</f>
        <v/>
      </c>
      <c r="T487" s="17">
        <f>IF(R487="","",ROUND(R487*RESUMEN!$B$4,0))</f>
        <v/>
      </c>
      <c r="U487" s="18">
        <f>COUNT(E487:Q487)</f>
        <v/>
      </c>
    </row>
    <row r="488">
      <c r="A488" s="13" t="inlineStr">
        <is>
          <t>665bd22d2f1c6</t>
        </is>
      </c>
      <c r="B488" s="13" t="inlineStr">
        <is>
          <t>ARETES FR GOLD CON ZIRCONIA</t>
        </is>
      </c>
      <c r="C488" s="13" t="inlineStr">
        <is>
          <t>Default Title</t>
        </is>
      </c>
      <c r="D488" s="14" t="inlineStr"/>
      <c r="E488" s="13" t="n"/>
      <c r="F488" s="13" t="n"/>
      <c r="G488" s="13" t="n"/>
      <c r="H488" s="13" t="n"/>
      <c r="I488" s="13" t="n"/>
      <c r="J488" s="15" t="n">
        <v>6</v>
      </c>
      <c r="K488" s="13" t="n"/>
      <c r="L488" s="13" t="n"/>
      <c r="M488" s="13" t="n"/>
      <c r="N488" s="13" t="n"/>
      <c r="O488" s="13" t="n"/>
      <c r="P488" s="13" t="n"/>
      <c r="Q488" s="13" t="n"/>
      <c r="R488" s="16">
        <f>IF(COUNT(E488:Q488)=0,"",MIN(E488:Q488))</f>
        <v/>
      </c>
      <c r="S488" s="15">
        <f>IF(COUNT(E488:Q488)=0,"",LOOKUP(2,1/(E488:Q488&lt;&gt;""),E488:Q488))</f>
        <v/>
      </c>
      <c r="T488" s="17">
        <f>IF(R488="","",ROUND(R488*RESUMEN!$B$4,0))</f>
        <v/>
      </c>
      <c r="U488" s="18">
        <f>COUNT(E488:Q488)</f>
        <v/>
      </c>
    </row>
    <row r="489">
      <c r="A489" s="13" t="inlineStr">
        <is>
          <t>11453671120077</t>
        </is>
      </c>
      <c r="B489" s="13" t="inlineStr">
        <is>
          <t>ARETES FR GOLD ONE PEARL</t>
        </is>
      </c>
      <c r="C489" s="13" t="inlineStr">
        <is>
          <t>PRODUCTO NUEVO</t>
        </is>
      </c>
      <c r="D489" s="14" t="inlineStr"/>
      <c r="E489" s="13" t="n"/>
      <c r="F489" s="13" t="n"/>
      <c r="G489" s="13" t="n"/>
      <c r="H489" s="13" t="n"/>
      <c r="I489" s="13" t="n"/>
      <c r="J489" s="15" t="n">
        <v>6</v>
      </c>
      <c r="K489" s="13" t="n"/>
      <c r="L489" s="13" t="n"/>
      <c r="M489" s="13" t="n"/>
      <c r="N489" s="13" t="n"/>
      <c r="O489" s="13" t="n"/>
      <c r="P489" s="13" t="n"/>
      <c r="Q489" s="13" t="n"/>
      <c r="R489" s="16">
        <f>IF(COUNT(E489:Q489)=0,"",MIN(E489:Q489))</f>
        <v/>
      </c>
      <c r="S489" s="15">
        <f>IF(COUNT(E489:Q489)=0,"",LOOKUP(2,1/(E489:Q489&lt;&gt;""),E489:Q489))</f>
        <v/>
      </c>
      <c r="T489" s="17">
        <f>IF(R489="","",ROUND(R489*RESUMEN!$B$4,0))</f>
        <v/>
      </c>
      <c r="U489" s="18">
        <f>COUNT(E489:Q489)</f>
        <v/>
      </c>
    </row>
    <row r="490">
      <c r="A490" s="13" t="inlineStr">
        <is>
          <t>678a9af396518</t>
        </is>
      </c>
      <c r="B490" s="13" t="inlineStr">
        <is>
          <t>ARETES FR SILVER</t>
        </is>
      </c>
      <c r="C490" s="13" t="inlineStr">
        <is>
          <t>Default Title</t>
        </is>
      </c>
      <c r="D490" s="14" t="inlineStr"/>
      <c r="E490" s="13" t="n"/>
      <c r="F490" s="13" t="n"/>
      <c r="G490" s="13" t="n"/>
      <c r="H490" s="13" t="n"/>
      <c r="I490" s="13" t="n"/>
      <c r="J490" s="15" t="n">
        <v>5</v>
      </c>
      <c r="K490" s="13" t="n"/>
      <c r="L490" s="13" t="n"/>
      <c r="M490" s="13" t="n"/>
      <c r="N490" s="13" t="n"/>
      <c r="O490" s="13" t="n"/>
      <c r="P490" s="13" t="n"/>
      <c r="Q490" s="13" t="n"/>
      <c r="R490" s="16">
        <f>IF(COUNT(E490:Q490)=0,"",MIN(E490:Q490))</f>
        <v/>
      </c>
      <c r="S490" s="15">
        <f>IF(COUNT(E490:Q490)=0,"",LOOKUP(2,1/(E490:Q490&lt;&gt;""),E490:Q490))</f>
        <v/>
      </c>
      <c r="T490" s="17">
        <f>IF(R490="","",ROUND(R490*RESUMEN!$B$4,0))</f>
        <v/>
      </c>
      <c r="U490" s="18">
        <f>COUNT(E490:Q490)</f>
        <v/>
      </c>
    </row>
    <row r="491">
      <c r="A491" s="13" t="inlineStr">
        <is>
          <t>31453671341517</t>
        </is>
      </c>
      <c r="B491" s="13" t="inlineStr">
        <is>
          <t>ARETES FR SILVER ZIRCONIAS</t>
        </is>
      </c>
      <c r="C491" s="13" t="inlineStr">
        <is>
          <t>Default Title</t>
        </is>
      </c>
      <c r="D491" s="14" t="inlineStr">
        <is>
          <t>Stainless Stee</t>
        </is>
      </c>
      <c r="E491" s="13" t="n"/>
      <c r="F491" s="13" t="n"/>
      <c r="G491" s="13" t="n"/>
      <c r="H491" s="13" t="n"/>
      <c r="I491" s="13" t="n"/>
      <c r="J491" s="15" t="n">
        <v>6</v>
      </c>
      <c r="K491" s="13" t="n"/>
      <c r="L491" s="13" t="n"/>
      <c r="M491" s="13" t="n"/>
      <c r="N491" s="15" t="n">
        <v>6</v>
      </c>
      <c r="O491" s="13" t="n"/>
      <c r="P491" s="13" t="n"/>
      <c r="Q491" s="15" t="n">
        <v>6</v>
      </c>
      <c r="R491" s="16">
        <f>IF(COUNT(E491:Q491)=0,"",MIN(E491:Q491))</f>
        <v/>
      </c>
      <c r="S491" s="15">
        <f>IF(COUNT(E491:Q491)=0,"",LOOKUP(2,1/(E491:Q491&lt;&gt;""),E491:Q491))</f>
        <v/>
      </c>
      <c r="T491" s="17">
        <f>IF(R491="","",ROUND(R491*RESUMEN!$B$4,0))</f>
        <v/>
      </c>
      <c r="U491" s="18">
        <f>COUNT(E491:Q491)</f>
        <v/>
      </c>
    </row>
    <row r="492">
      <c r="A492" s="13" t="inlineStr">
        <is>
          <t>56481474339212</t>
        </is>
      </c>
      <c r="B492" s="13" t="inlineStr">
        <is>
          <t>ARETES FULL HEART GOLD</t>
        </is>
      </c>
      <c r="C492" s="13" t="inlineStr">
        <is>
          <t>Default Title</t>
        </is>
      </c>
      <c r="D492" s="14" t="inlineStr">
        <is>
          <t>Stainless Stee</t>
        </is>
      </c>
      <c r="E492" s="13" t="n"/>
      <c r="F492" s="13" t="n"/>
      <c r="G492" s="13" t="n"/>
      <c r="H492" s="15" t="n">
        <v>5</v>
      </c>
      <c r="I492" s="15" t="n">
        <v>5</v>
      </c>
      <c r="J492" s="13" t="n"/>
      <c r="K492" s="13" t="n"/>
      <c r="L492" s="13" t="n"/>
      <c r="M492" s="13" t="n"/>
      <c r="N492" s="15" t="n">
        <v>5</v>
      </c>
      <c r="O492" s="13" t="n"/>
      <c r="P492" s="13" t="n"/>
      <c r="Q492" s="15" t="n">
        <v>5</v>
      </c>
      <c r="R492" s="16">
        <f>IF(COUNT(E492:Q492)=0,"",MIN(E492:Q492))</f>
        <v/>
      </c>
      <c r="S492" s="15">
        <f>IF(COUNT(E492:Q492)=0,"",LOOKUP(2,1/(E492:Q492&lt;&gt;""),E492:Q492))</f>
        <v/>
      </c>
      <c r="T492" s="17">
        <f>IF(R492="","",ROUND(R492*RESUMEN!$B$4,0))</f>
        <v/>
      </c>
      <c r="U492" s="18">
        <f>COUNT(E492:Q492)</f>
        <v/>
      </c>
    </row>
    <row r="493">
      <c r="A493" s="13" t="inlineStr">
        <is>
          <t>56481471411340</t>
        </is>
      </c>
      <c r="B493" s="13" t="inlineStr">
        <is>
          <t>ARETES FULL HEART ROSE GOLD</t>
        </is>
      </c>
      <c r="C493" s="13" t="inlineStr">
        <is>
          <t>Default Title</t>
        </is>
      </c>
      <c r="D493" s="14" t="inlineStr"/>
      <c r="E493" s="13" t="n"/>
      <c r="F493" s="13" t="n"/>
      <c r="G493" s="13" t="n"/>
      <c r="H493" s="15" t="n">
        <v>5</v>
      </c>
      <c r="I493" s="15" t="n">
        <v>5</v>
      </c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6">
        <f>IF(COUNT(E493:Q493)=0,"",MIN(E493:Q493))</f>
        <v/>
      </c>
      <c r="S493" s="15">
        <f>IF(COUNT(E493:Q493)=0,"",LOOKUP(2,1/(E493:Q493&lt;&gt;""),E493:Q493))</f>
        <v/>
      </c>
      <c r="T493" s="17">
        <f>IF(R493="","",ROUND(R493*RESUMEN!$B$4,0))</f>
        <v/>
      </c>
      <c r="U493" s="18">
        <f>COUNT(E493:Q493)</f>
        <v/>
      </c>
    </row>
    <row r="494">
      <c r="A494" s="13" t="inlineStr">
        <is>
          <t>56481477937932</t>
        </is>
      </c>
      <c r="B494" s="13" t="inlineStr">
        <is>
          <t>ARETES FULL HEART SILVER</t>
        </is>
      </c>
      <c r="C494" s="13" t="inlineStr">
        <is>
          <t>Default Title</t>
        </is>
      </c>
      <c r="D494" s="14" t="inlineStr">
        <is>
          <t>Stainless Stee</t>
        </is>
      </c>
      <c r="E494" s="15" t="n">
        <v>5</v>
      </c>
      <c r="F494" s="15" t="n">
        <v>5</v>
      </c>
      <c r="G494" s="13" t="n"/>
      <c r="H494" s="15" t="n">
        <v>5</v>
      </c>
      <c r="I494" s="15" t="n">
        <v>5</v>
      </c>
      <c r="J494" s="13" t="n"/>
      <c r="K494" s="13" t="n"/>
      <c r="L494" s="15" t="n">
        <v>5</v>
      </c>
      <c r="M494" s="13" t="n"/>
      <c r="N494" s="13" t="n"/>
      <c r="O494" s="13" t="n"/>
      <c r="P494" s="13" t="n"/>
      <c r="Q494" s="15" t="n">
        <v>5</v>
      </c>
      <c r="R494" s="16">
        <f>IF(COUNT(E494:Q494)=0,"",MIN(E494:Q494))</f>
        <v/>
      </c>
      <c r="S494" s="15">
        <f>IF(COUNT(E494:Q494)=0,"",LOOKUP(2,1/(E494:Q494&lt;&gt;""),E494:Q494))</f>
        <v/>
      </c>
      <c r="T494" s="17">
        <f>IF(R494="","",ROUND(R494*RESUMEN!$B$4,0))</f>
        <v/>
      </c>
      <c r="U494" s="18">
        <f>COUNT(E494:Q494)</f>
        <v/>
      </c>
    </row>
    <row r="495">
      <c r="A495" s="13" t="inlineStr">
        <is>
          <t>89246883287021</t>
        </is>
      </c>
      <c r="B495" s="13" t="inlineStr">
        <is>
          <t>ARETES H FINESSE SILVER</t>
        </is>
      </c>
      <c r="C495" s="13" t="inlineStr">
        <is>
          <t>Default Title</t>
        </is>
      </c>
      <c r="D495" s="14" t="inlineStr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5" t="n">
        <v>6</v>
      </c>
      <c r="O495" s="13" t="n"/>
      <c r="P495" s="13" t="n"/>
      <c r="Q495" s="13" t="n"/>
      <c r="R495" s="16">
        <f>IF(COUNT(E495:Q495)=0,"",MIN(E495:Q495))</f>
        <v/>
      </c>
      <c r="S495" s="15">
        <f>IF(COUNT(E495:Q495)=0,"",LOOKUP(2,1/(E495:Q495&lt;&gt;""),E495:Q495))</f>
        <v/>
      </c>
      <c r="T495" s="17">
        <f>IF(R495="","",ROUND(R495*RESUMEN!$B$4,0))</f>
        <v/>
      </c>
      <c r="U495" s="18">
        <f>COUNT(E495:Q495)</f>
        <v/>
      </c>
    </row>
    <row r="496">
      <c r="A496" s="13" t="inlineStr">
        <is>
          <t>15104862702637</t>
        </is>
      </c>
      <c r="B496" s="13" t="inlineStr">
        <is>
          <t>ARETES H GOLD</t>
        </is>
      </c>
      <c r="C496" s="13" t="inlineStr">
        <is>
          <t>Default Title</t>
        </is>
      </c>
      <c r="D496" s="14" t="inlineStr">
        <is>
          <t>Stainless stee</t>
        </is>
      </c>
      <c r="E496" s="13" t="n"/>
      <c r="F496" s="13" t="n"/>
      <c r="G496" s="13" t="n"/>
      <c r="H496" s="13" t="n"/>
      <c r="I496" s="13" t="n"/>
      <c r="J496" s="13" t="n"/>
      <c r="K496" s="15" t="n">
        <v>8.9</v>
      </c>
      <c r="L496" s="13" t="n"/>
      <c r="M496" s="13" t="n"/>
      <c r="N496" s="15" t="n">
        <v>8.9</v>
      </c>
      <c r="O496" s="15" t="n">
        <v>8.9</v>
      </c>
      <c r="P496" s="13" t="n"/>
      <c r="Q496" s="13" t="n"/>
      <c r="R496" s="16">
        <f>IF(COUNT(E496:Q496)=0,"",MIN(E496:Q496))</f>
        <v/>
      </c>
      <c r="S496" s="15">
        <f>IF(COUNT(E496:Q496)=0,"",LOOKUP(2,1/(E496:Q496&lt;&gt;""),E496:Q496))</f>
        <v/>
      </c>
      <c r="T496" s="17">
        <f>IF(R496="","",ROUND(R496*RESUMEN!$B$4,0))</f>
        <v/>
      </c>
      <c r="U496" s="18">
        <f>COUNT(E496:Q496)</f>
        <v/>
      </c>
    </row>
    <row r="497">
      <c r="A497" s="13" t="inlineStr">
        <is>
          <t>35432871814157</t>
        </is>
      </c>
      <c r="B497" s="13" t="inlineStr">
        <is>
          <t>ARETES H MINI MAILLON GOLD-BLACK</t>
        </is>
      </c>
      <c r="C497" s="13" t="inlineStr">
        <is>
          <t>Default Title</t>
        </is>
      </c>
      <c r="D497" s="14" t="inlineStr"/>
      <c r="E497" s="13" t="n"/>
      <c r="F497" s="13" t="n"/>
      <c r="G497" s="13" t="n"/>
      <c r="H497" s="13" t="n"/>
      <c r="I497" s="13" t="n"/>
      <c r="J497" s="13" t="n"/>
      <c r="K497" s="15" t="n">
        <v>8.9</v>
      </c>
      <c r="L497" s="13" t="n"/>
      <c r="M497" s="13" t="n"/>
      <c r="N497" s="13" t="n"/>
      <c r="O497" s="13" t="n"/>
      <c r="P497" s="13" t="n"/>
      <c r="Q497" s="13" t="n"/>
      <c r="R497" s="16">
        <f>IF(COUNT(E497:Q497)=0,"",MIN(E497:Q497))</f>
        <v/>
      </c>
      <c r="S497" s="15">
        <f>IF(COUNT(E497:Q497)=0,"",LOOKUP(2,1/(E497:Q497&lt;&gt;""),E497:Q497))</f>
        <v/>
      </c>
      <c r="T497" s="17">
        <f>IF(R497="","",ROUND(R497*RESUMEN!$B$4,0))</f>
        <v/>
      </c>
      <c r="U497" s="18">
        <f>COUNT(E497:Q497)</f>
        <v/>
      </c>
    </row>
    <row r="498">
      <c r="A498" s="13" t="inlineStr">
        <is>
          <t>35432871939597</t>
        </is>
      </c>
      <c r="B498" s="13" t="inlineStr">
        <is>
          <t>ARETES H MINI MAILLON ROSE GOLD-WHITE</t>
        </is>
      </c>
      <c r="C498" s="13" t="inlineStr">
        <is>
          <t>Default Title</t>
        </is>
      </c>
      <c r="D498" s="14" t="inlineStr"/>
      <c r="E498" s="13" t="n"/>
      <c r="F498" s="13" t="n"/>
      <c r="G498" s="13" t="n"/>
      <c r="H498" s="13" t="n"/>
      <c r="I498" s="13" t="n"/>
      <c r="J498" s="13" t="n"/>
      <c r="K498" s="15" t="n">
        <v>8.9</v>
      </c>
      <c r="L498" s="13" t="n"/>
      <c r="M498" s="13" t="n"/>
      <c r="N498" s="13" t="n"/>
      <c r="O498" s="13" t="n"/>
      <c r="P498" s="13" t="n"/>
      <c r="Q498" s="13" t="n"/>
      <c r="R498" s="16">
        <f>IF(COUNT(E498:Q498)=0,"",MIN(E498:Q498))</f>
        <v/>
      </c>
      <c r="S498" s="15">
        <f>IF(COUNT(E498:Q498)=0,"",LOOKUP(2,1/(E498:Q498&lt;&gt;""),E498:Q498))</f>
        <v/>
      </c>
      <c r="T498" s="17">
        <f>IF(R498="","",ROUND(R498*RESUMEN!$B$4,0))</f>
        <v/>
      </c>
      <c r="U498" s="18">
        <f>COUNT(E498:Q498)</f>
        <v/>
      </c>
    </row>
    <row r="499">
      <c r="A499" s="13" t="inlineStr">
        <is>
          <t>27854241086413</t>
        </is>
      </c>
      <c r="B499" s="13" t="inlineStr">
        <is>
          <t>ARETES KNOT GOLD</t>
        </is>
      </c>
      <c r="C499" s="13" t="inlineStr">
        <is>
          <t>Default Title</t>
        </is>
      </c>
      <c r="D499" s="14" t="inlineStr">
        <is>
          <t>Copper</t>
        </is>
      </c>
      <c r="E499" s="13" t="n"/>
      <c r="F499" s="13" t="n"/>
      <c r="G499" s="13" t="n"/>
      <c r="H499" s="15" t="n">
        <v>5.5</v>
      </c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5" t="n">
        <v>5.5</v>
      </c>
      <c r="R499" s="16">
        <f>IF(COUNT(E499:Q499)=0,"",MIN(E499:Q499))</f>
        <v/>
      </c>
      <c r="S499" s="15">
        <f>IF(COUNT(E499:Q499)=0,"",LOOKUP(2,1/(E499:Q499&lt;&gt;""),E499:Q499))</f>
        <v/>
      </c>
      <c r="T499" s="17">
        <f>IF(R499="","",ROUND(R499*RESUMEN!$B$4,0))</f>
        <v/>
      </c>
      <c r="U499" s="18">
        <f>COUNT(E499:Q499)</f>
        <v/>
      </c>
    </row>
    <row r="500">
      <c r="A500" s="13" t="inlineStr">
        <is>
          <t>56481478255884</t>
        </is>
      </c>
      <c r="B500" s="13" t="inlineStr">
        <is>
          <t>ARETES KNOT GOLD CON ZIRCONIA</t>
        </is>
      </c>
      <c r="C500" s="13" t="inlineStr">
        <is>
          <t>Default Title</t>
        </is>
      </c>
      <c r="D500" s="14" t="inlineStr"/>
      <c r="E500" s="13" t="n"/>
      <c r="F500" s="15" t="n">
        <v>7</v>
      </c>
      <c r="G500" s="13" t="n"/>
      <c r="H500" s="15" t="n">
        <v>7</v>
      </c>
      <c r="I500" s="15" t="n">
        <v>7</v>
      </c>
      <c r="J500" s="15" t="n">
        <v>6</v>
      </c>
      <c r="K500" s="13" t="n"/>
      <c r="L500" s="13" t="n"/>
      <c r="M500" s="13" t="n"/>
      <c r="N500" s="13" t="n"/>
      <c r="O500" s="13" t="n"/>
      <c r="P500" s="13" t="n"/>
      <c r="Q500" s="13" t="n"/>
      <c r="R500" s="16">
        <f>IF(COUNT(E500:Q500)=0,"",MIN(E500:Q500))</f>
        <v/>
      </c>
      <c r="S500" s="15">
        <f>IF(COUNT(E500:Q500)=0,"",LOOKUP(2,1/(E500:Q500&lt;&gt;""),E500:Q500))</f>
        <v/>
      </c>
      <c r="T500" s="17">
        <f>IF(R500="","",ROUND(R500*RESUMEN!$B$4,0))</f>
        <v/>
      </c>
      <c r="U500" s="18">
        <f>COUNT(E500:Q500)</f>
        <v/>
      </c>
    </row>
    <row r="501">
      <c r="A501" s="13" t="inlineStr">
        <is>
          <t>86741781048077</t>
        </is>
      </c>
      <c r="B501" s="13" t="inlineStr">
        <is>
          <t>ARETES KNOT GOLD CON ZIRCONIAS</t>
        </is>
      </c>
      <c r="C501" s="13" t="inlineStr">
        <is>
          <t>Default Title</t>
        </is>
      </c>
      <c r="D501" s="14" t="inlineStr">
        <is>
          <t>Copper alloy</t>
        </is>
      </c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5" t="n">
        <v>9</v>
      </c>
      <c r="O501" s="13" t="n"/>
      <c r="P501" s="13" t="n"/>
      <c r="Q501" s="13" t="n"/>
      <c r="R501" s="16">
        <f>IF(COUNT(E501:Q501)=0,"",MIN(E501:Q501))</f>
        <v/>
      </c>
      <c r="S501" s="15">
        <f>IF(COUNT(E501:Q501)=0,"",LOOKUP(2,1/(E501:Q501&lt;&gt;""),E501:Q501))</f>
        <v/>
      </c>
      <c r="T501" s="17">
        <f>IF(R501="","",ROUND(R501*RESUMEN!$B$4,0))</f>
        <v/>
      </c>
      <c r="U501" s="18">
        <f>COUNT(E501:Q501)</f>
        <v/>
      </c>
    </row>
    <row r="502">
      <c r="A502" s="13" t="inlineStr">
        <is>
          <t>89790741347789</t>
        </is>
      </c>
      <c r="B502" s="13" t="inlineStr">
        <is>
          <t>ARETES KNOT SILVER CON ZIRCONIAS</t>
        </is>
      </c>
      <c r="C502" s="13" t="inlineStr">
        <is>
          <t>Default Title</t>
        </is>
      </c>
      <c r="D502" s="14" t="inlineStr">
        <is>
          <t>Copper</t>
        </is>
      </c>
      <c r="E502" s="13" t="n"/>
      <c r="F502" s="15" t="n">
        <v>7.5</v>
      </c>
      <c r="G502" s="13" t="n"/>
      <c r="H502" s="13" t="n"/>
      <c r="I502" s="13" t="n"/>
      <c r="J502" s="15" t="n">
        <v>9</v>
      </c>
      <c r="K502" s="13" t="n"/>
      <c r="L502" s="15" t="n">
        <v>9</v>
      </c>
      <c r="M502" s="13" t="n"/>
      <c r="N502" s="13" t="n"/>
      <c r="O502" s="13" t="n"/>
      <c r="P502" s="13" t="n"/>
      <c r="Q502" s="15" t="n">
        <v>9</v>
      </c>
      <c r="R502" s="16">
        <f>IF(COUNT(E502:Q502)=0,"",MIN(E502:Q502))</f>
        <v/>
      </c>
      <c r="S502" s="15">
        <f>IF(COUNT(E502:Q502)=0,"",LOOKUP(2,1/(E502:Q502&lt;&gt;""),E502:Q502))</f>
        <v/>
      </c>
      <c r="T502" s="17">
        <f>IF(R502="","",ROUND(R502*RESUMEN!$B$4,0))</f>
        <v/>
      </c>
      <c r="U502" s="18">
        <f>COUNT(E502:Q502)</f>
        <v/>
      </c>
    </row>
    <row r="503">
      <c r="A503" s="13" t="inlineStr">
        <is>
          <t>29736673965485</t>
        </is>
      </c>
      <c r="B503" s="13" t="inlineStr">
        <is>
          <t>ARETES KNOT SMALL GOLD</t>
        </is>
      </c>
      <c r="C503" s="13" t="inlineStr">
        <is>
          <t>Default Title</t>
        </is>
      </c>
      <c r="D503" s="14" t="inlineStr">
        <is>
          <t>Copper alloy</t>
        </is>
      </c>
      <c r="E503" s="13" t="n"/>
      <c r="F503" s="13" t="n"/>
      <c r="G503" s="13" t="n"/>
      <c r="H503" s="13" t="n"/>
      <c r="I503" s="13" t="n"/>
      <c r="J503" s="13" t="n"/>
      <c r="K503" s="15" t="n">
        <v>6</v>
      </c>
      <c r="L503" s="13" t="n"/>
      <c r="M503" s="13" t="n"/>
      <c r="N503" s="15" t="n">
        <v>6</v>
      </c>
      <c r="O503" s="15" t="n">
        <v>6</v>
      </c>
      <c r="P503" s="13" t="n"/>
      <c r="Q503" s="15" t="n">
        <v>6</v>
      </c>
      <c r="R503" s="16">
        <f>IF(COUNT(E503:Q503)=0,"",MIN(E503:Q503))</f>
        <v/>
      </c>
      <c r="S503" s="15">
        <f>IF(COUNT(E503:Q503)=0,"",LOOKUP(2,1/(E503:Q503&lt;&gt;""),E503:Q503))</f>
        <v/>
      </c>
      <c r="T503" s="17">
        <f>IF(R503="","",ROUND(R503*RESUMEN!$B$4,0))</f>
        <v/>
      </c>
      <c r="U503" s="18">
        <f>COUNT(E503:Q503)</f>
        <v/>
      </c>
    </row>
    <row r="504">
      <c r="A504" s="13" t="inlineStr">
        <is>
          <t>67201531685421</t>
        </is>
      </c>
      <c r="B504" s="13" t="inlineStr">
        <is>
          <t>ARETES LOGO H GOLD</t>
        </is>
      </c>
      <c r="C504" s="13" t="inlineStr">
        <is>
          <t>Default Title</t>
        </is>
      </c>
      <c r="D504" s="14" t="inlineStr">
        <is>
          <t>Stainless Stee</t>
        </is>
      </c>
      <c r="E504" s="15" t="n">
        <v>5</v>
      </c>
      <c r="F504" s="13" t="n"/>
      <c r="G504" s="13" t="n"/>
      <c r="H504" s="15" t="n">
        <v>5</v>
      </c>
      <c r="I504" s="15" t="n">
        <v>5</v>
      </c>
      <c r="J504" s="13" t="n"/>
      <c r="K504" s="13" t="n"/>
      <c r="L504" s="13" t="n"/>
      <c r="M504" s="13" t="n"/>
      <c r="N504" s="13" t="n"/>
      <c r="O504" s="15" t="n">
        <v>5</v>
      </c>
      <c r="P504" s="13" t="n"/>
      <c r="Q504" s="15" t="n">
        <v>5</v>
      </c>
      <c r="R504" s="16">
        <f>IF(COUNT(E504:Q504)=0,"",MIN(E504:Q504))</f>
        <v/>
      </c>
      <c r="S504" s="15">
        <f>IF(COUNT(E504:Q504)=0,"",LOOKUP(2,1/(E504:Q504&lt;&gt;""),E504:Q504))</f>
        <v/>
      </c>
      <c r="T504" s="17">
        <f>IF(R504="","",ROUND(R504*RESUMEN!$B$4,0))</f>
        <v/>
      </c>
      <c r="U504" s="18">
        <f>COUNT(E504:Q504)</f>
        <v/>
      </c>
    </row>
    <row r="505">
      <c r="A505" s="13" t="inlineStr">
        <is>
          <t>89246883343533</t>
        </is>
      </c>
      <c r="B505" s="13" t="inlineStr">
        <is>
          <t>ARETES LOGO H GOLD ZIRCONIAS</t>
        </is>
      </c>
      <c r="C505" s="13" t="inlineStr">
        <is>
          <t>Default Title</t>
        </is>
      </c>
      <c r="D505" s="14" t="inlineStr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5" t="n">
        <v>8</v>
      </c>
      <c r="O505" s="13" t="n"/>
      <c r="P505" s="13" t="n"/>
      <c r="Q505" s="13" t="n"/>
      <c r="R505" s="16">
        <f>IF(COUNT(E505:Q505)=0,"",MIN(E505:Q505))</f>
        <v/>
      </c>
      <c r="S505" s="15">
        <f>IF(COUNT(E505:Q505)=0,"",LOOKUP(2,1/(E505:Q505&lt;&gt;""),E505:Q505))</f>
        <v/>
      </c>
      <c r="T505" s="17">
        <f>IF(R505="","",ROUND(R505*RESUMEN!$B$4,0))</f>
        <v/>
      </c>
      <c r="U505" s="18">
        <f>COUNT(E505:Q505)</f>
        <v/>
      </c>
    </row>
    <row r="506">
      <c r="A506" s="13" t="inlineStr">
        <is>
          <t>67201531759373</t>
        </is>
      </c>
      <c r="B506" s="13" t="inlineStr">
        <is>
          <t>ARETES LOGO H ROSE GOLD</t>
        </is>
      </c>
      <c r="C506" s="13" t="inlineStr">
        <is>
          <t>Default Title</t>
        </is>
      </c>
      <c r="D506" s="14" t="inlineStr"/>
      <c r="E506" s="15" t="n">
        <v>5</v>
      </c>
      <c r="F506" s="13" t="n"/>
      <c r="G506" s="13" t="n"/>
      <c r="H506" s="15" t="n">
        <v>5</v>
      </c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6">
        <f>IF(COUNT(E506:Q506)=0,"",MIN(E506:Q506))</f>
        <v/>
      </c>
      <c r="S506" s="15">
        <f>IF(COUNT(E506:Q506)=0,"",LOOKUP(2,1/(E506:Q506&lt;&gt;""),E506:Q506))</f>
        <v/>
      </c>
      <c r="T506" s="17">
        <f>IF(R506="","",ROUND(R506*RESUMEN!$B$4,0))</f>
        <v/>
      </c>
      <c r="U506" s="18">
        <f>COUNT(E506:Q506)</f>
        <v/>
      </c>
    </row>
    <row r="507">
      <c r="A507" s="13" t="inlineStr">
        <is>
          <t>15104862806029</t>
        </is>
      </c>
      <c r="B507" s="13" t="inlineStr">
        <is>
          <t>ARETES LOGO H ROSE GOLD ZIRCONIAS</t>
        </is>
      </c>
      <c r="C507" s="13" t="inlineStr">
        <is>
          <t>Default Title</t>
        </is>
      </c>
      <c r="D507" s="14" t="inlineStr"/>
      <c r="E507" s="13" t="n"/>
      <c r="F507" s="13" t="n"/>
      <c r="G507" s="13" t="n"/>
      <c r="H507" s="13" t="n"/>
      <c r="I507" s="13" t="n"/>
      <c r="J507" s="13" t="n"/>
      <c r="K507" s="15" t="n">
        <v>8</v>
      </c>
      <c r="L507" s="13" t="n"/>
      <c r="M507" s="13" t="n"/>
      <c r="N507" s="13" t="n"/>
      <c r="O507" s="13" t="n"/>
      <c r="P507" s="13" t="n"/>
      <c r="Q507" s="13" t="n"/>
      <c r="R507" s="16">
        <f>IF(COUNT(E507:Q507)=0,"",MIN(E507:Q507))</f>
        <v/>
      </c>
      <c r="S507" s="15">
        <f>IF(COUNT(E507:Q507)=0,"",LOOKUP(2,1/(E507:Q507&lt;&gt;""),E507:Q507))</f>
        <v/>
      </c>
      <c r="T507" s="17">
        <f>IF(R507="","",ROUND(R507*RESUMEN!$B$4,0))</f>
        <v/>
      </c>
      <c r="U507" s="18">
        <f>COUNT(E507:Q507)</f>
        <v/>
      </c>
    </row>
    <row r="508">
      <c r="A508" s="13" t="inlineStr">
        <is>
          <t>67201531515469</t>
        </is>
      </c>
      <c r="B508" s="13" t="inlineStr">
        <is>
          <t>ARETES LOGO H SILVER</t>
        </is>
      </c>
      <c r="C508" s="13" t="inlineStr">
        <is>
          <t>Default Title</t>
        </is>
      </c>
      <c r="D508" s="14" t="inlineStr">
        <is>
          <t>nan</t>
        </is>
      </c>
      <c r="E508" s="15" t="n">
        <v>5</v>
      </c>
      <c r="F508" s="13" t="n"/>
      <c r="G508" s="13" t="n"/>
      <c r="H508" s="13" t="n"/>
      <c r="I508" s="15" t="n">
        <v>5</v>
      </c>
      <c r="J508" s="13" t="n"/>
      <c r="K508" s="13" t="n"/>
      <c r="L508" s="13" t="n"/>
      <c r="M508" s="15" t="n">
        <v>5</v>
      </c>
      <c r="N508" s="13" t="n"/>
      <c r="O508" s="13" t="n"/>
      <c r="P508" s="13" t="n"/>
      <c r="Q508" s="13" t="n"/>
      <c r="R508" s="16">
        <f>IF(COUNT(E508:Q508)=0,"",MIN(E508:Q508))</f>
        <v/>
      </c>
      <c r="S508" s="15">
        <f>IF(COUNT(E508:Q508)=0,"",LOOKUP(2,1/(E508:Q508&lt;&gt;""),E508:Q508))</f>
        <v/>
      </c>
      <c r="T508" s="17">
        <f>IF(R508="","",ROUND(R508*RESUMEN!$B$4,0))</f>
        <v/>
      </c>
      <c r="U508" s="18">
        <f>COUNT(E508:Q508)</f>
        <v/>
      </c>
    </row>
    <row r="509">
      <c r="A509" s="13" t="inlineStr">
        <is>
          <t>64085741543021</t>
        </is>
      </c>
      <c r="B509" s="13" t="inlineStr">
        <is>
          <t>ARETES LOVE CON MICRO ZIRCONIAS GOLD C</t>
        </is>
      </c>
      <c r="C509" s="13" t="inlineStr">
        <is>
          <t>Default Title</t>
        </is>
      </c>
      <c r="D509" s="14" t="inlineStr">
        <is>
          <t>Stainless Stee</t>
        </is>
      </c>
      <c r="E509" s="13" t="n"/>
      <c r="F509" s="13" t="n"/>
      <c r="G509" s="13" t="n"/>
      <c r="H509" s="15" t="n">
        <v>8</v>
      </c>
      <c r="I509" s="15" t="n">
        <v>9</v>
      </c>
      <c r="J509" s="13" t="n"/>
      <c r="K509" s="13" t="n"/>
      <c r="L509" s="15" t="n">
        <v>9</v>
      </c>
      <c r="M509" s="13" t="n"/>
      <c r="N509" s="13" t="n"/>
      <c r="O509" s="15" t="n">
        <v>8</v>
      </c>
      <c r="P509" s="13" t="n"/>
      <c r="Q509" s="13" t="n"/>
      <c r="R509" s="16">
        <f>IF(COUNT(E509:Q509)=0,"",MIN(E509:Q509))</f>
        <v/>
      </c>
      <c r="S509" s="15">
        <f>IF(COUNT(E509:Q509)=0,"",LOOKUP(2,1/(E509:Q509&lt;&gt;""),E509:Q509))</f>
        <v/>
      </c>
      <c r="T509" s="17">
        <f>IF(R509="","",ROUND(R509*RESUMEN!$B$4,0))</f>
        <v/>
      </c>
      <c r="U509" s="18">
        <f>COUNT(E509:Q509)</f>
        <v/>
      </c>
    </row>
    <row r="510">
      <c r="A510" s="13" t="inlineStr">
        <is>
          <t>MAJO</t>
        </is>
      </c>
      <c r="B510" s="13" t="inlineStr">
        <is>
          <t>ARETES LOVE DORADOS</t>
        </is>
      </c>
      <c r="C510" s="13" t="inlineStr"/>
      <c r="D510" s="14" t="inlineStr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5" t="n">
        <v>1.8</v>
      </c>
      <c r="O510" s="13" t="n"/>
      <c r="P510" s="13" t="n"/>
      <c r="Q510" s="13" t="n"/>
      <c r="R510" s="16">
        <f>IF(COUNT(E510:Q510)=0,"",MIN(E510:Q510))</f>
        <v/>
      </c>
      <c r="S510" s="15">
        <f>IF(COUNT(E510:Q510)=0,"",LOOKUP(2,1/(E510:Q510&lt;&gt;""),E510:Q510))</f>
        <v/>
      </c>
      <c r="T510" s="17">
        <f>IF(R510="","",ROUND(R510*RESUMEN!$B$4,0))</f>
        <v/>
      </c>
      <c r="U510" s="18">
        <f>COUNT(E510:Q510)</f>
        <v/>
      </c>
    </row>
    <row r="511">
      <c r="A511" s="13" t="inlineStr">
        <is>
          <t>67201534966797</t>
        </is>
      </c>
      <c r="B511" s="13" t="inlineStr">
        <is>
          <t>ARETES LOVING HEART</t>
        </is>
      </c>
      <c r="C511" s="13" t="inlineStr">
        <is>
          <t>dorado</t>
        </is>
      </c>
      <c r="D511" s="14" t="inlineStr">
        <is>
          <t>nan</t>
        </is>
      </c>
      <c r="E511" s="15" t="n">
        <v>4</v>
      </c>
      <c r="F511" s="13" t="n"/>
      <c r="G511" s="13" t="n"/>
      <c r="H511" s="13" t="n"/>
      <c r="I511" s="15" t="n">
        <v>4</v>
      </c>
      <c r="J511" s="13" t="n"/>
      <c r="K511" s="13" t="n"/>
      <c r="L511" s="13" t="n"/>
      <c r="M511" s="15" t="n">
        <v>6</v>
      </c>
      <c r="N511" s="13" t="n"/>
      <c r="O511" s="13" t="n"/>
      <c r="P511" s="13" t="n"/>
      <c r="Q511" s="13" t="n"/>
      <c r="R511" s="16">
        <f>IF(COUNT(E511:Q511)=0,"",MIN(E511:Q511))</f>
        <v/>
      </c>
      <c r="S511" s="15">
        <f>IF(COUNT(E511:Q511)=0,"",LOOKUP(2,1/(E511:Q511&lt;&gt;""),E511:Q511))</f>
        <v/>
      </c>
      <c r="T511" s="17">
        <f>IF(R511="","",ROUND(R511*RESUMEN!$B$4,0))</f>
        <v/>
      </c>
      <c r="U511" s="18">
        <f>COUNT(E511:Q511)</f>
        <v/>
      </c>
    </row>
    <row r="512">
      <c r="A512" s="13" t="inlineStr">
        <is>
          <t>15104862489069</t>
        </is>
      </c>
      <c r="B512" s="13" t="inlineStr">
        <is>
          <t>ARETES LV FLOWERGRAM GOLD</t>
        </is>
      </c>
      <c r="C512" s="13" t="inlineStr">
        <is>
          <t>Default Title</t>
        </is>
      </c>
      <c r="D512" s="14" t="inlineStr">
        <is>
          <t>Stainless stee</t>
        </is>
      </c>
      <c r="E512" s="13" t="n"/>
      <c r="F512" s="13" t="n"/>
      <c r="G512" s="13" t="n"/>
      <c r="H512" s="13" t="n"/>
      <c r="I512" s="13" t="n"/>
      <c r="J512" s="13" t="n"/>
      <c r="K512" s="15" t="n">
        <v>8.99</v>
      </c>
      <c r="L512" s="13" t="n"/>
      <c r="M512" s="13" t="n"/>
      <c r="N512" s="13" t="n"/>
      <c r="O512" s="15" t="n">
        <v>8.99</v>
      </c>
      <c r="P512" s="13" t="n"/>
      <c r="Q512" s="15" t="n">
        <v>8.99</v>
      </c>
      <c r="R512" s="16">
        <f>IF(COUNT(E512:Q512)=0,"",MIN(E512:Q512))</f>
        <v/>
      </c>
      <c r="S512" s="15">
        <f>IF(COUNT(E512:Q512)=0,"",LOOKUP(2,1/(E512:Q512&lt;&gt;""),E512:Q512))</f>
        <v/>
      </c>
      <c r="T512" s="17">
        <f>IF(R512="","",ROUND(R512*RESUMEN!$B$4,0))</f>
        <v/>
      </c>
      <c r="U512" s="18">
        <f>COUNT(E512:Q512)</f>
        <v/>
      </c>
    </row>
    <row r="513">
      <c r="A513" s="13" t="inlineStr">
        <is>
          <t>15104862595853</t>
        </is>
      </c>
      <c r="B513" s="13" t="inlineStr">
        <is>
          <t>ARETES LV LOGO PEARL</t>
        </is>
      </c>
      <c r="C513" s="13" t="inlineStr">
        <is>
          <t>Default Title</t>
        </is>
      </c>
      <c r="D513" s="14" t="inlineStr">
        <is>
          <t>Copper alloy</t>
        </is>
      </c>
      <c r="E513" s="13" t="n"/>
      <c r="F513" s="13" t="n"/>
      <c r="G513" s="13" t="n"/>
      <c r="H513" s="13" t="n"/>
      <c r="I513" s="13" t="n"/>
      <c r="J513" s="13" t="n"/>
      <c r="K513" s="15" t="n">
        <v>8.99</v>
      </c>
      <c r="L513" s="13" t="n"/>
      <c r="M513" s="13" t="n"/>
      <c r="N513" s="15" t="n">
        <v>8.99</v>
      </c>
      <c r="O513" s="15" t="n">
        <v>8.99</v>
      </c>
      <c r="P513" s="13" t="n"/>
      <c r="Q513" s="15" t="n">
        <v>8.99</v>
      </c>
      <c r="R513" s="16">
        <f>IF(COUNT(E513:Q513)=0,"",MIN(E513:Q513))</f>
        <v/>
      </c>
      <c r="S513" s="15">
        <f>IF(COUNT(E513:Q513)=0,"",LOOKUP(2,1/(E513:Q513&lt;&gt;""),E513:Q513))</f>
        <v/>
      </c>
      <c r="T513" s="17">
        <f>IF(R513="","",ROUND(R513*RESUMEN!$B$4,0))</f>
        <v/>
      </c>
      <c r="U513" s="18">
        <f>COUNT(E513:Q513)</f>
        <v/>
      </c>
    </row>
    <row r="514">
      <c r="A514" s="13" t="inlineStr">
        <is>
          <t>20002741079437</t>
        </is>
      </c>
      <c r="B514" s="13" t="inlineStr">
        <is>
          <t>ARETES LV PADLOCK SILVER CON ZIRCONIA</t>
        </is>
      </c>
      <c r="C514" s="13" t="inlineStr">
        <is>
          <t>Default Title</t>
        </is>
      </c>
      <c r="D514" s="14" t="inlineStr"/>
      <c r="E514" s="13" t="n"/>
      <c r="F514" s="15" t="n">
        <v>15</v>
      </c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6">
        <f>IF(COUNT(E514:Q514)=0,"",MIN(E514:Q514))</f>
        <v/>
      </c>
      <c r="S514" s="15">
        <f>IF(COUNT(E514:Q514)=0,"",LOOKUP(2,1/(E514:Q514&lt;&gt;""),E514:Q514))</f>
        <v/>
      </c>
      <c r="T514" s="17">
        <f>IF(R514="","",ROUND(R514*RESUMEN!$B$4,0))</f>
        <v/>
      </c>
      <c r="U514" s="18">
        <f>COUNT(E514:Q514)</f>
        <v/>
      </c>
    </row>
    <row r="515">
      <c r="A515" s="13" t="inlineStr">
        <is>
          <t>59109721776717</t>
        </is>
      </c>
      <c r="B515" s="13" t="inlineStr">
        <is>
          <t>ARETES LV X TM CERISE</t>
        </is>
      </c>
      <c r="C515" s="13" t="inlineStr">
        <is>
          <t>Default Title</t>
        </is>
      </c>
      <c r="D515" s="14" t="inlineStr">
        <is>
          <t>copper alloy</t>
        </is>
      </c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5" t="n">
        <v>8</v>
      </c>
      <c r="Q515" s="13" t="n"/>
      <c r="R515" s="16">
        <f>IF(COUNT(E515:Q515)=0,"",MIN(E515:Q515))</f>
        <v/>
      </c>
      <c r="S515" s="15">
        <f>IF(COUNT(E515:Q515)=0,"",LOOKUP(2,1/(E515:Q515&lt;&gt;""),E515:Q515))</f>
        <v/>
      </c>
      <c r="T515" s="17">
        <f>IF(R515="","",ROUND(R515*RESUMEN!$B$4,0))</f>
        <v/>
      </c>
      <c r="U515" s="18">
        <f>COUNT(E515:Q515)</f>
        <v/>
      </c>
    </row>
    <row r="516">
      <c r="A516" s="13" t="inlineStr">
        <is>
          <t>67201535108205</t>
        </is>
      </c>
      <c r="B516" s="13" t="inlineStr">
        <is>
          <t>ARETES MARIPOSA BICOLOR GOLD BLUE VF</t>
        </is>
      </c>
      <c r="C516" s="13" t="inlineStr">
        <is>
          <t>Default Title</t>
        </is>
      </c>
      <c r="D516" s="14" t="inlineStr">
        <is>
          <t>Copper Alloy</t>
        </is>
      </c>
      <c r="E516" s="15" t="n">
        <v>7</v>
      </c>
      <c r="F516" s="15" t="n">
        <v>7</v>
      </c>
      <c r="G516" s="13" t="n"/>
      <c r="H516" s="15" t="n">
        <v>7</v>
      </c>
      <c r="I516" s="15" t="n">
        <v>7</v>
      </c>
      <c r="J516" s="15" t="n">
        <v>7</v>
      </c>
      <c r="K516" s="13" t="n"/>
      <c r="L516" s="15" t="n">
        <v>7</v>
      </c>
      <c r="M516" s="13" t="n"/>
      <c r="N516" s="13" t="n"/>
      <c r="O516" s="13" t="n"/>
      <c r="P516" s="15" t="n">
        <v>7</v>
      </c>
      <c r="Q516" s="15" t="n">
        <v>7</v>
      </c>
      <c r="R516" s="16">
        <f>IF(COUNT(E516:Q516)=0,"",MIN(E516:Q516))</f>
        <v/>
      </c>
      <c r="S516" s="15">
        <f>IF(COUNT(E516:Q516)=0,"",LOOKUP(2,1/(E516:Q516&lt;&gt;""),E516:Q516))</f>
        <v/>
      </c>
      <c r="T516" s="17">
        <f>IF(R516="","",ROUND(R516*RESUMEN!$B$4,0))</f>
        <v/>
      </c>
      <c r="U516" s="18">
        <f>COUNT(E516:Q516)</f>
        <v/>
      </c>
    </row>
    <row r="517">
      <c r="A517" s="13" t="inlineStr">
        <is>
          <t>67201535022509</t>
        </is>
      </c>
      <c r="B517" s="13" t="inlineStr">
        <is>
          <t>ARETES MARIPOSA ROSE GOLD WHITE VF</t>
        </is>
      </c>
      <c r="C517" s="13" t="inlineStr">
        <is>
          <t>Default Title</t>
        </is>
      </c>
      <c r="D517" s="14" t="inlineStr">
        <is>
          <t>Copper Alloy</t>
        </is>
      </c>
      <c r="E517" s="13" t="n"/>
      <c r="F517" s="15" t="n">
        <v>7</v>
      </c>
      <c r="G517" s="13" t="n"/>
      <c r="H517" s="13" t="n"/>
      <c r="I517" s="15" t="n">
        <v>7</v>
      </c>
      <c r="J517" s="13" t="n"/>
      <c r="K517" s="13" t="n"/>
      <c r="L517" s="15" t="n">
        <v>7</v>
      </c>
      <c r="M517" s="13" t="n"/>
      <c r="N517" s="13" t="n"/>
      <c r="O517" s="13" t="n"/>
      <c r="P517" s="15" t="n">
        <v>7</v>
      </c>
      <c r="Q517" s="13" t="n"/>
      <c r="R517" s="16">
        <f>IF(COUNT(E517:Q517)=0,"",MIN(E517:Q517))</f>
        <v/>
      </c>
      <c r="S517" s="15">
        <f>IF(COUNT(E517:Q517)=0,"",LOOKUP(2,1/(E517:Q517&lt;&gt;""),E517:Q517))</f>
        <v/>
      </c>
      <c r="T517" s="17">
        <f>IF(R517="","",ROUND(R517*RESUMEN!$B$4,0))</f>
        <v/>
      </c>
      <c r="U517" s="18">
        <f>COUNT(E517:Q517)</f>
        <v/>
      </c>
    </row>
    <row r="518">
      <c r="A518" s="13" t="inlineStr">
        <is>
          <t>74011331080589</t>
        </is>
      </c>
      <c r="B518" s="13" t="inlineStr">
        <is>
          <t>ARETES MM GOLD</t>
        </is>
      </c>
      <c r="C518" s="13" t="inlineStr">
        <is>
          <t>Default Title</t>
        </is>
      </c>
      <c r="D518" s="14" t="inlineStr">
        <is>
          <t>Stainless Stee</t>
        </is>
      </c>
      <c r="E518" s="15" t="n">
        <v>7</v>
      </c>
      <c r="F518" s="13" t="n"/>
      <c r="G518" s="13" t="n"/>
      <c r="H518" s="13" t="n"/>
      <c r="I518" s="15" t="n">
        <v>7</v>
      </c>
      <c r="J518" s="13" t="n"/>
      <c r="K518" s="13" t="n"/>
      <c r="L518" s="15" t="n">
        <v>7</v>
      </c>
      <c r="M518" s="15" t="n">
        <v>7</v>
      </c>
      <c r="N518" s="13" t="n"/>
      <c r="O518" s="13" t="n"/>
      <c r="P518" s="15" t="n">
        <v>7</v>
      </c>
      <c r="Q518" s="13" t="n"/>
      <c r="R518" s="16">
        <f>IF(COUNT(E518:Q518)=0,"",MIN(E518:Q518))</f>
        <v/>
      </c>
      <c r="S518" s="15">
        <f>IF(COUNT(E518:Q518)=0,"",LOOKUP(2,1/(E518:Q518&lt;&gt;""),E518:Q518))</f>
        <v/>
      </c>
      <c r="T518" s="17">
        <f>IF(R518="","",ROUND(R518*RESUMEN!$B$4,0))</f>
        <v/>
      </c>
      <c r="U518" s="18">
        <f>COUNT(E518:Q518)</f>
        <v/>
      </c>
    </row>
    <row r="519">
      <c r="A519" s="13" t="inlineStr">
        <is>
          <t>59109721938861</t>
        </is>
      </c>
      <c r="B519" s="13" t="inlineStr">
        <is>
          <t>ARETES MM HEART PINK</t>
        </is>
      </c>
      <c r="C519" s="13" t="inlineStr">
        <is>
          <t>Default Title</t>
        </is>
      </c>
      <c r="D519" s="14" t="inlineStr">
        <is>
          <t>copper alloy</t>
        </is>
      </c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5" t="n">
        <v>8.99</v>
      </c>
      <c r="Q519" s="13" t="n"/>
      <c r="R519" s="16">
        <f>IF(COUNT(E519:Q519)=0,"",MIN(E519:Q519))</f>
        <v/>
      </c>
      <c r="S519" s="15">
        <f>IF(COUNT(E519:Q519)=0,"",LOOKUP(2,1/(E519:Q519&lt;&gt;""),E519:Q519))</f>
        <v/>
      </c>
      <c r="T519" s="17">
        <f>IF(R519="","",ROUND(R519*RESUMEN!$B$4,0))</f>
        <v/>
      </c>
      <c r="U519" s="18">
        <f>COUNT(E519:Q519)</f>
        <v/>
      </c>
    </row>
    <row r="520">
      <c r="A520" s="13" t="inlineStr">
        <is>
          <t>94663831026189</t>
        </is>
      </c>
      <c r="B520" s="13" t="inlineStr">
        <is>
          <t>ARETES MM ROSEGOLD</t>
        </is>
      </c>
      <c r="C520" s="13" t="inlineStr">
        <is>
          <t>Default Title</t>
        </is>
      </c>
      <c r="D520" s="14" t="inlineStr">
        <is>
          <t>Copper Alloy</t>
        </is>
      </c>
      <c r="E520" s="15" t="n">
        <v>7</v>
      </c>
      <c r="F520" s="13" t="n"/>
      <c r="G520" s="13" t="n"/>
      <c r="H520" s="13" t="n"/>
      <c r="I520" s="15" t="n">
        <v>7</v>
      </c>
      <c r="J520" s="13" t="n"/>
      <c r="K520" s="13" t="n"/>
      <c r="L520" s="13" t="n"/>
      <c r="M520" s="13" t="n"/>
      <c r="N520" s="13" t="n"/>
      <c r="O520" s="13" t="n"/>
      <c r="P520" s="15" t="n">
        <v>7</v>
      </c>
      <c r="Q520" s="13" t="n"/>
      <c r="R520" s="16">
        <f>IF(COUNT(E520:Q520)=0,"",MIN(E520:Q520))</f>
        <v/>
      </c>
      <c r="S520" s="15">
        <f>IF(COUNT(E520:Q520)=0,"",LOOKUP(2,1/(E520:Q520&lt;&gt;""),E520:Q520))</f>
        <v/>
      </c>
      <c r="T520" s="17">
        <f>IF(R520="","",ROUND(R520*RESUMEN!$B$4,0))</f>
        <v/>
      </c>
      <c r="U520" s="18">
        <f>COUNT(E520:Q520)</f>
        <v/>
      </c>
    </row>
    <row r="521">
      <c r="A521" s="13" t="inlineStr">
        <is>
          <t>36568531067821</t>
        </is>
      </c>
      <c r="B521" s="13" t="inlineStr">
        <is>
          <t>ARETES MM SILVER</t>
        </is>
      </c>
      <c r="C521" s="13" t="inlineStr">
        <is>
          <t>Default Title</t>
        </is>
      </c>
      <c r="D521" s="14" t="inlineStr">
        <is>
          <t>Stainless Stee</t>
        </is>
      </c>
      <c r="E521" s="15" t="n">
        <v>7</v>
      </c>
      <c r="F521" s="13" t="n"/>
      <c r="G521" s="13" t="n"/>
      <c r="H521" s="13" t="n"/>
      <c r="I521" s="15" t="n">
        <v>7</v>
      </c>
      <c r="J521" s="13" t="n"/>
      <c r="K521" s="13" t="n"/>
      <c r="L521" s="13" t="n"/>
      <c r="M521" s="15" t="n">
        <v>7</v>
      </c>
      <c r="N521" s="13" t="n"/>
      <c r="O521" s="13" t="n"/>
      <c r="P521" s="15" t="n">
        <v>7</v>
      </c>
      <c r="Q521" s="13" t="n"/>
      <c r="R521" s="16">
        <f>IF(COUNT(E521:Q521)=0,"",MIN(E521:Q521))</f>
        <v/>
      </c>
      <c r="S521" s="15">
        <f>IF(COUNT(E521:Q521)=0,"",LOOKUP(2,1/(E521:Q521&lt;&gt;""),E521:Q521))</f>
        <v/>
      </c>
      <c r="T521" s="17">
        <f>IF(R521="","",ROUND(R521*RESUMEN!$B$4,0))</f>
        <v/>
      </c>
      <c r="U521" s="18">
        <f>COUNT(E521:Q521)</f>
        <v/>
      </c>
    </row>
    <row r="522">
      <c r="A522" s="13" t="inlineStr">
        <is>
          <t>15554123566189</t>
        </is>
      </c>
      <c r="B522" s="13" t="inlineStr">
        <is>
          <t>ARETES MOVE CIRCLE GOLD</t>
        </is>
      </c>
      <c r="C522" s="13" t="inlineStr">
        <is>
          <t>Default Title</t>
        </is>
      </c>
      <c r="D522" s="14" t="inlineStr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5" t="n">
        <v>8</v>
      </c>
      <c r="O522" s="13" t="n"/>
      <c r="P522" s="13" t="n"/>
      <c r="Q522" s="13" t="n"/>
      <c r="R522" s="16">
        <f>IF(COUNT(E522:Q522)=0,"",MIN(E522:Q522))</f>
        <v/>
      </c>
      <c r="S522" s="15">
        <f>IF(COUNT(E522:Q522)=0,"",LOOKUP(2,1/(E522:Q522&lt;&gt;""),E522:Q522))</f>
        <v/>
      </c>
      <c r="T522" s="17">
        <f>IF(R522="","",ROUND(R522*RESUMEN!$B$4,0))</f>
        <v/>
      </c>
      <c r="U522" s="18">
        <f>COUNT(E522:Q522)</f>
        <v/>
      </c>
    </row>
    <row r="523">
      <c r="A523" s="13" t="inlineStr">
        <is>
          <t>15554123602349</t>
        </is>
      </c>
      <c r="B523" s="13" t="inlineStr">
        <is>
          <t>ARETES MOVE CIRCLE SILVER</t>
        </is>
      </c>
      <c r="C523" s="13" t="inlineStr">
        <is>
          <t>Default Title</t>
        </is>
      </c>
      <c r="D523" s="14" t="inlineStr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5" t="n">
        <v>8</v>
      </c>
      <c r="O523" s="13" t="n"/>
      <c r="P523" s="13" t="n"/>
      <c r="Q523" s="13" t="n"/>
      <c r="R523" s="16">
        <f>IF(COUNT(E523:Q523)=0,"",MIN(E523:Q523))</f>
        <v/>
      </c>
      <c r="S523" s="15">
        <f>IF(COUNT(E523:Q523)=0,"",LOOKUP(2,1/(E523:Q523&lt;&gt;""),E523:Q523))</f>
        <v/>
      </c>
      <c r="T523" s="17">
        <f>IF(R523="","",ROUND(R523*RESUMEN!$B$4,0))</f>
        <v/>
      </c>
      <c r="U523" s="18">
        <f>COUNT(E523:Q523)</f>
        <v/>
      </c>
    </row>
    <row r="524">
      <c r="A524" s="13" t="inlineStr">
        <is>
          <t>15554123464493</t>
        </is>
      </c>
      <c r="B524" s="13" t="inlineStr">
        <is>
          <t>ARETES MOVE UNO GOLD ZIRCONIAS</t>
        </is>
      </c>
      <c r="C524" s="13" t="inlineStr">
        <is>
          <t>Default Title</t>
        </is>
      </c>
      <c r="D524" s="14" t="inlineStr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5" t="n">
        <v>5</v>
      </c>
      <c r="O524" s="13" t="n"/>
      <c r="P524" s="13" t="n"/>
      <c r="Q524" s="13" t="n"/>
      <c r="R524" s="16">
        <f>IF(COUNT(E524:Q524)=0,"",MIN(E524:Q524))</f>
        <v/>
      </c>
      <c r="S524" s="15">
        <f>IF(COUNT(E524:Q524)=0,"",LOOKUP(2,1/(E524:Q524&lt;&gt;""),E524:Q524))</f>
        <v/>
      </c>
      <c r="T524" s="17">
        <f>IF(R524="","",ROUND(R524*RESUMEN!$B$4,0))</f>
        <v/>
      </c>
      <c r="U524" s="18">
        <f>COUNT(E524:Q524)</f>
        <v/>
      </c>
    </row>
    <row r="525">
      <c r="A525" s="13" t="inlineStr">
        <is>
          <t>15554122997805</t>
        </is>
      </c>
      <c r="B525" s="13" t="inlineStr">
        <is>
          <t>ARETES MOVE UNO LISO GOLD</t>
        </is>
      </c>
      <c r="C525" s="13" t="inlineStr">
        <is>
          <t>Default Title</t>
        </is>
      </c>
      <c r="D525" s="14" t="inlineStr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5" t="n">
        <v>5.99</v>
      </c>
      <c r="O525" s="13" t="n"/>
      <c r="P525" s="13" t="n"/>
      <c r="Q525" s="13" t="n"/>
      <c r="R525" s="16">
        <f>IF(COUNT(E525:Q525)=0,"",MIN(E525:Q525))</f>
        <v/>
      </c>
      <c r="S525" s="15">
        <f>IF(COUNT(E525:Q525)=0,"",LOOKUP(2,1/(E525:Q525&lt;&gt;""),E525:Q525))</f>
        <v/>
      </c>
      <c r="T525" s="17">
        <f>IF(R525="","",ROUND(R525*RESUMEN!$B$4,0))</f>
        <v/>
      </c>
      <c r="U525" s="18">
        <f>COUNT(E525:Q525)</f>
        <v/>
      </c>
    </row>
    <row r="526">
      <c r="A526" s="13" t="inlineStr">
        <is>
          <t>15554123061645</t>
        </is>
      </c>
      <c r="B526" s="13" t="inlineStr">
        <is>
          <t>ARETES MOVE UNO LISO ROSE GOLD</t>
        </is>
      </c>
      <c r="C526" s="13" t="inlineStr">
        <is>
          <t>Default Title</t>
        </is>
      </c>
      <c r="D526" s="14" t="inlineStr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5" t="n">
        <v>5.99</v>
      </c>
      <c r="O526" s="13" t="n"/>
      <c r="P526" s="13" t="n"/>
      <c r="Q526" s="13" t="n"/>
      <c r="R526" s="16">
        <f>IF(COUNT(E526:Q526)=0,"",MIN(E526:Q526))</f>
        <v/>
      </c>
      <c r="S526" s="15">
        <f>IF(COUNT(E526:Q526)=0,"",LOOKUP(2,1/(E526:Q526&lt;&gt;""),E526:Q526))</f>
        <v/>
      </c>
      <c r="T526" s="17">
        <f>IF(R526="","",ROUND(R526*RESUMEN!$B$4,0))</f>
        <v/>
      </c>
      <c r="U526" s="18">
        <f>COUNT(E526:Q526)</f>
        <v/>
      </c>
    </row>
    <row r="527">
      <c r="A527" s="13" t="inlineStr">
        <is>
          <t>15554123135661</t>
        </is>
      </c>
      <c r="B527" s="13" t="inlineStr">
        <is>
          <t>ARETES MOVE UNO LISO SILVER</t>
        </is>
      </c>
      <c r="C527" s="13" t="inlineStr">
        <is>
          <t>Default Title</t>
        </is>
      </c>
      <c r="D527" s="14" t="inlineStr">
        <is>
          <t>Copper alloy</t>
        </is>
      </c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5" t="n">
        <v>5.99</v>
      </c>
      <c r="O527" s="13" t="n"/>
      <c r="P527" s="13" t="n"/>
      <c r="Q527" s="15" t="n">
        <v>5.99</v>
      </c>
      <c r="R527" s="16">
        <f>IF(COUNT(E527:Q527)=0,"",MIN(E527:Q527))</f>
        <v/>
      </c>
      <c r="S527" s="15">
        <f>IF(COUNT(E527:Q527)=0,"",LOOKUP(2,1/(E527:Q527&lt;&gt;""),E527:Q527))</f>
        <v/>
      </c>
      <c r="T527" s="17">
        <f>IF(R527="","",ROUND(R527*RESUMEN!$B$4,0))</f>
        <v/>
      </c>
      <c r="U527" s="18">
        <f>COUNT(E527:Q527)</f>
        <v/>
      </c>
    </row>
    <row r="528">
      <c r="A528" s="13" t="inlineStr">
        <is>
          <t>15554122759949</t>
        </is>
      </c>
      <c r="B528" s="13" t="inlineStr">
        <is>
          <t>ARETES MOVE UNO STUD SILVER</t>
        </is>
      </c>
      <c r="C528" s="13" t="inlineStr">
        <is>
          <t>Default Title</t>
        </is>
      </c>
      <c r="D528" s="14" t="inlineStr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5" t="n">
        <v>8.99</v>
      </c>
      <c r="O528" s="13" t="n"/>
      <c r="P528" s="13" t="n"/>
      <c r="Q528" s="13" t="n"/>
      <c r="R528" s="16">
        <f>IF(COUNT(E528:Q528)=0,"",MIN(E528:Q528))</f>
        <v/>
      </c>
      <c r="S528" s="15">
        <f>IF(COUNT(E528:Q528)=0,"",LOOKUP(2,1/(E528:Q528&lt;&gt;""),E528:Q528))</f>
        <v/>
      </c>
      <c r="T528" s="17">
        <f>IF(R528="","",ROUND(R528*RESUMEN!$B$4,0))</f>
        <v/>
      </c>
      <c r="U528" s="18">
        <f>COUNT(E528:Q528)</f>
        <v/>
      </c>
    </row>
    <row r="529">
      <c r="A529" s="13" t="inlineStr">
        <is>
          <t>15554123204589</t>
        </is>
      </c>
      <c r="B529" s="13" t="inlineStr">
        <is>
          <t>ARETES MOVE UNO Y UNO GOLD</t>
        </is>
      </c>
      <c r="C529" s="13" t="inlineStr">
        <is>
          <t>Default Title</t>
        </is>
      </c>
      <c r="D529" s="14" t="inlineStr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5" t="n">
        <v>6</v>
      </c>
      <c r="O529" s="13" t="n"/>
      <c r="P529" s="13" t="n"/>
      <c r="Q529" s="13" t="n"/>
      <c r="R529" s="16">
        <f>IF(COUNT(E529:Q529)=0,"",MIN(E529:Q529))</f>
        <v/>
      </c>
      <c r="S529" s="15">
        <f>IF(COUNT(E529:Q529)=0,"",LOOKUP(2,1/(E529:Q529&lt;&gt;""),E529:Q529))</f>
        <v/>
      </c>
      <c r="T529" s="17">
        <f>IF(R529="","",ROUND(R529*RESUMEN!$B$4,0))</f>
        <v/>
      </c>
      <c r="U529" s="18">
        <f>COUNT(E529:Q529)</f>
        <v/>
      </c>
    </row>
    <row r="530">
      <c r="A530" s="13" t="inlineStr">
        <is>
          <t>15554123342445</t>
        </is>
      </c>
      <c r="B530" s="13" t="inlineStr">
        <is>
          <t>ARETES MOVE UNO Y UNO SILVER</t>
        </is>
      </c>
      <c r="C530" s="13" t="inlineStr">
        <is>
          <t>Default Title</t>
        </is>
      </c>
      <c r="D530" s="14" t="inlineStr">
        <is>
          <t>Copper alloy</t>
        </is>
      </c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5" t="n">
        <v>6</v>
      </c>
      <c r="O530" s="13" t="n"/>
      <c r="P530" s="13" t="n"/>
      <c r="Q530" s="15" t="n">
        <v>6</v>
      </c>
      <c r="R530" s="16">
        <f>IF(COUNT(E530:Q530)=0,"",MIN(E530:Q530))</f>
        <v/>
      </c>
      <c r="S530" s="15">
        <f>IF(COUNT(E530:Q530)=0,"",LOOKUP(2,1/(E530:Q530&lt;&gt;""),E530:Q530))</f>
        <v/>
      </c>
      <c r="T530" s="17">
        <f>IF(R530="","",ROUND(R530*RESUMEN!$B$4,0))</f>
        <v/>
      </c>
      <c r="U530" s="18">
        <f>COUNT(E530:Q530)</f>
        <v/>
      </c>
    </row>
    <row r="531">
      <c r="A531" s="13" t="inlineStr">
        <is>
          <t>64085741126029</t>
        </is>
      </c>
      <c r="B531" s="13" t="inlineStr">
        <is>
          <t>ARETES PANTHERE GOLD C</t>
        </is>
      </c>
      <c r="C531" s="13" t="inlineStr">
        <is>
          <t>Default Title</t>
        </is>
      </c>
      <c r="D531" s="14" t="inlineStr">
        <is>
          <t>Copper alloy</t>
        </is>
      </c>
      <c r="E531" s="13" t="n"/>
      <c r="F531" s="15" t="n">
        <v>6</v>
      </c>
      <c r="G531" s="13" t="n"/>
      <c r="H531" s="13" t="n"/>
      <c r="I531" s="13" t="n"/>
      <c r="J531" s="15" t="n">
        <v>6</v>
      </c>
      <c r="K531" s="13" t="n"/>
      <c r="L531" s="15" t="n">
        <v>6</v>
      </c>
      <c r="M531" s="13" t="n"/>
      <c r="N531" s="13" t="n"/>
      <c r="O531" s="13" t="n"/>
      <c r="P531" s="13" t="n"/>
      <c r="Q531" s="13" t="n"/>
      <c r="R531" s="16">
        <f>IF(COUNT(E531:Q531)=0,"",MIN(E531:Q531))</f>
        <v/>
      </c>
      <c r="S531" s="15">
        <f>IF(COUNT(E531:Q531)=0,"",LOOKUP(2,1/(E531:Q531&lt;&gt;""),E531:Q531))</f>
        <v/>
      </c>
      <c r="T531" s="17">
        <f>IF(R531="","",ROUND(R531*RESUMEN!$B$4,0))</f>
        <v/>
      </c>
      <c r="U531" s="18">
        <f>COUNT(E531:Q531)</f>
        <v/>
      </c>
    </row>
    <row r="532">
      <c r="A532" s="13" t="inlineStr">
        <is>
          <t>81078753595757</t>
        </is>
      </c>
      <c r="B532" s="13" t="inlineStr">
        <is>
          <t>ARETES PANTHERE SILVER ZIRCONIAS</t>
        </is>
      </c>
      <c r="C532" s="13" t="inlineStr">
        <is>
          <t>Default Title</t>
        </is>
      </c>
      <c r="D532" s="14" t="inlineStr">
        <is>
          <t>Copper alloy</t>
        </is>
      </c>
      <c r="E532" s="13" t="n"/>
      <c r="F532" s="13" t="n"/>
      <c r="G532" s="15" t="n">
        <v>6.5</v>
      </c>
      <c r="H532" s="13" t="n"/>
      <c r="I532" s="13" t="n"/>
      <c r="J532" s="15" t="n">
        <v>6.5</v>
      </c>
      <c r="K532" s="13" t="n"/>
      <c r="L532" s="15" t="n">
        <v>6.5</v>
      </c>
      <c r="M532" s="13" t="n"/>
      <c r="N532" s="15" t="n">
        <v>6.5</v>
      </c>
      <c r="O532" s="13" t="n"/>
      <c r="P532" s="13" t="n"/>
      <c r="Q532" s="15" t="n">
        <v>6.5</v>
      </c>
      <c r="R532" s="16">
        <f>IF(COUNT(E532:Q532)=0,"",MIN(E532:Q532))</f>
        <v/>
      </c>
      <c r="S532" s="15">
        <f>IF(COUNT(E532:Q532)=0,"",LOOKUP(2,1/(E532:Q532&lt;&gt;""),E532:Q532))</f>
        <v/>
      </c>
      <c r="T532" s="17">
        <f>IF(R532="","",ROUND(R532*RESUMEN!$B$4,0))</f>
        <v/>
      </c>
      <c r="U532" s="18">
        <f>COUNT(E532:Q532)</f>
        <v/>
      </c>
    </row>
    <row r="533">
      <c r="A533" s="13" t="inlineStr">
        <is>
          <t>35432872421549</t>
        </is>
      </c>
      <c r="B533" s="13" t="inlineStr">
        <is>
          <t>ARETES POP H ROSE GOLD PINK</t>
        </is>
      </c>
      <c r="C533" s="13" t="inlineStr">
        <is>
          <t>Default Title</t>
        </is>
      </c>
      <c r="D533" s="14" t="inlineStr"/>
      <c r="E533" s="13" t="n"/>
      <c r="F533" s="13" t="n"/>
      <c r="G533" s="13" t="n"/>
      <c r="H533" s="13" t="n"/>
      <c r="I533" s="13" t="n"/>
      <c r="J533" s="13" t="n"/>
      <c r="K533" s="15" t="n">
        <v>8.9</v>
      </c>
      <c r="L533" s="13" t="n"/>
      <c r="M533" s="13" t="n"/>
      <c r="N533" s="13" t="n"/>
      <c r="O533" s="13" t="n"/>
      <c r="P533" s="13" t="n"/>
      <c r="Q533" s="13" t="n"/>
      <c r="R533" s="16">
        <f>IF(COUNT(E533:Q533)=0,"",MIN(E533:Q533))</f>
        <v/>
      </c>
      <c r="S533" s="15">
        <f>IF(COUNT(E533:Q533)=0,"",LOOKUP(2,1/(E533:Q533&lt;&gt;""),E533:Q533))</f>
        <v/>
      </c>
      <c r="T533" s="17">
        <f>IF(R533="","",ROUND(R533*RESUMEN!$B$4,0))</f>
        <v/>
      </c>
      <c r="U533" s="18">
        <f>COUNT(E533:Q533)</f>
        <v/>
      </c>
    </row>
    <row r="534">
      <c r="A534" s="13" t="inlineStr">
        <is>
          <t>35432872053165</t>
        </is>
      </c>
      <c r="B534" s="13" t="inlineStr">
        <is>
          <t>ARETES POP H SILVER-BLACK</t>
        </is>
      </c>
      <c r="C534" s="13" t="inlineStr">
        <is>
          <t>Default Title</t>
        </is>
      </c>
      <c r="D534" s="14" t="inlineStr">
        <is>
          <t>Stainless stee</t>
        </is>
      </c>
      <c r="E534" s="13" t="n"/>
      <c r="F534" s="13" t="n"/>
      <c r="G534" s="13" t="n"/>
      <c r="H534" s="13" t="n"/>
      <c r="I534" s="13" t="n"/>
      <c r="J534" s="13" t="n"/>
      <c r="K534" s="15" t="n">
        <v>8.9</v>
      </c>
      <c r="L534" s="13" t="n"/>
      <c r="M534" s="13" t="n"/>
      <c r="N534" s="13" t="n"/>
      <c r="O534" s="13" t="n"/>
      <c r="P534" s="13" t="n"/>
      <c r="Q534" s="15" t="n">
        <v>8.9</v>
      </c>
      <c r="R534" s="16">
        <f>IF(COUNT(E534:Q534)=0,"",MIN(E534:Q534))</f>
        <v/>
      </c>
      <c r="S534" s="15">
        <f>IF(COUNT(E534:Q534)=0,"",LOOKUP(2,1/(E534:Q534&lt;&gt;""),E534:Q534))</f>
        <v/>
      </c>
      <c r="T534" s="17">
        <f>IF(R534="","",ROUND(R534*RESUMEN!$B$4,0))</f>
        <v/>
      </c>
      <c r="U534" s="18">
        <f>COUNT(E534:Q534)</f>
        <v/>
      </c>
    </row>
    <row r="535">
      <c r="A535" s="13" t="inlineStr">
        <is>
          <t>35432872130573</t>
        </is>
      </c>
      <c r="B535" s="13" t="inlineStr">
        <is>
          <t>ARETES POP H SILVER-WHITE</t>
        </is>
      </c>
      <c r="C535" s="13" t="inlineStr">
        <is>
          <t>Default Title</t>
        </is>
      </c>
      <c r="D535" s="14" t="inlineStr">
        <is>
          <t>Stainless stee</t>
        </is>
      </c>
      <c r="E535" s="13" t="n"/>
      <c r="F535" s="13" t="n"/>
      <c r="G535" s="13" t="n"/>
      <c r="H535" s="13" t="n"/>
      <c r="I535" s="13" t="n"/>
      <c r="J535" s="13" t="n"/>
      <c r="K535" s="15" t="n">
        <v>8.9</v>
      </c>
      <c r="L535" s="13" t="n"/>
      <c r="M535" s="13" t="n"/>
      <c r="N535" s="13" t="n"/>
      <c r="O535" s="13" t="n"/>
      <c r="P535" s="13" t="n"/>
      <c r="Q535" s="15" t="n">
        <v>8.9</v>
      </c>
      <c r="R535" s="16">
        <f>IF(COUNT(E535:Q535)=0,"",MIN(E535:Q535))</f>
        <v/>
      </c>
      <c r="S535" s="15">
        <f>IF(COUNT(E535:Q535)=0,"",LOOKUP(2,1/(E535:Q535&lt;&gt;""),E535:Q535))</f>
        <v/>
      </c>
      <c r="T535" s="17">
        <f>IF(R535="","",ROUND(R535*RESUMEN!$B$4,0))</f>
        <v/>
      </c>
      <c r="U535" s="18">
        <f>COUNT(E535:Q535)</f>
        <v/>
      </c>
    </row>
    <row r="536">
      <c r="A536" s="13" t="inlineStr">
        <is>
          <t>665bb75e1389b</t>
        </is>
      </c>
      <c r="B536" s="13" t="inlineStr">
        <is>
          <t>ARETES SCREW LOVE GOLD</t>
        </is>
      </c>
      <c r="C536" s="13" t="inlineStr">
        <is>
          <t>MEDIUM</t>
        </is>
      </c>
      <c r="D536" s="14" t="inlineStr">
        <is>
          <t>Stainless stee</t>
        </is>
      </c>
      <c r="E536" s="13" t="n"/>
      <c r="F536" s="13" t="n"/>
      <c r="G536" s="13" t="n"/>
      <c r="H536" s="15" t="n">
        <v>2.99</v>
      </c>
      <c r="I536" s="13" t="n"/>
      <c r="J536" s="13" t="n"/>
      <c r="K536" s="13" t="n"/>
      <c r="L536" s="15" t="n">
        <v>2.99</v>
      </c>
      <c r="M536" s="13" t="n"/>
      <c r="N536" s="15" t="n">
        <v>2.99</v>
      </c>
      <c r="O536" s="15" t="n">
        <v>2.99</v>
      </c>
      <c r="P536" s="13" t="n"/>
      <c r="Q536" s="15" t="n">
        <v>2.99</v>
      </c>
      <c r="R536" s="16">
        <f>IF(COUNT(E536:Q536)=0,"",MIN(E536:Q536))</f>
        <v/>
      </c>
      <c r="S536" s="15">
        <f>IF(COUNT(E536:Q536)=0,"",LOOKUP(2,1/(E536:Q536&lt;&gt;""),E536:Q536))</f>
        <v/>
      </c>
      <c r="T536" s="17">
        <f>IF(R536="","",ROUND(R536*RESUMEN!$B$4,0))</f>
        <v/>
      </c>
      <c r="U536" s="18">
        <f>COUNT(E536:Q536)</f>
        <v/>
      </c>
    </row>
    <row r="537">
      <c r="A537" s="13" t="inlineStr">
        <is>
          <t>665bb75f8312e</t>
        </is>
      </c>
      <c r="B537" s="13" t="inlineStr">
        <is>
          <t>ARETES SCREW LOVE ROSE GOLD</t>
        </is>
      </c>
      <c r="C537" s="13" t="inlineStr">
        <is>
          <t>MEDIUM</t>
        </is>
      </c>
      <c r="D537" s="14" t="inlineStr">
        <is>
          <t>Stainless Stee</t>
        </is>
      </c>
      <c r="E537" s="13" t="n"/>
      <c r="F537" s="15" t="n">
        <v>2.99</v>
      </c>
      <c r="G537" s="13" t="n"/>
      <c r="H537" s="13" t="n"/>
      <c r="I537" s="15" t="n">
        <v>2.99</v>
      </c>
      <c r="J537" s="13" t="n"/>
      <c r="K537" s="13" t="n"/>
      <c r="L537" s="13" t="n"/>
      <c r="M537" s="13" t="n"/>
      <c r="N537" s="13" t="n"/>
      <c r="O537" s="13" t="n"/>
      <c r="P537" s="13" t="n"/>
      <c r="Q537" s="15" t="n">
        <v>2.99</v>
      </c>
      <c r="R537" s="16">
        <f>IF(COUNT(E537:Q537)=0,"",MIN(E537:Q537))</f>
        <v/>
      </c>
      <c r="S537" s="15">
        <f>IF(COUNT(E537:Q537)=0,"",LOOKUP(2,1/(E537:Q537&lt;&gt;""),E537:Q537))</f>
        <v/>
      </c>
      <c r="T537" s="17">
        <f>IF(R537="","",ROUND(R537*RESUMEN!$B$4,0))</f>
        <v/>
      </c>
      <c r="U537" s="18">
        <f>COUNT(E537:Q537)</f>
        <v/>
      </c>
    </row>
    <row r="538">
      <c r="A538" s="13" t="inlineStr">
        <is>
          <t>661786a2c48dd</t>
        </is>
      </c>
      <c r="B538" s="13" t="inlineStr">
        <is>
          <t>ARETES SCREW LOVE ROSE GOLD</t>
        </is>
      </c>
      <c r="C538" s="13" t="inlineStr">
        <is>
          <t>SMALL</t>
        </is>
      </c>
      <c r="D538" s="14" t="inlineStr"/>
      <c r="E538" s="13" t="n"/>
      <c r="F538" s="13" t="n"/>
      <c r="G538" s="13" t="n"/>
      <c r="H538" s="15" t="n">
        <v>2.99</v>
      </c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6">
        <f>IF(COUNT(E538:Q538)=0,"",MIN(E538:Q538))</f>
        <v/>
      </c>
      <c r="S538" s="15">
        <f>IF(COUNT(E538:Q538)=0,"",LOOKUP(2,1/(E538:Q538&lt;&gt;""),E538:Q538))</f>
        <v/>
      </c>
      <c r="T538" s="17">
        <f>IF(R538="","",ROUND(R538*RESUMEN!$B$4,0))</f>
        <v/>
      </c>
      <c r="U538" s="18">
        <f>COUNT(E538:Q538)</f>
        <v/>
      </c>
    </row>
    <row r="539">
      <c r="A539" s="13" t="inlineStr">
        <is>
          <t>665bb7668ef3c</t>
        </is>
      </c>
      <c r="B539" s="13" t="inlineStr">
        <is>
          <t>ARETES SCREW LOVE SILVER</t>
        </is>
      </c>
      <c r="C539" s="13" t="inlineStr">
        <is>
          <t>MEDIUM</t>
        </is>
      </c>
      <c r="D539" s="14" t="inlineStr">
        <is>
          <t>Stainless Stee</t>
        </is>
      </c>
      <c r="E539" s="13" t="n"/>
      <c r="F539" s="15" t="n">
        <v>2.99</v>
      </c>
      <c r="G539" s="13" t="n"/>
      <c r="H539" s="15" t="n">
        <v>2.99</v>
      </c>
      <c r="I539" s="15" t="n">
        <v>2.99</v>
      </c>
      <c r="J539" s="13" t="n"/>
      <c r="K539" s="13" t="n"/>
      <c r="L539" s="15" t="n">
        <v>2.99</v>
      </c>
      <c r="M539" s="13" t="n"/>
      <c r="N539" s="13" t="n"/>
      <c r="O539" s="13" t="n"/>
      <c r="P539" s="15" t="n">
        <v>2.99</v>
      </c>
      <c r="Q539" s="15" t="n">
        <v>2.99</v>
      </c>
      <c r="R539" s="16">
        <f>IF(COUNT(E539:Q539)=0,"",MIN(E539:Q539))</f>
        <v/>
      </c>
      <c r="S539" s="15">
        <f>IF(COUNT(E539:Q539)=0,"",LOOKUP(2,1/(E539:Q539&lt;&gt;""),E539:Q539))</f>
        <v/>
      </c>
      <c r="T539" s="17">
        <f>IF(R539="","",ROUND(R539*RESUMEN!$B$4,0))</f>
        <v/>
      </c>
      <c r="U539" s="18">
        <f>COUNT(E539:Q539)</f>
        <v/>
      </c>
    </row>
    <row r="540">
      <c r="A540" s="13" t="inlineStr">
        <is>
          <t>29736674042893</t>
        </is>
      </c>
      <c r="B540" s="13" t="inlineStr">
        <is>
          <t>ARETES T CIRCULARES ROSE GOLD</t>
        </is>
      </c>
      <c r="C540" s="13" t="inlineStr">
        <is>
          <t>Default Title</t>
        </is>
      </c>
      <c r="D540" s="14" t="inlineStr">
        <is>
          <t>Copper Alloy</t>
        </is>
      </c>
      <c r="E540" s="13" t="n"/>
      <c r="F540" s="13" t="n"/>
      <c r="G540" s="13" t="n"/>
      <c r="H540" s="13" t="n"/>
      <c r="I540" s="13" t="n"/>
      <c r="J540" s="13" t="n"/>
      <c r="K540" s="15" t="n">
        <v>8</v>
      </c>
      <c r="L540" s="13" t="n"/>
      <c r="M540" s="13" t="n"/>
      <c r="N540" s="13" t="n"/>
      <c r="O540" s="13" t="n"/>
      <c r="P540" s="13" t="n"/>
      <c r="Q540" s="15" t="n">
        <v>8</v>
      </c>
      <c r="R540" s="16">
        <f>IF(COUNT(E540:Q540)=0,"",MIN(E540:Q540))</f>
        <v/>
      </c>
      <c r="S540" s="15">
        <f>IF(COUNT(E540:Q540)=0,"",LOOKUP(2,1/(E540:Q540&lt;&gt;""),E540:Q540))</f>
        <v/>
      </c>
      <c r="T540" s="17">
        <f>IF(R540="","",ROUND(R540*RESUMEN!$B$4,0))</f>
        <v/>
      </c>
      <c r="U540" s="18">
        <f>COUNT(E540:Q540)</f>
        <v/>
      </c>
    </row>
    <row r="541">
      <c r="A541" s="13" t="inlineStr">
        <is>
          <t>15118061083949</t>
        </is>
      </c>
      <c r="B541" s="13" t="inlineStr">
        <is>
          <t>ARETES T CORAZÓN CON FLECHA</t>
        </is>
      </c>
      <c r="C541" s="13" t="inlineStr">
        <is>
          <t>Default Title</t>
        </is>
      </c>
      <c r="D541" s="14" t="inlineStr">
        <is>
          <t>Copper alloy</t>
        </is>
      </c>
      <c r="E541" s="13" t="n"/>
      <c r="F541" s="13" t="n"/>
      <c r="G541" s="13" t="n"/>
      <c r="H541" s="15" t="n">
        <v>5</v>
      </c>
      <c r="I541" s="15" t="n">
        <v>5</v>
      </c>
      <c r="J541" s="15" t="n">
        <v>5</v>
      </c>
      <c r="K541" s="13" t="n"/>
      <c r="L541" s="15" t="n">
        <v>5</v>
      </c>
      <c r="M541" s="15" t="n">
        <v>5</v>
      </c>
      <c r="N541" s="13" t="n"/>
      <c r="O541" s="13" t="n"/>
      <c r="P541" s="15" t="n">
        <v>5</v>
      </c>
      <c r="Q541" s="13" t="n"/>
      <c r="R541" s="16">
        <f>IF(COUNT(E541:Q541)=0,"",MIN(E541:Q541))</f>
        <v/>
      </c>
      <c r="S541" s="15">
        <f>IF(COUNT(E541:Q541)=0,"",LOOKUP(2,1/(E541:Q541&lt;&gt;""),E541:Q541))</f>
        <v/>
      </c>
      <c r="T541" s="17">
        <f>IF(R541="","",ROUND(R541*RESUMEN!$B$4,0))</f>
        <v/>
      </c>
      <c r="U541" s="18">
        <f>COUNT(E541:Q541)</f>
        <v/>
      </c>
    </row>
    <row r="542">
      <c r="A542" s="13" t="inlineStr">
        <is>
          <t>45043621046701</t>
        </is>
      </c>
      <c r="B542" s="13" t="inlineStr">
        <is>
          <t>ARETES T GOLD CON ZIRCONIA</t>
        </is>
      </c>
      <c r="C542" s="13" t="inlineStr">
        <is>
          <t>Default Title</t>
        </is>
      </c>
      <c r="D542" s="14" t="inlineStr">
        <is>
          <t>Copper alloy</t>
        </is>
      </c>
      <c r="E542" s="13" t="n"/>
      <c r="F542" s="15" t="n">
        <v>7</v>
      </c>
      <c r="G542" s="13" t="n"/>
      <c r="H542" s="13" t="n"/>
      <c r="I542" s="13" t="n"/>
      <c r="J542" s="15" t="n">
        <v>10</v>
      </c>
      <c r="K542" s="13" t="n"/>
      <c r="L542" s="15" t="n">
        <v>10</v>
      </c>
      <c r="M542" s="15" t="n">
        <v>10</v>
      </c>
      <c r="N542" s="13" t="n"/>
      <c r="O542" s="15" t="n">
        <v>7</v>
      </c>
      <c r="P542" s="13" t="n"/>
      <c r="Q542" s="13" t="n"/>
      <c r="R542" s="16">
        <f>IF(COUNT(E542:Q542)=0,"",MIN(E542:Q542))</f>
        <v/>
      </c>
      <c r="S542" s="15">
        <f>IF(COUNT(E542:Q542)=0,"",LOOKUP(2,1/(E542:Q542&lt;&gt;""),E542:Q542))</f>
        <v/>
      </c>
      <c r="T542" s="17">
        <f>IF(R542="","",ROUND(R542*RESUMEN!$B$4,0))</f>
        <v/>
      </c>
      <c r="U542" s="18">
        <f>COUNT(E542:Q542)</f>
        <v/>
      </c>
    </row>
    <row r="543">
      <c r="A543" s="13" t="inlineStr">
        <is>
          <t>89790741157517</t>
        </is>
      </c>
      <c r="B543" s="13" t="inlineStr">
        <is>
          <t>ARETES T GOLD LISO</t>
        </is>
      </c>
      <c r="C543" s="13" t="inlineStr">
        <is>
          <t>Default Title</t>
        </is>
      </c>
      <c r="D543" s="14" t="inlineStr">
        <is>
          <t>Copper Alloy</t>
        </is>
      </c>
      <c r="E543" s="13" t="n"/>
      <c r="F543" s="15" t="n">
        <v>5</v>
      </c>
      <c r="G543" s="13" t="n"/>
      <c r="H543" s="13" t="n"/>
      <c r="I543" s="13" t="n"/>
      <c r="J543" s="15" t="n">
        <v>7</v>
      </c>
      <c r="K543" s="13" t="n"/>
      <c r="L543" s="13" t="n"/>
      <c r="M543" s="13" t="n"/>
      <c r="N543" s="15" t="n">
        <v>7</v>
      </c>
      <c r="O543" s="13" t="n"/>
      <c r="P543" s="15" t="n">
        <v>7</v>
      </c>
      <c r="Q543" s="15" t="n">
        <v>7</v>
      </c>
      <c r="R543" s="16">
        <f>IF(COUNT(E543:Q543)=0,"",MIN(E543:Q543))</f>
        <v/>
      </c>
      <c r="S543" s="15">
        <f>IF(COUNT(E543:Q543)=0,"",LOOKUP(2,1/(E543:Q543&lt;&gt;""),E543:Q543))</f>
        <v/>
      </c>
      <c r="T543" s="17">
        <f>IF(R543="","",ROUND(R543*RESUMEN!$B$4,0))</f>
        <v/>
      </c>
      <c r="U543" s="18">
        <f>COUNT(E543:Q543)</f>
        <v/>
      </c>
    </row>
    <row r="544">
      <c r="A544" s="13" t="inlineStr">
        <is>
          <t>56481470225932</t>
        </is>
      </c>
      <c r="B544" s="13" t="inlineStr">
        <is>
          <t>ARETES T LOVE</t>
        </is>
      </c>
      <c r="C544" s="13" t="inlineStr">
        <is>
          <t>Default Title</t>
        </is>
      </c>
      <c r="D544" s="14" t="inlineStr">
        <is>
          <t>Stainless stee</t>
        </is>
      </c>
      <c r="E544" s="13" t="n"/>
      <c r="F544" s="13" t="n"/>
      <c r="G544" s="13" t="n"/>
      <c r="H544" s="13" t="n"/>
      <c r="I544" s="13" t="n"/>
      <c r="J544" s="13" t="n"/>
      <c r="K544" s="13" t="n"/>
      <c r="L544" s="15" t="n">
        <v>7</v>
      </c>
      <c r="M544" s="13" t="n"/>
      <c r="N544" s="13" t="n"/>
      <c r="O544" s="13" t="n"/>
      <c r="P544" s="13" t="n"/>
      <c r="Q544" s="13" t="n"/>
      <c r="R544" s="16">
        <f>IF(COUNT(E544:Q544)=0,"",MIN(E544:Q544))</f>
        <v/>
      </c>
      <c r="S544" s="15">
        <f>IF(COUNT(E544:Q544)=0,"",LOOKUP(2,1/(E544:Q544&lt;&gt;""),E544:Q544))</f>
        <v/>
      </c>
      <c r="T544" s="17">
        <f>IF(R544="","",ROUND(R544*RESUMEN!$B$4,0))</f>
        <v/>
      </c>
      <c r="U544" s="18">
        <f>COUNT(E544:Q544)</f>
        <v/>
      </c>
    </row>
    <row r="545">
      <c r="A545" s="13" t="inlineStr">
        <is>
          <t>89790741264077</t>
        </is>
      </c>
      <c r="B545" s="13" t="inlineStr">
        <is>
          <t>ARETES T ROSEGOLD CON ZIRCONIA</t>
        </is>
      </c>
      <c r="C545" s="13" t="inlineStr">
        <is>
          <t>Default Title</t>
        </is>
      </c>
      <c r="D545" s="14" t="inlineStr">
        <is>
          <t>nan</t>
        </is>
      </c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5" t="n">
        <v>10</v>
      </c>
      <c r="N545" s="13" t="n"/>
      <c r="O545" s="13" t="n"/>
      <c r="P545" s="13" t="n"/>
      <c r="Q545" s="13" t="n"/>
      <c r="R545" s="16">
        <f>IF(COUNT(E545:Q545)=0,"",MIN(E545:Q545))</f>
        <v/>
      </c>
      <c r="S545" s="15">
        <f>IF(COUNT(E545:Q545)=0,"",LOOKUP(2,1/(E545:Q545&lt;&gt;""),E545:Q545))</f>
        <v/>
      </c>
      <c r="T545" s="17">
        <f>IF(R545="","",ROUND(R545*RESUMEN!$B$4,0))</f>
        <v/>
      </c>
      <c r="U545" s="18">
        <f>COUNT(E545:Q545)</f>
        <v/>
      </c>
    </row>
    <row r="546">
      <c r="A546" s="13" t="inlineStr">
        <is>
          <t>46636991009581</t>
        </is>
      </c>
      <c r="B546" s="13" t="inlineStr">
        <is>
          <t>ARETES T SILVER CON ZIRCONIA</t>
        </is>
      </c>
      <c r="C546" s="13" t="inlineStr">
        <is>
          <t>Default Title</t>
        </is>
      </c>
      <c r="D546" s="14" t="inlineStr">
        <is>
          <t>Copper Alloy</t>
        </is>
      </c>
      <c r="E546" s="13" t="n"/>
      <c r="F546" s="15" t="n">
        <v>7</v>
      </c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5" t="n">
        <v>7</v>
      </c>
      <c r="P546" s="15" t="n">
        <v>7</v>
      </c>
      <c r="Q546" s="13" t="n"/>
      <c r="R546" s="16">
        <f>IF(COUNT(E546:Q546)=0,"",MIN(E546:Q546))</f>
        <v/>
      </c>
      <c r="S546" s="15">
        <f>IF(COUNT(E546:Q546)=0,"",LOOKUP(2,1/(E546:Q546&lt;&gt;""),E546:Q546))</f>
        <v/>
      </c>
      <c r="T546" s="17">
        <f>IF(R546="","",ROUND(R546*RESUMEN!$B$4,0))</f>
        <v/>
      </c>
      <c r="U546" s="18">
        <f>COUNT(E546:Q546)</f>
        <v/>
      </c>
    </row>
    <row r="547">
      <c r="A547" s="13" t="inlineStr">
        <is>
          <t>89790741012877</t>
        </is>
      </c>
      <c r="B547" s="13" t="inlineStr">
        <is>
          <t>ARETES T SILVER LISO</t>
        </is>
      </c>
      <c r="C547" s="13" t="inlineStr">
        <is>
          <t>Default Title</t>
        </is>
      </c>
      <c r="D547" s="14" t="inlineStr">
        <is>
          <t>Copper Alloy</t>
        </is>
      </c>
      <c r="E547" s="13" t="n"/>
      <c r="F547" s="15" t="n">
        <v>5</v>
      </c>
      <c r="G547" s="13" t="n"/>
      <c r="H547" s="13" t="n"/>
      <c r="I547" s="13" t="n"/>
      <c r="J547" s="15" t="n">
        <v>7</v>
      </c>
      <c r="K547" s="13" t="n"/>
      <c r="L547" s="13" t="n"/>
      <c r="M547" s="13" t="n"/>
      <c r="N547" s="13" t="n"/>
      <c r="O547" s="15" t="n">
        <v>5</v>
      </c>
      <c r="P547" s="13" t="n"/>
      <c r="Q547" s="13" t="n"/>
      <c r="R547" s="16">
        <f>IF(COUNT(E547:Q547)=0,"",MIN(E547:Q547))</f>
        <v/>
      </c>
      <c r="S547" s="15">
        <f>IF(COUNT(E547:Q547)=0,"",LOOKUP(2,1/(E547:Q547&lt;&gt;""),E547:Q547))</f>
        <v/>
      </c>
      <c r="T547" s="17">
        <f>IF(R547="","",ROUND(R547*RESUMEN!$B$4,0))</f>
        <v/>
      </c>
      <c r="U547" s="18">
        <f>COUNT(E547:Q547)</f>
        <v/>
      </c>
    </row>
    <row r="548">
      <c r="A548" s="13" t="inlineStr">
        <is>
          <t>29736673659245</t>
        </is>
      </c>
      <c r="B548" s="13" t="inlineStr">
        <is>
          <t>ARETES T SMILE HALF ZIRCONIAS GOLD</t>
        </is>
      </c>
      <c r="C548" s="13" t="inlineStr">
        <is>
          <t>Default Title</t>
        </is>
      </c>
      <c r="D548" s="14" t="inlineStr">
        <is>
          <t>Copper Alloy</t>
        </is>
      </c>
      <c r="E548" s="13" t="n"/>
      <c r="F548" s="13" t="n"/>
      <c r="G548" s="13" t="n"/>
      <c r="H548" s="13" t="n"/>
      <c r="I548" s="13" t="n"/>
      <c r="J548" s="13" t="n"/>
      <c r="K548" s="15" t="n">
        <v>4.99</v>
      </c>
      <c r="L548" s="13" t="n"/>
      <c r="M548" s="13" t="n"/>
      <c r="N548" s="13" t="n"/>
      <c r="O548" s="13" t="n"/>
      <c r="P548" s="15" t="n">
        <v>4.99</v>
      </c>
      <c r="Q548" s="15" t="n">
        <v>4.99</v>
      </c>
      <c r="R548" s="16">
        <f>IF(COUNT(E548:Q548)=0,"",MIN(E548:Q548))</f>
        <v/>
      </c>
      <c r="S548" s="15">
        <f>IF(COUNT(E548:Q548)=0,"",LOOKUP(2,1/(E548:Q548&lt;&gt;""),E548:Q548))</f>
        <v/>
      </c>
      <c r="T548" s="17">
        <f>IF(R548="","",ROUND(R548*RESUMEN!$B$4,0))</f>
        <v/>
      </c>
      <c r="U548" s="18">
        <f>COUNT(E548:Q548)</f>
        <v/>
      </c>
    </row>
    <row r="549">
      <c r="A549" s="13" t="inlineStr">
        <is>
          <t>29736673893165</t>
        </is>
      </c>
      <c r="B549" s="13" t="inlineStr">
        <is>
          <t>ARETES T SQUARE SIXTEEN STONE SILVER</t>
        </is>
      </c>
      <c r="C549" s="13" t="inlineStr">
        <is>
          <t>Default Title</t>
        </is>
      </c>
      <c r="D549" s="14" t="inlineStr">
        <is>
          <t>Copper alloy</t>
        </is>
      </c>
      <c r="E549" s="13" t="n"/>
      <c r="F549" s="13" t="n"/>
      <c r="G549" s="13" t="n"/>
      <c r="H549" s="13" t="n"/>
      <c r="I549" s="13" t="n"/>
      <c r="J549" s="13" t="n"/>
      <c r="K549" s="15" t="n">
        <v>6.5</v>
      </c>
      <c r="L549" s="13" t="n"/>
      <c r="M549" s="13" t="n"/>
      <c r="N549" s="15" t="n">
        <v>6.5</v>
      </c>
      <c r="O549" s="15" t="n">
        <v>6.5</v>
      </c>
      <c r="P549" s="13" t="n"/>
      <c r="Q549" s="15" t="n">
        <v>6.5</v>
      </c>
      <c r="R549" s="16">
        <f>IF(COUNT(E549:Q549)=0,"",MIN(E549:Q549))</f>
        <v/>
      </c>
      <c r="S549" s="15">
        <f>IF(COUNT(E549:Q549)=0,"",LOOKUP(2,1/(E549:Q549&lt;&gt;""),E549:Q549))</f>
        <v/>
      </c>
      <c r="T549" s="17">
        <f>IF(R549="","",ROUND(R549*RESUMEN!$B$4,0))</f>
        <v/>
      </c>
      <c r="U549" s="18">
        <f>COUNT(E549:Q549)</f>
        <v/>
      </c>
    </row>
    <row r="550">
      <c r="A550" s="13" t="inlineStr">
        <is>
          <t>29736673779597</t>
        </is>
      </c>
      <c r="B550" s="13" t="inlineStr">
        <is>
          <t>ARETES T VICTORIA</t>
        </is>
      </c>
      <c r="C550" s="13" t="inlineStr">
        <is>
          <t>Default Title</t>
        </is>
      </c>
      <c r="D550" s="14" t="inlineStr">
        <is>
          <t>Copper alloy</t>
        </is>
      </c>
      <c r="E550" s="13" t="n"/>
      <c r="F550" s="13" t="n"/>
      <c r="G550" s="13" t="n"/>
      <c r="H550" s="13" t="n"/>
      <c r="I550" s="13" t="n"/>
      <c r="J550" s="13" t="n"/>
      <c r="K550" s="15" t="n">
        <v>6</v>
      </c>
      <c r="L550" s="13" t="n"/>
      <c r="M550" s="13" t="n"/>
      <c r="N550" s="13" t="n"/>
      <c r="O550" s="13" t="n"/>
      <c r="P550" s="15" t="n">
        <v>6</v>
      </c>
      <c r="Q550" s="13" t="n"/>
      <c r="R550" s="16">
        <f>IF(COUNT(E550:Q550)=0,"",MIN(E550:Q550))</f>
        <v/>
      </c>
      <c r="S550" s="15">
        <f>IF(COUNT(E550:Q550)=0,"",LOOKUP(2,1/(E550:Q550&lt;&gt;""),E550:Q550))</f>
        <v/>
      </c>
      <c r="T550" s="17">
        <f>IF(R550="","",ROUND(R550*RESUMEN!$B$4,0))</f>
        <v/>
      </c>
      <c r="U550" s="18">
        <f>COUNT(E550:Q550)</f>
        <v/>
      </c>
    </row>
    <row r="551">
      <c r="A551" s="13" t="inlineStr">
        <is>
          <t>661784a190a7f</t>
        </is>
      </c>
      <c r="B551" s="13" t="inlineStr">
        <is>
          <t>ARETES TREBOL GOLD-RED</t>
        </is>
      </c>
      <c r="C551" s="13" t="inlineStr">
        <is>
          <t>HIGH QUALITY</t>
        </is>
      </c>
      <c r="D551" s="14" t="inlineStr">
        <is>
          <t>Copper alloy</t>
        </is>
      </c>
      <c r="E551" s="15" t="n">
        <v>15</v>
      </c>
      <c r="F551" s="13" t="n"/>
      <c r="G551" s="13" t="n"/>
      <c r="H551" s="15" t="n">
        <v>16</v>
      </c>
      <c r="I551" s="13" t="n"/>
      <c r="J551" s="15" t="n">
        <v>8</v>
      </c>
      <c r="K551" s="13" t="n"/>
      <c r="L551" s="15" t="n">
        <v>8</v>
      </c>
      <c r="M551" s="15" t="n">
        <v>8</v>
      </c>
      <c r="N551" s="13" t="n"/>
      <c r="O551" s="13" t="n"/>
      <c r="P551" s="15" t="n">
        <v>8</v>
      </c>
      <c r="Q551" s="13" t="n"/>
      <c r="R551" s="16">
        <f>IF(COUNT(E551:Q551)=0,"",MIN(E551:Q551))</f>
        <v/>
      </c>
      <c r="S551" s="15">
        <f>IF(COUNT(E551:Q551)=0,"",LOOKUP(2,1/(E551:Q551&lt;&gt;""),E551:Q551))</f>
        <v/>
      </c>
      <c r="T551" s="17">
        <f>IF(R551="","",ROUND(R551*RESUMEN!$B$4,0))</f>
        <v/>
      </c>
      <c r="U551" s="18">
        <f>COUNT(E551:Q551)</f>
        <v/>
      </c>
    </row>
    <row r="552">
      <c r="A552" s="13" t="inlineStr">
        <is>
          <t>665bb779a07ff</t>
        </is>
      </c>
      <c r="B552" s="13" t="inlineStr">
        <is>
          <t>ARETES TREBOL ROSE GOLD WHITE</t>
        </is>
      </c>
      <c r="C552" s="13" t="inlineStr">
        <is>
          <t>REGULAR</t>
        </is>
      </c>
      <c r="D552" s="14" t="inlineStr">
        <is>
          <t>copper alloy</t>
        </is>
      </c>
      <c r="E552" s="13" t="n"/>
      <c r="F552" s="13" t="n"/>
      <c r="G552" s="13" t="n"/>
      <c r="H552" s="15" t="n">
        <v>16</v>
      </c>
      <c r="I552" s="15" t="n">
        <v>16</v>
      </c>
      <c r="J552" s="13" t="n"/>
      <c r="K552" s="13" t="n"/>
      <c r="L552" s="13" t="n"/>
      <c r="M552" s="13" t="n"/>
      <c r="N552" s="13" t="n"/>
      <c r="O552" s="15" t="n">
        <v>8</v>
      </c>
      <c r="P552" s="13" t="n"/>
      <c r="Q552" s="13" t="n"/>
      <c r="R552" s="16">
        <f>IF(COUNT(E552:Q552)=0,"",MIN(E552:Q552))</f>
        <v/>
      </c>
      <c r="S552" s="15">
        <f>IF(COUNT(E552:Q552)=0,"",LOOKUP(2,1/(E552:Q552&lt;&gt;""),E552:Q552))</f>
        <v/>
      </c>
      <c r="T552" s="17">
        <f>IF(R552="","",ROUND(R552*RESUMEN!$B$4,0))</f>
        <v/>
      </c>
      <c r="U552" s="18">
        <f>COUNT(E552:Q552)</f>
        <v/>
      </c>
    </row>
    <row r="553">
      <c r="A553" s="13" t="inlineStr">
        <is>
          <t>6617849b98dff</t>
        </is>
      </c>
      <c r="B553" s="13" t="inlineStr">
        <is>
          <t>ARETES TREBOL SILVER</t>
        </is>
      </c>
      <c r="C553" s="13" t="inlineStr">
        <is>
          <t>Default Title</t>
        </is>
      </c>
      <c r="D553" s="14" t="inlineStr">
        <is>
          <t>Copper Alloy</t>
        </is>
      </c>
      <c r="E553" s="13" t="n"/>
      <c r="F553" s="13" t="n"/>
      <c r="G553" s="13" t="n"/>
      <c r="H553" s="13" t="n"/>
      <c r="I553" s="15" t="n">
        <v>17</v>
      </c>
      <c r="J553" s="15" t="n">
        <v>8</v>
      </c>
      <c r="K553" s="13" t="n"/>
      <c r="L553" s="13" t="n"/>
      <c r="M553" s="13" t="n"/>
      <c r="N553" s="13" t="n"/>
      <c r="O553" s="15" t="n">
        <v>8</v>
      </c>
      <c r="P553" s="13" t="n"/>
      <c r="Q553" s="15" t="n">
        <v>8</v>
      </c>
      <c r="R553" s="16">
        <f>IF(COUNT(E553:Q553)=0,"",MIN(E553:Q553))</f>
        <v/>
      </c>
      <c r="S553" s="15">
        <f>IF(COUNT(E553:Q553)=0,"",LOOKUP(2,1/(E553:Q553&lt;&gt;""),E553:Q553))</f>
        <v/>
      </c>
      <c r="T553" s="17">
        <f>IF(R553="","",ROUND(R553*RESUMEN!$B$4,0))</f>
        <v/>
      </c>
      <c r="U553" s="18">
        <f>COUNT(E553:Q553)</f>
        <v/>
      </c>
    </row>
    <row r="554">
      <c r="A554" s="13" t="inlineStr">
        <is>
          <t>6617849b95942</t>
        </is>
      </c>
      <c r="B554" s="13" t="inlineStr">
        <is>
          <t>ARETES TREBOL SILVER BLACK</t>
        </is>
      </c>
      <c r="C554" s="13" t="inlineStr">
        <is>
          <t>Default Title</t>
        </is>
      </c>
      <c r="D554" s="14" t="inlineStr">
        <is>
          <t>nan</t>
        </is>
      </c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5" t="n">
        <v>8</v>
      </c>
      <c r="N554" s="13" t="n"/>
      <c r="O554" s="13" t="n"/>
      <c r="P554" s="13" t="n"/>
      <c r="Q554" s="13" t="n"/>
      <c r="R554" s="16">
        <f>IF(COUNT(E554:Q554)=0,"",MIN(E554:Q554))</f>
        <v/>
      </c>
      <c r="S554" s="15">
        <f>IF(COUNT(E554:Q554)=0,"",LOOKUP(2,1/(E554:Q554&lt;&gt;""),E554:Q554))</f>
        <v/>
      </c>
      <c r="T554" s="17">
        <f>IF(R554="","",ROUND(R554*RESUMEN!$B$4,0))</f>
        <v/>
      </c>
      <c r="U554" s="18">
        <f>COUNT(E554:Q554)</f>
        <v/>
      </c>
    </row>
    <row r="555">
      <c r="A555" s="13" t="inlineStr">
        <is>
          <t>665bb7808142d</t>
        </is>
      </c>
      <c r="B555" s="13" t="inlineStr">
        <is>
          <t>ARETES TRES AROS</t>
        </is>
      </c>
      <c r="C555" s="13" t="inlineStr">
        <is>
          <t>Default Title</t>
        </is>
      </c>
      <c r="D555" s="14" t="inlineStr">
        <is>
          <t>Copper Alloy</t>
        </is>
      </c>
      <c r="E555" s="15" t="n">
        <v>7.9</v>
      </c>
      <c r="F555" s="15" t="n">
        <v>7.9</v>
      </c>
      <c r="G555" s="13" t="n"/>
      <c r="H555" s="15" t="n">
        <v>7.9</v>
      </c>
      <c r="I555" s="15" t="n">
        <v>7.9</v>
      </c>
      <c r="J555" s="13" t="n"/>
      <c r="K555" s="13" t="n"/>
      <c r="L555" s="13" t="n"/>
      <c r="M555" s="15" t="n">
        <v>7.9</v>
      </c>
      <c r="N555" s="13" t="n"/>
      <c r="O555" s="15" t="n">
        <v>7.9</v>
      </c>
      <c r="P555" s="13" t="n"/>
      <c r="Q555" s="13" t="n"/>
      <c r="R555" s="16">
        <f>IF(COUNT(E555:Q555)=0,"",MIN(E555:Q555))</f>
        <v/>
      </c>
      <c r="S555" s="15">
        <f>IF(COUNT(E555:Q555)=0,"",LOOKUP(2,1/(E555:Q555&lt;&gt;""),E555:Q555))</f>
        <v/>
      </c>
      <c r="T555" s="17">
        <f>IF(R555="","",ROUND(R555*RESUMEN!$B$4,0))</f>
        <v/>
      </c>
      <c r="U555" s="18">
        <f>COUNT(E555:Q555)</f>
        <v/>
      </c>
    </row>
    <row r="556">
      <c r="A556" s="13" t="inlineStr">
        <is>
          <t>99507971069997</t>
        </is>
      </c>
      <c r="B556" s="13" t="inlineStr">
        <is>
          <t>ARETES TRES AROS CON ZIRCONIA</t>
        </is>
      </c>
      <c r="C556" s="13" t="inlineStr">
        <is>
          <t>2cm</t>
        </is>
      </c>
      <c r="D556" s="14" t="inlineStr"/>
      <c r="E556" s="13" t="n"/>
      <c r="F556" s="13" t="n"/>
      <c r="G556" s="13" t="n"/>
      <c r="H556" s="15" t="n">
        <v>11</v>
      </c>
      <c r="I556" s="15" t="n">
        <v>9</v>
      </c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6">
        <f>IF(COUNT(E556:Q556)=0,"",MIN(E556:Q556))</f>
        <v/>
      </c>
      <c r="S556" s="15">
        <f>IF(COUNT(E556:Q556)=0,"",LOOKUP(2,1/(E556:Q556&lt;&gt;""),E556:Q556))</f>
        <v/>
      </c>
      <c r="T556" s="17">
        <f>IF(R556="","",ROUND(R556*RESUMEN!$B$4,0))</f>
        <v/>
      </c>
      <c r="U556" s="18">
        <f>COUNT(E556:Q556)</f>
        <v/>
      </c>
    </row>
    <row r="557">
      <c r="A557" s="13" t="inlineStr">
        <is>
          <t>66b6834cd5e9b</t>
        </is>
      </c>
      <c r="B557" s="13" t="inlineStr">
        <is>
          <t>ARETES TRINITY</t>
        </is>
      </c>
      <c r="C557" s="13" t="inlineStr">
        <is>
          <t>1.5 cm</t>
        </is>
      </c>
      <c r="D557" s="14" t="inlineStr"/>
      <c r="E557" s="13" t="n"/>
      <c r="F557" s="13" t="n"/>
      <c r="G557" s="13" t="n"/>
      <c r="H557" s="13" t="n"/>
      <c r="I557" s="13" t="n"/>
      <c r="J557" s="13" t="n"/>
      <c r="K557" s="13" t="n"/>
      <c r="L557" s="15" t="n">
        <v>8</v>
      </c>
      <c r="M557" s="13" t="n"/>
      <c r="N557" s="13" t="n"/>
      <c r="O557" s="13" t="n"/>
      <c r="P557" s="13" t="n"/>
      <c r="Q557" s="13" t="n"/>
      <c r="R557" s="16">
        <f>IF(COUNT(E557:Q557)=0,"",MIN(E557:Q557))</f>
        <v/>
      </c>
      <c r="S557" s="15">
        <f>IF(COUNT(E557:Q557)=0,"",LOOKUP(2,1/(E557:Q557&lt;&gt;""),E557:Q557))</f>
        <v/>
      </c>
      <c r="T557" s="17">
        <f>IF(R557="","",ROUND(R557*RESUMEN!$B$4,0))</f>
        <v/>
      </c>
      <c r="U557" s="18">
        <f>COUNT(E557:Q557)</f>
        <v/>
      </c>
    </row>
    <row r="558">
      <c r="A558" s="13" t="inlineStr">
        <is>
          <t>37491258087948</t>
        </is>
      </c>
      <c r="B558" s="13" t="inlineStr">
        <is>
          <t>ARETES TRINITY DIAMOND</t>
        </is>
      </c>
      <c r="C558" s="13" t="inlineStr">
        <is>
          <t>Default Title</t>
        </is>
      </c>
      <c r="D558" s="14" t="inlineStr">
        <is>
          <t>copper alloy</t>
        </is>
      </c>
      <c r="E558" s="15" t="n">
        <v>7</v>
      </c>
      <c r="F558" s="13" t="n"/>
      <c r="G558" s="13" t="n"/>
      <c r="H558" s="15" t="n">
        <v>7</v>
      </c>
      <c r="I558" s="15" t="n">
        <v>7</v>
      </c>
      <c r="J558" s="13" t="n"/>
      <c r="K558" s="13" t="n"/>
      <c r="L558" s="13" t="n"/>
      <c r="M558" s="13" t="n"/>
      <c r="N558" s="15" t="n">
        <v>7</v>
      </c>
      <c r="O558" s="13" t="n"/>
      <c r="P558" s="15" t="n">
        <v>7</v>
      </c>
      <c r="Q558" s="15" t="n">
        <v>7</v>
      </c>
      <c r="R558" s="16">
        <f>IF(COUNT(E558:Q558)=0,"",MIN(E558:Q558))</f>
        <v/>
      </c>
      <c r="S558" s="15">
        <f>IF(COUNT(E558:Q558)=0,"",LOOKUP(2,1/(E558:Q558&lt;&gt;""),E558:Q558))</f>
        <v/>
      </c>
      <c r="T558" s="17">
        <f>IF(R558="","",ROUND(R558*RESUMEN!$B$4,0))</f>
        <v/>
      </c>
      <c r="U558" s="18">
        <f>COUNT(E558:Q558)</f>
        <v/>
      </c>
    </row>
    <row r="559">
      <c r="A559" s="13" t="inlineStr">
        <is>
          <t>6617849b9a844</t>
        </is>
      </c>
      <c r="B559" s="13" t="inlineStr">
        <is>
          <t>ARETES TRÉBOL GOLD</t>
        </is>
      </c>
      <c r="C559" s="13" t="inlineStr">
        <is>
          <t>HIGH QUALITY</t>
        </is>
      </c>
      <c r="D559" s="14" t="inlineStr">
        <is>
          <t>Copper alloy</t>
        </is>
      </c>
      <c r="E559" s="13" t="n"/>
      <c r="F559" s="13" t="n"/>
      <c r="G559" s="13" t="n"/>
      <c r="H559" s="13" t="n"/>
      <c r="I559" s="15" t="n">
        <v>17</v>
      </c>
      <c r="J559" s="15" t="n">
        <v>8</v>
      </c>
      <c r="K559" s="13" t="n"/>
      <c r="L559" s="13" t="n"/>
      <c r="M559" s="13" t="n"/>
      <c r="N559" s="15" t="n">
        <v>8</v>
      </c>
      <c r="O559" s="13" t="n"/>
      <c r="P559" s="13" t="n"/>
      <c r="Q559" s="15" t="n">
        <v>8</v>
      </c>
      <c r="R559" s="16">
        <f>IF(COUNT(E559:Q559)=0,"",MIN(E559:Q559))</f>
        <v/>
      </c>
      <c r="S559" s="15">
        <f>IF(COUNT(E559:Q559)=0,"",LOOKUP(2,1/(E559:Q559&lt;&gt;""),E559:Q559))</f>
        <v/>
      </c>
      <c r="T559" s="17">
        <f>IF(R559="","",ROUND(R559*RESUMEN!$B$4,0))</f>
        <v/>
      </c>
      <c r="U559" s="18">
        <f>COUNT(E559:Q559)</f>
        <v/>
      </c>
    </row>
    <row r="560">
      <c r="A560" s="13" t="inlineStr">
        <is>
          <t>661784a33b867</t>
        </is>
      </c>
      <c r="B560" s="13" t="inlineStr">
        <is>
          <t>ARETES TRÉBOL GOLD-BLACK</t>
        </is>
      </c>
      <c r="C560" s="13" t="inlineStr">
        <is>
          <t>HIGH QUALITY</t>
        </is>
      </c>
      <c r="D560" s="14" t="inlineStr">
        <is>
          <t>Copper alloy</t>
        </is>
      </c>
      <c r="E560" s="13" t="n"/>
      <c r="F560" s="13" t="n"/>
      <c r="G560" s="13" t="n"/>
      <c r="H560" s="13" t="n"/>
      <c r="I560" s="13" t="n"/>
      <c r="J560" s="15" t="n">
        <v>8</v>
      </c>
      <c r="K560" s="13" t="n"/>
      <c r="L560" s="13" t="n"/>
      <c r="M560" s="13" t="n"/>
      <c r="N560" s="15" t="n">
        <v>8</v>
      </c>
      <c r="O560" s="13" t="n"/>
      <c r="P560" s="13" t="n"/>
      <c r="Q560" s="15" t="n">
        <v>8</v>
      </c>
      <c r="R560" s="16">
        <f>IF(COUNT(E560:Q560)=0,"",MIN(E560:Q560))</f>
        <v/>
      </c>
      <c r="S560" s="15">
        <f>IF(COUNT(E560:Q560)=0,"",LOOKUP(2,1/(E560:Q560&lt;&gt;""),E560:Q560))</f>
        <v/>
      </c>
      <c r="T560" s="17">
        <f>IF(R560="","",ROUND(R560*RESUMEN!$B$4,0))</f>
        <v/>
      </c>
      <c r="U560" s="18">
        <f>COUNT(E560:Q560)</f>
        <v/>
      </c>
    </row>
    <row r="561">
      <c r="A561" s="13" t="inlineStr">
        <is>
          <t>661784a18007c</t>
        </is>
      </c>
      <c r="B561" s="13" t="inlineStr">
        <is>
          <t>ARETES TRÉBOL GOLD-GREEN</t>
        </is>
      </c>
      <c r="C561" s="13" t="inlineStr">
        <is>
          <t>HIGH QUALITY</t>
        </is>
      </c>
      <c r="D561" s="14" t="inlineStr">
        <is>
          <t>Copper alloy</t>
        </is>
      </c>
      <c r="E561" s="13" t="n"/>
      <c r="F561" s="13" t="n"/>
      <c r="G561" s="13" t="n"/>
      <c r="H561" s="15" t="n">
        <v>16</v>
      </c>
      <c r="I561" s="15" t="n">
        <v>16</v>
      </c>
      <c r="J561" s="15" t="n">
        <v>8</v>
      </c>
      <c r="K561" s="13" t="n"/>
      <c r="L561" s="13" t="n"/>
      <c r="M561" s="13" t="n"/>
      <c r="N561" s="13" t="n"/>
      <c r="O561" s="15" t="n">
        <v>8</v>
      </c>
      <c r="P561" s="15" t="n">
        <v>8</v>
      </c>
      <c r="Q561" s="13" t="n"/>
      <c r="R561" s="16">
        <f>IF(COUNT(E561:Q561)=0,"",MIN(E561:Q561))</f>
        <v/>
      </c>
      <c r="S561" s="15">
        <f>IF(COUNT(E561:Q561)=0,"",LOOKUP(2,1/(E561:Q561&lt;&gt;""),E561:Q561))</f>
        <v/>
      </c>
      <c r="T561" s="17">
        <f>IF(R561="","",ROUND(R561*RESUMEN!$B$4,0))</f>
        <v/>
      </c>
      <c r="U561" s="18">
        <f>COUNT(E561:Q561)</f>
        <v/>
      </c>
    </row>
    <row r="562">
      <c r="A562" s="13" t="inlineStr">
        <is>
          <t>665bb779989a5</t>
        </is>
      </c>
      <c r="B562" s="13" t="inlineStr">
        <is>
          <t>ARETES TRÉBOL GOLD-WHITE</t>
        </is>
      </c>
      <c r="C562" s="13" t="inlineStr">
        <is>
          <t>HIGH QUALITY</t>
        </is>
      </c>
      <c r="D562" s="14" t="inlineStr">
        <is>
          <t>Copper alloy</t>
        </is>
      </c>
      <c r="E562" s="13" t="n"/>
      <c r="F562" s="13" t="n"/>
      <c r="G562" s="13" t="n"/>
      <c r="H562" s="13" t="n"/>
      <c r="I562" s="13" t="n"/>
      <c r="J562" s="15" t="n">
        <v>8</v>
      </c>
      <c r="K562" s="13" t="n"/>
      <c r="L562" s="15" t="n">
        <v>8</v>
      </c>
      <c r="M562" s="13" t="n"/>
      <c r="N562" s="15" t="n">
        <v>8</v>
      </c>
      <c r="O562" s="13" t="n"/>
      <c r="P562" s="15" t="n">
        <v>8</v>
      </c>
      <c r="Q562" s="15" t="n">
        <v>8</v>
      </c>
      <c r="R562" s="16">
        <f>IF(COUNT(E562:Q562)=0,"",MIN(E562:Q562))</f>
        <v/>
      </c>
      <c r="S562" s="15">
        <f>IF(COUNT(E562:Q562)=0,"",LOOKUP(2,1/(E562:Q562&lt;&gt;""),E562:Q562))</f>
        <v/>
      </c>
      <c r="T562" s="17">
        <f>IF(R562="","",ROUND(R562*RESUMEN!$B$4,0))</f>
        <v/>
      </c>
      <c r="U562" s="18">
        <f>COUNT(E562:Q562)</f>
        <v/>
      </c>
    </row>
    <row r="563">
      <c r="A563" s="13" t="inlineStr">
        <is>
          <t>6617849bc365a</t>
        </is>
      </c>
      <c r="B563" s="13" t="inlineStr">
        <is>
          <t>ARETES TRÉBOL ROSE GOLD RED</t>
        </is>
      </c>
      <c r="C563" s="13" t="inlineStr">
        <is>
          <t>Default Title</t>
        </is>
      </c>
      <c r="D563" s="14" t="inlineStr">
        <is>
          <t>Copper alloy</t>
        </is>
      </c>
      <c r="E563" s="15" t="n">
        <v>15</v>
      </c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5" t="n">
        <v>8</v>
      </c>
      <c r="Q563" s="13" t="n"/>
      <c r="R563" s="16">
        <f>IF(COUNT(E563:Q563)=0,"",MIN(E563:Q563))</f>
        <v/>
      </c>
      <c r="S563" s="15">
        <f>IF(COUNT(E563:Q563)=0,"",LOOKUP(2,1/(E563:Q563&lt;&gt;""),E563:Q563))</f>
        <v/>
      </c>
      <c r="T563" s="17">
        <f>IF(R563="","",ROUND(R563*RESUMEN!$B$4,0))</f>
        <v/>
      </c>
      <c r="U563" s="18">
        <f>COUNT(E563:Q563)</f>
        <v/>
      </c>
    </row>
    <row r="564">
      <c r="A564" s="13" t="inlineStr">
        <is>
          <t>661784a3704f4</t>
        </is>
      </c>
      <c r="B564" s="13" t="inlineStr">
        <is>
          <t>ARETES TRÉBOL SILVER WHITE</t>
        </is>
      </c>
      <c r="C564" s="13" t="inlineStr">
        <is>
          <t>Regular</t>
        </is>
      </c>
      <c r="D564" s="14" t="inlineStr">
        <is>
          <t>Copper Alloy</t>
        </is>
      </c>
      <c r="E564" s="13" t="n"/>
      <c r="F564" s="13" t="n"/>
      <c r="G564" s="13" t="n"/>
      <c r="H564" s="13" t="n"/>
      <c r="I564" s="15" t="n">
        <v>16</v>
      </c>
      <c r="J564" s="13" t="n"/>
      <c r="K564" s="13" t="n"/>
      <c r="L564" s="13" t="n"/>
      <c r="M564" s="13" t="n"/>
      <c r="N564" s="13" t="n"/>
      <c r="O564" s="13" t="n"/>
      <c r="P564" s="13" t="n"/>
      <c r="Q564" s="15" t="n">
        <v>8</v>
      </c>
      <c r="R564" s="16">
        <f>IF(COUNT(E564:Q564)=0,"",MIN(E564:Q564))</f>
        <v/>
      </c>
      <c r="S564" s="15">
        <f>IF(COUNT(E564:Q564)=0,"",LOOKUP(2,1/(E564:Q564&lt;&gt;""),E564:Q564))</f>
        <v/>
      </c>
      <c r="T564" s="17">
        <f>IF(R564="","",ROUND(R564*RESUMEN!$B$4,0))</f>
        <v/>
      </c>
      <c r="U564" s="18">
        <f>COUNT(E564:Q564)</f>
        <v/>
      </c>
    </row>
    <row r="565">
      <c r="A565" s="13" t="inlineStr">
        <is>
          <t>95854382461517</t>
        </is>
      </c>
      <c r="B565" s="13" t="inlineStr">
        <is>
          <t>ARETES VF BUTTERFLIES</t>
        </is>
      </c>
      <c r="C565" s="13" t="inlineStr">
        <is>
          <t>Default Title</t>
        </is>
      </c>
      <c r="D565" s="14" t="inlineStr">
        <is>
          <t>Copper alloy</t>
        </is>
      </c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5" t="n">
        <v>6</v>
      </c>
      <c r="O565" s="13" t="n"/>
      <c r="P565" s="13" t="n"/>
      <c r="Q565" s="15" t="n">
        <v>6</v>
      </c>
      <c r="R565" s="16">
        <f>IF(COUNT(E565:Q565)=0,"",MIN(E565:Q565))</f>
        <v/>
      </c>
      <c r="S565" s="15">
        <f>IF(COUNT(E565:Q565)=0,"",LOOKUP(2,1/(E565:Q565&lt;&gt;""),E565:Q565))</f>
        <v/>
      </c>
      <c r="T565" s="17">
        <f>IF(R565="","",ROUND(R565*RESUMEN!$B$4,0))</f>
        <v/>
      </c>
      <c r="U565" s="18">
        <f>COUNT(E565:Q565)</f>
        <v/>
      </c>
    </row>
    <row r="566">
      <c r="A566" s="13" t="inlineStr">
        <is>
          <t>21078752836941</t>
        </is>
      </c>
      <c r="B566" s="13" t="inlineStr">
        <is>
          <t>ARRACADAS C GOLD ZIRCONIAS</t>
        </is>
      </c>
      <c r="C566" s="13" t="inlineStr">
        <is>
          <t>Default Title</t>
        </is>
      </c>
      <c r="D566" s="14" t="inlineStr">
        <is>
          <t>Copper alloy</t>
        </is>
      </c>
      <c r="E566" s="13" t="n"/>
      <c r="F566" s="13" t="n"/>
      <c r="G566" s="15" t="n">
        <v>7</v>
      </c>
      <c r="H566" s="13" t="n"/>
      <c r="I566" s="13" t="n"/>
      <c r="J566" s="13" t="n"/>
      <c r="K566" s="13" t="n"/>
      <c r="L566" s="15" t="n">
        <v>7</v>
      </c>
      <c r="M566" s="13" t="n"/>
      <c r="N566" s="15" t="n">
        <v>7</v>
      </c>
      <c r="O566" s="13" t="n"/>
      <c r="P566" s="13" t="n"/>
      <c r="Q566" s="13" t="n"/>
      <c r="R566" s="16">
        <f>IF(COUNT(E566:Q566)=0,"",MIN(E566:Q566))</f>
        <v/>
      </c>
      <c r="S566" s="15">
        <f>IF(COUNT(E566:Q566)=0,"",LOOKUP(2,1/(E566:Q566&lt;&gt;""),E566:Q566))</f>
        <v/>
      </c>
      <c r="T566" s="17">
        <f>IF(R566="","",ROUND(R566*RESUMEN!$B$4,0))</f>
        <v/>
      </c>
      <c r="U566" s="18">
        <f>COUNT(E566:Q566)</f>
        <v/>
      </c>
    </row>
    <row r="567">
      <c r="A567" s="13" t="inlineStr">
        <is>
          <t>16117871175085</t>
        </is>
      </c>
      <c r="B567" s="13" t="inlineStr">
        <is>
          <t>ARRACADAS CD GOLD BLACK ZIRCONIAS</t>
        </is>
      </c>
      <c r="C567" s="13" t="inlineStr"/>
      <c r="D567" s="14" t="inlineStr"/>
      <c r="E567" s="13" t="n"/>
      <c r="F567" s="15" t="n">
        <v>7</v>
      </c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6">
        <f>IF(COUNT(E567:Q567)=0,"",MIN(E567:Q567))</f>
        <v/>
      </c>
      <c r="S567" s="15">
        <f>IF(COUNT(E567:Q567)=0,"",LOOKUP(2,1/(E567:Q567&lt;&gt;""),E567:Q567))</f>
        <v/>
      </c>
      <c r="T567" s="17">
        <f>IF(R567="","",ROUND(R567*RESUMEN!$B$4,0))</f>
        <v/>
      </c>
      <c r="U567" s="18">
        <f>COUNT(E567:Q567)</f>
        <v/>
      </c>
    </row>
    <row r="568">
      <c r="A568" s="13" t="inlineStr">
        <is>
          <t>89790741422093</t>
        </is>
      </c>
      <c r="B568" s="13" t="inlineStr">
        <is>
          <t>ARRACADAS CD GOLD WHITE ZIRCONIAS</t>
        </is>
      </c>
      <c r="C568" s="13" t="inlineStr">
        <is>
          <t>Default Title</t>
        </is>
      </c>
      <c r="D568" s="14" t="inlineStr">
        <is>
          <t>Copper Alloy</t>
        </is>
      </c>
      <c r="E568" s="13" t="n"/>
      <c r="F568" s="15" t="n">
        <v>7</v>
      </c>
      <c r="G568" s="13" t="n"/>
      <c r="H568" s="13" t="n"/>
      <c r="I568" s="13" t="n"/>
      <c r="J568" s="15" t="n">
        <v>7</v>
      </c>
      <c r="K568" s="13" t="n"/>
      <c r="L568" s="13" t="n"/>
      <c r="M568" s="13" t="n"/>
      <c r="N568" s="13" t="n"/>
      <c r="O568" s="13" t="n"/>
      <c r="P568" s="13" t="n"/>
      <c r="Q568" s="15" t="n">
        <v>7</v>
      </c>
      <c r="R568" s="16">
        <f>IF(COUNT(E568:Q568)=0,"",MIN(E568:Q568))</f>
        <v/>
      </c>
      <c r="S568" s="15">
        <f>IF(COUNT(E568:Q568)=0,"",LOOKUP(2,1/(E568:Q568&lt;&gt;""),E568:Q568))</f>
        <v/>
      </c>
      <c r="T568" s="17">
        <f>IF(R568="","",ROUND(R568*RESUMEN!$B$4,0))</f>
        <v/>
      </c>
      <c r="U568" s="18">
        <f>COUNT(E568:Q568)</f>
        <v/>
      </c>
    </row>
    <row r="569">
      <c r="A569" s="13" t="inlineStr">
        <is>
          <t>89246881340077</t>
        </is>
      </c>
      <c r="B569" s="13" t="inlineStr">
        <is>
          <t>ARRACADAS CLAVO GOLD</t>
        </is>
      </c>
      <c r="C569" s="13" t="inlineStr">
        <is>
          <t>Default Title</t>
        </is>
      </c>
      <c r="D569" s="14" t="inlineStr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5" t="n">
        <v>10</v>
      </c>
      <c r="O569" s="13" t="n"/>
      <c r="P569" s="13" t="n"/>
      <c r="Q569" s="13" t="n"/>
      <c r="R569" s="16">
        <f>IF(COUNT(E569:Q569)=0,"",MIN(E569:Q569))</f>
        <v/>
      </c>
      <c r="S569" s="15">
        <f>IF(COUNT(E569:Q569)=0,"",LOOKUP(2,1/(E569:Q569&lt;&gt;""),E569:Q569))</f>
        <v/>
      </c>
      <c r="T569" s="17">
        <f>IF(R569="","",ROUND(R569*RESUMEN!$B$4,0))</f>
        <v/>
      </c>
      <c r="U569" s="18">
        <f>COUNT(E569:Q569)</f>
        <v/>
      </c>
    </row>
    <row r="570">
      <c r="A570" s="13" t="inlineStr">
        <is>
          <t>40154173742605</t>
        </is>
      </c>
      <c r="B570" s="13" t="inlineStr">
        <is>
          <t>ARRACADAS CLAVO JUSTE GOLD</t>
        </is>
      </c>
      <c r="C570" s="13" t="inlineStr">
        <is>
          <t>Default Title</t>
        </is>
      </c>
      <c r="D570" s="14" t="inlineStr"/>
      <c r="E570" s="13" t="n"/>
      <c r="F570" s="13" t="n"/>
      <c r="G570" s="13" t="n"/>
      <c r="H570" s="13" t="n"/>
      <c r="I570" s="13" t="n"/>
      <c r="J570" s="13" t="n"/>
      <c r="K570" s="15" t="n">
        <v>10</v>
      </c>
      <c r="L570" s="13" t="n"/>
      <c r="M570" s="13" t="n"/>
      <c r="N570" s="13" t="n"/>
      <c r="O570" s="13" t="n"/>
      <c r="P570" s="13" t="n"/>
      <c r="Q570" s="13" t="n"/>
      <c r="R570" s="16">
        <f>IF(COUNT(E570:Q570)=0,"",MIN(E570:Q570))</f>
        <v/>
      </c>
      <c r="S570" s="15">
        <f>IF(COUNT(E570:Q570)=0,"",LOOKUP(2,1/(E570:Q570&lt;&gt;""),E570:Q570))</f>
        <v/>
      </c>
      <c r="T570" s="17">
        <f>IF(R570="","",ROUND(R570*RESUMEN!$B$4,0))</f>
        <v/>
      </c>
      <c r="U570" s="18">
        <f>COUNT(E570:Q570)</f>
        <v/>
      </c>
    </row>
    <row r="571">
      <c r="A571" s="13" t="inlineStr">
        <is>
          <t>40154173820013</t>
        </is>
      </c>
      <c r="B571" s="13" t="inlineStr">
        <is>
          <t>ARRACADAS CLAVO JUSTE SILVER</t>
        </is>
      </c>
      <c r="C571" s="13" t="inlineStr">
        <is>
          <t>Default Title</t>
        </is>
      </c>
      <c r="D571" s="14" t="inlineStr"/>
      <c r="E571" s="13" t="n"/>
      <c r="F571" s="13" t="n"/>
      <c r="G571" s="13" t="n"/>
      <c r="H571" s="13" t="n"/>
      <c r="I571" s="13" t="n"/>
      <c r="J571" s="13" t="n"/>
      <c r="K571" s="15" t="n">
        <v>10</v>
      </c>
      <c r="L571" s="13" t="n"/>
      <c r="M571" s="13" t="n"/>
      <c r="N571" s="13" t="n"/>
      <c r="O571" s="13" t="n"/>
      <c r="P571" s="13" t="n"/>
      <c r="Q571" s="13" t="n"/>
      <c r="R571" s="16">
        <f>IF(COUNT(E571:Q571)=0,"",MIN(E571:Q571))</f>
        <v/>
      </c>
      <c r="S571" s="15">
        <f>IF(COUNT(E571:Q571)=0,"",LOOKUP(2,1/(E571:Q571&lt;&gt;""),E571:Q571))</f>
        <v/>
      </c>
      <c r="T571" s="17">
        <f>IF(R571="","",ROUND(R571*RESUMEN!$B$4,0))</f>
        <v/>
      </c>
      <c r="U571" s="18">
        <f>COUNT(E571:Q571)</f>
        <v/>
      </c>
    </row>
    <row r="572">
      <c r="A572" s="13" t="inlineStr">
        <is>
          <t>12314361226797</t>
        </is>
      </c>
      <c r="B572" s="13" t="inlineStr">
        <is>
          <t>ARRACADAS COLGANTES F ZIRCONIA</t>
        </is>
      </c>
      <c r="C572" s="13" t="inlineStr">
        <is>
          <t>Default Title</t>
        </is>
      </c>
      <c r="D572" s="14" t="inlineStr">
        <is>
          <t>Copper alloy</t>
        </is>
      </c>
      <c r="E572" s="13" t="n"/>
      <c r="F572" s="13" t="n"/>
      <c r="G572" s="15" t="n">
        <v>8</v>
      </c>
      <c r="H572" s="13" t="n"/>
      <c r="I572" s="13" t="n"/>
      <c r="J572" s="15" t="n">
        <v>8</v>
      </c>
      <c r="K572" s="13" t="n"/>
      <c r="L572" s="15" t="n">
        <v>8</v>
      </c>
      <c r="M572" s="13" t="n"/>
      <c r="N572" s="13" t="n"/>
      <c r="O572" s="13" t="n"/>
      <c r="P572" s="13" t="n"/>
      <c r="Q572" s="13" t="n"/>
      <c r="R572" s="16">
        <f>IF(COUNT(E572:Q572)=0,"",MIN(E572:Q572))</f>
        <v/>
      </c>
      <c r="S572" s="15">
        <f>IF(COUNT(E572:Q572)=0,"",LOOKUP(2,1/(E572:Q572&lt;&gt;""),E572:Q572))</f>
        <v/>
      </c>
      <c r="T572" s="17">
        <f>IF(R572="","",ROUND(R572*RESUMEN!$B$4,0))</f>
        <v/>
      </c>
      <c r="U572" s="18">
        <f>COUNT(E572:Q572)</f>
        <v/>
      </c>
    </row>
    <row r="573">
      <c r="A573" s="13" t="inlineStr">
        <is>
          <t>12314362540493</t>
        </is>
      </c>
      <c r="B573" s="13" t="inlineStr">
        <is>
          <t>ARRACADAS F GOLD-BLACK</t>
        </is>
      </c>
      <c r="C573" s="13" t="inlineStr">
        <is>
          <t>Default Title</t>
        </is>
      </c>
      <c r="D573" s="14" t="inlineStr">
        <is>
          <t>Copper alloy</t>
        </is>
      </c>
      <c r="E573" s="13" t="n"/>
      <c r="F573" s="13" t="n"/>
      <c r="G573" s="15" t="n">
        <v>7</v>
      </c>
      <c r="H573" s="13" t="n"/>
      <c r="I573" s="13" t="n"/>
      <c r="J573" s="13" t="n"/>
      <c r="K573" s="13" t="n"/>
      <c r="L573" s="15" t="n">
        <v>7</v>
      </c>
      <c r="M573" s="13" t="n"/>
      <c r="N573" s="15" t="n">
        <v>7</v>
      </c>
      <c r="O573" s="13" t="n"/>
      <c r="P573" s="13" t="n"/>
      <c r="Q573" s="13" t="n"/>
      <c r="R573" s="16">
        <f>IF(COUNT(E573:Q573)=0,"",MIN(E573:Q573))</f>
        <v/>
      </c>
      <c r="S573" s="15">
        <f>IF(COUNT(E573:Q573)=0,"",LOOKUP(2,1/(E573:Q573&lt;&gt;""),E573:Q573))</f>
        <v/>
      </c>
      <c r="T573" s="17">
        <f>IF(R573="","",ROUND(R573*RESUMEN!$B$4,0))</f>
        <v/>
      </c>
      <c r="U573" s="18">
        <f>COUNT(E573:Q573)</f>
        <v/>
      </c>
    </row>
    <row r="574">
      <c r="A574" s="13" t="inlineStr">
        <is>
          <t>86347033785069</t>
        </is>
      </c>
      <c r="B574" s="13" t="inlineStr">
        <is>
          <t>ARRACADAS KNOT ROSEGOLD ZIRCONIAS</t>
        </is>
      </c>
      <c r="C574" s="13" t="inlineStr">
        <is>
          <t>Default Title</t>
        </is>
      </c>
      <c r="D574" s="14" t="inlineStr">
        <is>
          <t>Copper alloy</t>
        </is>
      </c>
      <c r="E574" s="13" t="n"/>
      <c r="F574" s="13" t="n"/>
      <c r="G574" s="15" t="n">
        <v>7</v>
      </c>
      <c r="H574" s="13" t="n"/>
      <c r="I574" s="13" t="n"/>
      <c r="J574" s="15" t="n">
        <v>8</v>
      </c>
      <c r="K574" s="13" t="n"/>
      <c r="L574" s="15" t="n">
        <v>8</v>
      </c>
      <c r="M574" s="15" t="n">
        <v>8</v>
      </c>
      <c r="N574" s="15" t="n">
        <v>8</v>
      </c>
      <c r="O574" s="13" t="n"/>
      <c r="P574" s="13" t="n"/>
      <c r="Q574" s="13" t="n"/>
      <c r="R574" s="16">
        <f>IF(COUNT(E574:Q574)=0,"",MIN(E574:Q574))</f>
        <v/>
      </c>
      <c r="S574" s="15">
        <f>IF(COUNT(E574:Q574)=0,"",LOOKUP(2,1/(E574:Q574&lt;&gt;""),E574:Q574))</f>
        <v/>
      </c>
      <c r="T574" s="17">
        <f>IF(R574="","",ROUND(R574*RESUMEN!$B$4,0))</f>
        <v/>
      </c>
      <c r="U574" s="18">
        <f>COUNT(E574:Q574)</f>
        <v/>
      </c>
    </row>
    <row r="575">
      <c r="A575" s="13" t="inlineStr">
        <is>
          <t>86347031202541</t>
        </is>
      </c>
      <c r="B575" s="13" t="inlineStr">
        <is>
          <t>ARRACADAS LOVELOVE ROSEGOLD</t>
        </is>
      </c>
      <c r="C575" s="13" t="inlineStr">
        <is>
          <t>Default Title</t>
        </is>
      </c>
      <c r="D575" s="14" t="inlineStr">
        <is>
          <t>Copper alloy</t>
        </is>
      </c>
      <c r="E575" s="13" t="n"/>
      <c r="F575" s="13" t="n"/>
      <c r="G575" s="15" t="n">
        <v>6.5</v>
      </c>
      <c r="H575" s="13" t="n"/>
      <c r="I575" s="13" t="n"/>
      <c r="J575" s="15" t="n">
        <v>6.5</v>
      </c>
      <c r="K575" s="13" t="n"/>
      <c r="L575" s="15" t="n">
        <v>6.5</v>
      </c>
      <c r="M575" s="13" t="n"/>
      <c r="N575" s="13" t="n"/>
      <c r="O575" s="13" t="n"/>
      <c r="P575" s="13" t="n"/>
      <c r="Q575" s="13" t="n"/>
      <c r="R575" s="16">
        <f>IF(COUNT(E575:Q575)=0,"",MIN(E575:Q575))</f>
        <v/>
      </c>
      <c r="S575" s="15">
        <f>IF(COUNT(E575:Q575)=0,"",LOOKUP(2,1/(E575:Q575&lt;&gt;""),E575:Q575))</f>
        <v/>
      </c>
      <c r="T575" s="17">
        <f>IF(R575="","",ROUND(R575*RESUMEN!$B$4,0))</f>
        <v/>
      </c>
      <c r="U575" s="18">
        <f>COUNT(E575:Q575)</f>
        <v/>
      </c>
    </row>
    <row r="576">
      <c r="A576" s="13" t="inlineStr">
        <is>
          <t>86347031304237</t>
        </is>
      </c>
      <c r="B576" s="13" t="inlineStr">
        <is>
          <t>ARRACADAS LOVELOVE SILVER</t>
        </is>
      </c>
      <c r="C576" s="13" t="inlineStr">
        <is>
          <t>Default Title</t>
        </is>
      </c>
      <c r="D576" s="14" t="inlineStr">
        <is>
          <t>Copper alloy</t>
        </is>
      </c>
      <c r="E576" s="13" t="n"/>
      <c r="F576" s="13" t="n"/>
      <c r="G576" s="15" t="n">
        <v>6.5</v>
      </c>
      <c r="H576" s="13" t="n"/>
      <c r="I576" s="13" t="n"/>
      <c r="J576" s="15" t="n">
        <v>6.5</v>
      </c>
      <c r="K576" s="13" t="n"/>
      <c r="L576" s="15" t="n">
        <v>6.5</v>
      </c>
      <c r="M576" s="13" t="n"/>
      <c r="N576" s="13" t="n"/>
      <c r="O576" s="13" t="n"/>
      <c r="P576" s="13" t="n"/>
      <c r="Q576" s="13" t="n"/>
      <c r="R576" s="16">
        <f>IF(COUNT(E576:Q576)=0,"",MIN(E576:Q576))</f>
        <v/>
      </c>
      <c r="S576" s="15">
        <f>IF(COUNT(E576:Q576)=0,"",LOOKUP(2,1/(E576:Q576&lt;&gt;""),E576:Q576))</f>
        <v/>
      </c>
      <c r="T576" s="17">
        <f>IF(R576="","",ROUND(R576*RESUMEN!$B$4,0))</f>
        <v/>
      </c>
      <c r="U576" s="18">
        <f>COUNT(E576:Q576)</f>
        <v/>
      </c>
    </row>
    <row r="577">
      <c r="A577" s="13" t="inlineStr">
        <is>
          <t>12314363985133</t>
        </is>
      </c>
      <c r="B577" s="13" t="inlineStr">
        <is>
          <t>ARRACADAS MM GOLD-BLACK</t>
        </is>
      </c>
      <c r="C577" s="13" t="inlineStr">
        <is>
          <t>Default Title</t>
        </is>
      </c>
      <c r="D577" s="14" t="inlineStr">
        <is>
          <t>Stainless stee</t>
        </is>
      </c>
      <c r="E577" s="13" t="n"/>
      <c r="F577" s="13" t="n"/>
      <c r="G577" s="15" t="n">
        <v>7.99</v>
      </c>
      <c r="H577" s="13" t="n"/>
      <c r="I577" s="13" t="n"/>
      <c r="J577" s="15" t="n">
        <v>7.99</v>
      </c>
      <c r="K577" s="13" t="n"/>
      <c r="L577" s="13" t="n"/>
      <c r="M577" s="13" t="n"/>
      <c r="N577" s="15" t="n">
        <v>7.99</v>
      </c>
      <c r="O577" s="13" t="n"/>
      <c r="P577" s="13" t="n"/>
      <c r="Q577" s="13" t="n"/>
      <c r="R577" s="16">
        <f>IF(COUNT(E577:Q577)=0,"",MIN(E577:Q577))</f>
        <v/>
      </c>
      <c r="S577" s="15">
        <f>IF(COUNT(E577:Q577)=0,"",LOOKUP(2,1/(E577:Q577&lt;&gt;""),E577:Q577))</f>
        <v/>
      </c>
      <c r="T577" s="17">
        <f>IF(R577="","",ROUND(R577*RESUMEN!$B$4,0))</f>
        <v/>
      </c>
      <c r="U577" s="18">
        <f>COUNT(E577:Q577)</f>
        <v/>
      </c>
    </row>
    <row r="578">
      <c r="A578" s="13" t="inlineStr">
        <is>
          <t>12314364086829</t>
        </is>
      </c>
      <c r="B578" s="13" t="inlineStr">
        <is>
          <t>ARRACADAS MM GOLD-WHITE</t>
        </is>
      </c>
      <c r="C578" s="13" t="inlineStr">
        <is>
          <t>Default Title</t>
        </is>
      </c>
      <c r="D578" s="14" t="inlineStr"/>
      <c r="E578" s="13" t="n"/>
      <c r="F578" s="13" t="n"/>
      <c r="G578" s="15" t="n">
        <v>7.99</v>
      </c>
      <c r="H578" s="13" t="n"/>
      <c r="I578" s="13" t="n"/>
      <c r="J578" s="15" t="n">
        <v>7.99</v>
      </c>
      <c r="K578" s="13" t="n"/>
      <c r="L578" s="13" t="n"/>
      <c r="M578" s="13" t="n"/>
      <c r="N578" s="13" t="n"/>
      <c r="O578" s="13" t="n"/>
      <c r="P578" s="13" t="n"/>
      <c r="Q578" s="13" t="n"/>
      <c r="R578" s="16">
        <f>IF(COUNT(E578:Q578)=0,"",MIN(E578:Q578))</f>
        <v/>
      </c>
      <c r="S578" s="15">
        <f>IF(COUNT(E578:Q578)=0,"",LOOKUP(2,1/(E578:Q578&lt;&gt;""),E578:Q578))</f>
        <v/>
      </c>
      <c r="T578" s="17">
        <f>IF(R578="","",ROUND(R578*RESUMEN!$B$4,0))</f>
        <v/>
      </c>
      <c r="U578" s="18">
        <f>COUNT(E578:Q578)</f>
        <v/>
      </c>
    </row>
    <row r="579">
      <c r="A579" s="13" t="inlineStr">
        <is>
          <t>47076841262765</t>
        </is>
      </c>
      <c r="B579" s="13" t="inlineStr">
        <is>
          <t>ARRACADAS T GOLD CON ZIRCONIA</t>
        </is>
      </c>
      <c r="C579" s="13" t="inlineStr">
        <is>
          <t>Default Title</t>
        </is>
      </c>
      <c r="D579" s="14" t="inlineStr">
        <is>
          <t>Copper Alloy</t>
        </is>
      </c>
      <c r="E579" s="13" t="n"/>
      <c r="F579" s="15" t="n">
        <v>7</v>
      </c>
      <c r="G579" s="13" t="n"/>
      <c r="H579" s="13" t="n"/>
      <c r="I579" s="13" t="n"/>
      <c r="J579" s="13" t="n"/>
      <c r="K579" s="13" t="n"/>
      <c r="L579" s="15" t="n">
        <v>7</v>
      </c>
      <c r="M579" s="13" t="n"/>
      <c r="N579" s="13" t="n"/>
      <c r="O579" s="13" t="n"/>
      <c r="P579" s="13" t="n"/>
      <c r="Q579" s="15" t="n">
        <v>7</v>
      </c>
      <c r="R579" s="16">
        <f>IF(COUNT(E579:Q579)=0,"",MIN(E579:Q579))</f>
        <v/>
      </c>
      <c r="S579" s="15">
        <f>IF(COUNT(E579:Q579)=0,"",LOOKUP(2,1/(E579:Q579&lt;&gt;""),E579:Q579))</f>
        <v/>
      </c>
      <c r="T579" s="17">
        <f>IF(R579="","",ROUND(R579*RESUMEN!$B$4,0))</f>
        <v/>
      </c>
      <c r="U579" s="18">
        <f>COUNT(E579:Q579)</f>
        <v/>
      </c>
    </row>
    <row r="580">
      <c r="A580" s="13" t="inlineStr">
        <is>
          <t>47076841105709</t>
        </is>
      </c>
      <c r="B580" s="13" t="inlineStr">
        <is>
          <t>ARRACADAS T ROSEGOLD CON ZIRCONIA</t>
        </is>
      </c>
      <c r="C580" s="13" t="inlineStr">
        <is>
          <t>Default Title</t>
        </is>
      </c>
      <c r="D580" s="14" t="inlineStr">
        <is>
          <t>Copper alloy</t>
        </is>
      </c>
      <c r="E580" s="13" t="n"/>
      <c r="F580" s="15" t="n">
        <v>7</v>
      </c>
      <c r="G580" s="13" t="n"/>
      <c r="H580" s="13" t="n"/>
      <c r="I580" s="13" t="n"/>
      <c r="J580" s="13" t="n"/>
      <c r="K580" s="13" t="n"/>
      <c r="L580" s="13" t="n"/>
      <c r="M580" s="13" t="n"/>
      <c r="N580" s="15" t="n">
        <v>7</v>
      </c>
      <c r="O580" s="13" t="n"/>
      <c r="P580" s="13" t="n"/>
      <c r="Q580" s="13" t="n"/>
      <c r="R580" s="16">
        <f>IF(COUNT(E580:Q580)=0,"",MIN(E580:Q580))</f>
        <v/>
      </c>
      <c r="S580" s="15">
        <f>IF(COUNT(E580:Q580)=0,"",LOOKUP(2,1/(E580:Q580&lt;&gt;""),E580:Q580))</f>
        <v/>
      </c>
      <c r="T580" s="17">
        <f>IF(R580="","",ROUND(R580*RESUMEN!$B$4,0))</f>
        <v/>
      </c>
      <c r="U580" s="18">
        <f>COUNT(E580:Q580)</f>
        <v/>
      </c>
    </row>
    <row r="581">
      <c r="A581" s="13" t="inlineStr">
        <is>
          <t>47076841081421</t>
        </is>
      </c>
      <c r="B581" s="13" t="inlineStr">
        <is>
          <t>ARRACADAS T SILVER CON ZIRCONIA</t>
        </is>
      </c>
      <c r="C581" s="13" t="inlineStr">
        <is>
          <t>Default Title</t>
        </is>
      </c>
      <c r="D581" s="14" t="inlineStr">
        <is>
          <t>Copper alloy</t>
        </is>
      </c>
      <c r="E581" s="13" t="n"/>
      <c r="F581" s="15" t="n">
        <v>7</v>
      </c>
      <c r="G581" s="13" t="n"/>
      <c r="H581" s="13" t="n"/>
      <c r="I581" s="13" t="n"/>
      <c r="J581" s="13" t="n"/>
      <c r="K581" s="13" t="n"/>
      <c r="L581" s="13" t="n"/>
      <c r="M581" s="13" t="n"/>
      <c r="N581" s="15" t="n">
        <v>7</v>
      </c>
      <c r="O581" s="13" t="n"/>
      <c r="P581" s="13" t="n"/>
      <c r="Q581" s="13" t="n"/>
      <c r="R581" s="16">
        <f>IF(COUNT(E581:Q581)=0,"",MIN(E581:Q581))</f>
        <v/>
      </c>
      <c r="S581" s="15">
        <f>IF(COUNT(E581:Q581)=0,"",LOOKUP(2,1/(E581:Q581&lt;&gt;""),E581:Q581))</f>
        <v/>
      </c>
      <c r="T581" s="17">
        <f>IF(R581="","",ROUND(R581*RESUMEN!$B$4,0))</f>
        <v/>
      </c>
      <c r="U581" s="18">
        <f>COUNT(E581:Q581)</f>
        <v/>
      </c>
    </row>
    <row r="582">
      <c r="A582" s="13" t="inlineStr">
        <is>
          <t>89246881231597</t>
        </is>
      </c>
      <c r="B582" s="13" t="inlineStr">
        <is>
          <t>ARRACADAS TRES AROS</t>
        </is>
      </c>
      <c r="C582" s="13" t="inlineStr">
        <is>
          <t>Default Title</t>
        </is>
      </c>
      <c r="D582" s="14" t="inlineStr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5" t="n">
        <v>8</v>
      </c>
      <c r="O582" s="13" t="n"/>
      <c r="P582" s="13" t="n"/>
      <c r="Q582" s="13" t="n"/>
      <c r="R582" s="16">
        <f>IF(COUNT(E582:Q582)=0,"",MIN(E582:Q582))</f>
        <v/>
      </c>
      <c r="S582" s="15">
        <f>IF(COUNT(E582:Q582)=0,"",LOOKUP(2,1/(E582:Q582&lt;&gt;""),E582:Q582))</f>
        <v/>
      </c>
      <c r="T582" s="17">
        <f>IF(R582="","",ROUND(R582*RESUMEN!$B$4,0))</f>
        <v/>
      </c>
      <c r="U582" s="18">
        <f>COUNT(E582:Q582)</f>
        <v/>
      </c>
    </row>
    <row r="583">
      <c r="A583" s="13" t="inlineStr">
        <is>
          <t>31704301081517</t>
        </is>
      </c>
      <c r="B583" s="13" t="inlineStr">
        <is>
          <t>BOLSO CC DENIM</t>
        </is>
      </c>
      <c r="C583" s="13" t="inlineStr">
        <is>
          <t>Default Title</t>
        </is>
      </c>
      <c r="D583" s="14" t="inlineStr">
        <is>
          <t>nan</t>
        </is>
      </c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5" t="n">
        <v>85</v>
      </c>
      <c r="R583" s="16">
        <f>IF(COUNT(E583:Q583)=0,"",MIN(E583:Q583))</f>
        <v/>
      </c>
      <c r="S583" s="15">
        <f>IF(COUNT(E583:Q583)=0,"",LOOKUP(2,1/(E583:Q583&lt;&gt;""),E583:Q583))</f>
        <v/>
      </c>
      <c r="T583" s="17">
        <f>IF(R583="","",ROUND(R583*RESUMEN!$B$4,0))</f>
        <v/>
      </c>
      <c r="U583" s="18">
        <f>COUNT(E583:Q583)</f>
        <v/>
      </c>
    </row>
    <row r="584">
      <c r="A584" s="13" t="inlineStr">
        <is>
          <t>32044741019373</t>
        </is>
      </c>
      <c r="B584" s="13" t="inlineStr">
        <is>
          <t>BOLSO CC SEQUINS WHITE</t>
        </is>
      </c>
      <c r="C584" s="13" t="inlineStr">
        <is>
          <t>Default Title</t>
        </is>
      </c>
      <c r="D584" s="14" t="inlineStr">
        <is>
          <t>nan</t>
        </is>
      </c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5" t="n">
        <v>90</v>
      </c>
      <c r="R584" s="16">
        <f>IF(COUNT(E584:Q584)=0,"",MIN(E584:Q584))</f>
        <v/>
      </c>
      <c r="S584" s="15">
        <f>IF(COUNT(E584:Q584)=0,"",LOOKUP(2,1/(E584:Q584&lt;&gt;""),E584:Q584))</f>
        <v/>
      </c>
      <c r="T584" s="17">
        <f>IF(R584="","",ROUND(R584*RESUMEN!$B$4,0))</f>
        <v/>
      </c>
      <c r="U584" s="18">
        <f>COUNT(E584:Q584)</f>
        <v/>
      </c>
    </row>
    <row r="585">
      <c r="A585" s="13" t="inlineStr">
        <is>
          <t>14361211408813</t>
        </is>
      </c>
      <c r="B585" s="13" t="inlineStr">
        <is>
          <t>BRAZALETE BV ROSEGOLD WHITE</t>
        </is>
      </c>
      <c r="C585" s="13" t="inlineStr">
        <is>
          <t>17</t>
        </is>
      </c>
      <c r="D585" s="14" t="inlineStr">
        <is>
          <t>Stainless stee</t>
        </is>
      </c>
      <c r="E585" s="13" t="n"/>
      <c r="F585" s="15" t="n">
        <v>10</v>
      </c>
      <c r="G585" s="13" t="n"/>
      <c r="H585" s="13" t="n"/>
      <c r="I585" s="13" t="n"/>
      <c r="J585" s="13" t="n"/>
      <c r="K585" s="13" t="n"/>
      <c r="L585" s="13" t="n"/>
      <c r="M585" s="13" t="n"/>
      <c r="N585" s="15" t="n">
        <v>10</v>
      </c>
      <c r="O585" s="13" t="n"/>
      <c r="P585" s="13" t="n"/>
      <c r="Q585" s="13" t="n"/>
      <c r="R585" s="16">
        <f>IF(COUNT(E585:Q585)=0,"",MIN(E585:Q585))</f>
        <v/>
      </c>
      <c r="S585" s="15">
        <f>IF(COUNT(E585:Q585)=0,"",LOOKUP(2,1/(E585:Q585&lt;&gt;""),E585:Q585))</f>
        <v/>
      </c>
      <c r="T585" s="17">
        <f>IF(R585="","",ROUND(R585*RESUMEN!$B$4,0))</f>
        <v/>
      </c>
      <c r="U585" s="18">
        <f>COUNT(E585:Q585)</f>
        <v/>
      </c>
    </row>
    <row r="586">
      <c r="A586" s="13" t="inlineStr">
        <is>
          <t>64361211541581</t>
        </is>
      </c>
      <c r="B586" s="13" t="inlineStr">
        <is>
          <t>BRAZALETE BV ROSEGOLD WHITE</t>
        </is>
      </c>
      <c r="C586" s="13" t="inlineStr">
        <is>
          <t>19</t>
        </is>
      </c>
      <c r="D586" s="14" t="inlineStr"/>
      <c r="E586" s="13" t="n"/>
      <c r="F586" s="15" t="n">
        <v>10</v>
      </c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6">
        <f>IF(COUNT(E586:Q586)=0,"",MIN(E586:Q586))</f>
        <v/>
      </c>
      <c r="S586" s="15">
        <f>IF(COUNT(E586:Q586)=0,"",LOOKUP(2,1/(E586:Q586&lt;&gt;""),E586:Q586))</f>
        <v/>
      </c>
      <c r="T586" s="17">
        <f>IF(R586="","",ROUND(R586*RESUMEN!$B$4,0))</f>
        <v/>
      </c>
      <c r="U586" s="18">
        <f>COUNT(E586:Q586)</f>
        <v/>
      </c>
    </row>
    <row r="587">
      <c r="A587" s="13" t="inlineStr">
        <is>
          <t>14361211269805</t>
        </is>
      </c>
      <c r="B587" s="13" t="inlineStr">
        <is>
          <t>BRAZALETE BV SILVER WHITE</t>
        </is>
      </c>
      <c r="C587" s="13" t="inlineStr">
        <is>
          <t>17</t>
        </is>
      </c>
      <c r="D587" s="14" t="inlineStr">
        <is>
          <t>Stainless stee</t>
        </is>
      </c>
      <c r="E587" s="13" t="n"/>
      <c r="F587" s="15" t="n">
        <v>10</v>
      </c>
      <c r="G587" s="13" t="n"/>
      <c r="H587" s="13" t="n"/>
      <c r="I587" s="13" t="n"/>
      <c r="J587" s="13" t="n"/>
      <c r="K587" s="13" t="n"/>
      <c r="L587" s="13" t="n"/>
      <c r="M587" s="13" t="n"/>
      <c r="N587" s="15" t="n">
        <v>10</v>
      </c>
      <c r="O587" s="13" t="n"/>
      <c r="P587" s="13" t="n"/>
      <c r="Q587" s="13" t="n"/>
      <c r="R587" s="16">
        <f>IF(COUNT(E587:Q587)=0,"",MIN(E587:Q587))</f>
        <v/>
      </c>
      <c r="S587" s="15">
        <f>IF(COUNT(E587:Q587)=0,"",LOOKUP(2,1/(E587:Q587&lt;&gt;""),E587:Q587))</f>
        <v/>
      </c>
      <c r="T587" s="17">
        <f>IF(R587="","",ROUND(R587*RESUMEN!$B$4,0))</f>
        <v/>
      </c>
      <c r="U587" s="18">
        <f>COUNT(E587:Q587)</f>
        <v/>
      </c>
    </row>
    <row r="588">
      <c r="A588" s="13" t="inlineStr">
        <is>
          <t>54361211302573</t>
        </is>
      </c>
      <c r="B588" s="13" t="inlineStr">
        <is>
          <t>BRAZALETE BV SILVER WHITE</t>
        </is>
      </c>
      <c r="C588" s="13" t="inlineStr">
        <is>
          <t>19</t>
        </is>
      </c>
      <c r="D588" s="14" t="inlineStr"/>
      <c r="E588" s="13" t="n"/>
      <c r="F588" s="15" t="n">
        <v>10</v>
      </c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6">
        <f>IF(COUNT(E588:Q588)=0,"",MIN(E588:Q588))</f>
        <v/>
      </c>
      <c r="S588" s="15">
        <f>IF(COUNT(E588:Q588)=0,"",LOOKUP(2,1/(E588:Q588&lt;&gt;""),E588:Q588))</f>
        <v/>
      </c>
      <c r="T588" s="17">
        <f>IF(R588="","",ROUND(R588*RESUMEN!$B$4,0))</f>
        <v/>
      </c>
      <c r="U588" s="18">
        <f>COUNT(E588:Q588)</f>
        <v/>
      </c>
    </row>
    <row r="589">
      <c r="A589" s="13" t="inlineStr">
        <is>
          <t>71078752279149</t>
        </is>
      </c>
      <c r="B589" s="13" t="inlineStr">
        <is>
          <t>BRAZALETE C GOLD</t>
        </is>
      </c>
      <c r="C589" s="13" t="inlineStr">
        <is>
          <t>Default Title</t>
        </is>
      </c>
      <c r="D589" s="14" t="inlineStr">
        <is>
          <t>Copper alloy</t>
        </is>
      </c>
      <c r="E589" s="13" t="n"/>
      <c r="F589" s="13" t="n"/>
      <c r="G589" s="15" t="n">
        <v>7</v>
      </c>
      <c r="H589" s="13" t="n"/>
      <c r="I589" s="13" t="n"/>
      <c r="J589" s="13" t="n"/>
      <c r="K589" s="13" t="n"/>
      <c r="L589" s="13" t="n"/>
      <c r="M589" s="13" t="n"/>
      <c r="N589" s="15" t="n">
        <v>5</v>
      </c>
      <c r="O589" s="13" t="n"/>
      <c r="P589" s="13" t="n"/>
      <c r="Q589" s="15" t="n">
        <v>5</v>
      </c>
      <c r="R589" s="16">
        <f>IF(COUNT(E589:Q589)=0,"",MIN(E589:Q589))</f>
        <v/>
      </c>
      <c r="S589" s="15">
        <f>IF(COUNT(E589:Q589)=0,"",LOOKUP(2,1/(E589:Q589&lt;&gt;""),E589:Q589))</f>
        <v/>
      </c>
      <c r="T589" s="17">
        <f>IF(R589="","",ROUND(R589*RESUMEN!$B$4,0))</f>
        <v/>
      </c>
      <c r="U589" s="18">
        <f>COUNT(E589:Q589)</f>
        <v/>
      </c>
    </row>
    <row r="590">
      <c r="A590" s="13" t="inlineStr">
        <is>
          <t>41078752148077</t>
        </is>
      </c>
      <c r="B590" s="13" t="inlineStr">
        <is>
          <t>BRAZALETE C SILVER</t>
        </is>
      </c>
      <c r="C590" s="13" t="inlineStr">
        <is>
          <t>Default Title</t>
        </is>
      </c>
      <c r="D590" s="14" t="inlineStr"/>
      <c r="E590" s="13" t="n"/>
      <c r="F590" s="13" t="n"/>
      <c r="G590" s="15" t="n">
        <v>7</v>
      </c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6">
        <f>IF(COUNT(E590:Q590)=0,"",MIN(E590:Q590))</f>
        <v/>
      </c>
      <c r="S590" s="15">
        <f>IF(COUNT(E590:Q590)=0,"",LOOKUP(2,1/(E590:Q590&lt;&gt;""),E590:Q590))</f>
        <v/>
      </c>
      <c r="T590" s="17">
        <f>IF(R590="","",ROUND(R590*RESUMEN!$B$4,0))</f>
        <v/>
      </c>
      <c r="U590" s="18">
        <f>COUNT(E590:Q590)</f>
        <v/>
      </c>
    </row>
    <row r="591">
      <c r="A591" s="13" t="inlineStr">
        <is>
          <t>35432871092045</t>
        </is>
      </c>
      <c r="B591" s="13" t="inlineStr">
        <is>
          <t>BRAZALETE CC COCO RUSH SILVER</t>
        </is>
      </c>
      <c r="C591" s="13" t="inlineStr">
        <is>
          <t>Default Title</t>
        </is>
      </c>
      <c r="D591" s="14" t="inlineStr"/>
      <c r="E591" s="13" t="n"/>
      <c r="F591" s="13" t="n"/>
      <c r="G591" s="13" t="n"/>
      <c r="H591" s="13" t="n"/>
      <c r="I591" s="13" t="n"/>
      <c r="J591" s="13" t="n"/>
      <c r="K591" s="15" t="n">
        <v>8.99</v>
      </c>
      <c r="L591" s="13" t="n"/>
      <c r="M591" s="13" t="n"/>
      <c r="N591" s="13" t="n"/>
      <c r="O591" s="13" t="n"/>
      <c r="P591" s="13" t="n"/>
      <c r="Q591" s="13" t="n"/>
      <c r="R591" s="16">
        <f>IF(COUNT(E591:Q591)=0,"",MIN(E591:Q591))</f>
        <v/>
      </c>
      <c r="S591" s="15">
        <f>IF(COUNT(E591:Q591)=0,"",LOOKUP(2,1/(E591:Q591&lt;&gt;""),E591:Q591))</f>
        <v/>
      </c>
      <c r="T591" s="17">
        <f>IF(R591="","",ROUND(R591*RESUMEN!$B$4,0))</f>
        <v/>
      </c>
      <c r="U591" s="18">
        <f>COUNT(E591:Q591)</f>
        <v/>
      </c>
    </row>
    <row r="592">
      <c r="A592" s="13" t="inlineStr">
        <is>
          <t>64e78ca4a13f0</t>
        </is>
      </c>
      <c r="B592" s="13" t="inlineStr">
        <is>
          <t>BRAZALETE CD BLACK</t>
        </is>
      </c>
      <c r="C592" s="13" t="inlineStr">
        <is>
          <t>AJUSTABLE</t>
        </is>
      </c>
      <c r="D592" s="14" t="inlineStr"/>
      <c r="E592" s="13" t="n"/>
      <c r="F592" s="15" t="n">
        <v>6</v>
      </c>
      <c r="G592" s="13" t="n"/>
      <c r="H592" s="13" t="n"/>
      <c r="I592" s="15" t="n">
        <v>6.59</v>
      </c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6">
        <f>IF(COUNT(E592:Q592)=0,"",MIN(E592:Q592))</f>
        <v/>
      </c>
      <c r="S592" s="15">
        <f>IF(COUNT(E592:Q592)=0,"",LOOKUP(2,1/(E592:Q592&lt;&gt;""),E592:Q592))</f>
        <v/>
      </c>
      <c r="T592" s="17">
        <f>IF(R592="","",ROUND(R592*RESUMEN!$B$4,0))</f>
        <v/>
      </c>
      <c r="U592" s="18">
        <f>COUNT(E592:Q592)</f>
        <v/>
      </c>
    </row>
    <row r="593">
      <c r="A593" s="13" t="inlineStr">
        <is>
          <t>665bb919e080e</t>
        </is>
      </c>
      <c r="B593" s="13" t="inlineStr">
        <is>
          <t>BRAZALETE CLASH GOLD</t>
        </is>
      </c>
      <c r="C593" s="13" t="inlineStr">
        <is>
          <t>Default Title</t>
        </is>
      </c>
      <c r="D593" s="14" t="inlineStr">
        <is>
          <t>copper alloy</t>
        </is>
      </c>
      <c r="E593" s="15" t="n">
        <v>22</v>
      </c>
      <c r="F593" s="13" t="n"/>
      <c r="G593" s="13" t="n"/>
      <c r="H593" s="15" t="n">
        <v>22</v>
      </c>
      <c r="I593" s="15" t="n">
        <v>22</v>
      </c>
      <c r="J593" s="13" t="n"/>
      <c r="K593" s="13" t="n"/>
      <c r="L593" s="13" t="n"/>
      <c r="M593" s="13" t="n"/>
      <c r="N593" s="13" t="n"/>
      <c r="O593" s="15" t="n">
        <v>22</v>
      </c>
      <c r="P593" s="15" t="n">
        <v>22</v>
      </c>
      <c r="Q593" s="13" t="n"/>
      <c r="R593" s="16">
        <f>IF(COUNT(E593:Q593)=0,"",MIN(E593:Q593))</f>
        <v/>
      </c>
      <c r="S593" s="15">
        <f>IF(COUNT(E593:Q593)=0,"",LOOKUP(2,1/(E593:Q593&lt;&gt;""),E593:Q593))</f>
        <v/>
      </c>
      <c r="T593" s="17">
        <f>IF(R593="","",ROUND(R593*RESUMEN!$B$4,0))</f>
        <v/>
      </c>
      <c r="U593" s="18">
        <f>COUNT(E593:Q593)</f>
        <v/>
      </c>
    </row>
    <row r="594">
      <c r="A594" s="13" t="inlineStr">
        <is>
          <t>665bb91f1ebf4</t>
        </is>
      </c>
      <c r="B594" s="13" t="inlineStr">
        <is>
          <t>BRAZALETE CLASH ROSE GOLD</t>
        </is>
      </c>
      <c r="C594" s="13" t="inlineStr">
        <is>
          <t>16CM</t>
        </is>
      </c>
      <c r="D594" s="14" t="inlineStr">
        <is>
          <t>Copper alloy</t>
        </is>
      </c>
      <c r="E594" s="15" t="n">
        <v>22</v>
      </c>
      <c r="F594" s="15" t="n">
        <v>22</v>
      </c>
      <c r="G594" s="13" t="n"/>
      <c r="H594" s="13" t="n"/>
      <c r="I594" s="13" t="n"/>
      <c r="J594" s="15" t="n">
        <v>22</v>
      </c>
      <c r="K594" s="13" t="n"/>
      <c r="L594" s="15" t="n">
        <v>22</v>
      </c>
      <c r="M594" s="13" t="n"/>
      <c r="N594" s="13" t="n"/>
      <c r="O594" s="13" t="n"/>
      <c r="P594" s="13" t="n"/>
      <c r="Q594" s="13" t="n"/>
      <c r="R594" s="16">
        <f>IF(COUNT(E594:Q594)=0,"",MIN(E594:Q594))</f>
        <v/>
      </c>
      <c r="S594" s="15">
        <f>IF(COUNT(E594:Q594)=0,"",LOOKUP(2,1/(E594:Q594&lt;&gt;""),E594:Q594))</f>
        <v/>
      </c>
      <c r="T594" s="17">
        <f>IF(R594="","",ROUND(R594*RESUMEN!$B$4,0))</f>
        <v/>
      </c>
      <c r="U594" s="18">
        <f>COUNT(E594:Q594)</f>
        <v/>
      </c>
    </row>
    <row r="595">
      <c r="A595" s="13" t="inlineStr">
        <is>
          <t>665bb920c632c</t>
        </is>
      </c>
      <c r="B595" s="13" t="inlineStr">
        <is>
          <t>BRAZALETE CLASH SILVER</t>
        </is>
      </c>
      <c r="C595" s="13" t="inlineStr">
        <is>
          <t>16CM</t>
        </is>
      </c>
      <c r="D595" s="14" t="inlineStr">
        <is>
          <t>Copper Alloy</t>
        </is>
      </c>
      <c r="E595" s="15" t="n">
        <v>22</v>
      </c>
      <c r="F595" s="13" t="n"/>
      <c r="G595" s="13" t="n"/>
      <c r="H595" s="13" t="n"/>
      <c r="I595" s="15" t="n">
        <v>22</v>
      </c>
      <c r="J595" s="13" t="n"/>
      <c r="K595" s="13" t="n"/>
      <c r="L595" s="15" t="n">
        <v>22</v>
      </c>
      <c r="M595" s="13" t="n"/>
      <c r="N595" s="13" t="n"/>
      <c r="O595" s="13" t="n"/>
      <c r="P595" s="15" t="n">
        <v>22</v>
      </c>
      <c r="Q595" s="13" t="n"/>
      <c r="R595" s="16">
        <f>IF(COUNT(E595:Q595)=0,"",MIN(E595:Q595))</f>
        <v/>
      </c>
      <c r="S595" s="15">
        <f>IF(COUNT(E595:Q595)=0,"",LOOKUP(2,1/(E595:Q595&lt;&gt;""),E595:Q595))</f>
        <v/>
      </c>
      <c r="T595" s="17">
        <f>IF(R595="","",ROUND(R595*RESUMEN!$B$4,0))</f>
        <v/>
      </c>
      <c r="U595" s="18">
        <f>COUNT(E595:Q595)</f>
        <v/>
      </c>
    </row>
    <row r="596">
      <c r="A596" s="13" t="inlineStr">
        <is>
          <t>40154171915885</t>
        </is>
      </c>
      <c r="B596" s="13" t="inlineStr">
        <is>
          <t>BRAZALETE DOBLE ESLABON GOLD</t>
        </is>
      </c>
      <c r="C596" s="13" t="inlineStr">
        <is>
          <t>Default Title</t>
        </is>
      </c>
      <c r="D596" s="14" t="inlineStr">
        <is>
          <t>Copper Alloy</t>
        </is>
      </c>
      <c r="E596" s="13" t="n"/>
      <c r="F596" s="13" t="n"/>
      <c r="G596" s="13" t="n"/>
      <c r="H596" s="13" t="n"/>
      <c r="I596" s="13" t="n"/>
      <c r="J596" s="13" t="n"/>
      <c r="K596" s="15" t="n">
        <v>7</v>
      </c>
      <c r="L596" s="13" t="n"/>
      <c r="M596" s="13" t="n"/>
      <c r="N596" s="13" t="n"/>
      <c r="O596" s="13" t="n"/>
      <c r="P596" s="13" t="n"/>
      <c r="Q596" s="15" t="n">
        <v>7</v>
      </c>
      <c r="R596" s="16">
        <f>IF(COUNT(E596:Q596)=0,"",MIN(E596:Q596))</f>
        <v/>
      </c>
      <c r="S596" s="15">
        <f>IF(COUNT(E596:Q596)=0,"",LOOKUP(2,1/(E596:Q596&lt;&gt;""),E596:Q596))</f>
        <v/>
      </c>
      <c r="T596" s="17">
        <f>IF(R596="","",ROUND(R596*RESUMEN!$B$4,0))</f>
        <v/>
      </c>
      <c r="U596" s="18">
        <f>COUNT(E596:Q596)</f>
        <v/>
      </c>
    </row>
    <row r="597">
      <c r="A597" s="13" t="inlineStr">
        <is>
          <t>35432872781453</t>
        </is>
      </c>
      <c r="B597" s="13" t="inlineStr">
        <is>
          <t>BRAZALETE ELSA PERETTI SILVER</t>
        </is>
      </c>
      <c r="C597" s="13" t="inlineStr">
        <is>
          <t>Default Title</t>
        </is>
      </c>
      <c r="D597" s="14" t="inlineStr"/>
      <c r="E597" s="13" t="n"/>
      <c r="F597" s="13" t="n"/>
      <c r="G597" s="13" t="n"/>
      <c r="H597" s="13" t="n"/>
      <c r="I597" s="13" t="n"/>
      <c r="J597" s="13" t="n"/>
      <c r="K597" s="15" t="n">
        <v>6</v>
      </c>
      <c r="L597" s="13" t="n"/>
      <c r="M597" s="13" t="n"/>
      <c r="N597" s="13" t="n"/>
      <c r="O597" s="13" t="n"/>
      <c r="P597" s="13" t="n"/>
      <c r="Q597" s="13" t="n"/>
      <c r="R597" s="16">
        <f>IF(COUNT(E597:Q597)=0,"",MIN(E597:Q597))</f>
        <v/>
      </c>
      <c r="S597" s="15">
        <f>IF(COUNT(E597:Q597)=0,"",LOOKUP(2,1/(E597:Q597&lt;&gt;""),E597:Q597))</f>
        <v/>
      </c>
      <c r="T597" s="17">
        <f>IF(R597="","",ROUND(R597*RESUMEN!$B$4,0))</f>
        <v/>
      </c>
      <c r="U597" s="18">
        <f>COUNT(E597:Q597)</f>
        <v/>
      </c>
    </row>
    <row r="598">
      <c r="A598" s="13" t="inlineStr">
        <is>
          <t>12314362665261</t>
        </is>
      </c>
      <c r="B598" s="13" t="inlineStr">
        <is>
          <t>BRAZALETE F GOLD ZIRCONIAS</t>
        </is>
      </c>
      <c r="C598" s="13" t="inlineStr">
        <is>
          <t>0.5 cm</t>
        </is>
      </c>
      <c r="D598" s="14" t="inlineStr">
        <is>
          <t>Copper alloy</t>
        </is>
      </c>
      <c r="E598" s="13" t="n"/>
      <c r="F598" s="13" t="n"/>
      <c r="G598" s="15" t="n">
        <v>10</v>
      </c>
      <c r="H598" s="13" t="n"/>
      <c r="I598" s="13" t="n"/>
      <c r="J598" s="15" t="n">
        <v>10</v>
      </c>
      <c r="K598" s="13" t="n"/>
      <c r="L598" s="15" t="n">
        <v>10</v>
      </c>
      <c r="M598" s="13" t="n"/>
      <c r="N598" s="13" t="n"/>
      <c r="O598" s="13" t="n"/>
      <c r="P598" s="13" t="n"/>
      <c r="Q598" s="13" t="n"/>
      <c r="R598" s="16">
        <f>IF(COUNT(E598:Q598)=0,"",MIN(E598:Q598))</f>
        <v/>
      </c>
      <c r="S598" s="15">
        <f>IF(COUNT(E598:Q598)=0,"",LOOKUP(2,1/(E598:Q598&lt;&gt;""),E598:Q598))</f>
        <v/>
      </c>
      <c r="T598" s="17">
        <f>IF(R598="","",ROUND(R598*RESUMEN!$B$4,0))</f>
        <v/>
      </c>
      <c r="U598" s="18">
        <f>COUNT(E598:Q598)</f>
        <v/>
      </c>
    </row>
    <row r="599">
      <c r="A599" s="13" t="inlineStr">
        <is>
          <t>12314363576653</t>
        </is>
      </c>
      <c r="B599" s="13" t="inlineStr">
        <is>
          <t>BRAZALETE F LOGOS GOLD</t>
        </is>
      </c>
      <c r="C599" s="13" t="inlineStr">
        <is>
          <t>Default Title</t>
        </is>
      </c>
      <c r="D599" s="14" t="inlineStr">
        <is>
          <t>Copper alloy</t>
        </is>
      </c>
      <c r="E599" s="13" t="n"/>
      <c r="F599" s="13" t="n"/>
      <c r="G599" s="15" t="n">
        <v>10</v>
      </c>
      <c r="H599" s="13" t="n"/>
      <c r="I599" s="13" t="n"/>
      <c r="J599" s="15" t="n">
        <v>10</v>
      </c>
      <c r="K599" s="13" t="n"/>
      <c r="L599" s="15" t="n">
        <v>10</v>
      </c>
      <c r="M599" s="13" t="n"/>
      <c r="N599" s="13" t="n"/>
      <c r="O599" s="13" t="n"/>
      <c r="P599" s="13" t="n"/>
      <c r="Q599" s="13" t="n"/>
      <c r="R599" s="16">
        <f>IF(COUNT(E599:Q599)=0,"",MIN(E599:Q599))</f>
        <v/>
      </c>
      <c r="S599" s="15">
        <f>IF(COUNT(E599:Q599)=0,"",LOOKUP(2,1/(E599:Q599&lt;&gt;""),E599:Q599))</f>
        <v/>
      </c>
      <c r="T599" s="17">
        <f>IF(R599="","",ROUND(R599*RESUMEN!$B$4,0))</f>
        <v/>
      </c>
      <c r="U599" s="18">
        <f>COUNT(E599:Q599)</f>
        <v/>
      </c>
    </row>
    <row r="600">
      <c r="A600" s="13" t="inlineStr">
        <is>
          <t>Default Title</t>
        </is>
      </c>
      <c r="B600" s="13" t="inlineStr">
        <is>
          <t>BRAZALETE H  GOLD ZIRCONIAS</t>
        </is>
      </c>
      <c r="C600" s="13" t="inlineStr"/>
      <c r="D600" s="14" t="inlineStr"/>
      <c r="E600" s="13" t="n"/>
      <c r="F600" s="15" t="n">
        <v>7.5</v>
      </c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6">
        <f>IF(COUNT(E600:Q600)=0,"",MIN(E600:Q600))</f>
        <v/>
      </c>
      <c r="S600" s="15">
        <f>IF(COUNT(E600:Q600)=0,"",LOOKUP(2,1/(E600:Q600&lt;&gt;""),E600:Q600))</f>
        <v/>
      </c>
      <c r="T600" s="17">
        <f>IF(R600="","",ROUND(R600*RESUMEN!$B$4,0))</f>
        <v/>
      </c>
      <c r="U600" s="18">
        <f>COUNT(E600:Q600)</f>
        <v/>
      </c>
    </row>
    <row r="601">
      <c r="A601" s="13" t="inlineStr">
        <is>
          <t>89246882713005</t>
        </is>
      </c>
      <c r="B601" s="13" t="inlineStr">
        <is>
          <t>BRAZALETE H ESLABONES CHAINE GOLD</t>
        </is>
      </c>
      <c r="C601" s="13" t="inlineStr">
        <is>
          <t>Default Title</t>
        </is>
      </c>
      <c r="D601" s="14" t="inlineStr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5" t="n">
        <v>12</v>
      </c>
      <c r="O601" s="13" t="n"/>
      <c r="P601" s="13" t="n"/>
      <c r="Q601" s="13" t="n"/>
      <c r="R601" s="16">
        <f>IF(COUNT(E601:Q601)=0,"",MIN(E601:Q601))</f>
        <v/>
      </c>
      <c r="S601" s="15">
        <f>IF(COUNT(E601:Q601)=0,"",LOOKUP(2,1/(E601:Q601&lt;&gt;""),E601:Q601))</f>
        <v/>
      </c>
      <c r="T601" s="17">
        <f>IF(R601="","",ROUND(R601*RESUMEN!$B$4,0))</f>
        <v/>
      </c>
      <c r="U601" s="18">
        <f>COUNT(E601:Q601)</f>
        <v/>
      </c>
    </row>
    <row r="602">
      <c r="A602" s="13" t="inlineStr">
        <is>
          <t>89246882816397</t>
        </is>
      </c>
      <c r="B602" s="13" t="inlineStr">
        <is>
          <t>BRAZALETE H FARANDOLE SILVER</t>
        </is>
      </c>
      <c r="C602" s="13" t="inlineStr">
        <is>
          <t>Default Title</t>
        </is>
      </c>
      <c r="D602" s="14" t="inlineStr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5" t="n">
        <v>9</v>
      </c>
      <c r="O602" s="13" t="n"/>
      <c r="P602" s="13" t="n"/>
      <c r="Q602" s="13" t="n"/>
      <c r="R602" s="16">
        <f>IF(COUNT(E602:Q602)=0,"",MIN(E602:Q602))</f>
        <v/>
      </c>
      <c r="S602" s="15">
        <f>IF(COUNT(E602:Q602)=0,"",LOOKUP(2,1/(E602:Q602&lt;&gt;""),E602:Q602))</f>
        <v/>
      </c>
      <c r="T602" s="17">
        <f>IF(R602="","",ROUND(R602*RESUMEN!$B$4,0))</f>
        <v/>
      </c>
      <c r="U602" s="18">
        <f>COUNT(E602:Q602)</f>
        <v/>
      </c>
    </row>
    <row r="603">
      <c r="A603" s="13" t="inlineStr">
        <is>
          <t>66768001116909</t>
        </is>
      </c>
      <c r="B603" s="13" t="inlineStr">
        <is>
          <t>BRAZALETE H GOLD ZIRCONIAS</t>
        </is>
      </c>
      <c r="C603" s="13" t="inlineStr">
        <is>
          <t>Default Title</t>
        </is>
      </c>
      <c r="D603" s="14" t="inlineStr">
        <is>
          <t>Copper alloy</t>
        </is>
      </c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5" t="n">
        <v>15</v>
      </c>
      <c r="Q603" s="13" t="n"/>
      <c r="R603" s="16">
        <f>IF(COUNT(E603:Q603)=0,"",MIN(E603:Q603))</f>
        <v/>
      </c>
      <c r="S603" s="15">
        <f>IF(COUNT(E603:Q603)=0,"",LOOKUP(2,1/(E603:Q603&lt;&gt;""),E603:Q603))</f>
        <v/>
      </c>
      <c r="T603" s="17">
        <f>IF(R603="","",ROUND(R603*RESUMEN!$B$4,0))</f>
        <v/>
      </c>
      <c r="U603" s="18">
        <f>COUNT(E603:Q603)</f>
        <v/>
      </c>
    </row>
    <row r="604">
      <c r="A604" s="13" t="inlineStr">
        <is>
          <t>86347032026285</t>
        </is>
      </c>
      <c r="B604" s="13" t="inlineStr">
        <is>
          <t>BRAZALETE H KELLY SILVER ZIRCONIAS</t>
        </is>
      </c>
      <c r="C604" s="13" t="inlineStr">
        <is>
          <t>Default Title</t>
        </is>
      </c>
      <c r="D604" s="14" t="inlineStr">
        <is>
          <t>copper alloy</t>
        </is>
      </c>
      <c r="E604" s="13" t="n"/>
      <c r="F604" s="13" t="n"/>
      <c r="G604" s="15" t="n">
        <v>11</v>
      </c>
      <c r="H604" s="13" t="n"/>
      <c r="I604" s="13" t="n"/>
      <c r="J604" s="13" t="n"/>
      <c r="K604" s="13" t="n"/>
      <c r="L604" s="13" t="n"/>
      <c r="M604" s="13" t="n"/>
      <c r="N604" s="13" t="n"/>
      <c r="O604" s="15" t="n">
        <v>10</v>
      </c>
      <c r="P604" s="13" t="n"/>
      <c r="Q604" s="13" t="n"/>
      <c r="R604" s="16">
        <f>IF(COUNT(E604:Q604)=0,"",MIN(E604:Q604))</f>
        <v/>
      </c>
      <c r="S604" s="15">
        <f>IF(COUNT(E604:Q604)=0,"",LOOKUP(2,1/(E604:Q604&lt;&gt;""),E604:Q604))</f>
        <v/>
      </c>
      <c r="T604" s="17">
        <f>IF(R604="","",ROUND(R604*RESUMEN!$B$4,0))</f>
        <v/>
      </c>
      <c r="U604" s="18">
        <f>COUNT(E604:Q604)</f>
        <v/>
      </c>
    </row>
    <row r="605">
      <c r="A605" s="13" t="inlineStr">
        <is>
          <t>86347031857357</t>
        </is>
      </c>
      <c r="B605" s="13" t="inlineStr">
        <is>
          <t>BRAZALETE H UNI GOLD-BLACK</t>
        </is>
      </c>
      <c r="C605" s="13" t="inlineStr">
        <is>
          <t>Default Title</t>
        </is>
      </c>
      <c r="D605" s="14" t="inlineStr">
        <is>
          <t>Stainless stee</t>
        </is>
      </c>
      <c r="E605" s="13" t="n"/>
      <c r="F605" s="13" t="n"/>
      <c r="G605" s="15" t="n">
        <v>15</v>
      </c>
      <c r="H605" s="13" t="n"/>
      <c r="I605" s="13" t="n"/>
      <c r="J605" s="15" t="n">
        <v>15</v>
      </c>
      <c r="K605" s="13" t="n"/>
      <c r="L605" s="15" t="n">
        <v>15</v>
      </c>
      <c r="M605" s="13" t="n"/>
      <c r="N605" s="13" t="n"/>
      <c r="O605" s="13" t="n"/>
      <c r="P605" s="13" t="n"/>
      <c r="Q605" s="13" t="n"/>
      <c r="R605" s="16">
        <f>IF(COUNT(E605:Q605)=0,"",MIN(E605:Q605))</f>
        <v/>
      </c>
      <c r="S605" s="15">
        <f>IF(COUNT(E605:Q605)=0,"",LOOKUP(2,1/(E605:Q605&lt;&gt;""),E605:Q605))</f>
        <v/>
      </c>
      <c r="T605" s="17">
        <f>IF(R605="","",ROUND(R605*RESUMEN!$B$4,0))</f>
        <v/>
      </c>
      <c r="U605" s="18">
        <f>COUNT(E605:Q605)</f>
        <v/>
      </c>
    </row>
    <row r="606">
      <c r="A606" s="13" t="inlineStr">
        <is>
          <t>15104861551757</t>
        </is>
      </c>
      <c r="B606" s="13" t="inlineStr">
        <is>
          <t>BRAZALETE IDYLLE ROSE GOLD ZIRCONIAS</t>
        </is>
      </c>
      <c r="C606" s="13" t="inlineStr">
        <is>
          <t>Default Title</t>
        </is>
      </c>
      <c r="D606" s="14" t="inlineStr">
        <is>
          <t>Copper alloy</t>
        </is>
      </c>
      <c r="E606" s="13" t="n"/>
      <c r="F606" s="13" t="n"/>
      <c r="G606" s="13" t="n"/>
      <c r="H606" s="13" t="n"/>
      <c r="I606" s="13" t="n"/>
      <c r="J606" s="13" t="n"/>
      <c r="K606" s="15" t="n">
        <v>15</v>
      </c>
      <c r="L606" s="13" t="n"/>
      <c r="M606" s="13" t="n"/>
      <c r="N606" s="13" t="n"/>
      <c r="O606" s="13" t="n"/>
      <c r="P606" s="15" t="n">
        <v>15</v>
      </c>
      <c r="Q606" s="13" t="n"/>
      <c r="R606" s="16">
        <f>IF(COUNT(E606:Q606)=0,"",MIN(E606:Q606))</f>
        <v/>
      </c>
      <c r="S606" s="15">
        <f>IF(COUNT(E606:Q606)=0,"",LOOKUP(2,1/(E606:Q606&lt;&gt;""),E606:Q606))</f>
        <v/>
      </c>
      <c r="T606" s="17">
        <f>IF(R606="","",ROUND(R606*RESUMEN!$B$4,0))</f>
        <v/>
      </c>
      <c r="U606" s="18">
        <f>COUNT(E606:Q606)</f>
        <v/>
      </c>
    </row>
    <row r="607">
      <c r="A607" s="13" t="inlineStr">
        <is>
          <t>66768001258381</t>
        </is>
      </c>
      <c r="B607" s="13" t="inlineStr">
        <is>
          <t>BRAZALETE KELLY CLIC H GOLD</t>
        </is>
      </c>
      <c r="C607" s="13" t="inlineStr">
        <is>
          <t>Default Title</t>
        </is>
      </c>
      <c r="D607" s="14" t="inlineStr">
        <is>
          <t>Copper alloy</t>
        </is>
      </c>
      <c r="E607" s="13" t="n"/>
      <c r="F607" s="15" t="n">
        <v>10</v>
      </c>
      <c r="G607" s="13" t="n"/>
      <c r="H607" s="13" t="n"/>
      <c r="I607" s="13" t="n"/>
      <c r="J607" s="13" t="n"/>
      <c r="K607" s="13" t="n"/>
      <c r="L607" s="15" t="n">
        <v>10</v>
      </c>
      <c r="M607" s="13" t="n"/>
      <c r="N607" s="13" t="n"/>
      <c r="O607" s="13" t="n"/>
      <c r="P607" s="13" t="n"/>
      <c r="Q607" s="13" t="n"/>
      <c r="R607" s="16">
        <f>IF(COUNT(E607:Q607)=0,"",MIN(E607:Q607))</f>
        <v/>
      </c>
      <c r="S607" s="15">
        <f>IF(COUNT(E607:Q607)=0,"",LOOKUP(2,1/(E607:Q607&lt;&gt;""),E607:Q607))</f>
        <v/>
      </c>
      <c r="T607" s="17">
        <f>IF(R607="","",ROUND(R607*RESUMEN!$B$4,0))</f>
        <v/>
      </c>
      <c r="U607" s="18">
        <f>COUNT(E607:Q607)</f>
        <v/>
      </c>
    </row>
    <row r="608">
      <c r="A608" s="13" t="inlineStr">
        <is>
          <t>67201531837869</t>
        </is>
      </c>
      <c r="B608" s="13" t="inlineStr">
        <is>
          <t>BRAZALETE KELLY CLIC H ROSE GOLD</t>
        </is>
      </c>
      <c r="C608" s="13" t="inlineStr">
        <is>
          <t>HIGH QUALITY</t>
        </is>
      </c>
      <c r="D608" s="14" t="inlineStr">
        <is>
          <t>copper alloy</t>
        </is>
      </c>
      <c r="E608" s="13" t="n"/>
      <c r="F608" s="15" t="n">
        <v>10</v>
      </c>
      <c r="G608" s="13" t="n"/>
      <c r="H608" s="15" t="n">
        <v>10</v>
      </c>
      <c r="I608" s="15" t="n">
        <v>10</v>
      </c>
      <c r="J608" s="13" t="n"/>
      <c r="K608" s="13" t="n"/>
      <c r="L608" s="13" t="n"/>
      <c r="M608" s="15" t="n">
        <v>10</v>
      </c>
      <c r="N608" s="13" t="n"/>
      <c r="O608" s="15" t="n">
        <v>10</v>
      </c>
      <c r="P608" s="13" t="n"/>
      <c r="Q608" s="13" t="n"/>
      <c r="R608" s="16">
        <f>IF(COUNT(E608:Q608)=0,"",MIN(E608:Q608))</f>
        <v/>
      </c>
      <c r="S608" s="15">
        <f>IF(COUNT(E608:Q608)=0,"",LOOKUP(2,1/(E608:Q608&lt;&gt;""),E608:Q608))</f>
        <v/>
      </c>
      <c r="T608" s="17">
        <f>IF(R608="","",ROUND(R608*RESUMEN!$B$4,0))</f>
        <v/>
      </c>
      <c r="U608" s="18">
        <f>COUNT(E608:Q608)</f>
        <v/>
      </c>
    </row>
    <row r="609">
      <c r="A609" s="13" t="inlineStr">
        <is>
          <t>22064321023405</t>
        </is>
      </c>
      <c r="B609" s="13" t="inlineStr">
        <is>
          <t>BRAZALETE LOVE GOLD</t>
        </is>
      </c>
      <c r="C609" s="13" t="inlineStr">
        <is>
          <t>16CM</t>
        </is>
      </c>
      <c r="D609" s="14" t="inlineStr">
        <is>
          <t>Stainless Stee</t>
        </is>
      </c>
      <c r="E609" s="13" t="n"/>
      <c r="F609" s="13" t="n"/>
      <c r="G609" s="13" t="n"/>
      <c r="H609" s="13" t="n"/>
      <c r="I609" s="13" t="n"/>
      <c r="J609" s="13" t="n"/>
      <c r="K609" s="15" t="n">
        <v>2.99</v>
      </c>
      <c r="L609" s="13" t="n"/>
      <c r="M609" s="13" t="n"/>
      <c r="N609" s="13" t="n"/>
      <c r="O609" s="13" t="n"/>
      <c r="P609" s="15" t="n">
        <v>2.99</v>
      </c>
      <c r="Q609" s="13" t="n"/>
      <c r="R609" s="16">
        <f>IF(COUNT(E609:Q609)=0,"",MIN(E609:Q609))</f>
        <v/>
      </c>
      <c r="S609" s="15">
        <f>IF(COUNT(E609:Q609)=0,"",LOOKUP(2,1/(E609:Q609&lt;&gt;""),E609:Q609))</f>
        <v/>
      </c>
      <c r="T609" s="17">
        <f>IF(R609="","",ROUND(R609*RESUMEN!$B$4,0))</f>
        <v/>
      </c>
      <c r="U609" s="18">
        <f>COUNT(E609:Q609)</f>
        <v/>
      </c>
    </row>
    <row r="610">
      <c r="A610" s="13" t="inlineStr">
        <is>
          <t>59950731067117</t>
        </is>
      </c>
      <c r="B610" s="13" t="inlineStr">
        <is>
          <t>BRAZALETE LOVE GOLD</t>
        </is>
      </c>
      <c r="C610" s="13" t="inlineStr">
        <is>
          <t>17CM</t>
        </is>
      </c>
      <c r="D610" s="14" t="inlineStr">
        <is>
          <t>Stainless stee</t>
        </is>
      </c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5" t="n">
        <v>5</v>
      </c>
      <c r="O610" s="13" t="n"/>
      <c r="P610" s="13" t="n"/>
      <c r="Q610" s="15" t="n">
        <v>5</v>
      </c>
      <c r="R610" s="16">
        <f>IF(COUNT(E610:Q610)=0,"",MIN(E610:Q610))</f>
        <v/>
      </c>
      <c r="S610" s="15">
        <f>IF(COUNT(E610:Q610)=0,"",LOOKUP(2,1/(E610:Q610&lt;&gt;""),E610:Q610))</f>
        <v/>
      </c>
      <c r="T610" s="17">
        <f>IF(R610="","",ROUND(R610*RESUMEN!$B$4,0))</f>
        <v/>
      </c>
      <c r="U610" s="18">
        <f>COUNT(E610:Q610)</f>
        <v/>
      </c>
    </row>
    <row r="611">
      <c r="A611" s="13" t="inlineStr">
        <is>
          <t>59109721657165</t>
        </is>
      </c>
      <c r="B611" s="13" t="inlineStr">
        <is>
          <t>BRAZALETE LOVE GOLD</t>
        </is>
      </c>
      <c r="C611" s="13" t="inlineStr">
        <is>
          <t>19CM</t>
        </is>
      </c>
      <c r="D611" s="14" t="inlineStr">
        <is>
          <t>Stainless stee</t>
        </is>
      </c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5" t="n">
        <v>2.99</v>
      </c>
      <c r="Q611" s="13" t="n"/>
      <c r="R611" s="16">
        <f>IF(COUNT(E611:Q611)=0,"",MIN(E611:Q611))</f>
        <v/>
      </c>
      <c r="S611" s="15">
        <f>IF(COUNT(E611:Q611)=0,"",LOOKUP(2,1/(E611:Q611&lt;&gt;""),E611:Q611))</f>
        <v/>
      </c>
      <c r="T611" s="17">
        <f>IF(R611="","",ROUND(R611*RESUMEN!$B$4,0))</f>
        <v/>
      </c>
      <c r="U611" s="18">
        <f>COUNT(E611:Q611)</f>
        <v/>
      </c>
    </row>
    <row r="612">
      <c r="A612" s="13" t="inlineStr">
        <is>
          <t>17964141062349</t>
        </is>
      </c>
      <c r="B612" s="13" t="inlineStr">
        <is>
          <t>BRAZALETE LV TAILOR SOO</t>
        </is>
      </c>
      <c r="C612" s="13" t="inlineStr">
        <is>
          <t>Default Title</t>
        </is>
      </c>
      <c r="D612" s="14" t="inlineStr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5" t="n">
        <v>8</v>
      </c>
      <c r="P612" s="13" t="n"/>
      <c r="Q612" s="13" t="n"/>
      <c r="R612" s="16">
        <f>IF(COUNT(E612:Q612)=0,"",MIN(E612:Q612))</f>
        <v/>
      </c>
      <c r="S612" s="15">
        <f>IF(COUNT(E612:Q612)=0,"",LOOKUP(2,1/(E612:Q612&lt;&gt;""),E612:Q612))</f>
        <v/>
      </c>
      <c r="T612" s="17">
        <f>IF(R612="","",ROUND(R612*RESUMEN!$B$4,0))</f>
        <v/>
      </c>
      <c r="U612" s="18">
        <f>COUNT(E612:Q612)</f>
        <v/>
      </c>
    </row>
    <row r="613">
      <c r="A613" s="13" t="inlineStr">
        <is>
          <t>35432872592173</t>
        </is>
      </c>
      <c r="B613" s="13" t="inlineStr">
        <is>
          <t>BRAZALETE MINI CLIC CHAINE GOLD-BLACK</t>
        </is>
      </c>
      <c r="C613" s="13" t="inlineStr">
        <is>
          <t>Default Title</t>
        </is>
      </c>
      <c r="D613" s="14" t="inlineStr">
        <is>
          <t>Stainless stee</t>
        </is>
      </c>
      <c r="E613" s="13" t="n"/>
      <c r="F613" s="13" t="n"/>
      <c r="G613" s="13" t="n"/>
      <c r="H613" s="13" t="n"/>
      <c r="I613" s="13" t="n"/>
      <c r="J613" s="13" t="n"/>
      <c r="K613" s="15" t="n">
        <v>18</v>
      </c>
      <c r="L613" s="13" t="n"/>
      <c r="M613" s="13" t="n"/>
      <c r="N613" s="13" t="n"/>
      <c r="O613" s="13" t="n"/>
      <c r="P613" s="13" t="n"/>
      <c r="Q613" s="15" t="n">
        <v>18</v>
      </c>
      <c r="R613" s="16">
        <f>IF(COUNT(E613:Q613)=0,"",MIN(E613:Q613))</f>
        <v/>
      </c>
      <c r="S613" s="15">
        <f>IF(COUNT(E613:Q613)=0,"",LOOKUP(2,1/(E613:Q613&lt;&gt;""),E613:Q613))</f>
        <v/>
      </c>
      <c r="T613" s="17">
        <f>IF(R613="","",ROUND(R613*RESUMEN!$B$4,0))</f>
        <v/>
      </c>
      <c r="U613" s="18">
        <f>COUNT(E613:Q613)</f>
        <v/>
      </c>
    </row>
    <row r="614">
      <c r="A614" s="13" t="inlineStr">
        <is>
          <t>35432872669581</t>
        </is>
      </c>
      <c r="B614" s="13" t="inlineStr">
        <is>
          <t>BRAZALETE MINI CLIC KELLY ROSE GOLD</t>
        </is>
      </c>
      <c r="C614" s="13" t="inlineStr">
        <is>
          <t>Default Title</t>
        </is>
      </c>
      <c r="D614" s="14" t="inlineStr">
        <is>
          <t>Stainless Stee</t>
        </is>
      </c>
      <c r="E614" s="13" t="n"/>
      <c r="F614" s="13" t="n"/>
      <c r="G614" s="13" t="n"/>
      <c r="H614" s="13" t="n"/>
      <c r="I614" s="13" t="n"/>
      <c r="J614" s="13" t="n"/>
      <c r="K614" s="15" t="n">
        <v>18</v>
      </c>
      <c r="L614" s="13" t="n"/>
      <c r="M614" s="13" t="n"/>
      <c r="N614" s="13" t="n"/>
      <c r="O614" s="13" t="n"/>
      <c r="P614" s="15" t="n">
        <v>18</v>
      </c>
      <c r="Q614" s="13" t="n"/>
      <c r="R614" s="16">
        <f>IF(COUNT(E614:Q614)=0,"",MIN(E614:Q614))</f>
        <v/>
      </c>
      <c r="S614" s="15">
        <f>IF(COUNT(E614:Q614)=0,"",LOOKUP(2,1/(E614:Q614&lt;&gt;""),E614:Q614))</f>
        <v/>
      </c>
      <c r="T614" s="17">
        <f>IF(R614="","",ROUND(R614*RESUMEN!$B$4,0))</f>
        <v/>
      </c>
      <c r="U614" s="18">
        <f>COUNT(E614:Q614)</f>
        <v/>
      </c>
    </row>
    <row r="615">
      <c r="A615" s="13" t="inlineStr">
        <is>
          <t>15554121358797</t>
        </is>
      </c>
      <c r="B615" s="13" t="inlineStr">
        <is>
          <t>BRAZALETE MOVE NOA CISELE GOLD</t>
        </is>
      </c>
      <c r="C615" s="13" t="inlineStr">
        <is>
          <t>Default Title</t>
        </is>
      </c>
      <c r="D615" s="14" t="inlineStr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5" t="n">
        <v>18</v>
      </c>
      <c r="O615" s="13" t="n"/>
      <c r="P615" s="13" t="n"/>
      <c r="Q615" s="13" t="n"/>
      <c r="R615" s="16">
        <f>IF(COUNT(E615:Q615)=0,"",MIN(E615:Q615))</f>
        <v/>
      </c>
      <c r="S615" s="15">
        <f>IF(COUNT(E615:Q615)=0,"",LOOKUP(2,1/(E615:Q615&lt;&gt;""),E615:Q615))</f>
        <v/>
      </c>
      <c r="T615" s="17">
        <f>IF(R615="","",ROUND(R615*RESUMEN!$B$4,0))</f>
        <v/>
      </c>
      <c r="U615" s="18">
        <f>COUNT(E615:Q615)</f>
        <v/>
      </c>
    </row>
    <row r="616">
      <c r="A616" s="13" t="inlineStr">
        <is>
          <t>15554122051469</t>
        </is>
      </c>
      <c r="B616" s="13" t="inlineStr">
        <is>
          <t>BRAZALETE MOVE NOA GOLD</t>
        </is>
      </c>
      <c r="C616" s="13" t="inlineStr">
        <is>
          <t>Default Title</t>
        </is>
      </c>
      <c r="D616" s="14" t="inlineStr">
        <is>
          <t>Copper alloy</t>
        </is>
      </c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5" t="n">
        <v>10</v>
      </c>
      <c r="O616" s="13" t="n"/>
      <c r="P616" s="13" t="n"/>
      <c r="Q616" s="15" t="n">
        <v>10</v>
      </c>
      <c r="R616" s="16">
        <f>IF(COUNT(E616:Q616)=0,"",MIN(E616:Q616))</f>
        <v/>
      </c>
      <c r="S616" s="15">
        <f>IF(COUNT(E616:Q616)=0,"",LOOKUP(2,1/(E616:Q616&lt;&gt;""),E616:Q616))</f>
        <v/>
      </c>
      <c r="T616" s="17">
        <f>IF(R616="","",ROUND(R616*RESUMEN!$B$4,0))</f>
        <v/>
      </c>
      <c r="U616" s="18">
        <f>COUNT(E616:Q616)</f>
        <v/>
      </c>
    </row>
    <row r="617">
      <c r="A617" s="13" t="inlineStr">
        <is>
          <t>15554121626029</t>
        </is>
      </c>
      <c r="B617" s="13" t="inlineStr">
        <is>
          <t>BRAZALETE MOVE UNO GOLD ZIRCONIAS</t>
        </is>
      </c>
      <c r="C617" s="13" t="inlineStr">
        <is>
          <t>Default Title</t>
        </is>
      </c>
      <c r="D617" s="14" t="inlineStr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5" t="n">
        <v>10</v>
      </c>
      <c r="O617" s="13" t="n"/>
      <c r="P617" s="13" t="n"/>
      <c r="Q617" s="13" t="n"/>
      <c r="R617" s="16">
        <f>IF(COUNT(E617:Q617)=0,"",MIN(E617:Q617))</f>
        <v/>
      </c>
      <c r="S617" s="15">
        <f>IF(COUNT(E617:Q617)=0,"",LOOKUP(2,1/(E617:Q617&lt;&gt;""),E617:Q617))</f>
        <v/>
      </c>
      <c r="T617" s="17">
        <f>IF(R617="","",ROUND(R617*RESUMEN!$B$4,0))</f>
        <v/>
      </c>
      <c r="U617" s="18">
        <f>COUNT(E617:Q617)</f>
        <v/>
      </c>
    </row>
    <row r="618">
      <c r="A618" s="13" t="inlineStr">
        <is>
          <t>67201531970989</t>
        </is>
      </c>
      <c r="B618" s="13" t="inlineStr">
        <is>
          <t>BRAZALETE MSS GOLD</t>
        </is>
      </c>
      <c r="C618" s="13" t="inlineStr">
        <is>
          <t>16 cm</t>
        </is>
      </c>
      <c r="D618" s="14" t="inlineStr">
        <is>
          <t>Copper Alloy</t>
        </is>
      </c>
      <c r="E618" s="15" t="n">
        <v>10</v>
      </c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5" t="n">
        <v>10</v>
      </c>
      <c r="O618" s="13" t="n"/>
      <c r="P618" s="13" t="n"/>
      <c r="Q618" s="15" t="n">
        <v>10</v>
      </c>
      <c r="R618" s="16">
        <f>IF(COUNT(E618:Q618)=0,"",MIN(E618:Q618))</f>
        <v/>
      </c>
      <c r="S618" s="15">
        <f>IF(COUNT(E618:Q618)=0,"",LOOKUP(2,1/(E618:Q618&lt;&gt;""),E618:Q618))</f>
        <v/>
      </c>
      <c r="T618" s="17">
        <f>IF(R618="","",ROUND(R618*RESUMEN!$B$4,0))</f>
        <v/>
      </c>
      <c r="U618" s="18">
        <f>COUNT(E618:Q618)</f>
        <v/>
      </c>
    </row>
    <row r="619">
      <c r="A619" s="13" t="inlineStr">
        <is>
          <t>40154171506797</t>
        </is>
      </c>
      <c r="B619" s="13" t="inlineStr">
        <is>
          <t>BRAZALETE OPEN HEART GOLD</t>
        </is>
      </c>
      <c r="C619" s="13" t="inlineStr">
        <is>
          <t>Default Title</t>
        </is>
      </c>
      <c r="D619" s="14" t="inlineStr"/>
      <c r="E619" s="13" t="n"/>
      <c r="F619" s="13" t="n"/>
      <c r="G619" s="15" t="n">
        <v>8.99</v>
      </c>
      <c r="H619" s="13" t="n"/>
      <c r="I619" s="13" t="n"/>
      <c r="J619" s="13" t="n"/>
      <c r="K619" s="15" t="n">
        <v>10</v>
      </c>
      <c r="L619" s="13" t="n"/>
      <c r="M619" s="13" t="n"/>
      <c r="N619" s="13" t="n"/>
      <c r="O619" s="13" t="n"/>
      <c r="P619" s="13" t="n"/>
      <c r="Q619" s="13" t="n"/>
      <c r="R619" s="16">
        <f>IF(COUNT(E619:Q619)=0,"",MIN(E619:Q619))</f>
        <v/>
      </c>
      <c r="S619" s="15">
        <f>IF(COUNT(E619:Q619)=0,"",LOOKUP(2,1/(E619:Q619&lt;&gt;""),E619:Q619))</f>
        <v/>
      </c>
      <c r="T619" s="17">
        <f>IF(R619="","",ROUND(R619*RESUMEN!$B$4,0))</f>
        <v/>
      </c>
      <c r="U619" s="18">
        <f>COUNT(E619:Q619)</f>
        <v/>
      </c>
    </row>
    <row r="620">
      <c r="A620" s="13" t="inlineStr">
        <is>
          <t>665bb924de84e</t>
        </is>
      </c>
      <c r="B620" s="13" t="inlineStr">
        <is>
          <t>BRAZALETE PANTHERE SILVER</t>
        </is>
      </c>
      <c r="C620" s="13" t="inlineStr">
        <is>
          <t>17cm (REMATE)</t>
        </is>
      </c>
      <c r="D620" s="14" t="inlineStr">
        <is>
          <t>Copper alloy</t>
        </is>
      </c>
      <c r="E620" s="13" t="n"/>
      <c r="F620" s="13" t="n"/>
      <c r="G620" s="13" t="n"/>
      <c r="H620" s="13" t="n"/>
      <c r="I620" s="13" t="n"/>
      <c r="J620" s="15" t="n">
        <v>12</v>
      </c>
      <c r="K620" s="13" t="n"/>
      <c r="L620" s="13" t="n"/>
      <c r="M620" s="13" t="n"/>
      <c r="N620" s="13" t="n"/>
      <c r="O620" s="13" t="n"/>
      <c r="P620" s="13" t="n"/>
      <c r="Q620" s="15" t="n">
        <v>12</v>
      </c>
      <c r="R620" s="16">
        <f>IF(COUNT(E620:Q620)=0,"",MIN(E620:Q620))</f>
        <v/>
      </c>
      <c r="S620" s="15">
        <f>IF(COUNT(E620:Q620)=0,"",LOOKUP(2,1/(E620:Q620&lt;&gt;""),E620:Q620))</f>
        <v/>
      </c>
      <c r="T620" s="17">
        <f>IF(R620="","",ROUND(R620*RESUMEN!$B$4,0))</f>
        <v/>
      </c>
      <c r="U620" s="18">
        <f>COUNT(E620:Q620)</f>
        <v/>
      </c>
    </row>
    <row r="621">
      <c r="A621" s="13" t="inlineStr">
        <is>
          <t>86347033884525</t>
        </is>
      </c>
      <c r="B621" s="13" t="inlineStr">
        <is>
          <t>BRAZALETE PERETTI GOLD ZIRCONIAS</t>
        </is>
      </c>
      <c r="C621" s="13" t="inlineStr">
        <is>
          <t>Default Title</t>
        </is>
      </c>
      <c r="D621" s="14" t="inlineStr">
        <is>
          <t>Copper alloy</t>
        </is>
      </c>
      <c r="E621" s="13" t="n"/>
      <c r="F621" s="13" t="n"/>
      <c r="G621" s="13" t="n"/>
      <c r="H621" s="13" t="n"/>
      <c r="I621" s="13" t="n"/>
      <c r="J621" s="15" t="n">
        <v>8</v>
      </c>
      <c r="K621" s="13" t="n"/>
      <c r="L621" s="15" t="n">
        <v>8</v>
      </c>
      <c r="M621" s="13" t="n"/>
      <c r="N621" s="13" t="n"/>
      <c r="O621" s="13" t="n"/>
      <c r="P621" s="13" t="n"/>
      <c r="Q621" s="13" t="n"/>
      <c r="R621" s="16">
        <f>IF(COUNT(E621:Q621)=0,"",MIN(E621:Q621))</f>
        <v/>
      </c>
      <c r="S621" s="15">
        <f>IF(COUNT(E621:Q621)=0,"",LOOKUP(2,1/(E621:Q621&lt;&gt;""),E621:Q621))</f>
        <v/>
      </c>
      <c r="T621" s="17">
        <f>IF(R621="","",ROUND(R621*RESUMEN!$B$4,0))</f>
        <v/>
      </c>
      <c r="U621" s="18">
        <f>COUNT(E621:Q621)</f>
        <v/>
      </c>
    </row>
    <row r="622">
      <c r="A622" s="13" t="inlineStr">
        <is>
          <t>40154172024365</t>
        </is>
      </c>
      <c r="B622" s="13" t="inlineStr">
        <is>
          <t>BRAZALETE T BONE GOLD</t>
        </is>
      </c>
      <c r="C622" s="13" t="inlineStr">
        <is>
          <t>Default Title</t>
        </is>
      </c>
      <c r="D622" s="14" t="inlineStr">
        <is>
          <t>Stainless Stee</t>
        </is>
      </c>
      <c r="E622" s="13" t="n"/>
      <c r="F622" s="13" t="n"/>
      <c r="G622" s="13" t="n"/>
      <c r="H622" s="13" t="n"/>
      <c r="I622" s="13" t="n"/>
      <c r="J622" s="13" t="n"/>
      <c r="K622" s="15" t="n">
        <v>35</v>
      </c>
      <c r="L622" s="13" t="n"/>
      <c r="M622" s="13" t="n"/>
      <c r="N622" s="13" t="n"/>
      <c r="O622" s="13" t="n"/>
      <c r="P622" s="13" t="n"/>
      <c r="Q622" s="15" t="n">
        <v>35</v>
      </c>
      <c r="R622" s="16">
        <f>IF(COUNT(E622:Q622)=0,"",MIN(E622:Q622))</f>
        <v/>
      </c>
      <c r="S622" s="15">
        <f>IF(COUNT(E622:Q622)=0,"",LOOKUP(2,1/(E622:Q622&lt;&gt;""),E622:Q622))</f>
        <v/>
      </c>
      <c r="T622" s="17">
        <f>IF(R622="","",ROUND(R622*RESUMEN!$B$4,0))</f>
        <v/>
      </c>
      <c r="U622" s="18">
        <f>COUNT(E622:Q622)</f>
        <v/>
      </c>
    </row>
    <row r="623">
      <c r="A623" s="13" t="inlineStr">
        <is>
          <t>40154172246477</t>
        </is>
      </c>
      <c r="B623" s="13" t="inlineStr">
        <is>
          <t>BRAZALETE T BONE SILVER</t>
        </is>
      </c>
      <c r="C623" s="13" t="inlineStr">
        <is>
          <t>Default Title</t>
        </is>
      </c>
      <c r="D623" s="14" t="inlineStr"/>
      <c r="E623" s="13" t="n"/>
      <c r="F623" s="13" t="n"/>
      <c r="G623" s="13" t="n"/>
      <c r="H623" s="13" t="n"/>
      <c r="I623" s="13" t="n"/>
      <c r="J623" s="13" t="n"/>
      <c r="K623" s="15" t="n">
        <v>35</v>
      </c>
      <c r="L623" s="13" t="n"/>
      <c r="M623" s="13" t="n"/>
      <c r="N623" s="13" t="n"/>
      <c r="O623" s="13" t="n"/>
      <c r="P623" s="13" t="n"/>
      <c r="Q623" s="13" t="n"/>
      <c r="R623" s="16">
        <f>IF(COUNT(E623:Q623)=0,"",MIN(E623:Q623))</f>
        <v/>
      </c>
      <c r="S623" s="15">
        <f>IF(COUNT(E623:Q623)=0,"",LOOKUP(2,1/(E623:Q623&lt;&gt;""),E623:Q623))</f>
        <v/>
      </c>
      <c r="T623" s="17">
        <f>IF(R623="","",ROUND(R623*RESUMEN!$B$4,0))</f>
        <v/>
      </c>
      <c r="U623" s="18">
        <f>COUNT(E623:Q623)</f>
        <v/>
      </c>
    </row>
    <row r="624">
      <c r="A624" s="13" t="inlineStr">
        <is>
          <t>40154172563437</t>
        </is>
      </c>
      <c r="B624" s="13" t="inlineStr">
        <is>
          <t>BRAZALETE T DOBLE PALOMA GOLD</t>
        </is>
      </c>
      <c r="C624" s="13" t="inlineStr">
        <is>
          <t>Default Title</t>
        </is>
      </c>
      <c r="D624" s="14" t="inlineStr"/>
      <c r="E624" s="13" t="n"/>
      <c r="F624" s="13" t="n"/>
      <c r="G624" s="13" t="n"/>
      <c r="H624" s="13" t="n"/>
      <c r="I624" s="13" t="n"/>
      <c r="J624" s="13" t="n"/>
      <c r="K624" s="15" t="n">
        <v>8</v>
      </c>
      <c r="L624" s="13" t="n"/>
      <c r="M624" s="13" t="n"/>
      <c r="N624" s="13" t="n"/>
      <c r="O624" s="13" t="n"/>
      <c r="P624" s="13" t="n"/>
      <c r="Q624" s="13" t="n"/>
      <c r="R624" s="16">
        <f>IF(COUNT(E624:Q624)=0,"",MIN(E624:Q624))</f>
        <v/>
      </c>
      <c r="S624" s="15">
        <f>IF(COUNT(E624:Q624)=0,"",LOOKUP(2,1/(E624:Q624&lt;&gt;""),E624:Q624))</f>
        <v/>
      </c>
      <c r="T624" s="17">
        <f>IF(R624="","",ROUND(R624*RESUMEN!$B$4,0))</f>
        <v/>
      </c>
      <c r="U624" s="18">
        <f>COUNT(E624:Q624)</f>
        <v/>
      </c>
    </row>
    <row r="625">
      <c r="A625" s="13" t="inlineStr">
        <is>
          <t>40154172394509</t>
        </is>
      </c>
      <c r="B625" s="13" t="inlineStr">
        <is>
          <t>BRAZALETE T DOBLE PALOMA SILVER</t>
        </is>
      </c>
      <c r="C625" s="13" t="inlineStr">
        <is>
          <t>Default Title</t>
        </is>
      </c>
      <c r="D625" s="14" t="inlineStr"/>
      <c r="E625" s="13" t="n"/>
      <c r="F625" s="13" t="n"/>
      <c r="G625" s="13" t="n"/>
      <c r="H625" s="13" t="n"/>
      <c r="I625" s="13" t="n"/>
      <c r="J625" s="13" t="n"/>
      <c r="K625" s="15" t="n">
        <v>8</v>
      </c>
      <c r="L625" s="13" t="n"/>
      <c r="M625" s="13" t="n"/>
      <c r="N625" s="13" t="n"/>
      <c r="O625" s="13" t="n"/>
      <c r="P625" s="13" t="n"/>
      <c r="Q625" s="13" t="n"/>
      <c r="R625" s="16">
        <f>IF(COUNT(E625:Q625)=0,"",MIN(E625:Q625))</f>
        <v/>
      </c>
      <c r="S625" s="15">
        <f>IF(COUNT(E625:Q625)=0,"",LOOKUP(2,1/(E625:Q625&lt;&gt;""),E625:Q625))</f>
        <v/>
      </c>
      <c r="T625" s="17">
        <f>IF(R625="","",ROUND(R625*RESUMEN!$B$4,0))</f>
        <v/>
      </c>
      <c r="U625" s="18">
        <f>COUNT(E625:Q625)</f>
        <v/>
      </c>
    </row>
    <row r="626">
      <c r="A626" s="13" t="inlineStr">
        <is>
          <t>40154171267789</t>
        </is>
      </c>
      <c r="B626" s="13" t="inlineStr">
        <is>
          <t>BRAZALETE T ELSA PERETTI GOLD</t>
        </is>
      </c>
      <c r="C626" s="13" t="inlineStr">
        <is>
          <t>Default Title</t>
        </is>
      </c>
      <c r="D626" s="14" t="inlineStr">
        <is>
          <t>Copper alloy</t>
        </is>
      </c>
      <c r="E626" s="13" t="n"/>
      <c r="F626" s="13" t="n"/>
      <c r="G626" s="13" t="n"/>
      <c r="H626" s="13" t="n"/>
      <c r="I626" s="13" t="n"/>
      <c r="J626" s="13" t="n"/>
      <c r="K626" s="15" t="n">
        <v>7.5</v>
      </c>
      <c r="L626" s="13" t="n"/>
      <c r="M626" s="13" t="n"/>
      <c r="N626" s="15" t="n">
        <v>7.5</v>
      </c>
      <c r="O626" s="13" t="n"/>
      <c r="P626" s="13" t="n"/>
      <c r="Q626" s="13" t="n"/>
      <c r="R626" s="16">
        <f>IF(COUNT(E626:Q626)=0,"",MIN(E626:Q626))</f>
        <v/>
      </c>
      <c r="S626" s="15">
        <f>IF(COUNT(E626:Q626)=0,"",LOOKUP(2,1/(E626:Q626&lt;&gt;""),E626:Q626))</f>
        <v/>
      </c>
      <c r="T626" s="17">
        <f>IF(R626="","",ROUND(R626*RESUMEN!$B$4,0))</f>
        <v/>
      </c>
      <c r="U626" s="18">
        <f>COUNT(E626:Q626)</f>
        <v/>
      </c>
    </row>
    <row r="627">
      <c r="A627" s="13" t="inlineStr">
        <is>
          <t>40154171763309</t>
        </is>
      </c>
      <c r="B627" s="13" t="inlineStr">
        <is>
          <t>BRAZALETE T ELSA PERETTI SILVER</t>
        </is>
      </c>
      <c r="C627" s="13" t="inlineStr">
        <is>
          <t>Default Title</t>
        </is>
      </c>
      <c r="D627" s="14" t="inlineStr"/>
      <c r="E627" s="13" t="n"/>
      <c r="F627" s="13" t="n"/>
      <c r="G627" s="13" t="n"/>
      <c r="H627" s="13" t="n"/>
      <c r="I627" s="13" t="n"/>
      <c r="J627" s="13" t="n"/>
      <c r="K627" s="15" t="n">
        <v>6</v>
      </c>
      <c r="L627" s="13" t="n"/>
      <c r="M627" s="13" t="n"/>
      <c r="N627" s="13" t="n"/>
      <c r="O627" s="13" t="n"/>
      <c r="P627" s="13" t="n"/>
      <c r="Q627" s="13" t="n"/>
      <c r="R627" s="16">
        <f>IF(COUNT(E627:Q627)=0,"",MIN(E627:Q627))</f>
        <v/>
      </c>
      <c r="S627" s="15">
        <f>IF(COUNT(E627:Q627)=0,"",LOOKUP(2,1/(E627:Q627&lt;&gt;""),E627:Q627))</f>
        <v/>
      </c>
      <c r="T627" s="17">
        <f>IF(R627="","",ROUND(R627*RESUMEN!$B$4,0))</f>
        <v/>
      </c>
      <c r="U627" s="18">
        <f>COUNT(E627:Q627)</f>
        <v/>
      </c>
    </row>
    <row r="628">
      <c r="A628" s="13" t="inlineStr">
        <is>
          <t>40154172105165</t>
        </is>
      </c>
      <c r="B628" s="13" t="inlineStr">
        <is>
          <t>BRAZALETE T ESLABONES PEARL</t>
        </is>
      </c>
      <c r="C628" s="13" t="inlineStr">
        <is>
          <t>Default Title</t>
        </is>
      </c>
      <c r="D628" s="14" t="inlineStr">
        <is>
          <t>Copper alloy</t>
        </is>
      </c>
      <c r="E628" s="13" t="n"/>
      <c r="F628" s="13" t="n"/>
      <c r="G628" s="13" t="n"/>
      <c r="H628" s="13" t="n"/>
      <c r="I628" s="13" t="n"/>
      <c r="J628" s="13" t="n"/>
      <c r="K628" s="15" t="n">
        <v>1</v>
      </c>
      <c r="L628" s="13" t="n"/>
      <c r="M628" s="13" t="n"/>
      <c r="N628" s="15" t="n">
        <v>3</v>
      </c>
      <c r="O628" s="15" t="n">
        <v>10</v>
      </c>
      <c r="P628" s="13" t="n"/>
      <c r="Q628" s="13" t="n"/>
      <c r="R628" s="16">
        <f>IF(COUNT(E628:Q628)=0,"",MIN(E628:Q628))</f>
        <v/>
      </c>
      <c r="S628" s="15">
        <f>IF(COUNT(E628:Q628)=0,"",LOOKUP(2,1/(E628:Q628&lt;&gt;""),E628:Q628))</f>
        <v/>
      </c>
      <c r="T628" s="17">
        <f>IF(R628="","",ROUND(R628*RESUMEN!$B$4,0))</f>
        <v/>
      </c>
      <c r="U628" s="18">
        <f>COUNT(E628:Q628)</f>
        <v/>
      </c>
    </row>
    <row r="629">
      <c r="A629" s="13" t="inlineStr">
        <is>
          <t>40154171379661</t>
        </is>
      </c>
      <c r="B629" s="13" t="inlineStr">
        <is>
          <t>BRAZALETE T MULTIPLES PLACAS</t>
        </is>
      </c>
      <c r="C629" s="13" t="inlineStr">
        <is>
          <t>Default Title</t>
        </is>
      </c>
      <c r="D629" s="14" t="inlineStr">
        <is>
          <t>Stainless Stee</t>
        </is>
      </c>
      <c r="E629" s="13" t="n"/>
      <c r="F629" s="13" t="n"/>
      <c r="G629" s="13" t="n"/>
      <c r="H629" s="13" t="n"/>
      <c r="I629" s="13" t="n"/>
      <c r="J629" s="13" t="n"/>
      <c r="K629" s="15" t="n">
        <v>12</v>
      </c>
      <c r="L629" s="13" t="n"/>
      <c r="M629" s="13" t="n"/>
      <c r="N629" s="13" t="n"/>
      <c r="O629" s="15" t="n">
        <v>12</v>
      </c>
      <c r="P629" s="13" t="n"/>
      <c r="Q629" s="13" t="n"/>
      <c r="R629" s="16">
        <f>IF(COUNT(E629:Q629)=0,"",MIN(E629:Q629))</f>
        <v/>
      </c>
      <c r="S629" s="15">
        <f>IF(COUNT(E629:Q629)=0,"",LOOKUP(2,1/(E629:Q629&lt;&gt;""),E629:Q629))</f>
        <v/>
      </c>
      <c r="T629" s="17">
        <f>IF(R629="","",ROUND(R629*RESUMEN!$B$4,0))</f>
        <v/>
      </c>
      <c r="U629" s="18">
        <f>COUNT(E629:Q629)</f>
        <v/>
      </c>
    </row>
    <row r="630">
      <c r="A630" s="13" t="inlineStr">
        <is>
          <t>40154172453261</t>
        </is>
      </c>
      <c r="B630" s="13" t="inlineStr">
        <is>
          <t>BRAZALETE T PALOMA SILVER</t>
        </is>
      </c>
      <c r="C630" s="13" t="inlineStr">
        <is>
          <t>Default Title</t>
        </is>
      </c>
      <c r="D630" s="14" t="inlineStr"/>
      <c r="E630" s="13" t="n"/>
      <c r="F630" s="13" t="n"/>
      <c r="G630" s="13" t="n"/>
      <c r="H630" s="13" t="n"/>
      <c r="I630" s="13" t="n"/>
      <c r="J630" s="13" t="n"/>
      <c r="K630" s="15" t="n">
        <v>7</v>
      </c>
      <c r="L630" s="13" t="n"/>
      <c r="M630" s="13" t="n"/>
      <c r="N630" s="13" t="n"/>
      <c r="O630" s="13" t="n"/>
      <c r="P630" s="13" t="n"/>
      <c r="Q630" s="13" t="n"/>
      <c r="R630" s="16">
        <f>IF(COUNT(E630:Q630)=0,"",MIN(E630:Q630))</f>
        <v/>
      </c>
      <c r="S630" s="15">
        <f>IF(COUNT(E630:Q630)=0,"",LOOKUP(2,1/(E630:Q630&lt;&gt;""),E630:Q630))</f>
        <v/>
      </c>
      <c r="T630" s="17">
        <f>IF(R630="","",ROUND(R630*RESUMEN!$B$4,0))</f>
        <v/>
      </c>
      <c r="U630" s="18">
        <f>COUNT(E630:Q630)</f>
        <v/>
      </c>
    </row>
    <row r="631">
      <c r="A631" s="13" t="inlineStr">
        <is>
          <t>86347033456237</t>
        </is>
      </c>
      <c r="B631" s="13" t="inlineStr">
        <is>
          <t>BRAZALETE TITAN GOLD ZIRCONIAS</t>
        </is>
      </c>
      <c r="C631" s="13" t="inlineStr">
        <is>
          <t>Default Title</t>
        </is>
      </c>
      <c r="D631" s="14" t="inlineStr">
        <is>
          <t>Copper alloy</t>
        </is>
      </c>
      <c r="E631" s="13" t="n"/>
      <c r="F631" s="13" t="n"/>
      <c r="G631" s="15" t="n">
        <v>10</v>
      </c>
      <c r="H631" s="13" t="n"/>
      <c r="I631" s="13" t="n"/>
      <c r="J631" s="15" t="n">
        <v>10</v>
      </c>
      <c r="K631" s="13" t="n"/>
      <c r="L631" s="15" t="n">
        <v>10</v>
      </c>
      <c r="M631" s="15" t="n">
        <v>10</v>
      </c>
      <c r="N631" s="13" t="n"/>
      <c r="O631" s="15" t="n">
        <v>10</v>
      </c>
      <c r="P631" s="13" t="n"/>
      <c r="Q631" s="13" t="n"/>
      <c r="R631" s="16">
        <f>IF(COUNT(E631:Q631)=0,"",MIN(E631:Q631))</f>
        <v/>
      </c>
      <c r="S631" s="15">
        <f>IF(COUNT(E631:Q631)=0,"",LOOKUP(2,1/(E631:Q631&lt;&gt;""),E631:Q631))</f>
        <v/>
      </c>
      <c r="T631" s="17">
        <f>IF(R631="","",ROUND(R631*RESUMEN!$B$4,0))</f>
        <v/>
      </c>
      <c r="U631" s="18">
        <f>COUNT(E631:Q631)</f>
        <v/>
      </c>
    </row>
    <row r="632">
      <c r="A632" s="13" t="inlineStr">
        <is>
          <t>89246881412397</t>
        </is>
      </c>
      <c r="B632" s="13" t="inlineStr">
        <is>
          <t>BROCHE CD GOLD</t>
        </is>
      </c>
      <c r="C632" s="13" t="inlineStr">
        <is>
          <t>Default Title</t>
        </is>
      </c>
      <c r="D632" s="14" t="inlineStr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5" t="n">
        <v>4.5</v>
      </c>
      <c r="O632" s="13" t="n"/>
      <c r="P632" s="13" t="n"/>
      <c r="Q632" s="13" t="n"/>
      <c r="R632" s="16">
        <f>IF(COUNT(E632:Q632)=0,"",MIN(E632:Q632))</f>
        <v/>
      </c>
      <c r="S632" s="15">
        <f>IF(COUNT(E632:Q632)=0,"",LOOKUP(2,1/(E632:Q632&lt;&gt;""),E632:Q632))</f>
        <v/>
      </c>
      <c r="T632" s="17">
        <f>IF(R632="","",ROUND(R632*RESUMEN!$B$4,0))</f>
        <v/>
      </c>
      <c r="U632" s="18">
        <f>COUNT(E632:Q632)</f>
        <v/>
      </c>
    </row>
    <row r="633">
      <c r="A633" s="13" t="inlineStr">
        <is>
          <t>89246881583021</t>
        </is>
      </c>
      <c r="B633" s="13" t="inlineStr">
        <is>
          <t>BROCHE CD GOLD ZIRCONIAS PEARL</t>
        </is>
      </c>
      <c r="C633" s="13" t="inlineStr">
        <is>
          <t>Default Title</t>
        </is>
      </c>
      <c r="D633" s="14" t="inlineStr">
        <is>
          <t>Copper alloy</t>
        </is>
      </c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5" t="n">
        <v>6</v>
      </c>
      <c r="O633" s="13" t="n"/>
      <c r="P633" s="13" t="n"/>
      <c r="Q633" s="15" t="n">
        <v>6</v>
      </c>
      <c r="R633" s="16">
        <f>IF(COUNT(E633:Q633)=0,"",MIN(E633:Q633))</f>
        <v/>
      </c>
      <c r="S633" s="15">
        <f>IF(COUNT(E633:Q633)=0,"",LOOKUP(2,1/(E633:Q633&lt;&gt;""),E633:Q633))</f>
        <v/>
      </c>
      <c r="T633" s="17">
        <f>IF(R633="","",ROUND(R633*RESUMEN!$B$4,0))</f>
        <v/>
      </c>
      <c r="U633" s="18">
        <f>COUNT(E633:Q633)</f>
        <v/>
      </c>
    </row>
    <row r="634">
      <c r="A634" s="13" t="inlineStr">
        <is>
          <t>29736661629069</t>
        </is>
      </c>
      <c r="B634" s="13" t="inlineStr">
        <is>
          <t>BROCHE CD PETIT PEARL GOLD</t>
        </is>
      </c>
      <c r="C634" s="13" t="inlineStr">
        <is>
          <t>Default Title</t>
        </is>
      </c>
      <c r="D634" s="14" t="inlineStr"/>
      <c r="E634" s="13" t="n"/>
      <c r="F634" s="13" t="n"/>
      <c r="G634" s="13" t="n"/>
      <c r="H634" s="13" t="n"/>
      <c r="I634" s="13" t="n"/>
      <c r="J634" s="13" t="n"/>
      <c r="K634" s="15" t="n">
        <v>6</v>
      </c>
      <c r="L634" s="13" t="n"/>
      <c r="M634" s="13" t="n"/>
      <c r="N634" s="13" t="n"/>
      <c r="O634" s="13" t="n"/>
      <c r="P634" s="13" t="n"/>
      <c r="Q634" s="13" t="n"/>
      <c r="R634" s="16">
        <f>IF(COUNT(E634:Q634)=0,"",MIN(E634:Q634))</f>
        <v/>
      </c>
      <c r="S634" s="15">
        <f>IF(COUNT(E634:Q634)=0,"",LOOKUP(2,1/(E634:Q634&lt;&gt;""),E634:Q634))</f>
        <v/>
      </c>
      <c r="T634" s="17">
        <f>IF(R634="","",ROUND(R634*RESUMEN!$B$4,0))</f>
        <v/>
      </c>
      <c r="U634" s="18">
        <f>COUNT(E634:Q634)</f>
        <v/>
      </c>
    </row>
    <row r="635">
      <c r="A635" s="13" t="inlineStr">
        <is>
          <t>13798161017037</t>
        </is>
      </c>
      <c r="B635" s="13" t="inlineStr">
        <is>
          <t>CADENA H GOLD</t>
        </is>
      </c>
      <c r="C635" s="13" t="inlineStr">
        <is>
          <t>Default Title</t>
        </is>
      </c>
      <c r="D635" s="14" t="inlineStr">
        <is>
          <t>Copper Alloy</t>
        </is>
      </c>
      <c r="E635" s="13" t="n"/>
      <c r="F635" s="15" t="n">
        <v>12.99</v>
      </c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5" t="n">
        <v>12.99</v>
      </c>
      <c r="Q635" s="13" t="n"/>
      <c r="R635" s="16">
        <f>IF(COUNT(E635:Q635)=0,"",MIN(E635:Q635))</f>
        <v/>
      </c>
      <c r="S635" s="15">
        <f>IF(COUNT(E635:Q635)=0,"",LOOKUP(2,1/(E635:Q635&lt;&gt;""),E635:Q635))</f>
        <v/>
      </c>
      <c r="T635" s="17">
        <f>IF(R635="","",ROUND(R635*RESUMEN!$B$4,0))</f>
        <v/>
      </c>
      <c r="U635" s="18">
        <f>COUNT(E635:Q635)</f>
        <v/>
      </c>
    </row>
    <row r="636">
      <c r="A636" s="13" t="inlineStr">
        <is>
          <t>22649971041005</t>
        </is>
      </c>
      <c r="B636" s="13" t="inlineStr">
        <is>
          <t>CADENA H SILVER</t>
        </is>
      </c>
      <c r="C636" s="13" t="inlineStr">
        <is>
          <t>Default Title</t>
        </is>
      </c>
      <c r="D636" s="14" t="inlineStr">
        <is>
          <t>Copper Alloy</t>
        </is>
      </c>
      <c r="E636" s="13" t="n"/>
      <c r="F636" s="15" t="n">
        <v>12.99</v>
      </c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5" t="n">
        <v>12.99</v>
      </c>
      <c r="Q636" s="13" t="n"/>
      <c r="R636" s="16">
        <f>IF(COUNT(E636:Q636)=0,"",MIN(E636:Q636))</f>
        <v/>
      </c>
      <c r="S636" s="15">
        <f>IF(COUNT(E636:Q636)=0,"",LOOKUP(2,1/(E636:Q636&lt;&gt;""),E636:Q636))</f>
        <v/>
      </c>
      <c r="T636" s="17">
        <f>IF(R636="","",ROUND(R636*RESUMEN!$B$4,0))</f>
        <v/>
      </c>
      <c r="U636" s="18">
        <f>COUNT(E636:Q636)</f>
        <v/>
      </c>
    </row>
    <row r="637">
      <c r="A637" s="13" t="inlineStr">
        <is>
          <t>15104851060781</t>
        </is>
      </c>
      <c r="B637" s="13" t="inlineStr">
        <is>
          <t>COLLAR ALHAMBRA GOLD</t>
        </is>
      </c>
      <c r="C637" s="13" t="inlineStr">
        <is>
          <t>Default Title</t>
        </is>
      </c>
      <c r="D637" s="14" t="inlineStr">
        <is>
          <t>Copper alloy</t>
        </is>
      </c>
      <c r="E637" s="13" t="n"/>
      <c r="F637" s="13" t="n"/>
      <c r="G637" s="13" t="n"/>
      <c r="H637" s="13" t="n"/>
      <c r="I637" s="13" t="n"/>
      <c r="J637" s="13" t="n"/>
      <c r="K637" s="15" t="n">
        <v>5</v>
      </c>
      <c r="L637" s="13" t="n"/>
      <c r="M637" s="13" t="n"/>
      <c r="N637" s="13" t="n"/>
      <c r="O637" s="13" t="n"/>
      <c r="P637" s="13" t="n"/>
      <c r="Q637" s="15" t="n">
        <v>5</v>
      </c>
      <c r="R637" s="16">
        <f>IF(COUNT(E637:Q637)=0,"",MIN(E637:Q637))</f>
        <v/>
      </c>
      <c r="S637" s="15">
        <f>IF(COUNT(E637:Q637)=0,"",LOOKUP(2,1/(E637:Q637&lt;&gt;""),E637:Q637))</f>
        <v/>
      </c>
      <c r="T637" s="17">
        <f>IF(R637="","",ROUND(R637*RESUMEN!$B$4,0))</f>
        <v/>
      </c>
      <c r="U637" s="18">
        <f>COUNT(E637:Q637)</f>
        <v/>
      </c>
    </row>
    <row r="638">
      <c r="A638" s="13" t="inlineStr">
        <is>
          <t>63e0bdd7637c5</t>
        </is>
      </c>
      <c r="B638" s="13" t="inlineStr">
        <is>
          <t>COLLAR ARO LOVE GOLD</t>
        </is>
      </c>
      <c r="C638" s="13" t="inlineStr">
        <is>
          <t>42cm</t>
        </is>
      </c>
      <c r="D638" s="14" t="inlineStr">
        <is>
          <t>Stainless Stee</t>
        </is>
      </c>
      <c r="E638" s="13" t="n"/>
      <c r="F638" s="13" t="n"/>
      <c r="G638" s="13" t="n"/>
      <c r="H638" s="13" t="n"/>
      <c r="I638" s="15" t="n">
        <v>5</v>
      </c>
      <c r="J638" s="15" t="n">
        <v>4.7</v>
      </c>
      <c r="K638" s="13" t="n"/>
      <c r="L638" s="15" t="n">
        <v>4.7</v>
      </c>
      <c r="M638" s="13" t="n"/>
      <c r="N638" s="13" t="n"/>
      <c r="O638" s="15" t="n">
        <v>4.7</v>
      </c>
      <c r="P638" s="15" t="n">
        <v>4.7</v>
      </c>
      <c r="Q638" s="13" t="n"/>
      <c r="R638" s="16">
        <f>IF(COUNT(E638:Q638)=0,"",MIN(E638:Q638))</f>
        <v/>
      </c>
      <c r="S638" s="15">
        <f>IF(COUNT(E638:Q638)=0,"",LOOKUP(2,1/(E638:Q638&lt;&gt;""),E638:Q638))</f>
        <v/>
      </c>
      <c r="T638" s="17">
        <f>IF(R638="","",ROUND(R638*RESUMEN!$B$4,0))</f>
        <v/>
      </c>
      <c r="U638" s="18">
        <f>COUNT(E638:Q638)</f>
        <v/>
      </c>
    </row>
    <row r="639">
      <c r="A639" s="13" t="inlineStr">
        <is>
          <t>63e0bdd7a5137</t>
        </is>
      </c>
      <c r="B639" s="13" t="inlineStr">
        <is>
          <t>COLLAR ARO LOVE ROSE GOLD</t>
        </is>
      </c>
      <c r="C639" s="13" t="inlineStr">
        <is>
          <t>46cm</t>
        </is>
      </c>
      <c r="D639" s="14" t="inlineStr">
        <is>
          <t>Stainless stee</t>
        </is>
      </c>
      <c r="E639" s="13" t="n"/>
      <c r="F639" s="13" t="n"/>
      <c r="G639" s="13" t="n"/>
      <c r="H639" s="15" t="n">
        <v>5</v>
      </c>
      <c r="I639" s="13" t="n"/>
      <c r="J639" s="13" t="n"/>
      <c r="K639" s="13" t="n"/>
      <c r="L639" s="13" t="n"/>
      <c r="M639" s="13" t="n"/>
      <c r="N639" s="15" t="n">
        <v>5</v>
      </c>
      <c r="O639" s="13" t="n"/>
      <c r="P639" s="13" t="n"/>
      <c r="Q639" s="13" t="n"/>
      <c r="R639" s="16">
        <f>IF(COUNT(E639:Q639)=0,"",MIN(E639:Q639))</f>
        <v/>
      </c>
      <c r="S639" s="15">
        <f>IF(COUNT(E639:Q639)=0,"",LOOKUP(2,1/(E639:Q639&lt;&gt;""),E639:Q639))</f>
        <v/>
      </c>
      <c r="T639" s="17">
        <f>IF(R639="","",ROUND(R639*RESUMEN!$B$4,0))</f>
        <v/>
      </c>
      <c r="U639" s="18">
        <f>COUNT(E639:Q639)</f>
        <v/>
      </c>
    </row>
    <row r="640">
      <c r="A640" s="13" t="inlineStr">
        <is>
          <t>63e0bddac5dbe</t>
        </is>
      </c>
      <c r="B640" s="13" t="inlineStr">
        <is>
          <t>COLLAR ARO LOVE SILVER</t>
        </is>
      </c>
      <c r="C640" s="13" t="inlineStr">
        <is>
          <t>42cm</t>
        </is>
      </c>
      <c r="D640" s="14" t="inlineStr"/>
      <c r="E640" s="15" t="n">
        <v>4.7</v>
      </c>
      <c r="F640" s="13" t="n"/>
      <c r="G640" s="13" t="n"/>
      <c r="H640" s="13" t="n"/>
      <c r="I640" s="13" t="n"/>
      <c r="J640" s="15" t="n">
        <v>4.7</v>
      </c>
      <c r="K640" s="13" t="n"/>
      <c r="L640" s="13" t="n"/>
      <c r="M640" s="13" t="n"/>
      <c r="N640" s="13" t="n"/>
      <c r="O640" s="13" t="n"/>
      <c r="P640" s="13" t="n"/>
      <c r="Q640" s="13" t="n"/>
      <c r="R640" s="16">
        <f>IF(COUNT(E640:Q640)=0,"",MIN(E640:Q640))</f>
        <v/>
      </c>
      <c r="S640" s="15">
        <f>IF(COUNT(E640:Q640)=0,"",LOOKUP(2,1/(E640:Q640&lt;&gt;""),E640:Q640))</f>
        <v/>
      </c>
      <c r="T640" s="17">
        <f>IF(R640="","",ROUND(R640*RESUMEN!$B$4,0))</f>
        <v/>
      </c>
      <c r="U640" s="18">
        <f>COUNT(E640:Q640)</f>
        <v/>
      </c>
    </row>
    <row r="641">
      <c r="A641" s="13" t="inlineStr">
        <is>
          <t>673cd62fa988f</t>
        </is>
      </c>
      <c r="B641" s="13" t="inlineStr">
        <is>
          <t>COLLAR B zero SILVER CON ZIRCONIAS</t>
        </is>
      </c>
      <c r="C641" s="13" t="inlineStr">
        <is>
          <t>41cm de largo con 8cm de extensión</t>
        </is>
      </c>
      <c r="D641" s="14" t="inlineStr">
        <is>
          <t>Copper Alloy</t>
        </is>
      </c>
      <c r="E641" s="13" t="n"/>
      <c r="F641" s="15" t="n">
        <v>7</v>
      </c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5" t="n">
        <v>7</v>
      </c>
      <c r="P641" s="13" t="n"/>
      <c r="Q641" s="13" t="n"/>
      <c r="R641" s="16">
        <f>IF(COUNT(E641:Q641)=0,"",MIN(E641:Q641))</f>
        <v/>
      </c>
      <c r="S641" s="15">
        <f>IF(COUNT(E641:Q641)=0,"",LOOKUP(2,1/(E641:Q641&lt;&gt;""),E641:Q641))</f>
        <v/>
      </c>
      <c r="T641" s="17">
        <f>IF(R641="","",ROUND(R641*RESUMEN!$B$4,0))</f>
        <v/>
      </c>
      <c r="U641" s="18">
        <f>COUNT(E641:Q641)</f>
        <v/>
      </c>
    </row>
    <row r="642">
      <c r="A642" s="13" t="inlineStr">
        <is>
          <t>56481484584844</t>
        </is>
      </c>
      <c r="B642" s="13" t="inlineStr">
        <is>
          <t>COLLAR BEAN GOLD</t>
        </is>
      </c>
      <c r="C642" s="13" t="inlineStr">
        <is>
          <t>41cm con 5cm de extensión</t>
        </is>
      </c>
      <c r="D642" s="14" t="inlineStr">
        <is>
          <t>Copper alloy</t>
        </is>
      </c>
      <c r="E642" s="15" t="n">
        <v>6</v>
      </c>
      <c r="F642" s="15" t="n">
        <v>6</v>
      </c>
      <c r="G642" s="13" t="n"/>
      <c r="H642" s="15" t="n">
        <v>6</v>
      </c>
      <c r="I642" s="15" t="n">
        <v>6</v>
      </c>
      <c r="J642" s="13" t="n"/>
      <c r="K642" s="13" t="n"/>
      <c r="L642" s="15" t="n">
        <v>6</v>
      </c>
      <c r="M642" s="15" t="n">
        <v>6</v>
      </c>
      <c r="N642" s="13" t="n"/>
      <c r="O642" s="13" t="n"/>
      <c r="P642" s="13" t="n"/>
      <c r="Q642" s="13" t="n"/>
      <c r="R642" s="16">
        <f>IF(COUNT(E642:Q642)=0,"",MIN(E642:Q642))</f>
        <v/>
      </c>
      <c r="S642" s="15">
        <f>IF(COUNT(E642:Q642)=0,"",LOOKUP(2,1/(E642:Q642&lt;&gt;""),E642:Q642))</f>
        <v/>
      </c>
      <c r="T642" s="17">
        <f>IF(R642="","",ROUND(R642*RESUMEN!$B$4,0))</f>
        <v/>
      </c>
      <c r="U642" s="18">
        <f>COUNT(E642:Q642)</f>
        <v/>
      </c>
    </row>
    <row r="643">
      <c r="A643" s="13" t="inlineStr">
        <is>
          <t>56481482264076</t>
        </is>
      </c>
      <c r="B643" s="13" t="inlineStr">
        <is>
          <t>COLLAR BEAN SILVER</t>
        </is>
      </c>
      <c r="C643" s="13" t="inlineStr">
        <is>
          <t>41cm con 5cm de extensión</t>
        </is>
      </c>
      <c r="D643" s="14" t="inlineStr">
        <is>
          <t>Stainless Stee</t>
        </is>
      </c>
      <c r="E643" s="13" t="n"/>
      <c r="F643" s="15" t="n">
        <v>6</v>
      </c>
      <c r="G643" s="13" t="n"/>
      <c r="H643" s="15" t="n">
        <v>6</v>
      </c>
      <c r="I643" s="15" t="n">
        <v>6</v>
      </c>
      <c r="J643" s="13" t="n"/>
      <c r="K643" s="13" t="n"/>
      <c r="L643" s="15" t="n">
        <v>6</v>
      </c>
      <c r="M643" s="13" t="n"/>
      <c r="N643" s="13" t="n"/>
      <c r="O643" s="13" t="n"/>
      <c r="P643" s="15" t="n">
        <v>6</v>
      </c>
      <c r="Q643" s="13" t="n"/>
      <c r="R643" s="16">
        <f>IF(COUNT(E643:Q643)=0,"",MIN(E643:Q643))</f>
        <v/>
      </c>
      <c r="S643" s="15">
        <f>IF(COUNT(E643:Q643)=0,"",LOOKUP(2,1/(E643:Q643&lt;&gt;""),E643:Q643))</f>
        <v/>
      </c>
      <c r="T643" s="17">
        <f>IF(R643="","",ROUND(R643*RESUMEN!$B$4,0))</f>
        <v/>
      </c>
      <c r="U643" s="18">
        <f>COUNT(E643:Q643)</f>
        <v/>
      </c>
    </row>
    <row r="644">
      <c r="A644" s="13" t="inlineStr">
        <is>
          <t>6478f28defde2</t>
        </is>
      </c>
      <c r="B644" s="13" t="inlineStr">
        <is>
          <t>COLLAR BV BICOLOR ROSEGOLD</t>
        </is>
      </c>
      <c r="C644" s="13" t="inlineStr">
        <is>
          <t>39cm con 8cm de extensi√≥n</t>
        </is>
      </c>
      <c r="D644" s="14" t="inlineStr"/>
      <c r="E644" s="13" t="n"/>
      <c r="F644" s="13" t="n"/>
      <c r="G644" s="13" t="n"/>
      <c r="H644" s="13" t="n"/>
      <c r="I644" s="13" t="n"/>
      <c r="J644" s="15" t="n">
        <v>6.5</v>
      </c>
      <c r="K644" s="13" t="n"/>
      <c r="L644" s="13" t="n"/>
      <c r="M644" s="13" t="n"/>
      <c r="N644" s="13" t="n"/>
      <c r="O644" s="13" t="n"/>
      <c r="P644" s="13" t="n"/>
      <c r="Q644" s="13" t="n"/>
      <c r="R644" s="16">
        <f>IF(COUNT(E644:Q644)=0,"",MIN(E644:Q644))</f>
        <v/>
      </c>
      <c r="S644" s="15">
        <f>IF(COUNT(E644:Q644)=0,"",LOOKUP(2,1/(E644:Q644&lt;&gt;""),E644:Q644))</f>
        <v/>
      </c>
      <c r="T644" s="17">
        <f>IF(R644="","",ROUND(R644*RESUMEN!$B$4,0))</f>
        <v/>
      </c>
      <c r="U644" s="18">
        <f>COUNT(E644:Q644)</f>
        <v/>
      </c>
    </row>
    <row r="645">
      <c r="A645" s="13" t="inlineStr">
        <is>
          <t>643ec108c3efe</t>
        </is>
      </c>
      <c r="B645" s="13" t="inlineStr">
        <is>
          <t>COLLAR BV GOLD</t>
        </is>
      </c>
      <c r="C645" s="13" t="inlineStr">
        <is>
          <t>Largo de cadena total 40cm  Extensión 8 cm  Dije 1 cm</t>
        </is>
      </c>
      <c r="D645" s="14" t="inlineStr">
        <is>
          <t>Stainless stee</t>
        </is>
      </c>
      <c r="E645" s="13" t="n"/>
      <c r="F645" s="13" t="n"/>
      <c r="G645" s="13" t="n"/>
      <c r="H645" s="15" t="n">
        <v>3.99</v>
      </c>
      <c r="I645" s="15" t="n">
        <v>5</v>
      </c>
      <c r="J645" s="15" t="n">
        <v>3.99</v>
      </c>
      <c r="K645" s="13" t="n"/>
      <c r="L645" s="15" t="n">
        <v>3.99</v>
      </c>
      <c r="M645" s="13" t="n"/>
      <c r="N645" s="15" t="n">
        <v>3.99</v>
      </c>
      <c r="O645" s="13" t="n"/>
      <c r="P645" s="13" t="n"/>
      <c r="Q645" s="13" t="n"/>
      <c r="R645" s="16">
        <f>IF(COUNT(E645:Q645)=0,"",MIN(E645:Q645))</f>
        <v/>
      </c>
      <c r="S645" s="15">
        <f>IF(COUNT(E645:Q645)=0,"",LOOKUP(2,1/(E645:Q645&lt;&gt;""),E645:Q645))</f>
        <v/>
      </c>
      <c r="T645" s="17">
        <f>IF(R645="","",ROUND(R645*RESUMEN!$B$4,0))</f>
        <v/>
      </c>
      <c r="U645" s="18">
        <f>COUNT(E645:Q645)</f>
        <v/>
      </c>
    </row>
    <row r="646">
      <c r="A646" s="13" t="inlineStr">
        <is>
          <t>91078752962381</t>
        </is>
      </c>
      <c r="B646" s="13" t="inlineStr">
        <is>
          <t>COLLAR BV GOLD PEAKS CON ZIRCONIA ALREDEDOR</t>
        </is>
      </c>
      <c r="C646" s="13" t="inlineStr">
        <is>
          <t>Default Title</t>
        </is>
      </c>
      <c r="D646" s="14" t="inlineStr">
        <is>
          <t>Stainless stee</t>
        </is>
      </c>
      <c r="E646" s="13" t="n"/>
      <c r="F646" s="13" t="n"/>
      <c r="G646" s="15" t="n">
        <v>8</v>
      </c>
      <c r="H646" s="13" t="n"/>
      <c r="I646" s="13" t="n"/>
      <c r="J646" s="13" t="n"/>
      <c r="K646" s="13" t="n"/>
      <c r="L646" s="15" t="n">
        <v>8</v>
      </c>
      <c r="M646" s="13" t="n"/>
      <c r="N646" s="15" t="n">
        <v>8</v>
      </c>
      <c r="O646" s="13" t="n"/>
      <c r="P646" s="13" t="n"/>
      <c r="Q646" s="13" t="n"/>
      <c r="R646" s="16">
        <f>IF(COUNT(E646:Q646)=0,"",MIN(E646:Q646))</f>
        <v/>
      </c>
      <c r="S646" s="15">
        <f>IF(COUNT(E646:Q646)=0,"",LOOKUP(2,1/(E646:Q646&lt;&gt;""),E646:Q646))</f>
        <v/>
      </c>
      <c r="T646" s="17">
        <f>IF(R646="","",ROUND(R646*RESUMEN!$B$4,0))</f>
        <v/>
      </c>
      <c r="U646" s="18">
        <f>COUNT(E646:Q646)</f>
        <v/>
      </c>
    </row>
    <row r="647">
      <c r="A647" s="13" t="inlineStr">
        <is>
          <t>89790741679565</t>
        </is>
      </c>
      <c r="B647" s="13" t="inlineStr">
        <is>
          <t>COLLAR BV GOLD PEARL ZIRCONIA</t>
        </is>
      </c>
      <c r="C647" s="13" t="inlineStr">
        <is>
          <t>Default Title</t>
        </is>
      </c>
      <c r="D647" s="14" t="inlineStr">
        <is>
          <t>Stainless Stee</t>
        </is>
      </c>
      <c r="E647" s="13" t="n"/>
      <c r="F647" s="15" t="n">
        <v>7</v>
      </c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5" t="n">
        <v>7</v>
      </c>
      <c r="Q647" s="13" t="n"/>
      <c r="R647" s="16">
        <f>IF(COUNT(E647:Q647)=0,"",MIN(E647:Q647))</f>
        <v/>
      </c>
      <c r="S647" s="15">
        <f>IF(COUNT(E647:Q647)=0,"",LOOKUP(2,1/(E647:Q647&lt;&gt;""),E647:Q647))</f>
        <v/>
      </c>
      <c r="T647" s="17">
        <f>IF(R647="","",ROUND(R647*RESUMEN!$B$4,0))</f>
        <v/>
      </c>
      <c r="U647" s="18">
        <f>COUNT(E647:Q647)</f>
        <v/>
      </c>
    </row>
    <row r="648">
      <c r="A648" s="13" t="inlineStr">
        <is>
          <t>59109721807789</t>
        </is>
      </c>
      <c r="B648" s="13" t="inlineStr">
        <is>
          <t>COLLAR BV PARENTESI SILVER</t>
        </is>
      </c>
      <c r="C648" s="13" t="inlineStr">
        <is>
          <t>Default Title</t>
        </is>
      </c>
      <c r="D648" s="14" t="inlineStr">
        <is>
          <t>copper alloy</t>
        </is>
      </c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5" t="n">
        <v>8.5</v>
      </c>
      <c r="Q648" s="13" t="n"/>
      <c r="R648" s="16">
        <f>IF(COUNT(E648:Q648)=0,"",MIN(E648:Q648))</f>
        <v/>
      </c>
      <c r="S648" s="15">
        <f>IF(COUNT(E648:Q648)=0,"",LOOKUP(2,1/(E648:Q648&lt;&gt;""),E648:Q648))</f>
        <v/>
      </c>
      <c r="T648" s="17">
        <f>IF(R648="","",ROUND(R648*RESUMEN!$B$4,0))</f>
        <v/>
      </c>
      <c r="U648" s="18">
        <f>COUNT(E648:Q648)</f>
        <v/>
      </c>
    </row>
    <row r="649">
      <c r="A649" s="13" t="inlineStr">
        <is>
          <t>648cc31f234b1</t>
        </is>
      </c>
      <c r="B649" s="13" t="inlineStr">
        <is>
          <t>COLLAR BV ROSE GOLD</t>
        </is>
      </c>
      <c r="C649" s="13" t="inlineStr">
        <is>
          <t>Largo de cadena total 40cm  Extensión 8 cm  Dije 1 cm</t>
        </is>
      </c>
      <c r="D649" s="14" t="inlineStr">
        <is>
          <t>Stainless Stee</t>
        </is>
      </c>
      <c r="E649" s="13" t="n"/>
      <c r="F649" s="15" t="n">
        <v>6</v>
      </c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5" t="n">
        <v>6</v>
      </c>
      <c r="Q649" s="13" t="n"/>
      <c r="R649" s="16">
        <f>IF(COUNT(E649:Q649)=0,"",MIN(E649:Q649))</f>
        <v/>
      </c>
      <c r="S649" s="15">
        <f>IF(COUNT(E649:Q649)=0,"",LOOKUP(2,1/(E649:Q649&lt;&gt;""),E649:Q649))</f>
        <v/>
      </c>
      <c r="T649" s="17">
        <f>IF(R649="","",ROUND(R649*RESUMEN!$B$4,0))</f>
        <v/>
      </c>
      <c r="U649" s="18">
        <f>COUNT(E649:Q649)</f>
        <v/>
      </c>
    </row>
    <row r="650">
      <c r="A650" s="13" t="inlineStr">
        <is>
          <t>33089531091469</t>
        </is>
      </c>
      <c r="B650" s="13" t="inlineStr">
        <is>
          <t>COLLAR BV ROSEGOLD CON ZIRCONIA ALREDEDOR</t>
        </is>
      </c>
      <c r="C650" s="13" t="inlineStr">
        <is>
          <t>Default Title</t>
        </is>
      </c>
      <c r="D650" s="14" t="inlineStr">
        <is>
          <t>Stainless Stee</t>
        </is>
      </c>
      <c r="E650" s="13" t="n"/>
      <c r="F650" s="15" t="n">
        <v>7.5</v>
      </c>
      <c r="G650" s="15" t="n">
        <v>8</v>
      </c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5" t="n">
        <v>7.5</v>
      </c>
      <c r="R650" s="16">
        <f>IF(COUNT(E650:Q650)=0,"",MIN(E650:Q650))</f>
        <v/>
      </c>
      <c r="S650" s="15">
        <f>IF(COUNT(E650:Q650)=0,"",LOOKUP(2,1/(E650:Q650&lt;&gt;""),E650:Q650))</f>
        <v/>
      </c>
      <c r="T650" s="17">
        <f>IF(R650="","",ROUND(R650*RESUMEN!$B$4,0))</f>
        <v/>
      </c>
      <c r="U650" s="18">
        <f>COUNT(E650:Q650)</f>
        <v/>
      </c>
    </row>
    <row r="651">
      <c r="A651" s="13" t="inlineStr">
        <is>
          <t>89790741914029</t>
        </is>
      </c>
      <c r="B651" s="13" t="inlineStr">
        <is>
          <t>COLLAR BV ROSEGOLD GRABADO CON ZIRCONIA</t>
        </is>
      </c>
      <c r="C651" s="13" t="inlineStr">
        <is>
          <t>Default Title</t>
        </is>
      </c>
      <c r="D651" s="14" t="inlineStr"/>
      <c r="E651" s="13" t="n"/>
      <c r="F651" s="15" t="n">
        <v>7</v>
      </c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6">
        <f>IF(COUNT(E651:Q651)=0,"",MIN(E651:Q651))</f>
        <v/>
      </c>
      <c r="S651" s="15">
        <f>IF(COUNT(E651:Q651)=0,"",LOOKUP(2,1/(E651:Q651&lt;&gt;""),E651:Q651))</f>
        <v/>
      </c>
      <c r="T651" s="17">
        <f>IF(R651="","",ROUND(R651*RESUMEN!$B$4,0))</f>
        <v/>
      </c>
      <c r="U651" s="18">
        <f>COUNT(E651:Q651)</f>
        <v/>
      </c>
    </row>
    <row r="652">
      <c r="A652" s="13" t="inlineStr">
        <is>
          <t>89790741558733</t>
        </is>
      </c>
      <c r="B652" s="13" t="inlineStr">
        <is>
          <t>COLLAR BV ROSEGOLD PEARL ZIRCONIA</t>
        </is>
      </c>
      <c r="C652" s="13" t="inlineStr">
        <is>
          <t>Default Title</t>
        </is>
      </c>
      <c r="D652" s="14" t="inlineStr">
        <is>
          <t>Stainless Stee</t>
        </is>
      </c>
      <c r="E652" s="13" t="n"/>
      <c r="F652" s="15" t="n">
        <v>7</v>
      </c>
      <c r="G652" s="13" t="n"/>
      <c r="H652" s="13" t="n"/>
      <c r="I652" s="13" t="n"/>
      <c r="J652" s="13" t="n"/>
      <c r="K652" s="13" t="n"/>
      <c r="L652" s="15" t="n">
        <v>7</v>
      </c>
      <c r="M652" s="13" t="n"/>
      <c r="N652" s="13" t="n"/>
      <c r="O652" s="13" t="n"/>
      <c r="P652" s="13" t="n"/>
      <c r="Q652" s="15" t="n">
        <v>7</v>
      </c>
      <c r="R652" s="16">
        <f>IF(COUNT(E652:Q652)=0,"",MIN(E652:Q652))</f>
        <v/>
      </c>
      <c r="S652" s="15">
        <f>IF(COUNT(E652:Q652)=0,"",LOOKUP(2,1/(E652:Q652&lt;&gt;""),E652:Q652))</f>
        <v/>
      </c>
      <c r="T652" s="17">
        <f>IF(R652="","",ROUND(R652*RESUMEN!$B$4,0))</f>
        <v/>
      </c>
      <c r="U652" s="18">
        <f>COUNT(E652:Q652)</f>
        <v/>
      </c>
    </row>
    <row r="653">
      <c r="A653" s="13" t="inlineStr">
        <is>
          <t>52306841075693</t>
        </is>
      </c>
      <c r="B653" s="13" t="inlineStr">
        <is>
          <t>COLLAR BV ROSEGOLD SERPIENTE</t>
        </is>
      </c>
      <c r="C653" s="13" t="inlineStr">
        <is>
          <t>Default Title</t>
        </is>
      </c>
      <c r="D653" s="14" t="inlineStr">
        <is>
          <t>Copper Alloy</t>
        </is>
      </c>
      <c r="E653" s="13" t="n"/>
      <c r="F653" s="15" t="n">
        <v>7</v>
      </c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5" t="n">
        <v>7</v>
      </c>
      <c r="P653" s="13" t="n"/>
      <c r="Q653" s="13" t="n"/>
      <c r="R653" s="16">
        <f>IF(COUNT(E653:Q653)=0,"",MIN(E653:Q653))</f>
        <v/>
      </c>
      <c r="S653" s="15">
        <f>IF(COUNT(E653:Q653)=0,"",LOOKUP(2,1/(E653:Q653&lt;&gt;""),E653:Q653))</f>
        <v/>
      </c>
      <c r="T653" s="17">
        <f>IF(R653="","",ROUND(R653*RESUMEN!$B$4,0))</f>
        <v/>
      </c>
      <c r="U653" s="18">
        <f>COUNT(E653:Q653)</f>
        <v/>
      </c>
    </row>
    <row r="654">
      <c r="A654" s="13" t="inlineStr">
        <is>
          <t>643ec10bc63f5</t>
        </is>
      </c>
      <c r="B654" s="13" t="inlineStr">
        <is>
          <t>COLLAR BV SILVER</t>
        </is>
      </c>
      <c r="C654" s="13" t="inlineStr">
        <is>
          <t>Largo de cadena total 40cm  Extensión 8 cm  Dije 1 cm</t>
        </is>
      </c>
      <c r="D654" s="14" t="inlineStr">
        <is>
          <t>Stainless Stee</t>
        </is>
      </c>
      <c r="E654" s="13" t="n"/>
      <c r="F654" s="15" t="n">
        <v>6</v>
      </c>
      <c r="G654" s="13" t="n"/>
      <c r="H654" s="13" t="n"/>
      <c r="I654" s="15" t="n">
        <v>5</v>
      </c>
      <c r="J654" s="13" t="n"/>
      <c r="K654" s="13" t="n"/>
      <c r="L654" s="13" t="n"/>
      <c r="M654" s="13" t="n"/>
      <c r="N654" s="13" t="n"/>
      <c r="O654" s="13" t="n"/>
      <c r="P654" s="13" t="n"/>
      <c r="Q654" s="15" t="n">
        <v>5</v>
      </c>
      <c r="R654" s="16">
        <f>IF(COUNT(E654:Q654)=0,"",MIN(E654:Q654))</f>
        <v/>
      </c>
      <c r="S654" s="15">
        <f>IF(COUNT(E654:Q654)=0,"",LOOKUP(2,1/(E654:Q654&lt;&gt;""),E654:Q654))</f>
        <v/>
      </c>
      <c r="T654" s="17">
        <f>IF(R654="","",ROUND(R654*RESUMEN!$B$4,0))</f>
        <v/>
      </c>
      <c r="U654" s="18">
        <f>COUNT(E654:Q654)</f>
        <v/>
      </c>
    </row>
    <row r="655">
      <c r="A655" s="13" t="inlineStr">
        <is>
          <t>89695511098893</t>
        </is>
      </c>
      <c r="B655" s="13" t="inlineStr">
        <is>
          <t>COLLAR BV SILVER CON ZIRCONIA ALREDEDOR</t>
        </is>
      </c>
      <c r="C655" s="13" t="inlineStr">
        <is>
          <t>Default Title</t>
        </is>
      </c>
      <c r="D655" s="14" t="inlineStr">
        <is>
          <t>Stainless Stee</t>
        </is>
      </c>
      <c r="E655" s="13" t="n"/>
      <c r="F655" s="15" t="n">
        <v>7.5</v>
      </c>
      <c r="G655" s="15" t="n">
        <v>8</v>
      </c>
      <c r="H655" s="13" t="n"/>
      <c r="I655" s="13" t="n"/>
      <c r="J655" s="15" t="n">
        <v>7.5</v>
      </c>
      <c r="K655" s="13" t="n"/>
      <c r="L655" s="15" t="n">
        <v>7.5</v>
      </c>
      <c r="M655" s="13" t="n"/>
      <c r="N655" s="13" t="n"/>
      <c r="O655" s="13" t="n"/>
      <c r="P655" s="13" t="n"/>
      <c r="Q655" s="15" t="n">
        <v>7.5</v>
      </c>
      <c r="R655" s="16">
        <f>IF(COUNT(E655:Q655)=0,"",MIN(E655:Q655))</f>
        <v/>
      </c>
      <c r="S655" s="15">
        <f>IF(COUNT(E655:Q655)=0,"",LOOKUP(2,1/(E655:Q655&lt;&gt;""),E655:Q655))</f>
        <v/>
      </c>
      <c r="T655" s="17">
        <f>IF(R655="","",ROUND(R655*RESUMEN!$B$4,0))</f>
        <v/>
      </c>
      <c r="U655" s="18">
        <f>COUNT(E655:Q655)</f>
        <v/>
      </c>
    </row>
    <row r="656">
      <c r="A656" s="13" t="inlineStr">
        <is>
          <t>89790741803853</t>
        </is>
      </c>
      <c r="B656" s="13" t="inlineStr">
        <is>
          <t>COLLAR BV SILVER GRABADO CON ZIRCONIA</t>
        </is>
      </c>
      <c r="C656" s="13" t="inlineStr"/>
      <c r="D656" s="14" t="inlineStr"/>
      <c r="E656" s="13" t="n"/>
      <c r="F656" s="15" t="n">
        <v>7</v>
      </c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6">
        <f>IF(COUNT(E656:Q656)=0,"",MIN(E656:Q656))</f>
        <v/>
      </c>
      <c r="S656" s="15">
        <f>IF(COUNT(E656:Q656)=0,"",LOOKUP(2,1/(E656:Q656&lt;&gt;""),E656:Q656))</f>
        <v/>
      </c>
      <c r="T656" s="17">
        <f>IF(R656="","",ROUND(R656*RESUMEN!$B$4,0))</f>
        <v/>
      </c>
      <c r="U656" s="18">
        <f>COUNT(E656:Q656)</f>
        <v/>
      </c>
    </row>
    <row r="657">
      <c r="A657" s="13" t="inlineStr">
        <is>
          <t>89790741719597</t>
        </is>
      </c>
      <c r="B657" s="13" t="inlineStr">
        <is>
          <t>COLLAR BV SILVER PEARL ZIRCONIA</t>
        </is>
      </c>
      <c r="C657" s="13" t="inlineStr">
        <is>
          <t>Default Title</t>
        </is>
      </c>
      <c r="D657" s="14" t="inlineStr">
        <is>
          <t>Stainless Stee</t>
        </is>
      </c>
      <c r="E657" s="13" t="n"/>
      <c r="F657" s="15" t="n">
        <v>7</v>
      </c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5" t="n">
        <v>7</v>
      </c>
      <c r="Q657" s="13" t="n"/>
      <c r="R657" s="16">
        <f>IF(COUNT(E657:Q657)=0,"",MIN(E657:Q657))</f>
        <v/>
      </c>
      <c r="S657" s="15">
        <f>IF(COUNT(E657:Q657)=0,"",LOOKUP(2,1/(E657:Q657&lt;&gt;""),E657:Q657))</f>
        <v/>
      </c>
      <c r="T657" s="17">
        <f>IF(R657="","",ROUND(R657*RESUMEN!$B$4,0))</f>
        <v/>
      </c>
      <c r="U657" s="18">
        <f>COUNT(E657:Q657)</f>
        <v/>
      </c>
    </row>
    <row r="658">
      <c r="A658" s="13" t="inlineStr">
        <is>
          <t>33801891077645</t>
        </is>
      </c>
      <c r="B658" s="13" t="inlineStr">
        <is>
          <t>COLLAR BV SILVER SERPIENTE</t>
        </is>
      </c>
      <c r="C658" s="13" t="inlineStr">
        <is>
          <t>Default Title</t>
        </is>
      </c>
      <c r="D658" s="14" t="inlineStr">
        <is>
          <t>Copper Alloy</t>
        </is>
      </c>
      <c r="E658" s="13" t="n"/>
      <c r="F658" s="15" t="n">
        <v>7</v>
      </c>
      <c r="G658" s="13" t="n"/>
      <c r="H658" s="13" t="n"/>
      <c r="I658" s="13" t="n"/>
      <c r="J658" s="13" t="n"/>
      <c r="K658" s="13" t="n"/>
      <c r="L658" s="13" t="n"/>
      <c r="M658" s="15" t="n">
        <v>7</v>
      </c>
      <c r="N658" s="13" t="n"/>
      <c r="O658" s="15" t="n">
        <v>7</v>
      </c>
      <c r="P658" s="13" t="n"/>
      <c r="Q658" s="13" t="n"/>
      <c r="R658" s="16">
        <f>IF(COUNT(E658:Q658)=0,"",MIN(E658:Q658))</f>
        <v/>
      </c>
      <c r="S658" s="15">
        <f>IF(COUNT(E658:Q658)=0,"",LOOKUP(2,1/(E658:Q658&lt;&gt;""),E658:Q658))</f>
        <v/>
      </c>
      <c r="T658" s="17">
        <f>IF(R658="","",ROUND(R658*RESUMEN!$B$4,0))</f>
        <v/>
      </c>
      <c r="U658" s="18">
        <f>COUNT(E658:Q658)</f>
        <v/>
      </c>
    </row>
    <row r="659">
      <c r="A659" s="13" t="inlineStr">
        <is>
          <t>27127017235212</t>
        </is>
      </c>
      <c r="B659" s="13" t="inlineStr">
        <is>
          <t>COLLAR Bzero ROSEGOLD BLACK</t>
        </is>
      </c>
      <c r="C659" s="13" t="inlineStr">
        <is>
          <t>41cm de largo con 8cm de extensión</t>
        </is>
      </c>
      <c r="D659" s="14" t="inlineStr">
        <is>
          <t>Stainless stee</t>
        </is>
      </c>
      <c r="E659" s="13" t="n"/>
      <c r="F659" s="13" t="n"/>
      <c r="G659" s="13" t="n"/>
      <c r="H659" s="15" t="n">
        <v>3.99</v>
      </c>
      <c r="I659" s="13" t="n"/>
      <c r="J659" s="13" t="n"/>
      <c r="K659" s="13" t="n"/>
      <c r="L659" s="15" t="n">
        <v>3.99</v>
      </c>
      <c r="M659" s="13" t="n"/>
      <c r="N659" s="13" t="n"/>
      <c r="O659" s="13" t="n"/>
      <c r="P659" s="13" t="n"/>
      <c r="Q659" s="13" t="n"/>
      <c r="R659" s="16">
        <f>IF(COUNT(E659:Q659)=0,"",MIN(E659:Q659))</f>
        <v/>
      </c>
      <c r="S659" s="15">
        <f>IF(COUNT(E659:Q659)=0,"",LOOKUP(2,1/(E659:Q659&lt;&gt;""),E659:Q659))</f>
        <v/>
      </c>
      <c r="T659" s="17">
        <f>IF(R659="","",ROUND(R659*RESUMEN!$B$4,0))</f>
        <v/>
      </c>
      <c r="U659" s="18">
        <f>COUNT(E659:Q659)</f>
        <v/>
      </c>
    </row>
    <row r="660">
      <c r="A660" s="13" t="inlineStr">
        <is>
          <t>27127011173132</t>
        </is>
      </c>
      <c r="B660" s="13" t="inlineStr">
        <is>
          <t>COLLAR Bzero SILVER BLACK</t>
        </is>
      </c>
      <c r="C660" s="13" t="inlineStr">
        <is>
          <t>41cm de largo con 8cm de Extension.</t>
        </is>
      </c>
      <c r="D660" s="14" t="inlineStr">
        <is>
          <t>Stainless Stee</t>
        </is>
      </c>
      <c r="E660" s="13" t="n"/>
      <c r="F660" s="13" t="n"/>
      <c r="G660" s="13" t="n"/>
      <c r="H660" s="13" t="n"/>
      <c r="I660" s="15" t="n">
        <v>5</v>
      </c>
      <c r="J660" s="13" t="n"/>
      <c r="K660" s="13" t="n"/>
      <c r="L660" s="13" t="n"/>
      <c r="M660" s="13" t="n"/>
      <c r="N660" s="15" t="n">
        <v>5</v>
      </c>
      <c r="O660" s="13" t="n"/>
      <c r="P660" s="13" t="n"/>
      <c r="Q660" s="15" t="n">
        <v>5</v>
      </c>
      <c r="R660" s="16">
        <f>IF(COUNT(E660:Q660)=0,"",MIN(E660:Q660))</f>
        <v/>
      </c>
      <c r="S660" s="15">
        <f>IF(COUNT(E660:Q660)=0,"",LOOKUP(2,1/(E660:Q660&lt;&gt;""),E660:Q660))</f>
        <v/>
      </c>
      <c r="T660" s="17">
        <f>IF(R660="","",ROUND(R660*RESUMEN!$B$4,0))</f>
        <v/>
      </c>
      <c r="U660" s="18">
        <f>COUNT(E660:Q660)</f>
        <v/>
      </c>
    </row>
    <row r="661">
      <c r="A661" s="13" t="inlineStr">
        <is>
          <t>43728082327916</t>
        </is>
      </c>
      <c r="B661" s="13" t="inlineStr">
        <is>
          <t>COLLAR C D’AMOUR GOLD</t>
        </is>
      </c>
      <c r="C661" s="13" t="inlineStr">
        <is>
          <t>44cm con 5cm de extensión</t>
        </is>
      </c>
      <c r="D661" s="14" t="inlineStr">
        <is>
          <t>Stainless Stee</t>
        </is>
      </c>
      <c r="E661" s="13" t="n"/>
      <c r="F661" s="13" t="n"/>
      <c r="G661" s="13" t="n"/>
      <c r="H661" s="15" t="n">
        <v>2.99</v>
      </c>
      <c r="I661" s="15" t="n">
        <v>2.99</v>
      </c>
      <c r="J661" s="15" t="n">
        <v>2.99</v>
      </c>
      <c r="K661" s="13" t="n"/>
      <c r="L661" s="13" t="n"/>
      <c r="M661" s="15" t="n">
        <v>2.99</v>
      </c>
      <c r="N661" s="15" t="n">
        <v>2.99</v>
      </c>
      <c r="O661" s="15" t="n">
        <v>2.99</v>
      </c>
      <c r="P661" s="13" t="n"/>
      <c r="Q661" s="15" t="n">
        <v>2.99</v>
      </c>
      <c r="R661" s="16">
        <f>IF(COUNT(E661:Q661)=0,"",MIN(E661:Q661))</f>
        <v/>
      </c>
      <c r="S661" s="15">
        <f>IF(COUNT(E661:Q661)=0,"",LOOKUP(2,1/(E661:Q661&lt;&gt;""),E661:Q661))</f>
        <v/>
      </c>
      <c r="T661" s="17">
        <f>IF(R661="","",ROUND(R661*RESUMEN!$B$4,0))</f>
        <v/>
      </c>
      <c r="U661" s="18">
        <f>COUNT(E661:Q661)</f>
        <v/>
      </c>
    </row>
    <row r="662">
      <c r="A662" s="13" t="inlineStr">
        <is>
          <t>43728082412172</t>
        </is>
      </c>
      <c r="B662" s="13" t="inlineStr">
        <is>
          <t>COLLAR C D’AMOUR ROSE GOLD</t>
        </is>
      </c>
      <c r="C662" s="13" t="inlineStr">
        <is>
          <t>44cm con 5cm de extensión</t>
        </is>
      </c>
      <c r="D662" s="14" t="inlineStr">
        <is>
          <t>Stainless Stee</t>
        </is>
      </c>
      <c r="E662" s="15" t="n">
        <v>2.99</v>
      </c>
      <c r="F662" s="13" t="n"/>
      <c r="G662" s="13" t="n"/>
      <c r="H662" s="13" t="n"/>
      <c r="I662" s="13" t="n"/>
      <c r="J662" s="15" t="n">
        <v>2.99</v>
      </c>
      <c r="K662" s="13" t="n"/>
      <c r="L662" s="15" t="n">
        <v>2.99</v>
      </c>
      <c r="M662" s="13" t="n"/>
      <c r="N662" s="13" t="n"/>
      <c r="O662" s="13" t="n"/>
      <c r="P662" s="13" t="n"/>
      <c r="Q662" s="15" t="n">
        <v>2.99</v>
      </c>
      <c r="R662" s="16">
        <f>IF(COUNT(E662:Q662)=0,"",MIN(E662:Q662))</f>
        <v/>
      </c>
      <c r="S662" s="15">
        <f>IF(COUNT(E662:Q662)=0,"",LOOKUP(2,1/(E662:Q662&lt;&gt;""),E662:Q662))</f>
        <v/>
      </c>
      <c r="T662" s="17">
        <f>IF(R662="","",ROUND(R662*RESUMEN!$B$4,0))</f>
        <v/>
      </c>
      <c r="U662" s="18">
        <f>COUNT(E662:Q662)</f>
        <v/>
      </c>
    </row>
    <row r="663">
      <c r="A663" s="13" t="inlineStr">
        <is>
          <t>43728082231852</t>
        </is>
      </c>
      <c r="B663" s="13" t="inlineStr">
        <is>
          <t>COLLAR C D’AMOUR SILVER</t>
        </is>
      </c>
      <c r="C663" s="13" t="inlineStr">
        <is>
          <t>44cm con 5cm de extensión</t>
        </is>
      </c>
      <c r="D663" s="14" t="inlineStr">
        <is>
          <t>Stainless Stee</t>
        </is>
      </c>
      <c r="E663" s="13" t="n"/>
      <c r="F663" s="13" t="n"/>
      <c r="G663" s="13" t="n"/>
      <c r="H663" s="15" t="n">
        <v>2.99</v>
      </c>
      <c r="I663" s="15" t="n">
        <v>2.99</v>
      </c>
      <c r="J663" s="13" t="n"/>
      <c r="K663" s="13" t="n"/>
      <c r="L663" s="15" t="n">
        <v>2.99</v>
      </c>
      <c r="M663" s="13" t="n"/>
      <c r="N663" s="13" t="n"/>
      <c r="O663" s="13" t="n"/>
      <c r="P663" s="15" t="n">
        <v>2.99</v>
      </c>
      <c r="Q663" s="13" t="n"/>
      <c r="R663" s="16">
        <f>IF(COUNT(E663:Q663)=0,"",MIN(E663:Q663))</f>
        <v/>
      </c>
      <c r="S663" s="15">
        <f>IF(COUNT(E663:Q663)=0,"",LOOKUP(2,1/(E663:Q663&lt;&gt;""),E663:Q663))</f>
        <v/>
      </c>
      <c r="T663" s="17">
        <f>IF(R663="","",ROUND(R663*RESUMEN!$B$4,0))</f>
        <v/>
      </c>
      <c r="U663" s="18">
        <f>COUNT(E663:Q663)</f>
        <v/>
      </c>
    </row>
    <row r="664">
      <c r="A664" s="13" t="inlineStr">
        <is>
          <t>11078751761037</t>
        </is>
      </c>
      <c r="B664" s="13" t="inlineStr">
        <is>
          <t>COLLAR C GOLD ZIRCONIAS</t>
        </is>
      </c>
      <c r="C664" s="13" t="inlineStr">
        <is>
          <t>Default Title</t>
        </is>
      </c>
      <c r="D664" s="14" t="inlineStr">
        <is>
          <t>Copper alloy</t>
        </is>
      </c>
      <c r="E664" s="13" t="n"/>
      <c r="F664" s="13" t="n"/>
      <c r="G664" s="15" t="n">
        <v>5.99</v>
      </c>
      <c r="H664" s="13" t="n"/>
      <c r="I664" s="13" t="n"/>
      <c r="J664" s="13" t="n"/>
      <c r="K664" s="13" t="n"/>
      <c r="L664" s="15" t="n">
        <v>5.99</v>
      </c>
      <c r="M664" s="13" t="n"/>
      <c r="N664" s="15" t="n">
        <v>5.99</v>
      </c>
      <c r="O664" s="13" t="n"/>
      <c r="P664" s="15" t="n">
        <v>5.99</v>
      </c>
      <c r="Q664" s="13" t="n"/>
      <c r="R664" s="16">
        <f>IF(COUNT(E664:Q664)=0,"",MIN(E664:Q664))</f>
        <v/>
      </c>
      <c r="S664" s="15">
        <f>IF(COUNT(E664:Q664)=0,"",LOOKUP(2,1/(E664:Q664&lt;&gt;""),E664:Q664))</f>
        <v/>
      </c>
      <c r="T664" s="17">
        <f>IF(R664="","",ROUND(R664*RESUMEN!$B$4,0))</f>
        <v/>
      </c>
      <c r="U664" s="18">
        <f>COUNT(E664:Q664)</f>
        <v/>
      </c>
    </row>
    <row r="665">
      <c r="A665" s="13" t="inlineStr">
        <is>
          <t>71078751659341</t>
        </is>
      </c>
      <c r="B665" s="13" t="inlineStr">
        <is>
          <t>COLLAR C SILVER ZIRCONIAS</t>
        </is>
      </c>
      <c r="C665" s="13" t="inlineStr">
        <is>
          <t>Default Title</t>
        </is>
      </c>
      <c r="D665" s="14" t="inlineStr">
        <is>
          <t>Copper alloy</t>
        </is>
      </c>
      <c r="E665" s="13" t="n"/>
      <c r="F665" s="13" t="n"/>
      <c r="G665" s="15" t="n">
        <v>5.99</v>
      </c>
      <c r="H665" s="13" t="n"/>
      <c r="I665" s="13" t="n"/>
      <c r="J665" s="13" t="n"/>
      <c r="K665" s="13" t="n"/>
      <c r="L665" s="15" t="n">
        <v>5.99</v>
      </c>
      <c r="M665" s="13" t="n"/>
      <c r="N665" s="15" t="n">
        <v>5.99</v>
      </c>
      <c r="O665" s="13" t="n"/>
      <c r="P665" s="13" t="n"/>
      <c r="Q665" s="13" t="n"/>
      <c r="R665" s="16">
        <f>IF(COUNT(E665:Q665)=0,"",MIN(E665:Q665))</f>
        <v/>
      </c>
      <c r="S665" s="15">
        <f>IF(COUNT(E665:Q665)=0,"",LOOKUP(2,1/(E665:Q665&lt;&gt;""),E665:Q665))</f>
        <v/>
      </c>
      <c r="T665" s="17">
        <f>IF(R665="","",ROUND(R665*RESUMEN!$B$4,0))</f>
        <v/>
      </c>
      <c r="U665" s="18">
        <f>COUNT(E665:Q665)</f>
        <v/>
      </c>
    </row>
    <row r="666">
      <c r="A666" s="13" t="inlineStr">
        <is>
          <t>35432871136685</t>
        </is>
      </c>
      <c r="B666" s="13" t="inlineStr">
        <is>
          <t>COLLAR CC BOUTON CAMELIA GOLD</t>
        </is>
      </c>
      <c r="C666" s="13" t="inlineStr">
        <is>
          <t>Default Title</t>
        </is>
      </c>
      <c r="D666" s="14" t="inlineStr"/>
      <c r="E666" s="13" t="n"/>
      <c r="F666" s="13" t="n"/>
      <c r="G666" s="13" t="n"/>
      <c r="H666" s="13" t="n"/>
      <c r="I666" s="13" t="n"/>
      <c r="J666" s="13" t="n"/>
      <c r="K666" s="15" t="n">
        <v>12</v>
      </c>
      <c r="L666" s="13" t="n"/>
      <c r="M666" s="13" t="n"/>
      <c r="N666" s="13" t="n"/>
      <c r="O666" s="13" t="n"/>
      <c r="P666" s="13" t="n"/>
      <c r="Q666" s="13" t="n"/>
      <c r="R666" s="16">
        <f>IF(COUNT(E666:Q666)=0,"",MIN(E666:Q666))</f>
        <v/>
      </c>
      <c r="S666" s="15">
        <f>IF(COUNT(E666:Q666)=0,"",LOOKUP(2,1/(E666:Q666&lt;&gt;""),E666:Q666))</f>
        <v/>
      </c>
      <c r="T666" s="17">
        <f>IF(R666="","",ROUND(R666*RESUMEN!$B$4,0))</f>
        <v/>
      </c>
      <c r="U666" s="18">
        <f>COUNT(E666:Q666)</f>
        <v/>
      </c>
    </row>
    <row r="667">
      <c r="A667" s="13" t="inlineStr">
        <is>
          <t>35432871634445</t>
        </is>
      </c>
      <c r="B667" s="13" t="inlineStr">
        <is>
          <t>COLLAR CC COCO CRUSH GOLD</t>
        </is>
      </c>
      <c r="C667" s="13" t="inlineStr">
        <is>
          <t>Default Title</t>
        </is>
      </c>
      <c r="D667" s="14" t="inlineStr">
        <is>
          <t>Stainless Stee</t>
        </is>
      </c>
      <c r="E667" s="13" t="n"/>
      <c r="F667" s="13" t="n"/>
      <c r="G667" s="13" t="n"/>
      <c r="H667" s="13" t="n"/>
      <c r="I667" s="13" t="n"/>
      <c r="J667" s="13" t="n"/>
      <c r="K667" s="15" t="n">
        <v>7.99</v>
      </c>
      <c r="L667" s="13" t="n"/>
      <c r="M667" s="13" t="n"/>
      <c r="N667" s="13" t="n"/>
      <c r="O667" s="13" t="n"/>
      <c r="P667" s="13" t="n"/>
      <c r="Q667" s="15" t="n">
        <v>7.99</v>
      </c>
      <c r="R667" s="16">
        <f>IF(COUNT(E667:Q667)=0,"",MIN(E667:Q667))</f>
        <v/>
      </c>
      <c r="S667" s="15">
        <f>IF(COUNT(E667:Q667)=0,"",LOOKUP(2,1/(E667:Q667&lt;&gt;""),E667:Q667))</f>
        <v/>
      </c>
      <c r="T667" s="17">
        <f>IF(R667="","",ROUND(R667*RESUMEN!$B$4,0))</f>
        <v/>
      </c>
      <c r="U667" s="18">
        <f>COUNT(E667:Q667)</f>
        <v/>
      </c>
    </row>
    <row r="668">
      <c r="A668" s="13" t="inlineStr">
        <is>
          <t>35432871709069</t>
        </is>
      </c>
      <c r="B668" s="13" t="inlineStr">
        <is>
          <t>COLLAR CC COCO GOLD</t>
        </is>
      </c>
      <c r="C668" s="13" t="inlineStr">
        <is>
          <t>Default Title</t>
        </is>
      </c>
      <c r="D668" s="14" t="inlineStr"/>
      <c r="E668" s="13" t="n"/>
      <c r="F668" s="13" t="n"/>
      <c r="G668" s="13" t="n"/>
      <c r="H668" s="13" t="n"/>
      <c r="I668" s="13" t="n"/>
      <c r="J668" s="13" t="n"/>
      <c r="K668" s="15" t="n">
        <v>7.99</v>
      </c>
      <c r="L668" s="13" t="n"/>
      <c r="M668" s="13" t="n"/>
      <c r="N668" s="13" t="n"/>
      <c r="O668" s="13" t="n"/>
      <c r="P668" s="13" t="n"/>
      <c r="Q668" s="13" t="n"/>
      <c r="R668" s="16">
        <f>IF(COUNT(E668:Q668)=0,"",MIN(E668:Q668))</f>
        <v/>
      </c>
      <c r="S668" s="15">
        <f>IF(COUNT(E668:Q668)=0,"",LOOKUP(2,1/(E668:Q668&lt;&gt;""),E668:Q668))</f>
        <v/>
      </c>
      <c r="T668" s="17">
        <f>IF(R668="","",ROUND(R668*RESUMEN!$B$4,0))</f>
        <v/>
      </c>
      <c r="U668" s="18">
        <f>COUNT(E668:Q668)</f>
        <v/>
      </c>
    </row>
    <row r="669">
      <c r="A669" s="13" t="inlineStr">
        <is>
          <t>89246881897741</t>
        </is>
      </c>
      <c r="B669" s="13" t="inlineStr">
        <is>
          <t>COLLAR CD CHOKER</t>
        </is>
      </c>
      <c r="C669" s="13" t="inlineStr">
        <is>
          <t>Default Title</t>
        </is>
      </c>
      <c r="D669" s="14" t="inlineStr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5" t="n">
        <v>4</v>
      </c>
      <c r="O669" s="13" t="n"/>
      <c r="P669" s="13" t="n"/>
      <c r="Q669" s="13" t="n"/>
      <c r="R669" s="16">
        <f>IF(COUNT(E669:Q669)=0,"",MIN(E669:Q669))</f>
        <v/>
      </c>
      <c r="S669" s="15">
        <f>IF(COUNT(E669:Q669)=0,"",LOOKUP(2,1/(E669:Q669&lt;&gt;""),E669:Q669))</f>
        <v/>
      </c>
      <c r="T669" s="17">
        <f>IF(R669="","",ROUND(R669*RESUMEN!$B$4,0))</f>
        <v/>
      </c>
      <c r="U669" s="18">
        <f>COUNT(E669:Q669)</f>
        <v/>
      </c>
    </row>
    <row r="670">
      <c r="A670" s="13" t="inlineStr">
        <is>
          <t>29736661772013</t>
        </is>
      </c>
      <c r="B670" s="13" t="inlineStr">
        <is>
          <t>COLLAR CD DOBLE PETIT GOLD</t>
        </is>
      </c>
      <c r="C670" s="13" t="inlineStr">
        <is>
          <t>Default Title</t>
        </is>
      </c>
      <c r="D670" s="14" t="inlineStr">
        <is>
          <t>copper alloy</t>
        </is>
      </c>
      <c r="E670" s="13" t="n"/>
      <c r="F670" s="13" t="n"/>
      <c r="G670" s="13" t="n"/>
      <c r="H670" s="13" t="n"/>
      <c r="I670" s="13" t="n"/>
      <c r="J670" s="13" t="n"/>
      <c r="K670" s="15" t="n">
        <v>6</v>
      </c>
      <c r="L670" s="13" t="n"/>
      <c r="M670" s="13" t="n"/>
      <c r="N670" s="13" t="n"/>
      <c r="O670" s="15" t="n">
        <v>6</v>
      </c>
      <c r="P670" s="13" t="n"/>
      <c r="Q670" s="13" t="n"/>
      <c r="R670" s="16">
        <f>IF(COUNT(E670:Q670)=0,"",MIN(E670:Q670))</f>
        <v/>
      </c>
      <c r="S670" s="15">
        <f>IF(COUNT(E670:Q670)=0,"",LOOKUP(2,1/(E670:Q670&lt;&gt;""),E670:Q670))</f>
        <v/>
      </c>
      <c r="T670" s="17">
        <f>IF(R670="","",ROUND(R670*RESUMEN!$B$4,0))</f>
        <v/>
      </c>
      <c r="U670" s="18">
        <f>COUNT(E670:Q670)</f>
        <v/>
      </c>
    </row>
    <row r="671">
      <c r="A671" s="13" t="inlineStr">
        <is>
          <t>29736661175277</t>
        </is>
      </c>
      <c r="B671" s="13" t="inlineStr">
        <is>
          <t>COLLAR CD FLEUR GOLD</t>
        </is>
      </c>
      <c r="C671" s="13" t="inlineStr">
        <is>
          <t>Default Title</t>
        </is>
      </c>
      <c r="D671" s="14" t="inlineStr">
        <is>
          <t>Copper alloy</t>
        </is>
      </c>
      <c r="E671" s="13" t="n"/>
      <c r="F671" s="13" t="n"/>
      <c r="G671" s="13" t="n"/>
      <c r="H671" s="13" t="n"/>
      <c r="I671" s="13" t="n"/>
      <c r="J671" s="13" t="n"/>
      <c r="K671" s="15" t="n">
        <v>12</v>
      </c>
      <c r="L671" s="13" t="n"/>
      <c r="M671" s="13" t="n"/>
      <c r="N671" s="13" t="n"/>
      <c r="O671" s="13" t="n"/>
      <c r="P671" s="13" t="n"/>
      <c r="Q671" s="15" t="n">
        <v>12</v>
      </c>
      <c r="R671" s="16">
        <f>IF(COUNT(E671:Q671)=0,"",MIN(E671:Q671))</f>
        <v/>
      </c>
      <c r="S671" s="15">
        <f>IF(COUNT(E671:Q671)=0,"",LOOKUP(2,1/(E671:Q671&lt;&gt;""),E671:Q671))</f>
        <v/>
      </c>
      <c r="T671" s="17">
        <f>IF(R671="","",ROUND(R671*RESUMEN!$B$4,0))</f>
        <v/>
      </c>
      <c r="U671" s="18">
        <f>COUNT(E671:Q671)</f>
        <v/>
      </c>
    </row>
    <row r="672">
      <c r="A672" s="13" t="inlineStr">
        <is>
          <t>89246881932205</t>
        </is>
      </c>
      <c r="B672" s="13" t="inlineStr">
        <is>
          <t>COLLAR CD GOLD CON ZIRCONIAS</t>
        </is>
      </c>
      <c r="C672" s="13" t="inlineStr">
        <is>
          <t>Default Title</t>
        </is>
      </c>
      <c r="D672" s="14" t="inlineStr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6">
        <f>IF(COUNT(E672:Q672)=0,"",MIN(E672:Q672))</f>
        <v/>
      </c>
      <c r="S672" s="15">
        <f>IF(COUNT(E672:Q672)=0,"",LOOKUP(2,1/(E672:Q672&lt;&gt;""),E672:Q672))</f>
        <v/>
      </c>
      <c r="T672" s="17">
        <f>IF(R672="","",ROUND(R672*RESUMEN!$B$4,0))</f>
        <v/>
      </c>
      <c r="U672" s="18">
        <f>COUNT(E672:Q672)</f>
        <v/>
      </c>
    </row>
    <row r="673">
      <c r="A673" s="13" t="inlineStr">
        <is>
          <t>86347032494669</t>
        </is>
      </c>
      <c r="B673" s="13" t="inlineStr">
        <is>
          <t>COLLAR CD PETIT LUCKY GOLD</t>
        </is>
      </c>
      <c r="C673" s="13" t="inlineStr">
        <is>
          <t>Default Title</t>
        </is>
      </c>
      <c r="D673" s="14" t="inlineStr">
        <is>
          <t>nan</t>
        </is>
      </c>
      <c r="E673" s="13" t="n"/>
      <c r="F673" s="13" t="n"/>
      <c r="G673" s="15" t="n">
        <v>8</v>
      </c>
      <c r="H673" s="13" t="n"/>
      <c r="I673" s="13" t="n"/>
      <c r="J673" s="13" t="n"/>
      <c r="K673" s="13" t="n"/>
      <c r="L673" s="13" t="n"/>
      <c r="M673" s="15" t="n">
        <v>12</v>
      </c>
      <c r="N673" s="13" t="n"/>
      <c r="O673" s="13" t="n"/>
      <c r="P673" s="13" t="n"/>
      <c r="Q673" s="13" t="n"/>
      <c r="R673" s="16">
        <f>IF(COUNT(E673:Q673)=0,"",MIN(E673:Q673))</f>
        <v/>
      </c>
      <c r="S673" s="15">
        <f>IF(COUNT(E673:Q673)=0,"",LOOKUP(2,1/(E673:Q673&lt;&gt;""),E673:Q673))</f>
        <v/>
      </c>
      <c r="T673" s="17">
        <f>IF(R673="","",ROUND(R673*RESUMEN!$B$4,0))</f>
        <v/>
      </c>
      <c r="U673" s="18">
        <f>COUNT(E673:Q673)</f>
        <v/>
      </c>
    </row>
    <row r="674">
      <c r="A674" s="13" t="inlineStr">
        <is>
          <t>43016717566092</t>
        </is>
      </c>
      <c r="B674" s="13" t="inlineStr">
        <is>
          <t>COLLAR CLASH ROSEGOLD</t>
        </is>
      </c>
      <c r="C674" s="13" t="inlineStr">
        <is>
          <t>50cm</t>
        </is>
      </c>
      <c r="D674" s="14" t="inlineStr">
        <is>
          <t>Copper Alloy</t>
        </is>
      </c>
      <c r="E674" s="15" t="n">
        <v>7.99</v>
      </c>
      <c r="F674" s="13" t="n"/>
      <c r="G674" s="13" t="n"/>
      <c r="H674" s="13" t="n"/>
      <c r="I674" s="13" t="n"/>
      <c r="J674" s="13" t="n"/>
      <c r="K674" s="13" t="n"/>
      <c r="L674" s="13" t="n"/>
      <c r="M674" s="15" t="n">
        <v>8</v>
      </c>
      <c r="N674" s="13" t="n"/>
      <c r="O674" s="15" t="n">
        <v>7.99</v>
      </c>
      <c r="P674" s="13" t="n"/>
      <c r="Q674" s="13" t="n"/>
      <c r="R674" s="16">
        <f>IF(COUNT(E674:Q674)=0,"",MIN(E674:Q674))</f>
        <v/>
      </c>
      <c r="S674" s="15">
        <f>IF(COUNT(E674:Q674)=0,"",LOOKUP(2,1/(E674:Q674&lt;&gt;""),E674:Q674))</f>
        <v/>
      </c>
      <c r="T674" s="17">
        <f>IF(R674="","",ROUND(R674*RESUMEN!$B$4,0))</f>
        <v/>
      </c>
      <c r="U674" s="18">
        <f>COUNT(E674:Q674)</f>
        <v/>
      </c>
    </row>
    <row r="675">
      <c r="A675" s="13" t="inlineStr">
        <is>
          <t>36002951405580</t>
        </is>
      </c>
      <c r="B675" s="13" t="inlineStr">
        <is>
          <t>COLLAR CLAVO GOLD CON ZIRCONIA</t>
        </is>
      </c>
      <c r="C675" s="13" t="inlineStr">
        <is>
          <t>40cm de largo x 5cm de extensión</t>
        </is>
      </c>
      <c r="D675" s="14" t="inlineStr">
        <is>
          <t>Stainless stee</t>
        </is>
      </c>
      <c r="E675" s="15" t="n">
        <v>6</v>
      </c>
      <c r="F675" s="15" t="n">
        <v>7.5</v>
      </c>
      <c r="G675" s="13" t="n"/>
      <c r="H675" s="15" t="n">
        <v>6</v>
      </c>
      <c r="I675" s="15" t="n">
        <v>6</v>
      </c>
      <c r="J675" s="13" t="n"/>
      <c r="K675" s="13" t="n"/>
      <c r="L675" s="13" t="n"/>
      <c r="M675" s="13" t="n"/>
      <c r="N675" s="15" t="n">
        <v>6</v>
      </c>
      <c r="O675" s="13" t="n"/>
      <c r="P675" s="13" t="n"/>
      <c r="Q675" s="13" t="n"/>
      <c r="R675" s="16">
        <f>IF(COUNT(E675:Q675)=0,"",MIN(E675:Q675))</f>
        <v/>
      </c>
      <c r="S675" s="15">
        <f>IF(COUNT(E675:Q675)=0,"",LOOKUP(2,1/(E675:Q675&lt;&gt;""),E675:Q675))</f>
        <v/>
      </c>
      <c r="T675" s="17">
        <f>IF(R675="","",ROUND(R675*RESUMEN!$B$4,0))</f>
        <v/>
      </c>
      <c r="U675" s="18">
        <f>COUNT(E675:Q675)</f>
        <v/>
      </c>
    </row>
    <row r="676">
      <c r="A676" s="13" t="inlineStr">
        <is>
          <t>36002958128780</t>
        </is>
      </c>
      <c r="B676" s="13" t="inlineStr">
        <is>
          <t>COLLAR CLAVO GOLD MZ</t>
        </is>
      </c>
      <c r="C676" s="13" t="inlineStr">
        <is>
          <t>42cm de largo x 3cm de extensión</t>
        </is>
      </c>
      <c r="D676" s="14" t="inlineStr">
        <is>
          <t>Stainless Stee</t>
        </is>
      </c>
      <c r="E676" s="13" t="n"/>
      <c r="F676" s="15" t="n">
        <v>7</v>
      </c>
      <c r="G676" s="13" t="n"/>
      <c r="H676" s="13" t="n"/>
      <c r="I676" s="13" t="n"/>
      <c r="J676" s="13" t="n"/>
      <c r="K676" s="13" t="n"/>
      <c r="L676" s="13" t="n"/>
      <c r="M676" s="13" t="n"/>
      <c r="N676" s="15" t="n">
        <v>7</v>
      </c>
      <c r="O676" s="15" t="n">
        <v>7</v>
      </c>
      <c r="P676" s="13" t="n"/>
      <c r="Q676" s="13" t="n"/>
      <c r="R676" s="16">
        <f>IF(COUNT(E676:Q676)=0,"",MIN(E676:Q676))</f>
        <v/>
      </c>
      <c r="S676" s="15">
        <f>IF(COUNT(E676:Q676)=0,"",LOOKUP(2,1/(E676:Q676&lt;&gt;""),E676:Q676))</f>
        <v/>
      </c>
      <c r="T676" s="17">
        <f>IF(R676="","",ROUND(R676*RESUMEN!$B$4,0))</f>
        <v/>
      </c>
      <c r="U676" s="18">
        <f>COUNT(E676:Q676)</f>
        <v/>
      </c>
    </row>
    <row r="677">
      <c r="A677" s="13" t="inlineStr">
        <is>
          <t>29736674296013</t>
        </is>
      </c>
      <c r="B677" s="13" t="inlineStr">
        <is>
          <t>COLLAR COLGANTE LOVE</t>
        </is>
      </c>
      <c r="C677" s="13" t="inlineStr">
        <is>
          <t>Default Title</t>
        </is>
      </c>
      <c r="D677" s="14" t="inlineStr"/>
      <c r="E677" s="13" t="n"/>
      <c r="F677" s="13" t="n"/>
      <c r="G677" s="13" t="n"/>
      <c r="H677" s="13" t="n"/>
      <c r="I677" s="13" t="n"/>
      <c r="J677" s="13" t="n"/>
      <c r="K677" s="15" t="n">
        <v>10</v>
      </c>
      <c r="L677" s="13" t="n"/>
      <c r="M677" s="13" t="n"/>
      <c r="N677" s="13" t="n"/>
      <c r="O677" s="13" t="n"/>
      <c r="P677" s="13" t="n"/>
      <c r="Q677" s="13" t="n"/>
      <c r="R677" s="16">
        <f>IF(COUNT(E677:Q677)=0,"",MIN(E677:Q677))</f>
        <v/>
      </c>
      <c r="S677" s="15">
        <f>IF(COUNT(E677:Q677)=0,"",LOOKUP(2,1/(E677:Q677&lt;&gt;""),E677:Q677))</f>
        <v/>
      </c>
      <c r="T677" s="17">
        <f>IF(R677="","",ROUND(R677*RESUMEN!$B$4,0))</f>
        <v/>
      </c>
      <c r="U677" s="18">
        <f>COUNT(E677:Q677)</f>
        <v/>
      </c>
    </row>
    <row r="678">
      <c r="A678" s="13" t="inlineStr">
        <is>
          <t>53864631024909</t>
        </is>
      </c>
      <c r="B678" s="13" t="inlineStr">
        <is>
          <t>COLLAR CON PASADOR Y PLACA ESTILO CORAZÓN SILVER</t>
        </is>
      </c>
      <c r="C678" s="13" t="inlineStr">
        <is>
          <t>44 cm</t>
        </is>
      </c>
      <c r="D678" s="14" t="inlineStr">
        <is>
          <t>Stainless Stee</t>
        </is>
      </c>
      <c r="E678" s="13" t="n"/>
      <c r="F678" s="13" t="n"/>
      <c r="G678" s="13" t="n"/>
      <c r="H678" s="15" t="n">
        <v>12</v>
      </c>
      <c r="I678" s="15" t="n">
        <v>12</v>
      </c>
      <c r="J678" s="13" t="n"/>
      <c r="K678" s="13" t="n"/>
      <c r="L678" s="15" t="n">
        <v>12</v>
      </c>
      <c r="M678" s="13" t="n"/>
      <c r="N678" s="13" t="n"/>
      <c r="O678" s="15" t="n">
        <v>12</v>
      </c>
      <c r="P678" s="13" t="n"/>
      <c r="Q678" s="13" t="n"/>
      <c r="R678" s="16">
        <f>IF(COUNT(E678:Q678)=0,"",MIN(E678:Q678))</f>
        <v/>
      </c>
      <c r="S678" s="15">
        <f>IF(COUNT(E678:Q678)=0,"",LOOKUP(2,1/(E678:Q678&lt;&gt;""),E678:Q678))</f>
        <v/>
      </c>
      <c r="T678" s="17">
        <f>IF(R678="","",ROUND(R678*RESUMEN!$B$4,0))</f>
        <v/>
      </c>
      <c r="U678" s="18">
        <f>COUNT(E678:Q678)</f>
        <v/>
      </c>
    </row>
    <row r="679">
      <c r="A679" s="13" t="inlineStr">
        <is>
          <t>67201534708013</t>
        </is>
      </c>
      <c r="B679" s="13" t="inlineStr">
        <is>
          <t>COLLAR CRUZ T GOLD</t>
        </is>
      </c>
      <c r="C679" s="13" t="inlineStr">
        <is>
          <t>Default Title</t>
        </is>
      </c>
      <c r="D679" s="14" t="inlineStr">
        <is>
          <t>copper alloy</t>
        </is>
      </c>
      <c r="E679" s="13" t="n"/>
      <c r="F679" s="15" t="n">
        <v>7</v>
      </c>
      <c r="G679" s="13" t="n"/>
      <c r="H679" s="15" t="n">
        <v>7</v>
      </c>
      <c r="I679" s="15" t="n">
        <v>7</v>
      </c>
      <c r="J679" s="13" t="n"/>
      <c r="K679" s="13" t="n"/>
      <c r="L679" s="15" t="n">
        <v>7</v>
      </c>
      <c r="M679" s="13" t="n"/>
      <c r="N679" s="13" t="n"/>
      <c r="O679" s="15" t="n">
        <v>7</v>
      </c>
      <c r="P679" s="13" t="n"/>
      <c r="Q679" s="13" t="n"/>
      <c r="R679" s="16">
        <f>IF(COUNT(E679:Q679)=0,"",MIN(E679:Q679))</f>
        <v/>
      </c>
      <c r="S679" s="15">
        <f>IF(COUNT(E679:Q679)=0,"",LOOKUP(2,1/(E679:Q679&lt;&gt;""),E679:Q679))</f>
        <v/>
      </c>
      <c r="T679" s="17">
        <f>IF(R679="","",ROUND(R679*RESUMEN!$B$4,0))</f>
        <v/>
      </c>
      <c r="U679" s="18">
        <f>COUNT(E679:Q679)</f>
        <v/>
      </c>
    </row>
    <row r="680">
      <c r="A680" s="13" t="inlineStr">
        <is>
          <t>54804110299361</t>
        </is>
      </c>
      <c r="B680" s="13" t="inlineStr">
        <is>
          <t>COLLAR DOBLE PLACA CORAZÓN ROJO-PLATA</t>
        </is>
      </c>
      <c r="C680" s="13" t="inlineStr">
        <is>
          <t>Con diamante</t>
        </is>
      </c>
      <c r="D680" s="14" t="inlineStr"/>
      <c r="E680" s="15" t="n">
        <v>5</v>
      </c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6">
        <f>IF(COUNT(E680:Q680)=0,"",MIN(E680:Q680))</f>
        <v/>
      </c>
      <c r="S680" s="15">
        <f>IF(COUNT(E680:Q680)=0,"",LOOKUP(2,1/(E680:Q680&lt;&gt;""),E680:Q680))</f>
        <v/>
      </c>
      <c r="T680" s="17">
        <f>IF(R680="","",ROUND(R680*RESUMEN!$B$4,0))</f>
        <v/>
      </c>
      <c r="U680" s="18">
        <f>COUNT(E680:Q680)</f>
        <v/>
      </c>
    </row>
    <row r="681">
      <c r="A681" s="13" t="inlineStr">
        <is>
          <t>668eee3550b09</t>
        </is>
      </c>
      <c r="B681" s="13" t="inlineStr">
        <is>
          <t>COLLAR DOBLE PLACA CORAZÓN ROJO-PLATA</t>
        </is>
      </c>
      <c r="C681" s="13" t="inlineStr">
        <is>
          <t>Middle Quality</t>
        </is>
      </c>
      <c r="D681" s="14" t="inlineStr">
        <is>
          <t>Stainless stee</t>
        </is>
      </c>
      <c r="E681" s="13" t="n"/>
      <c r="F681" s="13" t="n"/>
      <c r="G681" s="13" t="n"/>
      <c r="H681" s="13" t="n"/>
      <c r="I681" s="13" t="n"/>
      <c r="J681" s="13" t="n"/>
      <c r="K681" s="13" t="n"/>
      <c r="L681" s="15" t="n">
        <v>5</v>
      </c>
      <c r="M681" s="13" t="n"/>
      <c r="N681" s="15" t="n">
        <v>5</v>
      </c>
      <c r="O681" s="15" t="n">
        <v>5</v>
      </c>
      <c r="P681" s="13" t="n"/>
      <c r="Q681" s="13" t="n"/>
      <c r="R681" s="16">
        <f>IF(COUNT(E681:Q681)=0,"",MIN(E681:Q681))</f>
        <v/>
      </c>
      <c r="S681" s="15">
        <f>IF(COUNT(E681:Q681)=0,"",LOOKUP(2,1/(E681:Q681&lt;&gt;""),E681:Q681))</f>
        <v/>
      </c>
      <c r="T681" s="17">
        <f>IF(R681="","",ROUND(R681*RESUMEN!$B$4,0))</f>
        <v/>
      </c>
      <c r="U681" s="18">
        <f>COUNT(E681:Q681)</f>
        <v/>
      </c>
    </row>
    <row r="682">
      <c r="A682" s="13" t="inlineStr">
        <is>
          <t>668eee3e3e067</t>
        </is>
      </c>
      <c r="B682" s="13" t="inlineStr">
        <is>
          <t>COLLAR DOBLE PLACA CORAZÓN TURQUESA-PLATA</t>
        </is>
      </c>
      <c r="C682" s="13" t="inlineStr">
        <is>
          <t>Copper</t>
        </is>
      </c>
      <c r="D682" s="14" t="inlineStr">
        <is>
          <t>Stainless Stee</t>
        </is>
      </c>
      <c r="E682" s="13" t="n"/>
      <c r="F682" s="15" t="n">
        <v>5</v>
      </c>
      <c r="G682" s="13" t="n"/>
      <c r="H682" s="15" t="n">
        <v>5</v>
      </c>
      <c r="I682" s="15" t="n">
        <v>5</v>
      </c>
      <c r="J682" s="13" t="n"/>
      <c r="K682" s="13" t="n"/>
      <c r="L682" s="13" t="n"/>
      <c r="M682" s="13" t="n"/>
      <c r="N682" s="15" t="n">
        <v>5</v>
      </c>
      <c r="O682" s="13" t="n"/>
      <c r="P682" s="13" t="n"/>
      <c r="Q682" s="15" t="n">
        <v>5</v>
      </c>
      <c r="R682" s="16">
        <f>IF(COUNT(E682:Q682)=0,"",MIN(E682:Q682))</f>
        <v/>
      </c>
      <c r="S682" s="15">
        <f>IF(COUNT(E682:Q682)=0,"",LOOKUP(2,1/(E682:Q682&lt;&gt;""),E682:Q682))</f>
        <v/>
      </c>
      <c r="T682" s="17">
        <f>IF(R682="","",ROUND(R682*RESUMEN!$B$4,0))</f>
        <v/>
      </c>
      <c r="U682" s="18">
        <f>COUNT(E682:Q682)</f>
        <v/>
      </c>
    </row>
    <row r="683">
      <c r="A683" s="13" t="inlineStr">
        <is>
          <t>56481489561612</t>
        </is>
      </c>
      <c r="B683" s="13" t="inlineStr">
        <is>
          <t>COLLAR DOBLE PLACA ROSEGOLD</t>
        </is>
      </c>
      <c r="C683" s="13" t="inlineStr">
        <is>
          <t>39cm con 5cm de extensión</t>
        </is>
      </c>
      <c r="D683" s="14" t="inlineStr">
        <is>
          <t>Stainless Stee</t>
        </is>
      </c>
      <c r="E683" s="13" t="n"/>
      <c r="F683" s="15" t="n">
        <v>5</v>
      </c>
      <c r="G683" s="13" t="n"/>
      <c r="H683" s="13" t="n"/>
      <c r="I683" s="13" t="n"/>
      <c r="J683" s="15" t="n">
        <v>5</v>
      </c>
      <c r="K683" s="13" t="n"/>
      <c r="L683" s="15" t="n">
        <v>5</v>
      </c>
      <c r="M683" s="13" t="n"/>
      <c r="N683" s="13" t="n"/>
      <c r="O683" s="13" t="n"/>
      <c r="P683" s="15" t="n">
        <v>5</v>
      </c>
      <c r="Q683" s="15" t="n">
        <v>5</v>
      </c>
      <c r="R683" s="16">
        <f>IF(COUNT(E683:Q683)=0,"",MIN(E683:Q683))</f>
        <v/>
      </c>
      <c r="S683" s="15">
        <f>IF(COUNT(E683:Q683)=0,"",LOOKUP(2,1/(E683:Q683&lt;&gt;""),E683:Q683))</f>
        <v/>
      </c>
      <c r="T683" s="17">
        <f>IF(R683="","",ROUND(R683*RESUMEN!$B$4,0))</f>
        <v/>
      </c>
      <c r="U683" s="18">
        <f>COUNT(E683:Q683)</f>
        <v/>
      </c>
    </row>
    <row r="684">
      <c r="A684" s="13" t="inlineStr">
        <is>
          <t>56481497508748</t>
        </is>
      </c>
      <c r="B684" s="13" t="inlineStr">
        <is>
          <t>COLLAR DOBLE PLACA ROSEGOLD PLATA</t>
        </is>
      </c>
      <c r="C684" s="13" t="inlineStr">
        <is>
          <t>40cm con 5cm de extensión</t>
        </is>
      </c>
      <c r="D684" s="14" t="inlineStr">
        <is>
          <t>Stainless Stee</t>
        </is>
      </c>
      <c r="E684" s="13" t="n"/>
      <c r="F684" s="13" t="n"/>
      <c r="G684" s="13" t="n"/>
      <c r="H684" s="13" t="n"/>
      <c r="I684" s="15" t="n">
        <v>5</v>
      </c>
      <c r="J684" s="13" t="n"/>
      <c r="K684" s="13" t="n"/>
      <c r="L684" s="15" t="n">
        <v>5</v>
      </c>
      <c r="M684" s="13" t="n"/>
      <c r="N684" s="15" t="n">
        <v>5</v>
      </c>
      <c r="O684" s="13" t="n"/>
      <c r="P684" s="15" t="n">
        <v>5</v>
      </c>
      <c r="Q684" s="15" t="n">
        <v>5</v>
      </c>
      <c r="R684" s="16">
        <f>IF(COUNT(E684:Q684)=0,"",MIN(E684:Q684))</f>
        <v/>
      </c>
      <c r="S684" s="15">
        <f>IF(COUNT(E684:Q684)=0,"",LOOKUP(2,1/(E684:Q684&lt;&gt;""),E684:Q684))</f>
        <v/>
      </c>
      <c r="T684" s="17">
        <f>IF(R684="","",ROUND(R684*RESUMEN!$B$4,0))</f>
        <v/>
      </c>
      <c r="U684" s="18">
        <f>COUNT(E684:Q684)</f>
        <v/>
      </c>
    </row>
    <row r="685">
      <c r="A685" s="13" t="inlineStr">
        <is>
          <t>12314361740365</t>
        </is>
      </c>
      <c r="B685" s="13" t="inlineStr">
        <is>
          <t>COLLAR F GOLD ZIRCONIAS</t>
        </is>
      </c>
      <c r="C685" s="13" t="inlineStr">
        <is>
          <t>Default Title</t>
        </is>
      </c>
      <c r="D685" s="14" t="inlineStr">
        <is>
          <t>Copper alloy</t>
        </is>
      </c>
      <c r="E685" s="13" t="n"/>
      <c r="F685" s="13" t="n"/>
      <c r="G685" s="15" t="n">
        <v>8</v>
      </c>
      <c r="H685" s="13" t="n"/>
      <c r="I685" s="13" t="n"/>
      <c r="J685" s="15" t="n">
        <v>8</v>
      </c>
      <c r="K685" s="13" t="n"/>
      <c r="L685" s="15" t="n">
        <v>8</v>
      </c>
      <c r="M685" s="13" t="n"/>
      <c r="N685" s="13" t="n"/>
      <c r="O685" s="13" t="n"/>
      <c r="P685" s="13" t="n"/>
      <c r="Q685" s="13" t="n"/>
      <c r="R685" s="16">
        <f>IF(COUNT(E685:Q685)=0,"",MIN(E685:Q685))</f>
        <v/>
      </c>
      <c r="S685" s="15">
        <f>IF(COUNT(E685:Q685)=0,"",LOOKUP(2,1/(E685:Q685&lt;&gt;""),E685:Q685))</f>
        <v/>
      </c>
      <c r="T685" s="17">
        <f>IF(R685="","",ROUND(R685*RESUMEN!$B$4,0))</f>
        <v/>
      </c>
      <c r="U685" s="18">
        <f>COUNT(E685:Q685)</f>
        <v/>
      </c>
    </row>
    <row r="686">
      <c r="A686" s="13" t="inlineStr">
        <is>
          <t>59109721516269</t>
        </is>
      </c>
      <c r="B686" s="13" t="inlineStr">
        <is>
          <t>COLLAR F O'LOCK CRYSTALS</t>
        </is>
      </c>
      <c r="C686" s="13" t="inlineStr">
        <is>
          <t>Default Title</t>
        </is>
      </c>
      <c r="D686" s="14" t="inlineStr">
        <is>
          <t>copper alloy</t>
        </is>
      </c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5" t="n">
        <v>8.99</v>
      </c>
      <c r="Q686" s="13" t="n"/>
      <c r="R686" s="16">
        <f>IF(COUNT(E686:Q686)=0,"",MIN(E686:Q686))</f>
        <v/>
      </c>
      <c r="S686" s="15">
        <f>IF(COUNT(E686:Q686)=0,"",LOOKUP(2,1/(E686:Q686&lt;&gt;""),E686:Q686))</f>
        <v/>
      </c>
      <c r="T686" s="17">
        <f>IF(R686="","",ROUND(R686*RESUMEN!$B$4,0))</f>
        <v/>
      </c>
      <c r="U686" s="18">
        <f>COUNT(E686:Q686)</f>
        <v/>
      </c>
    </row>
    <row r="687">
      <c r="A687" s="13" t="inlineStr">
        <is>
          <t>59109721331533</t>
        </is>
      </c>
      <c r="B687" s="13" t="inlineStr">
        <is>
          <t>COLLAR F O'LOCK TRIPLE GOLD</t>
        </is>
      </c>
      <c r="C687" s="13" t="inlineStr">
        <is>
          <t>Default Title</t>
        </is>
      </c>
      <c r="D687" s="14" t="inlineStr">
        <is>
          <t>copper alloy</t>
        </is>
      </c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5" t="n">
        <v>9</v>
      </c>
      <c r="Q687" s="13" t="n"/>
      <c r="R687" s="16">
        <f>IF(COUNT(E687:Q687)=0,"",MIN(E687:Q687))</f>
        <v/>
      </c>
      <c r="S687" s="15">
        <f>IF(COUNT(E687:Q687)=0,"",LOOKUP(2,1/(E687:Q687&lt;&gt;""),E687:Q687))</f>
        <v/>
      </c>
      <c r="T687" s="17">
        <f>IF(R687="","",ROUND(R687*RESUMEN!$B$4,0))</f>
        <v/>
      </c>
      <c r="U687" s="18">
        <f>COUNT(E687:Q687)</f>
        <v/>
      </c>
    </row>
    <row r="688">
      <c r="A688" s="13" t="inlineStr">
        <is>
          <t>59109721417965</t>
        </is>
      </c>
      <c r="B688" s="13" t="inlineStr">
        <is>
          <t>COLLAR F TRIPLE GOLD</t>
        </is>
      </c>
      <c r="C688" s="13" t="inlineStr">
        <is>
          <t>Default Title</t>
        </is>
      </c>
      <c r="D688" s="14" t="inlineStr">
        <is>
          <t>copper alloy</t>
        </is>
      </c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5" t="n">
        <v>8.99</v>
      </c>
      <c r="Q688" s="13" t="n"/>
      <c r="R688" s="16">
        <f>IF(COUNT(E688:Q688)=0,"",MIN(E688:Q688))</f>
        <v/>
      </c>
      <c r="S688" s="15">
        <f>IF(COUNT(E688:Q688)=0,"",LOOKUP(2,1/(E688:Q688&lt;&gt;""),E688:Q688))</f>
        <v/>
      </c>
      <c r="T688" s="17">
        <f>IF(R688="","",ROUND(R688*RESUMEN!$B$4,0))</f>
        <v/>
      </c>
      <c r="U688" s="18">
        <f>COUNT(E688:Q688)</f>
        <v/>
      </c>
    </row>
    <row r="689">
      <c r="A689" s="13" t="inlineStr">
        <is>
          <t>37491258394380</t>
        </is>
      </c>
      <c r="B689" s="13" t="inlineStr">
        <is>
          <t>COLLAR FLOWER VF</t>
        </is>
      </c>
      <c r="C689" s="13" t="inlineStr">
        <is>
          <t>45cm</t>
        </is>
      </c>
      <c r="D689" s="14" t="inlineStr">
        <is>
          <t>copper alloy</t>
        </is>
      </c>
      <c r="E689" s="15" t="n">
        <v>5</v>
      </c>
      <c r="F689" s="13" t="n"/>
      <c r="G689" s="13" t="n"/>
      <c r="H689" s="15" t="n">
        <v>5</v>
      </c>
      <c r="I689" s="15" t="n">
        <v>5</v>
      </c>
      <c r="J689" s="15" t="n">
        <v>5</v>
      </c>
      <c r="K689" s="13" t="n"/>
      <c r="L689" s="15" t="n">
        <v>5</v>
      </c>
      <c r="M689" s="13" t="n"/>
      <c r="N689" s="13" t="n"/>
      <c r="O689" s="15" t="n">
        <v>5</v>
      </c>
      <c r="P689" s="13" t="n"/>
      <c r="Q689" s="13" t="n"/>
      <c r="R689" s="16">
        <f>IF(COUNT(E689:Q689)=0,"",MIN(E689:Q689))</f>
        <v/>
      </c>
      <c r="S689" s="15">
        <f>IF(COUNT(E689:Q689)=0,"",LOOKUP(2,1/(E689:Q689&lt;&gt;""),E689:Q689))</f>
        <v/>
      </c>
      <c r="T689" s="17">
        <f>IF(R689="","",ROUND(R689*RESUMEN!$B$4,0))</f>
        <v/>
      </c>
      <c r="U689" s="18">
        <f>COUNT(E689:Q689)</f>
        <v/>
      </c>
    </row>
    <row r="690">
      <c r="A690" s="13" t="inlineStr">
        <is>
          <t>43728096383020</t>
        </is>
      </c>
      <c r="B690" s="13" t="inlineStr">
        <is>
          <t>COLLAR FR GOLD</t>
        </is>
      </c>
      <c r="C690" s="13" t="inlineStr">
        <is>
          <t>Default Title</t>
        </is>
      </c>
      <c r="D690" s="14" t="inlineStr"/>
      <c r="E690" s="13" t="n"/>
      <c r="F690" s="13" t="n"/>
      <c r="G690" s="13" t="n"/>
      <c r="H690" s="13" t="n"/>
      <c r="I690" s="13" t="n"/>
      <c r="J690" s="15" t="n">
        <v>6.9</v>
      </c>
      <c r="K690" s="13" t="n"/>
      <c r="L690" s="13" t="n"/>
      <c r="M690" s="13" t="n"/>
      <c r="N690" s="13" t="n"/>
      <c r="O690" s="13" t="n"/>
      <c r="P690" s="13" t="n"/>
      <c r="Q690" s="13" t="n"/>
      <c r="R690" s="16">
        <f>IF(COUNT(E690:Q690)=0,"",MIN(E690:Q690))</f>
        <v/>
      </c>
      <c r="S690" s="15">
        <f>IF(COUNT(E690:Q690)=0,"",LOOKUP(2,1/(E690:Q690&lt;&gt;""),E690:Q690))</f>
        <v/>
      </c>
      <c r="T690" s="17">
        <f>IF(R690="","",ROUND(R690*RESUMEN!$B$4,0))</f>
        <v/>
      </c>
      <c r="U690" s="18">
        <f>COUNT(E690:Q690)</f>
        <v/>
      </c>
    </row>
    <row r="691">
      <c r="A691" s="13" t="inlineStr">
        <is>
          <t>31453671066413</t>
        </is>
      </c>
      <c r="B691" s="13" t="inlineStr">
        <is>
          <t>COLLAR FR GOLD CON PERLA</t>
        </is>
      </c>
      <c r="C691" s="13" t="inlineStr">
        <is>
          <t>PRODUCTO NUEVO</t>
        </is>
      </c>
      <c r="D691" s="14" t="inlineStr"/>
      <c r="E691" s="13" t="n"/>
      <c r="F691" s="13" t="n"/>
      <c r="G691" s="13" t="n"/>
      <c r="H691" s="13" t="n"/>
      <c r="I691" s="13" t="n"/>
      <c r="J691" s="15" t="n">
        <v>6.9</v>
      </c>
      <c r="K691" s="13" t="n"/>
      <c r="L691" s="13" t="n"/>
      <c r="M691" s="13" t="n"/>
      <c r="N691" s="13" t="n"/>
      <c r="O691" s="13" t="n"/>
      <c r="P691" s="13" t="n"/>
      <c r="Q691" s="13" t="n"/>
      <c r="R691" s="16">
        <f>IF(COUNT(E691:Q691)=0,"",MIN(E691:Q691))</f>
        <v/>
      </c>
      <c r="S691" s="15">
        <f>IF(COUNT(E691:Q691)=0,"",LOOKUP(2,1/(E691:Q691&lt;&gt;""),E691:Q691))</f>
        <v/>
      </c>
      <c r="T691" s="17">
        <f>IF(R691="","",ROUND(R691*RESUMEN!$B$4,0))</f>
        <v/>
      </c>
      <c r="U691" s="18">
        <f>COUNT(E691:Q691)</f>
        <v/>
      </c>
    </row>
    <row r="692">
      <c r="A692" s="13" t="inlineStr">
        <is>
          <t>43728096469580</t>
        </is>
      </c>
      <c r="B692" s="13" t="inlineStr">
        <is>
          <t>COLLAR FR SILVER</t>
        </is>
      </c>
      <c r="C692" s="13" t="inlineStr">
        <is>
          <t>46cm de largo con 5 cm de Extension</t>
        </is>
      </c>
      <c r="D692" s="14" t="inlineStr"/>
      <c r="E692" s="13" t="n"/>
      <c r="F692" s="13" t="n"/>
      <c r="G692" s="13" t="n"/>
      <c r="H692" s="13" t="n"/>
      <c r="I692" s="13" t="n"/>
      <c r="J692" s="15" t="n">
        <v>6.9</v>
      </c>
      <c r="K692" s="13" t="n"/>
      <c r="L692" s="13" t="n"/>
      <c r="M692" s="13" t="n"/>
      <c r="N692" s="13" t="n"/>
      <c r="O692" s="13" t="n"/>
      <c r="P692" s="13" t="n"/>
      <c r="Q692" s="13" t="n"/>
      <c r="R692" s="16">
        <f>IF(COUNT(E692:Q692)=0,"",MIN(E692:Q692))</f>
        <v/>
      </c>
      <c r="S692" s="15">
        <f>IF(COUNT(E692:Q692)=0,"",LOOKUP(2,1/(E692:Q692&lt;&gt;""),E692:Q692))</f>
        <v/>
      </c>
      <c r="T692" s="17">
        <f>IF(R692="","",ROUND(R692*RESUMEN!$B$4,0))</f>
        <v/>
      </c>
      <c r="U692" s="18">
        <f>COUNT(E692:Q692)</f>
        <v/>
      </c>
    </row>
    <row r="693">
      <c r="A693" s="13" t="inlineStr">
        <is>
          <t>61453671212141</t>
        </is>
      </c>
      <c r="B693" s="13" t="inlineStr">
        <is>
          <t>COLLAR FR SILVER PEARL</t>
        </is>
      </c>
      <c r="C693" s="13" t="inlineStr"/>
      <c r="D693" s="14" t="inlineStr"/>
      <c r="E693" s="13" t="n"/>
      <c r="F693" s="13" t="n"/>
      <c r="G693" s="13" t="n"/>
      <c r="H693" s="13" t="n"/>
      <c r="I693" s="13" t="n"/>
      <c r="J693" s="15" t="n">
        <v>6.9</v>
      </c>
      <c r="K693" s="13" t="n"/>
      <c r="L693" s="13" t="n"/>
      <c r="M693" s="13" t="n"/>
      <c r="N693" s="13" t="n"/>
      <c r="O693" s="13" t="n"/>
      <c r="P693" s="13" t="n"/>
      <c r="Q693" s="13" t="n"/>
      <c r="R693" s="16">
        <f>IF(COUNT(E693:Q693)=0,"",MIN(E693:Q693))</f>
        <v/>
      </c>
      <c r="S693" s="15">
        <f>IF(COUNT(E693:Q693)=0,"",LOOKUP(2,1/(E693:Q693&lt;&gt;""),E693:Q693))</f>
        <v/>
      </c>
      <c r="T693" s="17">
        <f>IF(R693="","",ROUND(R693*RESUMEN!$B$4,0))</f>
        <v/>
      </c>
      <c r="U693" s="18">
        <f>COUNT(E693:Q693)</f>
        <v/>
      </c>
    </row>
    <row r="694">
      <c r="A694" s="13" t="inlineStr">
        <is>
          <t>89246882985325</t>
        </is>
      </c>
      <c r="B694" s="13" t="inlineStr">
        <is>
          <t>COLLAR H CHAINE D'ANCRE GOLD</t>
        </is>
      </c>
      <c r="C694" s="13" t="inlineStr">
        <is>
          <t>Default Title</t>
        </is>
      </c>
      <c r="D694" s="14" t="inlineStr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5" t="n">
        <v>10</v>
      </c>
      <c r="O694" s="13" t="n"/>
      <c r="P694" s="13" t="n"/>
      <c r="Q694" s="13" t="n"/>
      <c r="R694" s="16">
        <f>IF(COUNT(E694:Q694)=0,"",MIN(E694:Q694))</f>
        <v/>
      </c>
      <c r="S694" s="15">
        <f>IF(COUNT(E694:Q694)=0,"",LOOKUP(2,1/(E694:Q694&lt;&gt;""),E694:Q694))</f>
        <v/>
      </c>
      <c r="T694" s="17">
        <f>IF(R694="","",ROUND(R694*RESUMEN!$B$4,0))</f>
        <v/>
      </c>
      <c r="U694" s="18">
        <f>COUNT(E694:Q694)</f>
        <v/>
      </c>
    </row>
    <row r="695">
      <c r="A695" s="13" t="inlineStr">
        <is>
          <t>89246883050861</t>
        </is>
      </c>
      <c r="B695" s="13" t="inlineStr">
        <is>
          <t>COLLAR H CHAINE GOLD</t>
        </is>
      </c>
      <c r="C695" s="13" t="inlineStr">
        <is>
          <t>Default Title</t>
        </is>
      </c>
      <c r="D695" s="14" t="inlineStr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5" t="n">
        <v>7</v>
      </c>
      <c r="O695" s="13" t="n"/>
      <c r="P695" s="13" t="n"/>
      <c r="Q695" s="13" t="n"/>
      <c r="R695" s="16">
        <f>IF(COUNT(E695:Q695)=0,"",MIN(E695:Q695))</f>
        <v/>
      </c>
      <c r="S695" s="15">
        <f>IF(COUNT(E695:Q695)=0,"",LOOKUP(2,1/(E695:Q695&lt;&gt;""),E695:Q695))</f>
        <v/>
      </c>
      <c r="T695" s="17">
        <f>IF(R695="","",ROUND(R695*RESUMEN!$B$4,0))</f>
        <v/>
      </c>
      <c r="U695" s="18">
        <f>COUNT(E695:Q695)</f>
        <v/>
      </c>
    </row>
    <row r="696">
      <c r="A696" s="13" t="inlineStr">
        <is>
          <t>89246883152557</t>
        </is>
      </c>
      <c r="B696" s="13" t="inlineStr">
        <is>
          <t>COLLAR H CHAINE GOLD ZIRCONIAS</t>
        </is>
      </c>
      <c r="C696" s="13" t="inlineStr">
        <is>
          <t>Default Title</t>
        </is>
      </c>
      <c r="D696" s="14" t="inlineStr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5" t="n">
        <v>6.99</v>
      </c>
      <c r="O696" s="13" t="n"/>
      <c r="P696" s="13" t="n"/>
      <c r="Q696" s="13" t="n"/>
      <c r="R696" s="16">
        <f>IF(COUNT(E696:Q696)=0,"",MIN(E696:Q696))</f>
        <v/>
      </c>
      <c r="S696" s="15">
        <f>IF(COUNT(E696:Q696)=0,"",LOOKUP(2,1/(E696:Q696&lt;&gt;""),E696:Q696))</f>
        <v/>
      </c>
      <c r="T696" s="17">
        <f>IF(R696="","",ROUND(R696*RESUMEN!$B$4,0))</f>
        <v/>
      </c>
      <c r="U696" s="18">
        <f>COUNT(E696:Q696)</f>
        <v/>
      </c>
    </row>
    <row r="697">
      <c r="A697" s="13" t="inlineStr">
        <is>
          <t>35432872383693</t>
        </is>
      </c>
      <c r="B697" s="13" t="inlineStr">
        <is>
          <t>COLLAR H MINI MAILLON GOLD-BLACK</t>
        </is>
      </c>
      <c r="C697" s="13" t="inlineStr">
        <is>
          <t>Default Title</t>
        </is>
      </c>
      <c r="D697" s="14" t="inlineStr">
        <is>
          <t>Stainless Stee</t>
        </is>
      </c>
      <c r="E697" s="13" t="n"/>
      <c r="F697" s="13" t="n"/>
      <c r="G697" s="13" t="n"/>
      <c r="H697" s="13" t="n"/>
      <c r="I697" s="13" t="n"/>
      <c r="J697" s="13" t="n"/>
      <c r="K697" s="15" t="n">
        <v>6.99</v>
      </c>
      <c r="L697" s="13" t="n"/>
      <c r="M697" s="13" t="n"/>
      <c r="N697" s="13" t="n"/>
      <c r="O697" s="13" t="n"/>
      <c r="P697" s="13" t="n"/>
      <c r="Q697" s="15" t="n">
        <v>6.99</v>
      </c>
      <c r="R697" s="16">
        <f>IF(COUNT(E697:Q697)=0,"",MIN(E697:Q697))</f>
        <v/>
      </c>
      <c r="S697" s="15">
        <f>IF(COUNT(E697:Q697)=0,"",LOOKUP(2,1/(E697:Q697&lt;&gt;""),E697:Q697))</f>
        <v/>
      </c>
      <c r="T697" s="17">
        <f>IF(R697="","",ROUND(R697*RESUMEN!$B$4,0))</f>
        <v/>
      </c>
      <c r="U697" s="18">
        <f>COUNT(E697:Q697)</f>
        <v/>
      </c>
    </row>
    <row r="698">
      <c r="A698" s="13" t="inlineStr">
        <is>
          <t>35432872271821</t>
        </is>
      </c>
      <c r="B698" s="13" t="inlineStr">
        <is>
          <t>COLLAR H MINI MAILLON ROSE GOLD</t>
        </is>
      </c>
      <c r="C698" s="13" t="inlineStr">
        <is>
          <t>Default Title</t>
        </is>
      </c>
      <c r="D698" s="14" t="inlineStr"/>
      <c r="E698" s="13" t="n"/>
      <c r="F698" s="13" t="n"/>
      <c r="G698" s="13" t="n"/>
      <c r="H698" s="13" t="n"/>
      <c r="I698" s="13" t="n"/>
      <c r="J698" s="13" t="n"/>
      <c r="K698" s="15" t="n">
        <v>6.99</v>
      </c>
      <c r="L698" s="13" t="n"/>
      <c r="M698" s="13" t="n"/>
      <c r="N698" s="13" t="n"/>
      <c r="O698" s="13" t="n"/>
      <c r="P698" s="13" t="n"/>
      <c r="Q698" s="13" t="n"/>
      <c r="R698" s="16">
        <f>IF(COUNT(E698:Q698)=0,"",MIN(E698:Q698))</f>
        <v/>
      </c>
      <c r="S698" s="15">
        <f>IF(COUNT(E698:Q698)=0,"",LOOKUP(2,1/(E698:Q698&lt;&gt;""),E698:Q698))</f>
        <v/>
      </c>
      <c r="T698" s="17">
        <f>IF(R698="","",ROUND(R698*RESUMEN!$B$4,0))</f>
        <v/>
      </c>
      <c r="U698" s="18">
        <f>COUNT(E698:Q698)</f>
        <v/>
      </c>
    </row>
    <row r="699">
      <c r="A699" s="13" t="inlineStr">
        <is>
          <t>40154173241997</t>
        </is>
      </c>
      <c r="B699" s="13" t="inlineStr">
        <is>
          <t>COLLAR JUSTE UN CLOU ROSE GOLD</t>
        </is>
      </c>
      <c r="C699" s="13" t="inlineStr">
        <is>
          <t>Default Title</t>
        </is>
      </c>
      <c r="D699" s="14" t="inlineStr"/>
      <c r="E699" s="13" t="n"/>
      <c r="F699" s="13" t="n"/>
      <c r="G699" s="13" t="n"/>
      <c r="H699" s="13" t="n"/>
      <c r="I699" s="13" t="n"/>
      <c r="J699" s="13" t="n"/>
      <c r="K699" s="15" t="n">
        <v>10.5</v>
      </c>
      <c r="L699" s="13" t="n"/>
      <c r="M699" s="13" t="n"/>
      <c r="N699" s="13" t="n"/>
      <c r="O699" s="13" t="n"/>
      <c r="P699" s="13" t="n"/>
      <c r="Q699" s="13" t="n"/>
      <c r="R699" s="16">
        <f>IF(COUNT(E699:Q699)=0,"",MIN(E699:Q699))</f>
        <v/>
      </c>
      <c r="S699" s="15">
        <f>IF(COUNT(E699:Q699)=0,"",LOOKUP(2,1/(E699:Q699&lt;&gt;""),E699:Q699))</f>
        <v/>
      </c>
      <c r="T699" s="17">
        <f>IF(R699="","",ROUND(R699*RESUMEN!$B$4,0))</f>
        <v/>
      </c>
      <c r="U699" s="18">
        <f>COUNT(E699:Q699)</f>
        <v/>
      </c>
    </row>
    <row r="700">
      <c r="A700" s="13" t="inlineStr">
        <is>
          <t>15104862668173</t>
        </is>
      </c>
      <c r="B700" s="13" t="inlineStr">
        <is>
          <t>COLLAR KELLY ROSE GOLD</t>
        </is>
      </c>
      <c r="C700" s="13" t="inlineStr">
        <is>
          <t>Default Title</t>
        </is>
      </c>
      <c r="D700" s="14" t="inlineStr">
        <is>
          <t>Copper alloy</t>
        </is>
      </c>
      <c r="E700" s="13" t="n"/>
      <c r="F700" s="13" t="n"/>
      <c r="G700" s="13" t="n"/>
      <c r="H700" s="13" t="n"/>
      <c r="I700" s="13" t="n"/>
      <c r="J700" s="13" t="n"/>
      <c r="K700" s="15" t="n">
        <v>6</v>
      </c>
      <c r="L700" s="13" t="n"/>
      <c r="M700" s="13" t="n"/>
      <c r="N700" s="13" t="n"/>
      <c r="O700" s="13" t="n"/>
      <c r="P700" s="15" t="n">
        <v>6</v>
      </c>
      <c r="Q700" s="13" t="n"/>
      <c r="R700" s="16">
        <f>IF(COUNT(E700:Q700)=0,"",MIN(E700:Q700))</f>
        <v/>
      </c>
      <c r="S700" s="15">
        <f>IF(COUNT(E700:Q700)=0,"",LOOKUP(2,1/(E700:Q700&lt;&gt;""),E700:Q700))</f>
        <v/>
      </c>
      <c r="T700" s="17">
        <f>IF(R700="","",ROUND(R700*RESUMEN!$B$4,0))</f>
        <v/>
      </c>
      <c r="U700" s="18">
        <f>COUNT(E700:Q700)</f>
        <v/>
      </c>
    </row>
    <row r="701">
      <c r="A701" s="13" t="inlineStr">
        <is>
          <t>15104863437293</t>
        </is>
      </c>
      <c r="B701" s="13" t="inlineStr">
        <is>
          <t>COLLAR KNOT GOLD ZIRCONIAS</t>
        </is>
      </c>
      <c r="C701" s="13" t="inlineStr">
        <is>
          <t>Default Title</t>
        </is>
      </c>
      <c r="D701" s="14" t="inlineStr">
        <is>
          <t>Copper alloy</t>
        </is>
      </c>
      <c r="E701" s="13" t="n"/>
      <c r="F701" s="13" t="n"/>
      <c r="G701" s="13" t="n"/>
      <c r="H701" s="13" t="n"/>
      <c r="I701" s="13" t="n"/>
      <c r="J701" s="13" t="n"/>
      <c r="K701" s="15" t="n">
        <v>7</v>
      </c>
      <c r="L701" s="13" t="n"/>
      <c r="M701" s="13" t="n"/>
      <c r="N701" s="13" t="n"/>
      <c r="O701" s="15" t="n">
        <v>7</v>
      </c>
      <c r="P701" s="13" t="n"/>
      <c r="Q701" s="13" t="n"/>
      <c r="R701" s="16">
        <f>IF(COUNT(E701:Q701)=0,"",MIN(E701:Q701))</f>
        <v/>
      </c>
      <c r="S701" s="15">
        <f>IF(COUNT(E701:Q701)=0,"",LOOKUP(2,1/(E701:Q701&lt;&gt;""),E701:Q701))</f>
        <v/>
      </c>
      <c r="T701" s="17">
        <f>IF(R701="","",ROUND(R701*RESUMEN!$B$4,0))</f>
        <v/>
      </c>
      <c r="U701" s="18">
        <f>COUNT(E701:Q701)</f>
        <v/>
      </c>
    </row>
    <row r="702">
      <c r="A702" s="13" t="inlineStr">
        <is>
          <t>15104863347341</t>
        </is>
      </c>
      <c r="B702" s="13" t="inlineStr">
        <is>
          <t>COLLAR KNOT ROSEGOLD HALF ZIRCONIAS</t>
        </is>
      </c>
      <c r="C702" s="13" t="inlineStr">
        <is>
          <t>Default Title</t>
        </is>
      </c>
      <c r="D702" s="14" t="inlineStr">
        <is>
          <t>Copper alloy</t>
        </is>
      </c>
      <c r="E702" s="13" t="n"/>
      <c r="F702" s="13" t="n"/>
      <c r="G702" s="13" t="n"/>
      <c r="H702" s="13" t="n"/>
      <c r="I702" s="13" t="n"/>
      <c r="J702" s="13" t="n"/>
      <c r="K702" s="15" t="n">
        <v>6.5</v>
      </c>
      <c r="L702" s="13" t="n"/>
      <c r="M702" s="13" t="n"/>
      <c r="N702" s="13" t="n"/>
      <c r="O702" s="13" t="n"/>
      <c r="P702" s="13" t="n"/>
      <c r="Q702" s="15" t="n">
        <v>6.5</v>
      </c>
      <c r="R702" s="16">
        <f>IF(COUNT(E702:Q702)=0,"",MIN(E702:Q702))</f>
        <v/>
      </c>
      <c r="S702" s="15">
        <f>IF(COUNT(E702:Q702)=0,"",LOOKUP(2,1/(E702:Q702&lt;&gt;""),E702:Q702))</f>
        <v/>
      </c>
      <c r="T702" s="17">
        <f>IF(R702="","",ROUND(R702*RESUMEN!$B$4,0))</f>
        <v/>
      </c>
      <c r="U702" s="18">
        <f>COUNT(E702:Q702)</f>
        <v/>
      </c>
    </row>
    <row r="703">
      <c r="A703" s="13" t="inlineStr">
        <is>
          <t>15104863274477</t>
        </is>
      </c>
      <c r="B703" s="13" t="inlineStr">
        <is>
          <t>COLLAR KNOT SILVER ZIRCONIAS</t>
        </is>
      </c>
      <c r="C703" s="13" t="inlineStr">
        <is>
          <t>Default Title</t>
        </is>
      </c>
      <c r="D703" s="14" t="inlineStr">
        <is>
          <t>Copper alloy</t>
        </is>
      </c>
      <c r="E703" s="13" t="n"/>
      <c r="F703" s="13" t="n"/>
      <c r="G703" s="13" t="n"/>
      <c r="H703" s="13" t="n"/>
      <c r="I703" s="13" t="n"/>
      <c r="J703" s="13" t="n"/>
      <c r="K703" s="15" t="n">
        <v>7</v>
      </c>
      <c r="L703" s="13" t="n"/>
      <c r="M703" s="13" t="n"/>
      <c r="N703" s="13" t="n"/>
      <c r="O703" s="13" t="n"/>
      <c r="P703" s="13" t="n"/>
      <c r="Q703" s="15" t="n">
        <v>7</v>
      </c>
      <c r="R703" s="16">
        <f>IF(COUNT(E703:Q703)=0,"",MIN(E703:Q703))</f>
        <v/>
      </c>
      <c r="S703" s="15">
        <f>IF(COUNT(E703:Q703)=0,"",LOOKUP(2,1/(E703:Q703&lt;&gt;""),E703:Q703))</f>
        <v/>
      </c>
      <c r="T703" s="17">
        <f>IF(R703="","",ROUND(R703*RESUMEN!$B$4,0))</f>
        <v/>
      </c>
      <c r="U703" s="18">
        <f>COUNT(E703:Q703)</f>
        <v/>
      </c>
    </row>
    <row r="704">
      <c r="A704" s="13" t="inlineStr">
        <is>
          <t>64085741817357</t>
        </is>
      </c>
      <c r="B704" s="13" t="inlineStr">
        <is>
          <t>COLLAR LOVE 3 AROS CON ZIRCONIA</t>
        </is>
      </c>
      <c r="C704" s="13" t="inlineStr">
        <is>
          <t>Default Title</t>
        </is>
      </c>
      <c r="D704" s="14" t="inlineStr">
        <is>
          <t>Stainless stee</t>
        </is>
      </c>
      <c r="E704" s="13" t="n"/>
      <c r="F704" s="13" t="n"/>
      <c r="G704" s="13" t="n"/>
      <c r="H704" s="13" t="n"/>
      <c r="I704" s="13" t="n"/>
      <c r="J704" s="13" t="n"/>
      <c r="K704" s="13" t="n"/>
      <c r="L704" s="15" t="n">
        <v>7</v>
      </c>
      <c r="M704" s="13" t="n"/>
      <c r="N704" s="15" t="n">
        <v>7</v>
      </c>
      <c r="O704" s="13" t="n"/>
      <c r="P704" s="13" t="n"/>
      <c r="Q704" s="13" t="n"/>
      <c r="R704" s="16">
        <f>IF(COUNT(E704:Q704)=0,"",MIN(E704:Q704))</f>
        <v/>
      </c>
      <c r="S704" s="15">
        <f>IF(COUNT(E704:Q704)=0,"",LOOKUP(2,1/(E704:Q704&lt;&gt;""),E704:Q704))</f>
        <v/>
      </c>
      <c r="T704" s="17">
        <f>IF(R704="","",ROUND(R704*RESUMEN!$B$4,0))</f>
        <v/>
      </c>
      <c r="U704" s="18">
        <f>COUNT(E704:Q704)</f>
        <v/>
      </c>
    </row>
    <row r="705">
      <c r="A705" s="13" t="inlineStr">
        <is>
          <t>63e0beee6c617</t>
        </is>
      </c>
      <c r="B705" s="13" t="inlineStr">
        <is>
          <t>COLLAR LOVE GOLD</t>
        </is>
      </c>
      <c r="C705" s="13" t="inlineStr">
        <is>
          <t>45cm</t>
        </is>
      </c>
      <c r="D705" s="14" t="inlineStr">
        <is>
          <t>Stainless Stee</t>
        </is>
      </c>
      <c r="E705" s="13" t="n"/>
      <c r="F705" s="15" t="n">
        <v>5</v>
      </c>
      <c r="G705" s="13" t="n"/>
      <c r="H705" s="15" t="n">
        <v>5</v>
      </c>
      <c r="I705" s="15" t="n">
        <v>5</v>
      </c>
      <c r="J705" s="13" t="n"/>
      <c r="K705" s="13" t="n"/>
      <c r="L705" s="13" t="n"/>
      <c r="M705" s="13" t="n"/>
      <c r="N705" s="15" t="n">
        <v>5</v>
      </c>
      <c r="O705" s="13" t="n"/>
      <c r="P705" s="15" t="n">
        <v>5</v>
      </c>
      <c r="Q705" s="15" t="n">
        <v>5</v>
      </c>
      <c r="R705" s="16">
        <f>IF(COUNT(E705:Q705)=0,"",MIN(E705:Q705))</f>
        <v/>
      </c>
      <c r="S705" s="15">
        <f>IF(COUNT(E705:Q705)=0,"",LOOKUP(2,1/(E705:Q705&lt;&gt;""),E705:Q705))</f>
        <v/>
      </c>
      <c r="T705" s="17">
        <f>IF(R705="","",ROUND(R705*RESUMEN!$B$4,0))</f>
        <v/>
      </c>
      <c r="U705" s="18">
        <f>COUNT(E705:Q705)</f>
        <v/>
      </c>
    </row>
    <row r="706">
      <c r="A706" s="13" t="inlineStr">
        <is>
          <t>23663391024461</t>
        </is>
      </c>
      <c r="B706" s="13" t="inlineStr">
        <is>
          <t>COLLAR LOVE ROSEGOLD CON ZIRCONIA</t>
        </is>
      </c>
      <c r="C706" s="13" t="inlineStr">
        <is>
          <t>Default Title</t>
        </is>
      </c>
      <c r="D706" s="14" t="inlineStr">
        <is>
          <t>Stainless Stee</t>
        </is>
      </c>
      <c r="E706" s="13" t="n"/>
      <c r="F706" s="15" t="n">
        <v>5</v>
      </c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5" t="n">
        <v>5</v>
      </c>
      <c r="P706" s="13" t="n"/>
      <c r="Q706" s="13" t="n"/>
      <c r="R706" s="16">
        <f>IF(COUNT(E706:Q706)=0,"",MIN(E706:Q706))</f>
        <v/>
      </c>
      <c r="S706" s="15">
        <f>IF(COUNT(E706:Q706)=0,"",LOOKUP(2,1/(E706:Q706&lt;&gt;""),E706:Q706))</f>
        <v/>
      </c>
      <c r="T706" s="17">
        <f>IF(R706="","",ROUND(R706*RESUMEN!$B$4,0))</f>
        <v/>
      </c>
      <c r="U706" s="18">
        <f>COUNT(E706:Q706)</f>
        <v/>
      </c>
    </row>
    <row r="707">
      <c r="A707" s="13" t="inlineStr">
        <is>
          <t>665bbe3eb9388</t>
        </is>
      </c>
      <c r="B707" s="13" t="inlineStr">
        <is>
          <t>COLLAR LOVE SILVER</t>
        </is>
      </c>
      <c r="C707" s="13" t="inlineStr">
        <is>
          <t>Default Title</t>
        </is>
      </c>
      <c r="D707" s="14" t="inlineStr">
        <is>
          <t>Stainless stee</t>
        </is>
      </c>
      <c r="E707" s="15" t="n">
        <v>5</v>
      </c>
      <c r="F707" s="13" t="n"/>
      <c r="G707" s="13" t="n"/>
      <c r="H707" s="15" t="n">
        <v>5</v>
      </c>
      <c r="I707" s="15" t="n">
        <v>5</v>
      </c>
      <c r="J707" s="13" t="n"/>
      <c r="K707" s="13" t="n"/>
      <c r="L707" s="13" t="n"/>
      <c r="M707" s="13" t="n"/>
      <c r="N707" s="15" t="n">
        <v>5</v>
      </c>
      <c r="O707" s="13" t="n"/>
      <c r="P707" s="13" t="n"/>
      <c r="Q707" s="13" t="n"/>
      <c r="R707" s="16">
        <f>IF(COUNT(E707:Q707)=0,"",MIN(E707:Q707))</f>
        <v/>
      </c>
      <c r="S707" s="15">
        <f>IF(COUNT(E707:Q707)=0,"",LOOKUP(2,1/(E707:Q707&lt;&gt;""),E707:Q707))</f>
        <v/>
      </c>
      <c r="T707" s="17">
        <f>IF(R707="","",ROUND(R707*RESUMEN!$B$4,0))</f>
        <v/>
      </c>
      <c r="U707" s="18">
        <f>COUNT(E707:Q707)</f>
        <v/>
      </c>
    </row>
    <row r="708">
      <c r="A708" s="13" t="inlineStr">
        <is>
          <t>66177c3e7206b</t>
        </is>
      </c>
      <c r="B708" s="13" t="inlineStr">
        <is>
          <t>COLLAR LOVE-LOVE GOLD</t>
        </is>
      </c>
      <c r="C708" s="13" t="inlineStr">
        <is>
          <t>46cm con 5cm de extension</t>
        </is>
      </c>
      <c r="D708" s="14" t="inlineStr">
        <is>
          <t>Stainless Stee</t>
        </is>
      </c>
      <c r="E708" s="15" t="n">
        <v>3.8</v>
      </c>
      <c r="F708" s="13" t="n"/>
      <c r="G708" s="13" t="n"/>
      <c r="H708" s="15" t="n">
        <v>3.8</v>
      </c>
      <c r="I708" s="15" t="n">
        <v>3.8</v>
      </c>
      <c r="J708" s="15" t="n">
        <v>3.8</v>
      </c>
      <c r="K708" s="13" t="n"/>
      <c r="L708" s="13" t="n"/>
      <c r="M708" s="13" t="n"/>
      <c r="N708" s="15" t="n">
        <v>3.8</v>
      </c>
      <c r="O708" s="13" t="n"/>
      <c r="P708" s="13" t="n"/>
      <c r="Q708" s="15" t="n">
        <v>3.8</v>
      </c>
      <c r="R708" s="16">
        <f>IF(COUNT(E708:Q708)=0,"",MIN(E708:Q708))</f>
        <v/>
      </c>
      <c r="S708" s="15">
        <f>IF(COUNT(E708:Q708)=0,"",LOOKUP(2,1/(E708:Q708&lt;&gt;""),E708:Q708))</f>
        <v/>
      </c>
      <c r="T708" s="17">
        <f>IF(R708="","",ROUND(R708*RESUMEN!$B$4,0))</f>
        <v/>
      </c>
      <c r="U708" s="18">
        <f>COUNT(E708:Q708)</f>
        <v/>
      </c>
    </row>
    <row r="709">
      <c r="A709" s="13" t="inlineStr">
        <is>
          <t>63e0bef7903cb</t>
        </is>
      </c>
      <c r="B709" s="13" t="inlineStr">
        <is>
          <t>COLLAR LOVE-LOVE SILVER</t>
        </is>
      </c>
      <c r="C709" s="13" t="inlineStr">
        <is>
          <t>46cm con extensión de 5cm</t>
        </is>
      </c>
      <c r="D709" s="14" t="inlineStr">
        <is>
          <t>SIN MATERIAL</t>
        </is>
      </c>
      <c r="E709" s="13" t="n"/>
      <c r="F709" s="13" t="n"/>
      <c r="G709" s="13" t="n"/>
      <c r="H709" s="13" t="n"/>
      <c r="I709" s="15" t="n">
        <v>3.8</v>
      </c>
      <c r="J709" s="15" t="n">
        <v>3.8</v>
      </c>
      <c r="K709" s="13" t="n"/>
      <c r="L709" s="13" t="n"/>
      <c r="M709" s="13" t="n"/>
      <c r="N709" s="13" t="n"/>
      <c r="O709" s="15" t="n">
        <v>3.8</v>
      </c>
      <c r="P709" s="13" t="n"/>
      <c r="Q709" s="15" t="n">
        <v>3.8</v>
      </c>
      <c r="R709" s="16">
        <f>IF(COUNT(E709:Q709)=0,"",MIN(E709:Q709))</f>
        <v/>
      </c>
      <c r="S709" s="15">
        <f>IF(COUNT(E709:Q709)=0,"",LOOKUP(2,1/(E709:Q709&lt;&gt;""),E709:Q709))</f>
        <v/>
      </c>
      <c r="T709" s="17">
        <f>IF(R709="","",ROUND(R709*RESUMEN!$B$4,0))</f>
        <v/>
      </c>
      <c r="U709" s="18">
        <f>COUNT(E709:Q709)</f>
        <v/>
      </c>
    </row>
    <row r="710">
      <c r="A710" s="13" t="inlineStr">
        <is>
          <t>46912391017229</t>
        </is>
      </c>
      <c r="B710" s="13" t="inlineStr">
        <is>
          <t>COLLAR LOVELOVE ROSE GOLD</t>
        </is>
      </c>
      <c r="C710" s="13" t="inlineStr">
        <is>
          <t>Default Title</t>
        </is>
      </c>
      <c r="D710" s="14" t="inlineStr"/>
      <c r="E710" s="13" t="n"/>
      <c r="F710" s="13" t="n"/>
      <c r="G710" s="13" t="n"/>
      <c r="H710" s="13" t="n"/>
      <c r="I710" s="13" t="n"/>
      <c r="J710" s="13" t="n"/>
      <c r="K710" s="13" t="n"/>
      <c r="L710" s="15" t="n">
        <v>5</v>
      </c>
      <c r="M710" s="13" t="n"/>
      <c r="N710" s="13" t="n"/>
      <c r="O710" s="13" t="n"/>
      <c r="P710" s="13" t="n"/>
      <c r="Q710" s="13" t="n"/>
      <c r="R710" s="16">
        <f>IF(COUNT(E710:Q710)=0,"",MIN(E710:Q710))</f>
        <v/>
      </c>
      <c r="S710" s="15">
        <f>IF(COUNT(E710:Q710)=0,"",LOOKUP(2,1/(E710:Q710&lt;&gt;""),E710:Q710))</f>
        <v/>
      </c>
      <c r="T710" s="17">
        <f>IF(R710="","",ROUND(R710*RESUMEN!$B$4,0))</f>
        <v/>
      </c>
      <c r="U710" s="18">
        <f>COUNT(E710:Q710)</f>
        <v/>
      </c>
    </row>
    <row r="711">
      <c r="A711" s="13" t="inlineStr">
        <is>
          <t>78326321018849</t>
        </is>
      </c>
      <c r="B711" s="13" t="inlineStr">
        <is>
          <t>COLLAR LOVESTRUCK</t>
        </is>
      </c>
      <c r="C711" s="13" t="inlineStr">
        <is>
          <t>43CM</t>
        </is>
      </c>
      <c r="D711" s="14" t="inlineStr"/>
      <c r="E711" s="13" t="n"/>
      <c r="F711" s="13" t="n"/>
      <c r="G711" s="13" t="n"/>
      <c r="H711" s="13" t="n"/>
      <c r="I711" s="13" t="n"/>
      <c r="J711" s="13" t="n"/>
      <c r="K711" s="15" t="n">
        <v>6</v>
      </c>
      <c r="L711" s="13" t="n"/>
      <c r="M711" s="13" t="n"/>
      <c r="N711" s="13" t="n"/>
      <c r="O711" s="13" t="n"/>
      <c r="P711" s="13" t="n"/>
      <c r="Q711" s="13" t="n"/>
      <c r="R711" s="16">
        <f>IF(COUNT(E711:Q711)=0,"",MIN(E711:Q711))</f>
        <v/>
      </c>
      <c r="S711" s="15">
        <f>IF(COUNT(E711:Q711)=0,"",LOOKUP(2,1/(E711:Q711&lt;&gt;""),E711:Q711))</f>
        <v/>
      </c>
      <c r="T711" s="17">
        <f>IF(R711="","",ROUND(R711*RESUMEN!$B$4,0))</f>
        <v/>
      </c>
      <c r="U711" s="18">
        <f>COUNT(E711:Q711)</f>
        <v/>
      </c>
    </row>
    <row r="712">
      <c r="A712" s="13" t="inlineStr">
        <is>
          <t>17964142517645</t>
        </is>
      </c>
      <c r="B712" s="13" t="inlineStr">
        <is>
          <t>COLLAR LV BLOSSOM BB STAR GOLD</t>
        </is>
      </c>
      <c r="C712" s="13" t="inlineStr">
        <is>
          <t>Default Title</t>
        </is>
      </c>
      <c r="D712" s="14" t="inlineStr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5" t="n">
        <v>5.99</v>
      </c>
      <c r="P712" s="13" t="n"/>
      <c r="Q712" s="13" t="n"/>
      <c r="R712" s="16">
        <f>IF(COUNT(E712:Q712)=0,"",MIN(E712:Q712))</f>
        <v/>
      </c>
      <c r="S712" s="15">
        <f>IF(COUNT(E712:Q712)=0,"",LOOKUP(2,1/(E712:Q712&lt;&gt;""),E712:Q712))</f>
        <v/>
      </c>
      <c r="T712" s="17">
        <f>IF(R712="","",ROUND(R712*RESUMEN!$B$4,0))</f>
        <v/>
      </c>
      <c r="U712" s="18">
        <f>COUNT(E712:Q712)</f>
        <v/>
      </c>
    </row>
    <row r="713">
      <c r="A713" s="13" t="inlineStr">
        <is>
          <t>17964142453805</t>
        </is>
      </c>
      <c r="B713" s="13" t="inlineStr">
        <is>
          <t>COLLAR LV BLOSSOM BB STAR SILVER</t>
        </is>
      </c>
      <c r="C713" s="13" t="inlineStr">
        <is>
          <t>Default Title</t>
        </is>
      </c>
      <c r="D713" s="14" t="inlineStr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5" t="n">
        <v>5.99</v>
      </c>
      <c r="P713" s="13" t="n"/>
      <c r="Q713" s="13" t="n"/>
      <c r="R713" s="16">
        <f>IF(COUNT(E713:Q713)=0,"",MIN(E713:Q713))</f>
        <v/>
      </c>
      <c r="S713" s="15">
        <f>IF(COUNT(E713:Q713)=0,"",LOOKUP(2,1/(E713:Q713&lt;&gt;""),E713:Q713))</f>
        <v/>
      </c>
      <c r="T713" s="17">
        <f>IF(R713="","",ROUND(R713*RESUMEN!$B$4,0))</f>
        <v/>
      </c>
      <c r="U713" s="18">
        <f>COUNT(E713:Q713)</f>
        <v/>
      </c>
    </row>
    <row r="714">
      <c r="A714" s="13" t="inlineStr">
        <is>
          <t>17964142322733</t>
        </is>
      </c>
      <c r="B714" s="13" t="inlineStr">
        <is>
          <t>COLLAR LV SPIKE SILVER</t>
        </is>
      </c>
      <c r="C714" s="13" t="inlineStr">
        <is>
          <t>Default Title</t>
        </is>
      </c>
      <c r="D714" s="14" t="inlineStr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5" t="n">
        <v>12</v>
      </c>
      <c r="P714" s="15" t="n">
        <v>12</v>
      </c>
      <c r="Q714" s="13" t="n"/>
      <c r="R714" s="16">
        <f>IF(COUNT(E714:Q714)=0,"",MIN(E714:Q714))</f>
        <v/>
      </c>
      <c r="S714" s="15">
        <f>IF(COUNT(E714:Q714)=0,"",LOOKUP(2,1/(E714:Q714&lt;&gt;""),E714:Q714))</f>
        <v/>
      </c>
      <c r="T714" s="17">
        <f>IF(R714="","",ROUND(R714*RESUMEN!$B$4,0))</f>
        <v/>
      </c>
      <c r="U714" s="18">
        <f>COUNT(E714:Q714)</f>
        <v/>
      </c>
    </row>
    <row r="715">
      <c r="A715" s="13" t="inlineStr">
        <is>
          <t>22064324048909</t>
        </is>
      </c>
      <c r="B715" s="13" t="inlineStr">
        <is>
          <t>COLLAR MARIPOSA ROSE GOLD WHITE</t>
        </is>
      </c>
      <c r="C715" s="13" t="inlineStr">
        <is>
          <t>Default Title</t>
        </is>
      </c>
      <c r="D715" s="14" t="inlineStr">
        <is>
          <t>Copper alloy</t>
        </is>
      </c>
      <c r="E715" s="13" t="n"/>
      <c r="F715" s="13" t="n"/>
      <c r="G715" s="13" t="n"/>
      <c r="H715" s="13" t="n"/>
      <c r="I715" s="13" t="n"/>
      <c r="J715" s="13" t="n"/>
      <c r="K715" s="15" t="n">
        <v>6</v>
      </c>
      <c r="L715" s="13" t="n"/>
      <c r="M715" s="13" t="n"/>
      <c r="N715" s="13" t="n"/>
      <c r="O715" s="13" t="n"/>
      <c r="P715" s="15" t="n">
        <v>6</v>
      </c>
      <c r="Q715" s="13" t="n"/>
      <c r="R715" s="16">
        <f>IF(COUNT(E715:Q715)=0,"",MIN(E715:Q715))</f>
        <v/>
      </c>
      <c r="S715" s="15">
        <f>IF(COUNT(E715:Q715)=0,"",LOOKUP(2,1/(E715:Q715&lt;&gt;""),E715:Q715))</f>
        <v/>
      </c>
      <c r="T715" s="17">
        <f>IF(R715="","",ROUND(R715*RESUMEN!$B$4,0))</f>
        <v/>
      </c>
      <c r="U715" s="18">
        <f>COUNT(E715:Q715)</f>
        <v/>
      </c>
    </row>
    <row r="716">
      <c r="A716" s="13" t="inlineStr">
        <is>
          <t>22064324185069</t>
        </is>
      </c>
      <c r="B716" s="13" t="inlineStr">
        <is>
          <t>COLLAR MARIPOSA SILVER ZIRCONIAS</t>
        </is>
      </c>
      <c r="C716" s="13" t="inlineStr">
        <is>
          <t>Default Title</t>
        </is>
      </c>
      <c r="D716" s="14" t="inlineStr"/>
      <c r="E716" s="13" t="n"/>
      <c r="F716" s="13" t="n"/>
      <c r="G716" s="13" t="n"/>
      <c r="H716" s="13" t="n"/>
      <c r="I716" s="13" t="n"/>
      <c r="J716" s="13" t="n"/>
      <c r="K716" s="15" t="n">
        <v>6</v>
      </c>
      <c r="L716" s="13" t="n"/>
      <c r="M716" s="13" t="n"/>
      <c r="N716" s="13" t="n"/>
      <c r="O716" s="13" t="n"/>
      <c r="P716" s="13" t="n"/>
      <c r="Q716" s="13" t="n"/>
      <c r="R716" s="16">
        <f>IF(COUNT(E716:Q716)=0,"",MIN(E716:Q716))</f>
        <v/>
      </c>
      <c r="S716" s="15">
        <f>IF(COUNT(E716:Q716)=0,"",LOOKUP(2,1/(E716:Q716&lt;&gt;""),E716:Q716))</f>
        <v/>
      </c>
      <c r="T716" s="17">
        <f>IF(R716="","",ROUND(R716*RESUMEN!$B$4,0))</f>
        <v/>
      </c>
      <c r="U716" s="18">
        <f>COUNT(E716:Q716)</f>
        <v/>
      </c>
    </row>
    <row r="717">
      <c r="A717" s="13" t="inlineStr">
        <is>
          <t>22064324293549</t>
        </is>
      </c>
      <c r="B717" s="13" t="inlineStr">
        <is>
          <t>COLLAR MARIPOSA TURQUESA GOLD</t>
        </is>
      </c>
      <c r="C717" s="13" t="inlineStr">
        <is>
          <t>Default Title</t>
        </is>
      </c>
      <c r="D717" s="14" t="inlineStr">
        <is>
          <t>Copper alloy</t>
        </is>
      </c>
      <c r="E717" s="13" t="n"/>
      <c r="F717" s="13" t="n"/>
      <c r="G717" s="13" t="n"/>
      <c r="H717" s="13" t="n"/>
      <c r="I717" s="13" t="n"/>
      <c r="J717" s="13" t="n"/>
      <c r="K717" s="15" t="n">
        <v>6</v>
      </c>
      <c r="L717" s="13" t="n"/>
      <c r="M717" s="13" t="n"/>
      <c r="N717" s="13" t="n"/>
      <c r="O717" s="13" t="n"/>
      <c r="P717" s="15" t="n">
        <v>6</v>
      </c>
      <c r="Q717" s="13" t="n"/>
      <c r="R717" s="16">
        <f>IF(COUNT(E717:Q717)=0,"",MIN(E717:Q717))</f>
        <v/>
      </c>
      <c r="S717" s="15">
        <f>IF(COUNT(E717:Q717)=0,"",LOOKUP(2,1/(E717:Q717&lt;&gt;""),E717:Q717))</f>
        <v/>
      </c>
      <c r="T717" s="17">
        <f>IF(R717="","",ROUND(R717*RESUMEN!$B$4,0))</f>
        <v/>
      </c>
      <c r="U717" s="18">
        <f>COUNT(E717:Q717)</f>
        <v/>
      </c>
    </row>
    <row r="718">
      <c r="A718" s="13" t="inlineStr">
        <is>
          <t>37491254947980</t>
        </is>
      </c>
      <c r="B718" s="13" t="inlineStr">
        <is>
          <t>COLLAR MARIQUITA VF</t>
        </is>
      </c>
      <c r="C718" s="13" t="inlineStr">
        <is>
          <t>47cm</t>
        </is>
      </c>
      <c r="D718" s="14" t="inlineStr">
        <is>
          <t>copper alloy</t>
        </is>
      </c>
      <c r="E718" s="15" t="n">
        <v>7</v>
      </c>
      <c r="F718" s="13" t="n"/>
      <c r="G718" s="13" t="n"/>
      <c r="H718" s="15" t="n">
        <v>7</v>
      </c>
      <c r="I718" s="15" t="n">
        <v>7</v>
      </c>
      <c r="J718" s="15" t="n">
        <v>7</v>
      </c>
      <c r="K718" s="13" t="n"/>
      <c r="L718" s="15" t="n">
        <v>7</v>
      </c>
      <c r="M718" s="13" t="n"/>
      <c r="N718" s="15" t="n">
        <v>7</v>
      </c>
      <c r="O718" s="13" t="n"/>
      <c r="P718" s="13" t="n"/>
      <c r="Q718" s="15" t="n">
        <v>7</v>
      </c>
      <c r="R718" s="16">
        <f>IF(COUNT(E718:Q718)=0,"",MIN(E718:Q718))</f>
        <v/>
      </c>
      <c r="S718" s="15">
        <f>IF(COUNT(E718:Q718)=0,"",LOOKUP(2,1/(E718:Q718&lt;&gt;""),E718:Q718))</f>
        <v/>
      </c>
      <c r="T718" s="17">
        <f>IF(R718="","",ROUND(R718*RESUMEN!$B$4,0))</f>
        <v/>
      </c>
      <c r="U718" s="18">
        <f>COUNT(E718:Q718)</f>
        <v/>
      </c>
    </row>
    <row r="719">
      <c r="A719" s="13" t="inlineStr">
        <is>
          <t>59109722069933</t>
        </is>
      </c>
      <c r="B719" s="13" t="inlineStr">
        <is>
          <t>COLLAR MM GOLD-PINK</t>
        </is>
      </c>
      <c r="C719" s="13" t="inlineStr">
        <is>
          <t>Default Title</t>
        </is>
      </c>
      <c r="D719" s="14" t="inlineStr">
        <is>
          <t>copper alloy</t>
        </is>
      </c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5" t="n">
        <v>8.99</v>
      </c>
      <c r="Q719" s="13" t="n"/>
      <c r="R719" s="16">
        <f>IF(COUNT(E719:Q719)=0,"",MIN(E719:Q719))</f>
        <v/>
      </c>
      <c r="S719" s="15">
        <f>IF(COUNT(E719:Q719)=0,"",LOOKUP(2,1/(E719:Q719&lt;&gt;""),E719:Q719))</f>
        <v/>
      </c>
      <c r="T719" s="17">
        <f>IF(R719="","",ROUND(R719*RESUMEN!$B$4,0))</f>
        <v/>
      </c>
      <c r="U719" s="18">
        <f>COUNT(E719:Q719)</f>
        <v/>
      </c>
    </row>
    <row r="720">
      <c r="A720" s="13" t="inlineStr">
        <is>
          <t>59109722102701</t>
        </is>
      </c>
      <c r="B720" s="13" t="inlineStr">
        <is>
          <t>COLLAR MM GOLD-WHITE</t>
        </is>
      </c>
      <c r="C720" s="13" t="inlineStr">
        <is>
          <t>Default Title</t>
        </is>
      </c>
      <c r="D720" s="14" t="inlineStr">
        <is>
          <t>copper alloy</t>
        </is>
      </c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5" t="n">
        <v>8.99</v>
      </c>
      <c r="Q720" s="13" t="n"/>
      <c r="R720" s="16">
        <f>IF(COUNT(E720:Q720)=0,"",MIN(E720:Q720))</f>
        <v/>
      </c>
      <c r="S720" s="15">
        <f>IF(COUNT(E720:Q720)=0,"",LOOKUP(2,1/(E720:Q720&lt;&gt;""),E720:Q720))</f>
        <v/>
      </c>
      <c r="T720" s="17">
        <f>IF(R720="","",ROUND(R720*RESUMEN!$B$4,0))</f>
        <v/>
      </c>
      <c r="U720" s="18">
        <f>COUNT(E720:Q720)</f>
        <v/>
      </c>
    </row>
    <row r="721">
      <c r="A721" s="13" t="inlineStr">
        <is>
          <t>15554122891021</t>
        </is>
      </c>
      <c r="B721" s="13" t="inlineStr">
        <is>
          <t>COLLAR MOVE 10TH SILVER</t>
        </is>
      </c>
      <c r="C721" s="13" t="inlineStr">
        <is>
          <t>Default Title</t>
        </is>
      </c>
      <c r="D721" s="14" t="inlineStr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5" t="n">
        <v>8</v>
      </c>
      <c r="O721" s="13" t="n"/>
      <c r="P721" s="13" t="n"/>
      <c r="Q721" s="13" t="n"/>
      <c r="R721" s="16">
        <f>IF(COUNT(E721:Q721)=0,"",MIN(E721:Q721))</f>
        <v/>
      </c>
      <c r="S721" s="15">
        <f>IF(COUNT(E721:Q721)=0,"",LOOKUP(2,1/(E721:Q721&lt;&gt;""),E721:Q721))</f>
        <v/>
      </c>
      <c r="T721" s="17">
        <f>IF(R721="","",ROUND(R721*RESUMEN!$B$4,0))</f>
        <v/>
      </c>
      <c r="U721" s="18">
        <f>COUNT(E721:Q721)</f>
        <v/>
      </c>
    </row>
    <row r="722">
      <c r="A722" s="13" t="inlineStr">
        <is>
          <t>15554122623789</t>
        </is>
      </c>
      <c r="B722" s="13" t="inlineStr">
        <is>
          <t>COLLAR MOVE CIRCLE SILVER</t>
        </is>
      </c>
      <c r="C722" s="13" t="inlineStr">
        <is>
          <t>Default Title</t>
        </is>
      </c>
      <c r="D722" s="14" t="inlineStr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5" t="n">
        <v>8</v>
      </c>
      <c r="O722" s="13" t="n"/>
      <c r="P722" s="13" t="n"/>
      <c r="Q722" s="13" t="n"/>
      <c r="R722" s="16">
        <f>IF(COUNT(E722:Q722)=0,"",MIN(E722:Q722))</f>
        <v/>
      </c>
      <c r="S722" s="15">
        <f>IF(COUNT(E722:Q722)=0,"",LOOKUP(2,1/(E722:Q722&lt;&gt;""),E722:Q722))</f>
        <v/>
      </c>
      <c r="T722" s="17">
        <f>IF(R722="","",ROUND(R722*RESUMEN!$B$4,0))</f>
        <v/>
      </c>
      <c r="U722" s="18">
        <f>COUNT(E722:Q722)</f>
        <v/>
      </c>
    </row>
    <row r="723">
      <c r="A723" s="13" t="inlineStr">
        <is>
          <t>15554122120397</t>
        </is>
      </c>
      <c r="B723" s="13" t="inlineStr">
        <is>
          <t>COLLAR MOVE UNO DOBLE ZIRCONIAS ROSE GOLD</t>
        </is>
      </c>
      <c r="C723" s="13" t="inlineStr">
        <is>
          <t>Default Title</t>
        </is>
      </c>
      <c r="D723" s="14" t="inlineStr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5" t="n">
        <v>11</v>
      </c>
      <c r="O723" s="13" t="n"/>
      <c r="P723" s="13" t="n"/>
      <c r="Q723" s="13" t="n"/>
      <c r="R723" s="16">
        <f>IF(COUNT(E723:Q723)=0,"",MIN(E723:Q723))</f>
        <v/>
      </c>
      <c r="S723" s="15">
        <f>IF(COUNT(E723:Q723)=0,"",LOOKUP(2,1/(E723:Q723&lt;&gt;""),E723:Q723))</f>
        <v/>
      </c>
      <c r="T723" s="17">
        <f>IF(R723="","",ROUND(R723*RESUMEN!$B$4,0))</f>
        <v/>
      </c>
      <c r="U723" s="18">
        <f>COUNT(E723:Q723)</f>
        <v/>
      </c>
    </row>
    <row r="724">
      <c r="A724" s="13" t="inlineStr">
        <is>
          <t>15554122489325</t>
        </is>
      </c>
      <c r="B724" s="13" t="inlineStr">
        <is>
          <t>COLLAR MOVE UNO GOLD</t>
        </is>
      </c>
      <c r="C724" s="13" t="inlineStr">
        <is>
          <t>Default Title</t>
        </is>
      </c>
      <c r="D724" s="14" t="inlineStr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5" t="n">
        <v>7</v>
      </c>
      <c r="O724" s="13" t="n"/>
      <c r="P724" s="13" t="n"/>
      <c r="Q724" s="13" t="n"/>
      <c r="R724" s="16">
        <f>IF(COUNT(E724:Q724)=0,"",MIN(E724:Q724))</f>
        <v/>
      </c>
      <c r="S724" s="15">
        <f>IF(COUNT(E724:Q724)=0,"",LOOKUP(2,1/(E724:Q724&lt;&gt;""),E724:Q724))</f>
        <v/>
      </c>
      <c r="T724" s="17">
        <f>IF(R724="","",ROUND(R724*RESUMEN!$B$4,0))</f>
        <v/>
      </c>
      <c r="U724" s="18">
        <f>COUNT(E724:Q724)</f>
        <v/>
      </c>
    </row>
    <row r="725">
      <c r="A725" s="13" t="inlineStr">
        <is>
          <t>15554122553165</t>
        </is>
      </c>
      <c r="B725" s="13" t="inlineStr">
        <is>
          <t>COLLAR MOVE UNO GOLD ZIRCONIAS</t>
        </is>
      </c>
      <c r="C725" s="13" t="inlineStr">
        <is>
          <t>Default Title</t>
        </is>
      </c>
      <c r="D725" s="14" t="inlineStr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5" t="n">
        <v>8</v>
      </c>
      <c r="O725" s="13" t="n"/>
      <c r="P725" s="13" t="n"/>
      <c r="Q725" s="13" t="n"/>
      <c r="R725" s="16">
        <f>IF(COUNT(E725:Q725)=0,"",MIN(E725:Q725))</f>
        <v/>
      </c>
      <c r="S725" s="15">
        <f>IF(COUNT(E725:Q725)=0,"",LOOKUP(2,1/(E725:Q725&lt;&gt;""),E725:Q725))</f>
        <v/>
      </c>
      <c r="T725" s="17">
        <f>IF(R725="","",ROUND(R725*RESUMEN!$B$4,0))</f>
        <v/>
      </c>
      <c r="U725" s="18">
        <f>COUNT(E725:Q725)</f>
        <v/>
      </c>
    </row>
    <row r="726">
      <c r="A726" s="13" t="inlineStr">
        <is>
          <t>15554122254861</t>
        </is>
      </c>
      <c r="B726" s="13" t="inlineStr">
        <is>
          <t>COLLAR MOVE UNO SILVER</t>
        </is>
      </c>
      <c r="C726" s="13" t="inlineStr">
        <is>
          <t>Default Title</t>
        </is>
      </c>
      <c r="D726" s="14" t="inlineStr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5" t="n">
        <v>7</v>
      </c>
      <c r="O726" s="13" t="n"/>
      <c r="P726" s="13" t="n"/>
      <c r="Q726" s="13" t="n"/>
      <c r="R726" s="16">
        <f>IF(COUNT(E726:Q726)=0,"",MIN(E726:Q726))</f>
        <v/>
      </c>
      <c r="S726" s="15">
        <f>IF(COUNT(E726:Q726)=0,"",LOOKUP(2,1/(E726:Q726&lt;&gt;""),E726:Q726))</f>
        <v/>
      </c>
      <c r="T726" s="17">
        <f>IF(R726="","",ROUND(R726*RESUMEN!$B$4,0))</f>
        <v/>
      </c>
      <c r="U726" s="18">
        <f>COUNT(E726:Q726)</f>
        <v/>
      </c>
    </row>
    <row r="727">
      <c r="A727" s="13" t="inlineStr">
        <is>
          <t>39966871032781</t>
        </is>
      </c>
      <c r="B727" s="13" t="inlineStr">
        <is>
          <t>COLLAR MSS GOLD CON ZIRCONIA</t>
        </is>
      </c>
      <c r="C727" s="13" t="inlineStr">
        <is>
          <t>Default Title</t>
        </is>
      </c>
      <c r="D727" s="14" t="inlineStr">
        <is>
          <t>copper alloy</t>
        </is>
      </c>
      <c r="E727" s="15" t="n">
        <v>8</v>
      </c>
      <c r="F727" s="13" t="n"/>
      <c r="G727" s="13" t="n"/>
      <c r="H727" s="13" t="n"/>
      <c r="I727" s="15" t="n">
        <v>8</v>
      </c>
      <c r="J727" s="13" t="n"/>
      <c r="K727" s="13" t="n"/>
      <c r="L727" s="15" t="n">
        <v>8</v>
      </c>
      <c r="M727" s="13" t="n"/>
      <c r="N727" s="15" t="n">
        <v>8</v>
      </c>
      <c r="O727" s="15" t="n">
        <v>8</v>
      </c>
      <c r="P727" s="13" t="n"/>
      <c r="Q727" s="13" t="n"/>
      <c r="R727" s="16">
        <f>IF(COUNT(E727:Q727)=0,"",MIN(E727:Q727))</f>
        <v/>
      </c>
      <c r="S727" s="15">
        <f>IF(COUNT(E727:Q727)=0,"",LOOKUP(2,1/(E727:Q727&lt;&gt;""),E727:Q727))</f>
        <v/>
      </c>
      <c r="T727" s="17">
        <f>IF(R727="","",ROUND(R727*RESUMEN!$B$4,0))</f>
        <v/>
      </c>
      <c r="U727" s="18">
        <f>COUNT(E727:Q727)</f>
        <v/>
      </c>
    </row>
    <row r="728">
      <c r="A728" s="13" t="inlineStr">
        <is>
          <t>79024851004397</t>
        </is>
      </c>
      <c r="B728" s="13" t="inlineStr">
        <is>
          <t>COLLAR MSS MOVE GOLD LISO</t>
        </is>
      </c>
      <c r="C728" s="13" t="inlineStr">
        <is>
          <t>Default Title</t>
        </is>
      </c>
      <c r="D728" s="14" t="inlineStr">
        <is>
          <t>Copper alloy</t>
        </is>
      </c>
      <c r="E728" s="15" t="n">
        <v>8</v>
      </c>
      <c r="F728" s="13" t="n"/>
      <c r="G728" s="13" t="n"/>
      <c r="H728" s="13" t="n"/>
      <c r="I728" s="13" t="n"/>
      <c r="J728" s="13" t="n"/>
      <c r="K728" s="13" t="n"/>
      <c r="L728" s="15" t="n">
        <v>8</v>
      </c>
      <c r="M728" s="13" t="n"/>
      <c r="N728" s="15" t="n">
        <v>8</v>
      </c>
      <c r="O728" s="13" t="n"/>
      <c r="P728" s="15" t="n">
        <v>8</v>
      </c>
      <c r="Q728" s="15" t="n">
        <v>8</v>
      </c>
      <c r="R728" s="16">
        <f>IF(COUNT(E728:Q728)=0,"",MIN(E728:Q728))</f>
        <v/>
      </c>
      <c r="S728" s="15">
        <f>IF(COUNT(E728:Q728)=0,"",LOOKUP(2,1/(E728:Q728&lt;&gt;""),E728:Q728))</f>
        <v/>
      </c>
      <c r="T728" s="17">
        <f>IF(R728="","",ROUND(R728*RESUMEN!$B$4,0))</f>
        <v/>
      </c>
      <c r="U728" s="18">
        <f>COUNT(E728:Q728)</f>
        <v/>
      </c>
    </row>
    <row r="729">
      <c r="A729" s="13" t="inlineStr">
        <is>
          <t>16048621033133</t>
        </is>
      </c>
      <c r="B729" s="13" t="inlineStr">
        <is>
          <t>COLLAR MSS MOVE ROSEGOLD LISO</t>
        </is>
      </c>
      <c r="C729" s="13" t="inlineStr">
        <is>
          <t>Default Title</t>
        </is>
      </c>
      <c r="D729" s="14" t="inlineStr">
        <is>
          <t>Copper Alloy</t>
        </is>
      </c>
      <c r="E729" s="15" t="n">
        <v>8</v>
      </c>
      <c r="F729" s="13" t="n"/>
      <c r="G729" s="13" t="n"/>
      <c r="H729" s="13" t="n"/>
      <c r="I729" s="13" t="n"/>
      <c r="J729" s="13" t="n"/>
      <c r="K729" s="13" t="n"/>
      <c r="L729" s="13" t="n"/>
      <c r="M729" s="15" t="n">
        <v>8</v>
      </c>
      <c r="N729" s="15" t="n">
        <v>80</v>
      </c>
      <c r="O729" s="15" t="n">
        <v>8</v>
      </c>
      <c r="P729" s="13" t="n"/>
      <c r="Q729" s="15" t="n">
        <v>8</v>
      </c>
      <c r="R729" s="16">
        <f>IF(COUNT(E729:Q729)=0,"",MIN(E729:Q729))</f>
        <v/>
      </c>
      <c r="S729" s="15">
        <f>IF(COUNT(E729:Q729)=0,"",LOOKUP(2,1/(E729:Q729&lt;&gt;""),E729:Q729))</f>
        <v/>
      </c>
      <c r="T729" s="17">
        <f>IF(R729="","",ROUND(R729*RESUMEN!$B$4,0))</f>
        <v/>
      </c>
      <c r="U729" s="18">
        <f>COUNT(E729:Q729)</f>
        <v/>
      </c>
    </row>
    <row r="730">
      <c r="A730" s="13" t="inlineStr">
        <is>
          <t>CELESTE</t>
        </is>
      </c>
      <c r="B730" s="13" t="inlineStr">
        <is>
          <t>COLLAR MSS MOVE SILVER LISO</t>
        </is>
      </c>
      <c r="C730" s="13" t="inlineStr"/>
      <c r="D730" s="14" t="inlineStr">
        <is>
          <t>Copper alloy</t>
        </is>
      </c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5" t="n">
        <v>8</v>
      </c>
      <c r="R730" s="16">
        <f>IF(COUNT(E730:Q730)=0,"",MIN(E730:Q730))</f>
        <v/>
      </c>
      <c r="S730" s="15">
        <f>IF(COUNT(E730:Q730)=0,"",LOOKUP(2,1/(E730:Q730&lt;&gt;""),E730:Q730))</f>
        <v/>
      </c>
      <c r="T730" s="17">
        <f>IF(R730="","",ROUND(R730*RESUMEN!$B$4,0))</f>
        <v/>
      </c>
      <c r="U730" s="18">
        <f>COUNT(E730:Q730)</f>
        <v/>
      </c>
    </row>
    <row r="731">
      <c r="A731" s="13" t="inlineStr">
        <is>
          <t>77791751017421</t>
        </is>
      </c>
      <c r="B731" s="13" t="inlineStr">
        <is>
          <t>COLLAR MSS MOVE SILVER LISO</t>
        </is>
      </c>
      <c r="C731" s="13" t="inlineStr">
        <is>
          <t>Default Title</t>
        </is>
      </c>
      <c r="D731" s="14" t="inlineStr">
        <is>
          <t>copper alloy</t>
        </is>
      </c>
      <c r="E731" s="15" t="n">
        <v>8</v>
      </c>
      <c r="F731" s="13" t="n"/>
      <c r="G731" s="13" t="n"/>
      <c r="H731" s="13" t="n"/>
      <c r="I731" s="13" t="n"/>
      <c r="J731" s="13" t="n"/>
      <c r="K731" s="13" t="n"/>
      <c r="L731" s="15" t="n">
        <v>8</v>
      </c>
      <c r="M731" s="13" t="n"/>
      <c r="N731" s="13" t="n"/>
      <c r="O731" s="15" t="n">
        <v>8</v>
      </c>
      <c r="P731" s="13" t="n"/>
      <c r="Q731" s="13" t="n"/>
      <c r="R731" s="16">
        <f>IF(COUNT(E731:Q731)=0,"",MIN(E731:Q731))</f>
        <v/>
      </c>
      <c r="S731" s="15">
        <f>IF(COUNT(E731:Q731)=0,"",LOOKUP(2,1/(E731:Q731&lt;&gt;""),E731:Q731))</f>
        <v/>
      </c>
      <c r="T731" s="17">
        <f>IF(R731="","",ROUND(R731*RESUMEN!$B$4,0))</f>
        <v/>
      </c>
      <c r="U731" s="18">
        <f>COUNT(E731:Q731)</f>
        <v/>
      </c>
    </row>
    <row r="732">
      <c r="A732" s="13" t="inlineStr">
        <is>
          <t>89668081080557</t>
        </is>
      </c>
      <c r="B732" s="13" t="inlineStr">
        <is>
          <t>COLLAR MSS MOVE UNO GOLD</t>
        </is>
      </c>
      <c r="C732" s="13" t="inlineStr">
        <is>
          <t>Default Title</t>
        </is>
      </c>
      <c r="D732" s="14" t="inlineStr">
        <is>
          <t>Copper Alloy</t>
        </is>
      </c>
      <c r="E732" s="15" t="n">
        <v>8</v>
      </c>
      <c r="F732" s="13" t="n"/>
      <c r="G732" s="13" t="n"/>
      <c r="H732" s="13" t="n"/>
      <c r="I732" s="15" t="n">
        <v>8</v>
      </c>
      <c r="J732" s="13" t="n"/>
      <c r="K732" s="13" t="n"/>
      <c r="L732" s="13" t="n"/>
      <c r="M732" s="13" t="n"/>
      <c r="N732" s="15" t="n">
        <v>8</v>
      </c>
      <c r="O732" s="13" t="n"/>
      <c r="P732" s="13" t="n"/>
      <c r="Q732" s="15" t="n">
        <v>8</v>
      </c>
      <c r="R732" s="16">
        <f>IF(COUNT(E732:Q732)=0,"",MIN(E732:Q732))</f>
        <v/>
      </c>
      <c r="S732" s="15">
        <f>IF(COUNT(E732:Q732)=0,"",LOOKUP(2,1/(E732:Q732&lt;&gt;""),E732:Q732))</f>
        <v/>
      </c>
      <c r="T732" s="17">
        <f>IF(R732="","",ROUND(R732*RESUMEN!$B$4,0))</f>
        <v/>
      </c>
      <c r="U732" s="18">
        <f>COUNT(E732:Q732)</f>
        <v/>
      </c>
    </row>
    <row r="733">
      <c r="A733" s="13" t="inlineStr">
        <is>
          <t>90834961057229</t>
        </is>
      </c>
      <c r="B733" s="13" t="inlineStr">
        <is>
          <t>COLLAR MSS MOVE UNO ROSE GOLD</t>
        </is>
      </c>
      <c r="C733" s="13" t="inlineStr">
        <is>
          <t>Default Title</t>
        </is>
      </c>
      <c r="D733" s="14" t="inlineStr"/>
      <c r="E733" s="15" t="n">
        <v>8</v>
      </c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6">
        <f>IF(COUNT(E733:Q733)=0,"",MIN(E733:Q733))</f>
        <v/>
      </c>
      <c r="S733" s="15">
        <f>IF(COUNT(E733:Q733)=0,"",LOOKUP(2,1/(E733:Q733&lt;&gt;""),E733:Q733))</f>
        <v/>
      </c>
      <c r="T733" s="17">
        <f>IF(R733="","",ROUND(R733*RESUMEN!$B$4,0))</f>
        <v/>
      </c>
      <c r="U733" s="18">
        <f>COUNT(E733:Q733)</f>
        <v/>
      </c>
    </row>
    <row r="734">
      <c r="A734" s="13" t="inlineStr">
        <is>
          <t>50016841020461</t>
        </is>
      </c>
      <c r="B734" s="13" t="inlineStr">
        <is>
          <t>COLLAR MSS MOVE UNO SILVER</t>
        </is>
      </c>
      <c r="C734" s="13" t="inlineStr">
        <is>
          <t>Default Title</t>
        </is>
      </c>
      <c r="D734" s="14" t="inlineStr"/>
      <c r="E734" s="15" t="n">
        <v>8</v>
      </c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6">
        <f>IF(COUNT(E734:Q734)=0,"",MIN(E734:Q734))</f>
        <v/>
      </c>
      <c r="S734" s="15">
        <f>IF(COUNT(E734:Q734)=0,"",LOOKUP(2,1/(E734:Q734&lt;&gt;""),E734:Q734))</f>
        <v/>
      </c>
      <c r="T734" s="17">
        <f>IF(R734="","",ROUND(R734*RESUMEN!$B$4,0))</f>
        <v/>
      </c>
      <c r="U734" s="18">
        <f>COUNT(E734:Q734)</f>
        <v/>
      </c>
    </row>
    <row r="735">
      <c r="A735" s="13" t="inlineStr">
        <is>
          <t>50869451078413</t>
        </is>
      </c>
      <c r="B735" s="13" t="inlineStr">
        <is>
          <t>COLLAR MSS ROSEGOLD CON ZIRCONIA</t>
        </is>
      </c>
      <c r="C735" s="13" t="inlineStr">
        <is>
          <t>Default Title</t>
        </is>
      </c>
      <c r="D735" s="14" t="inlineStr">
        <is>
          <t>Copper Alloy</t>
        </is>
      </c>
      <c r="E735" s="15" t="n">
        <v>8</v>
      </c>
      <c r="F735" s="13" t="n"/>
      <c r="G735" s="13" t="n"/>
      <c r="H735" s="13" t="n"/>
      <c r="I735" s="15" t="n">
        <v>8</v>
      </c>
      <c r="J735" s="15" t="n">
        <v>8</v>
      </c>
      <c r="K735" s="13" t="n"/>
      <c r="L735" s="15" t="n">
        <v>8</v>
      </c>
      <c r="M735" s="15" t="n">
        <v>8</v>
      </c>
      <c r="N735" s="13" t="n"/>
      <c r="O735" s="15" t="n">
        <v>8</v>
      </c>
      <c r="P735" s="13" t="n"/>
      <c r="Q735" s="13" t="n"/>
      <c r="R735" s="16">
        <f>IF(COUNT(E735:Q735)=0,"",MIN(E735:Q735))</f>
        <v/>
      </c>
      <c r="S735" s="15">
        <f>IF(COUNT(E735:Q735)=0,"",LOOKUP(2,1/(E735:Q735&lt;&gt;""),E735:Q735))</f>
        <v/>
      </c>
      <c r="T735" s="17">
        <f>IF(R735="","",ROUND(R735*RESUMEN!$B$4,0))</f>
        <v/>
      </c>
      <c r="U735" s="18">
        <f>COUNT(E735:Q735)</f>
        <v/>
      </c>
    </row>
    <row r="736">
      <c r="A736" s="13" t="inlineStr">
        <is>
          <t>DANAHE Y CELESTE</t>
        </is>
      </c>
      <c r="B736" s="13" t="inlineStr">
        <is>
          <t>COLLAR MSS SILVER CON ZIRCONIA</t>
        </is>
      </c>
      <c r="C736" s="13" t="inlineStr"/>
      <c r="D736" s="14" t="inlineStr">
        <is>
          <t>Copper alloy</t>
        </is>
      </c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5" t="n">
        <v>8</v>
      </c>
      <c r="R736" s="16">
        <f>IF(COUNT(E736:Q736)=0,"",MIN(E736:Q736))</f>
        <v/>
      </c>
      <c r="S736" s="15">
        <f>IF(COUNT(E736:Q736)=0,"",LOOKUP(2,1/(E736:Q736&lt;&gt;""),E736:Q736))</f>
        <v/>
      </c>
      <c r="T736" s="17">
        <f>IF(R736="","",ROUND(R736*RESUMEN!$B$4,0))</f>
        <v/>
      </c>
      <c r="U736" s="18">
        <f>COUNT(E736:Q736)</f>
        <v/>
      </c>
    </row>
    <row r="737">
      <c r="A737" s="13" t="inlineStr">
        <is>
          <t>15554121831117</t>
        </is>
      </c>
      <c r="B737" s="13" t="inlineStr">
        <is>
          <t>COLLAR MSS SILVER CON ZIRCONIA</t>
        </is>
      </c>
      <c r="C737" s="13" t="inlineStr">
        <is>
          <t>Default Title</t>
        </is>
      </c>
      <c r="D737" s="14" t="inlineStr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5" t="n">
        <v>8</v>
      </c>
      <c r="O737" s="13" t="n"/>
      <c r="P737" s="13" t="n"/>
      <c r="Q737" s="13" t="n"/>
      <c r="R737" s="16">
        <f>IF(COUNT(E737:Q737)=0,"",MIN(E737:Q737))</f>
        <v/>
      </c>
      <c r="S737" s="15">
        <f>IF(COUNT(E737:Q737)=0,"",LOOKUP(2,1/(E737:Q737&lt;&gt;""),E737:Q737))</f>
        <v/>
      </c>
      <c r="T737" s="17">
        <f>IF(R737="","",ROUND(R737*RESUMEN!$B$4,0))</f>
        <v/>
      </c>
      <c r="U737" s="18">
        <f>COUNT(E737:Q737)</f>
        <v/>
      </c>
    </row>
    <row r="738">
      <c r="A738" s="13" t="inlineStr">
        <is>
          <t>54479961098957</t>
        </is>
      </c>
      <c r="B738" s="13" t="inlineStr">
        <is>
          <t>COLLAR MSS SILVER CON ZIRCONIA</t>
        </is>
      </c>
      <c r="C738" s="13" t="inlineStr">
        <is>
          <t>Default Title</t>
        </is>
      </c>
      <c r="D738" s="14" t="inlineStr">
        <is>
          <t>Copper Alloy</t>
        </is>
      </c>
      <c r="E738" s="15" t="n">
        <v>8</v>
      </c>
      <c r="F738" s="13" t="n"/>
      <c r="G738" s="13" t="n"/>
      <c r="H738" s="13" t="n"/>
      <c r="I738" s="15" t="n">
        <v>8</v>
      </c>
      <c r="J738" s="13" t="n"/>
      <c r="K738" s="13" t="n"/>
      <c r="L738" s="15" t="n">
        <v>8</v>
      </c>
      <c r="M738" s="13" t="n"/>
      <c r="N738" s="13" t="n"/>
      <c r="O738" s="15" t="n">
        <v>8</v>
      </c>
      <c r="P738" s="15" t="n">
        <v>8</v>
      </c>
      <c r="Q738" s="13" t="n"/>
      <c r="R738" s="16">
        <f>IF(COUNT(E738:Q738)=0,"",MIN(E738:Q738))</f>
        <v/>
      </c>
      <c r="S738" s="15">
        <f>IF(COUNT(E738:Q738)=0,"",LOOKUP(2,1/(E738:Q738&lt;&gt;""),E738:Q738))</f>
        <v/>
      </c>
      <c r="T738" s="17">
        <f>IF(R738="","",ROUND(R738*RESUMEN!$B$4,0))</f>
        <v/>
      </c>
      <c r="U738" s="18">
        <f>COUNT(E738:Q738)</f>
        <v/>
      </c>
    </row>
    <row r="739">
      <c r="A739" s="13" t="inlineStr">
        <is>
          <t>29736674158157</t>
        </is>
      </c>
      <c r="B739" s="13" t="inlineStr">
        <is>
          <t>COLLAR OPEN HEAR GOLD ZIRCONIAS</t>
        </is>
      </c>
      <c r="C739" s="13" t="inlineStr">
        <is>
          <t>Default Title</t>
        </is>
      </c>
      <c r="D739" s="14" t="inlineStr">
        <is>
          <t>copper alloy</t>
        </is>
      </c>
      <c r="E739" s="13" t="n"/>
      <c r="F739" s="13" t="n"/>
      <c r="G739" s="13" t="n"/>
      <c r="H739" s="13" t="n"/>
      <c r="I739" s="13" t="n"/>
      <c r="J739" s="13" t="n"/>
      <c r="K739" s="15" t="n">
        <v>8</v>
      </c>
      <c r="L739" s="13" t="n"/>
      <c r="M739" s="13" t="n"/>
      <c r="N739" s="13" t="n"/>
      <c r="O739" s="15" t="n">
        <v>8</v>
      </c>
      <c r="P739" s="13" t="n"/>
      <c r="Q739" s="13" t="n"/>
      <c r="R739" s="16">
        <f>IF(COUNT(E739:Q739)=0,"",MIN(E739:Q739))</f>
        <v/>
      </c>
      <c r="S739" s="15">
        <f>IF(COUNT(E739:Q739)=0,"",LOOKUP(2,1/(E739:Q739&lt;&gt;""),E739:Q739))</f>
        <v/>
      </c>
      <c r="T739" s="17">
        <f>IF(R739="","",ROUND(R739*RESUMEN!$B$4,0))</f>
        <v/>
      </c>
      <c r="U739" s="18">
        <f>COUNT(E739:Q739)</f>
        <v/>
      </c>
    </row>
    <row r="740">
      <c r="A740" s="13" t="inlineStr">
        <is>
          <t>56481485321228</t>
        </is>
      </c>
      <c r="B740" s="13" t="inlineStr">
        <is>
          <t>COLLAR OPEN HEART</t>
        </is>
      </c>
      <c r="C740" s="13" t="inlineStr">
        <is>
          <t>45cm</t>
        </is>
      </c>
      <c r="D740" s="14" t="inlineStr">
        <is>
          <t>copper alloy</t>
        </is>
      </c>
      <c r="E740" s="13" t="n"/>
      <c r="F740" s="13" t="n"/>
      <c r="G740" s="13" t="n"/>
      <c r="H740" s="13" t="n"/>
      <c r="I740" s="15" t="n">
        <v>7</v>
      </c>
      <c r="J740" s="13" t="n"/>
      <c r="K740" s="13" t="n"/>
      <c r="L740" s="13" t="n"/>
      <c r="M740" s="13" t="n"/>
      <c r="N740" s="15" t="n">
        <v>7</v>
      </c>
      <c r="O740" s="13" t="n"/>
      <c r="P740" s="13" t="n"/>
      <c r="Q740" s="15" t="n">
        <v>7</v>
      </c>
      <c r="R740" s="16">
        <f>IF(COUNT(E740:Q740)=0,"",MIN(E740:Q740))</f>
        <v/>
      </c>
      <c r="S740" s="15">
        <f>IF(COUNT(E740:Q740)=0,"",LOOKUP(2,1/(E740:Q740&lt;&gt;""),E740:Q740))</f>
        <v/>
      </c>
      <c r="T740" s="17">
        <f>IF(R740="","",ROUND(R740*RESUMEN!$B$4,0))</f>
        <v/>
      </c>
      <c r="U740" s="18">
        <f>COUNT(E740:Q740)</f>
        <v/>
      </c>
    </row>
    <row r="741">
      <c r="A741" s="13" t="inlineStr">
        <is>
          <t>67201534607245</t>
        </is>
      </c>
      <c r="B741" s="13" t="inlineStr">
        <is>
          <t>COLLAR OPEN HEART GOLD</t>
        </is>
      </c>
      <c r="C741" s="13" t="inlineStr">
        <is>
          <t>Default Title</t>
        </is>
      </c>
      <c r="D741" s="14" t="inlineStr">
        <is>
          <t>copper alloy</t>
        </is>
      </c>
      <c r="E741" s="13" t="n"/>
      <c r="F741" s="13" t="n"/>
      <c r="G741" s="13" t="n"/>
      <c r="H741" s="15" t="n">
        <v>7</v>
      </c>
      <c r="I741" s="15" t="n">
        <v>7</v>
      </c>
      <c r="J741" s="13" t="n"/>
      <c r="K741" s="13" t="n"/>
      <c r="L741" s="15" t="n">
        <v>7</v>
      </c>
      <c r="M741" s="13" t="n"/>
      <c r="N741" s="15" t="n">
        <v>7</v>
      </c>
      <c r="O741" s="13" t="n"/>
      <c r="P741" s="13" t="n"/>
      <c r="Q741" s="15" t="n">
        <v>7</v>
      </c>
      <c r="R741" s="16">
        <f>IF(COUNT(E741:Q741)=0,"",MIN(E741:Q741))</f>
        <v/>
      </c>
      <c r="S741" s="15">
        <f>IF(COUNT(E741:Q741)=0,"",LOOKUP(2,1/(E741:Q741&lt;&gt;""),E741:Q741))</f>
        <v/>
      </c>
      <c r="T741" s="17">
        <f>IF(R741="","",ROUND(R741*RESUMEN!$B$4,0))</f>
        <v/>
      </c>
      <c r="U741" s="18">
        <f>COUNT(E741:Q741)</f>
        <v/>
      </c>
    </row>
    <row r="742">
      <c r="A742" s="13" t="inlineStr">
        <is>
          <t>67201534558861</t>
        </is>
      </c>
      <c r="B742" s="13" t="inlineStr">
        <is>
          <t>COLLAR OPEN HEART ROSE GOLD</t>
        </is>
      </c>
      <c r="C742" s="13" t="inlineStr">
        <is>
          <t>Default Title</t>
        </is>
      </c>
      <c r="D742" s="14" t="inlineStr"/>
      <c r="E742" s="13" t="n"/>
      <c r="F742" s="13" t="n"/>
      <c r="G742" s="13" t="n"/>
      <c r="H742" s="15" t="n">
        <v>7</v>
      </c>
      <c r="I742" s="15" t="n">
        <v>7</v>
      </c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6">
        <f>IF(COUNT(E742:Q742)=0,"",MIN(E742:Q742))</f>
        <v/>
      </c>
      <c r="S742" s="15">
        <f>IF(COUNT(E742:Q742)=0,"",LOOKUP(2,1/(E742:Q742&lt;&gt;""),E742:Q742))</f>
        <v/>
      </c>
      <c r="T742" s="17">
        <f>IF(R742="","",ROUND(R742*RESUMEN!$B$4,0))</f>
        <v/>
      </c>
      <c r="U742" s="18">
        <f>COUNT(E742:Q742)</f>
        <v/>
      </c>
    </row>
    <row r="743">
      <c r="A743" s="13" t="inlineStr">
        <is>
          <t>64085741986765</t>
        </is>
      </c>
      <c r="B743" s="13" t="inlineStr">
        <is>
          <t>COLLAR PANTHERE GOLD C</t>
        </is>
      </c>
      <c r="C743" s="13" t="inlineStr">
        <is>
          <t>Default Title</t>
        </is>
      </c>
      <c r="D743" s="14" t="inlineStr">
        <is>
          <t>Copper alloy</t>
        </is>
      </c>
      <c r="E743" s="13" t="n"/>
      <c r="F743" s="15" t="n">
        <v>7</v>
      </c>
      <c r="G743" s="13" t="n"/>
      <c r="H743" s="15" t="n">
        <v>7</v>
      </c>
      <c r="I743" s="15" t="n">
        <v>7</v>
      </c>
      <c r="J743" s="15" t="n">
        <v>7</v>
      </c>
      <c r="K743" s="13" t="n"/>
      <c r="L743" s="15" t="n">
        <v>7</v>
      </c>
      <c r="M743" s="13" t="n"/>
      <c r="N743" s="13" t="n"/>
      <c r="O743" s="13" t="n"/>
      <c r="P743" s="13" t="n"/>
      <c r="Q743" s="13" t="n"/>
      <c r="R743" s="16">
        <f>IF(COUNT(E743:Q743)=0,"",MIN(E743:Q743))</f>
        <v/>
      </c>
      <c r="S743" s="15">
        <f>IF(COUNT(E743:Q743)=0,"",LOOKUP(2,1/(E743:Q743&lt;&gt;""),E743:Q743))</f>
        <v/>
      </c>
      <c r="T743" s="17">
        <f>IF(R743="","",ROUND(R743*RESUMEN!$B$4,0))</f>
        <v/>
      </c>
      <c r="U743" s="18">
        <f>COUNT(E743:Q743)</f>
        <v/>
      </c>
    </row>
    <row r="744">
      <c r="A744" s="13" t="inlineStr">
        <is>
          <t>15104862909421</t>
        </is>
      </c>
      <c r="B744" s="13" t="inlineStr">
        <is>
          <t>COLLAR PANTHERE LISO GOLD</t>
        </is>
      </c>
      <c r="C744" s="13" t="inlineStr">
        <is>
          <t>Default Title</t>
        </is>
      </c>
      <c r="D744" s="14" t="inlineStr">
        <is>
          <t>Copper alloy</t>
        </is>
      </c>
      <c r="E744" s="13" t="n"/>
      <c r="F744" s="13" t="n"/>
      <c r="G744" s="13" t="n"/>
      <c r="H744" s="13" t="n"/>
      <c r="I744" s="13" t="n"/>
      <c r="J744" s="13" t="n"/>
      <c r="K744" s="15" t="n">
        <v>9</v>
      </c>
      <c r="L744" s="13" t="n"/>
      <c r="M744" s="13" t="n"/>
      <c r="N744" s="13" t="n"/>
      <c r="O744" s="13" t="n"/>
      <c r="P744" s="13" t="n"/>
      <c r="Q744" s="15" t="n">
        <v>9</v>
      </c>
      <c r="R744" s="16">
        <f>IF(COUNT(E744:Q744)=0,"",MIN(E744:Q744))</f>
        <v/>
      </c>
      <c r="S744" s="15">
        <f>IF(COUNT(E744:Q744)=0,"",LOOKUP(2,1/(E744:Q744&lt;&gt;""),E744:Q744))</f>
        <v/>
      </c>
      <c r="T744" s="17">
        <f>IF(R744="","",ROUND(R744*RESUMEN!$B$4,0))</f>
        <v/>
      </c>
      <c r="U744" s="18">
        <f>COUNT(E744:Q744)</f>
        <v/>
      </c>
    </row>
    <row r="745">
      <c r="A745" s="13" t="inlineStr">
        <is>
          <t>15104863078349</t>
        </is>
      </c>
      <c r="B745" s="13" t="inlineStr">
        <is>
          <t>COLLAR PANTHERE LISO SILVER</t>
        </is>
      </c>
      <c r="C745" s="13" t="inlineStr">
        <is>
          <t>Default Title</t>
        </is>
      </c>
      <c r="D745" s="14" t="inlineStr"/>
      <c r="E745" s="13" t="n"/>
      <c r="F745" s="13" t="n"/>
      <c r="G745" s="13" t="n"/>
      <c r="H745" s="13" t="n"/>
      <c r="I745" s="13" t="n"/>
      <c r="J745" s="13" t="n"/>
      <c r="K745" s="15" t="n">
        <v>9</v>
      </c>
      <c r="L745" s="13" t="n"/>
      <c r="M745" s="13" t="n"/>
      <c r="N745" s="13" t="n"/>
      <c r="O745" s="13" t="n"/>
      <c r="P745" s="13" t="n"/>
      <c r="Q745" s="13" t="n"/>
      <c r="R745" s="16">
        <f>IF(COUNT(E745:Q745)=0,"",MIN(E745:Q745))</f>
        <v/>
      </c>
      <c r="S745" s="15">
        <f>IF(COUNT(E745:Q745)=0,"",LOOKUP(2,1/(E745:Q745&lt;&gt;""),E745:Q745))</f>
        <v/>
      </c>
      <c r="T745" s="17">
        <f>IF(R745="","",ROUND(R745*RESUMEN!$B$4,0))</f>
        <v/>
      </c>
      <c r="U745" s="18">
        <f>COUNT(E745:Q745)</f>
        <v/>
      </c>
    </row>
    <row r="746">
      <c r="A746" s="13" t="inlineStr">
        <is>
          <t>56481488272140</t>
        </is>
      </c>
      <c r="B746" s="13" t="inlineStr">
        <is>
          <t>COLLAR PASADOR FULL HEART</t>
        </is>
      </c>
      <c r="C746" s="13" t="inlineStr">
        <is>
          <t>45cm</t>
        </is>
      </c>
      <c r="D746" s="14" t="inlineStr">
        <is>
          <t>Stainless stee</t>
        </is>
      </c>
      <c r="E746" s="15" t="n">
        <v>12</v>
      </c>
      <c r="F746" s="13" t="n"/>
      <c r="G746" s="13" t="n"/>
      <c r="H746" s="15" t="n">
        <v>12</v>
      </c>
      <c r="I746" s="15" t="n">
        <v>12</v>
      </c>
      <c r="J746" s="13" t="n"/>
      <c r="K746" s="13" t="n"/>
      <c r="L746" s="13" t="n"/>
      <c r="M746" s="13" t="n"/>
      <c r="N746" s="15" t="n">
        <v>12</v>
      </c>
      <c r="O746" s="13" t="n"/>
      <c r="P746" s="13" t="n"/>
      <c r="Q746" s="13" t="n"/>
      <c r="R746" s="16">
        <f>IF(COUNT(E746:Q746)=0,"",MIN(E746:Q746))</f>
        <v/>
      </c>
      <c r="S746" s="15">
        <f>IF(COUNT(E746:Q746)=0,"",LOOKUP(2,1/(E746:Q746&lt;&gt;""),E746:Q746))</f>
        <v/>
      </c>
      <c r="T746" s="17">
        <f>IF(R746="","",ROUND(R746*RESUMEN!$B$4,0))</f>
        <v/>
      </c>
      <c r="U746" s="18">
        <f>COUNT(E746:Q746)</f>
        <v/>
      </c>
    </row>
    <row r="747">
      <c r="A747" s="13" t="inlineStr">
        <is>
          <t>86347031405933</t>
        </is>
      </c>
      <c r="B747" s="13" t="inlineStr">
        <is>
          <t>COLLAR POP H ROSEGOLD BABYPINK</t>
        </is>
      </c>
      <c r="C747" s="13" t="inlineStr">
        <is>
          <t>Default Title</t>
        </is>
      </c>
      <c r="D747" s="14" t="inlineStr">
        <is>
          <t>Stainless stee</t>
        </is>
      </c>
      <c r="E747" s="13" t="n"/>
      <c r="F747" s="13" t="n"/>
      <c r="G747" s="13" t="n"/>
      <c r="H747" s="13" t="n"/>
      <c r="I747" s="13" t="n"/>
      <c r="J747" s="13" t="n"/>
      <c r="K747" s="13" t="n"/>
      <c r="L747" s="15" t="n">
        <v>7.99</v>
      </c>
      <c r="M747" s="13" t="n"/>
      <c r="N747" s="15" t="n">
        <v>7.99</v>
      </c>
      <c r="O747" s="13" t="n"/>
      <c r="P747" s="13" t="n"/>
      <c r="Q747" s="13" t="n"/>
      <c r="R747" s="16">
        <f>IF(COUNT(E747:Q747)=0,"",MIN(E747:Q747))</f>
        <v/>
      </c>
      <c r="S747" s="15">
        <f>IF(COUNT(E747:Q747)=0,"",LOOKUP(2,1/(E747:Q747&lt;&gt;""),E747:Q747))</f>
        <v/>
      </c>
      <c r="T747" s="17">
        <f>IF(R747="","",ROUND(R747*RESUMEN!$B$4,0))</f>
        <v/>
      </c>
      <c r="U747" s="18">
        <f>COUNT(E747:Q747)</f>
        <v/>
      </c>
    </row>
    <row r="748">
      <c r="A748" s="13" t="inlineStr">
        <is>
          <t>42981971361932</t>
        </is>
      </c>
      <c r="B748" s="13" t="inlineStr">
        <is>
          <t>COLLAR POP H ROSEGOLD WHITE</t>
        </is>
      </c>
      <c r="C748" s="13" t="inlineStr">
        <is>
          <t>largo de Cadena 49cm  1.5cm de dije</t>
        </is>
      </c>
      <c r="D748" s="14" t="inlineStr"/>
      <c r="E748" s="13" t="n"/>
      <c r="F748" s="13" t="n"/>
      <c r="G748" s="15" t="n">
        <v>6.99</v>
      </c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6">
        <f>IF(COUNT(E748:Q748)=0,"",MIN(E748:Q748))</f>
        <v/>
      </c>
      <c r="S748" s="15">
        <f>IF(COUNT(E748:Q748)=0,"",LOOKUP(2,1/(E748:Q748&lt;&gt;""),E748:Q748))</f>
        <v/>
      </c>
      <c r="T748" s="17">
        <f>IF(R748="","",ROUND(R748*RESUMEN!$B$4,0))</f>
        <v/>
      </c>
      <c r="U748" s="18">
        <f>COUNT(E748:Q748)</f>
        <v/>
      </c>
    </row>
    <row r="749">
      <c r="A749" s="13" t="inlineStr">
        <is>
          <t>43016706621580</t>
        </is>
      </c>
      <c r="B749" s="13" t="inlineStr">
        <is>
          <t>COLLAR ROUND T ROSEGOLD CON ZIRCONIAS</t>
        </is>
      </c>
      <c r="C749" s="13" t="inlineStr">
        <is>
          <t>42cm de cadena dije: 3cm</t>
        </is>
      </c>
      <c r="D749" s="14" t="inlineStr">
        <is>
          <t>Copper alloy</t>
        </is>
      </c>
      <c r="E749" s="13" t="n"/>
      <c r="F749" s="15" t="n">
        <v>8.5</v>
      </c>
      <c r="G749" s="13" t="n"/>
      <c r="H749" s="13" t="n"/>
      <c r="I749" s="13" t="n"/>
      <c r="J749" s="13" t="n"/>
      <c r="K749" s="13" t="n"/>
      <c r="L749" s="13" t="n"/>
      <c r="M749" s="13" t="n"/>
      <c r="N749" s="15" t="n">
        <v>8.5</v>
      </c>
      <c r="O749" s="13" t="n"/>
      <c r="P749" s="13" t="n"/>
      <c r="Q749" s="13" t="n"/>
      <c r="R749" s="16">
        <f>IF(COUNT(E749:Q749)=0,"",MIN(E749:Q749))</f>
        <v/>
      </c>
      <c r="S749" s="15">
        <f>IF(COUNT(E749:Q749)=0,"",LOOKUP(2,1/(E749:Q749&lt;&gt;""),E749:Q749))</f>
        <v/>
      </c>
      <c r="T749" s="17">
        <f>IF(R749="","",ROUND(R749*RESUMEN!$B$4,0))</f>
        <v/>
      </c>
      <c r="U749" s="18">
        <f>COUNT(E749:Q749)</f>
        <v/>
      </c>
    </row>
    <row r="750">
      <c r="A750" s="13" t="inlineStr">
        <is>
          <t>43016701149324</t>
        </is>
      </c>
      <c r="B750" s="13" t="inlineStr">
        <is>
          <t>COLLAR ROUND T SILVER CON ZIRCONIAS</t>
        </is>
      </c>
      <c r="C750" s="13" t="inlineStr">
        <is>
          <t>47cm de cadena dije: 3cm</t>
        </is>
      </c>
      <c r="D750" s="14" t="inlineStr"/>
      <c r="E750" s="13" t="n"/>
      <c r="F750" s="13" t="n"/>
      <c r="G750" s="13" t="n"/>
      <c r="H750" s="13" t="n"/>
      <c r="I750" s="15" t="n">
        <v>8.5</v>
      </c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6">
        <f>IF(COUNT(E750:Q750)=0,"",MIN(E750:Q750))</f>
        <v/>
      </c>
      <c r="S750" s="15">
        <f>IF(COUNT(E750:Q750)=0,"",LOOKUP(2,1/(E750:Q750&lt;&gt;""),E750:Q750))</f>
        <v/>
      </c>
      <c r="T750" s="17">
        <f>IF(R750="","",ROUND(R750*RESUMEN!$B$4,0))</f>
        <v/>
      </c>
      <c r="U750" s="18">
        <f>COUNT(E750:Q750)</f>
        <v/>
      </c>
    </row>
    <row r="751">
      <c r="A751" s="13" t="inlineStr">
        <is>
          <t>66178423967c9</t>
        </is>
      </c>
      <c r="B751" s="13" t="inlineStr">
        <is>
          <t>COLLAR SERPENTI CON ZIRCONIA</t>
        </is>
      </c>
      <c r="C751" s="13" t="inlineStr">
        <is>
          <t>46cm</t>
        </is>
      </c>
      <c r="D751" s="14" t="inlineStr">
        <is>
          <t>Copper alloy</t>
        </is>
      </c>
      <c r="E751" s="13" t="n"/>
      <c r="F751" s="13" t="n"/>
      <c r="G751" s="15" t="n">
        <v>30</v>
      </c>
      <c r="H751" s="13" t="n"/>
      <c r="I751" s="13" t="n"/>
      <c r="J751" s="13" t="n"/>
      <c r="K751" s="13" t="n"/>
      <c r="L751" s="15" t="n">
        <v>32</v>
      </c>
      <c r="M751" s="13" t="n"/>
      <c r="N751" s="13" t="n"/>
      <c r="O751" s="13" t="n"/>
      <c r="P751" s="13" t="n"/>
      <c r="Q751" s="15" t="n">
        <v>32</v>
      </c>
      <c r="R751" s="16">
        <f>IF(COUNT(E751:Q751)=0,"",MIN(E751:Q751))</f>
        <v/>
      </c>
      <c r="S751" s="15">
        <f>IF(COUNT(E751:Q751)=0,"",LOOKUP(2,1/(E751:Q751&lt;&gt;""),E751:Q751))</f>
        <v/>
      </c>
      <c r="T751" s="17">
        <f>IF(R751="","",ROUND(R751*RESUMEN!$B$4,0))</f>
        <v/>
      </c>
      <c r="U751" s="18">
        <f>COUNT(E751:Q751)</f>
        <v/>
      </c>
    </row>
    <row r="752">
      <c r="A752" s="13" t="inlineStr">
        <is>
          <t>64085741631661</t>
        </is>
      </c>
      <c r="B752" s="13" t="inlineStr">
        <is>
          <t>COLLAR SILVER BLACK C</t>
        </is>
      </c>
      <c r="C752" s="13" t="inlineStr">
        <is>
          <t>Default Title</t>
        </is>
      </c>
      <c r="D752" s="14" t="inlineStr"/>
      <c r="E752" s="13" t="n"/>
      <c r="F752" s="13" t="n"/>
      <c r="G752" s="13" t="n"/>
      <c r="H752" s="15" t="n">
        <v>7</v>
      </c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6">
        <f>IF(COUNT(E752:Q752)=0,"",MIN(E752:Q752))</f>
        <v/>
      </c>
      <c r="S752" s="15">
        <f>IF(COUNT(E752:Q752)=0,"",LOOKUP(2,1/(E752:Q752&lt;&gt;""),E752:Q752))</f>
        <v/>
      </c>
      <c r="T752" s="17">
        <f>IF(R752="","",ROUND(R752*RESUMEN!$B$4,0))</f>
        <v/>
      </c>
      <c r="U752" s="18">
        <f>COUNT(E752:Q752)</f>
        <v/>
      </c>
    </row>
    <row r="753">
      <c r="A753" s="13" t="inlineStr">
        <is>
          <t>82014673288716</t>
        </is>
      </c>
      <c r="B753" s="13" t="inlineStr">
        <is>
          <t>COLLAR SIXTEEN STONE</t>
        </is>
      </c>
      <c r="C753" s="13" t="inlineStr">
        <is>
          <t>43cm con extensión de 5cm</t>
        </is>
      </c>
      <c r="D753" s="14" t="inlineStr">
        <is>
          <t>Copper alloy</t>
        </is>
      </c>
      <c r="E753" s="13" t="n"/>
      <c r="F753" s="13" t="n"/>
      <c r="G753" s="13" t="n"/>
      <c r="H753" s="15" t="n">
        <v>7.5</v>
      </c>
      <c r="I753" s="13" t="n"/>
      <c r="J753" s="13" t="n"/>
      <c r="K753" s="13" t="n"/>
      <c r="L753" s="15" t="n">
        <v>7.5</v>
      </c>
      <c r="M753" s="13" t="n"/>
      <c r="N753" s="13" t="n"/>
      <c r="O753" s="13" t="n"/>
      <c r="P753" s="15" t="n">
        <v>7.5</v>
      </c>
      <c r="Q753" s="15" t="n">
        <v>7.5</v>
      </c>
      <c r="R753" s="16">
        <f>IF(COUNT(E753:Q753)=0,"",MIN(E753:Q753))</f>
        <v/>
      </c>
      <c r="S753" s="15">
        <f>IF(COUNT(E753:Q753)=0,"",LOOKUP(2,1/(E753:Q753&lt;&gt;""),E753:Q753))</f>
        <v/>
      </c>
      <c r="T753" s="17">
        <f>IF(R753="","",ROUND(R753*RESUMEN!$B$4,0))</f>
        <v/>
      </c>
      <c r="U753" s="18">
        <f>COUNT(E753:Q753)</f>
        <v/>
      </c>
    </row>
    <row r="754">
      <c r="A754" s="13" t="inlineStr">
        <is>
          <t>86347033994701</t>
        </is>
      </c>
      <c r="B754" s="13" t="inlineStr">
        <is>
          <t>COLLAR SIXTEEN STONE SCHLUM</t>
        </is>
      </c>
      <c r="C754" s="13" t="inlineStr">
        <is>
          <t>Default Title</t>
        </is>
      </c>
      <c r="D754" s="14" t="inlineStr">
        <is>
          <t>copper alloy</t>
        </is>
      </c>
      <c r="E754" s="13" t="n"/>
      <c r="F754" s="13" t="n"/>
      <c r="G754" s="15" t="n">
        <v>6</v>
      </c>
      <c r="H754" s="13" t="n"/>
      <c r="I754" s="13" t="n"/>
      <c r="J754" s="15" t="n">
        <v>6</v>
      </c>
      <c r="K754" s="13" t="n"/>
      <c r="L754" s="15" t="n">
        <v>6</v>
      </c>
      <c r="M754" s="13" t="n"/>
      <c r="N754" s="13" t="n"/>
      <c r="O754" s="15" t="n">
        <v>6</v>
      </c>
      <c r="P754" s="13" t="n"/>
      <c r="Q754" s="13" t="n"/>
      <c r="R754" s="16">
        <f>IF(COUNT(E754:Q754)=0,"",MIN(E754:Q754))</f>
        <v/>
      </c>
      <c r="S754" s="15">
        <f>IF(COUNT(E754:Q754)=0,"",LOOKUP(2,1/(E754:Q754&lt;&gt;""),E754:Q754))</f>
        <v/>
      </c>
      <c r="T754" s="17">
        <f>IF(R754="","",ROUND(R754*RESUMEN!$B$4,0))</f>
        <v/>
      </c>
      <c r="U754" s="18">
        <f>COUNT(E754:Q754)</f>
        <v/>
      </c>
    </row>
    <row r="755">
      <c r="A755" s="13" t="inlineStr">
        <is>
          <t>86347034024077</t>
        </is>
      </c>
      <c r="B755" s="13" t="inlineStr">
        <is>
          <t>COLLAR SIXTEEN STONE SCHLUM RED</t>
        </is>
      </c>
      <c r="C755" s="13" t="inlineStr">
        <is>
          <t>Default Title</t>
        </is>
      </c>
      <c r="D755" s="14" t="inlineStr">
        <is>
          <t>Copper alloy</t>
        </is>
      </c>
      <c r="E755" s="13" t="n"/>
      <c r="F755" s="13" t="n"/>
      <c r="G755" s="15" t="n">
        <v>6</v>
      </c>
      <c r="H755" s="13" t="n"/>
      <c r="I755" s="13" t="n"/>
      <c r="J755" s="13" t="n"/>
      <c r="K755" s="13" t="n"/>
      <c r="L755" s="15" t="n">
        <v>6</v>
      </c>
      <c r="M755" s="13" t="n"/>
      <c r="N755" s="15" t="n">
        <v>6</v>
      </c>
      <c r="O755" s="13" t="n"/>
      <c r="P755" s="13" t="n"/>
      <c r="Q755" s="13" t="n"/>
      <c r="R755" s="16">
        <f>IF(COUNT(E755:Q755)=0,"",MIN(E755:Q755))</f>
        <v/>
      </c>
      <c r="S755" s="15">
        <f>IF(COUNT(E755:Q755)=0,"",LOOKUP(2,1/(E755:Q755&lt;&gt;""),E755:Q755))</f>
        <v/>
      </c>
      <c r="T755" s="17">
        <f>IF(R755="","",ROUND(R755*RESUMEN!$B$4,0))</f>
        <v/>
      </c>
      <c r="U755" s="18">
        <f>COUNT(E755:Q755)</f>
        <v/>
      </c>
    </row>
    <row r="756">
      <c r="A756" s="13" t="inlineStr">
        <is>
          <t>43728086947500</t>
        </is>
      </c>
      <c r="B756" s="13" t="inlineStr">
        <is>
          <t>COLLAR SIXTEEN STONE SILVER</t>
        </is>
      </c>
      <c r="C756" s="13" t="inlineStr">
        <is>
          <t>44.5cm de largo con extensión de 4cm</t>
        </is>
      </c>
      <c r="D756" s="14" t="inlineStr">
        <is>
          <t>Copper alloy</t>
        </is>
      </c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5" t="n">
        <v>6</v>
      </c>
      <c r="O756" s="13" t="n"/>
      <c r="P756" s="13" t="n"/>
      <c r="Q756" s="15" t="n">
        <v>6</v>
      </c>
      <c r="R756" s="16">
        <f>IF(COUNT(E756:Q756)=0,"",MIN(E756:Q756))</f>
        <v/>
      </c>
      <c r="S756" s="15">
        <f>IF(COUNT(E756:Q756)=0,"",LOOKUP(2,1/(E756:Q756&lt;&gt;""),E756:Q756))</f>
        <v/>
      </c>
      <c r="T756" s="17">
        <f>IF(R756="","",ROUND(R756*RESUMEN!$B$4,0))</f>
        <v/>
      </c>
      <c r="U756" s="18">
        <f>COUNT(E756:Q756)</f>
        <v/>
      </c>
    </row>
    <row r="757">
      <c r="A757" s="13" t="inlineStr">
        <is>
          <t>63e0bf8dbe95e</t>
        </is>
      </c>
      <c r="B757" s="13" t="inlineStr">
        <is>
          <t>COLLAR SMILE DORADO</t>
        </is>
      </c>
      <c r="C757" s="13" t="inlineStr">
        <is>
          <t>MEDIUM</t>
        </is>
      </c>
      <c r="D757" s="14" t="inlineStr">
        <is>
          <t>Stainless Stee</t>
        </is>
      </c>
      <c r="E757" s="15" t="n">
        <v>3.4</v>
      </c>
      <c r="F757" s="13" t="n"/>
      <c r="G757" s="13" t="n"/>
      <c r="H757" s="15" t="n">
        <v>3.4</v>
      </c>
      <c r="I757" s="15" t="n">
        <v>3.4</v>
      </c>
      <c r="J757" s="13" t="n"/>
      <c r="K757" s="13" t="n"/>
      <c r="L757" s="13" t="n"/>
      <c r="M757" s="15" t="n">
        <v>3.4</v>
      </c>
      <c r="N757" s="13" t="n"/>
      <c r="O757" s="13" t="n"/>
      <c r="P757" s="15" t="n">
        <v>3.8</v>
      </c>
      <c r="Q757" s="15" t="n">
        <v>3.8</v>
      </c>
      <c r="R757" s="16">
        <f>IF(COUNT(E757:Q757)=0,"",MIN(E757:Q757))</f>
        <v/>
      </c>
      <c r="S757" s="15">
        <f>IF(COUNT(E757:Q757)=0,"",LOOKUP(2,1/(E757:Q757&lt;&gt;""),E757:Q757))</f>
        <v/>
      </c>
      <c r="T757" s="17">
        <f>IF(R757="","",ROUND(R757*RESUMEN!$B$4,0))</f>
        <v/>
      </c>
      <c r="U757" s="18">
        <f>COUNT(E757:Q757)</f>
        <v/>
      </c>
    </row>
    <row r="758">
      <c r="A758" s="13" t="inlineStr">
        <is>
          <t>668eee430f697</t>
        </is>
      </c>
      <c r="B758" s="13" t="inlineStr">
        <is>
          <t>COLLAR SMILE ROSE GOLD</t>
        </is>
      </c>
      <c r="C758" s="13" t="inlineStr">
        <is>
          <t>Cadena ajustable de 40.6 a 45.7 cm</t>
        </is>
      </c>
      <c r="D758" s="14" t="inlineStr">
        <is>
          <t>Stainless stee</t>
        </is>
      </c>
      <c r="E758" s="15" t="n">
        <v>3.4</v>
      </c>
      <c r="F758" s="13" t="n"/>
      <c r="G758" s="13" t="n"/>
      <c r="H758" s="13" t="n"/>
      <c r="I758" s="15" t="n">
        <v>3.4</v>
      </c>
      <c r="J758" s="13" t="n"/>
      <c r="K758" s="13" t="n"/>
      <c r="L758" s="13" t="n"/>
      <c r="M758" s="13" t="n"/>
      <c r="N758" s="15" t="n">
        <v>3.4</v>
      </c>
      <c r="O758" s="13" t="n"/>
      <c r="P758" s="13" t="n"/>
      <c r="Q758" s="13" t="n"/>
      <c r="R758" s="16">
        <f>IF(COUNT(E758:Q758)=0,"",MIN(E758:Q758))</f>
        <v/>
      </c>
      <c r="S758" s="15">
        <f>IF(COUNT(E758:Q758)=0,"",LOOKUP(2,1/(E758:Q758&lt;&gt;""),E758:Q758))</f>
        <v/>
      </c>
      <c r="T758" s="17">
        <f>IF(R758="","",ROUND(R758*RESUMEN!$B$4,0))</f>
        <v/>
      </c>
      <c r="U758" s="18">
        <f>COUNT(E758:Q758)</f>
        <v/>
      </c>
    </row>
    <row r="759">
      <c r="A759" s="13" t="inlineStr">
        <is>
          <t>668eee443df70</t>
        </is>
      </c>
      <c r="B759" s="13" t="inlineStr">
        <is>
          <t>COLLAR SMILE SILVER</t>
        </is>
      </c>
      <c r="C759" s="13" t="inlineStr">
        <is>
          <t>Cadena ajustable de 40.6 a 45.7 cm</t>
        </is>
      </c>
      <c r="D759" s="14" t="inlineStr">
        <is>
          <t>Stainless Stee</t>
        </is>
      </c>
      <c r="E759" s="13" t="n"/>
      <c r="F759" s="15" t="n">
        <v>3.8</v>
      </c>
      <c r="G759" s="13" t="n"/>
      <c r="H759" s="13" t="n"/>
      <c r="I759" s="15" t="n">
        <v>3.8</v>
      </c>
      <c r="J759" s="13" t="n"/>
      <c r="K759" s="13" t="n"/>
      <c r="L759" s="13" t="n"/>
      <c r="M759" s="15" t="n">
        <v>3.8</v>
      </c>
      <c r="N759" s="13" t="n"/>
      <c r="O759" s="13" t="n"/>
      <c r="P759" s="15" t="n">
        <v>3.8</v>
      </c>
      <c r="Q759" s="15" t="n">
        <v>3.8</v>
      </c>
      <c r="R759" s="16">
        <f>IF(COUNT(E759:Q759)=0,"",MIN(E759:Q759))</f>
        <v/>
      </c>
      <c r="S759" s="15">
        <f>IF(COUNT(E759:Q759)=0,"",LOOKUP(2,1/(E759:Q759&lt;&gt;""),E759:Q759))</f>
        <v/>
      </c>
      <c r="T759" s="17">
        <f>IF(R759="","",ROUND(R759*RESUMEN!$B$4,0))</f>
        <v/>
      </c>
      <c r="U759" s="18">
        <f>COUNT(E759:Q759)</f>
        <v/>
      </c>
    </row>
    <row r="760">
      <c r="A760" s="13" t="inlineStr">
        <is>
          <t>15104861829165</t>
        </is>
      </c>
      <c r="B760" s="13" t="inlineStr">
        <is>
          <t>COLLAR SUN BLACK BLOSSOM GOLD</t>
        </is>
      </c>
      <c r="C760" s="13" t="inlineStr">
        <is>
          <t>Default Title</t>
        </is>
      </c>
      <c r="D760" s="14" t="inlineStr">
        <is>
          <t>Stainless stee</t>
        </is>
      </c>
      <c r="E760" s="13" t="n"/>
      <c r="F760" s="13" t="n"/>
      <c r="G760" s="13" t="n"/>
      <c r="H760" s="13" t="n"/>
      <c r="I760" s="13" t="n"/>
      <c r="J760" s="13" t="n"/>
      <c r="K760" s="15" t="n">
        <v>5.99</v>
      </c>
      <c r="L760" s="13" t="n"/>
      <c r="M760" s="13" t="n"/>
      <c r="N760" s="13" t="n"/>
      <c r="O760" s="13" t="n"/>
      <c r="P760" s="15" t="n">
        <v>5.99</v>
      </c>
      <c r="Q760" s="13" t="n"/>
      <c r="R760" s="16">
        <f>IF(COUNT(E760:Q760)=0,"",MIN(E760:Q760))</f>
        <v/>
      </c>
      <c r="S760" s="15">
        <f>IF(COUNT(E760:Q760)=0,"",LOOKUP(2,1/(E760:Q760&lt;&gt;""),E760:Q760))</f>
        <v/>
      </c>
      <c r="T760" s="17">
        <f>IF(R760="","",ROUND(R760*RESUMEN!$B$4,0))</f>
        <v/>
      </c>
      <c r="U760" s="18">
        <f>COUNT(E760:Q760)</f>
        <v/>
      </c>
    </row>
    <row r="761">
      <c r="A761" s="13" t="inlineStr">
        <is>
          <t>15104861996397</t>
        </is>
      </c>
      <c r="B761" s="13" t="inlineStr">
        <is>
          <t>COLLAR SUN BLACK BLOSSOM ROSE GOLD</t>
        </is>
      </c>
      <c r="C761" s="13" t="inlineStr">
        <is>
          <t>Default Title</t>
        </is>
      </c>
      <c r="D761" s="14" t="inlineStr"/>
      <c r="E761" s="13" t="n"/>
      <c r="F761" s="13" t="n"/>
      <c r="G761" s="13" t="n"/>
      <c r="H761" s="13" t="n"/>
      <c r="I761" s="13" t="n"/>
      <c r="J761" s="13" t="n"/>
      <c r="K761" s="15" t="n">
        <v>5.99</v>
      </c>
      <c r="L761" s="13" t="n"/>
      <c r="M761" s="13" t="n"/>
      <c r="N761" s="13" t="n"/>
      <c r="O761" s="13" t="n"/>
      <c r="P761" s="13" t="n"/>
      <c r="Q761" s="13" t="n"/>
      <c r="R761" s="16">
        <f>IF(COUNT(E761:Q761)=0,"",MIN(E761:Q761))</f>
        <v/>
      </c>
      <c r="S761" s="15">
        <f>IF(COUNT(E761:Q761)=0,"",LOOKUP(2,1/(E761:Q761&lt;&gt;""),E761:Q761))</f>
        <v/>
      </c>
      <c r="T761" s="17">
        <f>IF(R761="","",ROUND(R761*RESUMEN!$B$4,0))</f>
        <v/>
      </c>
      <c r="U761" s="18">
        <f>COUNT(E761:Q761)</f>
        <v/>
      </c>
    </row>
    <row r="762">
      <c r="A762" s="13" t="inlineStr">
        <is>
          <t>15104862051213</t>
        </is>
      </c>
      <c r="B762" s="13" t="inlineStr">
        <is>
          <t>COLLAR SUN GREEN BLOSSOM GOLD</t>
        </is>
      </c>
      <c r="C762" s="13" t="inlineStr">
        <is>
          <t>Default Title</t>
        </is>
      </c>
      <c r="D762" s="14" t="inlineStr">
        <is>
          <t>Stainless stee</t>
        </is>
      </c>
      <c r="E762" s="13" t="n"/>
      <c r="F762" s="13" t="n"/>
      <c r="G762" s="13" t="n"/>
      <c r="H762" s="13" t="n"/>
      <c r="I762" s="13" t="n"/>
      <c r="J762" s="13" t="n"/>
      <c r="K762" s="15" t="n">
        <v>5.99</v>
      </c>
      <c r="L762" s="13" t="n"/>
      <c r="M762" s="13" t="n"/>
      <c r="N762" s="13" t="n"/>
      <c r="O762" s="13" t="n"/>
      <c r="P762" s="15" t="n">
        <v>5.99</v>
      </c>
      <c r="Q762" s="13" t="n"/>
      <c r="R762" s="16">
        <f>IF(COUNT(E762:Q762)=0,"",MIN(E762:Q762))</f>
        <v/>
      </c>
      <c r="S762" s="15">
        <f>IF(COUNT(E762:Q762)=0,"",LOOKUP(2,1/(E762:Q762&lt;&gt;""),E762:Q762))</f>
        <v/>
      </c>
      <c r="T762" s="17">
        <f>IF(R762="","",ROUND(R762*RESUMEN!$B$4,0))</f>
        <v/>
      </c>
      <c r="U762" s="18">
        <f>COUNT(E762:Q762)</f>
        <v/>
      </c>
    </row>
    <row r="763">
      <c r="A763" s="13" t="inlineStr">
        <is>
          <t>15104862187373</t>
        </is>
      </c>
      <c r="B763" s="13" t="inlineStr">
        <is>
          <t>COLLAR SUN GREEN BLOSSOM ROSE GOLD</t>
        </is>
      </c>
      <c r="C763" s="13" t="inlineStr">
        <is>
          <t>Default Title</t>
        </is>
      </c>
      <c r="D763" s="14" t="inlineStr"/>
      <c r="E763" s="13" t="n"/>
      <c r="F763" s="13" t="n"/>
      <c r="G763" s="13" t="n"/>
      <c r="H763" s="13" t="n"/>
      <c r="I763" s="13" t="n"/>
      <c r="J763" s="13" t="n"/>
      <c r="K763" s="15" t="n">
        <v>5.99</v>
      </c>
      <c r="L763" s="13" t="n"/>
      <c r="M763" s="13" t="n"/>
      <c r="N763" s="13" t="n"/>
      <c r="O763" s="13" t="n"/>
      <c r="P763" s="13" t="n"/>
      <c r="Q763" s="13" t="n"/>
      <c r="R763" s="16">
        <f>IF(COUNT(E763:Q763)=0,"",MIN(E763:Q763))</f>
        <v/>
      </c>
      <c r="S763" s="15">
        <f>IF(COUNT(E763:Q763)=0,"",LOOKUP(2,1/(E763:Q763&lt;&gt;""),E763:Q763))</f>
        <v/>
      </c>
      <c r="T763" s="17">
        <f>IF(R763="","",ROUND(R763*RESUMEN!$B$4,0))</f>
        <v/>
      </c>
      <c r="U763" s="18">
        <f>COUNT(E763:Q763)</f>
        <v/>
      </c>
    </row>
    <row r="764">
      <c r="A764" s="13" t="inlineStr">
        <is>
          <t>15104862263629</t>
        </is>
      </c>
      <c r="B764" s="13" t="inlineStr">
        <is>
          <t>COLLAR SUN RED BLOSSOM GOLD</t>
        </is>
      </c>
      <c r="C764" s="13" t="inlineStr">
        <is>
          <t>Default Title</t>
        </is>
      </c>
      <c r="D764" s="14" t="inlineStr">
        <is>
          <t>Stainless stee</t>
        </is>
      </c>
      <c r="E764" s="13" t="n"/>
      <c r="F764" s="13" t="n"/>
      <c r="G764" s="13" t="n"/>
      <c r="H764" s="13" t="n"/>
      <c r="I764" s="13" t="n"/>
      <c r="J764" s="13" t="n"/>
      <c r="K764" s="15" t="n">
        <v>5.99</v>
      </c>
      <c r="L764" s="13" t="n"/>
      <c r="M764" s="13" t="n"/>
      <c r="N764" s="13" t="n"/>
      <c r="O764" s="13" t="n"/>
      <c r="P764" s="15" t="n">
        <v>5.99</v>
      </c>
      <c r="Q764" s="13" t="n"/>
      <c r="R764" s="16">
        <f>IF(COUNT(E764:Q764)=0,"",MIN(E764:Q764))</f>
        <v/>
      </c>
      <c r="S764" s="15">
        <f>IF(COUNT(E764:Q764)=0,"",LOOKUP(2,1/(E764:Q764&lt;&gt;""),E764:Q764))</f>
        <v/>
      </c>
      <c r="T764" s="17">
        <f>IF(R764="","",ROUND(R764*RESUMEN!$B$4,0))</f>
        <v/>
      </c>
      <c r="U764" s="18">
        <f>COUNT(E764:Q764)</f>
        <v/>
      </c>
    </row>
    <row r="765">
      <c r="A765" s="13" t="inlineStr">
        <is>
          <t>15104862383981</t>
        </is>
      </c>
      <c r="B765" s="13" t="inlineStr">
        <is>
          <t>COLLAR SUN RED BLOSSOM ROSE GOLD</t>
        </is>
      </c>
      <c r="C765" s="13" t="inlineStr">
        <is>
          <t>Default Title</t>
        </is>
      </c>
      <c r="D765" s="14" t="inlineStr">
        <is>
          <t>Stainless stee</t>
        </is>
      </c>
      <c r="E765" s="13" t="n"/>
      <c r="F765" s="13" t="n"/>
      <c r="G765" s="13" t="n"/>
      <c r="H765" s="13" t="n"/>
      <c r="I765" s="13" t="n"/>
      <c r="J765" s="13" t="n"/>
      <c r="K765" s="15" t="n">
        <v>5.99</v>
      </c>
      <c r="L765" s="13" t="n"/>
      <c r="M765" s="13" t="n"/>
      <c r="N765" s="13" t="n"/>
      <c r="O765" s="15" t="n">
        <v>5.99</v>
      </c>
      <c r="P765" s="13" t="n"/>
      <c r="Q765" s="13" t="n"/>
      <c r="R765" s="16">
        <f>IF(COUNT(E765:Q765)=0,"",MIN(E765:Q765))</f>
        <v/>
      </c>
      <c r="S765" s="15">
        <f>IF(COUNT(E765:Q765)=0,"",LOOKUP(2,1/(E765:Q765&lt;&gt;""),E765:Q765))</f>
        <v/>
      </c>
      <c r="T765" s="17">
        <f>IF(R765="","",ROUND(R765*RESUMEN!$B$4,0))</f>
        <v/>
      </c>
      <c r="U765" s="18">
        <f>COUNT(E765:Q765)</f>
        <v/>
      </c>
    </row>
    <row r="766">
      <c r="A766" s="13" t="inlineStr">
        <is>
          <t>59109724067085</t>
        </is>
      </c>
      <c r="B766" s="13" t="inlineStr">
        <is>
          <t>COLLAR T BUGS BUTTERFLY ROSE GOLD</t>
        </is>
      </c>
      <c r="C766" s="13" t="inlineStr">
        <is>
          <t>Default Title</t>
        </is>
      </c>
      <c r="D766" s="14" t="inlineStr">
        <is>
          <t>copper alloy</t>
        </is>
      </c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5" t="n">
        <v>6</v>
      </c>
      <c r="Q766" s="13" t="n"/>
      <c r="R766" s="16">
        <f>IF(COUNT(E766:Q766)=0,"",MIN(E766:Q766))</f>
        <v/>
      </c>
      <c r="S766" s="15">
        <f>IF(COUNT(E766:Q766)=0,"",LOOKUP(2,1/(E766:Q766&lt;&gt;""),E766:Q766))</f>
        <v/>
      </c>
      <c r="T766" s="17">
        <f>IF(R766="","",ROUND(R766*RESUMEN!$B$4,0))</f>
        <v/>
      </c>
      <c r="U766" s="18">
        <f>COUNT(E766:Q766)</f>
        <v/>
      </c>
    </row>
    <row r="767">
      <c r="A767" s="13" t="inlineStr">
        <is>
          <t>59109724194765</t>
        </is>
      </c>
      <c r="B767" s="13" t="inlineStr">
        <is>
          <t>COLLAR T ENAMEL LADYBUG</t>
        </is>
      </c>
      <c r="C767" s="13" t="inlineStr">
        <is>
          <t>Default Title</t>
        </is>
      </c>
      <c r="D767" s="14" t="inlineStr">
        <is>
          <t>copper alloy</t>
        </is>
      </c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5" t="n">
        <v>6</v>
      </c>
      <c r="Q767" s="13" t="n"/>
      <c r="R767" s="16">
        <f>IF(COUNT(E767:Q767)=0,"",MIN(E767:Q767))</f>
        <v/>
      </c>
      <c r="S767" s="15">
        <f>IF(COUNT(E767:Q767)=0,"",LOOKUP(2,1/(E767:Q767&lt;&gt;""),E767:Q767))</f>
        <v/>
      </c>
      <c r="T767" s="17">
        <f>IF(R767="","",ROUND(R767*RESUMEN!$B$4,0))</f>
        <v/>
      </c>
      <c r="U767" s="18">
        <f>COUNT(E767:Q767)</f>
        <v/>
      </c>
    </row>
    <row r="768">
      <c r="A768" s="13" t="inlineStr">
        <is>
          <t>40154172721645</t>
        </is>
      </c>
      <c r="B768" s="13" t="inlineStr">
        <is>
          <t>COLLAR T ENVOLVENTE</t>
        </is>
      </c>
      <c r="C768" s="13" t="inlineStr">
        <is>
          <t>Default Title</t>
        </is>
      </c>
      <c r="D768" s="14" t="inlineStr">
        <is>
          <t>Stainless Stee</t>
        </is>
      </c>
      <c r="E768" s="13" t="n"/>
      <c r="F768" s="13" t="n"/>
      <c r="G768" s="13" t="n"/>
      <c r="H768" s="13" t="n"/>
      <c r="I768" s="13" t="n"/>
      <c r="J768" s="13" t="n"/>
      <c r="K768" s="15" t="n">
        <v>12</v>
      </c>
      <c r="L768" s="13" t="n"/>
      <c r="M768" s="13" t="n"/>
      <c r="N768" s="13" t="n"/>
      <c r="O768" s="13" t="n"/>
      <c r="P768" s="15" t="n">
        <v>12</v>
      </c>
      <c r="Q768" s="13" t="n"/>
      <c r="R768" s="16">
        <f>IF(COUNT(E768:Q768)=0,"",MIN(E768:Q768))</f>
        <v/>
      </c>
      <c r="S768" s="15">
        <f>IF(COUNT(E768:Q768)=0,"",LOOKUP(2,1/(E768:Q768&lt;&gt;""),E768:Q768))</f>
        <v/>
      </c>
      <c r="T768" s="17">
        <f>IF(R768="","",ROUND(R768*RESUMEN!$B$4,0))</f>
        <v/>
      </c>
      <c r="U768" s="18">
        <f>COUNT(E768:Q768)</f>
        <v/>
      </c>
    </row>
    <row r="769">
      <c r="A769" s="13" t="inlineStr">
        <is>
          <t>40154171145741</t>
        </is>
      </c>
      <c r="B769" s="13" t="inlineStr">
        <is>
          <t>COLLAR T ESLABONES HARDWEAR</t>
        </is>
      </c>
      <c r="C769" s="13" t="inlineStr">
        <is>
          <t>Default Title</t>
        </is>
      </c>
      <c r="D769" s="14" t="inlineStr">
        <is>
          <t>Copper alloy</t>
        </is>
      </c>
      <c r="E769" s="13" t="n"/>
      <c r="F769" s="13" t="n"/>
      <c r="G769" s="13" t="n"/>
      <c r="H769" s="13" t="n"/>
      <c r="I769" s="13" t="n"/>
      <c r="J769" s="13" t="n"/>
      <c r="K769" s="15" t="n">
        <v>7</v>
      </c>
      <c r="L769" s="13" t="n"/>
      <c r="M769" s="13" t="n"/>
      <c r="N769" s="13" t="n"/>
      <c r="O769" s="13" t="n"/>
      <c r="P769" s="15" t="n">
        <v>7</v>
      </c>
      <c r="Q769" s="13" t="n"/>
      <c r="R769" s="16">
        <f>IF(COUNT(E769:Q769)=0,"",MIN(E769:Q769))</f>
        <v/>
      </c>
      <c r="S769" s="15">
        <f>IF(COUNT(E769:Q769)=0,"",LOOKUP(2,1/(E769:Q769&lt;&gt;""),E769:Q769))</f>
        <v/>
      </c>
      <c r="T769" s="17">
        <f>IF(R769="","",ROUND(R769*RESUMEN!$B$4,0))</f>
        <v/>
      </c>
      <c r="U769" s="18">
        <f>COUNT(E769:Q769)</f>
        <v/>
      </c>
    </row>
    <row r="770">
      <c r="A770" s="13" t="inlineStr">
        <is>
          <t>59109723934317</t>
        </is>
      </c>
      <c r="B770" s="13" t="inlineStr">
        <is>
          <t>COLLAR T FLOWER SILVER</t>
        </is>
      </c>
      <c r="C770" s="13" t="inlineStr">
        <is>
          <t>Default Title</t>
        </is>
      </c>
      <c r="D770" s="14" t="inlineStr">
        <is>
          <t>copper alloy</t>
        </is>
      </c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5" t="n">
        <v>6</v>
      </c>
      <c r="Q770" s="13" t="n"/>
      <c r="R770" s="16">
        <f>IF(COUNT(E770:Q770)=0,"",MIN(E770:Q770))</f>
        <v/>
      </c>
      <c r="S770" s="15">
        <f>IF(COUNT(E770:Q770)=0,"",LOOKUP(2,1/(E770:Q770&lt;&gt;""),E770:Q770))</f>
        <v/>
      </c>
      <c r="T770" s="17">
        <f>IF(R770="","",ROUND(R770*RESUMEN!$B$4,0))</f>
        <v/>
      </c>
      <c r="U770" s="18">
        <f>COUNT(E770:Q770)</f>
        <v/>
      </c>
    </row>
    <row r="771">
      <c r="A771" s="13" t="inlineStr">
        <is>
          <t>15104863162605</t>
        </is>
      </c>
      <c r="B771" s="13" t="inlineStr">
        <is>
          <t>COLLAR T KEY HEART</t>
        </is>
      </c>
      <c r="C771" s="13" t="inlineStr">
        <is>
          <t>Default Title</t>
        </is>
      </c>
      <c r="D771" s="14" t="inlineStr">
        <is>
          <t>Copper alloy</t>
        </is>
      </c>
      <c r="E771" s="13" t="n"/>
      <c r="F771" s="13" t="n"/>
      <c r="G771" s="13" t="n"/>
      <c r="H771" s="13" t="n"/>
      <c r="I771" s="13" t="n"/>
      <c r="J771" s="13" t="n"/>
      <c r="K771" s="15" t="n">
        <v>7.5</v>
      </c>
      <c r="L771" s="13" t="n"/>
      <c r="M771" s="13" t="n"/>
      <c r="N771" s="13" t="n"/>
      <c r="O771" s="15" t="n">
        <v>7.5</v>
      </c>
      <c r="P771" s="13" t="n"/>
      <c r="Q771" s="13" t="n"/>
      <c r="R771" s="16">
        <f>IF(COUNT(E771:Q771)=0,"",MIN(E771:Q771))</f>
        <v/>
      </c>
      <c r="S771" s="15">
        <f>IF(COUNT(E771:Q771)=0,"",LOOKUP(2,1/(E771:Q771&lt;&gt;""),E771:Q771))</f>
        <v/>
      </c>
      <c r="T771" s="17">
        <f>IF(R771="","",ROUND(R771*RESUMEN!$B$4,0))</f>
        <v/>
      </c>
      <c r="U771" s="18">
        <f>COUNT(E771:Q771)</f>
        <v/>
      </c>
    </row>
    <row r="772">
      <c r="A772" s="13" t="inlineStr">
        <is>
          <t>59109723868781</t>
        </is>
      </c>
      <c r="B772" s="13" t="inlineStr">
        <is>
          <t>COLLAR T LOVE ENTRELAZADOS</t>
        </is>
      </c>
      <c r="C772" s="13" t="inlineStr">
        <is>
          <t>Default Title</t>
        </is>
      </c>
      <c r="D772" s="14" t="inlineStr">
        <is>
          <t>copper alloy</t>
        </is>
      </c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5" t="n">
        <v>6</v>
      </c>
      <c r="Q772" s="13" t="n"/>
      <c r="R772" s="16">
        <f>IF(COUNT(E772:Q772)=0,"",MIN(E772:Q772))</f>
        <v/>
      </c>
      <c r="S772" s="15">
        <f>IF(COUNT(E772:Q772)=0,"",LOOKUP(2,1/(E772:Q772&lt;&gt;""),E772:Q772))</f>
        <v/>
      </c>
      <c r="T772" s="17">
        <f>IF(R772="","",ROUND(R772*RESUMEN!$B$4,0))</f>
        <v/>
      </c>
      <c r="U772" s="18">
        <f>COUNT(E772:Q772)</f>
        <v/>
      </c>
    </row>
    <row r="773">
      <c r="A773" s="13" t="inlineStr">
        <is>
          <t>40154171040653</t>
        </is>
      </c>
      <c r="B773" s="13" t="inlineStr">
        <is>
          <t>COLLAR T OPEN HEART PERETTI</t>
        </is>
      </c>
      <c r="C773" s="13" t="inlineStr">
        <is>
          <t>Default Title</t>
        </is>
      </c>
      <c r="D773" s="14" t="inlineStr">
        <is>
          <t>Copper alloy</t>
        </is>
      </c>
      <c r="E773" s="13" t="n"/>
      <c r="F773" s="13" t="n"/>
      <c r="G773" s="13" t="n"/>
      <c r="H773" s="13" t="n"/>
      <c r="I773" s="13" t="n"/>
      <c r="J773" s="13" t="n"/>
      <c r="K773" s="15" t="n">
        <v>10</v>
      </c>
      <c r="L773" s="13" t="n"/>
      <c r="M773" s="13" t="n"/>
      <c r="N773" s="13" t="n"/>
      <c r="O773" s="13" t="n"/>
      <c r="P773" s="13" t="n"/>
      <c r="Q773" s="15" t="n">
        <v>10</v>
      </c>
      <c r="R773" s="16">
        <f>IF(COUNT(E773:Q773)=0,"",MIN(E773:Q773))</f>
        <v/>
      </c>
      <c r="S773" s="15">
        <f>IF(COUNT(E773:Q773)=0,"",LOOKUP(2,1/(E773:Q773&lt;&gt;""),E773:Q773))</f>
        <v/>
      </c>
      <c r="T773" s="17">
        <f>IF(R773="","",ROUND(R773*RESUMEN!$B$4,0))</f>
        <v/>
      </c>
      <c r="U773" s="18">
        <f>COUNT(E773:Q773)</f>
        <v/>
      </c>
    </row>
    <row r="774">
      <c r="A774" s="13" t="inlineStr">
        <is>
          <t>63ebdb90c5a7d</t>
        </is>
      </c>
      <c r="B774" s="13" t="inlineStr">
        <is>
          <t>COLLAR TREBOL BLACK-ROSE GOLD</t>
        </is>
      </c>
      <c r="C774" s="13" t="inlineStr">
        <is>
          <t>High Quality 45cm</t>
        </is>
      </c>
      <c r="D774" s="14" t="inlineStr">
        <is>
          <t>Copper alloy</t>
        </is>
      </c>
      <c r="E774" s="13" t="n"/>
      <c r="F774" s="13" t="n"/>
      <c r="G774" s="13" t="n"/>
      <c r="H774" s="13" t="n"/>
      <c r="I774" s="15" t="n">
        <v>12</v>
      </c>
      <c r="J774" s="15" t="n">
        <v>4</v>
      </c>
      <c r="K774" s="13" t="n"/>
      <c r="L774" s="15" t="n">
        <v>4</v>
      </c>
      <c r="M774" s="13" t="n"/>
      <c r="N774" s="13" t="n"/>
      <c r="O774" s="13" t="n"/>
      <c r="P774" s="13" t="n"/>
      <c r="Q774" s="13" t="n"/>
      <c r="R774" s="16">
        <f>IF(COUNT(E774:Q774)=0,"",MIN(E774:Q774))</f>
        <v/>
      </c>
      <c r="S774" s="15">
        <f>IF(COUNT(E774:Q774)=0,"",LOOKUP(2,1/(E774:Q774&lt;&gt;""),E774:Q774))</f>
        <v/>
      </c>
      <c r="T774" s="17">
        <f>IF(R774="","",ROUND(R774*RESUMEN!$B$4,0))</f>
        <v/>
      </c>
      <c r="U774" s="18">
        <f>COUNT(E774:Q774)</f>
        <v/>
      </c>
    </row>
    <row r="775">
      <c r="A775" s="13" t="inlineStr">
        <is>
          <t>43010669576332</t>
        </is>
      </c>
      <c r="B775" s="13" t="inlineStr">
        <is>
          <t>COLLAR TREBOL GREEN-ROSE GOLD</t>
        </is>
      </c>
      <c r="C775" s="13" t="inlineStr">
        <is>
          <t>HIGH QUALITY 45cm</t>
        </is>
      </c>
      <c r="D775" s="14" t="inlineStr">
        <is>
          <t>Copper alloy</t>
        </is>
      </c>
      <c r="E775" s="13" t="n"/>
      <c r="F775" s="15" t="n">
        <v>11</v>
      </c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5" t="n">
        <v>4</v>
      </c>
      <c r="Q775" s="13" t="n"/>
      <c r="R775" s="16">
        <f>IF(COUNT(E775:Q775)=0,"",MIN(E775:Q775))</f>
        <v/>
      </c>
      <c r="S775" s="15">
        <f>IF(COUNT(E775:Q775)=0,"",LOOKUP(2,1/(E775:Q775&lt;&gt;""),E775:Q775))</f>
        <v/>
      </c>
      <c r="T775" s="17">
        <f>IF(R775="","",ROUND(R775*RESUMEN!$B$4,0))</f>
        <v/>
      </c>
      <c r="U775" s="18">
        <f>COUNT(E775:Q775)</f>
        <v/>
      </c>
    </row>
    <row r="776">
      <c r="A776" s="13" t="inlineStr">
        <is>
          <t>66177b572d821</t>
        </is>
      </c>
      <c r="B776" s="13" t="inlineStr">
        <is>
          <t>COLLAR TREBOL ROSEGOLD</t>
        </is>
      </c>
      <c r="C776" s="13" t="inlineStr">
        <is>
          <t>HIGH QUALITY 41cm con extensi√≥n de 3cm</t>
        </is>
      </c>
      <c r="D776" s="14" t="inlineStr"/>
      <c r="E776" s="13" t="n"/>
      <c r="F776" s="15" t="n">
        <v>12</v>
      </c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6">
        <f>IF(COUNT(E776:Q776)=0,"",MIN(E776:Q776))</f>
        <v/>
      </c>
      <c r="S776" s="15">
        <f>IF(COUNT(E776:Q776)=0,"",LOOKUP(2,1/(E776:Q776&lt;&gt;""),E776:Q776))</f>
        <v/>
      </c>
      <c r="T776" s="17">
        <f>IF(R776="","",ROUND(R776*RESUMEN!$B$4,0))</f>
        <v/>
      </c>
      <c r="U776" s="18">
        <f>COUNT(E776:Q776)</f>
        <v/>
      </c>
    </row>
    <row r="777">
      <c r="A777" s="13" t="inlineStr">
        <is>
          <t>82224434630413</t>
        </is>
      </c>
      <c r="B777" s="13" t="inlineStr">
        <is>
          <t>COLLAR TREBOL ROSEGOLD WHITE</t>
        </is>
      </c>
      <c r="C777" s="13" t="inlineStr">
        <is>
          <t>45cm</t>
        </is>
      </c>
      <c r="D777" s="14" t="inlineStr"/>
      <c r="E777" s="13" t="n"/>
      <c r="F777" s="15" t="n">
        <v>11</v>
      </c>
      <c r="G777" s="13" t="n"/>
      <c r="H777" s="15" t="n">
        <v>12</v>
      </c>
      <c r="I777" s="15" t="n">
        <v>12</v>
      </c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6">
        <f>IF(COUNT(E777:Q777)=0,"",MIN(E777:Q777))</f>
        <v/>
      </c>
      <c r="S777" s="15">
        <f>IF(COUNT(E777:Q777)=0,"",LOOKUP(2,1/(E777:Q777&lt;&gt;""),E777:Q777))</f>
        <v/>
      </c>
      <c r="T777" s="17">
        <f>IF(R777="","",ROUND(R777*RESUMEN!$B$4,0))</f>
        <v/>
      </c>
      <c r="U777" s="18">
        <f>COUNT(E777:Q777)</f>
        <v/>
      </c>
    </row>
    <row r="778">
      <c r="A778" s="13" t="inlineStr">
        <is>
          <t>84158211070285</t>
        </is>
      </c>
      <c r="B778" s="13" t="inlineStr">
        <is>
          <t>COLLAR TREBOL ROSEGOLD-RED</t>
        </is>
      </c>
      <c r="C778" s="13" t="inlineStr">
        <is>
          <t>High Quality 43cm y dije 10mm</t>
        </is>
      </c>
      <c r="D778" s="14" t="inlineStr">
        <is>
          <t>Copper alloy</t>
        </is>
      </c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5" t="n">
        <v>4</v>
      </c>
      <c r="R778" s="16">
        <f>IF(COUNT(E778:Q778)=0,"",MIN(E778:Q778))</f>
        <v/>
      </c>
      <c r="S778" s="15">
        <f>IF(COUNT(E778:Q778)=0,"",LOOKUP(2,1/(E778:Q778&lt;&gt;""),E778:Q778))</f>
        <v/>
      </c>
      <c r="T778" s="17">
        <f>IF(R778="","",ROUND(R778*RESUMEN!$B$4,0))</f>
        <v/>
      </c>
      <c r="U778" s="18">
        <f>COUNT(E778:Q778)</f>
        <v/>
      </c>
    </row>
    <row r="779">
      <c r="A779" s="13" t="inlineStr">
        <is>
          <t>665bbe801cd41</t>
        </is>
      </c>
      <c r="B779" s="13" t="inlineStr">
        <is>
          <t>COLLAR TREBOL ROSEGOLD-RED</t>
        </is>
      </c>
      <c r="C779" s="13" t="inlineStr">
        <is>
          <t>High Quality 45cm y dije 15mm</t>
        </is>
      </c>
      <c r="D779" s="14" t="inlineStr">
        <is>
          <t>Copper alloy</t>
        </is>
      </c>
      <c r="E779" s="13" t="n"/>
      <c r="F779" s="15" t="n">
        <v>11</v>
      </c>
      <c r="G779" s="13" t="n"/>
      <c r="H779" s="13" t="n"/>
      <c r="I779" s="13" t="n"/>
      <c r="J779" s="13" t="n"/>
      <c r="K779" s="13" t="n"/>
      <c r="L779" s="13" t="n"/>
      <c r="M779" s="15" t="n">
        <v>4</v>
      </c>
      <c r="N779" s="13" t="n"/>
      <c r="O779" s="15" t="n">
        <v>4</v>
      </c>
      <c r="P779" s="13" t="n"/>
      <c r="Q779" s="13" t="n"/>
      <c r="R779" s="16">
        <f>IF(COUNT(E779:Q779)=0,"",MIN(E779:Q779))</f>
        <v/>
      </c>
      <c r="S779" s="15">
        <f>IF(COUNT(E779:Q779)=0,"",LOOKUP(2,1/(E779:Q779&lt;&gt;""),E779:Q779))</f>
        <v/>
      </c>
      <c r="T779" s="17">
        <f>IF(R779="","",ROUND(R779*RESUMEN!$B$4,0))</f>
        <v/>
      </c>
      <c r="U779" s="18">
        <f>COUNT(E779:Q779)</f>
        <v/>
      </c>
    </row>
    <row r="780">
      <c r="A780" s="13" t="inlineStr">
        <is>
          <t>43728133191212</t>
        </is>
      </c>
      <c r="B780" s="13" t="inlineStr">
        <is>
          <t>COLLAR TREBOL SILVER</t>
        </is>
      </c>
      <c r="C780" s="13" t="inlineStr">
        <is>
          <t>plata esterlina 925</t>
        </is>
      </c>
      <c r="D780" s="14" t="inlineStr">
        <is>
          <t>copper alloy</t>
        </is>
      </c>
      <c r="E780" s="15" t="n">
        <v>10</v>
      </c>
      <c r="F780" s="13" t="n"/>
      <c r="G780" s="13" t="n"/>
      <c r="H780" s="13" t="n"/>
      <c r="I780" s="15" t="n">
        <v>10</v>
      </c>
      <c r="J780" s="15" t="n">
        <v>4</v>
      </c>
      <c r="K780" s="13" t="n"/>
      <c r="L780" s="13" t="n"/>
      <c r="M780" s="13" t="n"/>
      <c r="N780" s="13" t="n"/>
      <c r="O780" s="15" t="n">
        <v>4</v>
      </c>
      <c r="P780" s="13" t="n"/>
      <c r="Q780" s="13" t="n"/>
      <c r="R780" s="16">
        <f>IF(COUNT(E780:Q780)=0,"",MIN(E780:Q780))</f>
        <v/>
      </c>
      <c r="S780" s="15">
        <f>IF(COUNT(E780:Q780)=0,"",LOOKUP(2,1/(E780:Q780&lt;&gt;""),E780:Q780))</f>
        <v/>
      </c>
      <c r="T780" s="17">
        <f>IF(R780="","",ROUND(R780*RESUMEN!$B$4,0))</f>
        <v/>
      </c>
      <c r="U780" s="18">
        <f>COUNT(E780:Q780)</f>
        <v/>
      </c>
    </row>
    <row r="781">
      <c r="A781" s="13" t="inlineStr">
        <is>
          <t>3886385575564</t>
        </is>
      </c>
      <c r="B781" s="13" t="inlineStr">
        <is>
          <t>COLLAR TREBOL SILVER BLACK</t>
        </is>
      </c>
      <c r="C781" s="13" t="inlineStr">
        <is>
          <t>45cm</t>
        </is>
      </c>
      <c r="D781" s="14" t="inlineStr"/>
      <c r="E781" s="13" t="n"/>
      <c r="F781" s="13" t="n"/>
      <c r="G781" s="13" t="n"/>
      <c r="H781" s="15" t="n">
        <v>12</v>
      </c>
      <c r="I781" s="15" t="n">
        <v>12</v>
      </c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6">
        <f>IF(COUNT(E781:Q781)=0,"",MIN(E781:Q781))</f>
        <v/>
      </c>
      <c r="S781" s="15">
        <f>IF(COUNT(E781:Q781)=0,"",LOOKUP(2,1/(E781:Q781&lt;&gt;""),E781:Q781))</f>
        <v/>
      </c>
      <c r="T781" s="17">
        <f>IF(R781="","",ROUND(R781*RESUMEN!$B$4,0))</f>
        <v/>
      </c>
      <c r="U781" s="18">
        <f>COUNT(E781:Q781)</f>
        <v/>
      </c>
    </row>
    <row r="782">
      <c r="A782" s="13" t="inlineStr">
        <is>
          <t>66177b50250a5</t>
        </is>
      </c>
      <c r="B782" s="13" t="inlineStr">
        <is>
          <t>COLLAR TREBOL SILVER WHITE</t>
        </is>
      </c>
      <c r="C782" s="13" t="inlineStr">
        <is>
          <t>45cm</t>
        </is>
      </c>
      <c r="D782" s="14" t="inlineStr">
        <is>
          <t>Copper alloy</t>
        </is>
      </c>
      <c r="E782" s="13" t="n"/>
      <c r="F782" s="13" t="n"/>
      <c r="G782" s="13" t="n"/>
      <c r="H782" s="13" t="n"/>
      <c r="I782" s="15" t="n">
        <v>12</v>
      </c>
      <c r="J782" s="13" t="n"/>
      <c r="K782" s="13" t="n"/>
      <c r="L782" s="13" t="n"/>
      <c r="M782" s="13" t="n"/>
      <c r="N782" s="13" t="n"/>
      <c r="O782" s="15" t="n">
        <v>4</v>
      </c>
      <c r="P782" s="15" t="n">
        <v>4</v>
      </c>
      <c r="Q782" s="13" t="n"/>
      <c r="R782" s="16">
        <f>IF(COUNT(E782:Q782)=0,"",MIN(E782:Q782))</f>
        <v/>
      </c>
      <c r="S782" s="15">
        <f>IF(COUNT(E782:Q782)=0,"",LOOKUP(2,1/(E782:Q782&lt;&gt;""),E782:Q782))</f>
        <v/>
      </c>
      <c r="T782" s="17">
        <f>IF(R782="","",ROUND(R782*RESUMEN!$B$4,0))</f>
        <v/>
      </c>
      <c r="U782" s="18">
        <f>COUNT(E782:Q782)</f>
        <v/>
      </c>
    </row>
    <row r="783">
      <c r="A783" s="13" t="inlineStr">
        <is>
          <t>665bbe8b6904f</t>
        </is>
      </c>
      <c r="B783" s="13" t="inlineStr">
        <is>
          <t>COLLAR TRES AROS</t>
        </is>
      </c>
      <c r="C783" s="13" t="inlineStr">
        <is>
          <t>45cm</t>
        </is>
      </c>
      <c r="D783" s="14" t="inlineStr">
        <is>
          <t>Stainless stee</t>
        </is>
      </c>
      <c r="E783" s="13" t="n"/>
      <c r="F783" s="13" t="n"/>
      <c r="G783" s="13" t="n"/>
      <c r="H783" s="13" t="n"/>
      <c r="I783" s="13" t="n"/>
      <c r="J783" s="13" t="n"/>
      <c r="K783" s="13" t="n"/>
      <c r="L783" s="15" t="n">
        <v>7</v>
      </c>
      <c r="M783" s="15" t="n">
        <v>7</v>
      </c>
      <c r="N783" s="13" t="n"/>
      <c r="O783" s="13" t="n"/>
      <c r="P783" s="13" t="n"/>
      <c r="Q783" s="13" t="n"/>
      <c r="R783" s="16">
        <f>IF(COUNT(E783:Q783)=0,"",MIN(E783:Q783))</f>
        <v/>
      </c>
      <c r="S783" s="15">
        <f>IF(COUNT(E783:Q783)=0,"",LOOKUP(2,1/(E783:Q783&lt;&gt;""),E783:Q783))</f>
        <v/>
      </c>
      <c r="T783" s="17">
        <f>IF(R783="","",ROUND(R783*RESUMEN!$B$4,0))</f>
        <v/>
      </c>
      <c r="U783" s="18">
        <f>COUNT(E783:Q783)</f>
        <v/>
      </c>
    </row>
    <row r="784">
      <c r="A784" s="13" t="inlineStr">
        <is>
          <t>81836201485581</t>
        </is>
      </c>
      <c r="B784" s="13" t="inlineStr">
        <is>
          <t>COLLAR TRES AROS</t>
        </is>
      </c>
      <c r="C784" s="13" t="inlineStr">
        <is>
          <t>45cm middle quality</t>
        </is>
      </c>
      <c r="D784" s="14" t="inlineStr">
        <is>
          <t>Stainless Stee</t>
        </is>
      </c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5" t="n">
        <v>7</v>
      </c>
      <c r="P784" s="13" t="n"/>
      <c r="Q784" s="13" t="n"/>
      <c r="R784" s="16">
        <f>IF(COUNT(E784:Q784)=0,"",MIN(E784:Q784))</f>
        <v/>
      </c>
      <c r="S784" s="15">
        <f>IF(COUNT(E784:Q784)=0,"",LOOKUP(2,1/(E784:Q784&lt;&gt;""),E784:Q784))</f>
        <v/>
      </c>
      <c r="T784" s="17">
        <f>IF(R784="","",ROUND(R784*RESUMEN!$B$4,0))</f>
        <v/>
      </c>
      <c r="U784" s="18">
        <f>COUNT(E784:Q784)</f>
        <v/>
      </c>
    </row>
    <row r="785">
      <c r="A785" s="13" t="inlineStr">
        <is>
          <t>15489301069581</t>
        </is>
      </c>
      <c r="B785" s="13" t="inlineStr">
        <is>
          <t>COLLAR TRES AROS ROSE GOLD</t>
        </is>
      </c>
      <c r="C785" s="13" t="inlineStr">
        <is>
          <t>Default Title</t>
        </is>
      </c>
      <c r="D785" s="14" t="inlineStr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5" t="n">
        <v>29.95</v>
      </c>
      <c r="O785" s="13" t="n"/>
      <c r="P785" s="13" t="n"/>
      <c r="Q785" s="13" t="n"/>
      <c r="R785" s="16">
        <f>IF(COUNT(E785:Q785)=0,"",MIN(E785:Q785))</f>
        <v/>
      </c>
      <c r="S785" s="15">
        <f>IF(COUNT(E785:Q785)=0,"",LOOKUP(2,1/(E785:Q785&lt;&gt;""),E785:Q785))</f>
        <v/>
      </c>
      <c r="T785" s="17">
        <f>IF(R785="","",ROUND(R785*RESUMEN!$B$4,0))</f>
        <v/>
      </c>
      <c r="U785" s="18">
        <f>COUNT(E785:Q785)</f>
        <v/>
      </c>
    </row>
    <row r="786">
      <c r="A786" s="13" t="inlineStr">
        <is>
          <t>71136141049485</t>
        </is>
      </c>
      <c r="B786" s="13" t="inlineStr">
        <is>
          <t>COLLAR TRINITY SQUARE</t>
        </is>
      </c>
      <c r="C786" s="13" t="inlineStr">
        <is>
          <t>Default Title</t>
        </is>
      </c>
      <c r="D786" s="14" t="inlineStr"/>
      <c r="E786" s="13" t="n"/>
      <c r="F786" s="13" t="n"/>
      <c r="G786" s="13" t="n"/>
      <c r="H786" s="15" t="n">
        <v>8</v>
      </c>
      <c r="I786" s="15" t="n">
        <v>8</v>
      </c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6">
        <f>IF(COUNT(E786:Q786)=0,"",MIN(E786:Q786))</f>
        <v/>
      </c>
      <c r="S786" s="15">
        <f>IF(COUNT(E786:Q786)=0,"",LOOKUP(2,1/(E786:Q786&lt;&gt;""),E786:Q786))</f>
        <v/>
      </c>
      <c r="T786" s="17">
        <f>IF(R786="","",ROUND(R786*RESUMEN!$B$4,0))</f>
        <v/>
      </c>
      <c r="U786" s="18">
        <f>COUNT(E786:Q786)</f>
        <v/>
      </c>
    </row>
    <row r="787">
      <c r="A787" s="13" t="inlineStr">
        <is>
          <t>66177b50c9a71</t>
        </is>
      </c>
      <c r="B787" s="13" t="inlineStr">
        <is>
          <t>COLLAR TRÉBOL BLACK-GOLD</t>
        </is>
      </c>
      <c r="C787" s="13" t="inlineStr">
        <is>
          <t>HIGH QUALITY (45CM)</t>
        </is>
      </c>
      <c r="D787" s="14" t="inlineStr">
        <is>
          <t>Copper alloy</t>
        </is>
      </c>
      <c r="E787" s="13" t="n"/>
      <c r="F787" s="13" t="n"/>
      <c r="G787" s="13" t="n"/>
      <c r="H787" s="13" t="n"/>
      <c r="I787" s="13" t="n"/>
      <c r="J787" s="15" t="n">
        <v>4</v>
      </c>
      <c r="K787" s="13" t="n"/>
      <c r="L787" s="15" t="n">
        <v>4</v>
      </c>
      <c r="M787" s="13" t="n"/>
      <c r="N787" s="13" t="n"/>
      <c r="O787" s="13" t="n"/>
      <c r="P787" s="15" t="n">
        <v>4</v>
      </c>
      <c r="Q787" s="15" t="n">
        <v>4</v>
      </c>
      <c r="R787" s="16">
        <f>IF(COUNT(E787:Q787)=0,"",MIN(E787:Q787))</f>
        <v/>
      </c>
      <c r="S787" s="15">
        <f>IF(COUNT(E787:Q787)=0,"",LOOKUP(2,1/(E787:Q787&lt;&gt;""),E787:Q787))</f>
        <v/>
      </c>
      <c r="T787" s="17">
        <f>IF(R787="","",ROUND(R787*RESUMEN!$B$4,0))</f>
        <v/>
      </c>
      <c r="U787" s="18">
        <f>COUNT(E787:Q787)</f>
        <v/>
      </c>
    </row>
    <row r="788">
      <c r="A788" s="13" t="inlineStr">
        <is>
          <t>648cc5bf129eb</t>
        </is>
      </c>
      <c r="B788" s="13" t="inlineStr">
        <is>
          <t>COLLAR TRÉBOL GOLD</t>
        </is>
      </c>
      <c r="C788" s="13" t="inlineStr">
        <is>
          <t>41cm con extension de 3cm</t>
        </is>
      </c>
      <c r="D788" s="14" t="inlineStr">
        <is>
          <t>Copper alloy</t>
        </is>
      </c>
      <c r="E788" s="13" t="n"/>
      <c r="F788" s="13" t="n"/>
      <c r="G788" s="13" t="n"/>
      <c r="H788" s="13" t="n"/>
      <c r="I788" s="13" t="n"/>
      <c r="J788" s="15" t="n">
        <v>4</v>
      </c>
      <c r="K788" s="13" t="n"/>
      <c r="L788" s="15" t="n">
        <v>4</v>
      </c>
      <c r="M788" s="13" t="n"/>
      <c r="N788" s="15" t="n">
        <v>4</v>
      </c>
      <c r="O788" s="15" t="n">
        <v>4</v>
      </c>
      <c r="P788" s="13" t="n"/>
      <c r="Q788" s="15" t="n">
        <v>4</v>
      </c>
      <c r="R788" s="16">
        <f>IF(COUNT(E788:Q788)=0,"",MIN(E788:Q788))</f>
        <v/>
      </c>
      <c r="S788" s="15">
        <f>IF(COUNT(E788:Q788)=0,"",LOOKUP(2,1/(E788:Q788&lt;&gt;""),E788:Q788))</f>
        <v/>
      </c>
      <c r="T788" s="17">
        <f>IF(R788="","",ROUND(R788*RESUMEN!$B$4,0))</f>
        <v/>
      </c>
      <c r="U788" s="18">
        <f>COUNT(E788:Q788)</f>
        <v/>
      </c>
    </row>
    <row r="789">
      <c r="A789" s="13" t="inlineStr">
        <is>
          <t>66177b4581060</t>
        </is>
      </c>
      <c r="B789" s="13" t="inlineStr">
        <is>
          <t>COLLAR TRÉBOL GOLD-GREEN</t>
        </is>
      </c>
      <c r="C789" s="13" t="inlineStr">
        <is>
          <t>(45CM)</t>
        </is>
      </c>
      <c r="D789" s="14" t="inlineStr">
        <is>
          <t>Copper alloy</t>
        </is>
      </c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5" t="n">
        <v>4</v>
      </c>
      <c r="O789" s="13" t="n"/>
      <c r="P789" s="13" t="n"/>
      <c r="Q789" s="15" t="n">
        <v>4</v>
      </c>
      <c r="R789" s="16">
        <f>IF(COUNT(E789:Q789)=0,"",MIN(E789:Q789))</f>
        <v/>
      </c>
      <c r="S789" s="15">
        <f>IF(COUNT(E789:Q789)=0,"",LOOKUP(2,1/(E789:Q789&lt;&gt;""),E789:Q789))</f>
        <v/>
      </c>
      <c r="T789" s="17">
        <f>IF(R789="","",ROUND(R789*RESUMEN!$B$4,0))</f>
        <v/>
      </c>
      <c r="U789" s="18">
        <f>COUNT(E789:Q789)</f>
        <v/>
      </c>
    </row>
    <row r="790">
      <c r="A790" s="13" t="inlineStr">
        <is>
          <t>641887036d043</t>
        </is>
      </c>
      <c r="B790" s="13" t="inlineStr">
        <is>
          <t>COLLAR TRÉBOL GOLD-RED</t>
        </is>
      </c>
      <c r="C790" s="13" t="inlineStr">
        <is>
          <t>40cm con extensión de 5cm</t>
        </is>
      </c>
      <c r="D790" s="14" t="inlineStr">
        <is>
          <t>copper alloy</t>
        </is>
      </c>
      <c r="E790" s="13" t="n"/>
      <c r="F790" s="15" t="n">
        <v>11</v>
      </c>
      <c r="G790" s="13" t="n"/>
      <c r="H790" s="13" t="n"/>
      <c r="I790" s="15" t="n">
        <v>12</v>
      </c>
      <c r="J790" s="13" t="n"/>
      <c r="K790" s="13" t="n"/>
      <c r="L790" s="13" t="n"/>
      <c r="M790" s="13" t="n"/>
      <c r="N790" s="13" t="n"/>
      <c r="O790" s="15" t="n">
        <v>4</v>
      </c>
      <c r="P790" s="13" t="n"/>
      <c r="Q790" s="13" t="n"/>
      <c r="R790" s="16">
        <f>IF(COUNT(E790:Q790)=0,"",MIN(E790:Q790))</f>
        <v/>
      </c>
      <c r="S790" s="15">
        <f>IF(COUNT(E790:Q790)=0,"",LOOKUP(2,1/(E790:Q790&lt;&gt;""),E790:Q790))</f>
        <v/>
      </c>
      <c r="T790" s="17">
        <f>IF(R790="","",ROUND(R790*RESUMEN!$B$4,0))</f>
        <v/>
      </c>
      <c r="U790" s="18">
        <f>COUNT(E790:Q790)</f>
        <v/>
      </c>
    </row>
    <row r="791">
      <c r="A791" s="13" t="inlineStr">
        <is>
          <t>66177b506a320</t>
        </is>
      </c>
      <c r="B791" s="13" t="inlineStr">
        <is>
          <t>COLLAR TRÉBOL GOLD-RED</t>
        </is>
      </c>
      <c r="C791" s="13" t="inlineStr">
        <is>
          <t>HIGH QUALITY (45CM)</t>
        </is>
      </c>
      <c r="D791" s="14" t="inlineStr">
        <is>
          <t>Copper alloy</t>
        </is>
      </c>
      <c r="E791" s="15" t="n">
        <v>10</v>
      </c>
      <c r="F791" s="13" t="n"/>
      <c r="G791" s="13" t="n"/>
      <c r="H791" s="13" t="n"/>
      <c r="I791" s="13" t="n"/>
      <c r="J791" s="13" t="n"/>
      <c r="K791" s="13" t="n"/>
      <c r="L791" s="15" t="n">
        <v>4</v>
      </c>
      <c r="M791" s="13" t="n"/>
      <c r="N791" s="15" t="n">
        <v>4</v>
      </c>
      <c r="O791" s="13" t="n"/>
      <c r="P791" s="13" t="n"/>
      <c r="Q791" s="13" t="n"/>
      <c r="R791" s="16">
        <f>IF(COUNT(E791:Q791)=0,"",MIN(E791:Q791))</f>
        <v/>
      </c>
      <c r="S791" s="15">
        <f>IF(COUNT(E791:Q791)=0,"",LOOKUP(2,1/(E791:Q791&lt;&gt;""),E791:Q791))</f>
        <v/>
      </c>
      <c r="T791" s="17">
        <f>IF(R791="","",ROUND(R791*RESUMEN!$B$4,0))</f>
        <v/>
      </c>
      <c r="U791" s="18">
        <f>COUNT(E791:Q791)</f>
        <v/>
      </c>
    </row>
    <row r="792">
      <c r="A792" s="13" t="inlineStr">
        <is>
          <t>66177b4fc21fd</t>
        </is>
      </c>
      <c r="B792" s="13" t="inlineStr">
        <is>
          <t>COLLAR TRÉBOL GOLD-WHITE</t>
        </is>
      </c>
      <c r="C792" s="13" t="inlineStr">
        <is>
          <t>45CM</t>
        </is>
      </c>
      <c r="D792" s="14" t="inlineStr">
        <is>
          <t>copper alloy</t>
        </is>
      </c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5" t="n">
        <v>4</v>
      </c>
      <c r="P792" s="13" t="n"/>
      <c r="Q792" s="13" t="n"/>
      <c r="R792" s="16">
        <f>IF(COUNT(E792:Q792)=0,"",MIN(E792:Q792))</f>
        <v/>
      </c>
      <c r="S792" s="15">
        <f>IF(COUNT(E792:Q792)=0,"",LOOKUP(2,1/(E792:Q792&lt;&gt;""),E792:Q792))</f>
        <v/>
      </c>
      <c r="T792" s="17">
        <f>IF(R792="","",ROUND(R792*RESUMEN!$B$4,0))</f>
        <v/>
      </c>
      <c r="U792" s="18">
        <f>COUNT(E792:Q792)</f>
        <v/>
      </c>
    </row>
    <row r="793">
      <c r="A793" s="13" t="inlineStr">
        <is>
          <t>95854382018573</t>
        </is>
      </c>
      <c r="B793" s="13" t="inlineStr">
        <is>
          <t>COLLAR VF BUTTERFLIES</t>
        </is>
      </c>
      <c r="C793" s="13" t="inlineStr">
        <is>
          <t>Default Title</t>
        </is>
      </c>
      <c r="D793" s="14" t="inlineStr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5" t="n">
        <v>5</v>
      </c>
      <c r="O793" s="13" t="n"/>
      <c r="P793" s="13" t="n"/>
      <c r="Q793" s="13" t="n"/>
      <c r="R793" s="16">
        <f>IF(COUNT(E793:Q793)=0,"",MIN(E793:Q793))</f>
        <v/>
      </c>
      <c r="S793" s="15">
        <f>IF(COUNT(E793:Q793)=0,"",LOOKUP(2,1/(E793:Q793&lt;&gt;""),E793:Q793))</f>
        <v/>
      </c>
      <c r="T793" s="17">
        <f>IF(R793="","",ROUND(R793*RESUMEN!$B$4,0))</f>
        <v/>
      </c>
      <c r="U793" s="18">
        <f>COUNT(E793:Q793)</f>
        <v/>
      </c>
    </row>
    <row r="794">
      <c r="A794" s="13" t="inlineStr">
        <is>
          <t>95854382120269</t>
        </is>
      </c>
      <c r="B794" s="13" t="inlineStr">
        <is>
          <t>COLLAR VF BUTTERFLY SILVER</t>
        </is>
      </c>
      <c r="C794" s="13" t="inlineStr">
        <is>
          <t>Default Title</t>
        </is>
      </c>
      <c r="D794" s="14" t="inlineStr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5" t="n">
        <v>6</v>
      </c>
      <c r="O794" s="13" t="n"/>
      <c r="P794" s="13" t="n"/>
      <c r="Q794" s="13" t="n"/>
      <c r="R794" s="16">
        <f>IF(COUNT(E794:Q794)=0,"",MIN(E794:Q794))</f>
        <v/>
      </c>
      <c r="S794" s="15">
        <f>IF(COUNT(E794:Q794)=0,"",LOOKUP(2,1/(E794:Q794&lt;&gt;""),E794:Q794))</f>
        <v/>
      </c>
      <c r="T794" s="17">
        <f>IF(R794="","",ROUND(R794*RESUMEN!$B$4,0))</f>
        <v/>
      </c>
      <c r="U794" s="18">
        <f>COUNT(E794:Q794)</f>
        <v/>
      </c>
    </row>
    <row r="795">
      <c r="A795" s="13" t="inlineStr">
        <is>
          <t>95854382223661</t>
        </is>
      </c>
      <c r="B795" s="13" t="inlineStr">
        <is>
          <t>COLLAR VF FRIVOLE GOLD</t>
        </is>
      </c>
      <c r="C795" s="13" t="inlineStr">
        <is>
          <t>Default Title</t>
        </is>
      </c>
      <c r="D795" s="14" t="inlineStr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5" t="n">
        <v>4</v>
      </c>
      <c r="O795" s="13" t="n"/>
      <c r="P795" s="13" t="n"/>
      <c r="Q795" s="13" t="n"/>
      <c r="R795" s="16">
        <f>IF(COUNT(E795:Q795)=0,"",MIN(E795:Q795))</f>
        <v/>
      </c>
      <c r="S795" s="15">
        <f>IF(COUNT(E795:Q795)=0,"",LOOKUP(2,1/(E795:Q795&lt;&gt;""),E795:Q795))</f>
        <v/>
      </c>
      <c r="T795" s="17">
        <f>IF(R795="","",ROUND(R795*RESUMEN!$B$4,0))</f>
        <v/>
      </c>
      <c r="U795" s="18">
        <f>COUNT(E795:Q795)</f>
        <v/>
      </c>
    </row>
    <row r="796">
      <c r="A796" s="13" t="inlineStr">
        <is>
          <t>95854381747949</t>
        </is>
      </c>
      <c r="B796" s="13" t="inlineStr">
        <is>
          <t>COLLAR VF PERLEE GOLD</t>
        </is>
      </c>
      <c r="C796" s="13" t="inlineStr">
        <is>
          <t>Default Title</t>
        </is>
      </c>
      <c r="D796" s="14" t="inlineStr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5" t="n">
        <v>6.5</v>
      </c>
      <c r="O796" s="13" t="n"/>
      <c r="P796" s="13" t="n"/>
      <c r="Q796" s="13" t="n"/>
      <c r="R796" s="16">
        <f>IF(COUNT(E796:Q796)=0,"",MIN(E796:Q796))</f>
        <v/>
      </c>
      <c r="S796" s="15">
        <f>IF(COUNT(E796:Q796)=0,"",LOOKUP(2,1/(E796:Q796&lt;&gt;""),E796:Q796))</f>
        <v/>
      </c>
      <c r="T796" s="17">
        <f>IF(R796="","",ROUND(R796*RESUMEN!$B$4,0))</f>
        <v/>
      </c>
      <c r="U796" s="18">
        <f>COUNT(E796:Q796)</f>
        <v/>
      </c>
    </row>
    <row r="797">
      <c r="A797" s="13" t="inlineStr">
        <is>
          <t>95854381915181</t>
        </is>
      </c>
      <c r="B797" s="13" t="inlineStr">
        <is>
          <t>COLLAR VF SWEET HEARTS ROSE GOLD</t>
        </is>
      </c>
      <c r="C797" s="13" t="inlineStr">
        <is>
          <t>Default Title</t>
        </is>
      </c>
      <c r="D797" s="14" t="inlineStr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5" t="n">
        <v>4</v>
      </c>
      <c r="O797" s="13" t="n"/>
      <c r="P797" s="13" t="n"/>
      <c r="Q797" s="13" t="n"/>
      <c r="R797" s="16">
        <f>IF(COUNT(E797:Q797)=0,"",MIN(E797:Q797))</f>
        <v/>
      </c>
      <c r="S797" s="15">
        <f>IF(COUNT(E797:Q797)=0,"",LOOKUP(2,1/(E797:Q797&lt;&gt;""),E797:Q797))</f>
        <v/>
      </c>
      <c r="T797" s="17">
        <f>IF(R797="","",ROUND(R797*RESUMEN!$B$4,0))</f>
        <v/>
      </c>
      <c r="U797" s="18">
        <f>COUNT(E797:Q797)</f>
        <v/>
      </c>
    </row>
    <row r="798">
      <c r="A798" s="13" t="inlineStr">
        <is>
          <t>95854382325357</t>
        </is>
      </c>
      <c r="B798" s="13" t="inlineStr">
        <is>
          <t>COLLAR VF VINTAGE GOLD</t>
        </is>
      </c>
      <c r="C798" s="13" t="inlineStr">
        <is>
          <t>Default Title</t>
        </is>
      </c>
      <c r="D798" s="14" t="inlineStr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5" t="n">
        <v>4</v>
      </c>
      <c r="O798" s="13" t="n"/>
      <c r="P798" s="13" t="n"/>
      <c r="Q798" s="13" t="n"/>
      <c r="R798" s="16">
        <f>IF(COUNT(E798:Q798)=0,"",MIN(E798:Q798))</f>
        <v/>
      </c>
      <c r="S798" s="15">
        <f>IF(COUNT(E798:Q798)=0,"",LOOKUP(2,1/(E798:Q798&lt;&gt;""),E798:Q798))</f>
        <v/>
      </c>
      <c r="T798" s="17">
        <f>IF(R798="","",ROUND(R798*RESUMEN!$B$4,0))</f>
        <v/>
      </c>
      <c r="U798" s="18">
        <f>COUNT(E798:Q798)</f>
        <v/>
      </c>
    </row>
    <row r="799">
      <c r="A799" s="13" t="inlineStr">
        <is>
          <t>63ebdbffe0b2d</t>
        </is>
      </c>
      <c r="B799" s="13" t="inlineStr">
        <is>
          <t>GARGANTILLA CD PERLAS</t>
        </is>
      </c>
      <c r="C799" s="13" t="inlineStr">
        <is>
          <t>Largo 43 cm  Más Extensión 5 cm</t>
        </is>
      </c>
      <c r="D799" s="14" t="inlineStr">
        <is>
          <t>Copper Alloy</t>
        </is>
      </c>
      <c r="E799" s="13" t="n"/>
      <c r="F799" s="15" t="n">
        <v>12.9</v>
      </c>
      <c r="G799" s="13" t="n"/>
      <c r="H799" s="13" t="n"/>
      <c r="I799" s="15" t="n">
        <v>12.9</v>
      </c>
      <c r="J799" s="13" t="n"/>
      <c r="K799" s="13" t="n"/>
      <c r="L799" s="13" t="n"/>
      <c r="M799" s="13" t="n"/>
      <c r="N799" s="13" t="n"/>
      <c r="O799" s="15" t="n">
        <v>12.9</v>
      </c>
      <c r="P799" s="13" t="n"/>
      <c r="Q799" s="13" t="n"/>
      <c r="R799" s="16">
        <f>IF(COUNT(E799:Q799)=0,"",MIN(E799:Q799))</f>
        <v/>
      </c>
      <c r="S799" s="15">
        <f>IF(COUNT(E799:Q799)=0,"",LOOKUP(2,1/(E799:Q799&lt;&gt;""),E799:Q799))</f>
        <v/>
      </c>
      <c r="T799" s="17">
        <f>IF(R799="","",ROUND(R799*RESUMEN!$B$4,0))</f>
        <v/>
      </c>
      <c r="U799" s="18">
        <f>COUNT(E799:Q799)</f>
        <v/>
      </c>
    </row>
    <row r="800">
      <c r="A800" s="13" t="inlineStr">
        <is>
          <t>59109721202157</t>
        </is>
      </c>
      <c r="B800" s="13" t="inlineStr">
        <is>
          <t>GARGANTILLA F O'LOCK GOLD</t>
        </is>
      </c>
      <c r="C800" s="13" t="inlineStr">
        <is>
          <t>Default Title</t>
        </is>
      </c>
      <c r="D800" s="14" t="inlineStr">
        <is>
          <t>copper alloy</t>
        </is>
      </c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5" t="n">
        <v>14</v>
      </c>
      <c r="Q800" s="13" t="n"/>
      <c r="R800" s="16">
        <f>IF(COUNT(E800:Q800)=0,"",MIN(E800:Q800))</f>
        <v/>
      </c>
      <c r="S800" s="15">
        <f>IF(COUNT(E800:Q800)=0,"",LOOKUP(2,1/(E800:Q800&lt;&gt;""),E800:Q800))</f>
        <v/>
      </c>
      <c r="T800" s="17">
        <f>IF(R800="","",ROUND(R800*RESUMEN!$B$4,0))</f>
        <v/>
      </c>
      <c r="U800" s="18">
        <f>COUNT(E800:Q800)</f>
        <v/>
      </c>
    </row>
    <row r="801">
      <c r="A801" s="13" t="inlineStr">
        <is>
          <t>77216891573644</t>
        </is>
      </c>
      <c r="B801" s="13" t="inlineStr">
        <is>
          <t>GARGANTILLA SIXTEEN STONE</t>
        </is>
      </c>
      <c r="C801" s="13" t="inlineStr">
        <is>
          <t>42cm</t>
        </is>
      </c>
      <c r="D801" s="14" t="inlineStr">
        <is>
          <t>Copper Alloy</t>
        </is>
      </c>
      <c r="E801" s="15" t="n">
        <v>25</v>
      </c>
      <c r="F801" s="13" t="n"/>
      <c r="G801" s="13" t="n"/>
      <c r="H801" s="15" t="n">
        <v>25</v>
      </c>
      <c r="I801" s="15" t="n">
        <v>25</v>
      </c>
      <c r="J801" s="13" t="n"/>
      <c r="K801" s="13" t="n"/>
      <c r="L801" s="15" t="n">
        <v>25</v>
      </c>
      <c r="M801" s="13" t="n"/>
      <c r="N801" s="13" t="n"/>
      <c r="O801" s="15" t="n">
        <v>25</v>
      </c>
      <c r="P801" s="13" t="n"/>
      <c r="Q801" s="15" t="n">
        <v>25</v>
      </c>
      <c r="R801" s="16">
        <f>IF(COUNT(E801:Q801)=0,"",MIN(E801:Q801))</f>
        <v/>
      </c>
      <c r="S801" s="15">
        <f>IF(COUNT(E801:Q801)=0,"",LOOKUP(2,1/(E801:Q801&lt;&gt;""),E801:Q801))</f>
        <v/>
      </c>
      <c r="T801" s="17">
        <f>IF(R801="","",ROUND(R801*RESUMEN!$B$4,0))</f>
        <v/>
      </c>
      <c r="U801" s="18">
        <f>COUNT(E801:Q801)</f>
        <v/>
      </c>
    </row>
    <row r="802">
      <c r="A802" s="13" t="inlineStr">
        <is>
          <t>17964142823277</t>
        </is>
      </c>
      <c r="B802" s="13" t="inlineStr">
        <is>
          <t>GORRA C BEIS BABY BLUE</t>
        </is>
      </c>
      <c r="C802" s="13" t="inlineStr">
        <is>
          <t>Default Title</t>
        </is>
      </c>
      <c r="D802" s="14" t="inlineStr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5" t="n">
        <v>24</v>
      </c>
      <c r="P802" s="13" t="n"/>
      <c r="Q802" s="13" t="n"/>
      <c r="R802" s="16">
        <f>IF(COUNT(E802:Q802)=0,"",MIN(E802:Q802))</f>
        <v/>
      </c>
      <c r="S802" s="15">
        <f>IF(COUNT(E802:Q802)=0,"",LOOKUP(2,1/(E802:Q802&lt;&gt;""),E802:Q802))</f>
        <v/>
      </c>
      <c r="T802" s="17">
        <f>IF(R802="","",ROUND(R802*RESUMEN!$B$4,0))</f>
        <v/>
      </c>
      <c r="U802" s="18">
        <f>COUNT(E802:Q802)</f>
        <v/>
      </c>
    </row>
    <row r="803">
      <c r="A803" s="13" t="inlineStr">
        <is>
          <t>59109721071085</t>
        </is>
      </c>
      <c r="B803" s="13" t="inlineStr">
        <is>
          <t>GORRA CD BEIS BLACK</t>
        </is>
      </c>
      <c r="C803" s="13" t="inlineStr">
        <is>
          <t>Default Title</t>
        </is>
      </c>
      <c r="D803" s="14" t="inlineStr">
        <is>
          <t>nan</t>
        </is>
      </c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5" t="n">
        <v>28</v>
      </c>
      <c r="Q803" s="13" t="n"/>
      <c r="R803" s="16">
        <f>IF(COUNT(E803:Q803)=0,"",MIN(E803:Q803))</f>
        <v/>
      </c>
      <c r="S803" s="15">
        <f>IF(COUNT(E803:Q803)=0,"",LOOKUP(2,1/(E803:Q803&lt;&gt;""),E803:Q803))</f>
        <v/>
      </c>
      <c r="T803" s="17">
        <f>IF(R803="","",ROUND(R803*RESUMEN!$B$4,0))</f>
        <v/>
      </c>
      <c r="U803" s="18">
        <f>COUNT(E803:Q803)</f>
        <v/>
      </c>
    </row>
    <row r="804">
      <c r="A804" s="13" t="inlineStr">
        <is>
          <t>17964142921581</t>
        </is>
      </c>
      <c r="B804" s="13" t="inlineStr">
        <is>
          <t>GORRA MM DRILL BLUE</t>
        </is>
      </c>
      <c r="C804" s="13" t="inlineStr">
        <is>
          <t>Default Title</t>
        </is>
      </c>
      <c r="D804" s="14" t="inlineStr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5" t="n">
        <v>24</v>
      </c>
      <c r="P804" s="13" t="n"/>
      <c r="Q804" s="13" t="n"/>
      <c r="R804" s="16">
        <f>IF(COUNT(E804:Q804)=0,"",MIN(E804:Q804))</f>
        <v/>
      </c>
      <c r="S804" s="15">
        <f>IF(COUNT(E804:Q804)=0,"",LOOKUP(2,1/(E804:Q804&lt;&gt;""),E804:Q804))</f>
        <v/>
      </c>
      <c r="T804" s="17">
        <f>IF(R804="","",ROUND(R804*RESUMEN!$B$4,0))</f>
        <v/>
      </c>
      <c r="U804" s="18">
        <f>COUNT(E804:Q804)</f>
        <v/>
      </c>
    </row>
    <row r="805">
      <c r="A805" s="13" t="inlineStr">
        <is>
          <t>17964143087117</t>
        </is>
      </c>
      <c r="B805" s="13" t="inlineStr">
        <is>
          <t>GORRA MM DRILL PINK</t>
        </is>
      </c>
      <c r="C805" s="13" t="inlineStr">
        <is>
          <t>Default Title</t>
        </is>
      </c>
      <c r="D805" s="14" t="inlineStr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5" t="n">
        <v>24</v>
      </c>
      <c r="P805" s="15" t="n">
        <v>24</v>
      </c>
      <c r="Q805" s="13" t="n"/>
      <c r="R805" s="16">
        <f>IF(COUNT(E805:Q805)=0,"",MIN(E805:Q805))</f>
        <v/>
      </c>
      <c r="S805" s="15">
        <f>IF(COUNT(E805:Q805)=0,"",LOOKUP(2,1/(E805:Q805&lt;&gt;""),E805:Q805))</f>
        <v/>
      </c>
      <c r="T805" s="17">
        <f>IF(R805="","",ROUND(R805*RESUMEN!$B$4,0))</f>
        <v/>
      </c>
      <c r="U805" s="18">
        <f>COUNT(E805:Q805)</f>
        <v/>
      </c>
    </row>
    <row r="806">
      <c r="A806" s="13" t="inlineStr">
        <is>
          <t>17964141887725</t>
        </is>
      </c>
      <c r="B806" s="13" t="inlineStr">
        <is>
          <t>LENTES CD LINK A1U</t>
        </is>
      </c>
      <c r="C806" s="13" t="inlineStr">
        <is>
          <t>Default Title</t>
        </is>
      </c>
      <c r="D806" s="14" t="inlineStr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5" t="n">
        <v>35</v>
      </c>
      <c r="P806" s="13" t="n"/>
      <c r="Q806" s="13" t="n"/>
      <c r="R806" s="16">
        <f>IF(COUNT(E806:Q806)=0,"",MIN(E806:Q806))</f>
        <v/>
      </c>
      <c r="S806" s="15">
        <f>IF(COUNT(E806:Q806)=0,"",LOOKUP(2,1/(E806:Q806&lt;&gt;""),E806:Q806))</f>
        <v/>
      </c>
      <c r="T806" s="17">
        <f>IF(R806="","",ROUND(R806*RESUMEN!$B$4,0))</f>
        <v/>
      </c>
      <c r="U806" s="18">
        <f>COUNT(E806:Q806)</f>
        <v/>
      </c>
    </row>
    <row r="807">
      <c r="A807" s="13" t="inlineStr">
        <is>
          <t>17964141754957</t>
        </is>
      </c>
      <c r="B807" s="13" t="inlineStr">
        <is>
          <t>LENTES CD OBLIQUE S1</t>
        </is>
      </c>
      <c r="C807" s="13" t="inlineStr">
        <is>
          <t>Default Title</t>
        </is>
      </c>
      <c r="D807" s="14" t="inlineStr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5" t="n">
        <v>35</v>
      </c>
      <c r="P807" s="13" t="n"/>
      <c r="Q807" s="13" t="n"/>
      <c r="R807" s="16">
        <f>IF(COUNT(E807:Q807)=0,"",MIN(E807:Q807))</f>
        <v/>
      </c>
      <c r="S807" s="15">
        <f>IF(COUNT(E807:Q807)=0,"",LOOKUP(2,1/(E807:Q807&lt;&gt;""),E807:Q807))</f>
        <v/>
      </c>
      <c r="T807" s="17">
        <f>IF(R807="","",ROUND(R807*RESUMEN!$B$4,0))</f>
        <v/>
      </c>
      <c r="U807" s="18">
        <f>COUNT(E807:Q807)</f>
        <v/>
      </c>
    </row>
    <row r="808">
      <c r="A808" s="13" t="inlineStr">
        <is>
          <t>648cc38968e97</t>
        </is>
      </c>
      <c r="B808" s="13" t="inlineStr">
        <is>
          <t>LENTES DE SOL PR BLANCO</t>
        </is>
      </c>
      <c r="C808" s="13" t="inlineStr">
        <is>
          <t>Regular</t>
        </is>
      </c>
      <c r="D808" s="14" t="inlineStr"/>
      <c r="E808" s="13" t="n"/>
      <c r="F808" s="13" t="n"/>
      <c r="G808" s="13" t="n"/>
      <c r="H808" s="13" t="n"/>
      <c r="I808" s="13" t="n"/>
      <c r="J808" s="15" t="n">
        <v>28</v>
      </c>
      <c r="K808" s="13" t="n"/>
      <c r="L808" s="13" t="n"/>
      <c r="M808" s="13" t="n"/>
      <c r="N808" s="13" t="n"/>
      <c r="O808" s="13" t="n"/>
      <c r="P808" s="13" t="n"/>
      <c r="Q808" s="13" t="n"/>
      <c r="R808" s="16">
        <f>IF(COUNT(E808:Q808)=0,"",MIN(E808:Q808))</f>
        <v/>
      </c>
      <c r="S808" s="15">
        <f>IF(COUNT(E808:Q808)=0,"",LOOKUP(2,1/(E808:Q808&lt;&gt;""),E808:Q808))</f>
        <v/>
      </c>
      <c r="T808" s="17">
        <f>IF(R808="","",ROUND(R808*RESUMEN!$B$4,0))</f>
        <v/>
      </c>
      <c r="U808" s="18">
        <f>COUNT(E808:Q808)</f>
        <v/>
      </c>
    </row>
    <row r="809">
      <c r="A809" s="13" t="inlineStr">
        <is>
          <t>67201531268621</t>
        </is>
      </c>
      <c r="B809" s="13" t="inlineStr">
        <is>
          <t>LENTES EYEWEAR BROWN MM</t>
        </is>
      </c>
      <c r="C809" s="13" t="inlineStr">
        <is>
          <t>Default Title</t>
        </is>
      </c>
      <c r="D809" s="14" t="inlineStr">
        <is>
          <t>nan</t>
        </is>
      </c>
      <c r="E809" s="13" t="n"/>
      <c r="F809" s="13" t="n"/>
      <c r="G809" s="13" t="n"/>
      <c r="H809" s="15" t="n">
        <v>42</v>
      </c>
      <c r="I809" s="15" t="n">
        <v>42</v>
      </c>
      <c r="J809" s="13" t="n"/>
      <c r="K809" s="13" t="n"/>
      <c r="L809" s="15" t="n">
        <v>42</v>
      </c>
      <c r="M809" s="13" t="n"/>
      <c r="N809" s="13" t="n"/>
      <c r="O809" s="13" t="n"/>
      <c r="P809" s="15" t="n">
        <v>42</v>
      </c>
      <c r="Q809" s="13" t="n"/>
      <c r="R809" s="16">
        <f>IF(COUNT(E809:Q809)=0,"",MIN(E809:Q809))</f>
        <v/>
      </c>
      <c r="S809" s="15">
        <f>IF(COUNT(E809:Q809)=0,"",LOOKUP(2,1/(E809:Q809&lt;&gt;""),E809:Q809))</f>
        <v/>
      </c>
      <c r="T809" s="17">
        <f>IF(R809="","",ROUND(R809*RESUMEN!$B$4,0))</f>
        <v/>
      </c>
      <c r="U809" s="18">
        <f>COUNT(E809:Q809)</f>
        <v/>
      </c>
    </row>
    <row r="810">
      <c r="A810" s="13" t="inlineStr">
        <is>
          <t>22064322217229</t>
        </is>
      </c>
      <c r="B810" s="13" t="inlineStr">
        <is>
          <t>LENTES F LOGO</t>
        </is>
      </c>
      <c r="C810" s="13" t="inlineStr">
        <is>
          <t>Default Title</t>
        </is>
      </c>
      <c r="D810" s="14" t="inlineStr">
        <is>
          <t>nan</t>
        </is>
      </c>
      <c r="E810" s="13" t="n"/>
      <c r="F810" s="13" t="n"/>
      <c r="G810" s="13" t="n"/>
      <c r="H810" s="13" t="n"/>
      <c r="I810" s="13" t="n"/>
      <c r="J810" s="13" t="n"/>
      <c r="K810" s="15" t="n">
        <v>30</v>
      </c>
      <c r="L810" s="13" t="n"/>
      <c r="M810" s="13" t="n"/>
      <c r="N810" s="13" t="n"/>
      <c r="O810" s="13" t="n"/>
      <c r="P810" s="13" t="n"/>
      <c r="Q810" s="15" t="n">
        <v>30</v>
      </c>
      <c r="R810" s="16">
        <f>IF(COUNT(E810:Q810)=0,"",MIN(E810:Q810))</f>
        <v/>
      </c>
      <c r="S810" s="15">
        <f>IF(COUNT(E810:Q810)=0,"",LOOKUP(2,1/(E810:Q810&lt;&gt;""),E810:Q810))</f>
        <v/>
      </c>
      <c r="T810" s="17">
        <f>IF(R810="","",ROUND(R810*RESUMEN!$B$4,0))</f>
        <v/>
      </c>
      <c r="U810" s="18">
        <f>COUNT(E810:Q810)</f>
        <v/>
      </c>
    </row>
    <row r="811">
      <c r="A811" s="13" t="inlineStr">
        <is>
          <t>67201531386477</t>
        </is>
      </c>
      <c r="B811" s="13" t="inlineStr">
        <is>
          <t>LENTES GOLD BLACK GC</t>
        </is>
      </c>
      <c r="C811" s="13" t="inlineStr">
        <is>
          <t>Default Title</t>
        </is>
      </c>
      <c r="D811" s="14" t="inlineStr">
        <is>
          <t>nan</t>
        </is>
      </c>
      <c r="E811" s="13" t="n"/>
      <c r="F811" s="13" t="n"/>
      <c r="G811" s="13" t="n"/>
      <c r="H811" s="13" t="n"/>
      <c r="I811" s="15" t="n">
        <v>35</v>
      </c>
      <c r="J811" s="13" t="n"/>
      <c r="K811" s="13" t="n"/>
      <c r="L811" s="15" t="n">
        <v>35</v>
      </c>
      <c r="M811" s="13" t="n"/>
      <c r="N811" s="15" t="n">
        <v>35</v>
      </c>
      <c r="O811" s="13" t="n"/>
      <c r="P811" s="13" t="n"/>
      <c r="Q811" s="13" t="n"/>
      <c r="R811" s="16">
        <f>IF(COUNT(E811:Q811)=0,"",MIN(E811:Q811))</f>
        <v/>
      </c>
      <c r="S811" s="15">
        <f>IF(COUNT(E811:Q811)=0,"",LOOKUP(2,1/(E811:Q811&lt;&gt;""),E811:Q811))</f>
        <v/>
      </c>
      <c r="T811" s="17">
        <f>IF(R811="","",ROUND(R811*RESUMEN!$B$4,0))</f>
        <v/>
      </c>
      <c r="U811" s="18">
        <f>COUNT(E811:Q811)</f>
        <v/>
      </c>
    </row>
    <row r="812">
      <c r="A812" s="13" t="inlineStr">
        <is>
          <t>22064322363565</t>
        </is>
      </c>
      <c r="B812" s="13" t="inlineStr">
        <is>
          <t>LENTES LV SQUARE</t>
        </is>
      </c>
      <c r="C812" s="13" t="inlineStr">
        <is>
          <t>Default Title</t>
        </is>
      </c>
      <c r="D812" s="14" t="inlineStr">
        <is>
          <t>nan</t>
        </is>
      </c>
      <c r="E812" s="13" t="n"/>
      <c r="F812" s="13" t="n"/>
      <c r="G812" s="13" t="n"/>
      <c r="H812" s="13" t="n"/>
      <c r="I812" s="13" t="n"/>
      <c r="J812" s="13" t="n"/>
      <c r="K812" s="15" t="n">
        <v>58</v>
      </c>
      <c r="L812" s="13" t="n"/>
      <c r="M812" s="13" t="n"/>
      <c r="N812" s="13" t="n"/>
      <c r="O812" s="13" t="n"/>
      <c r="P812" s="15" t="n">
        <v>58</v>
      </c>
      <c r="Q812" s="13" t="n"/>
      <c r="R812" s="16">
        <f>IF(COUNT(E812:Q812)=0,"",MIN(E812:Q812))</f>
        <v/>
      </c>
      <c r="S812" s="15">
        <f>IF(COUNT(E812:Q812)=0,"",LOOKUP(2,1/(E812:Q812&lt;&gt;""),E812:Q812))</f>
        <v/>
      </c>
      <c r="T812" s="17">
        <f>IF(R812="","",ROUND(R812*RESUMEN!$B$4,0))</f>
        <v/>
      </c>
      <c r="U812" s="18">
        <f>COUNT(E812:Q812)</f>
        <v/>
      </c>
    </row>
    <row r="813">
      <c r="A813" s="13" t="inlineStr">
        <is>
          <t>17964141539149</t>
        </is>
      </c>
      <c r="B813" s="13" t="inlineStr">
        <is>
          <t>LENTES LV WAIMEA</t>
        </is>
      </c>
      <c r="C813" s="13" t="inlineStr">
        <is>
          <t>Default Title</t>
        </is>
      </c>
      <c r="D813" s="14" t="inlineStr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5" t="n">
        <v>28</v>
      </c>
      <c r="P813" s="13" t="n"/>
      <c r="Q813" s="13" t="n"/>
      <c r="R813" s="16">
        <f>IF(COUNT(E813:Q813)=0,"",MIN(E813:Q813))</f>
        <v/>
      </c>
      <c r="S813" s="15">
        <f>IF(COUNT(E813:Q813)=0,"",LOOKUP(2,1/(E813:Q813&lt;&gt;""),E813:Q813))</f>
        <v/>
      </c>
      <c r="T813" s="17">
        <f>IF(R813="","",ROUND(R813*RESUMEN!$B$4,0))</f>
        <v/>
      </c>
      <c r="U813" s="18">
        <f>COUNT(E813:Q813)</f>
        <v/>
      </c>
    </row>
    <row r="814">
      <c r="A814" s="13" t="inlineStr">
        <is>
          <t>22064322466957</t>
        </is>
      </c>
      <c r="B814" s="13" t="inlineStr">
        <is>
          <t>LENTES MM RUNWAY</t>
        </is>
      </c>
      <c r="C814" s="13" t="inlineStr">
        <is>
          <t>Default Title</t>
        </is>
      </c>
      <c r="D814" s="14" t="inlineStr">
        <is>
          <t>nan</t>
        </is>
      </c>
      <c r="E814" s="13" t="n"/>
      <c r="F814" s="13" t="n"/>
      <c r="G814" s="13" t="n"/>
      <c r="H814" s="13" t="n"/>
      <c r="I814" s="13" t="n"/>
      <c r="J814" s="13" t="n"/>
      <c r="K814" s="15" t="n">
        <v>35</v>
      </c>
      <c r="L814" s="13" t="n"/>
      <c r="M814" s="13" t="n"/>
      <c r="N814" s="13" t="n"/>
      <c r="O814" s="13" t="n"/>
      <c r="P814" s="13" t="n"/>
      <c r="Q814" s="15" t="n">
        <v>35</v>
      </c>
      <c r="R814" s="16">
        <f>IF(COUNT(E814:Q814)=0,"",MIN(E814:Q814))</f>
        <v/>
      </c>
      <c r="S814" s="15">
        <f>IF(COUNT(E814:Q814)=0,"",LOOKUP(2,1/(E814:Q814&lt;&gt;""),E814:Q814))</f>
        <v/>
      </c>
      <c r="T814" s="17">
        <f>IF(R814="","",ROUND(R814*RESUMEN!$B$4,0))</f>
        <v/>
      </c>
      <c r="U814" s="18">
        <f>COUNT(E814:Q814)</f>
        <v/>
      </c>
    </row>
    <row r="815">
      <c r="A815" s="13" t="inlineStr">
        <is>
          <t>37635091051341</t>
        </is>
      </c>
      <c r="B815" s="13" t="inlineStr">
        <is>
          <t>LENTES PR EYEWEAR PILOTO</t>
        </is>
      </c>
      <c r="C815" s="13" t="inlineStr">
        <is>
          <t>Default Title</t>
        </is>
      </c>
      <c r="D815" s="14" t="inlineStr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5" t="n">
        <v>32</v>
      </c>
      <c r="O815" s="13" t="n"/>
      <c r="P815" s="13" t="n"/>
      <c r="Q815" s="13" t="n"/>
      <c r="R815" s="16">
        <f>IF(COUNT(E815:Q815)=0,"",MIN(E815:Q815))</f>
        <v/>
      </c>
      <c r="S815" s="15">
        <f>IF(COUNT(E815:Q815)=0,"",LOOKUP(2,1/(E815:Q815&lt;&gt;""),E815:Q815))</f>
        <v/>
      </c>
      <c r="T815" s="17">
        <f>IF(R815="","",ROUND(R815*RESUMEN!$B$4,0))</f>
        <v/>
      </c>
      <c r="U815" s="18">
        <f>COUNT(E815:Q815)</f>
        <v/>
      </c>
    </row>
    <row r="816">
      <c r="A816" s="13" t="inlineStr">
        <is>
          <t>67201531422989</t>
        </is>
      </c>
      <c r="B816" s="13" t="inlineStr">
        <is>
          <t>LENTES TRIOMPHE C BROWN</t>
        </is>
      </c>
      <c r="C816" s="13" t="inlineStr">
        <is>
          <t>Brown</t>
        </is>
      </c>
      <c r="D816" s="14" t="inlineStr">
        <is>
          <t>nan</t>
        </is>
      </c>
      <c r="E816" s="13" t="n"/>
      <c r="F816" s="13" t="n"/>
      <c r="G816" s="13" t="n"/>
      <c r="H816" s="13" t="n"/>
      <c r="I816" s="15" t="n">
        <v>32</v>
      </c>
      <c r="J816" s="13" t="n"/>
      <c r="K816" s="13" t="n"/>
      <c r="L816" s="13" t="n"/>
      <c r="M816" s="13" t="n"/>
      <c r="N816" s="13" t="n"/>
      <c r="O816" s="13" t="n"/>
      <c r="P816" s="15" t="n">
        <v>32</v>
      </c>
      <c r="Q816" s="13" t="n"/>
      <c r="R816" s="16">
        <f>IF(COUNT(E816:Q816)=0,"",MIN(E816:Q816))</f>
        <v/>
      </c>
      <c r="S816" s="15">
        <f>IF(COUNT(E816:Q816)=0,"",LOOKUP(2,1/(E816:Q816&lt;&gt;""),E816:Q816))</f>
        <v/>
      </c>
      <c r="T816" s="17">
        <f>IF(R816="","",ROUND(R816*RESUMEN!$B$4,0))</f>
        <v/>
      </c>
      <c r="U816" s="18">
        <f>COUNT(E816:Q816)</f>
        <v/>
      </c>
    </row>
    <row r="817">
      <c r="A817" s="13" t="inlineStr">
        <is>
          <t>56481472890252</t>
        </is>
      </c>
      <c r="B817" s="13" t="inlineStr">
        <is>
          <t>PULSERA ARO LOVE GOLD</t>
        </is>
      </c>
      <c r="C817" s="13" t="inlineStr">
        <is>
          <t>18cm con extensión de 3.5cm</t>
        </is>
      </c>
      <c r="D817" s="14" t="inlineStr">
        <is>
          <t>Stainless Stee</t>
        </is>
      </c>
      <c r="E817" s="13" t="n"/>
      <c r="F817" s="13" t="n"/>
      <c r="G817" s="13" t="n"/>
      <c r="H817" s="13" t="n"/>
      <c r="I817" s="13" t="n"/>
      <c r="J817" s="15" t="n">
        <v>5</v>
      </c>
      <c r="K817" s="13" t="n"/>
      <c r="L817" s="15" t="n">
        <v>5</v>
      </c>
      <c r="M817" s="13" t="n"/>
      <c r="N817" s="13" t="n"/>
      <c r="O817" s="15" t="n">
        <v>5</v>
      </c>
      <c r="P817" s="13" t="n"/>
      <c r="Q817" s="13" t="n"/>
      <c r="R817" s="16">
        <f>IF(COUNT(E817:Q817)=0,"",MIN(E817:Q817))</f>
        <v/>
      </c>
      <c r="S817" s="15">
        <f>IF(COUNT(E817:Q817)=0,"",LOOKUP(2,1/(E817:Q817&lt;&gt;""),E817:Q817))</f>
        <v/>
      </c>
      <c r="T817" s="17">
        <f>IF(R817="","",ROUND(R817*RESUMEN!$B$4,0))</f>
        <v/>
      </c>
      <c r="U817" s="18">
        <f>COUNT(E817:Q817)</f>
        <v/>
      </c>
    </row>
    <row r="818">
      <c r="A818" s="13" t="inlineStr">
        <is>
          <t>26487151099425</t>
        </is>
      </c>
      <c r="B818" s="13" t="inlineStr">
        <is>
          <t>PULSERA BEAN GOLD</t>
        </is>
      </c>
      <c r="C818" s="13" t="inlineStr">
        <is>
          <t>16 CM</t>
        </is>
      </c>
      <c r="D818" s="14" t="inlineStr">
        <is>
          <t>Stainless Stee</t>
        </is>
      </c>
      <c r="E818" s="15" t="n">
        <v>7.5</v>
      </c>
      <c r="F818" s="13" t="n"/>
      <c r="G818" s="13" t="n"/>
      <c r="H818" s="15" t="n">
        <v>7.5</v>
      </c>
      <c r="I818" s="15" t="n">
        <v>7.5</v>
      </c>
      <c r="J818" s="13" t="n"/>
      <c r="K818" s="13" t="n"/>
      <c r="L818" s="13" t="n"/>
      <c r="M818" s="13" t="n"/>
      <c r="N818" s="13" t="n"/>
      <c r="O818" s="13" t="n"/>
      <c r="P818" s="13" t="n"/>
      <c r="Q818" s="15" t="n">
        <v>7.5</v>
      </c>
      <c r="R818" s="16">
        <f>IF(COUNT(E818:Q818)=0,"",MIN(E818:Q818))</f>
        <v/>
      </c>
      <c r="S818" s="15">
        <f>IF(COUNT(E818:Q818)=0,"",LOOKUP(2,1/(E818:Q818&lt;&gt;""),E818:Q818))</f>
        <v/>
      </c>
      <c r="T818" s="17">
        <f>IF(R818="","",ROUND(R818*RESUMEN!$B$4,0))</f>
        <v/>
      </c>
      <c r="U818" s="18">
        <f>COUNT(E818:Q818)</f>
        <v/>
      </c>
    </row>
    <row r="819">
      <c r="A819" s="13" t="inlineStr">
        <is>
          <t>56481470598284</t>
        </is>
      </c>
      <c r="B819" s="13" t="inlineStr">
        <is>
          <t>PULSERA BEAN SILVER</t>
        </is>
      </c>
      <c r="C819" s="13" t="inlineStr">
        <is>
          <t>17cm</t>
        </is>
      </c>
      <c r="D819" s="14" t="inlineStr">
        <is>
          <t>Stainless Stee</t>
        </is>
      </c>
      <c r="E819" s="13" t="n"/>
      <c r="F819" s="13" t="n"/>
      <c r="G819" s="13" t="n"/>
      <c r="H819" s="13" t="n"/>
      <c r="I819" s="15" t="n">
        <v>7.5</v>
      </c>
      <c r="J819" s="13" t="n"/>
      <c r="K819" s="13" t="n"/>
      <c r="L819" s="13" t="n"/>
      <c r="M819" s="13" t="n"/>
      <c r="N819" s="13" t="n"/>
      <c r="O819" s="15" t="n">
        <v>7.5</v>
      </c>
      <c r="P819" s="13" t="n"/>
      <c r="Q819" s="13" t="n"/>
      <c r="R819" s="16">
        <f>IF(COUNT(E819:Q819)=0,"",MIN(E819:Q819))</f>
        <v/>
      </c>
      <c r="S819" s="15">
        <f>IF(COUNT(E819:Q819)=0,"",LOOKUP(2,1/(E819:Q819&lt;&gt;""),E819:Q819))</f>
        <v/>
      </c>
      <c r="T819" s="17">
        <f>IF(R819="","",ROUND(R819*RESUMEN!$B$4,0))</f>
        <v/>
      </c>
      <c r="U819" s="18">
        <f>COUNT(E819:Q819)</f>
        <v/>
      </c>
    </row>
    <row r="820">
      <c r="A820" s="13" t="inlineStr">
        <is>
          <t>17964142049869</t>
        </is>
      </c>
      <c r="B820" s="13" t="inlineStr">
        <is>
          <t>PULSERA BV GOLD BLACK-WHITE</t>
        </is>
      </c>
      <c r="C820" s="13" t="inlineStr">
        <is>
          <t>16CM</t>
        </is>
      </c>
      <c r="D820" s="14" t="inlineStr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5" t="n">
        <v>7.5</v>
      </c>
      <c r="P820" s="13" t="n"/>
      <c r="Q820" s="13" t="n"/>
      <c r="R820" s="16">
        <f>IF(COUNT(E820:Q820)=0,"",MIN(E820:Q820))</f>
        <v/>
      </c>
      <c r="S820" s="15">
        <f>IF(COUNT(E820:Q820)=0,"",LOOKUP(2,1/(E820:Q820&lt;&gt;""),E820:Q820))</f>
        <v/>
      </c>
      <c r="T820" s="17">
        <f>IF(R820="","",ROUND(R820*RESUMEN!$B$4,0))</f>
        <v/>
      </c>
      <c r="U820" s="18">
        <f>COUNT(E820:Q820)</f>
        <v/>
      </c>
    </row>
    <row r="821">
      <c r="A821" s="13" t="inlineStr">
        <is>
          <t>16117871722093</t>
        </is>
      </c>
      <c r="B821" s="13" t="inlineStr">
        <is>
          <t>PULSERA BV GOLD CON ZIRCONIA</t>
        </is>
      </c>
      <c r="C821" s="13" t="inlineStr">
        <is>
          <t>Default Title</t>
        </is>
      </c>
      <c r="D821" s="14" t="inlineStr"/>
      <c r="E821" s="13" t="n"/>
      <c r="F821" s="15" t="n">
        <v>7</v>
      </c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6">
        <f>IF(COUNT(E821:Q821)=0,"",MIN(E821:Q821))</f>
        <v/>
      </c>
      <c r="S821" s="15">
        <f>IF(COUNT(E821:Q821)=0,"",LOOKUP(2,1/(E821:Q821&lt;&gt;""),E821:Q821))</f>
        <v/>
      </c>
      <c r="T821" s="17">
        <f>IF(R821="","",ROUND(R821*RESUMEN!$B$4,0))</f>
        <v/>
      </c>
      <c r="U821" s="18">
        <f>COUNT(E821:Q821)</f>
        <v/>
      </c>
    </row>
    <row r="822">
      <c r="A822" s="13" t="inlineStr">
        <is>
          <t>22731921054541</t>
        </is>
      </c>
      <c r="B822" s="13" t="inlineStr">
        <is>
          <t>PULSERA BV ROSEGOLD BLACK CON ZIRCONIA</t>
        </is>
      </c>
      <c r="C822" s="13" t="inlineStr">
        <is>
          <t>Default Title</t>
        </is>
      </c>
      <c r="D822" s="14" t="inlineStr">
        <is>
          <t>Stainless Stee</t>
        </is>
      </c>
      <c r="E822" s="13" t="n"/>
      <c r="F822" s="15" t="n">
        <v>8</v>
      </c>
      <c r="G822" s="13" t="n"/>
      <c r="H822" s="13" t="n"/>
      <c r="I822" s="13" t="n"/>
      <c r="J822" s="15" t="n">
        <v>8</v>
      </c>
      <c r="K822" s="13" t="n"/>
      <c r="L822" s="13" t="n"/>
      <c r="M822" s="13" t="n"/>
      <c r="N822" s="13" t="n"/>
      <c r="O822" s="13" t="n"/>
      <c r="P822" s="15" t="n">
        <v>8</v>
      </c>
      <c r="Q822" s="13" t="n"/>
      <c r="R822" s="16">
        <f>IF(COUNT(E822:Q822)=0,"",MIN(E822:Q822))</f>
        <v/>
      </c>
      <c r="S822" s="15">
        <f>IF(COUNT(E822:Q822)=0,"",LOOKUP(2,1/(E822:Q822&lt;&gt;""),E822:Q822))</f>
        <v/>
      </c>
      <c r="T822" s="17">
        <f>IF(R822="","",ROUND(R822*RESUMEN!$B$4,0))</f>
        <v/>
      </c>
      <c r="U822" s="18">
        <f>COUNT(E822:Q822)</f>
        <v/>
      </c>
    </row>
    <row r="823">
      <c r="A823" s="13" t="inlineStr">
        <is>
          <t>64361211113837</t>
        </is>
      </c>
      <c r="B823" s="13" t="inlineStr">
        <is>
          <t>PULSERA BV ROSEGOLD BLACK-WHITE</t>
        </is>
      </c>
      <c r="C823" s="13" t="inlineStr">
        <is>
          <t>Default Title</t>
        </is>
      </c>
      <c r="D823" s="14" t="inlineStr">
        <is>
          <t>Stainless Stee</t>
        </is>
      </c>
      <c r="E823" s="13" t="n"/>
      <c r="F823" s="15" t="n">
        <v>7.5</v>
      </c>
      <c r="G823" s="13" t="n"/>
      <c r="H823" s="13" t="n"/>
      <c r="I823" s="13" t="n"/>
      <c r="J823" s="13" t="n"/>
      <c r="K823" s="13" t="n"/>
      <c r="L823" s="13" t="n"/>
      <c r="M823" s="13" t="n"/>
      <c r="N823" s="15" t="n">
        <v>7.5</v>
      </c>
      <c r="O823" s="15" t="n">
        <v>7.5</v>
      </c>
      <c r="P823" s="13" t="n"/>
      <c r="Q823" s="13" t="n"/>
      <c r="R823" s="16">
        <f>IF(COUNT(E823:Q823)=0,"",MIN(E823:Q823))</f>
        <v/>
      </c>
      <c r="S823" s="15">
        <f>IF(COUNT(E823:Q823)=0,"",LOOKUP(2,1/(E823:Q823&lt;&gt;""),E823:Q823))</f>
        <v/>
      </c>
      <c r="T823" s="17">
        <f>IF(R823="","",ROUND(R823*RESUMEN!$B$4,0))</f>
        <v/>
      </c>
      <c r="U823" s="18">
        <f>COUNT(E823:Q823)</f>
        <v/>
      </c>
    </row>
    <row r="824">
      <c r="A824" s="13" t="inlineStr">
        <is>
          <t>72293841002509</t>
        </is>
      </c>
      <c r="B824" s="13" t="inlineStr">
        <is>
          <t>PULSERA BV ROSEGOLD CON ZIRCONIA</t>
        </is>
      </c>
      <c r="C824" s="13" t="inlineStr">
        <is>
          <t>Default Title</t>
        </is>
      </c>
      <c r="D824" s="14" t="inlineStr">
        <is>
          <t>Copper alloy</t>
        </is>
      </c>
      <c r="E824" s="13" t="n"/>
      <c r="F824" s="15" t="n">
        <v>7</v>
      </c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5" t="n">
        <v>7</v>
      </c>
      <c r="P824" s="13" t="n"/>
      <c r="Q824" s="15" t="n">
        <v>7</v>
      </c>
      <c r="R824" s="16">
        <f>IF(COUNT(E824:Q824)=0,"",MIN(E824:Q824))</f>
        <v/>
      </c>
      <c r="S824" s="15">
        <f>IF(COUNT(E824:Q824)=0,"",LOOKUP(2,1/(E824:Q824&lt;&gt;""),E824:Q824))</f>
        <v/>
      </c>
      <c r="T824" s="17">
        <f>IF(R824="","",ROUND(R824*RESUMEN!$B$4,0))</f>
        <v/>
      </c>
      <c r="U824" s="18">
        <f>COUNT(E824:Q824)</f>
        <v/>
      </c>
    </row>
    <row r="825">
      <c r="A825" s="13" t="inlineStr">
        <is>
          <t>89205551757581</t>
        </is>
      </c>
      <c r="B825" s="13" t="inlineStr">
        <is>
          <t>PULSERA BV ROSEGOLD PEARL ZIRCONIA</t>
        </is>
      </c>
      <c r="C825" s="13" t="inlineStr">
        <is>
          <t>Default Title</t>
        </is>
      </c>
      <c r="D825" s="14" t="inlineStr">
        <is>
          <t>Stainless Stee</t>
        </is>
      </c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5" t="n">
        <v>7.5</v>
      </c>
      <c r="Q825" s="13" t="n"/>
      <c r="R825" s="16">
        <f>IF(COUNT(E825:Q825)=0,"",MIN(E825:Q825))</f>
        <v/>
      </c>
      <c r="S825" s="15">
        <f>IF(COUNT(E825:Q825)=0,"",LOOKUP(2,1/(E825:Q825&lt;&gt;""),E825:Q825))</f>
        <v/>
      </c>
      <c r="T825" s="17">
        <f>IF(R825="","",ROUND(R825*RESUMEN!$B$4,0))</f>
        <v/>
      </c>
      <c r="U825" s="18">
        <f>COUNT(E825:Q825)</f>
        <v/>
      </c>
    </row>
    <row r="826">
      <c r="A826" s="13" t="inlineStr">
        <is>
          <t>22351461089709</t>
        </is>
      </c>
      <c r="B826" s="13" t="inlineStr">
        <is>
          <t>PULSERA BV ROSEGOLD WHITE CON ZIRCONIA</t>
        </is>
      </c>
      <c r="C826" s="13" t="inlineStr">
        <is>
          <t>high quality</t>
        </is>
      </c>
      <c r="D826" s="14" t="inlineStr">
        <is>
          <t>Stainless Stee</t>
        </is>
      </c>
      <c r="E826" s="13" t="n"/>
      <c r="F826" s="15" t="n">
        <v>8</v>
      </c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5" t="n">
        <v>8</v>
      </c>
      <c r="Q826" s="13" t="n"/>
      <c r="R826" s="16">
        <f>IF(COUNT(E826:Q826)=0,"",MIN(E826:Q826))</f>
        <v/>
      </c>
      <c r="S826" s="15">
        <f>IF(COUNT(E826:Q826)=0,"",LOOKUP(2,1/(E826:Q826&lt;&gt;""),E826:Q826))</f>
        <v/>
      </c>
      <c r="T826" s="17">
        <f>IF(R826="","",ROUND(R826*RESUMEN!$B$4,0))</f>
        <v/>
      </c>
      <c r="U826" s="18">
        <f>COUNT(E826:Q826)</f>
        <v/>
      </c>
    </row>
    <row r="827">
      <c r="A827" s="13" t="inlineStr">
        <is>
          <t>77000701043565</t>
        </is>
      </c>
      <c r="B827" s="13" t="inlineStr">
        <is>
          <t>PULSERA BV SILVER CON ZIRCONIA</t>
        </is>
      </c>
      <c r="C827" s="13" t="inlineStr">
        <is>
          <t>Default Title</t>
        </is>
      </c>
      <c r="D827" s="14" t="inlineStr"/>
      <c r="E827" s="13" t="n"/>
      <c r="F827" s="15" t="n">
        <v>7</v>
      </c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6">
        <f>IF(COUNT(E827:Q827)=0,"",MIN(E827:Q827))</f>
        <v/>
      </c>
      <c r="S827" s="15">
        <f>IF(COUNT(E827:Q827)=0,"",LOOKUP(2,1/(E827:Q827&lt;&gt;""),E827:Q827))</f>
        <v/>
      </c>
      <c r="T827" s="17">
        <f>IF(R827="","",ROUND(R827*RESUMEN!$B$4,0))</f>
        <v/>
      </c>
      <c r="U827" s="18">
        <f>COUNT(E827:Q827)</f>
        <v/>
      </c>
    </row>
    <row r="828">
      <c r="A828" s="13" t="inlineStr">
        <is>
          <t>31078753113261</t>
        </is>
      </c>
      <c r="B828" s="13" t="inlineStr">
        <is>
          <t>PULSERA BV.ZERO GAPS GOLD</t>
        </is>
      </c>
      <c r="C828" s="13" t="inlineStr">
        <is>
          <t>Default Title</t>
        </is>
      </c>
      <c r="D828" s="14" t="inlineStr">
        <is>
          <t>Stainless stee</t>
        </is>
      </c>
      <c r="E828" s="13" t="n"/>
      <c r="F828" s="13" t="n"/>
      <c r="G828" s="15" t="n">
        <v>8.5</v>
      </c>
      <c r="H828" s="13" t="n"/>
      <c r="I828" s="13" t="n"/>
      <c r="J828" s="13" t="n"/>
      <c r="K828" s="13" t="n"/>
      <c r="L828" s="13" t="n"/>
      <c r="M828" s="15" t="n">
        <v>8.5</v>
      </c>
      <c r="N828" s="13" t="n"/>
      <c r="O828" s="13" t="n"/>
      <c r="P828" s="13" t="n"/>
      <c r="Q828" s="15" t="n">
        <v>8.5</v>
      </c>
      <c r="R828" s="16">
        <f>IF(COUNT(E828:Q828)=0,"",MIN(E828:Q828))</f>
        <v/>
      </c>
      <c r="S828" s="15">
        <f>IF(COUNT(E828:Q828)=0,"",LOOKUP(2,1/(E828:Q828&lt;&gt;""),E828:Q828))</f>
        <v/>
      </c>
      <c r="T828" s="17">
        <f>IF(R828="","",ROUND(R828*RESUMEN!$B$4,0))</f>
        <v/>
      </c>
      <c r="U828" s="18">
        <f>COUNT(E828:Q828)</f>
        <v/>
      </c>
    </row>
    <row r="829">
      <c r="A829" s="13" t="inlineStr">
        <is>
          <t>91078753349421</t>
        </is>
      </c>
      <c r="B829" s="13" t="inlineStr">
        <is>
          <t>PULSERA BV.ZERO GAPS ROSEGOLD</t>
        </is>
      </c>
      <c r="C829" s="13" t="inlineStr">
        <is>
          <t>Default Title</t>
        </is>
      </c>
      <c r="D829" s="14" t="inlineStr">
        <is>
          <t>nan</t>
        </is>
      </c>
      <c r="E829" s="13" t="n"/>
      <c r="F829" s="13" t="n"/>
      <c r="G829" s="15" t="n">
        <v>8.5</v>
      </c>
      <c r="H829" s="13" t="n"/>
      <c r="I829" s="13" t="n"/>
      <c r="J829" s="13" t="n"/>
      <c r="K829" s="13" t="n"/>
      <c r="L829" s="13" t="n"/>
      <c r="M829" s="15" t="n">
        <v>8.5</v>
      </c>
      <c r="N829" s="13" t="n"/>
      <c r="O829" s="13" t="n"/>
      <c r="P829" s="13" t="n"/>
      <c r="Q829" s="13" t="n"/>
      <c r="R829" s="16">
        <f>IF(COUNT(E829:Q829)=0,"",MIN(E829:Q829))</f>
        <v/>
      </c>
      <c r="S829" s="15">
        <f>IF(COUNT(E829:Q829)=0,"",LOOKUP(2,1/(E829:Q829&lt;&gt;""),E829:Q829))</f>
        <v/>
      </c>
      <c r="T829" s="17">
        <f>IF(R829="","",ROUND(R829*RESUMEN!$B$4,0))</f>
        <v/>
      </c>
      <c r="U829" s="18">
        <f>COUNT(E829:Q829)</f>
        <v/>
      </c>
    </row>
    <row r="830">
      <c r="A830" s="13" t="inlineStr">
        <is>
          <t>81078753280493</t>
        </is>
      </c>
      <c r="B830" s="13" t="inlineStr">
        <is>
          <t>PULSERA BV.ZERO GAPS SILVER</t>
        </is>
      </c>
      <c r="C830" s="13" t="inlineStr">
        <is>
          <t>Default Title</t>
        </is>
      </c>
      <c r="D830" s="14" t="inlineStr">
        <is>
          <t>Stainless stee</t>
        </is>
      </c>
      <c r="E830" s="13" t="n"/>
      <c r="F830" s="13" t="n"/>
      <c r="G830" s="15" t="n">
        <v>8.5</v>
      </c>
      <c r="H830" s="13" t="n"/>
      <c r="I830" s="13" t="n"/>
      <c r="J830" s="13" t="n"/>
      <c r="K830" s="13" t="n"/>
      <c r="L830" s="15" t="n">
        <v>8.5</v>
      </c>
      <c r="M830" s="13" t="n"/>
      <c r="N830" s="13" t="n"/>
      <c r="O830" s="13" t="n"/>
      <c r="P830" s="13" t="n"/>
      <c r="Q830" s="15" t="n">
        <v>8.5</v>
      </c>
      <c r="R830" s="16">
        <f>IF(COUNT(E830:Q830)=0,"",MIN(E830:Q830))</f>
        <v/>
      </c>
      <c r="S830" s="15">
        <f>IF(COUNT(E830:Q830)=0,"",LOOKUP(2,1/(E830:Q830&lt;&gt;""),E830:Q830))</f>
        <v/>
      </c>
      <c r="T830" s="17">
        <f>IF(R830="","",ROUND(R830*RESUMEN!$B$4,0))</f>
        <v/>
      </c>
      <c r="U830" s="18">
        <f>COUNT(E830:Q830)</f>
        <v/>
      </c>
    </row>
    <row r="831">
      <c r="A831" s="13" t="inlineStr">
        <is>
          <t>91078753456205</t>
        </is>
      </c>
      <c r="B831" s="13" t="inlineStr">
        <is>
          <t>PULSERA BV.ZERO ROSEGOLD</t>
        </is>
      </c>
      <c r="C831" s="13" t="inlineStr">
        <is>
          <t>HIGH QUALITY</t>
        </is>
      </c>
      <c r="D831" s="14" t="inlineStr">
        <is>
          <t>Stainless stee</t>
        </is>
      </c>
      <c r="E831" s="13" t="n"/>
      <c r="F831" s="13" t="n"/>
      <c r="G831" s="15" t="n">
        <v>12</v>
      </c>
      <c r="H831" s="13" t="n"/>
      <c r="I831" s="13" t="n"/>
      <c r="J831" s="15" t="n">
        <v>10</v>
      </c>
      <c r="K831" s="13" t="n"/>
      <c r="L831" s="15" t="n">
        <v>10</v>
      </c>
      <c r="M831" s="13" t="n"/>
      <c r="N831" s="13" t="n"/>
      <c r="O831" s="13" t="n"/>
      <c r="P831" s="13" t="n"/>
      <c r="Q831" s="13" t="n"/>
      <c r="R831" s="16">
        <f>IF(COUNT(E831:Q831)=0,"",MIN(E831:Q831))</f>
        <v/>
      </c>
      <c r="S831" s="15">
        <f>IF(COUNT(E831:Q831)=0,"",LOOKUP(2,1/(E831:Q831&lt;&gt;""),E831:Q831))</f>
        <v/>
      </c>
      <c r="T831" s="17">
        <f>IF(R831="","",ROUND(R831*RESUMEN!$B$4,0))</f>
        <v/>
      </c>
      <c r="U831" s="18">
        <f>COUNT(E831:Q831)</f>
        <v/>
      </c>
    </row>
    <row r="832">
      <c r="A832" s="13" t="inlineStr">
        <is>
          <t>37491240998540</t>
        </is>
      </c>
      <c r="B832" s="13" t="inlineStr">
        <is>
          <t>PULSERA C D’AMOUR GOLD</t>
        </is>
      </c>
      <c r="C832" s="13" t="inlineStr">
        <is>
          <t>16cm con 3cm de extensión</t>
        </is>
      </c>
      <c r="D832" s="14" t="inlineStr">
        <is>
          <t>Stainless Stee</t>
        </is>
      </c>
      <c r="E832" s="15" t="n">
        <v>5</v>
      </c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5" t="n">
        <v>5</v>
      </c>
      <c r="P832" s="15" t="n">
        <v>5</v>
      </c>
      <c r="Q832" s="13" t="n"/>
      <c r="R832" s="16">
        <f>IF(COUNT(E832:Q832)=0,"",MIN(E832:Q832))</f>
        <v/>
      </c>
      <c r="S832" s="15">
        <f>IF(COUNT(E832:Q832)=0,"",LOOKUP(2,1/(E832:Q832&lt;&gt;""),E832:Q832))</f>
        <v/>
      </c>
      <c r="T832" s="17">
        <f>IF(R832="","",ROUND(R832*RESUMEN!$B$4,0))</f>
        <v/>
      </c>
      <c r="U832" s="18">
        <f>COUNT(E832:Q832)</f>
        <v/>
      </c>
    </row>
    <row r="833">
      <c r="A833" s="13" t="inlineStr">
        <is>
          <t>71078751862733</t>
        </is>
      </c>
      <c r="B833" s="13" t="inlineStr">
        <is>
          <t>PULSERA C GOLD DOBLE PEARL</t>
        </is>
      </c>
      <c r="C833" s="13" t="inlineStr">
        <is>
          <t>Default Title</t>
        </is>
      </c>
      <c r="D833" s="14" t="inlineStr">
        <is>
          <t>Copper alloy</t>
        </is>
      </c>
      <c r="E833" s="13" t="n"/>
      <c r="F833" s="13" t="n"/>
      <c r="G833" s="15" t="n">
        <v>9</v>
      </c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5" t="n">
        <v>9.99</v>
      </c>
      <c r="R833" s="16">
        <f>IF(COUNT(E833:Q833)=0,"",MIN(E833:Q833))</f>
        <v/>
      </c>
      <c r="S833" s="15">
        <f>IF(COUNT(E833:Q833)=0,"",LOOKUP(2,1/(E833:Q833&lt;&gt;""),E833:Q833))</f>
        <v/>
      </c>
      <c r="T833" s="17">
        <f>IF(R833="","",ROUND(R833*RESUMEN!$B$4,0))</f>
        <v/>
      </c>
      <c r="U833" s="18">
        <f>COUNT(E833:Q833)</f>
        <v/>
      </c>
    </row>
    <row r="834">
      <c r="A834" s="13" t="inlineStr">
        <is>
          <t>31078752766317</t>
        </is>
      </c>
      <c r="B834" s="13" t="inlineStr">
        <is>
          <t>PULSERA C LOGO GOLD</t>
        </is>
      </c>
      <c r="C834" s="13" t="inlineStr">
        <is>
          <t>Dije 7mm 16cm de largo con 2cm de extensión</t>
        </is>
      </c>
      <c r="D834" s="14" t="inlineStr">
        <is>
          <t>Copper alloy</t>
        </is>
      </c>
      <c r="E834" s="13" t="n"/>
      <c r="F834" s="13" t="n"/>
      <c r="G834" s="15" t="n">
        <v>7.99</v>
      </c>
      <c r="H834" s="13" t="n"/>
      <c r="I834" s="13" t="n"/>
      <c r="J834" s="13" t="n"/>
      <c r="K834" s="13" t="n"/>
      <c r="L834" s="13" t="n"/>
      <c r="M834" s="15" t="n">
        <v>7.9</v>
      </c>
      <c r="N834" s="15" t="n">
        <v>7.9</v>
      </c>
      <c r="O834" s="13" t="n"/>
      <c r="P834" s="13" t="n"/>
      <c r="Q834" s="13" t="n"/>
      <c r="R834" s="16">
        <f>IF(COUNT(E834:Q834)=0,"",MIN(E834:Q834))</f>
        <v/>
      </c>
      <c r="S834" s="15">
        <f>IF(COUNT(E834:Q834)=0,"",LOOKUP(2,1/(E834:Q834&lt;&gt;""),E834:Q834))</f>
        <v/>
      </c>
      <c r="T834" s="17">
        <f>IF(R834="","",ROUND(R834*RESUMEN!$B$4,0))</f>
        <v/>
      </c>
      <c r="U834" s="18">
        <f>COUNT(E834:Q834)</f>
        <v/>
      </c>
    </row>
    <row r="835">
      <c r="A835" s="13" t="inlineStr">
        <is>
          <t>71078752697389</t>
        </is>
      </c>
      <c r="B835" s="13" t="inlineStr">
        <is>
          <t>PULSERA C LOGO SILVER</t>
        </is>
      </c>
      <c r="C835" s="13" t="inlineStr">
        <is>
          <t>Default Title</t>
        </is>
      </c>
      <c r="D835" s="14" t="inlineStr">
        <is>
          <t>Copper alloy</t>
        </is>
      </c>
      <c r="E835" s="13" t="n"/>
      <c r="F835" s="13" t="n"/>
      <c r="G835" s="15" t="n">
        <v>7.99</v>
      </c>
      <c r="H835" s="13" t="n"/>
      <c r="I835" s="13" t="n"/>
      <c r="J835" s="13" t="n"/>
      <c r="K835" s="13" t="n"/>
      <c r="L835" s="13" t="n"/>
      <c r="M835" s="15" t="n">
        <v>7.9</v>
      </c>
      <c r="N835" s="13" t="n"/>
      <c r="O835" s="15" t="n">
        <v>7.9</v>
      </c>
      <c r="P835" s="13" t="n"/>
      <c r="Q835" s="13" t="n"/>
      <c r="R835" s="16">
        <f>IF(COUNT(E835:Q835)=0,"",MIN(E835:Q835))</f>
        <v/>
      </c>
      <c r="S835" s="15">
        <f>IF(COUNT(E835:Q835)=0,"",LOOKUP(2,1/(E835:Q835&lt;&gt;""),E835:Q835))</f>
        <v/>
      </c>
      <c r="T835" s="17">
        <f>IF(R835="","",ROUND(R835*RESUMEN!$B$4,0))</f>
        <v/>
      </c>
      <c r="U835" s="18">
        <f>COUNT(E835:Q835)</f>
        <v/>
      </c>
    </row>
    <row r="836">
      <c r="A836" s="13" t="inlineStr">
        <is>
          <t>29736661018765</t>
        </is>
      </c>
      <c r="B836" s="13" t="inlineStr">
        <is>
          <t>PULSERA CD D-LUCK GOLD</t>
        </is>
      </c>
      <c r="C836" s="13" t="inlineStr">
        <is>
          <t>Default Title</t>
        </is>
      </c>
      <c r="D836" s="14" t="inlineStr"/>
      <c r="E836" s="13" t="n"/>
      <c r="F836" s="13" t="n"/>
      <c r="G836" s="13" t="n"/>
      <c r="H836" s="13" t="n"/>
      <c r="I836" s="13" t="n"/>
      <c r="J836" s="13" t="n"/>
      <c r="K836" s="15" t="n">
        <v>18</v>
      </c>
      <c r="L836" s="13" t="n"/>
      <c r="M836" s="13" t="n"/>
      <c r="N836" s="13" t="n"/>
      <c r="O836" s="13" t="n"/>
      <c r="P836" s="13" t="n"/>
      <c r="Q836" s="13" t="n"/>
      <c r="R836" s="16">
        <f>IF(COUNT(E836:Q836)=0,"",MIN(E836:Q836))</f>
        <v/>
      </c>
      <c r="S836" s="15">
        <f>IF(COUNT(E836:Q836)=0,"",LOOKUP(2,1/(E836:Q836&lt;&gt;""),E836:Q836))</f>
        <v/>
      </c>
      <c r="T836" s="17">
        <f>IF(R836="","",ROUND(R836*RESUMEN!$B$4,0))</f>
        <v/>
      </c>
      <c r="U836" s="18">
        <f>COUNT(E836:Q836)</f>
        <v/>
      </c>
    </row>
    <row r="837">
      <c r="A837" s="13" t="inlineStr">
        <is>
          <t>35432872862253</t>
        </is>
      </c>
      <c r="B837" s="13" t="inlineStr">
        <is>
          <t>PULSERA CD D-LUCK GOLD WHITE</t>
        </is>
      </c>
      <c r="C837" s="13" t="inlineStr">
        <is>
          <t>Default Title</t>
        </is>
      </c>
      <c r="D837" s="14" t="inlineStr"/>
      <c r="E837" s="13" t="n"/>
      <c r="F837" s="13" t="n"/>
      <c r="G837" s="13" t="n"/>
      <c r="H837" s="13" t="n"/>
      <c r="I837" s="13" t="n"/>
      <c r="J837" s="13" t="n"/>
      <c r="K837" s="15" t="n">
        <v>18</v>
      </c>
      <c r="L837" s="13" t="n"/>
      <c r="M837" s="13" t="n"/>
      <c r="N837" s="13" t="n"/>
      <c r="O837" s="13" t="n"/>
      <c r="P837" s="13" t="n"/>
      <c r="Q837" s="13" t="n"/>
      <c r="R837" s="16">
        <f>IF(COUNT(E837:Q837)=0,"",MIN(E837:Q837))</f>
        <v/>
      </c>
      <c r="S837" s="15">
        <f>IF(COUNT(E837:Q837)=0,"",LOOKUP(2,1/(E837:Q837&lt;&gt;""),E837:Q837))</f>
        <v/>
      </c>
      <c r="T837" s="17">
        <f>IF(R837="","",ROUND(R837*RESUMEN!$B$4,0))</f>
        <v/>
      </c>
      <c r="U837" s="18">
        <f>COUNT(E837:Q837)</f>
        <v/>
      </c>
    </row>
    <row r="838">
      <c r="A838" s="13" t="inlineStr">
        <is>
          <t>29736661383277</t>
        </is>
      </c>
      <c r="B838" s="13" t="inlineStr">
        <is>
          <t>PULSERA CD PETIT CIRCLE GOLD</t>
        </is>
      </c>
      <c r="C838" s="13" t="inlineStr">
        <is>
          <t>Default Title</t>
        </is>
      </c>
      <c r="D838" s="14" t="inlineStr">
        <is>
          <t>Copper alloy</t>
        </is>
      </c>
      <c r="E838" s="13" t="n"/>
      <c r="F838" s="13" t="n"/>
      <c r="G838" s="13" t="n"/>
      <c r="H838" s="13" t="n"/>
      <c r="I838" s="13" t="n"/>
      <c r="J838" s="13" t="n"/>
      <c r="K838" s="15" t="n">
        <v>7</v>
      </c>
      <c r="L838" s="13" t="n"/>
      <c r="M838" s="13" t="n"/>
      <c r="N838" s="13" t="n"/>
      <c r="O838" s="13" t="n"/>
      <c r="P838" s="13" t="n"/>
      <c r="Q838" s="15" t="n">
        <v>7</v>
      </c>
      <c r="R838" s="16">
        <f>IF(COUNT(E838:Q838)=0,"",MIN(E838:Q838))</f>
        <v/>
      </c>
      <c r="S838" s="15">
        <f>IF(COUNT(E838:Q838)=0,"",LOOKUP(2,1/(E838:Q838&lt;&gt;""),E838:Q838))</f>
        <v/>
      </c>
      <c r="T838" s="17">
        <f>IF(R838="","",ROUND(R838*RESUMEN!$B$4,0))</f>
        <v/>
      </c>
      <c r="U838" s="18">
        <f>COUNT(E838:Q838)</f>
        <v/>
      </c>
    </row>
    <row r="839">
      <c r="A839" s="13" t="inlineStr">
        <is>
          <t>29736661267949</t>
        </is>
      </c>
      <c r="B839" s="13" t="inlineStr">
        <is>
          <t>PULSERA CD PETIT JOLIE METAL GOLD</t>
        </is>
      </c>
      <c r="C839" s="13" t="inlineStr">
        <is>
          <t>Default Title</t>
        </is>
      </c>
      <c r="D839" s="14" t="inlineStr">
        <is>
          <t>Copper alloy</t>
        </is>
      </c>
      <c r="E839" s="13" t="n"/>
      <c r="F839" s="13" t="n"/>
      <c r="G839" s="13" t="n"/>
      <c r="H839" s="13" t="n"/>
      <c r="I839" s="13" t="n"/>
      <c r="J839" s="13" t="n"/>
      <c r="K839" s="15" t="n">
        <v>10</v>
      </c>
      <c r="L839" s="13" t="n"/>
      <c r="M839" s="13" t="n"/>
      <c r="N839" s="13" t="n"/>
      <c r="O839" s="13" t="n"/>
      <c r="P839" s="13" t="n"/>
      <c r="Q839" s="15" t="n">
        <v>10</v>
      </c>
      <c r="R839" s="16">
        <f>IF(COUNT(E839:Q839)=0,"",MIN(E839:Q839))</f>
        <v/>
      </c>
      <c r="S839" s="15">
        <f>IF(COUNT(E839:Q839)=0,"",LOOKUP(2,1/(E839:Q839&lt;&gt;""),E839:Q839))</f>
        <v/>
      </c>
      <c r="T839" s="17">
        <f>IF(R839="","",ROUND(R839*RESUMEN!$B$4,0))</f>
        <v/>
      </c>
      <c r="U839" s="18">
        <f>COUNT(E839:Q839)</f>
        <v/>
      </c>
    </row>
    <row r="840">
      <c r="A840" s="13" t="inlineStr">
        <is>
          <t>89246881658733</t>
        </is>
      </c>
      <c r="B840" s="13" t="inlineStr">
        <is>
          <t>PULSERA CD PETIT ZIRCONIAS GOLD</t>
        </is>
      </c>
      <c r="C840" s="13" t="inlineStr">
        <is>
          <t>Default Title</t>
        </is>
      </c>
      <c r="D840" s="14" t="inlineStr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5" t="n">
        <v>4</v>
      </c>
      <c r="O840" s="13" t="n"/>
      <c r="P840" s="13" t="n"/>
      <c r="Q840" s="13" t="n"/>
      <c r="R840" s="16">
        <f>IF(COUNT(E840:Q840)=0,"",MIN(E840:Q840))</f>
        <v/>
      </c>
      <c r="S840" s="15">
        <f>IF(COUNT(E840:Q840)=0,"",LOOKUP(2,1/(E840:Q840&lt;&gt;""),E840:Q840))</f>
        <v/>
      </c>
      <c r="T840" s="17">
        <f>IF(R840="","",ROUND(R840*RESUMEN!$B$4,0))</f>
        <v/>
      </c>
      <c r="U840" s="18">
        <f>COUNT(E840:Q840)</f>
        <v/>
      </c>
    </row>
    <row r="841">
      <c r="A841" s="13" t="inlineStr">
        <is>
          <t>89246881737837</t>
        </is>
      </c>
      <c r="B841" s="13" t="inlineStr">
        <is>
          <t>PULSERA CD PETIT ZIRCONIAS SILVER</t>
        </is>
      </c>
      <c r="C841" s="13" t="inlineStr">
        <is>
          <t>Default Title</t>
        </is>
      </c>
      <c r="D841" s="14" t="inlineStr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5" t="n">
        <v>4</v>
      </c>
      <c r="O841" s="13" t="n"/>
      <c r="P841" s="13" t="n"/>
      <c r="Q841" s="13" t="n"/>
      <c r="R841" s="16">
        <f>IF(COUNT(E841:Q841)=0,"",MIN(E841:Q841))</f>
        <v/>
      </c>
      <c r="S841" s="15">
        <f>IF(COUNT(E841:Q841)=0,"",LOOKUP(2,1/(E841:Q841&lt;&gt;""),E841:Q841))</f>
        <v/>
      </c>
      <c r="T841" s="17">
        <f>IF(R841="","",ROUND(R841*RESUMEN!$B$4,0))</f>
        <v/>
      </c>
      <c r="U841" s="18">
        <f>COUNT(E841:Q841)</f>
        <v/>
      </c>
    </row>
    <row r="842">
      <c r="A842" s="13" t="inlineStr">
        <is>
          <t>66075802428173</t>
        </is>
      </c>
      <c r="B842" s="13" t="inlineStr">
        <is>
          <t>PULSERA CHAIN GOLD CD</t>
        </is>
      </c>
      <c r="C842" s="13" t="inlineStr">
        <is>
          <t>Default Title</t>
        </is>
      </c>
      <c r="D842" s="14" t="inlineStr">
        <is>
          <t>copper alloy</t>
        </is>
      </c>
      <c r="E842" s="13" t="n"/>
      <c r="F842" s="15" t="n">
        <v>7.9</v>
      </c>
      <c r="G842" s="13" t="n"/>
      <c r="H842" s="13" t="n"/>
      <c r="I842" s="13" t="n"/>
      <c r="J842" s="15" t="n">
        <v>7.9</v>
      </c>
      <c r="K842" s="13" t="n"/>
      <c r="L842" s="15" t="n">
        <v>7.9</v>
      </c>
      <c r="M842" s="13" t="n"/>
      <c r="N842" s="13" t="n"/>
      <c r="O842" s="15" t="n">
        <v>7.9</v>
      </c>
      <c r="P842" s="13" t="n"/>
      <c r="Q842" s="13" t="n"/>
      <c r="R842" s="16">
        <f>IF(COUNT(E842:Q842)=0,"",MIN(E842:Q842))</f>
        <v/>
      </c>
      <c r="S842" s="15">
        <f>IF(COUNT(E842:Q842)=0,"",LOOKUP(2,1/(E842:Q842&lt;&gt;""),E842:Q842))</f>
        <v/>
      </c>
      <c r="T842" s="17">
        <f>IF(R842="","",ROUND(R842*RESUMEN!$B$4,0))</f>
        <v/>
      </c>
      <c r="U842" s="18">
        <f>COUNT(E842:Q842)</f>
        <v/>
      </c>
    </row>
    <row r="843">
      <c r="A843" s="13" t="inlineStr">
        <is>
          <t>66075802307341</t>
        </is>
      </c>
      <c r="B843" s="13" t="inlineStr">
        <is>
          <t>PULSERA CLAIR D LUNE SILVER CD</t>
        </is>
      </c>
      <c r="C843" s="13" t="inlineStr">
        <is>
          <t>13cm largo con 5cm de extensión dije 1cm</t>
        </is>
      </c>
      <c r="D843" s="14" t="inlineStr">
        <is>
          <t>Copper alloy</t>
        </is>
      </c>
      <c r="E843" s="15" t="n">
        <v>4</v>
      </c>
      <c r="F843" s="13" t="n"/>
      <c r="G843" s="13" t="n"/>
      <c r="H843" s="13" t="n"/>
      <c r="I843" s="15" t="n">
        <v>4</v>
      </c>
      <c r="J843" s="13" t="n"/>
      <c r="K843" s="13" t="n"/>
      <c r="L843" s="13" t="n"/>
      <c r="M843" s="13" t="n"/>
      <c r="N843" s="15" t="n">
        <v>4</v>
      </c>
      <c r="O843" s="13" t="n"/>
      <c r="P843" s="13" t="n"/>
      <c r="Q843" s="13" t="n"/>
      <c r="R843" s="16">
        <f>IF(COUNT(E843:Q843)=0,"",MIN(E843:Q843))</f>
        <v/>
      </c>
      <c r="S843" s="15">
        <f>IF(COUNT(E843:Q843)=0,"",LOOKUP(2,1/(E843:Q843&lt;&gt;""),E843:Q843))</f>
        <v/>
      </c>
      <c r="T843" s="17">
        <f>IF(R843="","",ROUND(R843*RESUMEN!$B$4,0))</f>
        <v/>
      </c>
      <c r="U843" s="18">
        <f>COUNT(E843:Q843)</f>
        <v/>
      </c>
    </row>
    <row r="844">
      <c r="A844" s="13" t="inlineStr">
        <is>
          <t>40154171618669</t>
        </is>
      </c>
      <c r="B844" s="13" t="inlineStr">
        <is>
          <t>PULSERA CLAIRE D LUNE DOBLE SILVER</t>
        </is>
      </c>
      <c r="C844" s="13" t="inlineStr">
        <is>
          <t>Default Title</t>
        </is>
      </c>
      <c r="D844" s="14" t="inlineStr">
        <is>
          <t>Copper alloy</t>
        </is>
      </c>
      <c r="E844" s="13" t="n"/>
      <c r="F844" s="13" t="n"/>
      <c r="G844" s="13" t="n"/>
      <c r="H844" s="13" t="n"/>
      <c r="I844" s="13" t="n"/>
      <c r="J844" s="13" t="n"/>
      <c r="K844" s="15" t="n">
        <v>6</v>
      </c>
      <c r="L844" s="13" t="n"/>
      <c r="M844" s="13" t="n"/>
      <c r="N844" s="15" t="n">
        <v>6</v>
      </c>
      <c r="O844" s="13" t="n"/>
      <c r="P844" s="13" t="n"/>
      <c r="Q844" s="15" t="n">
        <v>6</v>
      </c>
      <c r="R844" s="16">
        <f>IF(COUNT(E844:Q844)=0,"",MIN(E844:Q844))</f>
        <v/>
      </c>
      <c r="S844" s="15">
        <f>IF(COUNT(E844:Q844)=0,"",LOOKUP(2,1/(E844:Q844&lt;&gt;""),E844:Q844))</f>
        <v/>
      </c>
      <c r="T844" s="17">
        <f>IF(R844="","",ROUND(R844*RESUMEN!$B$4,0))</f>
        <v/>
      </c>
      <c r="U844" s="18">
        <f>COUNT(E844:Q844)</f>
        <v/>
      </c>
    </row>
    <row r="845">
      <c r="A845" s="13" t="inlineStr">
        <is>
          <t>82224433136653</t>
        </is>
      </c>
      <c r="B845" s="13" t="inlineStr">
        <is>
          <t>PULSERA CLAVO ROSE GOLD</t>
        </is>
      </c>
      <c r="C845" s="13" t="inlineStr">
        <is>
          <t>17 cm</t>
        </is>
      </c>
      <c r="D845" s="14" t="inlineStr">
        <is>
          <t>Stainless stee</t>
        </is>
      </c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5" t="n">
        <v>5</v>
      </c>
      <c r="O845" s="13" t="n"/>
      <c r="P845" s="13" t="n"/>
      <c r="Q845" s="13" t="n"/>
      <c r="R845" s="16">
        <f>IF(COUNT(E845:Q845)=0,"",MIN(E845:Q845))</f>
        <v/>
      </c>
      <c r="S845" s="15">
        <f>IF(COUNT(E845:Q845)=0,"",LOOKUP(2,1/(E845:Q845&lt;&gt;""),E845:Q845))</f>
        <v/>
      </c>
      <c r="T845" s="17">
        <f>IF(R845="","",ROUND(R845*RESUMEN!$B$4,0))</f>
        <v/>
      </c>
      <c r="U845" s="18">
        <f>COUNT(E845:Q845)</f>
        <v/>
      </c>
    </row>
    <row r="846">
      <c r="A846" s="13" t="inlineStr">
        <is>
          <t>63e0c23442e74</t>
        </is>
      </c>
      <c r="B846" s="13" t="inlineStr">
        <is>
          <t>PULSERA CLIC H GOLD BLACK</t>
        </is>
      </c>
      <c r="C846" s="13" t="inlineStr">
        <is>
          <t>16.8 cm</t>
        </is>
      </c>
      <c r="D846" s="14" t="inlineStr">
        <is>
          <t>Stainless Stee</t>
        </is>
      </c>
      <c r="E846" s="13" t="n"/>
      <c r="F846" s="15" t="n">
        <v>5</v>
      </c>
      <c r="G846" s="13" t="n"/>
      <c r="H846" s="15" t="n">
        <v>5</v>
      </c>
      <c r="I846" s="13" t="n"/>
      <c r="J846" s="15" t="n">
        <v>5</v>
      </c>
      <c r="K846" s="13" t="n"/>
      <c r="L846" s="15" t="n">
        <v>5</v>
      </c>
      <c r="M846" s="15" t="n">
        <v>5</v>
      </c>
      <c r="N846" s="13" t="n"/>
      <c r="O846" s="15" t="n">
        <v>5</v>
      </c>
      <c r="P846" s="15" t="n">
        <v>5</v>
      </c>
      <c r="Q846" s="15" t="n">
        <v>5</v>
      </c>
      <c r="R846" s="16">
        <f>IF(COUNT(E846:Q846)=0,"",MIN(E846:Q846))</f>
        <v/>
      </c>
      <c r="S846" s="15">
        <f>IF(COUNT(E846:Q846)=0,"",LOOKUP(2,1/(E846:Q846&lt;&gt;""),E846:Q846))</f>
        <v/>
      </c>
      <c r="T846" s="17">
        <f>IF(R846="","",ROUND(R846*RESUMEN!$B$4,0))</f>
        <v/>
      </c>
      <c r="U846" s="18">
        <f>COUNT(E846:Q846)</f>
        <v/>
      </c>
    </row>
    <row r="847">
      <c r="A847" s="13" t="inlineStr">
        <is>
          <t>63ebde48917bc</t>
        </is>
      </c>
      <c r="B847" s="13" t="inlineStr">
        <is>
          <t>PULSERA CLIC H GOLD BLUE</t>
        </is>
      </c>
      <c r="C847" s="13" t="inlineStr">
        <is>
          <t>16.8 cm</t>
        </is>
      </c>
      <c r="D847" s="14" t="inlineStr">
        <is>
          <t>Stainless stee</t>
        </is>
      </c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5" t="n">
        <v>5</v>
      </c>
      <c r="N847" s="13" t="n"/>
      <c r="O847" s="13" t="n"/>
      <c r="P847" s="15" t="n">
        <v>5</v>
      </c>
      <c r="Q847" s="13" t="n"/>
      <c r="R847" s="16">
        <f>IF(COUNT(E847:Q847)=0,"",MIN(E847:Q847))</f>
        <v/>
      </c>
      <c r="S847" s="15">
        <f>IF(COUNT(E847:Q847)=0,"",LOOKUP(2,1/(E847:Q847&lt;&gt;""),E847:Q847))</f>
        <v/>
      </c>
      <c r="T847" s="17">
        <f>IF(R847="","",ROUND(R847*RESUMEN!$B$4,0))</f>
        <v/>
      </c>
      <c r="U847" s="18">
        <f>COUNT(E847:Q847)</f>
        <v/>
      </c>
    </row>
    <row r="848">
      <c r="A848" s="13" t="inlineStr">
        <is>
          <t>63e0c23142764</t>
        </is>
      </c>
      <c r="B848" s="13" t="inlineStr">
        <is>
          <t>PULSERA CLIC H GOLD PINK</t>
        </is>
      </c>
      <c r="C848" s="13" t="inlineStr">
        <is>
          <t>16.8 cm</t>
        </is>
      </c>
      <c r="D848" s="14" t="inlineStr">
        <is>
          <t>Stainless stee</t>
        </is>
      </c>
      <c r="E848" s="13" t="n"/>
      <c r="F848" s="13" t="n"/>
      <c r="G848" s="13" t="n"/>
      <c r="H848" s="13" t="n"/>
      <c r="I848" s="13" t="n"/>
      <c r="J848" s="15" t="n">
        <v>5</v>
      </c>
      <c r="K848" s="13" t="n"/>
      <c r="L848" s="13" t="n"/>
      <c r="M848" s="15" t="n">
        <v>5</v>
      </c>
      <c r="N848" s="13" t="n"/>
      <c r="O848" s="13" t="n"/>
      <c r="P848" s="15" t="n">
        <v>5</v>
      </c>
      <c r="Q848" s="13" t="n"/>
      <c r="R848" s="16">
        <f>IF(COUNT(E848:Q848)=0,"",MIN(E848:Q848))</f>
        <v/>
      </c>
      <c r="S848" s="15">
        <f>IF(COUNT(E848:Q848)=0,"",LOOKUP(2,1/(E848:Q848&lt;&gt;""),E848:Q848))</f>
        <v/>
      </c>
      <c r="T848" s="17">
        <f>IF(R848="","",ROUND(R848*RESUMEN!$B$4,0))</f>
        <v/>
      </c>
      <c r="U848" s="18">
        <f>COUNT(E848:Q848)</f>
        <v/>
      </c>
    </row>
    <row r="849">
      <c r="A849" s="13" t="inlineStr">
        <is>
          <t>63ebddddb879a</t>
        </is>
      </c>
      <c r="B849" s="13" t="inlineStr">
        <is>
          <t>PULSERA CLIC H GOLD WHITE</t>
        </is>
      </c>
      <c r="C849" s="13" t="inlineStr">
        <is>
          <t>16.8 cm</t>
        </is>
      </c>
      <c r="D849" s="14" t="inlineStr">
        <is>
          <t>Stainless stee</t>
        </is>
      </c>
      <c r="E849" s="13" t="n"/>
      <c r="F849" s="13" t="n"/>
      <c r="G849" s="13" t="n"/>
      <c r="H849" s="15" t="n">
        <v>5</v>
      </c>
      <c r="I849" s="13" t="n"/>
      <c r="J849" s="15" t="n">
        <v>5</v>
      </c>
      <c r="K849" s="13" t="n"/>
      <c r="L849" s="15" t="n">
        <v>5</v>
      </c>
      <c r="M849" s="15" t="n">
        <v>5</v>
      </c>
      <c r="N849" s="13" t="n"/>
      <c r="O849" s="15" t="n">
        <v>5</v>
      </c>
      <c r="P849" s="13" t="n"/>
      <c r="Q849" s="13" t="n"/>
      <c r="R849" s="16">
        <f>IF(COUNT(E849:Q849)=0,"",MIN(E849:Q849))</f>
        <v/>
      </c>
      <c r="S849" s="15">
        <f>IF(COUNT(E849:Q849)=0,"",LOOKUP(2,1/(E849:Q849&lt;&gt;""),E849:Q849))</f>
        <v/>
      </c>
      <c r="T849" s="17">
        <f>IF(R849="","",ROUND(R849*RESUMEN!$B$4,0))</f>
        <v/>
      </c>
      <c r="U849" s="18">
        <f>COUNT(E849:Q849)</f>
        <v/>
      </c>
    </row>
    <row r="850">
      <c r="A850" s="13" t="inlineStr">
        <is>
          <t>63e0c234b0e65</t>
        </is>
      </c>
      <c r="B850" s="13" t="inlineStr">
        <is>
          <t>PULSERA CLIC H SILVER BLACK</t>
        </is>
      </c>
      <c r="C850" s="13" t="inlineStr">
        <is>
          <t>16.8 cm</t>
        </is>
      </c>
      <c r="D850" s="14" t="inlineStr">
        <is>
          <t>Stainless Stee</t>
        </is>
      </c>
      <c r="E850" s="13" t="n"/>
      <c r="F850" s="13" t="n"/>
      <c r="G850" s="13" t="n"/>
      <c r="H850" s="15" t="n">
        <v>5</v>
      </c>
      <c r="I850" s="13" t="n"/>
      <c r="J850" s="13" t="n"/>
      <c r="K850" s="13" t="n"/>
      <c r="L850" s="15" t="n">
        <v>5</v>
      </c>
      <c r="M850" s="13" t="n"/>
      <c r="N850" s="13" t="n"/>
      <c r="O850" s="13" t="n"/>
      <c r="P850" s="15" t="n">
        <v>5</v>
      </c>
      <c r="Q850" s="13" t="n"/>
      <c r="R850" s="16">
        <f>IF(COUNT(E850:Q850)=0,"",MIN(E850:Q850))</f>
        <v/>
      </c>
      <c r="S850" s="15">
        <f>IF(COUNT(E850:Q850)=0,"",LOOKUP(2,1/(E850:Q850&lt;&gt;""),E850:Q850))</f>
        <v/>
      </c>
      <c r="T850" s="17">
        <f>IF(R850="","",ROUND(R850*RESUMEN!$B$4,0))</f>
        <v/>
      </c>
      <c r="U850" s="18">
        <f>COUNT(E850:Q850)</f>
        <v/>
      </c>
    </row>
    <row r="851">
      <c r="A851" s="13" t="inlineStr">
        <is>
          <t>63e0c23519a54</t>
        </is>
      </c>
      <c r="B851" s="13" t="inlineStr">
        <is>
          <t>PULSERA CLIC H SILVER PINK</t>
        </is>
      </c>
      <c r="C851" s="13" t="inlineStr">
        <is>
          <t>16.8 cm</t>
        </is>
      </c>
      <c r="D851" s="14" t="inlineStr">
        <is>
          <t>Stainless Stee</t>
        </is>
      </c>
      <c r="E851" s="13" t="n"/>
      <c r="F851" s="13" t="n"/>
      <c r="G851" s="13" t="n"/>
      <c r="H851" s="15" t="n">
        <v>5</v>
      </c>
      <c r="I851" s="13" t="n"/>
      <c r="J851" s="13" t="n"/>
      <c r="K851" s="13" t="n"/>
      <c r="L851" s="15" t="n">
        <v>5</v>
      </c>
      <c r="M851" s="13" t="n"/>
      <c r="N851" s="13" t="n"/>
      <c r="O851" s="13" t="n"/>
      <c r="P851" s="15" t="n">
        <v>5</v>
      </c>
      <c r="Q851" s="13" t="n"/>
      <c r="R851" s="16">
        <f>IF(COUNT(E851:Q851)=0,"",MIN(E851:Q851))</f>
        <v/>
      </c>
      <c r="S851" s="15">
        <f>IF(COUNT(E851:Q851)=0,"",LOOKUP(2,1/(E851:Q851&lt;&gt;""),E851:Q851))</f>
        <v/>
      </c>
      <c r="T851" s="17">
        <f>IF(R851="","",ROUND(R851*RESUMEN!$B$4,0))</f>
        <v/>
      </c>
      <c r="U851" s="18">
        <f>COUNT(E851:Q851)</f>
        <v/>
      </c>
    </row>
    <row r="852">
      <c r="A852" s="13" t="inlineStr">
        <is>
          <t>63e0c2310d7f4</t>
        </is>
      </c>
      <c r="B852" s="13" t="inlineStr">
        <is>
          <t>PULSERA CLIC H SILVER WHITE</t>
        </is>
      </c>
      <c r="C852" s="13" t="inlineStr">
        <is>
          <t>16.8 cm</t>
        </is>
      </c>
      <c r="D852" s="14" t="inlineStr">
        <is>
          <t>Stainless Stee</t>
        </is>
      </c>
      <c r="E852" s="13" t="n"/>
      <c r="F852" s="15" t="n">
        <v>5</v>
      </c>
      <c r="G852" s="13" t="n"/>
      <c r="H852" s="15" t="n">
        <v>5</v>
      </c>
      <c r="I852" s="15" t="n">
        <v>5</v>
      </c>
      <c r="J852" s="13" t="n"/>
      <c r="K852" s="13" t="n"/>
      <c r="L852" s="15" t="n">
        <v>5</v>
      </c>
      <c r="M852" s="13" t="n"/>
      <c r="N852" s="13" t="n"/>
      <c r="O852" s="15" t="n">
        <v>5</v>
      </c>
      <c r="P852" s="13" t="n"/>
      <c r="Q852" s="15" t="n">
        <v>5</v>
      </c>
      <c r="R852" s="16">
        <f>IF(COUNT(E852:Q852)=0,"",MIN(E852:Q852))</f>
        <v/>
      </c>
      <c r="S852" s="15">
        <f>IF(COUNT(E852:Q852)=0,"",LOOKUP(2,1/(E852:Q852&lt;&gt;""),E852:Q852))</f>
        <v/>
      </c>
      <c r="T852" s="17">
        <f>IF(R852="","",ROUND(R852*RESUMEN!$B$4,0))</f>
        <v/>
      </c>
      <c r="U852" s="18">
        <f>COUNT(E852:Q852)</f>
        <v/>
      </c>
    </row>
    <row r="853">
      <c r="A853" s="13" t="inlineStr">
        <is>
          <t>BARBARA</t>
        </is>
      </c>
      <c r="B853" s="13" t="inlineStr">
        <is>
          <t>PULSERA CON INSIGNIA DE MOÑO SILVER</t>
        </is>
      </c>
      <c r="C853" s="13" t="inlineStr"/>
      <c r="D853" s="14" t="inlineStr">
        <is>
          <t>Copper alloy</t>
        </is>
      </c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5" t="n">
        <v>5</v>
      </c>
      <c r="R853" s="16">
        <f>IF(COUNT(E853:Q853)=0,"",MIN(E853:Q853))</f>
        <v/>
      </c>
      <c r="S853" s="15">
        <f>IF(COUNT(E853:Q853)=0,"",LOOKUP(2,1/(E853:Q853&lt;&gt;""),E853:Q853))</f>
        <v/>
      </c>
      <c r="T853" s="17">
        <f>IF(R853="","",ROUND(R853*RESUMEN!$B$4,0))</f>
        <v/>
      </c>
      <c r="U853" s="18">
        <f>COUNT(E853:Q853)</f>
        <v/>
      </c>
    </row>
    <row r="854">
      <c r="A854" s="13" t="inlineStr">
        <is>
          <t>63ebdf168b8f4</t>
        </is>
      </c>
      <c r="B854" s="13" t="inlineStr">
        <is>
          <t>PULSERA CON INSIGNIA DE MOÑO SILVER</t>
        </is>
      </c>
      <c r="C854" s="13" t="inlineStr">
        <is>
          <t>16 cm</t>
        </is>
      </c>
      <c r="D854" s="14" t="inlineStr">
        <is>
          <t>nan</t>
        </is>
      </c>
      <c r="E854" s="15" t="n">
        <v>5</v>
      </c>
      <c r="F854" s="13" t="n"/>
      <c r="G854" s="13" t="n"/>
      <c r="H854" s="13" t="n"/>
      <c r="I854" s="13" t="n"/>
      <c r="J854" s="13" t="n"/>
      <c r="K854" s="13" t="n"/>
      <c r="L854" s="13" t="n"/>
      <c r="M854" s="15" t="n">
        <v>5</v>
      </c>
      <c r="N854" s="13" t="n"/>
      <c r="O854" s="13" t="n"/>
      <c r="P854" s="13" t="n"/>
      <c r="Q854" s="13" t="n"/>
      <c r="R854" s="16">
        <f>IF(COUNT(E854:Q854)=0,"",MIN(E854:Q854))</f>
        <v/>
      </c>
      <c r="S854" s="15">
        <f>IF(COUNT(E854:Q854)=0,"",LOOKUP(2,1/(E854:Q854&lt;&gt;""),E854:Q854))</f>
        <v/>
      </c>
      <c r="T854" s="17">
        <f>IF(R854="","",ROUND(R854*RESUMEN!$B$4,0))</f>
        <v/>
      </c>
      <c r="U854" s="18">
        <f>COUNT(E854:Q854)</f>
        <v/>
      </c>
    </row>
    <row r="855">
      <c r="A855" s="13" t="inlineStr">
        <is>
          <t>43728081992652</t>
        </is>
      </c>
      <c r="B855" s="13" t="inlineStr">
        <is>
          <t>PULSERA CON PASADOR Y PLACA ESTILO CORAZON SILVER</t>
        </is>
      </c>
      <c r="C855" s="13" t="inlineStr">
        <is>
          <t>17cm</t>
        </is>
      </c>
      <c r="D855" s="14" t="inlineStr">
        <is>
          <t>Stainless Stee</t>
        </is>
      </c>
      <c r="E855" s="13" t="n"/>
      <c r="F855" s="15" t="n">
        <v>7</v>
      </c>
      <c r="G855" s="13" t="n"/>
      <c r="H855" s="15" t="n">
        <v>7</v>
      </c>
      <c r="I855" s="15" t="n">
        <v>7</v>
      </c>
      <c r="J855" s="13" t="n"/>
      <c r="K855" s="13" t="n"/>
      <c r="L855" s="15" t="n">
        <v>7</v>
      </c>
      <c r="M855" s="13" t="n"/>
      <c r="N855" s="13" t="n"/>
      <c r="O855" s="15" t="n">
        <v>7</v>
      </c>
      <c r="P855" s="15" t="n">
        <v>7</v>
      </c>
      <c r="Q855" s="13" t="n"/>
      <c r="R855" s="16">
        <f>IF(COUNT(E855:Q855)=0,"",MIN(E855:Q855))</f>
        <v/>
      </c>
      <c r="S855" s="15">
        <f>IF(COUNT(E855:Q855)=0,"",LOOKUP(2,1/(E855:Q855&lt;&gt;""),E855:Q855))</f>
        <v/>
      </c>
      <c r="T855" s="17">
        <f>IF(R855="","",ROUND(R855*RESUMEN!$B$4,0))</f>
        <v/>
      </c>
      <c r="U855" s="18">
        <f>COUNT(E855:Q855)</f>
        <v/>
      </c>
    </row>
    <row r="856">
      <c r="A856" s="13" t="inlineStr">
        <is>
          <t>REYNA</t>
        </is>
      </c>
      <c r="B856" s="13" t="inlineStr">
        <is>
          <t>PULSERA DE CUENTAS CON INSIGNIA DE CORAZÓN BLUE</t>
        </is>
      </c>
      <c r="C856" s="13" t="inlineStr"/>
      <c r="D856" s="14" t="inlineStr">
        <is>
          <t>nan</t>
        </is>
      </c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5" t="n">
        <v>1.8</v>
      </c>
      <c r="R856" s="16">
        <f>IF(COUNT(E856:Q856)=0,"",MIN(E856:Q856))</f>
        <v/>
      </c>
      <c r="S856" s="15">
        <f>IF(COUNT(E856:Q856)=0,"",LOOKUP(2,1/(E856:Q856&lt;&gt;""),E856:Q856))</f>
        <v/>
      </c>
      <c r="T856" s="17">
        <f>IF(R856="","",ROUND(R856*RESUMEN!$B$4,0))</f>
        <v/>
      </c>
      <c r="U856" s="18">
        <f>COUNT(E856:Q856)</f>
        <v/>
      </c>
    </row>
    <row r="857">
      <c r="A857" s="13" t="inlineStr">
        <is>
          <t>668eee34bc314</t>
        </is>
      </c>
      <c r="B857" s="13" t="inlineStr">
        <is>
          <t>PULSERA DE CUENTAS CON INSIGNIA DE CORAZÓN BLUE</t>
        </is>
      </c>
      <c r="C857" s="13" t="inlineStr">
        <is>
          <t>16 cm</t>
        </is>
      </c>
      <c r="D857" s="14" t="inlineStr">
        <is>
          <t>stainless stee</t>
        </is>
      </c>
      <c r="E857" s="15" t="n">
        <v>5</v>
      </c>
      <c r="F857" s="15" t="n">
        <v>5</v>
      </c>
      <c r="G857" s="13" t="n"/>
      <c r="H857" s="13" t="n"/>
      <c r="I857" s="15" t="n">
        <v>5</v>
      </c>
      <c r="J857" s="15" t="n">
        <v>5</v>
      </c>
      <c r="K857" s="13" t="n"/>
      <c r="L857" s="13" t="n"/>
      <c r="M857" s="13" t="n"/>
      <c r="N857" s="15" t="n">
        <v>5</v>
      </c>
      <c r="O857" s="15" t="n">
        <v>5</v>
      </c>
      <c r="P857" s="13" t="n"/>
      <c r="Q857" s="15" t="n">
        <v>5</v>
      </c>
      <c r="R857" s="16">
        <f>IF(COUNT(E857:Q857)=0,"",MIN(E857:Q857))</f>
        <v/>
      </c>
      <c r="S857" s="15">
        <f>IF(COUNT(E857:Q857)=0,"",LOOKUP(2,1/(E857:Q857&lt;&gt;""),E857:Q857))</f>
        <v/>
      </c>
      <c r="T857" s="17">
        <f>IF(R857="","",ROUND(R857*RESUMEN!$B$4,0))</f>
        <v/>
      </c>
      <c r="U857" s="18">
        <f>COUNT(E857:Q857)</f>
        <v/>
      </c>
    </row>
    <row r="858">
      <c r="A858" s="13" t="inlineStr">
        <is>
          <t>668eee357952c</t>
        </is>
      </c>
      <c r="B858" s="13" t="inlineStr">
        <is>
          <t>PULSERA DE CUENTAS CON INSIGNIA DE CORAZÓN BLUE</t>
        </is>
      </c>
      <c r="C858" s="13" t="inlineStr">
        <is>
          <t>17 cm</t>
        </is>
      </c>
      <c r="D858" s="14" t="inlineStr">
        <is>
          <t>stainless stee</t>
        </is>
      </c>
      <c r="E858" s="13" t="n"/>
      <c r="F858" s="13" t="n"/>
      <c r="G858" s="13" t="n"/>
      <c r="H858" s="13" t="n"/>
      <c r="I858" s="15" t="n">
        <v>5</v>
      </c>
      <c r="J858" s="15" t="n">
        <v>5</v>
      </c>
      <c r="K858" s="13" t="n"/>
      <c r="L858" s="15" t="n">
        <v>5</v>
      </c>
      <c r="M858" s="13" t="n"/>
      <c r="N858" s="13" t="n"/>
      <c r="O858" s="13" t="n"/>
      <c r="P858" s="15" t="n">
        <v>5</v>
      </c>
      <c r="Q858" s="15" t="n">
        <v>5</v>
      </c>
      <c r="R858" s="16">
        <f>IF(COUNT(E858:Q858)=0,"",MIN(E858:Q858))</f>
        <v/>
      </c>
      <c r="S858" s="15">
        <f>IF(COUNT(E858:Q858)=0,"",LOOKUP(2,1/(E858:Q858&lt;&gt;""),E858:Q858))</f>
        <v/>
      </c>
      <c r="T858" s="17">
        <f>IF(R858="","",ROUND(R858*RESUMEN!$B$4,0))</f>
        <v/>
      </c>
      <c r="U858" s="18">
        <f>COUNT(E858:Q858)</f>
        <v/>
      </c>
    </row>
    <row r="859">
      <c r="A859" s="13" t="inlineStr">
        <is>
          <t>668eee360a47c</t>
        </is>
      </c>
      <c r="B859" s="13" t="inlineStr">
        <is>
          <t>PULSERA DE CUENTAS CON INSIGNIA DE CORAZÓN BLUE</t>
        </is>
      </c>
      <c r="C859" s="13" t="inlineStr">
        <is>
          <t>18 cm</t>
        </is>
      </c>
      <c r="D859" s="14" t="inlineStr">
        <is>
          <t>stainless stee</t>
        </is>
      </c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5" t="n">
        <v>5</v>
      </c>
      <c r="Q859" s="15" t="n">
        <v>5</v>
      </c>
      <c r="R859" s="16">
        <f>IF(COUNT(E859:Q859)=0,"",MIN(E859:Q859))</f>
        <v/>
      </c>
      <c r="S859" s="15">
        <f>IF(COUNT(E859:Q859)=0,"",LOOKUP(2,1/(E859:Q859&lt;&gt;""),E859:Q859))</f>
        <v/>
      </c>
      <c r="T859" s="17">
        <f>IF(R859="","",ROUND(R859*RESUMEN!$B$4,0))</f>
        <v/>
      </c>
      <c r="U859" s="18">
        <f>COUNT(E859:Q859)</f>
        <v/>
      </c>
    </row>
    <row r="860">
      <c r="A860" s="13" t="inlineStr">
        <is>
          <t>668eee369b9c1</t>
        </is>
      </c>
      <c r="B860" s="13" t="inlineStr">
        <is>
          <t>PULSERA DE CUENTAS CON INSIGNIA DE CORAZÓN BLUE</t>
        </is>
      </c>
      <c r="C860" s="13" t="inlineStr">
        <is>
          <t>19 cm</t>
        </is>
      </c>
      <c r="D860" s="14" t="inlineStr">
        <is>
          <t>stainless stee</t>
        </is>
      </c>
      <c r="E860" s="13" t="n"/>
      <c r="F860" s="13" t="n"/>
      <c r="G860" s="13" t="n"/>
      <c r="H860" s="13" t="n"/>
      <c r="I860" s="13" t="n"/>
      <c r="J860" s="13" t="n"/>
      <c r="K860" s="13" t="n"/>
      <c r="L860" s="15" t="n">
        <v>5</v>
      </c>
      <c r="M860" s="13" t="n"/>
      <c r="N860" s="13" t="n"/>
      <c r="O860" s="13" t="n"/>
      <c r="P860" s="15" t="n">
        <v>5</v>
      </c>
      <c r="Q860" s="15" t="n">
        <v>5</v>
      </c>
      <c r="R860" s="16">
        <f>IF(COUNT(E860:Q860)=0,"",MIN(E860:Q860))</f>
        <v/>
      </c>
      <c r="S860" s="15">
        <f>IF(COUNT(E860:Q860)=0,"",LOOKUP(2,1/(E860:Q860&lt;&gt;""),E860:Q860))</f>
        <v/>
      </c>
      <c r="T860" s="17">
        <f>IF(R860="","",ROUND(R860*RESUMEN!$B$4,0))</f>
        <v/>
      </c>
      <c r="U860" s="18">
        <f>COUNT(E860:Q860)</f>
        <v/>
      </c>
    </row>
    <row r="861">
      <c r="A861" s="13" t="inlineStr">
        <is>
          <t>11966951169965</t>
        </is>
      </c>
      <c r="B861" s="13" t="inlineStr">
        <is>
          <t>PULSERA DE CUENTAS CON INSIGNIA DE CORAZÓN BLUE</t>
        </is>
      </c>
      <c r="C861" s="13" t="inlineStr">
        <is>
          <t>20 cm</t>
        </is>
      </c>
      <c r="D861" s="14" t="inlineStr">
        <is>
          <t>stainless stee</t>
        </is>
      </c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5" t="n">
        <v>5</v>
      </c>
      <c r="R861" s="16">
        <f>IF(COUNT(E861:Q861)=0,"",MIN(E861:Q861))</f>
        <v/>
      </c>
      <c r="S861" s="15">
        <f>IF(COUNT(E861:Q861)=0,"",LOOKUP(2,1/(E861:Q861&lt;&gt;""),E861:Q861))</f>
        <v/>
      </c>
      <c r="T861" s="17">
        <f>IF(R861="","",ROUND(R861*RESUMEN!$B$4,0))</f>
        <v/>
      </c>
      <c r="U861" s="18">
        <f>COUNT(E861:Q861)</f>
        <v/>
      </c>
    </row>
    <row r="862">
      <c r="A862" s="13" t="inlineStr">
        <is>
          <t>43047224508556</t>
        </is>
      </c>
      <c r="B862" s="13" t="inlineStr">
        <is>
          <t>PULSERA DE CUENTAS CON INSIGNIA DE CORAZÓN PINK</t>
        </is>
      </c>
      <c r="C862" s="13" t="inlineStr">
        <is>
          <t>16 cm</t>
        </is>
      </c>
      <c r="D862" s="14" t="inlineStr">
        <is>
          <t>Stainless stee</t>
        </is>
      </c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5" t="n">
        <v>5</v>
      </c>
      <c r="N862" s="13" t="n"/>
      <c r="O862" s="15" t="n">
        <v>5</v>
      </c>
      <c r="P862" s="13" t="n"/>
      <c r="Q862" s="13" t="n"/>
      <c r="R862" s="16">
        <f>IF(COUNT(E862:Q862)=0,"",MIN(E862:Q862))</f>
        <v/>
      </c>
      <c r="S862" s="15">
        <f>IF(COUNT(E862:Q862)=0,"",LOOKUP(2,1/(E862:Q862&lt;&gt;""),E862:Q862))</f>
        <v/>
      </c>
      <c r="T862" s="17">
        <f>IF(R862="","",ROUND(R862*RESUMEN!$B$4,0))</f>
        <v/>
      </c>
      <c r="U862" s="18">
        <f>COUNT(E862:Q862)</f>
        <v/>
      </c>
    </row>
    <row r="863">
      <c r="A863" s="13" t="inlineStr">
        <is>
          <t>43047224541324</t>
        </is>
      </c>
      <c r="B863" s="13" t="inlineStr">
        <is>
          <t>PULSERA DE CUENTAS CON INSIGNIA DE CORAZÓN PINK</t>
        </is>
      </c>
      <c r="C863" s="13" t="inlineStr">
        <is>
          <t>17 cm</t>
        </is>
      </c>
      <c r="D863" s="14" t="inlineStr">
        <is>
          <t>Stainless Stee</t>
        </is>
      </c>
      <c r="E863" s="13" t="n"/>
      <c r="F863" s="13" t="n"/>
      <c r="G863" s="13" t="n"/>
      <c r="H863" s="15" t="n">
        <v>5</v>
      </c>
      <c r="I863" s="15" t="n">
        <v>5</v>
      </c>
      <c r="J863" s="15" t="n">
        <v>5</v>
      </c>
      <c r="K863" s="13" t="n"/>
      <c r="L863" s="15" t="n">
        <v>5</v>
      </c>
      <c r="M863" s="13" t="n"/>
      <c r="N863" s="13" t="n"/>
      <c r="O863" s="13" t="n"/>
      <c r="P863" s="15" t="n">
        <v>5</v>
      </c>
      <c r="Q863" s="15" t="n">
        <v>5</v>
      </c>
      <c r="R863" s="16">
        <f>IF(COUNT(E863:Q863)=0,"",MIN(E863:Q863))</f>
        <v/>
      </c>
      <c r="S863" s="15">
        <f>IF(COUNT(E863:Q863)=0,"",LOOKUP(2,1/(E863:Q863&lt;&gt;""),E863:Q863))</f>
        <v/>
      </c>
      <c r="T863" s="17">
        <f>IF(R863="","",ROUND(R863*RESUMEN!$B$4,0))</f>
        <v/>
      </c>
      <c r="U863" s="18">
        <f>COUNT(E863:Q863)</f>
        <v/>
      </c>
    </row>
    <row r="864">
      <c r="A864" s="13" t="inlineStr">
        <is>
          <t>43047224574092</t>
        </is>
      </c>
      <c r="B864" s="13" t="inlineStr">
        <is>
          <t>PULSERA DE CUENTAS CON INSIGNIA DE CORAZÓN PINK</t>
        </is>
      </c>
      <c r="C864" s="13" t="inlineStr">
        <is>
          <t>18 cm</t>
        </is>
      </c>
      <c r="D864" s="14" t="inlineStr">
        <is>
          <t>Stainless stee</t>
        </is>
      </c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5" t="n">
        <v>5</v>
      </c>
      <c r="O864" s="13" t="n"/>
      <c r="P864" s="13" t="n"/>
      <c r="Q864" s="13" t="n"/>
      <c r="R864" s="16">
        <f>IF(COUNT(E864:Q864)=0,"",MIN(E864:Q864))</f>
        <v/>
      </c>
      <c r="S864" s="15">
        <f>IF(COUNT(E864:Q864)=0,"",LOOKUP(2,1/(E864:Q864&lt;&gt;""),E864:Q864))</f>
        <v/>
      </c>
      <c r="T864" s="17">
        <f>IF(R864="","",ROUND(R864*RESUMEN!$B$4,0))</f>
        <v/>
      </c>
      <c r="U864" s="18">
        <f>COUNT(E864:Q864)</f>
        <v/>
      </c>
    </row>
    <row r="865">
      <c r="A865" s="13" t="inlineStr">
        <is>
          <t>43047224606860</t>
        </is>
      </c>
      <c r="B865" s="13" t="inlineStr">
        <is>
          <t>PULSERA DE CUENTAS CON INSIGNIA DE CORAZÓN PINK</t>
        </is>
      </c>
      <c r="C865" s="13" t="inlineStr">
        <is>
          <t>19 cm</t>
        </is>
      </c>
      <c r="D865" s="14" t="inlineStr">
        <is>
          <t>Stainless stee</t>
        </is>
      </c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5" t="n">
        <v>5</v>
      </c>
      <c r="O865" s="13" t="n"/>
      <c r="P865" s="13" t="n"/>
      <c r="Q865" s="13" t="n"/>
      <c r="R865" s="16">
        <f>IF(COUNT(E865:Q865)=0,"",MIN(E865:Q865))</f>
        <v/>
      </c>
      <c r="S865" s="15">
        <f>IF(COUNT(E865:Q865)=0,"",LOOKUP(2,1/(E865:Q865&lt;&gt;""),E865:Q865))</f>
        <v/>
      </c>
      <c r="T865" s="17">
        <f>IF(R865="","",ROUND(R865*RESUMEN!$B$4,0))</f>
        <v/>
      </c>
      <c r="U865" s="18">
        <f>COUNT(E865:Q865)</f>
        <v/>
      </c>
    </row>
    <row r="866">
      <c r="A866" s="13" t="inlineStr">
        <is>
          <t>668eee50dfb13</t>
        </is>
      </c>
      <c r="B866" s="13" t="inlineStr">
        <is>
          <t>PULSERA DE CUENTAS CON INSIGNIA DE CORAZÓN RED</t>
        </is>
      </c>
      <c r="C866" s="13" t="inlineStr">
        <is>
          <t>16 cm</t>
        </is>
      </c>
      <c r="D866" s="14" t="inlineStr">
        <is>
          <t>Stainless stee</t>
        </is>
      </c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5" t="n">
        <v>5</v>
      </c>
      <c r="O866" s="13" t="n"/>
      <c r="P866" s="13" t="n"/>
      <c r="Q866" s="13" t="n"/>
      <c r="R866" s="16">
        <f>IF(COUNT(E866:Q866)=0,"",MIN(E866:Q866))</f>
        <v/>
      </c>
      <c r="S866" s="15">
        <f>IF(COUNT(E866:Q866)=0,"",LOOKUP(2,1/(E866:Q866&lt;&gt;""),E866:Q866))</f>
        <v/>
      </c>
      <c r="T866" s="17">
        <f>IF(R866="","",ROUND(R866*RESUMEN!$B$4,0))</f>
        <v/>
      </c>
      <c r="U866" s="18">
        <f>COUNT(E866:Q866)</f>
        <v/>
      </c>
    </row>
    <row r="867">
      <c r="A867" s="13" t="inlineStr">
        <is>
          <t>668eee51ba91b</t>
        </is>
      </c>
      <c r="B867" s="13" t="inlineStr">
        <is>
          <t>PULSERA DE CUENTAS CON INSIGNIA DE CORAZÓN RED</t>
        </is>
      </c>
      <c r="C867" s="13" t="inlineStr">
        <is>
          <t>17 cm</t>
        </is>
      </c>
      <c r="D867" s="14" t="inlineStr">
        <is>
          <t>Stainless Stee</t>
        </is>
      </c>
      <c r="E867" s="13" t="n"/>
      <c r="F867" s="13" t="n"/>
      <c r="G867" s="13" t="n"/>
      <c r="H867" s="13" t="n"/>
      <c r="I867" s="15" t="n">
        <v>5</v>
      </c>
      <c r="J867" s="13" t="n"/>
      <c r="K867" s="13" t="n"/>
      <c r="L867" s="15" t="n">
        <v>5</v>
      </c>
      <c r="M867" s="13" t="n"/>
      <c r="N867" s="13" t="n"/>
      <c r="O867" s="15" t="n">
        <v>5</v>
      </c>
      <c r="P867" s="15" t="n">
        <v>5</v>
      </c>
      <c r="Q867" s="15" t="n">
        <v>5</v>
      </c>
      <c r="R867" s="16">
        <f>IF(COUNT(E867:Q867)=0,"",MIN(E867:Q867))</f>
        <v/>
      </c>
      <c r="S867" s="15">
        <f>IF(COUNT(E867:Q867)=0,"",LOOKUP(2,1/(E867:Q867&lt;&gt;""),E867:Q867))</f>
        <v/>
      </c>
      <c r="T867" s="17">
        <f>IF(R867="","",ROUND(R867*RESUMEN!$B$4,0))</f>
        <v/>
      </c>
      <c r="U867" s="18">
        <f>COUNT(E867:Q867)</f>
        <v/>
      </c>
    </row>
    <row r="868">
      <c r="A868" s="13" t="inlineStr">
        <is>
          <t>668eee52c5906</t>
        </is>
      </c>
      <c r="B868" s="13" t="inlineStr">
        <is>
          <t>PULSERA DE CUENTAS CON INSIGNIA DE CORAZÓN RED</t>
        </is>
      </c>
      <c r="C868" s="13" t="inlineStr">
        <is>
          <t>18 cm</t>
        </is>
      </c>
      <c r="D868" s="14" t="inlineStr">
        <is>
          <t>stainless stee</t>
        </is>
      </c>
      <c r="E868" s="13" t="n"/>
      <c r="F868" s="13" t="n"/>
      <c r="G868" s="13" t="n"/>
      <c r="H868" s="13" t="n"/>
      <c r="I868" s="13" t="n"/>
      <c r="J868" s="13" t="n"/>
      <c r="K868" s="13" t="n"/>
      <c r="L868" s="15" t="n">
        <v>5</v>
      </c>
      <c r="M868" s="15" t="n">
        <v>5</v>
      </c>
      <c r="N868" s="13" t="n"/>
      <c r="O868" s="13" t="n"/>
      <c r="P868" s="13" t="n"/>
      <c r="Q868" s="15" t="n">
        <v>5</v>
      </c>
      <c r="R868" s="16">
        <f>IF(COUNT(E868:Q868)=0,"",MIN(E868:Q868))</f>
        <v/>
      </c>
      <c r="S868" s="15">
        <f>IF(COUNT(E868:Q868)=0,"",LOOKUP(2,1/(E868:Q868&lt;&gt;""),E868:Q868))</f>
        <v/>
      </c>
      <c r="T868" s="17">
        <f>IF(R868="","",ROUND(R868*RESUMEN!$B$4,0))</f>
        <v/>
      </c>
      <c r="U868" s="18">
        <f>COUNT(E868:Q868)</f>
        <v/>
      </c>
    </row>
    <row r="869">
      <c r="A869" s="13" t="inlineStr">
        <is>
          <t>668eee53b2d19</t>
        </is>
      </c>
      <c r="B869" s="13" t="inlineStr">
        <is>
          <t>PULSERA DE CUENTAS CON INSIGNIA DE CORAZÓN RED</t>
        </is>
      </c>
      <c r="C869" s="13" t="inlineStr">
        <is>
          <t>19 cm</t>
        </is>
      </c>
      <c r="D869" s="14" t="inlineStr">
        <is>
          <t>Stainless stee</t>
        </is>
      </c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5" t="n">
        <v>5</v>
      </c>
      <c r="O869" s="13" t="n"/>
      <c r="P869" s="13" t="n"/>
      <c r="Q869" s="13" t="n"/>
      <c r="R869" s="16">
        <f>IF(COUNT(E869:Q869)=0,"",MIN(E869:Q869))</f>
        <v/>
      </c>
      <c r="S869" s="15">
        <f>IF(COUNT(E869:Q869)=0,"",LOOKUP(2,1/(E869:Q869&lt;&gt;""),E869:Q869))</f>
        <v/>
      </c>
      <c r="T869" s="17">
        <f>IF(R869="","",ROUND(R869*RESUMEN!$B$4,0))</f>
        <v/>
      </c>
      <c r="U869" s="18">
        <f>COUNT(E869:Q869)</f>
        <v/>
      </c>
    </row>
    <row r="870">
      <c r="A870" s="13" t="inlineStr">
        <is>
          <t>6617748fe62cc</t>
        </is>
      </c>
      <c r="B870" s="13" t="inlineStr">
        <is>
          <t>PULSERA DE TELA TRES AROS BLACK</t>
        </is>
      </c>
      <c r="C870" s="13" t="inlineStr">
        <is>
          <t>AJUSTABLE</t>
        </is>
      </c>
      <c r="D870" s="14" t="inlineStr">
        <is>
          <t>Stainless Stee</t>
        </is>
      </c>
      <c r="E870" s="13" t="n"/>
      <c r="F870" s="13" t="n"/>
      <c r="G870" s="13" t="n"/>
      <c r="H870" s="13" t="n"/>
      <c r="I870" s="15" t="n">
        <v>4.7</v>
      </c>
      <c r="J870" s="13" t="n"/>
      <c r="K870" s="13" t="n"/>
      <c r="L870" s="15" t="n">
        <v>4.7</v>
      </c>
      <c r="M870" s="15" t="n">
        <v>4.7</v>
      </c>
      <c r="N870" s="13" t="n"/>
      <c r="O870" s="15" t="n">
        <v>4.7</v>
      </c>
      <c r="P870" s="13" t="n"/>
      <c r="Q870" s="15" t="n">
        <v>4.7</v>
      </c>
      <c r="R870" s="16">
        <f>IF(COUNT(E870:Q870)=0,"",MIN(E870:Q870))</f>
        <v/>
      </c>
      <c r="S870" s="15">
        <f>IF(COUNT(E870:Q870)=0,"",LOOKUP(2,1/(E870:Q870&lt;&gt;""),E870:Q870))</f>
        <v/>
      </c>
      <c r="T870" s="17">
        <f>IF(R870="","",ROUND(R870*RESUMEN!$B$4,0))</f>
        <v/>
      </c>
      <c r="U870" s="18">
        <f>COUNT(E870:Q870)</f>
        <v/>
      </c>
    </row>
    <row r="871">
      <c r="A871" s="13" t="inlineStr">
        <is>
          <t>665bd4a33373e</t>
        </is>
      </c>
      <c r="B871" s="13" t="inlineStr">
        <is>
          <t>PULSERA DE TELA TRES AROS DARK BLUE</t>
        </is>
      </c>
      <c r="C871" s="13" t="inlineStr">
        <is>
          <t>AJUSTABLE</t>
        </is>
      </c>
      <c r="D871" s="14" t="inlineStr">
        <is>
          <t>Stainless stee</t>
        </is>
      </c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5" t="n">
        <v>5</v>
      </c>
      <c r="O871" s="13" t="n"/>
      <c r="P871" s="13" t="n"/>
      <c r="Q871" s="13" t="n"/>
      <c r="R871" s="16">
        <f>IF(COUNT(E871:Q871)=0,"",MIN(E871:Q871))</f>
        <v/>
      </c>
      <c r="S871" s="15">
        <f>IF(COUNT(E871:Q871)=0,"",LOOKUP(2,1/(E871:Q871&lt;&gt;""),E871:Q871))</f>
        <v/>
      </c>
      <c r="T871" s="17">
        <f>IF(R871="","",ROUND(R871*RESUMEN!$B$4,0))</f>
        <v/>
      </c>
      <c r="U871" s="18">
        <f>COUNT(E871:Q871)</f>
        <v/>
      </c>
    </row>
    <row r="872">
      <c r="A872" s="13" t="inlineStr">
        <is>
          <t>18652671095713</t>
        </is>
      </c>
      <c r="B872" s="13" t="inlineStr">
        <is>
          <t>PULSERA DE TELA TRES AROS GREY</t>
        </is>
      </c>
      <c r="C872" s="13" t="inlineStr">
        <is>
          <t>Default Title</t>
        </is>
      </c>
      <c r="D872" s="14" t="inlineStr">
        <is>
          <t>Stainless Stee</t>
        </is>
      </c>
      <c r="E872" s="13" t="n"/>
      <c r="F872" s="15" t="n">
        <v>4.7</v>
      </c>
      <c r="G872" s="13" t="n"/>
      <c r="H872" s="13" t="n"/>
      <c r="I872" s="15" t="n">
        <v>4.7</v>
      </c>
      <c r="J872" s="13" t="n"/>
      <c r="K872" s="13" t="n"/>
      <c r="L872" s="13" t="n"/>
      <c r="M872" s="15" t="n">
        <v>4.7</v>
      </c>
      <c r="N872" s="13" t="n"/>
      <c r="O872" s="15" t="n">
        <v>4.7</v>
      </c>
      <c r="P872" s="13" t="n"/>
      <c r="Q872" s="13" t="n"/>
      <c r="R872" s="16">
        <f>IF(COUNT(E872:Q872)=0,"",MIN(E872:Q872))</f>
        <v/>
      </c>
      <c r="S872" s="15">
        <f>IF(COUNT(E872:Q872)=0,"",LOOKUP(2,1/(E872:Q872&lt;&gt;""),E872:Q872))</f>
        <v/>
      </c>
      <c r="T872" s="17">
        <f>IF(R872="","",ROUND(R872*RESUMEN!$B$4,0))</f>
        <v/>
      </c>
      <c r="U872" s="18">
        <f>COUNT(E872:Q872)</f>
        <v/>
      </c>
    </row>
    <row r="873">
      <c r="A873" s="13" t="inlineStr">
        <is>
          <t>85245863092492</t>
        </is>
      </c>
      <c r="B873" s="13" t="inlineStr">
        <is>
          <t>PULSERA DE TELA TRES AROS RED</t>
        </is>
      </c>
      <c r="C873" s="13" t="inlineStr">
        <is>
          <t>AJUSTABLE</t>
        </is>
      </c>
      <c r="D873" s="14" t="inlineStr">
        <is>
          <t>Stainless Stee</t>
        </is>
      </c>
      <c r="E873" s="13" t="n"/>
      <c r="F873" s="13" t="n"/>
      <c r="G873" s="13" t="n"/>
      <c r="H873" s="13" t="n"/>
      <c r="I873" s="13" t="n"/>
      <c r="J873" s="15" t="n">
        <v>4.5</v>
      </c>
      <c r="K873" s="13" t="n"/>
      <c r="L873" s="15" t="n">
        <v>4.7</v>
      </c>
      <c r="M873" s="13" t="n"/>
      <c r="N873" s="13" t="n"/>
      <c r="O873" s="13" t="n"/>
      <c r="P873" s="15" t="n">
        <v>4.7</v>
      </c>
      <c r="Q873" s="13" t="n"/>
      <c r="R873" s="16">
        <f>IF(COUNT(E873:Q873)=0,"",MIN(E873:Q873))</f>
        <v/>
      </c>
      <c r="S873" s="15">
        <f>IF(COUNT(E873:Q873)=0,"",LOOKUP(2,1/(E873:Q873&lt;&gt;""),E873:Q873))</f>
        <v/>
      </c>
      <c r="T873" s="17">
        <f>IF(R873="","",ROUND(R873*RESUMEN!$B$4,0))</f>
        <v/>
      </c>
      <c r="U873" s="18">
        <f>COUNT(E873:Q873)</f>
        <v/>
      </c>
    </row>
    <row r="874">
      <c r="A874" s="13" t="inlineStr">
        <is>
          <t>27412601072353</t>
        </is>
      </c>
      <c r="B874" s="13" t="inlineStr">
        <is>
          <t>PULSERA DE TELA TRES AROS ROYAL BLUE</t>
        </is>
      </c>
      <c r="C874" s="13" t="inlineStr">
        <is>
          <t>Default Title</t>
        </is>
      </c>
      <c r="D874" s="14" t="inlineStr"/>
      <c r="E874" s="15" t="n">
        <v>4.5</v>
      </c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6">
        <f>IF(COUNT(E874:Q874)=0,"",MIN(E874:Q874))</f>
        <v/>
      </c>
      <c r="S874" s="15">
        <f>IF(COUNT(E874:Q874)=0,"",LOOKUP(2,1/(E874:Q874&lt;&gt;""),E874:Q874))</f>
        <v/>
      </c>
      <c r="T874" s="17">
        <f>IF(R874="","",ROUND(R874*RESUMEN!$B$4,0))</f>
        <v/>
      </c>
      <c r="U874" s="18">
        <f>COUNT(E874:Q874)</f>
        <v/>
      </c>
    </row>
    <row r="875">
      <c r="A875" s="13" t="inlineStr">
        <is>
          <t>66975821021217</t>
        </is>
      </c>
      <c r="B875" s="13" t="inlineStr">
        <is>
          <t>PULSERA DE TELA TRES AROS WINE</t>
        </is>
      </c>
      <c r="C875" s="13" t="inlineStr">
        <is>
          <t>Default Title</t>
        </is>
      </c>
      <c r="D875" s="14" t="inlineStr"/>
      <c r="E875" s="15" t="n">
        <v>4.5</v>
      </c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6">
        <f>IF(COUNT(E875:Q875)=0,"",MIN(E875:Q875))</f>
        <v/>
      </c>
      <c r="S875" s="15">
        <f>IF(COUNT(E875:Q875)=0,"",LOOKUP(2,1/(E875:Q875&lt;&gt;""),E875:Q875))</f>
        <v/>
      </c>
      <c r="T875" s="17">
        <f>IF(R875="","",ROUND(R875*RESUMEN!$B$4,0))</f>
        <v/>
      </c>
      <c r="U875" s="18">
        <f>COUNT(E875:Q875)</f>
        <v/>
      </c>
    </row>
    <row r="876">
      <c r="A876" s="13" t="inlineStr">
        <is>
          <t>98043701215213</t>
        </is>
      </c>
      <c r="B876" s="13" t="inlineStr">
        <is>
          <t>PULSERA DE TENNIS ESSENTIAL SILVER</t>
        </is>
      </c>
      <c r="C876" s="13" t="inlineStr">
        <is>
          <t>16.5</t>
        </is>
      </c>
      <c r="D876" s="14" t="inlineStr">
        <is>
          <t>copper alloy</t>
        </is>
      </c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5" t="n">
        <v>6</v>
      </c>
      <c r="Q876" s="13" t="n"/>
      <c r="R876" s="16">
        <f>IF(COUNT(E876:Q876)=0,"",MIN(E876:Q876))</f>
        <v/>
      </c>
      <c r="S876" s="15">
        <f>IF(COUNT(E876:Q876)=0,"",LOOKUP(2,1/(E876:Q876&lt;&gt;""),E876:Q876))</f>
        <v/>
      </c>
      <c r="T876" s="17">
        <f>IF(R876="","",ROUND(R876*RESUMEN!$B$4,0))</f>
        <v/>
      </c>
      <c r="U876" s="18">
        <f>COUNT(E876:Q876)</f>
        <v/>
      </c>
    </row>
    <row r="877">
      <c r="A877" s="13" t="inlineStr">
        <is>
          <t>34361211039213</t>
        </is>
      </c>
      <c r="B877" s="13" t="inlineStr">
        <is>
          <t>PULSERA DIVAS DREAM SILVER</t>
        </is>
      </c>
      <c r="C877" s="13" t="inlineStr">
        <is>
          <t>Default Title</t>
        </is>
      </c>
      <c r="D877" s="14" t="inlineStr">
        <is>
          <t>Copper alloy</t>
        </is>
      </c>
      <c r="E877" s="13" t="n"/>
      <c r="F877" s="15" t="n">
        <v>7.5</v>
      </c>
      <c r="G877" s="13" t="n"/>
      <c r="H877" s="13" t="n"/>
      <c r="I877" s="13" t="n"/>
      <c r="J877" s="13" t="n"/>
      <c r="K877" s="13" t="n"/>
      <c r="L877" s="15" t="n">
        <v>7.5</v>
      </c>
      <c r="M877" s="13" t="n"/>
      <c r="N877" s="15" t="n">
        <v>7.5</v>
      </c>
      <c r="O877" s="13" t="n"/>
      <c r="P877" s="13" t="n"/>
      <c r="Q877" s="13" t="n"/>
      <c r="R877" s="16">
        <f>IF(COUNT(E877:Q877)=0,"",MIN(E877:Q877))</f>
        <v/>
      </c>
      <c r="S877" s="15">
        <f>IF(COUNT(E877:Q877)=0,"",LOOKUP(2,1/(E877:Q877&lt;&gt;""),E877:Q877))</f>
        <v/>
      </c>
      <c r="T877" s="17">
        <f>IF(R877="","",ROUND(R877*RESUMEN!$B$4,0))</f>
        <v/>
      </c>
      <c r="U877" s="18">
        <f>COUNT(E877:Q877)</f>
        <v/>
      </c>
    </row>
    <row r="878">
      <c r="A878" s="13" t="inlineStr">
        <is>
          <t>67201534427213</t>
        </is>
      </c>
      <c r="B878" s="13" t="inlineStr">
        <is>
          <t>PULSERA DOBLE CADENA Y PLACA ESTILO CORAZÓN T SILVER</t>
        </is>
      </c>
      <c r="C878" s="13" t="inlineStr">
        <is>
          <t>Default Title</t>
        </is>
      </c>
      <c r="D878" s="14" t="inlineStr">
        <is>
          <t>Stainless stee</t>
        </is>
      </c>
      <c r="E878" s="13" t="n"/>
      <c r="F878" s="15" t="n">
        <v>5</v>
      </c>
      <c r="G878" s="13" t="n"/>
      <c r="H878" s="13" t="n"/>
      <c r="I878" s="15" t="n">
        <v>5</v>
      </c>
      <c r="J878" s="13" t="n"/>
      <c r="K878" s="13" t="n"/>
      <c r="L878" s="13" t="n"/>
      <c r="M878" s="13" t="n"/>
      <c r="N878" s="15" t="n">
        <v>5</v>
      </c>
      <c r="O878" s="13" t="n"/>
      <c r="P878" s="13" t="n"/>
      <c r="Q878" s="13" t="n"/>
      <c r="R878" s="16">
        <f>IF(COUNT(E878:Q878)=0,"",MIN(E878:Q878))</f>
        <v/>
      </c>
      <c r="S878" s="15">
        <f>IF(COUNT(E878:Q878)=0,"",LOOKUP(2,1/(E878:Q878&lt;&gt;""),E878:Q878))</f>
        <v/>
      </c>
      <c r="T878" s="17">
        <f>IF(R878="","",ROUND(R878*RESUMEN!$B$4,0))</f>
        <v/>
      </c>
      <c r="U878" s="18">
        <f>COUNT(E878:Q878)</f>
        <v/>
      </c>
    </row>
    <row r="879">
      <c r="A879" s="13" t="inlineStr">
        <is>
          <t>75330961067949</t>
        </is>
      </c>
      <c r="B879" s="13" t="inlineStr">
        <is>
          <t>PULSERA DOS VUELTAS SERPENTI ROSEGOLD CON ZIRCONIA</t>
        </is>
      </c>
      <c r="C879" s="13" t="inlineStr">
        <is>
          <t>Default Title</t>
        </is>
      </c>
      <c r="D879" s="14" t="inlineStr">
        <is>
          <t>Stainless stee</t>
        </is>
      </c>
      <c r="E879" s="13" t="n"/>
      <c r="F879" s="15" t="n">
        <v>25</v>
      </c>
      <c r="G879" s="13" t="n"/>
      <c r="H879" s="13" t="n"/>
      <c r="I879" s="13" t="n"/>
      <c r="J879" s="13" t="n"/>
      <c r="K879" s="13" t="n"/>
      <c r="L879" s="15" t="n">
        <v>25</v>
      </c>
      <c r="M879" s="13" t="n"/>
      <c r="N879" s="13" t="n"/>
      <c r="O879" s="13" t="n"/>
      <c r="P879" s="13" t="n"/>
      <c r="Q879" s="13" t="n"/>
      <c r="R879" s="16">
        <f>IF(COUNT(E879:Q879)=0,"",MIN(E879:Q879))</f>
        <v/>
      </c>
      <c r="S879" s="15">
        <f>IF(COUNT(E879:Q879)=0,"",LOOKUP(2,1/(E879:Q879&lt;&gt;""),E879:Q879))</f>
        <v/>
      </c>
      <c r="T879" s="17">
        <f>IF(R879="","",ROUND(R879*RESUMEN!$B$4,0))</f>
        <v/>
      </c>
      <c r="U879" s="18">
        <f>COUNT(E879:Q879)</f>
        <v/>
      </c>
    </row>
    <row r="880">
      <c r="A880" s="13" t="inlineStr">
        <is>
          <t>86347033612749</t>
        </is>
      </c>
      <c r="B880" s="13" t="inlineStr">
        <is>
          <t>PULSERA ESLABONES ROSEGOLD ZIRCONIA</t>
        </is>
      </c>
      <c r="C880" s="13" t="inlineStr">
        <is>
          <t>Default Title</t>
        </is>
      </c>
      <c r="D880" s="14" t="inlineStr">
        <is>
          <t>Copper alloy</t>
        </is>
      </c>
      <c r="E880" s="13" t="n"/>
      <c r="F880" s="13" t="n"/>
      <c r="G880" s="15" t="n">
        <v>10</v>
      </c>
      <c r="H880" s="13" t="n"/>
      <c r="I880" s="13" t="n"/>
      <c r="J880" s="15" t="n">
        <v>10</v>
      </c>
      <c r="K880" s="13" t="n"/>
      <c r="L880" s="15" t="n">
        <v>10</v>
      </c>
      <c r="M880" s="13" t="n"/>
      <c r="N880" s="15" t="n">
        <v>10</v>
      </c>
      <c r="O880" s="13" t="n"/>
      <c r="P880" s="13" t="n"/>
      <c r="Q880" s="13" t="n"/>
      <c r="R880" s="16">
        <f>IF(COUNT(E880:Q880)=0,"",MIN(E880:Q880))</f>
        <v/>
      </c>
      <c r="S880" s="15">
        <f>IF(COUNT(E880:Q880)=0,"",LOOKUP(2,1/(E880:Q880&lt;&gt;""),E880:Q880))</f>
        <v/>
      </c>
      <c r="T880" s="17">
        <f>IF(R880="","",ROUND(R880*RESUMEN!$B$4,0))</f>
        <v/>
      </c>
      <c r="U880" s="18">
        <f>COUNT(E880:Q880)</f>
        <v/>
      </c>
    </row>
    <row r="881">
      <c r="A881" s="13" t="inlineStr">
        <is>
          <t>12314363483981</t>
        </is>
      </c>
      <c r="B881" s="13" t="inlineStr">
        <is>
          <t>PULSERA F LOGOS GOLD-BLACK</t>
        </is>
      </c>
      <c r="C881" s="13" t="inlineStr">
        <is>
          <t>HIGH QUALITY</t>
        </is>
      </c>
      <c r="D881" s="14" t="inlineStr">
        <is>
          <t>Stainless stee</t>
        </is>
      </c>
      <c r="E881" s="13" t="n"/>
      <c r="F881" s="13" t="n"/>
      <c r="G881" s="15" t="n">
        <v>12</v>
      </c>
      <c r="H881" s="13" t="n"/>
      <c r="I881" s="13" t="n"/>
      <c r="J881" s="15" t="n">
        <v>10</v>
      </c>
      <c r="K881" s="13" t="n"/>
      <c r="L881" s="15" t="n">
        <v>10</v>
      </c>
      <c r="M881" s="13" t="n"/>
      <c r="N881" s="13" t="n"/>
      <c r="O881" s="13" t="n"/>
      <c r="P881" s="13" t="n"/>
      <c r="Q881" s="13" t="n"/>
      <c r="R881" s="16">
        <f>IF(COUNT(E881:Q881)=0,"",MIN(E881:Q881))</f>
        <v/>
      </c>
      <c r="S881" s="15">
        <f>IF(COUNT(E881:Q881)=0,"",LOOKUP(2,1/(E881:Q881&lt;&gt;""),E881:Q881))</f>
        <v/>
      </c>
      <c r="T881" s="17">
        <f>IF(R881="","",ROUND(R881*RESUMEN!$B$4,0))</f>
        <v/>
      </c>
      <c r="U881" s="18">
        <f>COUNT(E881:Q881)</f>
        <v/>
      </c>
    </row>
    <row r="882">
      <c r="A882" s="13" t="inlineStr">
        <is>
          <t>12314362119469</t>
        </is>
      </c>
      <c r="B882" s="13" t="inlineStr">
        <is>
          <t>PULSERA F O'LOCK GOLD</t>
        </is>
      </c>
      <c r="C882" s="13" t="inlineStr">
        <is>
          <t>Default Title</t>
        </is>
      </c>
      <c r="D882" s="14" t="inlineStr">
        <is>
          <t>Copper alloy</t>
        </is>
      </c>
      <c r="E882" s="13" t="n"/>
      <c r="F882" s="13" t="n"/>
      <c r="G882" s="15" t="n">
        <v>7</v>
      </c>
      <c r="H882" s="13" t="n"/>
      <c r="I882" s="13" t="n"/>
      <c r="J882" s="15" t="n">
        <v>7</v>
      </c>
      <c r="K882" s="13" t="n"/>
      <c r="L882" s="15" t="n">
        <v>7</v>
      </c>
      <c r="M882" s="13" t="n"/>
      <c r="N882" s="13" t="n"/>
      <c r="O882" s="13" t="n"/>
      <c r="P882" s="13" t="n"/>
      <c r="Q882" s="13" t="n"/>
      <c r="R882" s="16">
        <f>IF(COUNT(E882:Q882)=0,"",MIN(E882:Q882))</f>
        <v/>
      </c>
      <c r="S882" s="15">
        <f>IF(COUNT(E882:Q882)=0,"",LOOKUP(2,1/(E882:Q882&lt;&gt;""),E882:Q882))</f>
        <v/>
      </c>
      <c r="T882" s="17">
        <f>IF(R882="","",ROUND(R882*RESUMEN!$B$4,0))</f>
        <v/>
      </c>
      <c r="U882" s="18">
        <f>COUNT(E882:Q882)</f>
        <v/>
      </c>
    </row>
    <row r="883">
      <c r="A883" s="13" t="inlineStr">
        <is>
          <t>95854371043949</t>
        </is>
      </c>
      <c r="B883" s="13" t="inlineStr">
        <is>
          <t>PULSERA GC BLONDIE GOLD</t>
        </is>
      </c>
      <c r="C883" s="13" t="inlineStr">
        <is>
          <t>Default Title</t>
        </is>
      </c>
      <c r="D883" s="14" t="inlineStr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5" t="n">
        <v>6</v>
      </c>
      <c r="O883" s="13" t="n"/>
      <c r="P883" s="13" t="n"/>
      <c r="Q883" s="13" t="n"/>
      <c r="R883" s="16">
        <f>IF(COUNT(E883:Q883)=0,"",MIN(E883:Q883))</f>
        <v/>
      </c>
      <c r="S883" s="15">
        <f>IF(COUNT(E883:Q883)=0,"",LOOKUP(2,1/(E883:Q883&lt;&gt;""),E883:Q883))</f>
        <v/>
      </c>
      <c r="T883" s="17">
        <f>IF(R883="","",ROUND(R883*RESUMEN!$B$4,0))</f>
        <v/>
      </c>
      <c r="U883" s="18">
        <f>COUNT(E883:Q883)</f>
        <v/>
      </c>
    </row>
    <row r="884">
      <c r="A884" s="13" t="inlineStr">
        <is>
          <t>89246882645773</t>
        </is>
      </c>
      <c r="B884" s="13" t="inlineStr">
        <is>
          <t>PULSERA H FINESSE SILVER</t>
        </is>
      </c>
      <c r="C884" s="13" t="inlineStr">
        <is>
          <t>Default Title</t>
        </is>
      </c>
      <c r="D884" s="14" t="inlineStr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5" t="n">
        <v>10</v>
      </c>
      <c r="O884" s="13" t="n"/>
      <c r="P884" s="13" t="n"/>
      <c r="Q884" s="13" t="n"/>
      <c r="R884" s="16">
        <f>IF(COUNT(E884:Q884)=0,"",MIN(E884:Q884))</f>
        <v/>
      </c>
      <c r="S884" s="15">
        <f>IF(COUNT(E884:Q884)=0,"",LOOKUP(2,1/(E884:Q884&lt;&gt;""),E884:Q884))</f>
        <v/>
      </c>
      <c r="T884" s="17">
        <f>IF(R884="","",ROUND(R884*RESUMEN!$B$4,0))</f>
        <v/>
      </c>
      <c r="U884" s="18">
        <f>COUNT(E884:Q884)</f>
        <v/>
      </c>
    </row>
    <row r="885">
      <c r="A885" s="13" t="inlineStr">
        <is>
          <t>14679511089581</t>
        </is>
      </c>
      <c r="B885" s="13" t="inlineStr">
        <is>
          <t>PULSERA H SILVER</t>
        </is>
      </c>
      <c r="C885" s="13" t="inlineStr">
        <is>
          <t>Default Title</t>
        </is>
      </c>
      <c r="D885" s="14" t="inlineStr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5" t="n">
        <v>12.99</v>
      </c>
      <c r="O885" s="13" t="n"/>
      <c r="P885" s="13" t="n"/>
      <c r="Q885" s="13" t="n"/>
      <c r="R885" s="16">
        <f>IF(COUNT(E885:Q885)=0,"",MIN(E885:Q885))</f>
        <v/>
      </c>
      <c r="S885" s="15">
        <f>IF(COUNT(E885:Q885)=0,"",LOOKUP(2,1/(E885:Q885&lt;&gt;""),E885:Q885))</f>
        <v/>
      </c>
      <c r="T885" s="17">
        <f>IF(R885="","",ROUND(R885*RESUMEN!$B$4,0))</f>
        <v/>
      </c>
      <c r="U885" s="18">
        <f>COUNT(E885:Q885)</f>
        <v/>
      </c>
    </row>
    <row r="886">
      <c r="A886" s="13" t="inlineStr">
        <is>
          <t>22064323912749</t>
        </is>
      </c>
      <c r="B886" s="13" t="inlineStr">
        <is>
          <t>PULSERA HEART ROSE GOLD</t>
        </is>
      </c>
      <c r="C886" s="13" t="inlineStr">
        <is>
          <t>Default Title</t>
        </is>
      </c>
      <c r="D886" s="14" t="inlineStr">
        <is>
          <t>Copper alloy</t>
        </is>
      </c>
      <c r="E886" s="13" t="n"/>
      <c r="F886" s="13" t="n"/>
      <c r="G886" s="13" t="n"/>
      <c r="H886" s="13" t="n"/>
      <c r="I886" s="13" t="n"/>
      <c r="J886" s="13" t="n"/>
      <c r="K886" s="15" t="n">
        <v>4</v>
      </c>
      <c r="L886" s="13" t="n"/>
      <c r="M886" s="13" t="n"/>
      <c r="N886" s="15" t="n">
        <v>4</v>
      </c>
      <c r="O886" s="13" t="n"/>
      <c r="P886" s="13" t="n"/>
      <c r="Q886" s="15" t="n">
        <v>4</v>
      </c>
      <c r="R886" s="16">
        <f>IF(COUNT(E886:Q886)=0,"",MIN(E886:Q886))</f>
        <v/>
      </c>
      <c r="S886" s="15">
        <f>IF(COUNT(E886:Q886)=0,"",LOOKUP(2,1/(E886:Q886&lt;&gt;""),E886:Q886))</f>
        <v/>
      </c>
      <c r="T886" s="17">
        <f>IF(R886="","",ROUND(R886*RESUMEN!$B$4,0))</f>
        <v/>
      </c>
      <c r="U886" s="18">
        <f>COUNT(E886:Q886)</f>
        <v/>
      </c>
    </row>
    <row r="887">
      <c r="A887" s="13" t="inlineStr">
        <is>
          <t>40154171869549</t>
        </is>
      </c>
      <c r="B887" s="13" t="inlineStr">
        <is>
          <t>PULSERA KNOT CADENA ROSE GOLD</t>
        </is>
      </c>
      <c r="C887" s="13" t="inlineStr">
        <is>
          <t>Default Title</t>
        </is>
      </c>
      <c r="D887" s="14" t="inlineStr">
        <is>
          <t>copper alloy</t>
        </is>
      </c>
      <c r="E887" s="13" t="n"/>
      <c r="F887" s="13" t="n"/>
      <c r="G887" s="13" t="n"/>
      <c r="H887" s="13" t="n"/>
      <c r="I887" s="13" t="n"/>
      <c r="J887" s="13" t="n"/>
      <c r="K887" s="15" t="n">
        <v>7</v>
      </c>
      <c r="L887" s="13" t="n"/>
      <c r="M887" s="13" t="n"/>
      <c r="N887" s="13" t="n"/>
      <c r="O887" s="15" t="n">
        <v>7</v>
      </c>
      <c r="P887" s="13" t="n"/>
      <c r="Q887" s="13" t="n"/>
      <c r="R887" s="16">
        <f>IF(COUNT(E887:Q887)=0,"",MIN(E887:Q887))</f>
        <v/>
      </c>
      <c r="S887" s="15">
        <f>IF(COUNT(E887:Q887)=0,"",LOOKUP(2,1/(E887:Q887&lt;&gt;""),E887:Q887))</f>
        <v/>
      </c>
      <c r="T887" s="17">
        <f>IF(R887="","",ROUND(R887*RESUMEN!$B$4,0))</f>
        <v/>
      </c>
      <c r="U887" s="18">
        <f>COUNT(E887:Q887)</f>
        <v/>
      </c>
    </row>
    <row r="888">
      <c r="A888" s="13" t="inlineStr">
        <is>
          <t>39396101044045</t>
        </is>
      </c>
      <c r="B888" s="13" t="inlineStr">
        <is>
          <t>PULSERA KNOT GOLD CON ZIRCONIA</t>
        </is>
      </c>
      <c r="C888" s="13" t="inlineStr">
        <is>
          <t>Default Title</t>
        </is>
      </c>
      <c r="D888" s="14" t="inlineStr">
        <is>
          <t>Copper alloy</t>
        </is>
      </c>
      <c r="E888" s="13" t="n"/>
      <c r="F888" s="15" t="n">
        <v>13</v>
      </c>
      <c r="G888" s="13" t="n"/>
      <c r="H888" s="13" t="n"/>
      <c r="I888" s="13" t="n"/>
      <c r="J888" s="13" t="n"/>
      <c r="K888" s="13" t="n"/>
      <c r="L888" s="15" t="n">
        <v>13</v>
      </c>
      <c r="M888" s="13" t="n"/>
      <c r="N888" s="13" t="n"/>
      <c r="O888" s="13" t="n"/>
      <c r="P888" s="13" t="n"/>
      <c r="Q888" s="13" t="n"/>
      <c r="R888" s="16">
        <f>IF(COUNT(E888:Q888)=0,"",MIN(E888:Q888))</f>
        <v/>
      </c>
      <c r="S888" s="15">
        <f>IF(COUNT(E888:Q888)=0,"",LOOKUP(2,1/(E888:Q888&lt;&gt;""),E888:Q888))</f>
        <v/>
      </c>
      <c r="T888" s="17">
        <f>IF(R888="","",ROUND(R888*RESUMEN!$B$4,0))</f>
        <v/>
      </c>
      <c r="U888" s="18">
        <f>COUNT(E888:Q888)</f>
        <v/>
      </c>
    </row>
    <row r="889">
      <c r="A889" s="13" t="inlineStr">
        <is>
          <t>30410821083277</t>
        </is>
      </c>
      <c r="B889" s="13" t="inlineStr">
        <is>
          <t>PULSERA KNOT ONE GOLD CON ZIRCONIA</t>
        </is>
      </c>
      <c r="C889" s="13" t="inlineStr">
        <is>
          <t>Default Title</t>
        </is>
      </c>
      <c r="D889" s="14" t="inlineStr"/>
      <c r="E889" s="13" t="n"/>
      <c r="F889" s="15" t="n">
        <v>10</v>
      </c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6">
        <f>IF(COUNT(E889:Q889)=0,"",MIN(E889:Q889))</f>
        <v/>
      </c>
      <c r="S889" s="15">
        <f>IF(COUNT(E889:Q889)=0,"",LOOKUP(2,1/(E889:Q889&lt;&gt;""),E889:Q889))</f>
        <v/>
      </c>
      <c r="T889" s="17">
        <f>IF(R889="","",ROUND(R889*RESUMEN!$B$4,0))</f>
        <v/>
      </c>
      <c r="U889" s="18">
        <f>COUNT(E889:Q889)</f>
        <v/>
      </c>
    </row>
    <row r="890">
      <c r="A890" s="13" t="inlineStr">
        <is>
          <t>16117871480237</t>
        </is>
      </c>
      <c r="B890" s="13" t="inlineStr">
        <is>
          <t>PULSERA KNOT ONE ROSE GOLD CON ZIRCONIA</t>
        </is>
      </c>
      <c r="C890" s="13" t="inlineStr">
        <is>
          <t>Default Title</t>
        </is>
      </c>
      <c r="D890" s="14" t="inlineStr"/>
      <c r="E890" s="13" t="n"/>
      <c r="F890" s="15" t="n">
        <v>10</v>
      </c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6">
        <f>IF(COUNT(E890:Q890)=0,"",MIN(E890:Q890))</f>
        <v/>
      </c>
      <c r="S890" s="15">
        <f>IF(COUNT(E890:Q890)=0,"",LOOKUP(2,1/(E890:Q890&lt;&gt;""),E890:Q890))</f>
        <v/>
      </c>
      <c r="T890" s="17">
        <f>IF(R890="","",ROUND(R890*RESUMEN!$B$4,0))</f>
        <v/>
      </c>
      <c r="U890" s="18">
        <f>COUNT(E890:Q890)</f>
        <v/>
      </c>
    </row>
    <row r="891">
      <c r="A891" s="13" t="inlineStr">
        <is>
          <t>63e0c53833f26</t>
        </is>
      </c>
      <c r="B891" s="13" t="inlineStr">
        <is>
          <t>PULSERA LOVE CON ZIRCONIA GOLD</t>
        </is>
      </c>
      <c r="C891" s="13" t="inlineStr">
        <is>
          <t>16 cm</t>
        </is>
      </c>
      <c r="D891" s="14" t="inlineStr">
        <is>
          <t>stainless stee</t>
        </is>
      </c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5" t="n">
        <v>4.5</v>
      </c>
      <c r="Q891" s="15" t="n">
        <v>4.5</v>
      </c>
      <c r="R891" s="16">
        <f>IF(COUNT(E891:Q891)=0,"",MIN(E891:Q891))</f>
        <v/>
      </c>
      <c r="S891" s="15">
        <f>IF(COUNT(E891:Q891)=0,"",LOOKUP(2,1/(E891:Q891&lt;&gt;""),E891:Q891))</f>
        <v/>
      </c>
      <c r="T891" s="17">
        <f>IF(R891="","",ROUND(R891*RESUMEN!$B$4,0))</f>
        <v/>
      </c>
      <c r="U891" s="18">
        <f>COUNT(E891:Q891)</f>
        <v/>
      </c>
    </row>
    <row r="892">
      <c r="A892" s="13" t="inlineStr">
        <is>
          <t>63e0c53946490</t>
        </is>
      </c>
      <c r="B892" s="13" t="inlineStr">
        <is>
          <t>PULSERA LOVE CON ZIRCONIA GOLD</t>
        </is>
      </c>
      <c r="C892" s="13" t="inlineStr">
        <is>
          <t>17cm</t>
        </is>
      </c>
      <c r="D892" s="14" t="inlineStr"/>
      <c r="E892" s="13" t="n"/>
      <c r="F892" s="13" t="n"/>
      <c r="G892" s="13" t="n"/>
      <c r="H892" s="15" t="n">
        <v>4.5</v>
      </c>
      <c r="I892" s="15" t="n">
        <v>4.5</v>
      </c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6">
        <f>IF(COUNT(E892:Q892)=0,"",MIN(E892:Q892))</f>
        <v/>
      </c>
      <c r="S892" s="15">
        <f>IF(COUNT(E892:Q892)=0,"",LOOKUP(2,1/(E892:Q892&lt;&gt;""),E892:Q892))</f>
        <v/>
      </c>
      <c r="T892" s="17">
        <f>IF(R892="","",ROUND(R892*RESUMEN!$B$4,0))</f>
        <v/>
      </c>
      <c r="U892" s="18">
        <f>COUNT(E892:Q892)</f>
        <v/>
      </c>
    </row>
    <row r="893">
      <c r="A893" s="13" t="inlineStr">
        <is>
          <t>63e0c53a2b722</t>
        </is>
      </c>
      <c r="B893" s="13" t="inlineStr">
        <is>
          <t>PULSERA LOVE CON ZIRCONIA GOLD</t>
        </is>
      </c>
      <c r="C893" s="13" t="inlineStr">
        <is>
          <t>18 cm</t>
        </is>
      </c>
      <c r="D893" s="14" t="inlineStr"/>
      <c r="E893" s="13" t="n"/>
      <c r="F893" s="13" t="n"/>
      <c r="G893" s="13" t="n"/>
      <c r="H893" s="15" t="n">
        <v>4.5</v>
      </c>
      <c r="I893" s="15" t="n">
        <v>4.5</v>
      </c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6">
        <f>IF(COUNT(E893:Q893)=0,"",MIN(E893:Q893))</f>
        <v/>
      </c>
      <c r="S893" s="15">
        <f>IF(COUNT(E893:Q893)=0,"",LOOKUP(2,1/(E893:Q893&lt;&gt;""),E893:Q893))</f>
        <v/>
      </c>
      <c r="T893" s="17">
        <f>IF(R893="","",ROUND(R893*RESUMEN!$B$4,0))</f>
        <v/>
      </c>
      <c r="U893" s="18">
        <f>COUNT(E893:Q893)</f>
        <v/>
      </c>
    </row>
    <row r="894">
      <c r="A894" s="13" t="inlineStr">
        <is>
          <t>63e0c53be61bd</t>
        </is>
      </c>
      <c r="B894" s="13" t="inlineStr">
        <is>
          <t>PULSERA LOVE CON ZIRCONIA GOLD</t>
        </is>
      </c>
      <c r="C894" s="13" t="inlineStr">
        <is>
          <t>20 cm</t>
        </is>
      </c>
      <c r="D894" s="14" t="inlineStr"/>
      <c r="E894" s="13" t="n"/>
      <c r="F894" s="13" t="n"/>
      <c r="G894" s="13" t="n"/>
      <c r="H894" s="13" t="n"/>
      <c r="I894" s="13" t="n"/>
      <c r="J894" s="15" t="n">
        <v>4.5</v>
      </c>
      <c r="K894" s="13" t="n"/>
      <c r="L894" s="13" t="n"/>
      <c r="M894" s="13" t="n"/>
      <c r="N894" s="13" t="n"/>
      <c r="O894" s="13" t="n"/>
      <c r="P894" s="13" t="n"/>
      <c r="Q894" s="13" t="n"/>
      <c r="R894" s="16">
        <f>IF(COUNT(E894:Q894)=0,"",MIN(E894:Q894))</f>
        <v/>
      </c>
      <c r="S894" s="15">
        <f>IF(COUNT(E894:Q894)=0,"",LOOKUP(2,1/(E894:Q894&lt;&gt;""),E894:Q894))</f>
        <v/>
      </c>
      <c r="T894" s="17">
        <f>IF(R894="","",ROUND(R894*RESUMEN!$B$4,0))</f>
        <v/>
      </c>
      <c r="U894" s="18">
        <f>COUNT(E894:Q894)</f>
        <v/>
      </c>
    </row>
    <row r="895">
      <c r="A895" s="13" t="inlineStr">
        <is>
          <t>63e0c53cbec21</t>
        </is>
      </c>
      <c r="B895" s="13" t="inlineStr">
        <is>
          <t>PULSERA LOVE CON ZIRCONIA GOLD</t>
        </is>
      </c>
      <c r="C895" s="13" t="inlineStr">
        <is>
          <t>21 cm</t>
        </is>
      </c>
      <c r="D895" s="14" t="inlineStr"/>
      <c r="E895" s="13" t="n"/>
      <c r="F895" s="13" t="n"/>
      <c r="G895" s="13" t="n"/>
      <c r="H895" s="13" t="n"/>
      <c r="I895" s="15" t="n">
        <v>4.5</v>
      </c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6">
        <f>IF(COUNT(E895:Q895)=0,"",MIN(E895:Q895))</f>
        <v/>
      </c>
      <c r="S895" s="15">
        <f>IF(COUNT(E895:Q895)=0,"",LOOKUP(2,1/(E895:Q895&lt;&gt;""),E895:Q895))</f>
        <v/>
      </c>
      <c r="T895" s="17">
        <f>IF(R895="","",ROUND(R895*RESUMEN!$B$4,0))</f>
        <v/>
      </c>
      <c r="U895" s="18">
        <f>COUNT(E895:Q895)</f>
        <v/>
      </c>
    </row>
    <row r="896">
      <c r="A896" s="13" t="inlineStr">
        <is>
          <t>63e0c5387bab1</t>
        </is>
      </c>
      <c r="B896" s="13" t="inlineStr">
        <is>
          <t>PULSERA LOVE CON ZIRCONIA ROSE GOLD</t>
        </is>
      </c>
      <c r="C896" s="13" t="inlineStr">
        <is>
          <t>16 cm</t>
        </is>
      </c>
      <c r="D896" s="14" t="inlineStr">
        <is>
          <t>Stainless Stee</t>
        </is>
      </c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5" t="n">
        <v>4.5</v>
      </c>
      <c r="Q896" s="13" t="n"/>
      <c r="R896" s="16">
        <f>IF(COUNT(E896:Q896)=0,"",MIN(E896:Q896))</f>
        <v/>
      </c>
      <c r="S896" s="15">
        <f>IF(COUNT(E896:Q896)=0,"",LOOKUP(2,1/(E896:Q896&lt;&gt;""),E896:Q896))</f>
        <v/>
      </c>
      <c r="T896" s="17">
        <f>IF(R896="","",ROUND(R896*RESUMEN!$B$4,0))</f>
        <v/>
      </c>
      <c r="U896" s="18">
        <f>COUNT(E896:Q896)</f>
        <v/>
      </c>
    </row>
    <row r="897">
      <c r="A897" s="13" t="inlineStr">
        <is>
          <t>63e0c5395cc64</t>
        </is>
      </c>
      <c r="B897" s="13" t="inlineStr">
        <is>
          <t>PULSERA LOVE CON ZIRCONIA ROSE GOLD</t>
        </is>
      </c>
      <c r="C897" s="13" t="inlineStr">
        <is>
          <t>17 cm</t>
        </is>
      </c>
      <c r="D897" s="14" t="inlineStr">
        <is>
          <t>Stainless Stee</t>
        </is>
      </c>
      <c r="E897" s="13" t="n"/>
      <c r="F897" s="13" t="n"/>
      <c r="G897" s="13" t="n"/>
      <c r="H897" s="13" t="n"/>
      <c r="I897" s="15" t="n">
        <v>4.5</v>
      </c>
      <c r="J897" s="13" t="n"/>
      <c r="K897" s="13" t="n"/>
      <c r="L897" s="13" t="n"/>
      <c r="M897" s="13" t="n"/>
      <c r="N897" s="13" t="n"/>
      <c r="O897" s="15" t="n">
        <v>4.5</v>
      </c>
      <c r="P897" s="13" t="n"/>
      <c r="Q897" s="13" t="n"/>
      <c r="R897" s="16">
        <f>IF(COUNT(E897:Q897)=0,"",MIN(E897:Q897))</f>
        <v/>
      </c>
      <c r="S897" s="15">
        <f>IF(COUNT(E897:Q897)=0,"",LOOKUP(2,1/(E897:Q897&lt;&gt;""),E897:Q897))</f>
        <v/>
      </c>
      <c r="T897" s="17">
        <f>IF(R897="","",ROUND(R897*RESUMEN!$B$4,0))</f>
        <v/>
      </c>
      <c r="U897" s="18">
        <f>COUNT(E897:Q897)</f>
        <v/>
      </c>
    </row>
    <row r="898">
      <c r="A898" s="13" t="inlineStr">
        <is>
          <t>63e0c53f88fe1</t>
        </is>
      </c>
      <c r="B898" s="13" t="inlineStr">
        <is>
          <t>PULSERA LOVE CON ZIRCONIA SILVER</t>
        </is>
      </c>
      <c r="C898" s="13" t="inlineStr">
        <is>
          <t>19 cm</t>
        </is>
      </c>
      <c r="D898" s="14" t="inlineStr">
        <is>
          <t>stainless stee</t>
        </is>
      </c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5" t="n">
        <v>4.5</v>
      </c>
      <c r="R898" s="16">
        <f>IF(COUNT(E898:Q898)=0,"",MIN(E898:Q898))</f>
        <v/>
      </c>
      <c r="S898" s="15">
        <f>IF(COUNT(E898:Q898)=0,"",LOOKUP(2,1/(E898:Q898&lt;&gt;""),E898:Q898))</f>
        <v/>
      </c>
      <c r="T898" s="17">
        <f>IF(R898="","",ROUND(R898*RESUMEN!$B$4,0))</f>
        <v/>
      </c>
      <c r="U898" s="18">
        <f>COUNT(E898:Q898)</f>
        <v/>
      </c>
    </row>
    <row r="899">
      <c r="A899" s="13" t="inlineStr">
        <is>
          <t>63e0c54172948</t>
        </is>
      </c>
      <c r="B899" s="13" t="inlineStr">
        <is>
          <t>PULSERA LOVE CON ZIRCONIA SILVER</t>
        </is>
      </c>
      <c r="C899" s="13" t="inlineStr">
        <is>
          <t>21 cm</t>
        </is>
      </c>
      <c r="D899" s="14" t="inlineStr">
        <is>
          <t>Stainless stee</t>
        </is>
      </c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5" t="n">
        <v>4.5</v>
      </c>
      <c r="O899" s="13" t="n"/>
      <c r="P899" s="13" t="n"/>
      <c r="Q899" s="13" t="n"/>
      <c r="R899" s="16">
        <f>IF(COUNT(E899:Q899)=0,"",MIN(E899:Q899))</f>
        <v/>
      </c>
      <c r="S899" s="15">
        <f>IF(COUNT(E899:Q899)=0,"",LOOKUP(2,1/(E899:Q899&lt;&gt;""),E899:Q899))</f>
        <v/>
      </c>
      <c r="T899" s="17">
        <f>IF(R899="","",ROUND(R899*RESUMEN!$B$4,0))</f>
        <v/>
      </c>
      <c r="U899" s="18">
        <f>COUNT(E899:Q899)</f>
        <v/>
      </c>
    </row>
    <row r="900">
      <c r="A900" s="13" t="inlineStr">
        <is>
          <t>79274691076205</t>
        </is>
      </c>
      <c r="B900" s="13" t="inlineStr">
        <is>
          <t>PULSERA LOVE DELGADA GOLD</t>
        </is>
      </c>
      <c r="C900" s="13" t="inlineStr">
        <is>
          <t>16cm</t>
        </is>
      </c>
      <c r="D900" s="14" t="inlineStr">
        <is>
          <t>Stainless Stee</t>
        </is>
      </c>
      <c r="E900" s="15" t="n">
        <v>5</v>
      </c>
      <c r="F900" s="13" t="n"/>
      <c r="G900" s="13" t="n"/>
      <c r="H900" s="15" t="n">
        <v>5</v>
      </c>
      <c r="I900" s="15" t="n">
        <v>4.5</v>
      </c>
      <c r="J900" s="13" t="n"/>
      <c r="K900" s="13" t="n"/>
      <c r="L900" s="15" t="n">
        <v>5</v>
      </c>
      <c r="M900" s="15" t="n">
        <v>5</v>
      </c>
      <c r="N900" s="15" t="n">
        <v>4.5</v>
      </c>
      <c r="O900" s="13" t="n"/>
      <c r="P900" s="15" t="n">
        <v>5</v>
      </c>
      <c r="Q900" s="13" t="n"/>
      <c r="R900" s="16">
        <f>IF(COUNT(E900:Q900)=0,"",MIN(E900:Q900))</f>
        <v/>
      </c>
      <c r="S900" s="15">
        <f>IF(COUNT(E900:Q900)=0,"",LOOKUP(2,1/(E900:Q900&lt;&gt;""),E900:Q900))</f>
        <v/>
      </c>
      <c r="T900" s="17">
        <f>IF(R900="","",ROUND(R900*RESUMEN!$B$4,0))</f>
        <v/>
      </c>
      <c r="U900" s="18">
        <f>COUNT(E900:Q900)</f>
        <v/>
      </c>
    </row>
    <row r="901">
      <c r="A901" s="13" t="inlineStr">
        <is>
          <t>79274691108973</t>
        </is>
      </c>
      <c r="B901" s="13" t="inlineStr">
        <is>
          <t>PULSERA LOVE DELGADA GOLD</t>
        </is>
      </c>
      <c r="C901" s="13" t="inlineStr">
        <is>
          <t>17cm</t>
        </is>
      </c>
      <c r="D901" s="14" t="inlineStr">
        <is>
          <t>Stainless Stee</t>
        </is>
      </c>
      <c r="E901" s="15" t="n">
        <v>5</v>
      </c>
      <c r="F901" s="13" t="n"/>
      <c r="G901" s="13" t="n"/>
      <c r="H901" s="15" t="n">
        <v>5</v>
      </c>
      <c r="I901" s="15" t="n">
        <v>4.5</v>
      </c>
      <c r="J901" s="13" t="n"/>
      <c r="K901" s="13" t="n"/>
      <c r="L901" s="13" t="n"/>
      <c r="M901" s="13" t="n"/>
      <c r="N901" s="15" t="n">
        <v>4.5</v>
      </c>
      <c r="O901" s="13" t="n"/>
      <c r="P901" s="15" t="n">
        <v>5</v>
      </c>
      <c r="Q901" s="13" t="n"/>
      <c r="R901" s="16">
        <f>IF(COUNT(E901:Q901)=0,"",MIN(E901:Q901))</f>
        <v/>
      </c>
      <c r="S901" s="15">
        <f>IF(COUNT(E901:Q901)=0,"",LOOKUP(2,1/(E901:Q901&lt;&gt;""),E901:Q901))</f>
        <v/>
      </c>
      <c r="T901" s="17">
        <f>IF(R901="","",ROUND(R901*RESUMEN!$B$4,0))</f>
        <v/>
      </c>
      <c r="U901" s="18">
        <f>COUNT(E901:Q901)</f>
        <v/>
      </c>
    </row>
    <row r="902">
      <c r="A902" s="13" t="inlineStr">
        <is>
          <t>79274691241741</t>
        </is>
      </c>
      <c r="B902" s="13" t="inlineStr">
        <is>
          <t>PULSERA LOVE DELGADA GOLD</t>
        </is>
      </c>
      <c r="C902" s="13" t="inlineStr">
        <is>
          <t>18cm</t>
        </is>
      </c>
      <c r="D902" s="14" t="inlineStr">
        <is>
          <t>Stainless Stee</t>
        </is>
      </c>
      <c r="E902" s="13" t="n"/>
      <c r="F902" s="15" t="n">
        <v>5</v>
      </c>
      <c r="G902" s="13" t="n"/>
      <c r="H902" s="13" t="n"/>
      <c r="I902" s="13" t="n"/>
      <c r="J902" s="13" t="n"/>
      <c r="K902" s="13" t="n"/>
      <c r="L902" s="15" t="n">
        <v>5</v>
      </c>
      <c r="M902" s="13" t="n"/>
      <c r="N902" s="13" t="n"/>
      <c r="O902" s="15" t="n">
        <v>5</v>
      </c>
      <c r="P902" s="15" t="n">
        <v>5</v>
      </c>
      <c r="Q902" s="13" t="n"/>
      <c r="R902" s="16">
        <f>IF(COUNT(E902:Q902)=0,"",MIN(E902:Q902))</f>
        <v/>
      </c>
      <c r="S902" s="15">
        <f>IF(COUNT(E902:Q902)=0,"",LOOKUP(2,1/(E902:Q902&lt;&gt;""),E902:Q902))</f>
        <v/>
      </c>
      <c r="T902" s="17">
        <f>IF(R902="","",ROUND(R902*RESUMEN!$B$4,0))</f>
        <v/>
      </c>
      <c r="U902" s="18">
        <f>COUNT(E902:Q902)</f>
        <v/>
      </c>
    </row>
    <row r="903">
      <c r="A903" s="13" t="inlineStr">
        <is>
          <t>79274691374509</t>
        </is>
      </c>
      <c r="B903" s="13" t="inlineStr">
        <is>
          <t>PULSERA LOVE DELGADA GOLD</t>
        </is>
      </c>
      <c r="C903" s="13" t="inlineStr">
        <is>
          <t>19cm</t>
        </is>
      </c>
      <c r="D903" s="14" t="inlineStr">
        <is>
          <t>Stainless Stee</t>
        </is>
      </c>
      <c r="E903" s="13" t="n"/>
      <c r="F903" s="13" t="n"/>
      <c r="G903" s="13" t="n"/>
      <c r="H903" s="15" t="n">
        <v>5</v>
      </c>
      <c r="I903" s="15" t="n">
        <v>4.5</v>
      </c>
      <c r="J903" s="13" t="n"/>
      <c r="K903" s="13" t="n"/>
      <c r="L903" s="13" t="n"/>
      <c r="M903" s="15" t="n">
        <v>5</v>
      </c>
      <c r="N903" s="13" t="n"/>
      <c r="O903" s="15" t="n">
        <v>5</v>
      </c>
      <c r="P903" s="13" t="n"/>
      <c r="Q903" s="13" t="n"/>
      <c r="R903" s="16">
        <f>IF(COUNT(E903:Q903)=0,"",MIN(E903:Q903))</f>
        <v/>
      </c>
      <c r="S903" s="15">
        <f>IF(COUNT(E903:Q903)=0,"",LOOKUP(2,1/(E903:Q903&lt;&gt;""),E903:Q903))</f>
        <v/>
      </c>
      <c r="T903" s="17">
        <f>IF(R903="","",ROUND(R903*RESUMEN!$B$4,0))</f>
        <v/>
      </c>
      <c r="U903" s="18">
        <f>COUNT(E903:Q903)</f>
        <v/>
      </c>
    </row>
    <row r="904">
      <c r="A904" s="13" t="inlineStr">
        <is>
          <t>63ebdf98523b4</t>
        </is>
      </c>
      <c r="B904" s="13" t="inlineStr">
        <is>
          <t>PULSERA LOVE DELGADA GOLD CON MICRO ZIRCONIAS</t>
        </is>
      </c>
      <c r="C904" s="13" t="inlineStr">
        <is>
          <t>16 cm</t>
        </is>
      </c>
      <c r="D904" s="14" t="inlineStr">
        <is>
          <t>Stainless Stee</t>
        </is>
      </c>
      <c r="E904" s="13" t="n"/>
      <c r="F904" s="13" t="n"/>
      <c r="G904" s="13" t="n"/>
      <c r="H904" s="15" t="n">
        <v>13</v>
      </c>
      <c r="I904" s="13" t="n"/>
      <c r="J904" s="13" t="n"/>
      <c r="K904" s="13" t="n"/>
      <c r="L904" s="13" t="n"/>
      <c r="M904" s="13" t="n"/>
      <c r="N904" s="15" t="n">
        <v>13</v>
      </c>
      <c r="O904" s="15" t="n">
        <v>13</v>
      </c>
      <c r="P904" s="13" t="n"/>
      <c r="Q904" s="15" t="n">
        <v>13</v>
      </c>
      <c r="R904" s="16">
        <f>IF(COUNT(E904:Q904)=0,"",MIN(E904:Q904))</f>
        <v/>
      </c>
      <c r="S904" s="15">
        <f>IF(COUNT(E904:Q904)=0,"",LOOKUP(2,1/(E904:Q904&lt;&gt;""),E904:Q904))</f>
        <v/>
      </c>
      <c r="T904" s="17">
        <f>IF(R904="","",ROUND(R904*RESUMEN!$B$4,0))</f>
        <v/>
      </c>
      <c r="U904" s="18">
        <f>COUNT(E904:Q904)</f>
        <v/>
      </c>
    </row>
    <row r="905">
      <c r="A905" s="13" t="inlineStr">
        <is>
          <t>63ebdf992a2c6</t>
        </is>
      </c>
      <c r="B905" s="13" t="inlineStr">
        <is>
          <t>PULSERA LOVE DELGADA GOLD CON MICRO ZIRCONIAS</t>
        </is>
      </c>
      <c r="C905" s="13" t="inlineStr">
        <is>
          <t>17cm</t>
        </is>
      </c>
      <c r="D905" s="14" t="inlineStr">
        <is>
          <t>Stainless Stee</t>
        </is>
      </c>
      <c r="E905" s="13" t="n"/>
      <c r="F905" s="13" t="n"/>
      <c r="G905" s="13" t="n"/>
      <c r="H905" s="13" t="n"/>
      <c r="I905" s="15" t="n">
        <v>13</v>
      </c>
      <c r="J905" s="13" t="n"/>
      <c r="K905" s="13" t="n"/>
      <c r="L905" s="13" t="n"/>
      <c r="M905" s="13" t="n"/>
      <c r="N905" s="13" t="n"/>
      <c r="O905" s="13" t="n"/>
      <c r="P905" s="13" t="n"/>
      <c r="Q905" s="15" t="n">
        <v>13</v>
      </c>
      <c r="R905" s="16">
        <f>IF(COUNT(E905:Q905)=0,"",MIN(E905:Q905))</f>
        <v/>
      </c>
      <c r="S905" s="15">
        <f>IF(COUNT(E905:Q905)=0,"",LOOKUP(2,1/(E905:Q905&lt;&gt;""),E905:Q905))</f>
        <v/>
      </c>
      <c r="T905" s="17">
        <f>IF(R905="","",ROUND(R905*RESUMEN!$B$4,0))</f>
        <v/>
      </c>
      <c r="U905" s="18">
        <f>COUNT(E905:Q905)</f>
        <v/>
      </c>
    </row>
    <row r="906">
      <c r="A906" s="13" t="inlineStr">
        <is>
          <t>63ebdf99e880b</t>
        </is>
      </c>
      <c r="B906" s="13" t="inlineStr">
        <is>
          <t>PULSERA LOVE DELGADA GOLD CON MICRO ZIRCONIAS</t>
        </is>
      </c>
      <c r="C906" s="13" t="inlineStr">
        <is>
          <t>18 cm</t>
        </is>
      </c>
      <c r="D906" s="14" t="inlineStr"/>
      <c r="E906" s="13" t="n"/>
      <c r="F906" s="13" t="n"/>
      <c r="G906" s="13" t="n"/>
      <c r="H906" s="15" t="n">
        <v>13</v>
      </c>
      <c r="I906" s="15" t="n">
        <v>13</v>
      </c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6">
        <f>IF(COUNT(E906:Q906)=0,"",MIN(E906:Q906))</f>
        <v/>
      </c>
      <c r="S906" s="15">
        <f>IF(COUNT(E906:Q906)=0,"",LOOKUP(2,1/(E906:Q906&lt;&gt;""),E906:Q906))</f>
        <v/>
      </c>
      <c r="T906" s="17">
        <f>IF(R906="","",ROUND(R906*RESUMEN!$B$4,0))</f>
        <v/>
      </c>
      <c r="U906" s="18">
        <f>COUNT(E906:Q906)</f>
        <v/>
      </c>
    </row>
    <row r="907">
      <c r="A907" s="13" t="inlineStr">
        <is>
          <t>63ebdf9ac3082</t>
        </is>
      </c>
      <c r="B907" s="13" t="inlineStr">
        <is>
          <t>PULSERA LOVE DELGADA GOLD CON MICRO ZIRCONIAS</t>
        </is>
      </c>
      <c r="C907" s="13" t="inlineStr">
        <is>
          <t>19 cm</t>
        </is>
      </c>
      <c r="D907" s="14" t="inlineStr"/>
      <c r="E907" s="13" t="n"/>
      <c r="F907" s="13" t="n"/>
      <c r="G907" s="13" t="n"/>
      <c r="H907" s="15" t="n">
        <v>13</v>
      </c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6">
        <f>IF(COUNT(E907:Q907)=0,"",MIN(E907:Q907))</f>
        <v/>
      </c>
      <c r="S907" s="15">
        <f>IF(COUNT(E907:Q907)=0,"",LOOKUP(2,1/(E907:Q907&lt;&gt;""),E907:Q907))</f>
        <v/>
      </c>
      <c r="T907" s="17">
        <f>IF(R907="","",ROUND(R907*RESUMEN!$B$4,0))</f>
        <v/>
      </c>
      <c r="U907" s="18">
        <f>COUNT(E907:Q907)</f>
        <v/>
      </c>
    </row>
    <row r="908">
      <c r="A908" s="13" t="inlineStr">
        <is>
          <t>63ebdf9b7c339</t>
        </is>
      </c>
      <c r="B908" s="13" t="inlineStr">
        <is>
          <t>PULSERA LOVE DELGADA GOLD CON MICRO ZIRCONIAS</t>
        </is>
      </c>
      <c r="C908" s="13" t="inlineStr">
        <is>
          <t>20 cm</t>
        </is>
      </c>
      <c r="D908" s="14" t="inlineStr">
        <is>
          <t>Stainless stee</t>
        </is>
      </c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5" t="n">
        <v>13</v>
      </c>
      <c r="N908" s="13" t="n"/>
      <c r="O908" s="13" t="n"/>
      <c r="P908" s="13" t="n"/>
      <c r="Q908" s="13" t="n"/>
      <c r="R908" s="16">
        <f>IF(COUNT(E908:Q908)=0,"",MIN(E908:Q908))</f>
        <v/>
      </c>
      <c r="S908" s="15">
        <f>IF(COUNT(E908:Q908)=0,"",LOOKUP(2,1/(E908:Q908&lt;&gt;""),E908:Q908))</f>
        <v/>
      </c>
      <c r="T908" s="17">
        <f>IF(R908="","",ROUND(R908*RESUMEN!$B$4,0))</f>
        <v/>
      </c>
      <c r="U908" s="18">
        <f>COUNT(E908:Q908)</f>
        <v/>
      </c>
    </row>
    <row r="909">
      <c r="A909" s="13" t="inlineStr">
        <is>
          <t>63e0c58ca26ac</t>
        </is>
      </c>
      <c r="B909" s="13" t="inlineStr">
        <is>
          <t>PULSERA LOVE DELGADA ROSE GOLD</t>
        </is>
      </c>
      <c r="C909" s="13" t="inlineStr">
        <is>
          <t>16 cm</t>
        </is>
      </c>
      <c r="D909" s="14" t="inlineStr">
        <is>
          <t>Stainless Stee</t>
        </is>
      </c>
      <c r="E909" s="15" t="n">
        <v>5</v>
      </c>
      <c r="F909" s="13" t="n"/>
      <c r="G909" s="13" t="n"/>
      <c r="H909" s="15" t="n">
        <v>5</v>
      </c>
      <c r="I909" s="15" t="n">
        <v>4.5</v>
      </c>
      <c r="J909" s="13" t="n"/>
      <c r="K909" s="13" t="n"/>
      <c r="L909" s="15" t="n">
        <v>5</v>
      </c>
      <c r="M909" s="15" t="n">
        <v>5</v>
      </c>
      <c r="N909" s="13" t="n"/>
      <c r="O909" s="15" t="n">
        <v>5</v>
      </c>
      <c r="P909" s="15" t="n">
        <v>5</v>
      </c>
      <c r="Q909" s="13" t="n"/>
      <c r="R909" s="16">
        <f>IF(COUNT(E909:Q909)=0,"",MIN(E909:Q909))</f>
        <v/>
      </c>
      <c r="S909" s="15">
        <f>IF(COUNT(E909:Q909)=0,"",LOOKUP(2,1/(E909:Q909&lt;&gt;""),E909:Q909))</f>
        <v/>
      </c>
      <c r="T909" s="17">
        <f>IF(R909="","",ROUND(R909*RESUMEN!$B$4,0))</f>
        <v/>
      </c>
      <c r="U909" s="18">
        <f>COUNT(E909:Q909)</f>
        <v/>
      </c>
    </row>
    <row r="910">
      <c r="A910" s="13" t="inlineStr">
        <is>
          <t>63e0c58da8cda</t>
        </is>
      </c>
      <c r="B910" s="13" t="inlineStr">
        <is>
          <t>PULSERA LOVE DELGADA ROSE GOLD</t>
        </is>
      </c>
      <c r="C910" s="13" t="inlineStr">
        <is>
          <t>17cm</t>
        </is>
      </c>
      <c r="D910" s="14" t="inlineStr">
        <is>
          <t>Stainless Stee</t>
        </is>
      </c>
      <c r="E910" s="13" t="n"/>
      <c r="F910" s="15" t="n">
        <v>5</v>
      </c>
      <c r="G910" s="13" t="n"/>
      <c r="H910" s="13" t="n"/>
      <c r="I910" s="13" t="n"/>
      <c r="J910" s="13" t="n"/>
      <c r="K910" s="13" t="n"/>
      <c r="L910" s="13" t="n"/>
      <c r="M910" s="15" t="n">
        <v>5</v>
      </c>
      <c r="N910" s="13" t="n"/>
      <c r="O910" s="13" t="n"/>
      <c r="P910" s="13" t="n"/>
      <c r="Q910" s="15" t="n">
        <v>5</v>
      </c>
      <c r="R910" s="16">
        <f>IF(COUNT(E910:Q910)=0,"",MIN(E910:Q910))</f>
        <v/>
      </c>
      <c r="S910" s="15">
        <f>IF(COUNT(E910:Q910)=0,"",LOOKUP(2,1/(E910:Q910&lt;&gt;""),E910:Q910))</f>
        <v/>
      </c>
      <c r="T910" s="17">
        <f>IF(R910="","",ROUND(R910*RESUMEN!$B$4,0))</f>
        <v/>
      </c>
      <c r="U910" s="18">
        <f>COUNT(E910:Q910)</f>
        <v/>
      </c>
    </row>
    <row r="911">
      <c r="A911" s="13" t="inlineStr">
        <is>
          <t>63e0c58e84d6e</t>
        </is>
      </c>
      <c r="B911" s="13" t="inlineStr">
        <is>
          <t>PULSERA LOVE DELGADA ROSE GOLD</t>
        </is>
      </c>
      <c r="C911" s="13" t="inlineStr">
        <is>
          <t>18 cm</t>
        </is>
      </c>
      <c r="D911" s="14" t="inlineStr">
        <is>
          <t>Stainless Stee</t>
        </is>
      </c>
      <c r="E911" s="13" t="n"/>
      <c r="F911" s="13" t="n"/>
      <c r="G911" s="13" t="n"/>
      <c r="H911" s="15" t="n">
        <v>5</v>
      </c>
      <c r="I911" s="15" t="n">
        <v>4.5</v>
      </c>
      <c r="J911" s="13" t="n"/>
      <c r="K911" s="13" t="n"/>
      <c r="L911" s="13" t="n"/>
      <c r="M911" s="13" t="n"/>
      <c r="N911" s="15" t="n">
        <v>4.5</v>
      </c>
      <c r="O911" s="13" t="n"/>
      <c r="P911" s="15" t="n">
        <v>5</v>
      </c>
      <c r="Q911" s="13" t="n"/>
      <c r="R911" s="16">
        <f>IF(COUNT(E911:Q911)=0,"",MIN(E911:Q911))</f>
        <v/>
      </c>
      <c r="S911" s="15">
        <f>IF(COUNT(E911:Q911)=0,"",LOOKUP(2,1/(E911:Q911&lt;&gt;""),E911:Q911))</f>
        <v/>
      </c>
      <c r="T911" s="17">
        <f>IF(R911="","",ROUND(R911*RESUMEN!$B$4,0))</f>
        <v/>
      </c>
      <c r="U911" s="18">
        <f>COUNT(E911:Q911)</f>
        <v/>
      </c>
    </row>
    <row r="912">
      <c r="A912" s="13" t="inlineStr">
        <is>
          <t>63e0c58f999f5</t>
        </is>
      </c>
      <c r="B912" s="13" t="inlineStr">
        <is>
          <t>PULSERA LOVE DELGADA ROSE GOLD</t>
        </is>
      </c>
      <c r="C912" s="13" t="inlineStr">
        <is>
          <t>19 cm</t>
        </is>
      </c>
      <c r="D912" s="14" t="inlineStr"/>
      <c r="E912" s="13" t="n"/>
      <c r="F912" s="13" t="n"/>
      <c r="G912" s="13" t="n"/>
      <c r="H912" s="15" t="n">
        <v>5</v>
      </c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6">
        <f>IF(COUNT(E912:Q912)=0,"",MIN(E912:Q912))</f>
        <v/>
      </c>
      <c r="S912" s="15">
        <f>IF(COUNT(E912:Q912)=0,"",LOOKUP(2,1/(E912:Q912&lt;&gt;""),E912:Q912))</f>
        <v/>
      </c>
      <c r="T912" s="17">
        <f>IF(R912="","",ROUND(R912*RESUMEN!$B$4,0))</f>
        <v/>
      </c>
      <c r="U912" s="18">
        <f>COUNT(E912:Q912)</f>
        <v/>
      </c>
    </row>
    <row r="913">
      <c r="A913" s="13" t="inlineStr">
        <is>
          <t>77724991007277</t>
        </is>
      </c>
      <c r="B913" s="13" t="inlineStr">
        <is>
          <t>PULSERA LOVE DELGADA SILVER</t>
        </is>
      </c>
      <c r="C913" s="13" t="inlineStr">
        <is>
          <t>16cm</t>
        </is>
      </c>
      <c r="D913" s="14" t="inlineStr">
        <is>
          <t>Stainless Stee</t>
        </is>
      </c>
      <c r="E913" s="15" t="n">
        <v>5</v>
      </c>
      <c r="F913" s="13" t="n"/>
      <c r="G913" s="13" t="n"/>
      <c r="H913" s="15" t="n">
        <v>5</v>
      </c>
      <c r="I913" s="15" t="n">
        <v>4.5</v>
      </c>
      <c r="J913" s="13" t="n"/>
      <c r="K913" s="13" t="n"/>
      <c r="L913" s="15" t="n">
        <v>5</v>
      </c>
      <c r="M913" s="15" t="n">
        <v>5</v>
      </c>
      <c r="N913" s="15" t="n">
        <v>4.5</v>
      </c>
      <c r="O913" s="13" t="n"/>
      <c r="P913" s="15" t="n">
        <v>5</v>
      </c>
      <c r="Q913" s="13" t="n"/>
      <c r="R913" s="16">
        <f>IF(COUNT(E913:Q913)=0,"",MIN(E913:Q913))</f>
        <v/>
      </c>
      <c r="S913" s="15">
        <f>IF(COUNT(E913:Q913)=0,"",LOOKUP(2,1/(E913:Q913&lt;&gt;""),E913:Q913))</f>
        <v/>
      </c>
      <c r="T913" s="17">
        <f>IF(R913="","",ROUND(R913*RESUMEN!$B$4,0))</f>
        <v/>
      </c>
      <c r="U913" s="18">
        <f>COUNT(E913:Q913)</f>
        <v/>
      </c>
    </row>
    <row r="914">
      <c r="A914" s="13" t="inlineStr">
        <is>
          <t>77724991140045</t>
        </is>
      </c>
      <c r="B914" s="13" t="inlineStr">
        <is>
          <t>PULSERA LOVE DELGADA SILVER</t>
        </is>
      </c>
      <c r="C914" s="13" t="inlineStr">
        <is>
          <t>17cm</t>
        </is>
      </c>
      <c r="D914" s="14" t="inlineStr">
        <is>
          <t>Stainless Stee</t>
        </is>
      </c>
      <c r="E914" s="13" t="n"/>
      <c r="F914" s="13" t="n"/>
      <c r="G914" s="13" t="n"/>
      <c r="H914" s="13" t="n"/>
      <c r="I914" s="15" t="n">
        <v>4.5</v>
      </c>
      <c r="J914" s="15" t="n">
        <v>5</v>
      </c>
      <c r="K914" s="13" t="n"/>
      <c r="L914" s="15" t="n">
        <v>5</v>
      </c>
      <c r="M914" s="13" t="n"/>
      <c r="N914" s="15" t="n">
        <v>4.5</v>
      </c>
      <c r="O914" s="13" t="n"/>
      <c r="P914" s="13" t="n"/>
      <c r="Q914" s="15" t="n">
        <v>5</v>
      </c>
      <c r="R914" s="16">
        <f>IF(COUNT(E914:Q914)=0,"",MIN(E914:Q914))</f>
        <v/>
      </c>
      <c r="S914" s="15">
        <f>IF(COUNT(E914:Q914)=0,"",LOOKUP(2,1/(E914:Q914&lt;&gt;""),E914:Q914))</f>
        <v/>
      </c>
      <c r="T914" s="17">
        <f>IF(R914="","",ROUND(R914*RESUMEN!$B$4,0))</f>
        <v/>
      </c>
      <c r="U914" s="18">
        <f>COUNT(E914:Q914)</f>
        <v/>
      </c>
    </row>
    <row r="915">
      <c r="A915" s="13" t="inlineStr">
        <is>
          <t>77724991272813</t>
        </is>
      </c>
      <c r="B915" s="13" t="inlineStr">
        <is>
          <t>PULSERA LOVE DELGADA SILVER</t>
        </is>
      </c>
      <c r="C915" s="13" t="inlineStr">
        <is>
          <t>18cm</t>
        </is>
      </c>
      <c r="D915" s="14" t="inlineStr">
        <is>
          <t>Stainless Stee</t>
        </is>
      </c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5" t="n">
        <v>5</v>
      </c>
      <c r="P915" s="15" t="n">
        <v>5</v>
      </c>
      <c r="Q915" s="13" t="n"/>
      <c r="R915" s="16">
        <f>IF(COUNT(E915:Q915)=0,"",MIN(E915:Q915))</f>
        <v/>
      </c>
      <c r="S915" s="15">
        <f>IF(COUNT(E915:Q915)=0,"",LOOKUP(2,1/(E915:Q915&lt;&gt;""),E915:Q915))</f>
        <v/>
      </c>
      <c r="T915" s="17">
        <f>IF(R915="","",ROUND(R915*RESUMEN!$B$4,0))</f>
        <v/>
      </c>
      <c r="U915" s="18">
        <f>COUNT(E915:Q915)</f>
        <v/>
      </c>
    </row>
    <row r="916">
      <c r="A916" s="13" t="inlineStr">
        <is>
          <t>77724991305581</t>
        </is>
      </c>
      <c r="B916" s="13" t="inlineStr">
        <is>
          <t>PULSERA LOVE DELGADA SILVER</t>
        </is>
      </c>
      <c r="C916" s="13" t="inlineStr">
        <is>
          <t>19cm</t>
        </is>
      </c>
      <c r="D916" s="14" t="inlineStr">
        <is>
          <t>Stainless Stee</t>
        </is>
      </c>
      <c r="E916" s="13" t="n"/>
      <c r="F916" s="13" t="n"/>
      <c r="G916" s="13" t="n"/>
      <c r="H916" s="15" t="n">
        <v>5</v>
      </c>
      <c r="I916" s="15" t="n">
        <v>4.5</v>
      </c>
      <c r="J916" s="13" t="n"/>
      <c r="K916" s="13" t="n"/>
      <c r="L916" s="13" t="n"/>
      <c r="M916" s="15" t="n">
        <v>5</v>
      </c>
      <c r="N916" s="13" t="n"/>
      <c r="O916" s="15" t="n">
        <v>5</v>
      </c>
      <c r="P916" s="13" t="n"/>
      <c r="Q916" s="15" t="n">
        <v>5</v>
      </c>
      <c r="R916" s="16">
        <f>IF(COUNT(E916:Q916)=0,"",MIN(E916:Q916))</f>
        <v/>
      </c>
      <c r="S916" s="15">
        <f>IF(COUNT(E916:Q916)=0,"",LOOKUP(2,1/(E916:Q916&lt;&gt;""),E916:Q916))</f>
        <v/>
      </c>
      <c r="T916" s="17">
        <f>IF(R916="","",ROUND(R916*RESUMEN!$B$4,0))</f>
        <v/>
      </c>
      <c r="U916" s="18">
        <f>COUNT(E916:Q916)</f>
        <v/>
      </c>
    </row>
    <row r="917">
      <c r="A917" s="13" t="inlineStr">
        <is>
          <t>63ebdf24125c5</t>
        </is>
      </c>
      <c r="B917" s="13" t="inlineStr">
        <is>
          <t>PULSERA LOVE DELGADA SILVER CON MICRO ZIRCONIAS</t>
        </is>
      </c>
      <c r="C917" s="13" t="inlineStr">
        <is>
          <t>16 cm</t>
        </is>
      </c>
      <c r="D917" s="14" t="inlineStr"/>
      <c r="E917" s="13" t="n"/>
      <c r="F917" s="13" t="n"/>
      <c r="G917" s="13" t="n"/>
      <c r="H917" s="15" t="n">
        <v>13</v>
      </c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6">
        <f>IF(COUNT(E917:Q917)=0,"",MIN(E917:Q917))</f>
        <v/>
      </c>
      <c r="S917" s="15">
        <f>IF(COUNT(E917:Q917)=0,"",LOOKUP(2,1/(E917:Q917&lt;&gt;""),E917:Q917))</f>
        <v/>
      </c>
      <c r="T917" s="17">
        <f>IF(R917="","",ROUND(R917*RESUMEN!$B$4,0))</f>
        <v/>
      </c>
      <c r="U917" s="18">
        <f>COUNT(E917:Q917)</f>
        <v/>
      </c>
    </row>
    <row r="918">
      <c r="A918" s="13" t="inlineStr">
        <is>
          <t>663528bd8c9d8</t>
        </is>
      </c>
      <c r="B918" s="13" t="inlineStr">
        <is>
          <t>PULSERA LOVE DELGADA SILVER CON MICRO ZIRCONIAS</t>
        </is>
      </c>
      <c r="C918" s="13" t="inlineStr">
        <is>
          <t>17 cm</t>
        </is>
      </c>
      <c r="D918" s="14" t="inlineStr">
        <is>
          <t>Stainless Stee</t>
        </is>
      </c>
      <c r="E918" s="13" t="n"/>
      <c r="F918" s="13" t="n"/>
      <c r="G918" s="13" t="n"/>
      <c r="H918" s="13" t="n"/>
      <c r="I918" s="15" t="n">
        <v>13</v>
      </c>
      <c r="J918" s="13" t="n"/>
      <c r="K918" s="13" t="n"/>
      <c r="L918" s="13" t="n"/>
      <c r="M918" s="13" t="n"/>
      <c r="N918" s="13" t="n"/>
      <c r="O918" s="13" t="n"/>
      <c r="P918" s="15" t="n">
        <v>13</v>
      </c>
      <c r="Q918" s="13" t="n"/>
      <c r="R918" s="16">
        <f>IF(COUNT(E918:Q918)=0,"",MIN(E918:Q918))</f>
        <v/>
      </c>
      <c r="S918" s="15">
        <f>IF(COUNT(E918:Q918)=0,"",LOOKUP(2,1/(E918:Q918&lt;&gt;""),E918:Q918))</f>
        <v/>
      </c>
      <c r="T918" s="17">
        <f>IF(R918="","",ROUND(R918*RESUMEN!$B$4,0))</f>
        <v/>
      </c>
      <c r="U918" s="18">
        <f>COUNT(E918:Q918)</f>
        <v/>
      </c>
    </row>
    <row r="919">
      <c r="A919" s="13" t="inlineStr">
        <is>
          <t>63ebdf2503ebb</t>
        </is>
      </c>
      <c r="B919" s="13" t="inlineStr">
        <is>
          <t>PULSERA LOVE DELGADA SILVER CON MICRO ZIRCONIAS</t>
        </is>
      </c>
      <c r="C919" s="13" t="inlineStr">
        <is>
          <t>18 cm</t>
        </is>
      </c>
      <c r="D919" s="14" t="inlineStr">
        <is>
          <t>Stainless Stee</t>
        </is>
      </c>
      <c r="E919" s="13" t="n"/>
      <c r="F919" s="13" t="n"/>
      <c r="G919" s="13" t="n"/>
      <c r="H919" s="13" t="n"/>
      <c r="I919" s="15" t="n">
        <v>13</v>
      </c>
      <c r="J919" s="13" t="n"/>
      <c r="K919" s="13" t="n"/>
      <c r="L919" s="13" t="n"/>
      <c r="M919" s="15" t="n">
        <v>13</v>
      </c>
      <c r="N919" s="13" t="n"/>
      <c r="O919" s="13" t="n"/>
      <c r="P919" s="15" t="n">
        <v>13</v>
      </c>
      <c r="Q919" s="13" t="n"/>
      <c r="R919" s="16">
        <f>IF(COUNT(E919:Q919)=0,"",MIN(E919:Q919))</f>
        <v/>
      </c>
      <c r="S919" s="15">
        <f>IF(COUNT(E919:Q919)=0,"",LOOKUP(2,1/(E919:Q919&lt;&gt;""),E919:Q919))</f>
        <v/>
      </c>
      <c r="T919" s="17">
        <f>IF(R919="","",ROUND(R919*RESUMEN!$B$4,0))</f>
        <v/>
      </c>
      <c r="U919" s="18">
        <f>COUNT(E919:Q919)</f>
        <v/>
      </c>
    </row>
    <row r="920">
      <c r="A920" s="13" t="inlineStr">
        <is>
          <t>63ebdf25cba1e</t>
        </is>
      </c>
      <c r="B920" s="13" t="inlineStr">
        <is>
          <t>PULSERA LOVE DELGADA SILVER CON MICRO ZIRCONIAS</t>
        </is>
      </c>
      <c r="C920" s="13" t="inlineStr">
        <is>
          <t>19 cm</t>
        </is>
      </c>
      <c r="D920" s="14" t="inlineStr">
        <is>
          <t>Stainless stee</t>
        </is>
      </c>
      <c r="E920" s="13" t="n"/>
      <c r="F920" s="15" t="n">
        <v>13</v>
      </c>
      <c r="G920" s="13" t="n"/>
      <c r="H920" s="13" t="n"/>
      <c r="I920" s="13" t="n"/>
      <c r="J920" s="13" t="n"/>
      <c r="K920" s="13" t="n"/>
      <c r="L920" s="13" t="n"/>
      <c r="M920" s="13" t="n"/>
      <c r="N920" s="15" t="n">
        <v>13</v>
      </c>
      <c r="O920" s="13" t="n"/>
      <c r="P920" s="13" t="n"/>
      <c r="Q920" s="13" t="n"/>
      <c r="R920" s="16">
        <f>IF(COUNT(E920:Q920)=0,"",MIN(E920:Q920))</f>
        <v/>
      </c>
      <c r="S920" s="15">
        <f>IF(COUNT(E920:Q920)=0,"",LOOKUP(2,1/(E920:Q920&lt;&gt;""),E920:Q920))</f>
        <v/>
      </c>
      <c r="T920" s="17">
        <f>IF(R920="","",ROUND(R920*RESUMEN!$B$4,0))</f>
        <v/>
      </c>
      <c r="U920" s="18">
        <f>COUNT(E920:Q920)</f>
        <v/>
      </c>
    </row>
    <row r="921">
      <c r="A921" s="13" t="inlineStr">
        <is>
          <t>66177006d3573</t>
        </is>
      </c>
      <c r="B921" s="13" t="inlineStr">
        <is>
          <t>PULSERA LOVE GOLD</t>
        </is>
      </c>
      <c r="C921" s="13" t="inlineStr">
        <is>
          <t>16 CM</t>
        </is>
      </c>
      <c r="D921" s="14" t="inlineStr">
        <is>
          <t>Stainless Stee</t>
        </is>
      </c>
      <c r="E921" s="13" t="n"/>
      <c r="F921" s="15" t="n">
        <v>5</v>
      </c>
      <c r="G921" s="13" t="n"/>
      <c r="H921" s="13" t="n"/>
      <c r="I921" s="15" t="n">
        <v>4.5</v>
      </c>
      <c r="J921" s="15" t="n">
        <v>4.5</v>
      </c>
      <c r="K921" s="13" t="n"/>
      <c r="L921" s="13" t="n"/>
      <c r="M921" s="13" t="n"/>
      <c r="N921" s="15" t="n">
        <v>4.5</v>
      </c>
      <c r="O921" s="13" t="n"/>
      <c r="P921" s="15" t="n">
        <v>4.5</v>
      </c>
      <c r="Q921" s="15" t="n">
        <v>4.5</v>
      </c>
      <c r="R921" s="16">
        <f>IF(COUNT(E921:Q921)=0,"",MIN(E921:Q921))</f>
        <v/>
      </c>
      <c r="S921" s="15">
        <f>IF(COUNT(E921:Q921)=0,"",LOOKUP(2,1/(E921:Q921&lt;&gt;""),E921:Q921))</f>
        <v/>
      </c>
      <c r="T921" s="17">
        <f>IF(R921="","",ROUND(R921*RESUMEN!$B$4,0))</f>
        <v/>
      </c>
      <c r="U921" s="18">
        <f>COUNT(E921:Q921)</f>
        <v/>
      </c>
    </row>
    <row r="922">
      <c r="A922" s="13" t="inlineStr">
        <is>
          <t>66177007689da</t>
        </is>
      </c>
      <c r="B922" s="13" t="inlineStr">
        <is>
          <t>PULSERA LOVE GOLD</t>
        </is>
      </c>
      <c r="C922" s="13" t="inlineStr">
        <is>
          <t>17 CM</t>
        </is>
      </c>
      <c r="D922" s="14" t="inlineStr">
        <is>
          <t>Stainless Stee</t>
        </is>
      </c>
      <c r="E922" s="13" t="n"/>
      <c r="F922" s="13" t="n"/>
      <c r="G922" s="13" t="n"/>
      <c r="H922" s="15" t="n">
        <v>4.5</v>
      </c>
      <c r="I922" s="15" t="n">
        <v>4.5</v>
      </c>
      <c r="J922" s="15" t="n">
        <v>4.5</v>
      </c>
      <c r="K922" s="13" t="n"/>
      <c r="L922" s="13" t="n"/>
      <c r="M922" s="13" t="n"/>
      <c r="N922" s="15" t="n">
        <v>4.5</v>
      </c>
      <c r="O922" s="13" t="n"/>
      <c r="P922" s="15" t="n">
        <v>4.5</v>
      </c>
      <c r="Q922" s="15" t="n">
        <v>4.5</v>
      </c>
      <c r="R922" s="16">
        <f>IF(COUNT(E922:Q922)=0,"",MIN(E922:Q922))</f>
        <v/>
      </c>
      <c r="S922" s="15">
        <f>IF(COUNT(E922:Q922)=0,"",LOOKUP(2,1/(E922:Q922&lt;&gt;""),E922:Q922))</f>
        <v/>
      </c>
      <c r="T922" s="17">
        <f>IF(R922="","",ROUND(R922*RESUMEN!$B$4,0))</f>
        <v/>
      </c>
      <c r="U922" s="18">
        <f>COUNT(E922:Q922)</f>
        <v/>
      </c>
    </row>
    <row r="923">
      <c r="A923" s="13" t="inlineStr">
        <is>
          <t>66177008100f3</t>
        </is>
      </c>
      <c r="B923" s="13" t="inlineStr">
        <is>
          <t>PULSERA LOVE GOLD</t>
        </is>
      </c>
      <c r="C923" s="13" t="inlineStr">
        <is>
          <t>18 CM</t>
        </is>
      </c>
      <c r="D923" s="14" t="inlineStr">
        <is>
          <t>Stainless Stee</t>
        </is>
      </c>
      <c r="E923" s="13" t="n"/>
      <c r="F923" s="13" t="n"/>
      <c r="G923" s="13" t="n"/>
      <c r="H923" s="15" t="n">
        <v>4.5</v>
      </c>
      <c r="I923" s="15" t="n">
        <v>4.5</v>
      </c>
      <c r="J923" s="15" t="n">
        <v>4.5</v>
      </c>
      <c r="K923" s="13" t="n"/>
      <c r="L923" s="13" t="n"/>
      <c r="M923" s="13" t="n"/>
      <c r="N923" s="13" t="n"/>
      <c r="O923" s="15" t="n">
        <v>4.5</v>
      </c>
      <c r="P923" s="15" t="n">
        <v>4.5</v>
      </c>
      <c r="Q923" s="15" t="n">
        <v>4.5</v>
      </c>
      <c r="R923" s="16">
        <f>IF(COUNT(E923:Q923)=0,"",MIN(E923:Q923))</f>
        <v/>
      </c>
      <c r="S923" s="15">
        <f>IF(COUNT(E923:Q923)=0,"",LOOKUP(2,1/(E923:Q923&lt;&gt;""),E923:Q923))</f>
        <v/>
      </c>
      <c r="T923" s="17">
        <f>IF(R923="","",ROUND(R923*RESUMEN!$B$4,0))</f>
        <v/>
      </c>
      <c r="U923" s="18">
        <f>COUNT(E923:Q923)</f>
        <v/>
      </c>
    </row>
    <row r="924">
      <c r="A924" s="13" t="inlineStr">
        <is>
          <t>66177008afe90</t>
        </is>
      </c>
      <c r="B924" s="13" t="inlineStr">
        <is>
          <t>PULSERA LOVE GOLD</t>
        </is>
      </c>
      <c r="C924" s="13" t="inlineStr">
        <is>
          <t>19 CM</t>
        </is>
      </c>
      <c r="D924" s="14" t="inlineStr">
        <is>
          <t>Stainless Stee</t>
        </is>
      </c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5" t="n">
        <v>4.5</v>
      </c>
      <c r="Q924" s="13" t="n"/>
      <c r="R924" s="16">
        <f>IF(COUNT(E924:Q924)=0,"",MIN(E924:Q924))</f>
        <v/>
      </c>
      <c r="S924" s="15">
        <f>IF(COUNT(E924:Q924)=0,"",LOOKUP(2,1/(E924:Q924&lt;&gt;""),E924:Q924))</f>
        <v/>
      </c>
      <c r="T924" s="17">
        <f>IF(R924="","",ROUND(R924*RESUMEN!$B$4,0))</f>
        <v/>
      </c>
      <c r="U924" s="18">
        <f>COUNT(E924:Q924)</f>
        <v/>
      </c>
    </row>
    <row r="925">
      <c r="A925" s="13" t="inlineStr">
        <is>
          <t>66177009444c0</t>
        </is>
      </c>
      <c r="B925" s="13" t="inlineStr">
        <is>
          <t>PULSERA LOVE GOLD</t>
        </is>
      </c>
      <c r="C925" s="13" t="inlineStr">
        <is>
          <t>20 CM</t>
        </is>
      </c>
      <c r="D925" s="14" t="inlineStr">
        <is>
          <t>Stainless Stee</t>
        </is>
      </c>
      <c r="E925" s="13" t="n"/>
      <c r="F925" s="13" t="n"/>
      <c r="G925" s="13" t="n"/>
      <c r="H925" s="15" t="n">
        <v>4.5</v>
      </c>
      <c r="I925" s="15" t="n">
        <v>4.5</v>
      </c>
      <c r="J925" s="13" t="n"/>
      <c r="K925" s="13" t="n"/>
      <c r="L925" s="13" t="n"/>
      <c r="M925" s="13" t="n"/>
      <c r="N925" s="15" t="n">
        <v>4.5</v>
      </c>
      <c r="O925" s="13" t="n"/>
      <c r="P925" s="13" t="n"/>
      <c r="Q925" s="15" t="n">
        <v>4.5</v>
      </c>
      <c r="R925" s="16">
        <f>IF(COUNT(E925:Q925)=0,"",MIN(E925:Q925))</f>
        <v/>
      </c>
      <c r="S925" s="15">
        <f>IF(COUNT(E925:Q925)=0,"",LOOKUP(2,1/(E925:Q925&lt;&gt;""),E925:Q925))</f>
        <v/>
      </c>
      <c r="T925" s="17">
        <f>IF(R925="","",ROUND(R925*RESUMEN!$B$4,0))</f>
        <v/>
      </c>
      <c r="U925" s="18">
        <f>COUNT(E925:Q925)</f>
        <v/>
      </c>
    </row>
    <row r="926">
      <c r="A926" s="13" t="inlineStr">
        <is>
          <t>66177009de26b</t>
        </is>
      </c>
      <c r="B926" s="13" t="inlineStr">
        <is>
          <t>PULSERA LOVE GOLD</t>
        </is>
      </c>
      <c r="C926" s="13" t="inlineStr">
        <is>
          <t>21 CM</t>
        </is>
      </c>
      <c r="D926" s="14" t="inlineStr"/>
      <c r="E926" s="13" t="n"/>
      <c r="F926" s="13" t="n"/>
      <c r="G926" s="13" t="n"/>
      <c r="H926" s="15" t="n">
        <v>4.5</v>
      </c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6">
        <f>IF(COUNT(E926:Q926)=0,"",MIN(E926:Q926))</f>
        <v/>
      </c>
      <c r="S926" s="15">
        <f>IF(COUNT(E926:Q926)=0,"",LOOKUP(2,1/(E926:Q926&lt;&gt;""),E926:Q926))</f>
        <v/>
      </c>
      <c r="T926" s="17">
        <f>IF(R926="","",ROUND(R926*RESUMEN!$B$4,0))</f>
        <v/>
      </c>
      <c r="U926" s="18">
        <f>COUNT(E926:Q926)</f>
        <v/>
      </c>
    </row>
    <row r="927">
      <c r="A927" s="13" t="inlineStr">
        <is>
          <t>47179791074049</t>
        </is>
      </c>
      <c r="B927" s="13" t="inlineStr">
        <is>
          <t>PULSERA LOVE LOVE GOLD</t>
        </is>
      </c>
      <c r="C927" s="13" t="inlineStr">
        <is>
          <t>16cm con 5cm de extensión</t>
        </is>
      </c>
      <c r="D927" s="14" t="inlineStr">
        <is>
          <t>Stainless stee</t>
        </is>
      </c>
      <c r="E927" s="15" t="n">
        <v>5</v>
      </c>
      <c r="F927" s="13" t="n"/>
      <c r="G927" s="13" t="n"/>
      <c r="H927" s="13" t="n"/>
      <c r="I927" s="13" t="n"/>
      <c r="J927" s="15" t="n">
        <v>5</v>
      </c>
      <c r="K927" s="13" t="n"/>
      <c r="L927" s="15" t="n">
        <v>5</v>
      </c>
      <c r="M927" s="13" t="n"/>
      <c r="N927" s="15" t="n">
        <v>4.5</v>
      </c>
      <c r="O927" s="15" t="n">
        <v>5</v>
      </c>
      <c r="P927" s="13" t="n"/>
      <c r="Q927" s="13" t="n"/>
      <c r="R927" s="16">
        <f>IF(COUNT(E927:Q927)=0,"",MIN(E927:Q927))</f>
        <v/>
      </c>
      <c r="S927" s="15">
        <f>IF(COUNT(E927:Q927)=0,"",LOOKUP(2,1/(E927:Q927&lt;&gt;""),E927:Q927))</f>
        <v/>
      </c>
      <c r="T927" s="17">
        <f>IF(R927="","",ROUND(R927*RESUMEN!$B$4,0))</f>
        <v/>
      </c>
      <c r="U927" s="18">
        <f>COUNT(E927:Q927)</f>
        <v/>
      </c>
    </row>
    <row r="928">
      <c r="A928" s="13" t="inlineStr">
        <is>
          <t>56481495914636</t>
        </is>
      </c>
      <c r="B928" s="13" t="inlineStr">
        <is>
          <t>PULSERA LOVE LOVE GOLD</t>
        </is>
      </c>
      <c r="C928" s="13" t="inlineStr">
        <is>
          <t>17cm con 5cm de Extension</t>
        </is>
      </c>
      <c r="D928" s="14" t="inlineStr"/>
      <c r="E928" s="13" t="n"/>
      <c r="F928" s="15" t="n">
        <v>5</v>
      </c>
      <c r="G928" s="13" t="n"/>
      <c r="H928" s="15" t="n">
        <v>5</v>
      </c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6">
        <f>IF(COUNT(E928:Q928)=0,"",MIN(E928:Q928))</f>
        <v/>
      </c>
      <c r="S928" s="15">
        <f>IF(COUNT(E928:Q928)=0,"",LOOKUP(2,1/(E928:Q928&lt;&gt;""),E928:Q928))</f>
        <v/>
      </c>
      <c r="T928" s="17">
        <f>IF(R928="","",ROUND(R928*RESUMEN!$B$4,0))</f>
        <v/>
      </c>
      <c r="U928" s="18">
        <f>COUNT(E928:Q928)</f>
        <v/>
      </c>
    </row>
    <row r="929">
      <c r="A929" s="13" t="inlineStr">
        <is>
          <t>63e0c59590d66</t>
        </is>
      </c>
      <c r="B929" s="13" t="inlineStr">
        <is>
          <t>PULSERA LOVE ROSE GOLD</t>
        </is>
      </c>
      <c r="C929" s="13" t="inlineStr">
        <is>
          <t>16 cm</t>
        </is>
      </c>
      <c r="D929" s="14" t="inlineStr">
        <is>
          <t>Stainless Stee</t>
        </is>
      </c>
      <c r="E929" s="13" t="n"/>
      <c r="F929" s="15" t="n">
        <v>5</v>
      </c>
      <c r="G929" s="13" t="n"/>
      <c r="H929" s="15" t="n">
        <v>5</v>
      </c>
      <c r="I929" s="13" t="n"/>
      <c r="J929" s="15" t="n">
        <v>4.5</v>
      </c>
      <c r="K929" s="13" t="n"/>
      <c r="L929" s="13" t="n"/>
      <c r="M929" s="13" t="n"/>
      <c r="N929" s="13" t="n"/>
      <c r="O929" s="13" t="n"/>
      <c r="P929" s="13" t="n"/>
      <c r="Q929" s="15" t="n">
        <v>4.5</v>
      </c>
      <c r="R929" s="16">
        <f>IF(COUNT(E929:Q929)=0,"",MIN(E929:Q929))</f>
        <v/>
      </c>
      <c r="S929" s="15">
        <f>IF(COUNT(E929:Q929)=0,"",LOOKUP(2,1/(E929:Q929&lt;&gt;""),E929:Q929))</f>
        <v/>
      </c>
      <c r="T929" s="17">
        <f>IF(R929="","",ROUND(R929*RESUMEN!$B$4,0))</f>
        <v/>
      </c>
      <c r="U929" s="18">
        <f>COUNT(E929:Q929)</f>
        <v/>
      </c>
    </row>
    <row r="930">
      <c r="A930" s="13" t="inlineStr">
        <is>
          <t>63e0c596835bb</t>
        </is>
      </c>
      <c r="B930" s="13" t="inlineStr">
        <is>
          <t>PULSERA LOVE ROSE GOLD</t>
        </is>
      </c>
      <c r="C930" s="13" t="inlineStr">
        <is>
          <t>17 cm</t>
        </is>
      </c>
      <c r="D930" s="14" t="inlineStr">
        <is>
          <t>stainless stee</t>
        </is>
      </c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5" t="n">
        <v>4.5</v>
      </c>
      <c r="R930" s="16">
        <f>IF(COUNT(E930:Q930)=0,"",MIN(E930:Q930))</f>
        <v/>
      </c>
      <c r="S930" s="15">
        <f>IF(COUNT(E930:Q930)=0,"",LOOKUP(2,1/(E930:Q930&lt;&gt;""),E930:Q930))</f>
        <v/>
      </c>
      <c r="T930" s="17">
        <f>IF(R930="","",ROUND(R930*RESUMEN!$B$4,0))</f>
        <v/>
      </c>
      <c r="U930" s="18">
        <f>COUNT(E930:Q930)</f>
        <v/>
      </c>
    </row>
    <row r="931">
      <c r="A931" s="13" t="inlineStr">
        <is>
          <t>63e0c59aab12a</t>
        </is>
      </c>
      <c r="B931" s="13" t="inlineStr">
        <is>
          <t>PULSERA LOVE ROSE GOLD</t>
        </is>
      </c>
      <c r="C931" s="13" t="inlineStr">
        <is>
          <t>21 cm</t>
        </is>
      </c>
      <c r="D931" s="14" t="inlineStr">
        <is>
          <t>SIN MATERIAL</t>
        </is>
      </c>
      <c r="E931" s="13" t="n"/>
      <c r="F931" s="13" t="n"/>
      <c r="G931" s="13" t="n"/>
      <c r="H931" s="13" t="n"/>
      <c r="I931" s="15" t="n">
        <v>4.5</v>
      </c>
      <c r="J931" s="13" t="n"/>
      <c r="K931" s="13" t="n"/>
      <c r="L931" s="13" t="n"/>
      <c r="M931" s="13" t="n"/>
      <c r="N931" s="13" t="n"/>
      <c r="O931" s="13" t="n"/>
      <c r="P931" s="15" t="n">
        <v>4.5</v>
      </c>
      <c r="Q931" s="15" t="n">
        <v>4.5</v>
      </c>
      <c r="R931" s="16">
        <f>IF(COUNT(E931:Q931)=0,"",MIN(E931:Q931))</f>
        <v/>
      </c>
      <c r="S931" s="15">
        <f>IF(COUNT(E931:Q931)=0,"",LOOKUP(2,1/(E931:Q931&lt;&gt;""),E931:Q931))</f>
        <v/>
      </c>
      <c r="T931" s="17">
        <f>IF(R931="","",ROUND(R931*RESUMEN!$B$4,0))</f>
        <v/>
      </c>
      <c r="U931" s="18">
        <f>COUNT(E931:Q931)</f>
        <v/>
      </c>
    </row>
    <row r="932">
      <c r="A932" s="13" t="inlineStr">
        <is>
          <t>43728090715788</t>
        </is>
      </c>
      <c r="B932" s="13" t="inlineStr">
        <is>
          <t>PULSERA LOVE SILVER</t>
        </is>
      </c>
      <c r="C932" s="13" t="inlineStr">
        <is>
          <t>16cm</t>
        </is>
      </c>
      <c r="D932" s="14" t="inlineStr">
        <is>
          <t>Stainless stee</t>
        </is>
      </c>
      <c r="E932" s="13" t="n"/>
      <c r="F932" s="13" t="n"/>
      <c r="G932" s="13" t="n"/>
      <c r="H932" s="13" t="n"/>
      <c r="I932" s="13" t="n"/>
      <c r="J932" s="15" t="n">
        <v>4.5</v>
      </c>
      <c r="K932" s="13" t="n"/>
      <c r="L932" s="15" t="n">
        <v>4.5</v>
      </c>
      <c r="M932" s="15" t="n">
        <v>4.5</v>
      </c>
      <c r="N932" s="13" t="n"/>
      <c r="O932" s="15" t="n">
        <v>4.5</v>
      </c>
      <c r="P932" s="13" t="n"/>
      <c r="Q932" s="13" t="n"/>
      <c r="R932" s="16">
        <f>IF(COUNT(E932:Q932)=0,"",MIN(E932:Q932))</f>
        <v/>
      </c>
      <c r="S932" s="15">
        <f>IF(COUNT(E932:Q932)=0,"",LOOKUP(2,1/(E932:Q932&lt;&gt;""),E932:Q932))</f>
        <v/>
      </c>
      <c r="T932" s="17">
        <f>IF(R932="","",ROUND(R932*RESUMEN!$B$4,0))</f>
        <v/>
      </c>
      <c r="U932" s="18">
        <f>COUNT(E932:Q932)</f>
        <v/>
      </c>
    </row>
    <row r="933">
      <c r="A933" s="13" t="inlineStr">
        <is>
          <t>43728090848556</t>
        </is>
      </c>
      <c r="B933" s="13" t="inlineStr">
        <is>
          <t>PULSERA LOVE SILVER</t>
        </is>
      </c>
      <c r="C933" s="13" t="inlineStr">
        <is>
          <t>17cm</t>
        </is>
      </c>
      <c r="D933" s="14" t="inlineStr">
        <is>
          <t>stainless stee</t>
        </is>
      </c>
      <c r="E933" s="13" t="n"/>
      <c r="F933" s="13" t="n"/>
      <c r="G933" s="13" t="n"/>
      <c r="H933" s="13" t="n"/>
      <c r="I933" s="13" t="n"/>
      <c r="J933" s="13" t="n"/>
      <c r="K933" s="13" t="n"/>
      <c r="L933" s="15" t="n">
        <v>4.5</v>
      </c>
      <c r="M933" s="15" t="n">
        <v>4.5</v>
      </c>
      <c r="N933" s="13" t="n"/>
      <c r="O933" s="13" t="n"/>
      <c r="P933" s="15" t="n">
        <v>4.5</v>
      </c>
      <c r="Q933" s="15" t="n">
        <v>4.5</v>
      </c>
      <c r="R933" s="16">
        <f>IF(COUNT(E933:Q933)=0,"",MIN(E933:Q933))</f>
        <v/>
      </c>
      <c r="S933" s="15">
        <f>IF(COUNT(E933:Q933)=0,"",LOOKUP(2,1/(E933:Q933&lt;&gt;""),E933:Q933))</f>
        <v/>
      </c>
      <c r="T933" s="17">
        <f>IF(R933="","",ROUND(R933*RESUMEN!$B$4,0))</f>
        <v/>
      </c>
      <c r="U933" s="18">
        <f>COUNT(E933:Q933)</f>
        <v/>
      </c>
    </row>
    <row r="934">
      <c r="A934" s="13" t="inlineStr">
        <is>
          <t>43728090981324</t>
        </is>
      </c>
      <c r="B934" s="13" t="inlineStr">
        <is>
          <t>PULSERA LOVE SILVER</t>
        </is>
      </c>
      <c r="C934" s="13" t="inlineStr">
        <is>
          <t>18cm</t>
        </is>
      </c>
      <c r="D934" s="14" t="inlineStr">
        <is>
          <t>Stainless stee</t>
        </is>
      </c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5" t="n">
        <v>4.5</v>
      </c>
      <c r="N934" s="15" t="n">
        <v>4.5</v>
      </c>
      <c r="O934" s="13" t="n"/>
      <c r="P934" s="13" t="n"/>
      <c r="Q934" s="13" t="n"/>
      <c r="R934" s="16">
        <f>IF(COUNT(E934:Q934)=0,"",MIN(E934:Q934))</f>
        <v/>
      </c>
      <c r="S934" s="15">
        <f>IF(COUNT(E934:Q934)=0,"",LOOKUP(2,1/(E934:Q934&lt;&gt;""),E934:Q934))</f>
        <v/>
      </c>
      <c r="T934" s="17">
        <f>IF(R934="","",ROUND(R934*RESUMEN!$B$4,0))</f>
        <v/>
      </c>
      <c r="U934" s="18">
        <f>COUNT(E934:Q934)</f>
        <v/>
      </c>
    </row>
    <row r="935">
      <c r="A935" s="13" t="inlineStr">
        <is>
          <t>43728091014092</t>
        </is>
      </c>
      <c r="B935" s="13" t="inlineStr">
        <is>
          <t>PULSERA LOVE SILVER</t>
        </is>
      </c>
      <c r="C935" s="13" t="inlineStr">
        <is>
          <t>19cm</t>
        </is>
      </c>
      <c r="D935" s="14" t="inlineStr">
        <is>
          <t>Stainless Stee</t>
        </is>
      </c>
      <c r="E935" s="13" t="n"/>
      <c r="F935" s="13" t="n"/>
      <c r="G935" s="13" t="n"/>
      <c r="H935" s="13" t="n"/>
      <c r="I935" s="15" t="n">
        <v>4.5</v>
      </c>
      <c r="J935" s="15" t="n">
        <v>4.5</v>
      </c>
      <c r="K935" s="13" t="n"/>
      <c r="L935" s="15" t="n">
        <v>4.5</v>
      </c>
      <c r="M935" s="13" t="n"/>
      <c r="N935" s="15" t="n">
        <v>4.5</v>
      </c>
      <c r="O935" s="13" t="n"/>
      <c r="P935" s="15" t="n">
        <v>4.5</v>
      </c>
      <c r="Q935" s="13" t="n"/>
      <c r="R935" s="16">
        <f>IF(COUNT(E935:Q935)=0,"",MIN(E935:Q935))</f>
        <v/>
      </c>
      <c r="S935" s="15">
        <f>IF(COUNT(E935:Q935)=0,"",LOOKUP(2,1/(E935:Q935&lt;&gt;""),E935:Q935))</f>
        <v/>
      </c>
      <c r="T935" s="17">
        <f>IF(R935="","",ROUND(R935*RESUMEN!$B$4,0))</f>
        <v/>
      </c>
      <c r="U935" s="18">
        <f>COUNT(E935:Q935)</f>
        <v/>
      </c>
    </row>
    <row r="936">
      <c r="A936" s="13" t="inlineStr">
        <is>
          <t>43728091146860</t>
        </is>
      </c>
      <c r="B936" s="13" t="inlineStr">
        <is>
          <t>PULSERA LOVE SILVER</t>
        </is>
      </c>
      <c r="C936" s="13" t="inlineStr">
        <is>
          <t>20cm</t>
        </is>
      </c>
      <c r="D936" s="14" t="inlineStr">
        <is>
          <t>Stainless Stee</t>
        </is>
      </c>
      <c r="E936" s="13" t="n"/>
      <c r="F936" s="13" t="n"/>
      <c r="G936" s="13" t="n"/>
      <c r="H936" s="13" t="n"/>
      <c r="I936" s="15" t="n">
        <v>4.5</v>
      </c>
      <c r="J936" s="15" t="n">
        <v>4.5</v>
      </c>
      <c r="K936" s="13" t="n"/>
      <c r="L936" s="15" t="n">
        <v>4.5</v>
      </c>
      <c r="M936" s="13" t="n"/>
      <c r="N936" s="13" t="n"/>
      <c r="O936" s="13" t="n"/>
      <c r="P936" s="15" t="n">
        <v>4.5</v>
      </c>
      <c r="Q936" s="13" t="n"/>
      <c r="R936" s="16">
        <f>IF(COUNT(E936:Q936)=0,"",MIN(E936:Q936))</f>
        <v/>
      </c>
      <c r="S936" s="15">
        <f>IF(COUNT(E936:Q936)=0,"",LOOKUP(2,1/(E936:Q936&lt;&gt;""),E936:Q936))</f>
        <v/>
      </c>
      <c r="T936" s="17">
        <f>IF(R936="","",ROUND(R936*RESUMEN!$B$4,0))</f>
        <v/>
      </c>
      <c r="U936" s="18">
        <f>COUNT(E936:Q936)</f>
        <v/>
      </c>
    </row>
    <row r="937">
      <c r="A937" s="13" t="inlineStr">
        <is>
          <t>43728091279628</t>
        </is>
      </c>
      <c r="B937" s="13" t="inlineStr">
        <is>
          <t>PULSERA LOVE SILVER</t>
        </is>
      </c>
      <c r="C937" s="13" t="inlineStr">
        <is>
          <t>21cm</t>
        </is>
      </c>
      <c r="D937" s="14" t="inlineStr">
        <is>
          <t>Stainless stee</t>
        </is>
      </c>
      <c r="E937" s="13" t="n"/>
      <c r="F937" s="13" t="n"/>
      <c r="G937" s="13" t="n"/>
      <c r="H937" s="13" t="n"/>
      <c r="I937" s="13" t="n"/>
      <c r="J937" s="15" t="n">
        <v>4.5</v>
      </c>
      <c r="K937" s="13" t="n"/>
      <c r="L937" s="13" t="n"/>
      <c r="M937" s="13" t="n"/>
      <c r="N937" s="15" t="n">
        <v>4.5</v>
      </c>
      <c r="O937" s="15" t="n">
        <v>4.5</v>
      </c>
      <c r="P937" s="13" t="n"/>
      <c r="Q937" s="15" t="n">
        <v>4.5</v>
      </c>
      <c r="R937" s="16">
        <f>IF(COUNT(E937:Q937)=0,"",MIN(E937:Q937))</f>
        <v/>
      </c>
      <c r="S937" s="15">
        <f>IF(COUNT(E937:Q937)=0,"",LOOKUP(2,1/(E937:Q937&lt;&gt;""),E937:Q937))</f>
        <v/>
      </c>
      <c r="T937" s="17">
        <f>IF(R937="","",ROUND(R937*RESUMEN!$B$4,0))</f>
        <v/>
      </c>
      <c r="U937" s="18">
        <f>COUNT(E937:Q937)</f>
        <v/>
      </c>
    </row>
    <row r="938">
      <c r="A938" s="13" t="inlineStr">
        <is>
          <t>40154171489837</t>
        </is>
      </c>
      <c r="B938" s="13" t="inlineStr">
        <is>
          <t>PULSERA LOVE SILVER LOVE ROSE GOLD</t>
        </is>
      </c>
      <c r="C938" s="13" t="inlineStr">
        <is>
          <t>Default Title</t>
        </is>
      </c>
      <c r="D938" s="14" t="inlineStr"/>
      <c r="E938" s="13" t="n"/>
      <c r="F938" s="13" t="n"/>
      <c r="G938" s="13" t="n"/>
      <c r="H938" s="13" t="n"/>
      <c r="I938" s="13" t="n"/>
      <c r="J938" s="13" t="n"/>
      <c r="K938" s="15" t="n">
        <v>6</v>
      </c>
      <c r="L938" s="13" t="n"/>
      <c r="M938" s="13" t="n"/>
      <c r="N938" s="13" t="n"/>
      <c r="O938" s="13" t="n"/>
      <c r="P938" s="13" t="n"/>
      <c r="Q938" s="13" t="n"/>
      <c r="R938" s="16">
        <f>IF(COUNT(E938:Q938)=0,"",MIN(E938:Q938))</f>
        <v/>
      </c>
      <c r="S938" s="15">
        <f>IF(COUNT(E938:Q938)=0,"",LOOKUP(2,1/(E938:Q938&lt;&gt;""),E938:Q938))</f>
        <v/>
      </c>
      <c r="T938" s="17">
        <f>IF(R938="","",ROUND(R938*RESUMEN!$B$4,0))</f>
        <v/>
      </c>
      <c r="U938" s="18">
        <f>COUNT(E938:Q938)</f>
        <v/>
      </c>
    </row>
    <row r="939">
      <c r="A939" s="13" t="inlineStr">
        <is>
          <t>22064321131885</t>
        </is>
      </c>
      <c r="B939" s="13" t="inlineStr">
        <is>
          <t>PULSERA LOVE SILVER-BLACK MICROZIRCONIAS</t>
        </is>
      </c>
      <c r="C939" s="13" t="inlineStr">
        <is>
          <t>17CM</t>
        </is>
      </c>
      <c r="D939" s="14" t="inlineStr"/>
      <c r="E939" s="13" t="n"/>
      <c r="F939" s="13" t="n"/>
      <c r="G939" s="13" t="n"/>
      <c r="H939" s="13" t="n"/>
      <c r="I939" s="13" t="n"/>
      <c r="J939" s="13" t="n"/>
      <c r="K939" s="15" t="n">
        <v>25</v>
      </c>
      <c r="L939" s="13" t="n"/>
      <c r="M939" s="13" t="n"/>
      <c r="N939" s="13" t="n"/>
      <c r="O939" s="13" t="n"/>
      <c r="P939" s="13" t="n"/>
      <c r="Q939" s="13" t="n"/>
      <c r="R939" s="16">
        <f>IF(COUNT(E939:Q939)=0,"",MIN(E939:Q939))</f>
        <v/>
      </c>
      <c r="S939" s="15">
        <f>IF(COUNT(E939:Q939)=0,"",LOOKUP(2,1/(E939:Q939&lt;&gt;""),E939:Q939))</f>
        <v/>
      </c>
      <c r="T939" s="17">
        <f>IF(R939="","",ROUND(R939*RESUMEN!$B$4,0))</f>
        <v/>
      </c>
      <c r="U939" s="18">
        <f>COUNT(E939:Q939)</f>
        <v/>
      </c>
    </row>
    <row r="940">
      <c r="A940" s="13" t="inlineStr">
        <is>
          <t>22064321264653</t>
        </is>
      </c>
      <c r="B940" s="13" t="inlineStr">
        <is>
          <t>PULSERA LOVE SILVER-BLACK MICROZIRCONIAS</t>
        </is>
      </c>
      <c r="C940" s="13" t="inlineStr">
        <is>
          <t>18CM</t>
        </is>
      </c>
      <c r="D940" s="14" t="inlineStr">
        <is>
          <t>Stainless stee</t>
        </is>
      </c>
      <c r="E940" s="13" t="n"/>
      <c r="F940" s="13" t="n"/>
      <c r="G940" s="13" t="n"/>
      <c r="H940" s="13" t="n"/>
      <c r="I940" s="13" t="n"/>
      <c r="J940" s="13" t="n"/>
      <c r="K940" s="15" t="n">
        <v>25</v>
      </c>
      <c r="L940" s="13" t="n"/>
      <c r="M940" s="13" t="n"/>
      <c r="N940" s="15" t="n">
        <v>25</v>
      </c>
      <c r="O940" s="13" t="n"/>
      <c r="P940" s="13" t="n"/>
      <c r="Q940" s="13" t="n"/>
      <c r="R940" s="16">
        <f>IF(COUNT(E940:Q940)=0,"",MIN(E940:Q940))</f>
        <v/>
      </c>
      <c r="S940" s="15">
        <f>IF(COUNT(E940:Q940)=0,"",LOOKUP(2,1/(E940:Q940&lt;&gt;""),E940:Q940))</f>
        <v/>
      </c>
      <c r="T940" s="17">
        <f>IF(R940="","",ROUND(R940*RESUMEN!$B$4,0))</f>
        <v/>
      </c>
      <c r="U940" s="18">
        <f>COUNT(E940:Q940)</f>
        <v/>
      </c>
    </row>
    <row r="941">
      <c r="A941" s="13" t="inlineStr">
        <is>
          <t>88621311058381</t>
        </is>
      </c>
      <c r="B941" s="13" t="inlineStr">
        <is>
          <t>PULSERA LOVE UNLIMITED GOLD</t>
        </is>
      </c>
      <c r="C941" s="13" t="inlineStr">
        <is>
          <t>17</t>
        </is>
      </c>
      <c r="D941" s="14" t="inlineStr">
        <is>
          <t>nan</t>
        </is>
      </c>
      <c r="E941" s="13" t="n"/>
      <c r="F941" s="13" t="n"/>
      <c r="G941" s="13" t="n"/>
      <c r="H941" s="13" t="n"/>
      <c r="I941" s="15" t="n">
        <v>15</v>
      </c>
      <c r="J941" s="13" t="n"/>
      <c r="K941" s="13" t="n"/>
      <c r="L941" s="13" t="n"/>
      <c r="M941" s="15" t="n">
        <v>20</v>
      </c>
      <c r="N941" s="13" t="n"/>
      <c r="O941" s="13" t="n"/>
      <c r="P941" s="13" t="n"/>
      <c r="Q941" s="13" t="n"/>
      <c r="R941" s="16">
        <f>IF(COUNT(E941:Q941)=0,"",MIN(E941:Q941))</f>
        <v/>
      </c>
      <c r="S941" s="15">
        <f>IF(COUNT(E941:Q941)=0,"",LOOKUP(2,1/(E941:Q941&lt;&gt;""),E941:Q941))</f>
        <v/>
      </c>
      <c r="T941" s="17">
        <f>IF(R941="","",ROUND(R941*RESUMEN!$B$4,0))</f>
        <v/>
      </c>
      <c r="U941" s="18">
        <f>COUNT(E941:Q941)</f>
        <v/>
      </c>
    </row>
    <row r="942">
      <c r="A942" s="13" t="inlineStr">
        <is>
          <t>73379601029069</t>
        </is>
      </c>
      <c r="B942" s="13" t="inlineStr">
        <is>
          <t>PULSERA LOVE UNLIMITED GOLD</t>
        </is>
      </c>
      <c r="C942" s="13" t="inlineStr">
        <is>
          <t>19</t>
        </is>
      </c>
      <c r="D942" s="14" t="inlineStr">
        <is>
          <t>Stainless stee</t>
        </is>
      </c>
      <c r="E942" s="13" t="n"/>
      <c r="F942" s="13" t="n"/>
      <c r="G942" s="13" t="n"/>
      <c r="H942" s="13" t="n"/>
      <c r="I942" s="15" t="n">
        <v>15</v>
      </c>
      <c r="J942" s="13" t="n"/>
      <c r="K942" s="13" t="n"/>
      <c r="L942" s="13" t="n"/>
      <c r="M942" s="15" t="n">
        <v>20</v>
      </c>
      <c r="N942" s="13" t="n"/>
      <c r="O942" s="13" t="n"/>
      <c r="P942" s="15" t="n">
        <v>15</v>
      </c>
      <c r="Q942" s="15" t="n">
        <v>15</v>
      </c>
      <c r="R942" s="16">
        <f>IF(COUNT(E942:Q942)=0,"",MIN(E942:Q942))</f>
        <v/>
      </c>
      <c r="S942" s="15">
        <f>IF(COUNT(E942:Q942)=0,"",LOOKUP(2,1/(E942:Q942&lt;&gt;""),E942:Q942))</f>
        <v/>
      </c>
      <c r="T942" s="17">
        <f>IF(R942="","",ROUND(R942*RESUMEN!$B$4,0))</f>
        <v/>
      </c>
      <c r="U942" s="18">
        <f>COUNT(E942:Q942)</f>
        <v/>
      </c>
    </row>
    <row r="943">
      <c r="A943" s="13" t="inlineStr">
        <is>
          <t>73379601161837</t>
        </is>
      </c>
      <c r="B943" s="13" t="inlineStr">
        <is>
          <t>PULSERA LOVE UNLIMITED GOLD</t>
        </is>
      </c>
      <c r="C943" s="13" t="inlineStr">
        <is>
          <t>21</t>
        </is>
      </c>
      <c r="D943" s="14" t="inlineStr">
        <is>
          <t>stainless stee</t>
        </is>
      </c>
      <c r="E943" s="13" t="n"/>
      <c r="F943" s="13" t="n"/>
      <c r="G943" s="13" t="n"/>
      <c r="H943" s="13" t="n"/>
      <c r="I943" s="15" t="n">
        <v>15</v>
      </c>
      <c r="J943" s="13" t="n"/>
      <c r="K943" s="13" t="n"/>
      <c r="L943" s="13" t="n"/>
      <c r="M943" s="13" t="n"/>
      <c r="N943" s="13" t="n"/>
      <c r="O943" s="13" t="n"/>
      <c r="P943" s="15" t="n">
        <v>15</v>
      </c>
      <c r="Q943" s="15" t="n">
        <v>15</v>
      </c>
      <c r="R943" s="16">
        <f>IF(COUNT(E943:Q943)=0,"",MIN(E943:Q943))</f>
        <v/>
      </c>
      <c r="S943" s="15">
        <f>IF(COUNT(E943:Q943)=0,"",LOOKUP(2,1/(E943:Q943&lt;&gt;""),E943:Q943))</f>
        <v/>
      </c>
      <c r="T943" s="17">
        <f>IF(R943="","",ROUND(R943*RESUMEN!$B$4,0))</f>
        <v/>
      </c>
      <c r="U943" s="18">
        <f>COUNT(E943:Q943)</f>
        <v/>
      </c>
    </row>
    <row r="944">
      <c r="A944" s="13" t="inlineStr">
        <is>
          <t>74289381073037</t>
        </is>
      </c>
      <c r="B944" s="13" t="inlineStr">
        <is>
          <t>PULSERA LOVE UNLIMITED ROSEGOLD</t>
        </is>
      </c>
      <c r="C944" s="13" t="inlineStr">
        <is>
          <t>17</t>
        </is>
      </c>
      <c r="D944" s="14" t="inlineStr">
        <is>
          <t>Stainless stee</t>
        </is>
      </c>
      <c r="E944" s="13" t="n"/>
      <c r="F944" s="13" t="n"/>
      <c r="G944" s="13" t="n"/>
      <c r="H944" s="13" t="n"/>
      <c r="I944" s="15" t="n">
        <v>15</v>
      </c>
      <c r="J944" s="13" t="n"/>
      <c r="K944" s="13" t="n"/>
      <c r="L944" s="13" t="n"/>
      <c r="M944" s="15" t="n">
        <v>20</v>
      </c>
      <c r="N944" s="13" t="n"/>
      <c r="O944" s="13" t="n"/>
      <c r="P944" s="15" t="n">
        <v>15</v>
      </c>
      <c r="Q944" s="13" t="n"/>
      <c r="R944" s="16">
        <f>IF(COUNT(E944:Q944)=0,"",MIN(E944:Q944))</f>
        <v/>
      </c>
      <c r="S944" s="15">
        <f>IF(COUNT(E944:Q944)=0,"",LOOKUP(2,1/(E944:Q944&lt;&gt;""),E944:Q944))</f>
        <v/>
      </c>
      <c r="T944" s="17">
        <f>IF(R944="","",ROUND(R944*RESUMEN!$B$4,0))</f>
        <v/>
      </c>
      <c r="U944" s="18">
        <f>COUNT(E944:Q944)</f>
        <v/>
      </c>
    </row>
    <row r="945">
      <c r="A945" s="13" t="inlineStr">
        <is>
          <t>74289381105805</t>
        </is>
      </c>
      <c r="B945" s="13" t="inlineStr">
        <is>
          <t>PULSERA LOVE UNLIMITED ROSEGOLD</t>
        </is>
      </c>
      <c r="C945" s="13" t="inlineStr">
        <is>
          <t>19</t>
        </is>
      </c>
      <c r="D945" s="14" t="inlineStr">
        <is>
          <t>Stainless stee</t>
        </is>
      </c>
      <c r="E945" s="13" t="n"/>
      <c r="F945" s="13" t="n"/>
      <c r="G945" s="13" t="n"/>
      <c r="H945" s="13" t="n"/>
      <c r="I945" s="15" t="n">
        <v>15</v>
      </c>
      <c r="J945" s="13" t="n"/>
      <c r="K945" s="13" t="n"/>
      <c r="L945" s="13" t="n"/>
      <c r="M945" s="15" t="n">
        <v>20</v>
      </c>
      <c r="N945" s="15" t="n">
        <v>15</v>
      </c>
      <c r="O945" s="13" t="n"/>
      <c r="P945" s="13" t="n"/>
      <c r="Q945" s="13" t="n"/>
      <c r="R945" s="16">
        <f>IF(COUNT(E945:Q945)=0,"",MIN(E945:Q945))</f>
        <v/>
      </c>
      <c r="S945" s="15">
        <f>IF(COUNT(E945:Q945)=0,"",LOOKUP(2,1/(E945:Q945&lt;&gt;""),E945:Q945))</f>
        <v/>
      </c>
      <c r="T945" s="17">
        <f>IF(R945="","",ROUND(R945*RESUMEN!$B$4,0))</f>
        <v/>
      </c>
      <c r="U945" s="18">
        <f>COUNT(E945:Q945)</f>
        <v/>
      </c>
    </row>
    <row r="946">
      <c r="A946" s="13" t="inlineStr">
        <is>
          <t>74289381238573</t>
        </is>
      </c>
      <c r="B946" s="13" t="inlineStr">
        <is>
          <t>PULSERA LOVE UNLIMITED ROSEGOLD</t>
        </is>
      </c>
      <c r="C946" s="13" t="inlineStr">
        <is>
          <t>21</t>
        </is>
      </c>
      <c r="D946" s="14" t="inlineStr">
        <is>
          <t>stainless stee</t>
        </is>
      </c>
      <c r="E946" s="13" t="n"/>
      <c r="F946" s="13" t="n"/>
      <c r="G946" s="13" t="n"/>
      <c r="H946" s="13" t="n"/>
      <c r="I946" s="15" t="n">
        <v>15</v>
      </c>
      <c r="J946" s="13" t="n"/>
      <c r="K946" s="13" t="n"/>
      <c r="L946" s="13" t="n"/>
      <c r="M946" s="13" t="n"/>
      <c r="N946" s="15" t="n">
        <v>15</v>
      </c>
      <c r="O946" s="13" t="n"/>
      <c r="P946" s="13" t="n"/>
      <c r="Q946" s="15" t="n">
        <v>15</v>
      </c>
      <c r="R946" s="16">
        <f>IF(COUNT(E946:Q946)=0,"",MIN(E946:Q946))</f>
        <v/>
      </c>
      <c r="S946" s="15">
        <f>IF(COUNT(E946:Q946)=0,"",LOOKUP(2,1/(E946:Q946&lt;&gt;""),E946:Q946))</f>
        <v/>
      </c>
      <c r="T946" s="17">
        <f>IF(R946="","",ROUND(R946*RESUMEN!$B$4,0))</f>
        <v/>
      </c>
      <c r="U946" s="18">
        <f>COUNT(E946:Q946)</f>
        <v/>
      </c>
    </row>
    <row r="947">
      <c r="A947" s="13" t="inlineStr">
        <is>
          <t>70975141082189</t>
        </is>
      </c>
      <c r="B947" s="13" t="inlineStr">
        <is>
          <t>PULSERA LOVE UNLIMITED SILVER</t>
        </is>
      </c>
      <c r="C947" s="13" t="inlineStr">
        <is>
          <t>17</t>
        </is>
      </c>
      <c r="D947" s="14" t="inlineStr">
        <is>
          <t>Stainless stee</t>
        </is>
      </c>
      <c r="E947" s="13" t="n"/>
      <c r="F947" s="13" t="n"/>
      <c r="G947" s="13" t="n"/>
      <c r="H947" s="13" t="n"/>
      <c r="I947" s="15" t="n">
        <v>15</v>
      </c>
      <c r="J947" s="13" t="n"/>
      <c r="K947" s="13" t="n"/>
      <c r="L947" s="13" t="n"/>
      <c r="M947" s="15" t="n">
        <v>20</v>
      </c>
      <c r="N947" s="13" t="n"/>
      <c r="O947" s="15" t="n">
        <v>15</v>
      </c>
      <c r="P947" s="15" t="n">
        <v>15</v>
      </c>
      <c r="Q947" s="13" t="n"/>
      <c r="R947" s="16">
        <f>IF(COUNT(E947:Q947)=0,"",MIN(E947:Q947))</f>
        <v/>
      </c>
      <c r="S947" s="15">
        <f>IF(COUNT(E947:Q947)=0,"",LOOKUP(2,1/(E947:Q947&lt;&gt;""),E947:Q947))</f>
        <v/>
      </c>
      <c r="T947" s="17">
        <f>IF(R947="","",ROUND(R947*RESUMEN!$B$4,0))</f>
        <v/>
      </c>
      <c r="U947" s="18">
        <f>COUNT(E947:Q947)</f>
        <v/>
      </c>
    </row>
    <row r="948">
      <c r="A948" s="13" t="inlineStr">
        <is>
          <t>70975151114957</t>
        </is>
      </c>
      <c r="B948" s="13" t="inlineStr">
        <is>
          <t>PULSERA LOVE UNLIMITED SILVER</t>
        </is>
      </c>
      <c r="C948" s="13" t="inlineStr">
        <is>
          <t>19</t>
        </is>
      </c>
      <c r="D948" s="14" t="inlineStr">
        <is>
          <t>Stainless stee</t>
        </is>
      </c>
      <c r="E948" s="13" t="n"/>
      <c r="F948" s="13" t="n"/>
      <c r="G948" s="13" t="n"/>
      <c r="H948" s="13" t="n"/>
      <c r="I948" s="15" t="n">
        <v>15</v>
      </c>
      <c r="J948" s="13" t="n"/>
      <c r="K948" s="13" t="n"/>
      <c r="L948" s="13" t="n"/>
      <c r="M948" s="15" t="n">
        <v>20</v>
      </c>
      <c r="N948" s="13" t="n"/>
      <c r="O948" s="13" t="n"/>
      <c r="P948" s="13" t="n"/>
      <c r="Q948" s="15" t="n">
        <v>15</v>
      </c>
      <c r="R948" s="16">
        <f>IF(COUNT(E948:Q948)=0,"",MIN(E948:Q948))</f>
        <v/>
      </c>
      <c r="S948" s="15">
        <f>IF(COUNT(E948:Q948)=0,"",LOOKUP(2,1/(E948:Q948&lt;&gt;""),E948:Q948))</f>
        <v/>
      </c>
      <c r="T948" s="17">
        <f>IF(R948="","",ROUND(R948*RESUMEN!$B$4,0))</f>
        <v/>
      </c>
      <c r="U948" s="18">
        <f>COUNT(E948:Q948)</f>
        <v/>
      </c>
    </row>
    <row r="949">
      <c r="A949" s="13" t="inlineStr">
        <is>
          <t>70975151247725</t>
        </is>
      </c>
      <c r="B949" s="13" t="inlineStr">
        <is>
          <t>PULSERA LOVE UNLIMITED SILVER</t>
        </is>
      </c>
      <c r="C949" s="13" t="inlineStr">
        <is>
          <t>21</t>
        </is>
      </c>
      <c r="D949" s="14" t="inlineStr">
        <is>
          <t>Stainless stee</t>
        </is>
      </c>
      <c r="E949" s="13" t="n"/>
      <c r="F949" s="13" t="n"/>
      <c r="G949" s="13" t="n"/>
      <c r="H949" s="13" t="n"/>
      <c r="I949" s="15" t="n">
        <v>15</v>
      </c>
      <c r="J949" s="13" t="n"/>
      <c r="K949" s="13" t="n"/>
      <c r="L949" s="13" t="n"/>
      <c r="M949" s="13" t="n"/>
      <c r="N949" s="15" t="n">
        <v>15</v>
      </c>
      <c r="O949" s="13" t="n"/>
      <c r="P949" s="13" t="n"/>
      <c r="Q949" s="13" t="n"/>
      <c r="R949" s="16">
        <f>IF(COUNT(E949:Q949)=0,"",MIN(E949:Q949))</f>
        <v/>
      </c>
      <c r="S949" s="15">
        <f>IF(COUNT(E949:Q949)=0,"",LOOKUP(2,1/(E949:Q949&lt;&gt;""),E949:Q949))</f>
        <v/>
      </c>
      <c r="T949" s="17">
        <f>IF(R949="","",ROUND(R949*RESUMEN!$B$4,0))</f>
        <v/>
      </c>
      <c r="U949" s="18">
        <f>COUNT(E949:Q949)</f>
        <v/>
      </c>
    </row>
    <row r="950">
      <c r="A950" s="13" t="inlineStr">
        <is>
          <t>22064321560717</t>
        </is>
      </c>
      <c r="B950" s="13" t="inlineStr">
        <is>
          <t>PULSERA LOVE-LOVE GOLD ZIRCONIAS</t>
        </is>
      </c>
      <c r="C950" s="13" t="inlineStr">
        <is>
          <t>Default Title</t>
        </is>
      </c>
      <c r="D950" s="14" t="inlineStr">
        <is>
          <t>stainless stee</t>
        </is>
      </c>
      <c r="E950" s="13" t="n"/>
      <c r="F950" s="13" t="n"/>
      <c r="G950" s="13" t="n"/>
      <c r="H950" s="13" t="n"/>
      <c r="I950" s="13" t="n"/>
      <c r="J950" s="13" t="n"/>
      <c r="K950" s="15" t="n">
        <v>5</v>
      </c>
      <c r="L950" s="13" t="n"/>
      <c r="M950" s="13" t="n"/>
      <c r="N950" s="13" t="n"/>
      <c r="O950" s="13" t="n"/>
      <c r="P950" s="13" t="n"/>
      <c r="Q950" s="15" t="n">
        <v>5</v>
      </c>
      <c r="R950" s="16">
        <f>IF(COUNT(E950:Q950)=0,"",MIN(E950:Q950))</f>
        <v/>
      </c>
      <c r="S950" s="15">
        <f>IF(COUNT(E950:Q950)=0,"",LOOKUP(2,1/(E950:Q950&lt;&gt;""),E950:Q950))</f>
        <v/>
      </c>
      <c r="T950" s="17">
        <f>IF(R950="","",ROUND(R950*RESUMEN!$B$4,0))</f>
        <v/>
      </c>
      <c r="U950" s="18">
        <f>COUNT(E950:Q950)</f>
        <v/>
      </c>
    </row>
    <row r="951">
      <c r="A951" s="13" t="inlineStr">
        <is>
          <t>87401991025249</t>
        </is>
      </c>
      <c r="B951" s="13" t="inlineStr">
        <is>
          <t>PULSERA LOVESTRUCK</t>
        </is>
      </c>
      <c r="C951" s="13" t="inlineStr">
        <is>
          <t>18 cm</t>
        </is>
      </c>
      <c r="D951" s="14" t="inlineStr"/>
      <c r="E951" s="13" t="n"/>
      <c r="F951" s="13" t="n"/>
      <c r="G951" s="13" t="n"/>
      <c r="H951" s="13" t="n"/>
      <c r="I951" s="13" t="n"/>
      <c r="J951" s="13" t="n"/>
      <c r="K951" s="15" t="n">
        <v>6</v>
      </c>
      <c r="L951" s="13" t="n"/>
      <c r="M951" s="13" t="n"/>
      <c r="N951" s="13" t="n"/>
      <c r="O951" s="13" t="n"/>
      <c r="P951" s="13" t="n"/>
      <c r="Q951" s="13" t="n"/>
      <c r="R951" s="16">
        <f>IF(COUNT(E951:Q951)=0,"",MIN(E951:Q951))</f>
        <v/>
      </c>
      <c r="S951" s="15">
        <f>IF(COUNT(E951:Q951)=0,"",LOOKUP(2,1/(E951:Q951&lt;&gt;""),E951:Q951))</f>
        <v/>
      </c>
      <c r="T951" s="17">
        <f>IF(R951="","",ROUND(R951*RESUMEN!$B$4,0))</f>
        <v/>
      </c>
      <c r="U951" s="18">
        <f>COUNT(E951:Q951)</f>
        <v/>
      </c>
    </row>
    <row r="952">
      <c r="A952" s="13" t="inlineStr">
        <is>
          <t>67201531075373</t>
        </is>
      </c>
      <c r="B952" s="13" t="inlineStr">
        <is>
          <t>PULSERA LUCKY GOLD CD</t>
        </is>
      </c>
      <c r="C952" s="13" t="inlineStr">
        <is>
          <t>HIGH QUALITY</t>
        </is>
      </c>
      <c r="D952" s="14" t="inlineStr">
        <is>
          <t>copper alloy</t>
        </is>
      </c>
      <c r="E952" s="13" t="n"/>
      <c r="F952" s="13" t="n"/>
      <c r="G952" s="13" t="n"/>
      <c r="H952" s="15" t="n">
        <v>6</v>
      </c>
      <c r="I952" s="15" t="n">
        <v>6</v>
      </c>
      <c r="J952" s="13" t="n"/>
      <c r="K952" s="13" t="n"/>
      <c r="L952" s="13" t="n"/>
      <c r="M952" s="13" t="n"/>
      <c r="N952" s="13" t="n"/>
      <c r="O952" s="13" t="n"/>
      <c r="P952" s="15" t="n">
        <v>6</v>
      </c>
      <c r="Q952" s="15" t="n">
        <v>6</v>
      </c>
      <c r="R952" s="16">
        <f>IF(COUNT(E952:Q952)=0,"",MIN(E952:Q952))</f>
        <v/>
      </c>
      <c r="S952" s="15">
        <f>IF(COUNT(E952:Q952)=0,"",LOOKUP(2,1/(E952:Q952&lt;&gt;""),E952:Q952))</f>
        <v/>
      </c>
      <c r="T952" s="17">
        <f>IF(R952="","",ROUND(R952*RESUMEN!$B$4,0))</f>
        <v/>
      </c>
      <c r="U952" s="18">
        <f>COUNT(E952:Q952)</f>
        <v/>
      </c>
    </row>
    <row r="953">
      <c r="A953" s="13" t="inlineStr">
        <is>
          <t>66360701088653</t>
        </is>
      </c>
      <c r="B953" s="13" t="inlineStr">
        <is>
          <t>PULSERA LUCKY SILVER CD</t>
        </is>
      </c>
      <c r="C953" s="13" t="inlineStr">
        <is>
          <t>Default Title</t>
        </is>
      </c>
      <c r="D953" s="14" t="inlineStr">
        <is>
          <t>Copper Alloy</t>
        </is>
      </c>
      <c r="E953" s="15" t="n">
        <v>6</v>
      </c>
      <c r="F953" s="13" t="n"/>
      <c r="G953" s="13" t="n"/>
      <c r="H953" s="13" t="n"/>
      <c r="I953" s="13" t="n"/>
      <c r="J953" s="15" t="n">
        <v>6</v>
      </c>
      <c r="K953" s="13" t="n"/>
      <c r="L953" s="13" t="n"/>
      <c r="M953" s="13" t="n"/>
      <c r="N953" s="13" t="n"/>
      <c r="O953" s="15" t="n">
        <v>6</v>
      </c>
      <c r="P953" s="13" t="n"/>
      <c r="Q953" s="13" t="n"/>
      <c r="R953" s="16">
        <f>IF(COUNT(E953:Q953)=0,"",MIN(E953:Q953))</f>
        <v/>
      </c>
      <c r="S953" s="15">
        <f>IF(COUNT(E953:Q953)=0,"",LOOKUP(2,1/(E953:Q953&lt;&gt;""),E953:Q953))</f>
        <v/>
      </c>
      <c r="T953" s="17">
        <f>IF(R953="","",ROUND(R953*RESUMEN!$B$4,0))</f>
        <v/>
      </c>
      <c r="U953" s="18">
        <f>COUNT(E953:Q953)</f>
        <v/>
      </c>
    </row>
    <row r="954">
      <c r="A954" s="13" t="inlineStr">
        <is>
          <t>67201535214413</t>
        </is>
      </c>
      <c r="B954" s="13" t="inlineStr">
        <is>
          <t>PULSERA LUCKY SPRING ROSE GOLD VF</t>
        </is>
      </c>
      <c r="C954" s="13" t="inlineStr">
        <is>
          <t>Default Title</t>
        </is>
      </c>
      <c r="D954" s="14" t="inlineStr">
        <is>
          <t>Copper Alloy</t>
        </is>
      </c>
      <c r="E954" s="15" t="n">
        <v>7</v>
      </c>
      <c r="F954" s="13" t="n"/>
      <c r="G954" s="13" t="n"/>
      <c r="H954" s="15" t="n">
        <v>7</v>
      </c>
      <c r="I954" s="15" t="n">
        <v>7</v>
      </c>
      <c r="J954" s="13" t="n"/>
      <c r="K954" s="13" t="n"/>
      <c r="L954" s="15" t="n">
        <v>7</v>
      </c>
      <c r="M954" s="13" t="n"/>
      <c r="N954" s="13" t="n"/>
      <c r="O954" s="15" t="n">
        <v>7</v>
      </c>
      <c r="P954" s="13" t="n"/>
      <c r="Q954" s="15" t="n">
        <v>7</v>
      </c>
      <c r="R954" s="16">
        <f>IF(COUNT(E954:Q954)=0,"",MIN(E954:Q954))</f>
        <v/>
      </c>
      <c r="S954" s="15">
        <f>IF(COUNT(E954:Q954)=0,"",LOOKUP(2,1/(E954:Q954&lt;&gt;""),E954:Q954))</f>
        <v/>
      </c>
      <c r="T954" s="17">
        <f>IF(R954="","",ROUND(R954*RESUMEN!$B$4,0))</f>
        <v/>
      </c>
      <c r="U954" s="18">
        <f>COUNT(E954:Q954)</f>
        <v/>
      </c>
    </row>
    <row r="955">
      <c r="A955" s="13" t="inlineStr">
        <is>
          <t>15104861653453</t>
        </is>
      </c>
      <c r="B955" s="13" t="inlineStr">
        <is>
          <t>PULSERA LV BLOSSOM ROSE GOLD RED</t>
        </is>
      </c>
      <c r="C955" s="13" t="inlineStr">
        <is>
          <t>Default Title</t>
        </is>
      </c>
      <c r="D955" s="14" t="inlineStr">
        <is>
          <t>Stainless stee</t>
        </is>
      </c>
      <c r="E955" s="13" t="n"/>
      <c r="F955" s="13" t="n"/>
      <c r="G955" s="13" t="n"/>
      <c r="H955" s="13" t="n"/>
      <c r="I955" s="13" t="n"/>
      <c r="J955" s="13" t="n"/>
      <c r="K955" s="15" t="n">
        <v>11</v>
      </c>
      <c r="L955" s="13" t="n"/>
      <c r="M955" s="13" t="n"/>
      <c r="N955" s="15" t="n">
        <v>11</v>
      </c>
      <c r="O955" s="13" t="n"/>
      <c r="P955" s="13" t="n"/>
      <c r="Q955" s="13" t="n"/>
      <c r="R955" s="16">
        <f>IF(COUNT(E955:Q955)=0,"",MIN(E955:Q955))</f>
        <v/>
      </c>
      <c r="S955" s="15">
        <f>IF(COUNT(E955:Q955)=0,"",LOOKUP(2,1/(E955:Q955&lt;&gt;""),E955:Q955))</f>
        <v/>
      </c>
      <c r="T955" s="17">
        <f>IF(R955="","",ROUND(R955*RESUMEN!$B$4,0))</f>
        <v/>
      </c>
      <c r="U955" s="18">
        <f>COUNT(E955:Q955)</f>
        <v/>
      </c>
    </row>
    <row r="956">
      <c r="A956" s="13" t="inlineStr">
        <is>
          <t>81078751264237</t>
        </is>
      </c>
      <c r="B956" s="13" t="inlineStr">
        <is>
          <t>PULSERA LV BLOSSOM ROSEGOLD ZIRCONIAS</t>
        </is>
      </c>
      <c r="C956" s="13" t="inlineStr">
        <is>
          <t>Default Title</t>
        </is>
      </c>
      <c r="D956" s="14" t="inlineStr">
        <is>
          <t>Stainless stee</t>
        </is>
      </c>
      <c r="E956" s="13" t="n"/>
      <c r="F956" s="13" t="n"/>
      <c r="G956" s="15" t="n">
        <v>6.99</v>
      </c>
      <c r="H956" s="13" t="n"/>
      <c r="I956" s="13" t="n"/>
      <c r="J956" s="13" t="n"/>
      <c r="K956" s="13" t="n"/>
      <c r="L956" s="13" t="n"/>
      <c r="M956" s="15" t="n">
        <v>7</v>
      </c>
      <c r="N956" s="15" t="n">
        <v>7</v>
      </c>
      <c r="O956" s="13" t="n"/>
      <c r="P956" s="13" t="n"/>
      <c r="Q956" s="13" t="n"/>
      <c r="R956" s="16">
        <f>IF(COUNT(E956:Q956)=0,"",MIN(E956:Q956))</f>
        <v/>
      </c>
      <c r="S956" s="15">
        <f>IF(COUNT(E956:Q956)=0,"",LOOKUP(2,1/(E956:Q956&lt;&gt;""),E956:Q956))</f>
        <v/>
      </c>
      <c r="T956" s="17">
        <f>IF(R956="","",ROUND(R956*RESUMEN!$B$4,0))</f>
        <v/>
      </c>
      <c r="U956" s="18">
        <f>COUNT(E956:Q956)</f>
        <v/>
      </c>
    </row>
    <row r="957">
      <c r="A957" s="13" t="inlineStr">
        <is>
          <t>17964142743629</t>
        </is>
      </c>
      <c r="B957" s="13" t="inlineStr">
        <is>
          <t>PULSERA LV DAMIER MONOGRAM</t>
        </is>
      </c>
      <c r="C957" s="13" t="inlineStr">
        <is>
          <t>18CM</t>
        </is>
      </c>
      <c r="D957" s="14" t="inlineStr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5" t="n">
        <v>15</v>
      </c>
      <c r="P957" s="15" t="n">
        <v>15</v>
      </c>
      <c r="Q957" s="13" t="n"/>
      <c r="R957" s="16">
        <f>IF(COUNT(E957:Q957)=0,"",MIN(E957:Q957))</f>
        <v/>
      </c>
      <c r="S957" s="15">
        <f>IF(COUNT(E957:Q957)=0,"",LOOKUP(2,1/(E957:Q957&lt;&gt;""),E957:Q957))</f>
        <v/>
      </c>
      <c r="T957" s="17">
        <f>IF(R957="","",ROUND(R957*RESUMEN!$B$4,0))</f>
        <v/>
      </c>
      <c r="U957" s="18">
        <f>COUNT(E957:Q957)</f>
        <v/>
      </c>
    </row>
    <row r="958">
      <c r="A958" s="13" t="inlineStr">
        <is>
          <t>17964141313165</t>
        </is>
      </c>
      <c r="B958" s="13" t="inlineStr">
        <is>
          <t>PULSERA LV DAMIER STAPLES SOO</t>
        </is>
      </c>
      <c r="C958" s="13" t="inlineStr">
        <is>
          <t>Default Title</t>
        </is>
      </c>
      <c r="D958" s="14" t="inlineStr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5" t="n">
        <v>9</v>
      </c>
      <c r="P958" s="13" t="n"/>
      <c r="Q958" s="13" t="n"/>
      <c r="R958" s="16">
        <f>IF(COUNT(E958:Q958)=0,"",MIN(E958:Q958))</f>
        <v/>
      </c>
      <c r="S958" s="15">
        <f>IF(COUNT(E958:Q958)=0,"",LOOKUP(2,1/(E958:Q958&lt;&gt;""),E958:Q958))</f>
        <v/>
      </c>
      <c r="T958" s="17">
        <f>IF(R958="","",ROUND(R958*RESUMEN!$B$4,0))</f>
        <v/>
      </c>
      <c r="U958" s="18">
        <f>COUNT(E958:Q958)</f>
        <v/>
      </c>
    </row>
    <row r="959">
      <c r="A959" s="13" t="inlineStr">
        <is>
          <t>89845001062349</t>
        </is>
      </c>
      <c r="B959" s="13" t="inlineStr">
        <is>
          <t>PULSERA LV FLOWER ROSEGOLD CON ZIRCONIAS</t>
        </is>
      </c>
      <c r="C959" s="13" t="inlineStr">
        <is>
          <t>Default Title</t>
        </is>
      </c>
      <c r="D959" s="14" t="inlineStr">
        <is>
          <t>Copper Alloy</t>
        </is>
      </c>
      <c r="E959" s="13" t="n"/>
      <c r="F959" s="15" t="n">
        <v>11</v>
      </c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5" t="n">
        <v>11</v>
      </c>
      <c r="R959" s="16">
        <f>IF(COUNT(E959:Q959)=0,"",MIN(E959:Q959))</f>
        <v/>
      </c>
      <c r="S959" s="15">
        <f>IF(COUNT(E959:Q959)=0,"",LOOKUP(2,1/(E959:Q959&lt;&gt;""),E959:Q959))</f>
        <v/>
      </c>
      <c r="T959" s="17">
        <f>IF(R959="","",ROUND(R959*RESUMEN!$B$4,0))</f>
        <v/>
      </c>
      <c r="U959" s="18">
        <f>COUNT(E959:Q959)</f>
        <v/>
      </c>
    </row>
    <row r="960">
      <c r="A960" s="13" t="inlineStr">
        <is>
          <t>14512841047597</t>
        </is>
      </c>
      <c r="B960" s="13" t="inlineStr">
        <is>
          <t>PULSERA LV IDYLLE BLOSSOM GOLD</t>
        </is>
      </c>
      <c r="C960" s="13" t="inlineStr">
        <is>
          <t>Default Title</t>
        </is>
      </c>
      <c r="D960" s="14" t="inlineStr">
        <is>
          <t>Stainless stee</t>
        </is>
      </c>
      <c r="E960" s="13" t="n"/>
      <c r="F960" s="15" t="n">
        <v>11</v>
      </c>
      <c r="G960" s="13" t="n"/>
      <c r="H960" s="13" t="n"/>
      <c r="I960" s="13" t="n"/>
      <c r="J960" s="13" t="n"/>
      <c r="K960" s="13" t="n"/>
      <c r="L960" s="13" t="n"/>
      <c r="M960" s="13" t="n"/>
      <c r="N960" s="15" t="n">
        <v>11</v>
      </c>
      <c r="O960" s="13" t="n"/>
      <c r="P960" s="13" t="n"/>
      <c r="Q960" s="13" t="n"/>
      <c r="R960" s="16">
        <f>IF(COUNT(E960:Q960)=0,"",MIN(E960:Q960))</f>
        <v/>
      </c>
      <c r="S960" s="15">
        <f>IF(COUNT(E960:Q960)=0,"",LOOKUP(2,1/(E960:Q960&lt;&gt;""),E960:Q960))</f>
        <v/>
      </c>
      <c r="T960" s="17">
        <f>IF(R960="","",ROUND(R960*RESUMEN!$B$4,0))</f>
        <v/>
      </c>
      <c r="U960" s="18">
        <f>COUNT(E960:Q960)</f>
        <v/>
      </c>
    </row>
    <row r="961">
      <c r="A961" s="13" t="inlineStr">
        <is>
          <t>71078751021293</t>
        </is>
      </c>
      <c r="B961" s="13" t="inlineStr">
        <is>
          <t>PULSERA LV IDYLLE SILVER</t>
        </is>
      </c>
      <c r="C961" s="13" t="inlineStr">
        <is>
          <t>Default Title</t>
        </is>
      </c>
      <c r="D961" s="14" t="inlineStr">
        <is>
          <t>Stainless stee</t>
        </is>
      </c>
      <c r="E961" s="13" t="n"/>
      <c r="F961" s="13" t="n"/>
      <c r="G961" s="15" t="n">
        <v>6.99</v>
      </c>
      <c r="H961" s="13" t="n"/>
      <c r="I961" s="13" t="n"/>
      <c r="J961" s="15" t="n">
        <v>6.99</v>
      </c>
      <c r="K961" s="13" t="n"/>
      <c r="L961" s="15" t="n">
        <v>6.99</v>
      </c>
      <c r="M961" s="13" t="n"/>
      <c r="N961" s="13" t="n"/>
      <c r="O961" s="13" t="n"/>
      <c r="P961" s="13" t="n"/>
      <c r="Q961" s="13" t="n"/>
      <c r="R961" s="16">
        <f>IF(COUNT(E961:Q961)=0,"",MIN(E961:Q961))</f>
        <v/>
      </c>
      <c r="S961" s="15">
        <f>IF(COUNT(E961:Q961)=0,"",LOOKUP(2,1/(E961:Q961&lt;&gt;""),E961:Q961))</f>
        <v/>
      </c>
      <c r="T961" s="17">
        <f>IF(R961="","",ROUND(R961*RESUMEN!$B$4,0))</f>
        <v/>
      </c>
      <c r="U961" s="18">
        <f>COUNT(E961:Q961)</f>
        <v/>
      </c>
    </row>
    <row r="962">
      <c r="A962" s="13" t="inlineStr">
        <is>
          <t>17964141219949</t>
        </is>
      </c>
      <c r="B962" s="13" t="inlineStr">
        <is>
          <t>PULSERA LV MONOGRAM BOLD SOO</t>
        </is>
      </c>
      <c r="C962" s="13" t="inlineStr">
        <is>
          <t>Default Title</t>
        </is>
      </c>
      <c r="D962" s="14" t="inlineStr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5" t="n">
        <v>8.99</v>
      </c>
      <c r="P962" s="13" t="n"/>
      <c r="Q962" s="13" t="n"/>
      <c r="R962" s="16">
        <f>IF(COUNT(E962:Q962)=0,"",MIN(E962:Q962))</f>
        <v/>
      </c>
      <c r="S962" s="15">
        <f>IF(COUNT(E962:Q962)=0,"",LOOKUP(2,1/(E962:Q962&lt;&gt;""),E962:Q962))</f>
        <v/>
      </c>
      <c r="T962" s="17">
        <f>IF(R962="","",ROUND(R962*RESUMEN!$B$4,0))</f>
        <v/>
      </c>
      <c r="U962" s="18">
        <f>COUNT(E962:Q962)</f>
        <v/>
      </c>
    </row>
    <row r="963">
      <c r="A963" s="13" t="inlineStr">
        <is>
          <t>17964142645325</t>
        </is>
      </c>
      <c r="B963" s="13" t="inlineStr">
        <is>
          <t>PULSERA LV MONOGRAM CHAIN SOO</t>
        </is>
      </c>
      <c r="C963" s="13" t="inlineStr">
        <is>
          <t>18CM</t>
        </is>
      </c>
      <c r="D963" s="14" t="inlineStr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5" t="n">
        <v>18</v>
      </c>
      <c r="P963" s="15" t="n">
        <v>18</v>
      </c>
      <c r="Q963" s="13" t="n"/>
      <c r="R963" s="16">
        <f>IF(COUNT(E963:Q963)=0,"",MIN(E963:Q963))</f>
        <v/>
      </c>
      <c r="S963" s="15">
        <f>IF(COUNT(E963:Q963)=0,"",LOOKUP(2,1/(E963:Q963&lt;&gt;""),E963:Q963))</f>
        <v/>
      </c>
      <c r="T963" s="17">
        <f>IF(R963="","",ROUND(R963*RESUMEN!$B$4,0))</f>
        <v/>
      </c>
      <c r="U963" s="18">
        <f>COUNT(E963:Q963)</f>
        <v/>
      </c>
    </row>
    <row r="964">
      <c r="A964" s="13" t="inlineStr">
        <is>
          <t>81078751122989</t>
        </is>
      </c>
      <c r="B964" s="13" t="inlineStr">
        <is>
          <t>PULSERA LV MULTIBLOSSOM ROSEGOLD</t>
        </is>
      </c>
      <c r="C964" s="13" t="inlineStr">
        <is>
          <t>Default Title</t>
        </is>
      </c>
      <c r="D964" s="14" t="inlineStr"/>
      <c r="E964" s="13" t="n"/>
      <c r="F964" s="13" t="n"/>
      <c r="G964" s="15" t="n">
        <v>11</v>
      </c>
      <c r="H964" s="13" t="n"/>
      <c r="I964" s="13" t="n"/>
      <c r="J964" s="15" t="n">
        <v>11</v>
      </c>
      <c r="K964" s="13" t="n"/>
      <c r="L964" s="13" t="n"/>
      <c r="M964" s="13" t="n"/>
      <c r="N964" s="13" t="n"/>
      <c r="O964" s="13" t="n"/>
      <c r="P964" s="13" t="n"/>
      <c r="Q964" s="13" t="n"/>
      <c r="R964" s="16">
        <f>IF(COUNT(E964:Q964)=0,"",MIN(E964:Q964))</f>
        <v/>
      </c>
      <c r="S964" s="15">
        <f>IF(COUNT(E964:Q964)=0,"",LOOKUP(2,1/(E964:Q964&lt;&gt;""),E964:Q964))</f>
        <v/>
      </c>
      <c r="T964" s="17">
        <f>IF(R964="","",ROUND(R964*RESUMEN!$B$4,0))</f>
        <v/>
      </c>
      <c r="U964" s="18">
        <f>COUNT(E964:Q964)</f>
        <v/>
      </c>
    </row>
    <row r="965">
      <c r="A965" s="13" t="inlineStr">
        <is>
          <t>15104861720685</t>
        </is>
      </c>
      <c r="B965" s="13" t="inlineStr">
        <is>
          <t>PULSERA LV SILVER LOGOS PEARL</t>
        </is>
      </c>
      <c r="C965" s="13" t="inlineStr">
        <is>
          <t>Default Title</t>
        </is>
      </c>
      <c r="D965" s="14" t="inlineStr"/>
      <c r="E965" s="13" t="n"/>
      <c r="F965" s="13" t="n"/>
      <c r="G965" s="13" t="n"/>
      <c r="H965" s="13" t="n"/>
      <c r="I965" s="13" t="n"/>
      <c r="J965" s="13" t="n"/>
      <c r="K965" s="15" t="n">
        <v>13</v>
      </c>
      <c r="L965" s="13" t="n"/>
      <c r="M965" s="13" t="n"/>
      <c r="N965" s="13" t="n"/>
      <c r="O965" s="13" t="n"/>
      <c r="P965" s="13" t="n"/>
      <c r="Q965" s="13" t="n"/>
      <c r="R965" s="16">
        <f>IF(COUNT(E965:Q965)=0,"",MIN(E965:Q965))</f>
        <v/>
      </c>
      <c r="S965" s="15">
        <f>IF(COUNT(E965:Q965)=0,"",LOOKUP(2,1/(E965:Q965&lt;&gt;""),E965:Q965))</f>
        <v/>
      </c>
      <c r="T965" s="17">
        <f>IF(R965="","",ROUND(R965*RESUMEN!$B$4,0))</f>
        <v/>
      </c>
      <c r="U965" s="18">
        <f>COUNT(E965:Q965)</f>
        <v/>
      </c>
    </row>
    <row r="966">
      <c r="A966" s="13" t="inlineStr">
        <is>
          <t>37491253271052</t>
        </is>
      </c>
      <c r="B966" s="13" t="inlineStr">
        <is>
          <t>PULSERA MARIQUITA VF</t>
        </is>
      </c>
      <c r="C966" s="13" t="inlineStr">
        <is>
          <t>17cm con 2cm de extensión</t>
        </is>
      </c>
      <c r="D966" s="14" t="inlineStr">
        <is>
          <t>copper alloy</t>
        </is>
      </c>
      <c r="E966" s="15" t="n">
        <v>6</v>
      </c>
      <c r="F966" s="13" t="n"/>
      <c r="G966" s="13" t="n"/>
      <c r="H966" s="15" t="n">
        <v>6</v>
      </c>
      <c r="I966" s="15" t="n">
        <v>6</v>
      </c>
      <c r="J966" s="15" t="n">
        <v>6</v>
      </c>
      <c r="K966" s="13" t="n"/>
      <c r="L966" s="15" t="n">
        <v>6</v>
      </c>
      <c r="M966" s="13" t="n"/>
      <c r="N966" s="13" t="n"/>
      <c r="O966" s="13" t="n"/>
      <c r="P966" s="13" t="n"/>
      <c r="Q966" s="15" t="n">
        <v>6</v>
      </c>
      <c r="R966" s="16">
        <f>IF(COUNT(E966:Q966)=0,"",MIN(E966:Q966))</f>
        <v/>
      </c>
      <c r="S966" s="15">
        <f>IF(COUNT(E966:Q966)=0,"",LOOKUP(2,1/(E966:Q966&lt;&gt;""),E966:Q966))</f>
        <v/>
      </c>
      <c r="T966" s="17">
        <f>IF(R966="","",ROUND(R966*RESUMEN!$B$4,0))</f>
        <v/>
      </c>
      <c r="U966" s="18">
        <f>COUNT(E966:Q966)</f>
        <v/>
      </c>
    </row>
    <row r="967">
      <c r="A967" s="13" t="inlineStr">
        <is>
          <t>57529861058989</t>
        </is>
      </c>
      <c r="B967" s="13" t="inlineStr">
        <is>
          <t>PULSERA MM GOLD-BLACK</t>
        </is>
      </c>
      <c r="C967" s="13" t="inlineStr">
        <is>
          <t>Default Title</t>
        </is>
      </c>
      <c r="D967" s="14" t="inlineStr">
        <is>
          <t>Stainless Stee</t>
        </is>
      </c>
      <c r="E967" s="13" t="n"/>
      <c r="F967" s="13" t="n"/>
      <c r="G967" s="15" t="n">
        <v>6.99</v>
      </c>
      <c r="H967" s="13" t="n"/>
      <c r="I967" s="13" t="n"/>
      <c r="J967" s="13" t="n"/>
      <c r="K967" s="13" t="n"/>
      <c r="L967" s="13" t="n"/>
      <c r="M967" s="13" t="n"/>
      <c r="N967" s="15" t="n">
        <v>6.99</v>
      </c>
      <c r="O967" s="13" t="n"/>
      <c r="P967" s="15" t="n">
        <v>7.99</v>
      </c>
      <c r="Q967" s="13" t="n"/>
      <c r="R967" s="16">
        <f>IF(COUNT(E967:Q967)=0,"",MIN(E967:Q967))</f>
        <v/>
      </c>
      <c r="S967" s="15">
        <f>IF(COUNT(E967:Q967)=0,"",LOOKUP(2,1/(E967:Q967&lt;&gt;""),E967:Q967))</f>
        <v/>
      </c>
      <c r="T967" s="17">
        <f>IF(R967="","",ROUND(R967*RESUMEN!$B$4,0))</f>
        <v/>
      </c>
      <c r="U967" s="18">
        <f>COUNT(E967:Q967)</f>
        <v/>
      </c>
    </row>
    <row r="968">
      <c r="A968" s="13" t="inlineStr">
        <is>
          <t>12314363883437</t>
        </is>
      </c>
      <c r="B968" s="13" t="inlineStr">
        <is>
          <t>PULSERA MM GOLD-WHITE</t>
        </is>
      </c>
      <c r="C968" s="13" t="inlineStr">
        <is>
          <t>Default Title</t>
        </is>
      </c>
      <c r="D968" s="14" t="inlineStr">
        <is>
          <t>Stainless Stee</t>
        </is>
      </c>
      <c r="E968" s="13" t="n"/>
      <c r="F968" s="13" t="n"/>
      <c r="G968" s="13" t="n"/>
      <c r="H968" s="13" t="n"/>
      <c r="I968" s="13" t="n"/>
      <c r="J968" s="15" t="n">
        <v>6.99</v>
      </c>
      <c r="K968" s="13" t="n"/>
      <c r="L968" s="13" t="n"/>
      <c r="M968" s="13" t="n"/>
      <c r="N968" s="13" t="n"/>
      <c r="O968" s="15" t="n">
        <v>6.99</v>
      </c>
      <c r="P968" s="13" t="n"/>
      <c r="Q968" s="13" t="n"/>
      <c r="R968" s="16">
        <f>IF(COUNT(E968:Q968)=0,"",MIN(E968:Q968))</f>
        <v/>
      </c>
      <c r="S968" s="15">
        <f>IF(COUNT(E968:Q968)=0,"",LOOKUP(2,1/(E968:Q968&lt;&gt;""),E968:Q968))</f>
        <v/>
      </c>
      <c r="T968" s="17">
        <f>IF(R968="","",ROUND(R968*RESUMEN!$B$4,0))</f>
        <v/>
      </c>
      <c r="U968" s="18">
        <f>COUNT(E968:Q968)</f>
        <v/>
      </c>
    </row>
    <row r="969">
      <c r="A969" s="13" t="inlineStr">
        <is>
          <t>72083641016013</t>
        </is>
      </c>
      <c r="B969" s="13" t="inlineStr">
        <is>
          <t>PULSERA MM GOLD-WHITE</t>
        </is>
      </c>
      <c r="C969" s="13" t="inlineStr">
        <is>
          <t>REGULAR</t>
        </is>
      </c>
      <c r="D969" s="14" t="inlineStr"/>
      <c r="E969" s="13" t="n"/>
      <c r="F969" s="13" t="n"/>
      <c r="G969" s="15" t="n">
        <v>6.99</v>
      </c>
      <c r="H969" s="13" t="n"/>
      <c r="I969" s="13" t="n"/>
      <c r="J969" s="13" t="n"/>
      <c r="K969" s="13" t="n"/>
      <c r="L969" s="15" t="n">
        <v>6.99</v>
      </c>
      <c r="M969" s="13" t="n"/>
      <c r="N969" s="13" t="n"/>
      <c r="O969" s="13" t="n"/>
      <c r="P969" s="13" t="n"/>
      <c r="Q969" s="13" t="n"/>
      <c r="R969" s="16">
        <f>IF(COUNT(E969:Q969)=0,"",MIN(E969:Q969))</f>
        <v/>
      </c>
      <c r="S969" s="15">
        <f>IF(COUNT(E969:Q969)=0,"",LOOKUP(2,1/(E969:Q969&lt;&gt;""),E969:Q969))</f>
        <v/>
      </c>
      <c r="T969" s="17">
        <f>IF(R969="","",ROUND(R969*RESUMEN!$B$4,0))</f>
        <v/>
      </c>
      <c r="U969" s="18">
        <f>COUNT(E969:Q969)</f>
        <v/>
      </c>
    </row>
    <row r="970">
      <c r="A970" s="13" t="inlineStr">
        <is>
          <t>12314363611117</t>
        </is>
      </c>
      <c r="B970" s="13" t="inlineStr">
        <is>
          <t>PULSERA MM SILVER-WHITE</t>
        </is>
      </c>
      <c r="C970" s="13" t="inlineStr">
        <is>
          <t>Default Title</t>
        </is>
      </c>
      <c r="D970" s="14" t="inlineStr">
        <is>
          <t>Stainless stee</t>
        </is>
      </c>
      <c r="E970" s="13" t="n"/>
      <c r="F970" s="13" t="n"/>
      <c r="G970" s="15" t="n">
        <v>6.99</v>
      </c>
      <c r="H970" s="13" t="n"/>
      <c r="I970" s="13" t="n"/>
      <c r="J970" s="15" t="n">
        <v>6.99</v>
      </c>
      <c r="K970" s="13" t="n"/>
      <c r="L970" s="13" t="n"/>
      <c r="M970" s="13" t="n"/>
      <c r="N970" s="15" t="n">
        <v>6.99</v>
      </c>
      <c r="O970" s="13" t="n"/>
      <c r="P970" s="13" t="n"/>
      <c r="Q970" s="13" t="n"/>
      <c r="R970" s="16">
        <f>IF(COUNT(E970:Q970)=0,"",MIN(E970:Q970))</f>
        <v/>
      </c>
      <c r="S970" s="15">
        <f>IF(COUNT(E970:Q970)=0,"",LOOKUP(2,1/(E970:Q970&lt;&gt;""),E970:Q970))</f>
        <v/>
      </c>
      <c r="T970" s="17">
        <f>IF(R970="","",ROUND(R970*RESUMEN!$B$4,0))</f>
        <v/>
      </c>
      <c r="U970" s="18">
        <f>COUNT(E970:Q970)</f>
        <v/>
      </c>
    </row>
    <row r="971">
      <c r="A971" s="13" t="inlineStr">
        <is>
          <t>66075802259373</t>
        </is>
      </c>
      <c r="B971" s="13" t="inlineStr">
        <is>
          <t>PULSERA MONTAIGNE GOLD CD</t>
        </is>
      </c>
      <c r="C971" s="13" t="inlineStr">
        <is>
          <t>20 CM</t>
        </is>
      </c>
      <c r="D971" s="14" t="inlineStr">
        <is>
          <t>Copper Alloy</t>
        </is>
      </c>
      <c r="E971" s="15" t="n">
        <v>7</v>
      </c>
      <c r="F971" s="13" t="n"/>
      <c r="G971" s="13" t="n"/>
      <c r="H971" s="13" t="n"/>
      <c r="I971" s="15" t="n">
        <v>7</v>
      </c>
      <c r="J971" s="13" t="n"/>
      <c r="K971" s="13" t="n"/>
      <c r="L971" s="13" t="n"/>
      <c r="M971" s="13" t="n"/>
      <c r="N971" s="15" t="n">
        <v>7</v>
      </c>
      <c r="O971" s="15" t="n">
        <v>7</v>
      </c>
      <c r="P971" s="13" t="n"/>
      <c r="Q971" s="15" t="n">
        <v>7</v>
      </c>
      <c r="R971" s="16">
        <f>IF(COUNT(E971:Q971)=0,"",MIN(E971:Q971))</f>
        <v/>
      </c>
      <c r="S971" s="15">
        <f>IF(COUNT(E971:Q971)=0,"",LOOKUP(2,1/(E971:Q971&lt;&gt;""),E971:Q971))</f>
        <v/>
      </c>
      <c r="T971" s="17">
        <f>IF(R971="","",ROUND(R971*RESUMEN!$B$4,0))</f>
        <v/>
      </c>
      <c r="U971" s="18">
        <f>COUNT(E971:Q971)</f>
        <v/>
      </c>
    </row>
    <row r="972">
      <c r="A972" s="13" t="inlineStr">
        <is>
          <t>15554121796653</t>
        </is>
      </c>
      <c r="B972" s="13" t="inlineStr">
        <is>
          <t>PULSERA MOVE CORDON PAVÉ</t>
        </is>
      </c>
      <c r="C972" s="13" t="inlineStr">
        <is>
          <t>Default Title</t>
        </is>
      </c>
      <c r="D972" s="14" t="inlineStr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5" t="n">
        <v>8</v>
      </c>
      <c r="O972" s="13" t="n"/>
      <c r="P972" s="13" t="n"/>
      <c r="Q972" s="13" t="n"/>
      <c r="R972" s="16">
        <f>IF(COUNT(E972:Q972)=0,"",MIN(E972:Q972))</f>
        <v/>
      </c>
      <c r="S972" s="15">
        <f>IF(COUNT(E972:Q972)=0,"",LOOKUP(2,1/(E972:Q972&lt;&gt;""),E972:Q972))</f>
        <v/>
      </c>
      <c r="T972" s="17">
        <f>IF(R972="","",ROUND(R972*RESUMEN!$B$4,0))</f>
        <v/>
      </c>
      <c r="U972" s="18">
        <f>COUNT(E972:Q972)</f>
        <v/>
      </c>
    </row>
    <row r="973">
      <c r="A973" s="13" t="inlineStr">
        <is>
          <t>67201532161837</t>
        </is>
      </c>
      <c r="B973" s="13" t="inlineStr">
        <is>
          <t>PULSERA MSS GOLD</t>
        </is>
      </c>
      <c r="C973" s="13" t="inlineStr">
        <is>
          <t>Default Title</t>
        </is>
      </c>
      <c r="D973" s="14" t="inlineStr">
        <is>
          <t>copper alloy</t>
        </is>
      </c>
      <c r="E973" s="15" t="n">
        <v>7</v>
      </c>
      <c r="F973" s="13" t="n"/>
      <c r="G973" s="13" t="n"/>
      <c r="H973" s="15" t="n">
        <v>7</v>
      </c>
      <c r="I973" s="15" t="n">
        <v>7</v>
      </c>
      <c r="J973" s="13" t="n"/>
      <c r="K973" s="13" t="n"/>
      <c r="L973" s="15" t="n">
        <v>7</v>
      </c>
      <c r="M973" s="13" t="n"/>
      <c r="N973" s="13" t="n"/>
      <c r="O973" s="15" t="n">
        <v>7</v>
      </c>
      <c r="P973" s="15" t="n">
        <v>7</v>
      </c>
      <c r="Q973" s="13" t="n"/>
      <c r="R973" s="16">
        <f>IF(COUNT(E973:Q973)=0,"",MIN(E973:Q973))</f>
        <v/>
      </c>
      <c r="S973" s="15">
        <f>IF(COUNT(E973:Q973)=0,"",LOOKUP(2,1/(E973:Q973&lt;&gt;""),E973:Q973))</f>
        <v/>
      </c>
      <c r="T973" s="17">
        <f>IF(R973="","",ROUND(R973*RESUMEN!$B$4,0))</f>
        <v/>
      </c>
      <c r="U973" s="18">
        <f>COUNT(E973:Q973)</f>
        <v/>
      </c>
    </row>
    <row r="974">
      <c r="A974" s="13" t="inlineStr">
        <is>
          <t>67201532004237</t>
        </is>
      </c>
      <c r="B974" s="13" t="inlineStr">
        <is>
          <t>PULSERA MSS SILVER</t>
        </is>
      </c>
      <c r="C974" s="13" t="inlineStr">
        <is>
          <t>Default Title</t>
        </is>
      </c>
      <c r="D974" s="14" t="inlineStr">
        <is>
          <t>Copper Alloy</t>
        </is>
      </c>
      <c r="E974" s="15" t="n">
        <v>7</v>
      </c>
      <c r="F974" s="15" t="n">
        <v>7</v>
      </c>
      <c r="G974" s="13" t="n"/>
      <c r="H974" s="13" t="n"/>
      <c r="I974" s="15" t="n">
        <v>7</v>
      </c>
      <c r="J974" s="13" t="n"/>
      <c r="K974" s="13" t="n"/>
      <c r="L974" s="15" t="n">
        <v>7</v>
      </c>
      <c r="M974" s="13" t="n"/>
      <c r="N974" s="13" t="n"/>
      <c r="O974" s="15" t="n">
        <v>7</v>
      </c>
      <c r="P974" s="15" t="n">
        <v>7</v>
      </c>
      <c r="Q974" s="13" t="n"/>
      <c r="R974" s="16">
        <f>IF(COUNT(E974:Q974)=0,"",MIN(E974:Q974))</f>
        <v/>
      </c>
      <c r="S974" s="15">
        <f>IF(COUNT(E974:Q974)=0,"",LOOKUP(2,1/(E974:Q974&lt;&gt;""),E974:Q974))</f>
        <v/>
      </c>
      <c r="T974" s="17">
        <f>IF(R974="","",ROUND(R974*RESUMEN!$B$4,0))</f>
        <v/>
      </c>
      <c r="U974" s="18">
        <f>COUNT(E974:Q974)</f>
        <v/>
      </c>
    </row>
    <row r="975">
      <c r="A975" s="13" t="inlineStr">
        <is>
          <t>53283371020909</t>
        </is>
      </c>
      <c r="B975" s="13" t="inlineStr">
        <is>
          <t>PULSERA ONE TRÉBOL GOLD RED</t>
        </is>
      </c>
      <c r="C975" s="13" t="inlineStr">
        <is>
          <t>Default Title</t>
        </is>
      </c>
      <c r="D975" s="14" t="inlineStr">
        <is>
          <t>copper alloy</t>
        </is>
      </c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5" t="n">
        <v>4</v>
      </c>
      <c r="P975" s="13" t="n"/>
      <c r="Q975" s="15" t="n">
        <v>4</v>
      </c>
      <c r="R975" s="16">
        <f>IF(COUNT(E975:Q975)=0,"",MIN(E975:Q975))</f>
        <v/>
      </c>
      <c r="S975" s="15">
        <f>IF(COUNT(E975:Q975)=0,"",LOOKUP(2,1/(E975:Q975&lt;&gt;""),E975:Q975))</f>
        <v/>
      </c>
      <c r="T975" s="17">
        <f>IF(R975="","",ROUND(R975*RESUMEN!$B$4,0))</f>
        <v/>
      </c>
      <c r="U975" s="18">
        <f>COUNT(E975:Q975)</f>
        <v/>
      </c>
    </row>
    <row r="976">
      <c r="A976" s="13" t="inlineStr">
        <is>
          <t>15711171972493</t>
        </is>
      </c>
      <c r="B976" s="13" t="inlineStr">
        <is>
          <t>PULSERA PANTHERE DOBLE CADENA C</t>
        </is>
      </c>
      <c r="C976" s="13" t="inlineStr">
        <is>
          <t>Default Title</t>
        </is>
      </c>
      <c r="D976" s="14" t="inlineStr">
        <is>
          <t>copper alloy</t>
        </is>
      </c>
      <c r="E976" s="13" t="n"/>
      <c r="F976" s="13" t="n"/>
      <c r="G976" s="13" t="n"/>
      <c r="H976" s="15" t="n">
        <v>7</v>
      </c>
      <c r="I976" s="15" t="n">
        <v>7</v>
      </c>
      <c r="J976" s="13" t="n"/>
      <c r="K976" s="13" t="n"/>
      <c r="L976" s="13" t="n"/>
      <c r="M976" s="13" t="n"/>
      <c r="N976" s="13" t="n"/>
      <c r="O976" s="13" t="n"/>
      <c r="P976" s="13" t="n"/>
      <c r="Q976" s="15" t="n">
        <v>7</v>
      </c>
      <c r="R976" s="16">
        <f>IF(COUNT(E976:Q976)=0,"",MIN(E976:Q976))</f>
        <v/>
      </c>
      <c r="S976" s="15">
        <f>IF(COUNT(E976:Q976)=0,"",LOOKUP(2,1/(E976:Q976&lt;&gt;""),E976:Q976))</f>
        <v/>
      </c>
      <c r="T976" s="17">
        <f>IF(R976="","",ROUND(R976*RESUMEN!$B$4,0))</f>
        <v/>
      </c>
      <c r="U976" s="18">
        <f>COUNT(E976:Q976)</f>
        <v/>
      </c>
    </row>
    <row r="977">
      <c r="A977" s="13" t="inlineStr">
        <is>
          <t>66075801735181</t>
        </is>
      </c>
      <c r="B977" s="13" t="inlineStr">
        <is>
          <t>PULSERA PANTHERE SILVER C</t>
        </is>
      </c>
      <c r="C977" s="13" t="inlineStr">
        <is>
          <t>Default Title</t>
        </is>
      </c>
      <c r="D977" s="14" t="inlineStr"/>
      <c r="E977" s="13" t="n"/>
      <c r="F977" s="13" t="n"/>
      <c r="G977" s="13" t="n"/>
      <c r="H977" s="15" t="n">
        <v>8</v>
      </c>
      <c r="I977" s="15" t="n">
        <v>8</v>
      </c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6">
        <f>IF(COUNT(E977:Q977)=0,"",MIN(E977:Q977))</f>
        <v/>
      </c>
      <c r="S977" s="15">
        <f>IF(COUNT(E977:Q977)=0,"",LOOKUP(2,1/(E977:Q977&lt;&gt;""),E977:Q977))</f>
        <v/>
      </c>
      <c r="T977" s="17">
        <f>IF(R977="","",ROUND(R977*RESUMEN!$B$4,0))</f>
        <v/>
      </c>
      <c r="U977" s="18">
        <f>COUNT(E977:Q977)</f>
        <v/>
      </c>
    </row>
    <row r="978">
      <c r="A978" s="13" t="inlineStr">
        <is>
          <t>56481494507404</t>
        </is>
      </c>
      <c r="B978" s="13" t="inlineStr">
        <is>
          <t>PULSERA PASADOR FULL HEART</t>
        </is>
      </c>
      <c r="C978" s="13" t="inlineStr">
        <is>
          <t>17cm</t>
        </is>
      </c>
      <c r="D978" s="14" t="inlineStr">
        <is>
          <t>stainless stee</t>
        </is>
      </c>
      <c r="E978" s="13" t="n"/>
      <c r="F978" s="13" t="n"/>
      <c r="G978" s="13" t="n"/>
      <c r="H978" s="13" t="n"/>
      <c r="I978" s="15" t="n">
        <v>10</v>
      </c>
      <c r="J978" s="13" t="n"/>
      <c r="K978" s="13" t="n"/>
      <c r="L978" s="13" t="n"/>
      <c r="M978" s="15" t="n">
        <v>10</v>
      </c>
      <c r="N978" s="13" t="n"/>
      <c r="O978" s="15" t="n">
        <v>10</v>
      </c>
      <c r="P978" s="13" t="n"/>
      <c r="Q978" s="15" t="n">
        <v>10</v>
      </c>
      <c r="R978" s="16">
        <f>IF(COUNT(E978:Q978)=0,"",MIN(E978:Q978))</f>
        <v/>
      </c>
      <c r="S978" s="15">
        <f>IF(COUNT(E978:Q978)=0,"",LOOKUP(2,1/(E978:Q978&lt;&gt;""),E978:Q978))</f>
        <v/>
      </c>
      <c r="T978" s="17">
        <f>IF(R978="","",ROUND(R978*RESUMEN!$B$4,0))</f>
        <v/>
      </c>
      <c r="U978" s="18">
        <f>COUNT(E978:Q978)</f>
        <v/>
      </c>
    </row>
    <row r="979">
      <c r="A979" s="13" t="inlineStr">
        <is>
          <t>17964141953261</t>
        </is>
      </c>
      <c r="B979" s="13" t="inlineStr">
        <is>
          <t>PULSERA PR SYMBOLE</t>
        </is>
      </c>
      <c r="C979" s="13" t="inlineStr">
        <is>
          <t>18CM</t>
        </is>
      </c>
      <c r="D979" s="14" t="inlineStr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5" t="n">
        <v>8.99</v>
      </c>
      <c r="P979" s="13" t="n"/>
      <c r="Q979" s="13" t="n"/>
      <c r="R979" s="16">
        <f>IF(COUNT(E979:Q979)=0,"",MIN(E979:Q979))</f>
        <v/>
      </c>
      <c r="S979" s="15">
        <f>IF(COUNT(E979:Q979)=0,"",LOOKUP(2,1/(E979:Q979&lt;&gt;""),E979:Q979))</f>
        <v/>
      </c>
      <c r="T979" s="17">
        <f>IF(R979="","",ROUND(R979*RESUMEN!$B$4,0))</f>
        <v/>
      </c>
      <c r="U979" s="18">
        <f>COUNT(E979:Q979)</f>
        <v/>
      </c>
    </row>
    <row r="980">
      <c r="A980" s="13" t="inlineStr">
        <is>
          <t>75012331065165</t>
        </is>
      </c>
      <c r="B980" s="13" t="inlineStr">
        <is>
          <t>PULSERA SIGNATURE ROSEGOLD VF</t>
        </is>
      </c>
      <c r="C980" s="13" t="inlineStr">
        <is>
          <t>16CM</t>
        </is>
      </c>
      <c r="D980" s="14" t="inlineStr">
        <is>
          <t>copper alloy</t>
        </is>
      </c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5" t="n">
        <v>12</v>
      </c>
      <c r="Q980" s="13" t="n"/>
      <c r="R980" s="16">
        <f>IF(COUNT(E980:Q980)=0,"",MIN(E980:Q980))</f>
        <v/>
      </c>
      <c r="S980" s="15">
        <f>IF(COUNT(E980:Q980)=0,"",LOOKUP(2,1/(E980:Q980&lt;&gt;""),E980:Q980))</f>
        <v/>
      </c>
      <c r="T980" s="17">
        <f>IF(R980="","",ROUND(R980*RESUMEN!$B$4,0))</f>
        <v/>
      </c>
      <c r="U980" s="18">
        <f>COUNT(E980:Q980)</f>
        <v/>
      </c>
    </row>
    <row r="981">
      <c r="A981" s="13" t="inlineStr">
        <is>
          <t>82014673388812</t>
        </is>
      </c>
      <c r="B981" s="13" t="inlineStr">
        <is>
          <t>PULSERA SMILE GOLD</t>
        </is>
      </c>
      <c r="C981" s="13" t="inlineStr">
        <is>
          <t>16cm con extensión de 3cm</t>
        </is>
      </c>
      <c r="D981" s="14" t="inlineStr">
        <is>
          <t>Stainless stee</t>
        </is>
      </c>
      <c r="E981" s="15" t="n">
        <v>7.5</v>
      </c>
      <c r="F981" s="13" t="n"/>
      <c r="G981" s="13" t="n"/>
      <c r="H981" s="13" t="n"/>
      <c r="I981" s="13" t="n"/>
      <c r="J981" s="15" t="n">
        <v>7.5</v>
      </c>
      <c r="K981" s="13" t="n"/>
      <c r="L981" s="13" t="n"/>
      <c r="M981" s="13" t="n"/>
      <c r="N981" s="15" t="n">
        <v>7.5</v>
      </c>
      <c r="O981" s="13" t="n"/>
      <c r="P981" s="13" t="n"/>
      <c r="Q981" s="13" t="n"/>
      <c r="R981" s="16">
        <f>IF(COUNT(E981:Q981)=0,"",MIN(E981:Q981))</f>
        <v/>
      </c>
      <c r="S981" s="15">
        <f>IF(COUNT(E981:Q981)=0,"",LOOKUP(2,1/(E981:Q981&lt;&gt;""),E981:Q981))</f>
        <v/>
      </c>
      <c r="T981" s="17">
        <f>IF(R981="","",ROUND(R981*RESUMEN!$B$4,0))</f>
        <v/>
      </c>
      <c r="U981" s="18">
        <f>COUNT(E981:Q981)</f>
        <v/>
      </c>
    </row>
    <row r="982">
      <c r="A982" s="13" t="inlineStr">
        <is>
          <t>83391721047053</t>
        </is>
      </c>
      <c r="B982" s="13" t="inlineStr">
        <is>
          <t>PULSERA SMILE ROSE GOLD CON ZIRCONIAS</t>
        </is>
      </c>
      <c r="C982" s="13" t="inlineStr">
        <is>
          <t>Default Title</t>
        </is>
      </c>
      <c r="D982" s="14" t="inlineStr"/>
      <c r="E982" s="13" t="n"/>
      <c r="F982" s="13" t="n"/>
      <c r="G982" s="13" t="n"/>
      <c r="H982" s="13" t="n"/>
      <c r="I982" s="13" t="n"/>
      <c r="J982" s="13" t="n"/>
      <c r="K982" s="15" t="n">
        <v>7.5</v>
      </c>
      <c r="L982" s="13" t="n"/>
      <c r="M982" s="13" t="n"/>
      <c r="N982" s="13" t="n"/>
      <c r="O982" s="13" t="n"/>
      <c r="P982" s="13" t="n"/>
      <c r="Q982" s="13" t="n"/>
      <c r="R982" s="16">
        <f>IF(COUNT(E982:Q982)=0,"",MIN(E982:Q982))</f>
        <v/>
      </c>
      <c r="S982" s="15">
        <f>IF(COUNT(E982:Q982)=0,"",LOOKUP(2,1/(E982:Q982&lt;&gt;""),E982:Q982))</f>
        <v/>
      </c>
      <c r="T982" s="17">
        <f>IF(R982="","",ROUND(R982*RESUMEN!$B$4,0))</f>
        <v/>
      </c>
      <c r="U982" s="18">
        <f>COUNT(E982:Q982)</f>
        <v/>
      </c>
    </row>
    <row r="983">
      <c r="A983" s="13" t="inlineStr">
        <is>
          <t>82014675304844</t>
        </is>
      </c>
      <c r="B983" s="13" t="inlineStr">
        <is>
          <t>PULSERA SMILE ROSEGOLD</t>
        </is>
      </c>
      <c r="C983" s="13" t="inlineStr">
        <is>
          <t>16cm con extensión de 3cm</t>
        </is>
      </c>
      <c r="D983" s="14" t="inlineStr">
        <is>
          <t>Stainless stee</t>
        </is>
      </c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5" t="n">
        <v>7.5</v>
      </c>
      <c r="N983" s="13" t="n"/>
      <c r="O983" s="13" t="n"/>
      <c r="P983" s="13" t="n"/>
      <c r="Q983" s="15" t="n">
        <v>7.5</v>
      </c>
      <c r="R983" s="16">
        <f>IF(COUNT(E983:Q983)=0,"",MIN(E983:Q983))</f>
        <v/>
      </c>
      <c r="S983" s="15">
        <f>IF(COUNT(E983:Q983)=0,"",LOOKUP(2,1/(E983:Q983&lt;&gt;""),E983:Q983))</f>
        <v/>
      </c>
      <c r="T983" s="17">
        <f>IF(R983="","",ROUND(R983*RESUMEN!$B$4,0))</f>
        <v/>
      </c>
      <c r="U983" s="18">
        <f>COUNT(E983:Q983)</f>
        <v/>
      </c>
    </row>
    <row r="984">
      <c r="A984" s="13" t="inlineStr">
        <is>
          <t>82014675495692</t>
        </is>
      </c>
      <c r="B984" s="13" t="inlineStr">
        <is>
          <t>PULSERA SMILE SILVER</t>
        </is>
      </c>
      <c r="C984" s="13" t="inlineStr">
        <is>
          <t>16cm con extensión de 5cm</t>
        </is>
      </c>
      <c r="D984" s="14" t="inlineStr">
        <is>
          <t>Stainless stee</t>
        </is>
      </c>
      <c r="E984" s="13" t="n"/>
      <c r="F984" s="13" t="n"/>
      <c r="G984" s="13" t="n"/>
      <c r="H984" s="13" t="n"/>
      <c r="I984" s="15" t="n">
        <v>6</v>
      </c>
      <c r="J984" s="13" t="n"/>
      <c r="K984" s="13" t="n"/>
      <c r="L984" s="13" t="n"/>
      <c r="M984" s="15" t="n">
        <v>7.5</v>
      </c>
      <c r="N984" s="13" t="n"/>
      <c r="O984" s="15" t="n">
        <v>7.5</v>
      </c>
      <c r="P984" s="13" t="n"/>
      <c r="Q984" s="15" t="n">
        <v>7.5</v>
      </c>
      <c r="R984" s="16">
        <f>IF(COUNT(E984:Q984)=0,"",MIN(E984:Q984))</f>
        <v/>
      </c>
      <c r="S984" s="15">
        <f>IF(COUNT(E984:Q984)=0,"",LOOKUP(2,1/(E984:Q984&lt;&gt;""),E984:Q984))</f>
        <v/>
      </c>
      <c r="T984" s="17">
        <f>IF(R984="","",ROUND(R984*RESUMEN!$B$4,0))</f>
        <v/>
      </c>
      <c r="U984" s="18">
        <f>COUNT(E984:Q984)</f>
        <v/>
      </c>
    </row>
    <row r="985">
      <c r="A985" s="13" t="inlineStr">
        <is>
          <t>83391731114285</t>
        </is>
      </c>
      <c r="B985" s="13" t="inlineStr">
        <is>
          <t>PULSERA SMILE SILVER CON ZIRCONIAS</t>
        </is>
      </c>
      <c r="C985" s="13" t="inlineStr">
        <is>
          <t>Default Title</t>
        </is>
      </c>
      <c r="D985" s="14" t="inlineStr"/>
      <c r="E985" s="13" t="n"/>
      <c r="F985" s="13" t="n"/>
      <c r="G985" s="13" t="n"/>
      <c r="H985" s="13" t="n"/>
      <c r="I985" s="13" t="n"/>
      <c r="J985" s="13" t="n"/>
      <c r="K985" s="15" t="n">
        <v>7.5</v>
      </c>
      <c r="L985" s="13" t="n"/>
      <c r="M985" s="13" t="n"/>
      <c r="N985" s="13" t="n"/>
      <c r="O985" s="13" t="n"/>
      <c r="P985" s="13" t="n"/>
      <c r="Q985" s="13" t="n"/>
      <c r="R985" s="16">
        <f>IF(COUNT(E985:Q985)=0,"",MIN(E985:Q985))</f>
        <v/>
      </c>
      <c r="S985" s="15">
        <f>IF(COUNT(E985:Q985)=0,"",LOOKUP(2,1/(E985:Q985&lt;&gt;""),E985:Q985))</f>
        <v/>
      </c>
      <c r="T985" s="17">
        <f>IF(R985="","",ROUND(R985*RESUMEN!$B$4,0))</f>
        <v/>
      </c>
      <c r="U985" s="18">
        <f>COUNT(E985:Q985)</f>
        <v/>
      </c>
    </row>
    <row r="986">
      <c r="A986" s="13" t="inlineStr">
        <is>
          <t>67201535328333</t>
        </is>
      </c>
      <c r="B986" s="13" t="inlineStr">
        <is>
          <t>PULSERA SWEET BUTTERFLY WHITE VF</t>
        </is>
      </c>
      <c r="C986" s="13" t="inlineStr">
        <is>
          <t>Default Title</t>
        </is>
      </c>
      <c r="D986" s="14" t="inlineStr">
        <is>
          <t>copper alloy</t>
        </is>
      </c>
      <c r="E986" s="13" t="n"/>
      <c r="F986" s="15" t="n">
        <v>6</v>
      </c>
      <c r="G986" s="13" t="n"/>
      <c r="H986" s="15" t="n">
        <v>6</v>
      </c>
      <c r="I986" s="15" t="n">
        <v>6</v>
      </c>
      <c r="J986" s="13" t="n"/>
      <c r="K986" s="13" t="n"/>
      <c r="L986" s="13" t="n"/>
      <c r="M986" s="13" t="n"/>
      <c r="N986" s="13" t="n"/>
      <c r="O986" s="15" t="n">
        <v>6</v>
      </c>
      <c r="P986" s="13" t="n"/>
      <c r="Q986" s="15" t="n">
        <v>5</v>
      </c>
      <c r="R986" s="16">
        <f>IF(COUNT(E986:Q986)=0,"",MIN(E986:Q986))</f>
        <v/>
      </c>
      <c r="S986" s="15">
        <f>IF(COUNT(E986:Q986)=0,"",LOOKUP(2,1/(E986:Q986&lt;&gt;""),E986:Q986))</f>
        <v/>
      </c>
      <c r="T986" s="17">
        <f>IF(R986="","",ROUND(R986*RESUMEN!$B$4,0))</f>
        <v/>
      </c>
      <c r="U986" s="18">
        <f>COUNT(E986:Q986)</f>
        <v/>
      </c>
    </row>
    <row r="987">
      <c r="A987" s="13" t="inlineStr">
        <is>
          <t>56481473329548</t>
        </is>
      </c>
      <c r="B987" s="13" t="inlineStr">
        <is>
          <t>PULSERA T DE CUENTAS LOVE</t>
        </is>
      </c>
      <c r="C987" s="13" t="inlineStr">
        <is>
          <t>17cm</t>
        </is>
      </c>
      <c r="D987" s="14" t="inlineStr">
        <is>
          <t>Stainless stee</t>
        </is>
      </c>
      <c r="E987" s="13" t="n"/>
      <c r="F987" s="13" t="n"/>
      <c r="G987" s="13" t="n"/>
      <c r="H987" s="13" t="n"/>
      <c r="I987" s="15" t="n">
        <v>8</v>
      </c>
      <c r="J987" s="13" t="n"/>
      <c r="K987" s="13" t="n"/>
      <c r="L987" s="13" t="n"/>
      <c r="M987" s="13" t="n"/>
      <c r="N987" s="15" t="n">
        <v>8</v>
      </c>
      <c r="O987" s="13" t="n"/>
      <c r="P987" s="13" t="n"/>
      <c r="Q987" s="13" t="n"/>
      <c r="R987" s="16">
        <f>IF(COUNT(E987:Q987)=0,"",MIN(E987:Q987))</f>
        <v/>
      </c>
      <c r="S987" s="15">
        <f>IF(COUNT(E987:Q987)=0,"",LOOKUP(2,1/(E987:Q987&lt;&gt;""),E987:Q987))</f>
        <v/>
      </c>
      <c r="T987" s="17">
        <f>IF(R987="","",ROUND(R987*RESUMEN!$B$4,0))</f>
        <v/>
      </c>
      <c r="U987" s="18">
        <f>COUNT(E987:Q987)</f>
        <v/>
      </c>
    </row>
    <row r="988">
      <c r="A988" s="13" t="inlineStr">
        <is>
          <t>668eeccf75387</t>
        </is>
      </c>
      <c r="B988" s="13" t="inlineStr">
        <is>
          <t>PULSERA T DORADA ZIRCONIA</t>
        </is>
      </c>
      <c r="C988" s="13" t="inlineStr">
        <is>
          <t>16 cm</t>
        </is>
      </c>
      <c r="D988" s="14" t="inlineStr">
        <is>
          <t>Stainless stee</t>
        </is>
      </c>
      <c r="E988" s="13" t="n"/>
      <c r="F988" s="13" t="n"/>
      <c r="G988" s="13" t="n"/>
      <c r="H988" s="13" t="n"/>
      <c r="I988" s="13" t="n"/>
      <c r="J988" s="13" t="n"/>
      <c r="K988" s="15" t="n">
        <v>5</v>
      </c>
      <c r="L988" s="13" t="n"/>
      <c r="M988" s="15" t="n">
        <v>5</v>
      </c>
      <c r="N988" s="13" t="n"/>
      <c r="O988" s="15" t="n">
        <v>5</v>
      </c>
      <c r="P988" s="13" t="n"/>
      <c r="Q988" s="15" t="n">
        <v>5</v>
      </c>
      <c r="R988" s="16">
        <f>IF(COUNT(E988:Q988)=0,"",MIN(E988:Q988))</f>
        <v/>
      </c>
      <c r="S988" s="15">
        <f>IF(COUNT(E988:Q988)=0,"",LOOKUP(2,1/(E988:Q988&lt;&gt;""),E988:Q988))</f>
        <v/>
      </c>
      <c r="T988" s="17">
        <f>IF(R988="","",ROUND(R988*RESUMEN!$B$4,0))</f>
        <v/>
      </c>
      <c r="U988" s="18">
        <f>COUNT(E988:Q988)</f>
        <v/>
      </c>
    </row>
    <row r="989">
      <c r="A989" s="13" t="inlineStr">
        <is>
          <t>59109723736013</t>
        </is>
      </c>
      <c r="B989" s="13" t="inlineStr">
        <is>
          <t>PULSERA T DOUBLE CHAIN SILVER</t>
        </is>
      </c>
      <c r="C989" s="13" t="inlineStr">
        <is>
          <t>Default Title</t>
        </is>
      </c>
      <c r="D989" s="14" t="inlineStr">
        <is>
          <t>copper alloy</t>
        </is>
      </c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5" t="n">
        <v>6</v>
      </c>
      <c r="Q989" s="13" t="n"/>
      <c r="R989" s="16">
        <f>IF(COUNT(E989:Q989)=0,"",MIN(E989:Q989))</f>
        <v/>
      </c>
      <c r="S989" s="15">
        <f>IF(COUNT(E989:Q989)=0,"",LOOKUP(2,1/(E989:Q989&lt;&gt;""),E989:Q989))</f>
        <v/>
      </c>
      <c r="T989" s="17">
        <f>IF(R989="","",ROUND(R989*RESUMEN!$B$4,0))</f>
        <v/>
      </c>
      <c r="U989" s="18">
        <f>COUNT(E989:Q989)</f>
        <v/>
      </c>
    </row>
    <row r="990">
      <c r="A990" s="13" t="inlineStr">
        <is>
          <t>15104863595501</t>
        </is>
      </c>
      <c r="B990" s="13" t="inlineStr">
        <is>
          <t>PULSERA T HEART</t>
        </is>
      </c>
      <c r="C990" s="13" t="inlineStr">
        <is>
          <t>Default Title</t>
        </is>
      </c>
      <c r="D990" s="14" t="inlineStr">
        <is>
          <t>Stainless stee</t>
        </is>
      </c>
      <c r="E990" s="13" t="n"/>
      <c r="F990" s="13" t="n"/>
      <c r="G990" s="13" t="n"/>
      <c r="H990" s="13" t="n"/>
      <c r="I990" s="13" t="n"/>
      <c r="J990" s="13" t="n"/>
      <c r="K990" s="15" t="n">
        <v>7</v>
      </c>
      <c r="L990" s="13" t="n"/>
      <c r="M990" s="13" t="n"/>
      <c r="N990" s="13" t="n"/>
      <c r="O990" s="13" t="n"/>
      <c r="P990" s="15" t="n">
        <v>7</v>
      </c>
      <c r="Q990" s="13" t="n"/>
      <c r="R990" s="16">
        <f>IF(COUNT(E990:Q990)=0,"",MIN(E990:Q990))</f>
        <v/>
      </c>
      <c r="S990" s="15">
        <f>IF(COUNT(E990:Q990)=0,"",LOOKUP(2,1/(E990:Q990&lt;&gt;""),E990:Q990))</f>
        <v/>
      </c>
      <c r="T990" s="17">
        <f>IF(R990="","",ROUND(R990*RESUMEN!$B$4,0))</f>
        <v/>
      </c>
      <c r="U990" s="18">
        <f>COUNT(E990:Q990)</f>
        <v/>
      </c>
    </row>
    <row r="991">
      <c r="A991" s="13" t="inlineStr">
        <is>
          <t>40154172642541</t>
        </is>
      </c>
      <c r="B991" s="13" t="inlineStr">
        <is>
          <t>PULSERA T ROSE GOLD PEARL ZIRCONIAS</t>
        </is>
      </c>
      <c r="C991" s="13" t="inlineStr">
        <is>
          <t>Default Title</t>
        </is>
      </c>
      <c r="D991" s="14" t="inlineStr">
        <is>
          <t>Stainless stee</t>
        </is>
      </c>
      <c r="E991" s="13" t="n"/>
      <c r="F991" s="13" t="n"/>
      <c r="G991" s="13" t="n"/>
      <c r="H991" s="13" t="n"/>
      <c r="I991" s="13" t="n"/>
      <c r="J991" s="13" t="n"/>
      <c r="K991" s="15" t="n">
        <v>6</v>
      </c>
      <c r="L991" s="13" t="n"/>
      <c r="M991" s="13" t="n"/>
      <c r="N991" s="15" t="n">
        <v>6</v>
      </c>
      <c r="O991" s="13" t="n"/>
      <c r="P991" s="13" t="n"/>
      <c r="Q991" s="13" t="n"/>
      <c r="R991" s="16">
        <f>IF(COUNT(E991:Q991)=0,"",MIN(E991:Q991))</f>
        <v/>
      </c>
      <c r="S991" s="15">
        <f>IF(COUNT(E991:Q991)=0,"",LOOKUP(2,1/(E991:Q991&lt;&gt;""),E991:Q991))</f>
        <v/>
      </c>
      <c r="T991" s="17">
        <f>IF(R991="","",ROUND(R991*RESUMEN!$B$4,0))</f>
        <v/>
      </c>
      <c r="U991" s="18">
        <f>COUNT(E991:Q991)</f>
        <v/>
      </c>
    </row>
    <row r="992">
      <c r="A992" s="13" t="inlineStr">
        <is>
          <t>22064324357101</t>
        </is>
      </c>
      <c r="B992" s="13" t="inlineStr">
        <is>
          <t>PULSERA T SILVER PADLOCK</t>
        </is>
      </c>
      <c r="C992" s="13" t="inlineStr">
        <is>
          <t>Default Title</t>
        </is>
      </c>
      <c r="D992" s="14" t="inlineStr">
        <is>
          <t>Copper alloy</t>
        </is>
      </c>
      <c r="E992" s="13" t="n"/>
      <c r="F992" s="13" t="n"/>
      <c r="G992" s="13" t="n"/>
      <c r="H992" s="13" t="n"/>
      <c r="I992" s="13" t="n"/>
      <c r="J992" s="13" t="n"/>
      <c r="K992" s="15" t="n">
        <v>6</v>
      </c>
      <c r="L992" s="13" t="n"/>
      <c r="M992" s="13" t="n"/>
      <c r="N992" s="13" t="n"/>
      <c r="O992" s="13" t="n"/>
      <c r="P992" s="15" t="n">
        <v>6</v>
      </c>
      <c r="Q992" s="13" t="n"/>
      <c r="R992" s="16">
        <f>IF(COUNT(E992:Q992)=0,"",MIN(E992:Q992))</f>
        <v/>
      </c>
      <c r="S992" s="15">
        <f>IF(COUNT(E992:Q992)=0,"",LOOKUP(2,1/(E992:Q992&lt;&gt;""),E992:Q992))</f>
        <v/>
      </c>
      <c r="T992" s="17">
        <f>IF(R992="","",ROUND(R992*RESUMEN!$B$4,0))</f>
        <v/>
      </c>
      <c r="U992" s="18">
        <f>COUNT(E992:Q992)</f>
        <v/>
      </c>
    </row>
    <row r="993">
      <c r="A993" s="13" t="inlineStr">
        <is>
          <t>6453fd2f11ef1</t>
        </is>
      </c>
      <c r="B993" s="13" t="inlineStr">
        <is>
          <t>PULSERA TREBOL GOLD BLACK VF</t>
        </is>
      </c>
      <c r="C993" s="13" t="inlineStr">
        <is>
          <t>20cm</t>
        </is>
      </c>
      <c r="D993" s="14" t="inlineStr">
        <is>
          <t>Copper alloy</t>
        </is>
      </c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5" t="n">
        <v>7</v>
      </c>
      <c r="O993" s="13" t="n"/>
      <c r="P993" s="13" t="n"/>
      <c r="Q993" s="15" t="n">
        <v>7</v>
      </c>
      <c r="R993" s="16">
        <f>IF(COUNT(E993:Q993)=0,"",MIN(E993:Q993))</f>
        <v/>
      </c>
      <c r="S993" s="15">
        <f>IF(COUNT(E993:Q993)=0,"",LOOKUP(2,1/(E993:Q993&lt;&gt;""),E993:Q993))</f>
        <v/>
      </c>
      <c r="T993" s="17">
        <f>IF(R993="","",ROUND(R993*RESUMEN!$B$4,0))</f>
        <v/>
      </c>
      <c r="U993" s="18">
        <f>COUNT(E993:Q993)</f>
        <v/>
      </c>
    </row>
    <row r="994">
      <c r="A994" s="13" t="inlineStr">
        <is>
          <t>29852177262732</t>
        </is>
      </c>
      <c r="B994" s="13" t="inlineStr">
        <is>
          <t>PULSERA TREBOL GOLD VF</t>
        </is>
      </c>
      <c r="C994" s="13" t="inlineStr">
        <is>
          <t>18cm</t>
        </is>
      </c>
      <c r="D994" s="14" t="inlineStr">
        <is>
          <t>copper alloy</t>
        </is>
      </c>
      <c r="E994" s="13" t="n"/>
      <c r="F994" s="13" t="n"/>
      <c r="G994" s="13" t="n"/>
      <c r="H994" s="13" t="n"/>
      <c r="I994" s="15" t="n">
        <v>34</v>
      </c>
      <c r="J994" s="13" t="n"/>
      <c r="K994" s="13" t="n"/>
      <c r="L994" s="13" t="n"/>
      <c r="M994" s="13" t="n"/>
      <c r="N994" s="15" t="n">
        <v>7</v>
      </c>
      <c r="O994" s="13" t="n"/>
      <c r="P994" s="15" t="n">
        <v>7</v>
      </c>
      <c r="Q994" s="13" t="n"/>
      <c r="R994" s="16">
        <f>IF(COUNT(E994:Q994)=0,"",MIN(E994:Q994))</f>
        <v/>
      </c>
      <c r="S994" s="15">
        <f>IF(COUNT(E994:Q994)=0,"",LOOKUP(2,1/(E994:Q994&lt;&gt;""),E994:Q994))</f>
        <v/>
      </c>
      <c r="T994" s="17">
        <f>IF(R994="","",ROUND(R994*RESUMEN!$B$4,0))</f>
        <v/>
      </c>
      <c r="U994" s="18">
        <f>COUNT(E994:Q994)</f>
        <v/>
      </c>
    </row>
    <row r="995">
      <c r="A995" s="13" t="inlineStr">
        <is>
          <t>66075801824557</t>
        </is>
      </c>
      <c r="B995" s="13" t="inlineStr">
        <is>
          <t>PULSERA TRES AROS</t>
        </is>
      </c>
      <c r="C995" s="13" t="inlineStr">
        <is>
          <t>Default Title</t>
        </is>
      </c>
      <c r="D995" s="14" t="inlineStr">
        <is>
          <t>copper alloy</t>
        </is>
      </c>
      <c r="E995" s="13" t="n"/>
      <c r="F995" s="15" t="n">
        <v>7.5</v>
      </c>
      <c r="G995" s="13" t="n"/>
      <c r="H995" s="13" t="n"/>
      <c r="I995" s="13" t="n"/>
      <c r="J995" s="15" t="n">
        <v>7.5</v>
      </c>
      <c r="K995" s="13" t="n"/>
      <c r="L995" s="13" t="n"/>
      <c r="M995" s="13" t="n"/>
      <c r="N995" s="13" t="n"/>
      <c r="O995" s="13" t="n"/>
      <c r="P995" s="15" t="n">
        <v>7.5</v>
      </c>
      <c r="Q995" s="13" t="n"/>
      <c r="R995" s="16">
        <f>IF(COUNT(E995:Q995)=0,"",MIN(E995:Q995))</f>
        <v/>
      </c>
      <c r="S995" s="15">
        <f>IF(COUNT(E995:Q995)=0,"",LOOKUP(2,1/(E995:Q995&lt;&gt;""),E995:Q995))</f>
        <v/>
      </c>
      <c r="T995" s="17">
        <f>IF(R995="","",ROUND(R995*RESUMEN!$B$4,0))</f>
        <v/>
      </c>
      <c r="U995" s="18">
        <f>COUNT(E995:Q995)</f>
        <v/>
      </c>
    </row>
    <row r="996">
      <c r="A996" s="13" t="inlineStr">
        <is>
          <t>661774545334c</t>
        </is>
      </c>
      <c r="B996" s="13" t="inlineStr">
        <is>
          <t>PULSERA TRÉBOL GOLD RED VF</t>
        </is>
      </c>
      <c r="C996" s="13" t="inlineStr">
        <is>
          <t>18cm</t>
        </is>
      </c>
      <c r="D996" s="14" t="inlineStr">
        <is>
          <t>copper alloy</t>
        </is>
      </c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5" t="n">
        <v>7</v>
      </c>
      <c r="P996" s="15" t="n">
        <v>7</v>
      </c>
      <c r="Q996" s="13" t="n"/>
      <c r="R996" s="16">
        <f>IF(COUNT(E996:Q996)=0,"",MIN(E996:Q996))</f>
        <v/>
      </c>
      <c r="S996" s="15">
        <f>IF(COUNT(E996:Q996)=0,"",LOOKUP(2,1/(E996:Q996&lt;&gt;""),E996:Q996))</f>
        <v/>
      </c>
      <c r="T996" s="17">
        <f>IF(R996="","",ROUND(R996*RESUMEN!$B$4,0))</f>
        <v/>
      </c>
      <c r="U996" s="18">
        <f>COUNT(E996:Q996)</f>
        <v/>
      </c>
    </row>
    <row r="997">
      <c r="A997" s="13" t="inlineStr">
        <is>
          <t>6617744e4fde3</t>
        </is>
      </c>
      <c r="B997" s="13" t="inlineStr">
        <is>
          <t>PULSERA TRÉBOL GOLD WHITE VF</t>
        </is>
      </c>
      <c r="C997" s="13" t="inlineStr">
        <is>
          <t>18cm</t>
        </is>
      </c>
      <c r="D997" s="14" t="inlineStr">
        <is>
          <t>nan</t>
        </is>
      </c>
      <c r="E997" s="13" t="n"/>
      <c r="F997" s="13" t="n"/>
      <c r="G997" s="13" t="n"/>
      <c r="H997" s="13" t="n"/>
      <c r="I997" s="15" t="n">
        <v>24</v>
      </c>
      <c r="J997" s="15" t="n">
        <v>7</v>
      </c>
      <c r="K997" s="13" t="n"/>
      <c r="L997" s="15" t="n">
        <v>7</v>
      </c>
      <c r="M997" s="15" t="n">
        <v>7</v>
      </c>
      <c r="N997" s="13" t="n"/>
      <c r="O997" s="13" t="n"/>
      <c r="P997" s="13" t="n"/>
      <c r="Q997" s="13" t="n"/>
      <c r="R997" s="16">
        <f>IF(COUNT(E997:Q997)=0,"",MIN(E997:Q997))</f>
        <v/>
      </c>
      <c r="S997" s="15">
        <f>IF(COUNT(E997:Q997)=0,"",LOOKUP(2,1/(E997:Q997&lt;&gt;""),E997:Q997))</f>
        <v/>
      </c>
      <c r="T997" s="17">
        <f>IF(R997="","",ROUND(R997*RESUMEN!$B$4,0))</f>
        <v/>
      </c>
      <c r="U997" s="18">
        <f>COUNT(E997:Q997)</f>
        <v/>
      </c>
    </row>
    <row r="998">
      <c r="A998" s="13" t="inlineStr">
        <is>
          <t>43728135385740</t>
        </is>
      </c>
      <c r="B998" s="13" t="inlineStr">
        <is>
          <t>PULSERA TRÉBOL GOLD-GREEN VF</t>
        </is>
      </c>
      <c r="C998" s="13" t="inlineStr">
        <is>
          <t>18cm</t>
        </is>
      </c>
      <c r="D998" s="14" t="inlineStr">
        <is>
          <t>Copper alloy</t>
        </is>
      </c>
      <c r="E998" s="13" t="n"/>
      <c r="F998" s="13" t="n"/>
      <c r="G998" s="13" t="n"/>
      <c r="H998" s="13" t="n"/>
      <c r="I998" s="13" t="n"/>
      <c r="J998" s="13" t="n"/>
      <c r="K998" s="13" t="n"/>
      <c r="L998" s="15" t="n">
        <v>7</v>
      </c>
      <c r="M998" s="13" t="n"/>
      <c r="N998" s="15" t="n">
        <v>7</v>
      </c>
      <c r="O998" s="13" t="n"/>
      <c r="P998" s="15" t="n">
        <v>7</v>
      </c>
      <c r="Q998" s="15" t="n">
        <v>7</v>
      </c>
      <c r="R998" s="16">
        <f>IF(COUNT(E998:Q998)=0,"",MIN(E998:Q998))</f>
        <v/>
      </c>
      <c r="S998" s="15">
        <f>IF(COUNT(E998:Q998)=0,"",LOOKUP(2,1/(E998:Q998&lt;&gt;""),E998:Q998))</f>
        <v/>
      </c>
      <c r="T998" s="17">
        <f>IF(R998="","",ROUND(R998*RESUMEN!$B$4,0))</f>
        <v/>
      </c>
      <c r="U998" s="18">
        <f>COUNT(E998:Q998)</f>
        <v/>
      </c>
    </row>
    <row r="999">
      <c r="A999" s="13" t="inlineStr">
        <is>
          <t>63e0c5f8a96a2</t>
        </is>
      </c>
      <c r="B999" s="13" t="inlineStr">
        <is>
          <t>PULSERA TRÉBOL ROSEGOLD BLACK VF</t>
        </is>
      </c>
      <c r="C999" s="13" t="inlineStr">
        <is>
          <t>18cm</t>
        </is>
      </c>
      <c r="D999" s="14" t="inlineStr">
        <is>
          <t>copper alloy</t>
        </is>
      </c>
      <c r="E999" s="15" t="n">
        <v>22</v>
      </c>
      <c r="F999" s="13" t="n"/>
      <c r="G999" s="13" t="n"/>
      <c r="H999" s="15" t="n">
        <v>25</v>
      </c>
      <c r="I999" s="13" t="n"/>
      <c r="J999" s="13" t="n"/>
      <c r="K999" s="13" t="n"/>
      <c r="L999" s="13" t="n"/>
      <c r="M999" s="13" t="n"/>
      <c r="N999" s="13" t="n"/>
      <c r="O999" s="13" t="n"/>
      <c r="P999" s="15" t="n">
        <v>7</v>
      </c>
      <c r="Q999" s="13" t="n"/>
      <c r="R999" s="16">
        <f>IF(COUNT(E999:Q999)=0,"",MIN(E999:Q999))</f>
        <v/>
      </c>
      <c r="S999" s="15">
        <f>IF(COUNT(E999:Q999)=0,"",LOOKUP(2,1/(E999:Q999&lt;&gt;""),E999:Q999))</f>
        <v/>
      </c>
      <c r="T999" s="17">
        <f>IF(R999="","",ROUND(R999*RESUMEN!$B$4,0))</f>
        <v/>
      </c>
      <c r="U999" s="18">
        <f>COUNT(E999:Q999)</f>
        <v/>
      </c>
    </row>
    <row r="1000">
      <c r="A1000" s="13" t="inlineStr">
        <is>
          <t>43728091372908</t>
        </is>
      </c>
      <c r="B1000" s="13" t="inlineStr">
        <is>
          <t>PULSERA TRÉBOL ROSEGOLD RED VF</t>
        </is>
      </c>
      <c r="C1000" s="13" t="inlineStr">
        <is>
          <t>18cm</t>
        </is>
      </c>
      <c r="D1000" s="14" t="inlineStr"/>
      <c r="E1000" s="15" t="n">
        <v>22</v>
      </c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6">
        <f>IF(COUNT(E1000:Q1000)=0,"",MIN(E1000:Q1000))</f>
        <v/>
      </c>
      <c r="S1000" s="15">
        <f>IF(COUNT(E1000:Q1000)=0,"",LOOKUP(2,1/(E1000:Q1000&lt;&gt;""),E1000:Q1000))</f>
        <v/>
      </c>
      <c r="T1000" s="17">
        <f>IF(R1000="","",ROUND(R1000*RESUMEN!$B$4,0))</f>
        <v/>
      </c>
      <c r="U1000" s="18">
        <f>COUNT(E1000:Q1000)</f>
        <v/>
      </c>
    </row>
    <row r="1001">
      <c r="A1001" s="13" t="inlineStr">
        <is>
          <t>64385161101d4</t>
        </is>
      </c>
      <c r="B1001" s="13" t="inlineStr">
        <is>
          <t>PULSERA TRÉBOL ROSEGOLD WHITE VF</t>
        </is>
      </c>
      <c r="C1001" s="13" t="inlineStr">
        <is>
          <t>18cm</t>
        </is>
      </c>
      <c r="D1001" s="14" t="inlineStr">
        <is>
          <t>Copper alloy</t>
        </is>
      </c>
      <c r="E1001" s="15" t="n">
        <v>22</v>
      </c>
      <c r="F1001" s="13" t="n"/>
      <c r="G1001" s="13" t="n"/>
      <c r="H1001" s="15" t="n">
        <v>25</v>
      </c>
      <c r="I1001" s="13" t="n"/>
      <c r="J1001" s="13" t="n"/>
      <c r="K1001" s="13" t="n"/>
      <c r="L1001" s="13" t="n"/>
      <c r="M1001" s="13" t="n"/>
      <c r="N1001" s="13" t="n"/>
      <c r="O1001" s="13" t="n"/>
      <c r="P1001" s="13" t="n"/>
      <c r="Q1001" s="13" t="n"/>
      <c r="R1001" s="16">
        <f>IF(COUNT(E1001:Q1001)=0,"",MIN(E1001:Q1001))</f>
        <v/>
      </c>
      <c r="S1001" s="15">
        <f>IF(COUNT(E1001:Q1001)=0,"",LOOKUP(2,1/(E1001:Q1001&lt;&gt;""),E1001:Q1001))</f>
        <v/>
      </c>
      <c r="T1001" s="17">
        <f>IF(R1001="","",ROUND(R1001*RESUMEN!$B$4,0))</f>
        <v/>
      </c>
      <c r="U1001" s="18">
        <f>COUNT(E1001:Q1001)</f>
        <v/>
      </c>
    </row>
    <row r="1002">
      <c r="A1002" s="13" t="inlineStr">
        <is>
          <t>6617745150ec8</t>
        </is>
      </c>
      <c r="B1002" s="13" t="inlineStr">
        <is>
          <t>PULSERA TRÉBOL SILVER BLACK VF</t>
        </is>
      </c>
      <c r="C1002" s="13" t="inlineStr">
        <is>
          <t>20cm</t>
        </is>
      </c>
      <c r="D1002" s="14" t="inlineStr">
        <is>
          <t>Copper alloy</t>
        </is>
      </c>
      <c r="E1002" s="13" t="n"/>
      <c r="F1002" s="13" t="n"/>
      <c r="G1002" s="13" t="n"/>
      <c r="H1002" s="13" t="n"/>
      <c r="I1002" s="13" t="n"/>
      <c r="J1002" s="13" t="n"/>
      <c r="K1002" s="13" t="n"/>
      <c r="L1002" s="15" t="n">
        <v>7</v>
      </c>
      <c r="M1002" s="15" t="n">
        <v>7</v>
      </c>
      <c r="N1002" s="15" t="n">
        <v>7</v>
      </c>
      <c r="O1002" s="13" t="n"/>
      <c r="P1002" s="13" t="n"/>
      <c r="Q1002" s="15" t="n">
        <v>7</v>
      </c>
      <c r="R1002" s="16">
        <f>IF(COUNT(E1002:Q1002)=0,"",MIN(E1002:Q1002))</f>
        <v/>
      </c>
      <c r="S1002" s="15">
        <f>IF(COUNT(E1002:Q1002)=0,"",LOOKUP(2,1/(E1002:Q1002&lt;&gt;""),E1002:Q1002))</f>
        <v/>
      </c>
      <c r="T1002" s="17">
        <f>IF(R1002="","",ROUND(R1002*RESUMEN!$B$4,0))</f>
        <v/>
      </c>
      <c r="U1002" s="18">
        <f>COUNT(E1002:Q1002)</f>
        <v/>
      </c>
    </row>
    <row r="1003">
      <c r="A1003" s="13" t="inlineStr">
        <is>
          <t>668ef00538c27</t>
        </is>
      </c>
      <c r="B1003" s="13" t="inlineStr">
        <is>
          <t>PULSERA TRÉBOL SILVER RED</t>
        </is>
      </c>
      <c r="C1003" s="13" t="inlineStr">
        <is>
          <t>18cm</t>
        </is>
      </c>
      <c r="D1003" s="14" t="inlineStr">
        <is>
          <t>copper alloy</t>
        </is>
      </c>
      <c r="E1003" s="15" t="n">
        <v>22</v>
      </c>
      <c r="F1003" s="13" t="n"/>
      <c r="G1003" s="13" t="n"/>
      <c r="H1003" s="13" t="n"/>
      <c r="I1003" s="15" t="n">
        <v>24</v>
      </c>
      <c r="J1003" s="13" t="n"/>
      <c r="K1003" s="13" t="n"/>
      <c r="L1003" s="13" t="n"/>
      <c r="M1003" s="13" t="n"/>
      <c r="N1003" s="13" t="n"/>
      <c r="O1003" s="15" t="n">
        <v>7</v>
      </c>
      <c r="P1003" s="13" t="n"/>
      <c r="Q1003" s="13" t="n"/>
      <c r="R1003" s="16">
        <f>IF(COUNT(E1003:Q1003)=0,"",MIN(E1003:Q1003))</f>
        <v/>
      </c>
      <c r="S1003" s="15">
        <f>IF(COUNT(E1003:Q1003)=0,"",LOOKUP(2,1/(E1003:Q1003&lt;&gt;""),E1003:Q1003))</f>
        <v/>
      </c>
      <c r="T1003" s="17">
        <f>IF(R1003="","",ROUND(R1003*RESUMEN!$B$4,0))</f>
        <v/>
      </c>
      <c r="U1003" s="18">
        <f>COUNT(E1003:Q1003)</f>
        <v/>
      </c>
    </row>
    <row r="1004">
      <c r="A1004" s="13" t="inlineStr">
        <is>
          <t>654bdb8083165</t>
        </is>
      </c>
      <c r="B1004" s="13" t="inlineStr">
        <is>
          <t>PULSERA TRÉBOL SILVER VF</t>
        </is>
      </c>
      <c r="C1004" s="13" t="inlineStr">
        <is>
          <t>20cm</t>
        </is>
      </c>
      <c r="D1004" s="14" t="inlineStr">
        <is>
          <t>Copper alloy</t>
        </is>
      </c>
      <c r="E1004" s="13" t="n"/>
      <c r="F1004" s="13" t="n"/>
      <c r="G1004" s="13" t="n"/>
      <c r="H1004" s="13" t="n"/>
      <c r="I1004" s="15" t="n">
        <v>34</v>
      </c>
      <c r="J1004" s="13" t="n"/>
      <c r="K1004" s="13" t="n"/>
      <c r="L1004" s="15" t="n">
        <v>7</v>
      </c>
      <c r="M1004" s="13" t="n"/>
      <c r="N1004" s="15" t="n">
        <v>7</v>
      </c>
      <c r="O1004" s="13" t="n"/>
      <c r="P1004" s="13" t="n"/>
      <c r="Q1004" s="13" t="n"/>
      <c r="R1004" s="16">
        <f>IF(COUNT(E1004:Q1004)=0,"",MIN(E1004:Q1004))</f>
        <v/>
      </c>
      <c r="S1004" s="15">
        <f>IF(COUNT(E1004:Q1004)=0,"",LOOKUP(2,1/(E1004:Q1004&lt;&gt;""),E1004:Q1004))</f>
        <v/>
      </c>
      <c r="T1004" s="17">
        <f>IF(R1004="","",ROUND(R1004*RESUMEN!$B$4,0))</f>
        <v/>
      </c>
      <c r="U1004" s="18">
        <f>COUNT(E1004:Q1004)</f>
        <v/>
      </c>
    </row>
    <row r="1005">
      <c r="A1005" s="13" t="inlineStr">
        <is>
          <t>661774512157c</t>
        </is>
      </c>
      <c r="B1005" s="13" t="inlineStr">
        <is>
          <t>PULSERA TRÉBOL SILVER WHITE VF</t>
        </is>
      </c>
      <c r="C1005" s="13" t="inlineStr">
        <is>
          <t>18cm</t>
        </is>
      </c>
      <c r="D1005" s="14" t="inlineStr">
        <is>
          <t>copper alloy</t>
        </is>
      </c>
      <c r="E1005" s="13" t="n"/>
      <c r="F1005" s="13" t="n"/>
      <c r="G1005" s="13" t="n"/>
      <c r="H1005" s="15" t="n">
        <v>25</v>
      </c>
      <c r="I1005" s="15" t="n">
        <v>27</v>
      </c>
      <c r="J1005" s="13" t="n"/>
      <c r="K1005" s="13" t="n"/>
      <c r="L1005" s="13" t="n"/>
      <c r="M1005" s="13" t="n"/>
      <c r="N1005" s="13" t="n"/>
      <c r="O1005" s="15" t="n">
        <v>7</v>
      </c>
      <c r="P1005" s="15" t="n">
        <v>7</v>
      </c>
      <c r="Q1005" s="13" t="n"/>
      <c r="R1005" s="16">
        <f>IF(COUNT(E1005:Q1005)=0,"",MIN(E1005:Q1005))</f>
        <v/>
      </c>
      <c r="S1005" s="15">
        <f>IF(COUNT(E1005:Q1005)=0,"",LOOKUP(2,1/(E1005:Q1005&lt;&gt;""),E1005:Q1005))</f>
        <v/>
      </c>
      <c r="T1005" s="17">
        <f>IF(R1005="","",ROUND(R1005*RESUMEN!$B$4,0))</f>
        <v/>
      </c>
      <c r="U1005" s="18">
        <f>COUNT(E1005:Q1005)</f>
        <v/>
      </c>
    </row>
    <row r="1006">
      <c r="A1006" s="13" t="inlineStr">
        <is>
          <t>95854381428141</t>
        </is>
      </c>
      <c r="B1006" s="13" t="inlineStr">
        <is>
          <t>PULSERA VF FRIVOLE</t>
        </is>
      </c>
      <c r="C1006" s="13" t="inlineStr">
        <is>
          <t>Default Title</t>
        </is>
      </c>
      <c r="D1006" s="14" t="inlineStr"/>
      <c r="E1006" s="13" t="n"/>
      <c r="F1006" s="13" t="n"/>
      <c r="G1006" s="13" t="n"/>
      <c r="H1006" s="13" t="n"/>
      <c r="I1006" s="13" t="n"/>
      <c r="J1006" s="13" t="n"/>
      <c r="K1006" s="13" t="n"/>
      <c r="L1006" s="13" t="n"/>
      <c r="M1006" s="13" t="n"/>
      <c r="N1006" s="15" t="n">
        <v>6</v>
      </c>
      <c r="O1006" s="13" t="n"/>
      <c r="P1006" s="13" t="n"/>
      <c r="Q1006" s="13" t="n"/>
      <c r="R1006" s="16">
        <f>IF(COUNT(E1006:Q1006)=0,"",MIN(E1006:Q1006))</f>
        <v/>
      </c>
      <c r="S1006" s="15">
        <f>IF(COUNT(E1006:Q1006)=0,"",LOOKUP(2,1/(E1006:Q1006&lt;&gt;""),E1006:Q1006))</f>
        <v/>
      </c>
      <c r="T1006" s="17">
        <f>IF(R1006="","",ROUND(R1006*RESUMEN!$B$4,0))</f>
        <v/>
      </c>
      <c r="U1006" s="18">
        <f>COUNT(E1006:Q1006)</f>
        <v/>
      </c>
    </row>
    <row r="1007">
      <c r="A1007" s="13" t="inlineStr">
        <is>
          <t>95854381684653</t>
        </is>
      </c>
      <c r="B1007" s="13" t="inlineStr">
        <is>
          <t>PULSERA VF LUCKY SPRING SINGLE ROSE GOLD</t>
        </is>
      </c>
      <c r="C1007" s="13" t="inlineStr">
        <is>
          <t>Default Title</t>
        </is>
      </c>
      <c r="D1007" s="14" t="inlineStr">
        <is>
          <t>Copper alloy</t>
        </is>
      </c>
      <c r="E1007" s="13" t="n"/>
      <c r="F1007" s="13" t="n"/>
      <c r="G1007" s="13" t="n"/>
      <c r="H1007" s="13" t="n"/>
      <c r="I1007" s="13" t="n"/>
      <c r="J1007" s="13" t="n"/>
      <c r="K1007" s="13" t="n"/>
      <c r="L1007" s="13" t="n"/>
      <c r="M1007" s="13" t="n"/>
      <c r="N1007" s="15" t="n">
        <v>4</v>
      </c>
      <c r="O1007" s="13" t="n"/>
      <c r="P1007" s="13" t="n"/>
      <c r="Q1007" s="15" t="n">
        <v>4</v>
      </c>
      <c r="R1007" s="16">
        <f>IF(COUNT(E1007:Q1007)=0,"",MIN(E1007:Q1007))</f>
        <v/>
      </c>
      <c r="S1007" s="15">
        <f>IF(COUNT(E1007:Q1007)=0,"",LOOKUP(2,1/(E1007:Q1007&lt;&gt;""),E1007:Q1007))</f>
        <v/>
      </c>
      <c r="T1007" s="17">
        <f>IF(R1007="","",ROUND(R1007*RESUMEN!$B$4,0))</f>
        <v/>
      </c>
      <c r="U1007" s="18">
        <f>COUNT(E1007:Q1007)</f>
        <v/>
      </c>
    </row>
    <row r="1008">
      <c r="A1008" s="13" t="inlineStr">
        <is>
          <t>95854381581261</t>
        </is>
      </c>
      <c r="B1008" s="13" t="inlineStr">
        <is>
          <t>PULSERA VF VINTAGE ALHAMBRA</t>
        </is>
      </c>
      <c r="C1008" s="13" t="inlineStr">
        <is>
          <t>Default Title</t>
        </is>
      </c>
      <c r="D1008" s="14" t="inlineStr"/>
      <c r="E1008" s="13" t="n"/>
      <c r="F1008" s="13" t="n"/>
      <c r="G1008" s="13" t="n"/>
      <c r="H1008" s="13" t="n"/>
      <c r="I1008" s="13" t="n"/>
      <c r="J1008" s="13" t="n"/>
      <c r="K1008" s="13" t="n"/>
      <c r="L1008" s="13" t="n"/>
      <c r="M1008" s="13" t="n"/>
      <c r="N1008" s="15" t="n">
        <v>7</v>
      </c>
      <c r="O1008" s="13" t="n"/>
      <c r="P1008" s="13" t="n"/>
      <c r="Q1008" s="13" t="n"/>
      <c r="R1008" s="16">
        <f>IF(COUNT(E1008:Q1008)=0,"",MIN(E1008:Q1008))</f>
        <v/>
      </c>
      <c r="S1008" s="15">
        <f>IF(COUNT(E1008:Q1008)=0,"",LOOKUP(2,1/(E1008:Q1008&lt;&gt;""),E1008:Q1008))</f>
        <v/>
      </c>
      <c r="T1008" s="17">
        <f>IF(R1008="","",ROUND(R1008*RESUMEN!$B$4,0))</f>
        <v/>
      </c>
      <c r="U1008" s="18">
        <f>COUNT(E1008:Q1008)</f>
        <v/>
      </c>
    </row>
    <row r="1009">
      <c r="A1009" s="13" t="inlineStr">
        <is>
          <t>59109721136621</t>
        </is>
      </c>
      <c r="B1009" s="13" t="inlineStr">
        <is>
          <t>VISERA CD V1U</t>
        </is>
      </c>
      <c r="C1009" s="13" t="inlineStr">
        <is>
          <t>Default Title</t>
        </is>
      </c>
      <c r="D1009" s="14" t="inlineStr">
        <is>
          <t>nan</t>
        </is>
      </c>
      <c r="E1009" s="13" t="n"/>
      <c r="F1009" s="13" t="n"/>
      <c r="G1009" s="13" t="n"/>
      <c r="H1009" s="13" t="n"/>
      <c r="I1009" s="13" t="n"/>
      <c r="J1009" s="13" t="n"/>
      <c r="K1009" s="13" t="n"/>
      <c r="L1009" s="13" t="n"/>
      <c r="M1009" s="13" t="n"/>
      <c r="N1009" s="13" t="n"/>
      <c r="O1009" s="13" t="n"/>
      <c r="P1009" s="15" t="n">
        <v>30</v>
      </c>
      <c r="Q1009" s="13" t="n"/>
      <c r="R1009" s="16">
        <f>IF(COUNT(E1009:Q1009)=0,"",MIN(E1009:Q1009))</f>
        <v/>
      </c>
      <c r="S1009" s="15">
        <f>IF(COUNT(E1009:Q1009)=0,"",LOOKUP(2,1/(E1009:Q1009&lt;&gt;""),E1009:Q1009))</f>
        <v/>
      </c>
      <c r="T1009" s="17">
        <f>IF(R1009="","",ROUND(R1009*RESUMEN!$B$4,0))</f>
        <v/>
      </c>
      <c r="U1009" s="18">
        <f>COUNT(E1009:Q1009)</f>
        <v/>
      </c>
    </row>
    <row r="1010">
      <c r="A1010" s="13" t="inlineStr">
        <is>
          <t>2314362835885</t>
        </is>
      </c>
      <c r="B1010" s="13" t="inlineStr"/>
      <c r="C1010" s="13" t="inlineStr"/>
      <c r="D1010" s="14" t="inlineStr"/>
      <c r="E1010" s="13" t="n"/>
      <c r="F1010" s="13" t="n"/>
      <c r="G1010" s="15" t="n">
        <v>7</v>
      </c>
      <c r="H1010" s="13" t="n"/>
      <c r="I1010" s="13" t="n"/>
      <c r="J1010" s="13" t="n"/>
      <c r="K1010" s="13" t="n"/>
      <c r="L1010" s="13" t="n"/>
      <c r="M1010" s="13" t="n"/>
      <c r="N1010" s="13" t="n"/>
      <c r="O1010" s="13" t="n"/>
      <c r="P1010" s="13" t="n"/>
      <c r="Q1010" s="13" t="n"/>
      <c r="R1010" s="16">
        <f>IF(COUNT(E1010:Q1010)=0,"",MIN(E1010:Q1010))</f>
        <v/>
      </c>
      <c r="S1010" s="15">
        <f>IF(COUNT(E1010:Q1010)=0,"",LOOKUP(2,1/(E1010:Q1010&lt;&gt;""),E1010:Q1010))</f>
        <v/>
      </c>
      <c r="T1010" s="17">
        <f>IF(R1010="","",ROUND(R1010*RESUMEN!$B$4,0))</f>
        <v/>
      </c>
      <c r="U1010" s="18">
        <f>COUNT(E1010:Q1010)</f>
        <v/>
      </c>
    </row>
    <row r="1011">
      <c r="A1011" s="13" t="inlineStr">
        <is>
          <t>PANDORA</t>
        </is>
      </c>
      <c r="B1011" s="13" t="inlineStr"/>
      <c r="C1011" s="13" t="inlineStr"/>
      <c r="D1011" s="14" t="inlineStr"/>
      <c r="E1011" s="13" t="n"/>
      <c r="F1011" s="15" t="n">
        <v>4.99</v>
      </c>
      <c r="G1011" s="13" t="n"/>
      <c r="H1011" s="13" t="n"/>
      <c r="I1011" s="13" t="n"/>
      <c r="J1011" s="13" t="n"/>
      <c r="K1011" s="13" t="n"/>
      <c r="L1011" s="13" t="n"/>
      <c r="M1011" s="13" t="n"/>
      <c r="N1011" s="13" t="n"/>
      <c r="O1011" s="13" t="n"/>
      <c r="P1011" s="13" t="n"/>
      <c r="Q1011" s="13" t="n"/>
      <c r="R1011" s="16">
        <f>IF(COUNT(E1011:Q1011)=0,"",MIN(E1011:Q1011))</f>
        <v/>
      </c>
      <c r="S1011" s="15">
        <f>IF(COUNT(E1011:Q1011)=0,"",LOOKUP(2,1/(E1011:Q1011&lt;&gt;""),E1011:Q1011))</f>
        <v/>
      </c>
      <c r="T1011" s="17">
        <f>IF(R1011="","",ROUND(R1011*RESUMEN!$B$4,0))</f>
        <v/>
      </c>
      <c r="U1011" s="18">
        <f>COUNT(E1011:Q1011)</f>
        <v/>
      </c>
    </row>
    <row r="1012">
      <c r="A1012" s="13" t="inlineStr">
        <is>
          <t>SIN SKU</t>
        </is>
      </c>
      <c r="B1012" s="13" t="inlineStr"/>
      <c r="C1012" s="13" t="inlineStr"/>
      <c r="D1012" s="14" t="inlineStr"/>
      <c r="E1012" s="13" t="n"/>
      <c r="F1012" s="13" t="n"/>
      <c r="G1012" s="15" t="n">
        <v>6</v>
      </c>
      <c r="H1012" s="13" t="n"/>
      <c r="I1012" s="13" t="n"/>
      <c r="J1012" s="13" t="n"/>
      <c r="K1012" s="13" t="n"/>
      <c r="L1012" s="13" t="n"/>
      <c r="M1012" s="13" t="n"/>
      <c r="N1012" s="13" t="n"/>
      <c r="O1012" s="13" t="n"/>
      <c r="P1012" s="13" t="n"/>
      <c r="Q1012" s="13" t="n"/>
      <c r="R1012" s="16">
        <f>IF(COUNT(E1012:Q1012)=0,"",MIN(E1012:Q1012))</f>
        <v/>
      </c>
      <c r="S1012" s="15">
        <f>IF(COUNT(E1012:Q1012)=0,"",LOOKUP(2,1/(E1012:Q1012&lt;&gt;""),E1012:Q1012))</f>
        <v/>
      </c>
      <c r="T1012" s="17">
        <f>IF(R1012="","",ROUND(R1012*RESUMEN!$B$4,0))</f>
        <v/>
      </c>
      <c r="U1012" s="18">
        <f>COUNT(E1012:Q1012)</f>
        <v/>
      </c>
    </row>
    <row r="1013">
      <c r="A1013" s="13" t="inlineStr">
        <is>
          <t>66176c87490bf</t>
        </is>
      </c>
      <c r="B1013" s="13" t="inlineStr"/>
      <c r="C1013" s="13" t="inlineStr">
        <is>
          <t>11</t>
        </is>
      </c>
      <c r="D1013" s="14" t="inlineStr"/>
      <c r="E1013" s="13" t="n"/>
      <c r="F1013" s="13" t="n"/>
      <c r="G1013" s="13" t="n"/>
      <c r="H1013" s="13" t="n"/>
      <c r="I1013" s="13" t="n"/>
      <c r="J1013" s="13" t="n"/>
      <c r="K1013" s="13" t="n"/>
      <c r="L1013" s="15" t="n">
        <v>1.8</v>
      </c>
      <c r="M1013" s="13" t="n"/>
      <c r="N1013" s="13" t="n"/>
      <c r="O1013" s="13" t="n"/>
      <c r="P1013" s="13" t="n"/>
      <c r="Q1013" s="13" t="n"/>
      <c r="R1013" s="16">
        <f>IF(COUNT(E1013:Q1013)=0,"",MIN(E1013:Q1013))</f>
        <v/>
      </c>
      <c r="S1013" s="15">
        <f>IF(COUNT(E1013:Q1013)=0,"",LOOKUP(2,1/(E1013:Q1013&lt;&gt;""),E1013:Q1013))</f>
        <v/>
      </c>
      <c r="T1013" s="17">
        <f>IF(R1013="","",ROUND(R1013*RESUMEN!$B$4,0))</f>
        <v/>
      </c>
      <c r="U1013" s="18">
        <f>COUNT(E1013:Q1013)</f>
        <v/>
      </c>
    </row>
    <row r="1014">
      <c r="A1014" s="13" t="inlineStr">
        <is>
          <t>66176c8a6cba6</t>
        </is>
      </c>
      <c r="B1014" s="13" t="inlineStr"/>
      <c r="C1014" s="13" t="inlineStr">
        <is>
          <t>11</t>
        </is>
      </c>
      <c r="D1014" s="14" t="inlineStr"/>
      <c r="E1014" s="13" t="n"/>
      <c r="F1014" s="13" t="n"/>
      <c r="G1014" s="13" t="n"/>
      <c r="H1014" s="13" t="n"/>
      <c r="I1014" s="13" t="n"/>
      <c r="J1014" s="13" t="n"/>
      <c r="K1014" s="13" t="n"/>
      <c r="L1014" s="15" t="n">
        <v>1.8</v>
      </c>
      <c r="M1014" s="13" t="n"/>
      <c r="N1014" s="13" t="n"/>
      <c r="O1014" s="13" t="n"/>
      <c r="P1014" s="13" t="n"/>
      <c r="Q1014" s="13" t="n"/>
      <c r="R1014" s="16">
        <f>IF(COUNT(E1014:Q1014)=0,"",MIN(E1014:Q1014))</f>
        <v/>
      </c>
      <c r="S1014" s="15">
        <f>IF(COUNT(E1014:Q1014)=0,"",LOOKUP(2,1/(E1014:Q1014&lt;&gt;""),E1014:Q1014))</f>
        <v/>
      </c>
      <c r="T1014" s="17">
        <f>IF(R1014="","",ROUND(R1014*RESUMEN!$B$4,0))</f>
        <v/>
      </c>
      <c r="U1014" s="18">
        <f>COUNT(E1014:Q1014)</f>
        <v/>
      </c>
    </row>
    <row r="1015">
      <c r="A1015" s="13" t="inlineStr">
        <is>
          <t>15711171756909</t>
        </is>
      </c>
      <c r="B1015" s="13" t="inlineStr"/>
      <c r="C1015" s="13" t="inlineStr">
        <is>
          <t>7</t>
        </is>
      </c>
      <c r="D1015" s="14" t="inlineStr">
        <is>
          <t>Copper alloy</t>
        </is>
      </c>
      <c r="E1015" s="13" t="n"/>
      <c r="F1015" s="13" t="n"/>
      <c r="G1015" s="13" t="n"/>
      <c r="H1015" s="13" t="n"/>
      <c r="I1015" s="13" t="n"/>
      <c r="J1015" s="13" t="n"/>
      <c r="K1015" s="13" t="n"/>
      <c r="L1015" s="15" t="n">
        <v>5</v>
      </c>
      <c r="M1015" s="13" t="n"/>
      <c r="N1015" s="13" t="n"/>
      <c r="O1015" s="13" t="n"/>
      <c r="P1015" s="13" t="n"/>
      <c r="Q1015" s="13" t="n"/>
      <c r="R1015" s="16">
        <f>IF(COUNT(E1015:Q1015)=0,"",MIN(E1015:Q1015))</f>
        <v/>
      </c>
      <c r="S1015" s="15">
        <f>IF(COUNT(E1015:Q1015)=0,"",LOOKUP(2,1/(E1015:Q1015&lt;&gt;""),E1015:Q1015))</f>
        <v/>
      </c>
      <c r="T1015" s="17">
        <f>IF(R1015="","",ROUND(R1015*RESUMEN!$B$4,0))</f>
        <v/>
      </c>
      <c r="U1015" s="18">
        <f>COUNT(E1015:Q1015)</f>
        <v/>
      </c>
    </row>
    <row r="1016">
      <c r="A1016" s="13" t="inlineStr">
        <is>
          <t>66075801507501</t>
        </is>
      </c>
      <c r="B1016" s="13" t="inlineStr"/>
      <c r="C1016" s="13" t="inlineStr">
        <is>
          <t>7</t>
        </is>
      </c>
      <c r="D1016" s="14" t="inlineStr">
        <is>
          <t>Copper alloy</t>
        </is>
      </c>
      <c r="E1016" s="13" t="n"/>
      <c r="F1016" s="13" t="n"/>
      <c r="G1016" s="13" t="n"/>
      <c r="H1016" s="13" t="n"/>
      <c r="I1016" s="13" t="n"/>
      <c r="J1016" s="13" t="n"/>
      <c r="K1016" s="13" t="n"/>
      <c r="L1016" s="15" t="n">
        <v>7</v>
      </c>
      <c r="M1016" s="13" t="n"/>
      <c r="N1016" s="13" t="n"/>
      <c r="O1016" s="13" t="n"/>
      <c r="P1016" s="13" t="n"/>
      <c r="Q1016" s="13" t="n"/>
      <c r="R1016" s="16">
        <f>IF(COUNT(E1016:Q1016)=0,"",MIN(E1016:Q1016))</f>
        <v/>
      </c>
      <c r="S1016" s="15">
        <f>IF(COUNT(E1016:Q1016)=0,"",LOOKUP(2,1/(E1016:Q1016&lt;&gt;""),E1016:Q1016))</f>
        <v/>
      </c>
      <c r="T1016" s="17">
        <f>IF(R1016="","",ROUND(R1016*RESUMEN!$B$4,0))</f>
        <v/>
      </c>
      <c r="U1016" s="18">
        <f>COUNT(E1016:Q1016)</f>
        <v/>
      </c>
    </row>
    <row r="1017">
      <c r="A1017" s="13" t="inlineStr">
        <is>
          <t>66176c88cd9cc</t>
        </is>
      </c>
      <c r="B1017" s="13" t="inlineStr"/>
      <c r="C1017" s="13" t="inlineStr">
        <is>
          <t>8</t>
        </is>
      </c>
      <c r="D1017" s="14" t="inlineStr">
        <is>
          <t>Stainless stee</t>
        </is>
      </c>
      <c r="E1017" s="13" t="n"/>
      <c r="F1017" s="13" t="n"/>
      <c r="G1017" s="13" t="n"/>
      <c r="H1017" s="13" t="n"/>
      <c r="I1017" s="13" t="n"/>
      <c r="J1017" s="13" t="n"/>
      <c r="K1017" s="13" t="n"/>
      <c r="L1017" s="15" t="n">
        <v>1.8</v>
      </c>
      <c r="M1017" s="13" t="n"/>
      <c r="N1017" s="13" t="n"/>
      <c r="O1017" s="13" t="n"/>
      <c r="P1017" s="13" t="n"/>
      <c r="Q1017" s="13" t="n"/>
      <c r="R1017" s="16">
        <f>IF(COUNT(E1017:Q1017)=0,"",MIN(E1017:Q1017))</f>
        <v/>
      </c>
      <c r="S1017" s="15">
        <f>IF(COUNT(E1017:Q1017)=0,"",LOOKUP(2,1/(E1017:Q1017&lt;&gt;""),E1017:Q1017))</f>
        <v/>
      </c>
      <c r="T1017" s="17">
        <f>IF(R1017="","",ROUND(R1017*RESUMEN!$B$4,0))</f>
        <v/>
      </c>
      <c r="U1017" s="18">
        <f>COUNT(E1017:Q1017)</f>
        <v/>
      </c>
    </row>
    <row r="1018">
      <c r="A1018" s="13" t="inlineStr">
        <is>
          <t>673cd55e24dd4</t>
        </is>
      </c>
      <c r="B1018" s="13" t="inlineStr"/>
      <c r="C1018" s="13" t="inlineStr">
        <is>
          <t>8</t>
        </is>
      </c>
      <c r="D1018" s="14" t="inlineStr">
        <is>
          <t>Copper alloy</t>
        </is>
      </c>
      <c r="E1018" s="13" t="n"/>
      <c r="F1018" s="13" t="n"/>
      <c r="G1018" s="13" t="n"/>
      <c r="H1018" s="13" t="n"/>
      <c r="I1018" s="13" t="n"/>
      <c r="J1018" s="13" t="n"/>
      <c r="K1018" s="13" t="n"/>
      <c r="L1018" s="15" t="n">
        <v>4</v>
      </c>
      <c r="M1018" s="13" t="n"/>
      <c r="N1018" s="13" t="n"/>
      <c r="O1018" s="13" t="n"/>
      <c r="P1018" s="13" t="n"/>
      <c r="Q1018" s="13" t="n"/>
      <c r="R1018" s="16">
        <f>IF(COUNT(E1018:Q1018)=0,"",MIN(E1018:Q1018))</f>
        <v/>
      </c>
      <c r="S1018" s="15">
        <f>IF(COUNT(E1018:Q1018)=0,"",LOOKUP(2,1/(E1018:Q1018&lt;&gt;""),E1018:Q1018))</f>
        <v/>
      </c>
      <c r="T1018" s="17">
        <f>IF(R1018="","",ROUND(R1018*RESUMEN!$B$4,0))</f>
        <v/>
      </c>
      <c r="U1018" s="18">
        <f>COUNT(E1018:Q1018)</f>
        <v/>
      </c>
    </row>
    <row r="1019">
      <c r="A1019" s="13" t="inlineStr">
        <is>
          <t>67201535695437</t>
        </is>
      </c>
      <c r="B1019" s="13" t="inlineStr"/>
      <c r="C1019" s="13" t="inlineStr">
        <is>
          <t>9</t>
        </is>
      </c>
      <c r="D1019" s="14" t="inlineStr">
        <is>
          <t>Copper alloy</t>
        </is>
      </c>
      <c r="E1019" s="13" t="n"/>
      <c r="F1019" s="13" t="n"/>
      <c r="G1019" s="13" t="n"/>
      <c r="H1019" s="13" t="n"/>
      <c r="I1019" s="13" t="n"/>
      <c r="J1019" s="13" t="n"/>
      <c r="K1019" s="13" t="n"/>
      <c r="L1019" s="15" t="n">
        <v>5</v>
      </c>
      <c r="M1019" s="13" t="n"/>
      <c r="N1019" s="13" t="n"/>
      <c r="O1019" s="13" t="n"/>
      <c r="P1019" s="13" t="n"/>
      <c r="Q1019" s="13" t="n"/>
      <c r="R1019" s="16">
        <f>IF(COUNT(E1019:Q1019)=0,"",MIN(E1019:Q1019))</f>
        <v/>
      </c>
      <c r="S1019" s="15">
        <f>IF(COUNT(E1019:Q1019)=0,"",LOOKUP(2,1/(E1019:Q1019&lt;&gt;""),E1019:Q1019))</f>
        <v/>
      </c>
      <c r="T1019" s="17">
        <f>IF(R1019="","",ROUND(R1019*RESUMEN!$B$4,0))</f>
        <v/>
      </c>
      <c r="U1019" s="18">
        <f>COUNT(E1019:Q1019)</f>
        <v/>
      </c>
    </row>
  </sheetData>
  <autoFilter ref="A4:U10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7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0" t="inlineStr">
        <is>
          <t>HISTORIAL DE PRECIOS — ZOEY</t>
        </is>
      </c>
    </row>
    <row r="2">
      <c r="A2" s="11" t="inlineStr">
        <is>
          <t>11 orden(es) · costo unitario en USD · MXN = MEJOR × RESUMEN!B4 · * = dato del historial previo</t>
        </is>
      </c>
    </row>
    <row r="4">
      <c r="A4" s="12" t="inlineStr">
        <is>
          <t>SKU</t>
        </is>
      </c>
      <c r="B4" s="12" t="inlineStr">
        <is>
          <t>PRODUCTO</t>
        </is>
      </c>
      <c r="C4" s="12" t="inlineStr">
        <is>
          <t>VARIANTE</t>
        </is>
      </c>
      <c r="D4" s="12" t="inlineStr">
        <is>
          <t>MATERIAL</t>
        </is>
      </c>
      <c r="E4" s="12" t="inlineStr">
        <is>
          <t>Sep 2025
01/09</t>
        </is>
      </c>
      <c r="F4" s="12" t="inlineStr">
        <is>
          <t>Oct 2025
02/10</t>
        </is>
      </c>
      <c r="G4" s="12" t="inlineStr">
        <is>
          <t>Oct 2025
25/10</t>
        </is>
      </c>
      <c r="H4" s="12" t="inlineStr">
        <is>
          <t>Dic 2025
historial*</t>
        </is>
      </c>
      <c r="I4" s="12" t="inlineStr">
        <is>
          <t>Ene 2026
20/01</t>
        </is>
      </c>
      <c r="J4" s="12" t="inlineStr">
        <is>
          <t>Feb 2026
16/02</t>
        </is>
      </c>
      <c r="K4" s="12" t="inlineStr">
        <is>
          <t>Mar 2026
02/03</t>
        </is>
      </c>
      <c r="L4" s="12" t="inlineStr">
        <is>
          <t>Mar 2026
19/03</t>
        </is>
      </c>
      <c r="M4" s="12" t="inlineStr">
        <is>
          <t>Abr 2026
20/04</t>
        </is>
      </c>
      <c r="N4" s="12" t="inlineStr">
        <is>
          <t>May 2026
15/05</t>
        </is>
      </c>
      <c r="O4" s="12" t="inlineStr">
        <is>
          <t>Jun 2026
08/06</t>
        </is>
      </c>
      <c r="P4" s="12" t="inlineStr">
        <is>
          <t>MEJOR
(US)</t>
        </is>
      </c>
      <c r="Q4" s="12" t="inlineStr">
        <is>
          <t>ÚLTIMA
(US)</t>
        </is>
      </c>
      <c r="R4" s="12" t="inlineStr">
        <is>
          <t>MXN
(mejor×TC)</t>
        </is>
      </c>
      <c r="S4" s="12" t="inlineStr">
        <is>
          <t># ÓRD.</t>
        </is>
      </c>
    </row>
    <row r="5">
      <c r="A5" s="13" t="inlineStr">
        <is>
          <t>67308101075309</t>
        </is>
      </c>
      <c r="B5" s="13" t="inlineStr">
        <is>
          <t>ANILLO CD GOLD BLACK CON ZIRCONIA ANCHO</t>
        </is>
      </c>
      <c r="C5" s="13" t="inlineStr">
        <is>
          <t>7</t>
        </is>
      </c>
      <c r="D5" s="14" t="inlineStr">
        <is>
          <t>Brass + Zirconia</t>
        </is>
      </c>
      <c r="E5" s="13" t="n"/>
      <c r="F5" s="15" t="n">
        <v>9</v>
      </c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6">
        <f>IF(COUNT(E5:O5)=0,"",MIN(E5:O5))</f>
        <v/>
      </c>
      <c r="Q5" s="15">
        <f>IF(COUNT(E5:O5)=0,"",LOOKUP(2,1/(E5:O5&lt;&gt;""),E5:O5))</f>
        <v/>
      </c>
      <c r="R5" s="17">
        <f>IF(P5="","",ROUND(P5*RESUMEN!$B$4,0))</f>
        <v/>
      </c>
      <c r="S5" s="18">
        <f>COUNT(E5:O5)</f>
        <v/>
      </c>
    </row>
    <row r="6">
      <c r="A6" s="13" t="inlineStr">
        <is>
          <t>72142921022125</t>
        </is>
      </c>
      <c r="B6" s="13" t="inlineStr">
        <is>
          <t>ANILLO CD GOLD WHITE CON ZIRCONIA</t>
        </is>
      </c>
      <c r="C6" s="13" t="inlineStr">
        <is>
          <t>6</t>
        </is>
      </c>
      <c r="D6" s="14" t="inlineStr">
        <is>
          <t>Brass + Zirconia</t>
        </is>
      </c>
      <c r="E6" s="13" t="n"/>
      <c r="F6" s="15" t="n">
        <v>9</v>
      </c>
      <c r="G6" s="13" t="n"/>
      <c r="H6" s="13" t="n"/>
      <c r="I6" s="13" t="n"/>
      <c r="J6" s="13" t="n"/>
      <c r="K6" s="13" t="n"/>
      <c r="L6" s="15" t="n">
        <v>9</v>
      </c>
      <c r="M6" s="13" t="n"/>
      <c r="N6" s="15" t="n">
        <v>9</v>
      </c>
      <c r="O6" s="13" t="n"/>
      <c r="P6" s="16">
        <f>IF(COUNT(E6:O6)=0,"",MIN(E6:O6))</f>
        <v/>
      </c>
      <c r="Q6" s="15">
        <f>IF(COUNT(E6:O6)=0,"",LOOKUP(2,1/(E6:O6&lt;&gt;""),E6:O6))</f>
        <v/>
      </c>
      <c r="R6" s="17">
        <f>IF(P6="","",ROUND(P6*RESUMEN!$B$4,0))</f>
        <v/>
      </c>
      <c r="S6" s="18">
        <f>COUNT(E6:O6)</f>
        <v/>
      </c>
    </row>
    <row r="7">
      <c r="A7" s="13" t="inlineStr">
        <is>
          <t>79684371047437</t>
        </is>
      </c>
      <c r="B7" s="13" t="inlineStr">
        <is>
          <t>ANILLO GC BLONDIE ANCHO CON ZIRCONIA</t>
        </is>
      </c>
      <c r="C7" s="13" t="inlineStr">
        <is>
          <t>8</t>
        </is>
      </c>
      <c r="D7" s="14" t="inlineStr">
        <is>
          <t>Brass + Zirconia</t>
        </is>
      </c>
      <c r="E7" s="13" t="n"/>
      <c r="F7" s="15" t="n">
        <v>9</v>
      </c>
      <c r="G7" s="13" t="n"/>
      <c r="H7" s="13" t="n"/>
      <c r="I7" s="13" t="n"/>
      <c r="J7" s="15" t="n">
        <v>9</v>
      </c>
      <c r="K7" s="15" t="n">
        <v>9</v>
      </c>
      <c r="L7" s="13" t="n"/>
      <c r="M7" s="13" t="n"/>
      <c r="N7" s="13" t="n"/>
      <c r="O7" s="13" t="n"/>
      <c r="P7" s="16">
        <f>IF(COUNT(E7:O7)=0,"",MIN(E7:O7))</f>
        <v/>
      </c>
      <c r="Q7" s="15">
        <f>IF(COUNT(E7:O7)=0,"",LOOKUP(2,1/(E7:O7&lt;&gt;""),E7:O7))</f>
        <v/>
      </c>
      <c r="R7" s="17">
        <f>IF(P7="","",ROUND(P7*RESUMEN!$B$4,0))</f>
        <v/>
      </c>
      <c r="S7" s="18">
        <f>COUNT(E7:O7)</f>
        <v/>
      </c>
    </row>
    <row r="8">
      <c r="A8" s="13" t="inlineStr">
        <is>
          <t>29502191036205</t>
        </is>
      </c>
      <c r="B8" s="13" t="inlineStr">
        <is>
          <t>ANILLO LV LES GASTONS SILVER</t>
        </is>
      </c>
      <c r="C8" s="13" t="inlineStr">
        <is>
          <t>8</t>
        </is>
      </c>
      <c r="D8" s="14" t="inlineStr">
        <is>
          <t>Brass</t>
        </is>
      </c>
      <c r="E8" s="13" t="n"/>
      <c r="F8" s="15" t="n">
        <v>9</v>
      </c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6">
        <f>IF(COUNT(E8:O8)=0,"",MIN(E8:O8))</f>
        <v/>
      </c>
      <c r="Q8" s="15">
        <f>IF(COUNT(E8:O8)=0,"",LOOKUP(2,1/(E8:O8&lt;&gt;""),E8:O8))</f>
        <v/>
      </c>
      <c r="R8" s="17">
        <f>IF(P8="","",ROUND(P8*RESUMEN!$B$4,0))</f>
        <v/>
      </c>
      <c r="S8" s="18">
        <f>COUNT(E8:O8)</f>
        <v/>
      </c>
    </row>
    <row r="9">
      <c r="A9" s="13" t="inlineStr">
        <is>
          <t>88201821024717</t>
        </is>
      </c>
      <c r="B9" s="13" t="inlineStr">
        <is>
          <t>ANILLO LV SILVER MICROZIRCONIAS</t>
        </is>
      </c>
      <c r="C9" s="13" t="inlineStr">
        <is>
          <t>8</t>
        </is>
      </c>
      <c r="D9" s="14" t="inlineStr">
        <is>
          <t>Brass + Zirconia</t>
        </is>
      </c>
      <c r="E9" s="13" t="n"/>
      <c r="F9" s="15" t="n">
        <v>9</v>
      </c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6">
        <f>IF(COUNT(E9:O9)=0,"",MIN(E9:O9))</f>
        <v/>
      </c>
      <c r="Q9" s="15">
        <f>IF(COUNT(E9:O9)=0,"",LOOKUP(2,1/(E9:O9&lt;&gt;""),E9:O9))</f>
        <v/>
      </c>
      <c r="R9" s="17">
        <f>IF(P9="","",ROUND(P9*RESUMEN!$B$4,0))</f>
        <v/>
      </c>
      <c r="S9" s="18">
        <f>COUNT(E9:O9)</f>
        <v/>
      </c>
    </row>
    <row r="10">
      <c r="A10" s="13" t="inlineStr">
        <is>
          <t>66593be00cc70</t>
        </is>
      </c>
      <c r="B10" s="13" t="inlineStr">
        <is>
          <t>ANILLO PERLEE ROSEGOLD</t>
        </is>
      </c>
      <c r="C10" s="13" t="inlineStr">
        <is>
          <t>7</t>
        </is>
      </c>
      <c r="D10" s="14" t="inlineStr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5" t="n">
        <v>7</v>
      </c>
      <c r="O10" s="13" t="n"/>
      <c r="P10" s="16">
        <f>IF(COUNT(E10:O10)=0,"",MIN(E10:O10))</f>
        <v/>
      </c>
      <c r="Q10" s="15">
        <f>IF(COUNT(E10:O10)=0,"",LOOKUP(2,1/(E10:O10&lt;&gt;""),E10:O10))</f>
        <v/>
      </c>
      <c r="R10" s="17">
        <f>IF(P10="","",ROUND(P10*RESUMEN!$B$4,0))</f>
        <v/>
      </c>
      <c r="S10" s="18">
        <f>COUNT(E10:O10)</f>
        <v/>
      </c>
    </row>
    <row r="11">
      <c r="A11" s="13" t="inlineStr">
        <is>
          <t>15857685585804</t>
        </is>
      </c>
      <c r="B11" s="13" t="inlineStr">
        <is>
          <t>ANILLO TRES AROS</t>
        </is>
      </c>
      <c r="C11" s="13" t="inlineStr">
        <is>
          <t>6</t>
        </is>
      </c>
      <c r="D11" s="14" t="inlineStr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5" t="n">
        <v>6</v>
      </c>
      <c r="O11" s="13" t="n"/>
      <c r="P11" s="16">
        <f>IF(COUNT(E11:O11)=0,"",MIN(E11:O11))</f>
        <v/>
      </c>
      <c r="Q11" s="15">
        <f>IF(COUNT(E11:O11)=0,"",LOOKUP(2,1/(E11:O11&lt;&gt;""),E11:O11))</f>
        <v/>
      </c>
      <c r="R11" s="17">
        <f>IF(P11="","",ROUND(P11*RESUMEN!$B$4,0))</f>
        <v/>
      </c>
      <c r="S11" s="18">
        <f>COUNT(E11:O11)</f>
        <v/>
      </c>
    </row>
    <row r="12">
      <c r="A12" s="13" t="inlineStr">
        <is>
          <t>56481488554124</t>
        </is>
      </c>
      <c r="B12" s="13" t="inlineStr">
        <is>
          <t>ANILLO TRES AROS CON ZIRCONIA</t>
        </is>
      </c>
      <c r="C12" s="13" t="inlineStr">
        <is>
          <t>6</t>
        </is>
      </c>
      <c r="D12" s="14" t="inlineStr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5" t="n">
        <v>13</v>
      </c>
      <c r="O12" s="13" t="n"/>
      <c r="P12" s="16">
        <f>IF(COUNT(E12:O12)=0,"",MIN(E12:O12))</f>
        <v/>
      </c>
      <c r="Q12" s="15">
        <f>IF(COUNT(E12:O12)=0,"",LOOKUP(2,1/(E12:O12&lt;&gt;""),E12:O12))</f>
        <v/>
      </c>
      <c r="R12" s="17">
        <f>IF(P12="","",ROUND(P12*RESUMEN!$B$4,0))</f>
        <v/>
      </c>
      <c r="S12" s="18">
        <f>COUNT(E12:O12)</f>
        <v/>
      </c>
    </row>
    <row r="13">
      <c r="A13" s="13" t="inlineStr">
        <is>
          <t>56481485030668</t>
        </is>
      </c>
      <c r="B13" s="13" t="inlineStr">
        <is>
          <t>ANILLO TRES AROS SILVER/BLACK</t>
        </is>
      </c>
      <c r="C13" s="13" t="inlineStr">
        <is>
          <t>8</t>
        </is>
      </c>
      <c r="D13" s="14" t="inlineStr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5" t="n">
        <v>6</v>
      </c>
      <c r="O13" s="13" t="n"/>
      <c r="P13" s="16">
        <f>IF(COUNT(E13:O13)=0,"",MIN(E13:O13))</f>
        <v/>
      </c>
      <c r="Q13" s="15">
        <f>IF(COUNT(E13:O13)=0,"",LOOKUP(2,1/(E13:O13&lt;&gt;""),E13:O13))</f>
        <v/>
      </c>
      <c r="R13" s="17">
        <f>IF(P13="","",ROUND(P13*RESUMEN!$B$4,0))</f>
        <v/>
      </c>
      <c r="S13" s="18">
        <f>COUNT(E13:O13)</f>
        <v/>
      </c>
    </row>
    <row r="14">
      <c r="A14" s="13" t="inlineStr">
        <is>
          <t>75249151006253</t>
        </is>
      </c>
      <c r="B14" s="13" t="inlineStr">
        <is>
          <t>ARETES BV ZERO 1 GOLD CON ZIRCONIA</t>
        </is>
      </c>
      <c r="C14" s="13" t="inlineStr">
        <is>
          <t>Default Title</t>
        </is>
      </c>
      <c r="D14" s="14" t="inlineStr">
        <is>
          <t>Brass + Zirconia</t>
        </is>
      </c>
      <c r="E14" s="13" t="n"/>
      <c r="F14" s="15" t="n">
        <v>9</v>
      </c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6">
        <f>IF(COUNT(E14:O14)=0,"",MIN(E14:O14))</f>
        <v/>
      </c>
      <c r="Q14" s="15">
        <f>IF(COUNT(E14:O14)=0,"",LOOKUP(2,1/(E14:O14&lt;&gt;""),E14:O14))</f>
        <v/>
      </c>
      <c r="R14" s="17">
        <f>IF(P14="","",ROUND(P14*RESUMEN!$B$4,0))</f>
        <v/>
      </c>
      <c r="S14" s="18">
        <f>COUNT(E14:O14)</f>
        <v/>
      </c>
    </row>
    <row r="15">
      <c r="A15" s="13" t="inlineStr">
        <is>
          <t>66148671022797</t>
        </is>
      </c>
      <c r="B15" s="13" t="inlineStr">
        <is>
          <t>ARETES CD GOLD BLACK CON ZIRCONIA</t>
        </is>
      </c>
      <c r="C15" s="13" t="inlineStr">
        <is>
          <t>Default Title</t>
        </is>
      </c>
      <c r="D15" s="14" t="inlineStr">
        <is>
          <t>Brass + Zirconia</t>
        </is>
      </c>
      <c r="E15" s="13" t="n"/>
      <c r="F15" s="15" t="n">
        <v>9</v>
      </c>
      <c r="G15" s="13" t="n"/>
      <c r="H15" s="13" t="n"/>
      <c r="I15" s="13" t="n"/>
      <c r="J15" s="15" t="n">
        <v>9</v>
      </c>
      <c r="K15" s="15" t="n">
        <v>9</v>
      </c>
      <c r="L15" s="13" t="n"/>
      <c r="M15" s="15" t="n">
        <v>9</v>
      </c>
      <c r="N15" s="13" t="n"/>
      <c r="O15" s="13" t="n"/>
      <c r="P15" s="16">
        <f>IF(COUNT(E15:O15)=0,"",MIN(E15:O15))</f>
        <v/>
      </c>
      <c r="Q15" s="15">
        <f>IF(COUNT(E15:O15)=0,"",LOOKUP(2,1/(E15:O15&lt;&gt;""),E15:O15))</f>
        <v/>
      </c>
      <c r="R15" s="17">
        <f>IF(P15="","",ROUND(P15*RESUMEN!$B$4,0))</f>
        <v/>
      </c>
      <c r="S15" s="18">
        <f>COUNT(E15:O15)</f>
        <v/>
      </c>
    </row>
    <row r="16">
      <c r="A16" s="13" t="inlineStr">
        <is>
          <t>69612281066221</t>
        </is>
      </c>
      <c r="B16" s="13" t="inlineStr">
        <is>
          <t>ARETES CD GOLD WHITE CON ZIRCONIA</t>
        </is>
      </c>
      <c r="C16" s="13" t="inlineStr">
        <is>
          <t>Default Title</t>
        </is>
      </c>
      <c r="D16" s="14" t="inlineStr">
        <is>
          <t>Brass + Zirconia</t>
        </is>
      </c>
      <c r="E16" s="13" t="n"/>
      <c r="F16" s="15" t="n">
        <v>9</v>
      </c>
      <c r="G16" s="13" t="n"/>
      <c r="H16" s="13" t="n"/>
      <c r="I16" s="13" t="n"/>
      <c r="J16" s="15" t="n">
        <v>9</v>
      </c>
      <c r="K16" s="15" t="n">
        <v>9</v>
      </c>
      <c r="L16" s="13" t="n"/>
      <c r="M16" s="13" t="n"/>
      <c r="N16" s="15" t="n">
        <v>9</v>
      </c>
      <c r="O16" s="13" t="n"/>
      <c r="P16" s="16">
        <f>IF(COUNT(E16:O16)=0,"",MIN(E16:O16))</f>
        <v/>
      </c>
      <c r="Q16" s="15">
        <f>IF(COUNT(E16:O16)=0,"",LOOKUP(2,1/(E16:O16&lt;&gt;""),E16:O16))</f>
        <v/>
      </c>
      <c r="R16" s="17">
        <f>IF(P16="","",ROUND(P16*RESUMEN!$B$4,0))</f>
        <v/>
      </c>
      <c r="S16" s="18">
        <f>COUNT(E16:O16)</f>
        <v/>
      </c>
    </row>
    <row r="17">
      <c r="A17" s="13" t="inlineStr">
        <is>
          <t>85409401017325</t>
        </is>
      </c>
      <c r="B17" s="13" t="inlineStr">
        <is>
          <t>ARETES F OVAL GOLD CON ZIRCONIA</t>
        </is>
      </c>
      <c r="C17" s="13" t="inlineStr">
        <is>
          <t>Default Title</t>
        </is>
      </c>
      <c r="D17" s="14" t="inlineStr">
        <is>
          <t>Brass + Zirconia</t>
        </is>
      </c>
      <c r="E17" s="13" t="n"/>
      <c r="F17" s="15" t="n">
        <v>8</v>
      </c>
      <c r="G17" s="13" t="n"/>
      <c r="H17" s="13" t="n"/>
      <c r="I17" s="15" t="n">
        <v>8</v>
      </c>
      <c r="J17" s="15" t="n">
        <v>8</v>
      </c>
      <c r="K17" s="15" t="n">
        <v>8</v>
      </c>
      <c r="L17" s="13" t="n"/>
      <c r="M17" s="15" t="n">
        <v>8</v>
      </c>
      <c r="N17" s="15" t="n">
        <v>8</v>
      </c>
      <c r="O17" s="13" t="n"/>
      <c r="P17" s="16">
        <f>IF(COUNT(E17:O17)=0,"",MIN(E17:O17))</f>
        <v/>
      </c>
      <c r="Q17" s="15">
        <f>IF(COUNT(E17:O17)=0,"",LOOKUP(2,1/(E17:O17&lt;&gt;""),E17:O17))</f>
        <v/>
      </c>
      <c r="R17" s="17">
        <f>IF(P17="","",ROUND(P17*RESUMEN!$B$4,0))</f>
        <v/>
      </c>
      <c r="S17" s="18">
        <f>COUNT(E17:O17)</f>
        <v/>
      </c>
    </row>
    <row r="18">
      <c r="A18" s="13" t="inlineStr">
        <is>
          <t>83445961082989</t>
        </is>
      </c>
      <c r="B18" s="13" t="inlineStr">
        <is>
          <t>ARETES GC MARMONT GOLD CON PERLA</t>
        </is>
      </c>
      <c r="C18" s="13" t="inlineStr">
        <is>
          <t>Default Title</t>
        </is>
      </c>
      <c r="D18" s="14" t="inlineStr">
        <is>
          <t>Brass + Zirconia</t>
        </is>
      </c>
      <c r="E18" s="13" t="n"/>
      <c r="F18" s="15" t="n">
        <v>9</v>
      </c>
      <c r="G18" s="13" t="n"/>
      <c r="H18" s="13" t="n"/>
      <c r="I18" s="13" t="n"/>
      <c r="J18" s="13" t="n"/>
      <c r="K18" s="13" t="n"/>
      <c r="L18" s="13" t="n"/>
      <c r="M18" s="13" t="n"/>
      <c r="N18" s="13" t="n"/>
      <c r="O18" s="15" t="n">
        <v>8</v>
      </c>
      <c r="P18" s="16">
        <f>IF(COUNT(E18:O18)=0,"",MIN(E18:O18))</f>
        <v/>
      </c>
      <c r="Q18" s="15">
        <f>IF(COUNT(E18:O18)=0,"",LOOKUP(2,1/(E18:O18&lt;&gt;""),E18:O18))</f>
        <v/>
      </c>
      <c r="R18" s="17">
        <f>IF(P18="","",ROUND(P18*RESUMEN!$B$4,0))</f>
        <v/>
      </c>
      <c r="S18" s="18">
        <f>COUNT(E18:O18)</f>
        <v/>
      </c>
    </row>
    <row r="19">
      <c r="A19" s="13" t="inlineStr">
        <is>
          <t>77275241042893</t>
        </is>
      </c>
      <c r="B19" s="13" t="inlineStr">
        <is>
          <t>ARETES MM HEART GOLD WHITE</t>
        </is>
      </c>
      <c r="C19" s="13" t="inlineStr">
        <is>
          <t>2cm</t>
        </is>
      </c>
      <c r="D19" s="14" t="inlineStr">
        <is>
          <t>Brass</t>
        </is>
      </c>
      <c r="E19" s="13" t="n"/>
      <c r="F19" s="15" t="n">
        <v>8</v>
      </c>
      <c r="G19" s="13" t="n"/>
      <c r="H19" s="13" t="n"/>
      <c r="I19" s="15" t="n">
        <v>8</v>
      </c>
      <c r="J19" s="13" t="n"/>
      <c r="K19" s="13" t="n"/>
      <c r="L19" s="15" t="n">
        <v>8</v>
      </c>
      <c r="M19" s="13" t="n"/>
      <c r="N19" s="15" t="n">
        <v>8</v>
      </c>
      <c r="O19" s="15" t="n">
        <v>8</v>
      </c>
      <c r="P19" s="16">
        <f>IF(COUNT(E19:O19)=0,"",MIN(E19:O19))</f>
        <v/>
      </c>
      <c r="Q19" s="15">
        <f>IF(COUNT(E19:O19)=0,"",LOOKUP(2,1/(E19:O19&lt;&gt;""),E19:O19))</f>
        <v/>
      </c>
      <c r="R19" s="17">
        <f>IF(P19="","",ROUND(P19*RESUMEN!$B$4,0))</f>
        <v/>
      </c>
      <c r="S19" s="18">
        <f>COUNT(E19:O19)</f>
        <v/>
      </c>
    </row>
    <row r="20">
      <c r="A20" s="13" t="inlineStr">
        <is>
          <t>82310551082381</t>
        </is>
      </c>
      <c r="B20" s="13" t="inlineStr">
        <is>
          <t>ARRACADAS F LOGO GOLD</t>
        </is>
      </c>
      <c r="C20" s="13" t="inlineStr">
        <is>
          <t>Default Title</t>
        </is>
      </c>
      <c r="D20" s="14" t="inlineStr">
        <is>
          <t>Brass</t>
        </is>
      </c>
      <c r="E20" s="13" t="n"/>
      <c r="F20" s="15" t="n">
        <v>9</v>
      </c>
      <c r="G20" s="13" t="n"/>
      <c r="H20" s="13" t="n"/>
      <c r="I20" s="13" t="n"/>
      <c r="J20" s="13" t="n"/>
      <c r="K20" s="13" t="n"/>
      <c r="L20" s="13" t="n"/>
      <c r="M20" s="13" t="n"/>
      <c r="N20" s="13" t="n"/>
      <c r="O20" s="15" t="n">
        <v>9</v>
      </c>
      <c r="P20" s="16">
        <f>IF(COUNT(E20:O20)=0,"",MIN(E20:O20))</f>
        <v/>
      </c>
      <c r="Q20" s="15">
        <f>IF(COUNT(E20:O20)=0,"",LOOKUP(2,1/(E20:O20&lt;&gt;""),E20:O20))</f>
        <v/>
      </c>
      <c r="R20" s="17">
        <f>IF(P20="","",ROUND(P20*RESUMEN!$B$4,0))</f>
        <v/>
      </c>
      <c r="S20" s="18">
        <f>COUNT(E20:O20)</f>
        <v/>
      </c>
    </row>
    <row r="21">
      <c r="A21" s="13" t="inlineStr">
        <is>
          <t>76327071018669</t>
        </is>
      </c>
      <c r="B21" s="13" t="inlineStr">
        <is>
          <t>ARRACADAS SERPENTI VIPPER GOLD CON ZIRCONIA</t>
        </is>
      </c>
      <c r="C21" s="13" t="inlineStr">
        <is>
          <t>Default Title</t>
        </is>
      </c>
      <c r="D21" s="14" t="inlineStr">
        <is>
          <t>Brass + Zirconia</t>
        </is>
      </c>
      <c r="E21" s="13" t="n"/>
      <c r="F21" s="15" t="n">
        <v>9</v>
      </c>
      <c r="G21" s="13" t="n"/>
      <c r="H21" s="13" t="n"/>
      <c r="I21" s="13" t="n"/>
      <c r="J21" s="15" t="n">
        <v>9</v>
      </c>
      <c r="K21" s="15" t="n">
        <v>9</v>
      </c>
      <c r="L21" s="15" t="n">
        <v>9</v>
      </c>
      <c r="M21" s="13" t="n"/>
      <c r="N21" s="13" t="n"/>
      <c r="O21" s="15" t="n">
        <v>9</v>
      </c>
      <c r="P21" s="16">
        <f>IF(COUNT(E21:O21)=0,"",MIN(E21:O21))</f>
        <v/>
      </c>
      <c r="Q21" s="15">
        <f>IF(COUNT(E21:O21)=0,"",LOOKUP(2,1/(E21:O21&lt;&gt;""),E21:O21))</f>
        <v/>
      </c>
      <c r="R21" s="17">
        <f>IF(P21="","",ROUND(P21*RESUMEN!$B$4,0))</f>
        <v/>
      </c>
      <c r="S21" s="18">
        <f>COUNT(E21:O21)</f>
        <v/>
      </c>
    </row>
    <row r="22">
      <c r="A22" s="13" t="inlineStr">
        <is>
          <t>93378831084685</t>
        </is>
      </c>
      <c r="B22" s="13" t="inlineStr">
        <is>
          <t>BALLERINAS CC BEIGE BLACK</t>
        </is>
      </c>
      <c r="C22" s="13" t="inlineStr">
        <is>
          <t>23cm</t>
        </is>
      </c>
      <c r="D22" s="14" t="inlineStr">
        <is>
          <t>Genuine leather</t>
        </is>
      </c>
      <c r="E22" s="13" t="n"/>
      <c r="F22" s="13" t="n"/>
      <c r="G22" s="15" t="n">
        <v>55</v>
      </c>
      <c r="H22" s="13" t="n"/>
      <c r="I22" s="15" t="n">
        <v>55</v>
      </c>
      <c r="J22" s="13" t="n"/>
      <c r="K22" s="13" t="n"/>
      <c r="L22" s="13" t="n"/>
      <c r="M22" s="13" t="n"/>
      <c r="N22" s="15" t="n">
        <v>55</v>
      </c>
      <c r="O22" s="13" t="n"/>
      <c r="P22" s="16">
        <f>IF(COUNT(E22:O22)=0,"",MIN(E22:O22))</f>
        <v/>
      </c>
      <c r="Q22" s="15">
        <f>IF(COUNT(E22:O22)=0,"",LOOKUP(2,1/(E22:O22&lt;&gt;""),E22:O22))</f>
        <v/>
      </c>
      <c r="R22" s="17">
        <f>IF(P22="","",ROUND(P22*RESUMEN!$B$4,0))</f>
        <v/>
      </c>
      <c r="S22" s="18">
        <f>COUNT(E22:O22)</f>
        <v/>
      </c>
    </row>
    <row r="23">
      <c r="A23" s="13" t="inlineStr">
        <is>
          <t>93378841117453</t>
        </is>
      </c>
      <c r="B23" s="13" t="inlineStr">
        <is>
          <t>BALLERINAS CC BEIGE BLACK</t>
        </is>
      </c>
      <c r="C23" s="13" t="inlineStr">
        <is>
          <t>24-cm</t>
        </is>
      </c>
      <c r="D23" s="14" t="inlineStr">
        <is>
          <t>Genuine leather</t>
        </is>
      </c>
      <c r="E23" s="13" t="n"/>
      <c r="F23" s="13" t="n"/>
      <c r="G23" s="15" t="n">
        <v>55</v>
      </c>
      <c r="H23" s="13" t="n"/>
      <c r="I23" s="15" t="n">
        <v>55</v>
      </c>
      <c r="J23" s="13" t="n"/>
      <c r="K23" s="13" t="n"/>
      <c r="L23" s="13" t="n"/>
      <c r="M23" s="15" t="n">
        <v>55</v>
      </c>
      <c r="N23" s="13" t="n"/>
      <c r="O23" s="13" t="n"/>
      <c r="P23" s="16">
        <f>IF(COUNT(E23:O23)=0,"",MIN(E23:O23))</f>
        <v/>
      </c>
      <c r="Q23" s="15">
        <f>IF(COUNT(E23:O23)=0,"",LOOKUP(2,1/(E23:O23&lt;&gt;""),E23:O23))</f>
        <v/>
      </c>
      <c r="R23" s="17">
        <f>IF(P23="","",ROUND(P23*RESUMEN!$B$4,0))</f>
        <v/>
      </c>
      <c r="S23" s="18">
        <f>COUNT(E23:O23)</f>
        <v/>
      </c>
    </row>
    <row r="24">
      <c r="A24" s="13" t="inlineStr">
        <is>
          <t>24780443041101</t>
        </is>
      </c>
      <c r="B24" s="13" t="inlineStr">
        <is>
          <t>BALLERINAS CC COCO MARK</t>
        </is>
      </c>
      <c r="C24" s="13" t="inlineStr">
        <is>
          <t>35/254MX</t>
        </is>
      </c>
      <c r="D24" s="14" t="inlineStr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5" t="n">
        <v>60</v>
      </c>
      <c r="P24" s="16">
        <f>IF(COUNT(E24:O24)=0,"",MIN(E24:O24))</f>
        <v/>
      </c>
      <c r="Q24" s="15">
        <f>IF(COUNT(E24:O24)=0,"",LOOKUP(2,1/(E24:O24&lt;&gt;""),E24:O24))</f>
        <v/>
      </c>
      <c r="R24" s="17">
        <f>IF(P24="","",ROUND(P24*RESUMEN!$B$4,0))</f>
        <v/>
      </c>
      <c r="S24" s="18">
        <f>COUNT(E24:O24)</f>
        <v/>
      </c>
    </row>
    <row r="25">
      <c r="A25" s="13" t="inlineStr">
        <is>
          <t>24780442908333</t>
        </is>
      </c>
      <c r="B25" s="13" t="inlineStr">
        <is>
          <t>BALLERINAS CC COCO MARK</t>
        </is>
      </c>
      <c r="C25" s="13" t="inlineStr">
        <is>
          <t>38/25MX</t>
        </is>
      </c>
      <c r="D25" s="14" t="inlineStr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5" t="n">
        <v>60</v>
      </c>
      <c r="P25" s="16">
        <f>IF(COUNT(E25:O25)=0,"",MIN(E25:O25))</f>
        <v/>
      </c>
      <c r="Q25" s="15">
        <f>IF(COUNT(E25:O25)=0,"",LOOKUP(2,1/(E25:O25&lt;&gt;""),E25:O25))</f>
        <v/>
      </c>
      <c r="R25" s="17">
        <f>IF(P25="","",ROUND(P25*RESUMEN!$B$4,0))</f>
        <v/>
      </c>
      <c r="S25" s="18">
        <f>COUNT(E25:O25)</f>
        <v/>
      </c>
    </row>
    <row r="26">
      <c r="A26" s="13" t="inlineStr">
        <is>
          <t>3378841221933</t>
        </is>
      </c>
      <c r="B26" s="13" t="inlineStr">
        <is>
          <t>BALLERINAS LV BROWN CON INSIGNIAS</t>
        </is>
      </c>
      <c r="C26" s="13" t="inlineStr">
        <is>
          <t>24CM</t>
        </is>
      </c>
      <c r="D26" s="14" t="inlineStr"/>
      <c r="E26" s="13" t="n"/>
      <c r="F26" s="13" t="n"/>
      <c r="G26" s="15" t="n">
        <v>68</v>
      </c>
      <c r="H26" s="13" t="n"/>
      <c r="I26" s="13" t="n"/>
      <c r="J26" s="13" t="n"/>
      <c r="K26" s="13" t="n"/>
      <c r="L26" s="13" t="n"/>
      <c r="M26" s="13" t="n"/>
      <c r="N26" s="13" t="n"/>
      <c r="O26" s="13" t="n"/>
      <c r="P26" s="16">
        <f>IF(COUNT(E26:O26)=0,"",MIN(E26:O26))</f>
        <v/>
      </c>
      <c r="Q26" s="15">
        <f>IF(COUNT(E26:O26)=0,"",LOOKUP(2,1/(E26:O26&lt;&gt;""),E26:O26))</f>
        <v/>
      </c>
      <c r="R26" s="17">
        <f>IF(P26="","",ROUND(P26*RESUMEN!$B$4,0))</f>
        <v/>
      </c>
      <c r="S26" s="18">
        <f>COUNT(E26:O26)</f>
        <v/>
      </c>
    </row>
    <row r="27">
      <c r="A27" s="13" t="inlineStr">
        <is>
          <t>93378841221933</t>
        </is>
      </c>
      <c r="B27" s="13" t="inlineStr">
        <is>
          <t>BALLERINAS LV BROWN CON INSIGNIAS</t>
        </is>
      </c>
      <c r="C27" s="13" t="inlineStr">
        <is>
          <t>24cm</t>
        </is>
      </c>
      <c r="D27" s="14" t="inlineStr">
        <is>
          <t>Genuine leather</t>
        </is>
      </c>
      <c r="E27" s="13" t="n"/>
      <c r="F27" s="13" t="n"/>
      <c r="G27" s="13" t="n"/>
      <c r="H27" s="13" t="n"/>
      <c r="I27" s="15" t="n">
        <v>68</v>
      </c>
      <c r="J27" s="13" t="n"/>
      <c r="K27" s="13" t="n"/>
      <c r="L27" s="13" t="n"/>
      <c r="M27" s="13" t="n"/>
      <c r="N27" s="13" t="n"/>
      <c r="O27" s="15" t="n">
        <v>68</v>
      </c>
      <c r="P27" s="16">
        <f>IF(COUNT(E27:O27)=0,"",MIN(E27:O27))</f>
        <v/>
      </c>
      <c r="Q27" s="15">
        <f>IF(COUNT(E27:O27)=0,"",LOOKUP(2,1/(E27:O27&lt;&gt;""),E27:O27))</f>
        <v/>
      </c>
      <c r="R27" s="17">
        <f>IF(P27="","",ROUND(P27*RESUMEN!$B$4,0))</f>
        <v/>
      </c>
      <c r="S27" s="18">
        <f>COUNT(E27:O27)</f>
        <v/>
      </c>
    </row>
    <row r="28">
      <c r="A28" s="13" t="inlineStr">
        <is>
          <t>93378841354701</t>
        </is>
      </c>
      <c r="B28" s="13" t="inlineStr">
        <is>
          <t>BALLERINAS LV BROWN CON INSIGNIAS</t>
        </is>
      </c>
      <c r="C28" s="13" t="inlineStr">
        <is>
          <t>25cm</t>
        </is>
      </c>
      <c r="D28" s="14" t="inlineStr">
        <is>
          <t>Genuine leather</t>
        </is>
      </c>
      <c r="E28" s="13" t="n"/>
      <c r="F28" s="13" t="n"/>
      <c r="G28" s="15" t="n">
        <v>68</v>
      </c>
      <c r="H28" s="13" t="n"/>
      <c r="I28" s="15" t="n">
        <v>68</v>
      </c>
      <c r="J28" s="13" t="n"/>
      <c r="K28" s="13" t="n"/>
      <c r="L28" s="13" t="n"/>
      <c r="M28" s="13" t="n"/>
      <c r="N28" s="13" t="n"/>
      <c r="O28" s="15" t="n">
        <v>68</v>
      </c>
      <c r="P28" s="16">
        <f>IF(COUNT(E28:O28)=0,"",MIN(E28:O28))</f>
        <v/>
      </c>
      <c r="Q28" s="15">
        <f>IF(COUNT(E28:O28)=0,"",LOOKUP(2,1/(E28:O28&lt;&gt;""),E28:O28))</f>
        <v/>
      </c>
      <c r="R28" s="17">
        <f>IF(P28="","",ROUND(P28*RESUMEN!$B$4,0))</f>
        <v/>
      </c>
      <c r="S28" s="18">
        <f>COUNT(E28:O28)</f>
        <v/>
      </c>
    </row>
    <row r="29">
      <c r="A29" s="13" t="inlineStr">
        <is>
          <t>93378841495885</t>
        </is>
      </c>
      <c r="B29" s="13" t="inlineStr">
        <is>
          <t>BALLERINAS MM BLACK CON ZIRCONIAS</t>
        </is>
      </c>
      <c r="C29" s="13" t="inlineStr">
        <is>
          <t>24CM</t>
        </is>
      </c>
      <c r="D29" s="14" t="inlineStr"/>
      <c r="E29" s="13" t="n"/>
      <c r="F29" s="13" t="n"/>
      <c r="G29" s="15" t="n">
        <v>72</v>
      </c>
      <c r="H29" s="13" t="n"/>
      <c r="I29" s="13" t="n"/>
      <c r="J29" s="13" t="n"/>
      <c r="K29" s="13" t="n"/>
      <c r="L29" s="13" t="n"/>
      <c r="M29" s="13" t="n"/>
      <c r="N29" s="13" t="n"/>
      <c r="O29" s="13" t="n"/>
      <c r="P29" s="16">
        <f>IF(COUNT(E29:O29)=0,"",MIN(E29:O29))</f>
        <v/>
      </c>
      <c r="Q29" s="15">
        <f>IF(COUNT(E29:O29)=0,"",LOOKUP(2,1/(E29:O29&lt;&gt;""),E29:O29))</f>
        <v/>
      </c>
      <c r="R29" s="17">
        <f>IF(P29="","",ROUND(P29*RESUMEN!$B$4,0))</f>
        <v/>
      </c>
      <c r="S29" s="18">
        <f>COUNT(E29:O29)</f>
        <v/>
      </c>
    </row>
    <row r="30">
      <c r="A30" s="13" t="inlineStr">
        <is>
          <t>93378841508909</t>
        </is>
      </c>
      <c r="B30" s="13" t="inlineStr">
        <is>
          <t>BALLERINAS PR BLACK CON LOGO</t>
        </is>
      </c>
      <c r="C30" s="13" t="inlineStr">
        <is>
          <t>24cm</t>
        </is>
      </c>
      <c r="D30" s="14" t="inlineStr">
        <is>
          <t>Genuine leather</t>
        </is>
      </c>
      <c r="E30" s="13" t="n"/>
      <c r="F30" s="13" t="n"/>
      <c r="G30" s="15" t="n">
        <v>58</v>
      </c>
      <c r="H30" s="13" t="n"/>
      <c r="I30" s="15" t="n">
        <v>58</v>
      </c>
      <c r="J30" s="13" t="n"/>
      <c r="K30" s="13" t="n"/>
      <c r="L30" s="13" t="n"/>
      <c r="M30" s="13" t="n"/>
      <c r="N30" s="13" t="n"/>
      <c r="O30" s="13" t="n"/>
      <c r="P30" s="16">
        <f>IF(COUNT(E30:O30)=0,"",MIN(E30:O30))</f>
        <v/>
      </c>
      <c r="Q30" s="15">
        <f>IF(COUNT(E30:O30)=0,"",LOOKUP(2,1/(E30:O30&lt;&gt;""),E30:O30))</f>
        <v/>
      </c>
      <c r="R30" s="17">
        <f>IF(P30="","",ROUND(P30*RESUMEN!$B$4,0))</f>
        <v/>
      </c>
      <c r="S30" s="18">
        <f>COUNT(E30:O30)</f>
        <v/>
      </c>
    </row>
    <row r="31">
      <c r="A31" s="13" t="inlineStr">
        <is>
          <t>93378841641677</t>
        </is>
      </c>
      <c r="B31" s="13" t="inlineStr">
        <is>
          <t>BALLERINAS PR BLACK CON LOGO</t>
        </is>
      </c>
      <c r="C31" s="13" t="inlineStr">
        <is>
          <t>25-cm</t>
        </is>
      </c>
      <c r="D31" s="14" t="inlineStr">
        <is>
          <t>Genuine leather</t>
        </is>
      </c>
      <c r="E31" s="13" t="n"/>
      <c r="F31" s="13" t="n"/>
      <c r="G31" s="15" t="n">
        <v>58</v>
      </c>
      <c r="H31" s="13" t="n"/>
      <c r="I31" s="15" t="n">
        <v>58</v>
      </c>
      <c r="J31" s="13" t="n"/>
      <c r="K31" s="13" t="n"/>
      <c r="L31" s="13" t="n"/>
      <c r="M31" s="15" t="n">
        <v>58</v>
      </c>
      <c r="N31" s="13" t="n"/>
      <c r="O31" s="13" t="n"/>
      <c r="P31" s="16">
        <f>IF(COUNT(E31:O31)=0,"",MIN(E31:O31))</f>
        <v/>
      </c>
      <c r="Q31" s="15">
        <f>IF(COUNT(E31:O31)=0,"",LOOKUP(2,1/(E31:O31&lt;&gt;""),E31:O31))</f>
        <v/>
      </c>
      <c r="R31" s="17">
        <f>IF(P31="","",ROUND(P31*RESUMEN!$B$4,0))</f>
        <v/>
      </c>
      <c r="S31" s="18">
        <f>COUNT(E31:O31)</f>
        <v/>
      </c>
    </row>
    <row r="32">
      <c r="A32" s="13" t="inlineStr">
        <is>
          <t>46740671064493</t>
        </is>
      </c>
      <c r="B32" s="13" t="inlineStr">
        <is>
          <t>BOLSA DE DEPORTE BLACK</t>
        </is>
      </c>
      <c r="C32" s="13" t="inlineStr">
        <is>
          <t>Default Title</t>
        </is>
      </c>
      <c r="D32" s="14" t="inlineStr">
        <is>
          <t>Material: Spande</t>
        </is>
      </c>
      <c r="E32" s="13" t="n"/>
      <c r="F32" s="15" t="n">
        <v>15</v>
      </c>
      <c r="G32" s="13" t="n"/>
      <c r="H32" s="13" t="n"/>
      <c r="I32" s="15" t="n">
        <v>40</v>
      </c>
      <c r="J32" s="13" t="n"/>
      <c r="K32" s="13" t="n"/>
      <c r="L32" s="13" t="n"/>
      <c r="M32" s="13" t="n"/>
      <c r="N32" s="13" t="n"/>
      <c r="O32" s="13" t="n"/>
      <c r="P32" s="16">
        <f>IF(COUNT(E32:O32)=0,"",MIN(E32:O32))</f>
        <v/>
      </c>
      <c r="Q32" s="15">
        <f>IF(COUNT(E32:O32)=0,"",LOOKUP(2,1/(E32:O32&lt;&gt;""),E32:O32))</f>
        <v/>
      </c>
      <c r="R32" s="17">
        <f>IF(P32="","",ROUND(P32*RESUMEN!$B$4,0))</f>
        <v/>
      </c>
      <c r="S32" s="18">
        <f>COUNT(E32:O32)</f>
        <v/>
      </c>
    </row>
    <row r="33">
      <c r="A33" s="13" t="inlineStr">
        <is>
          <t>73626631067117</t>
        </is>
      </c>
      <c r="B33" s="13" t="inlineStr">
        <is>
          <t>BOLSA DE MANO G GREEN</t>
        </is>
      </c>
      <c r="C33" s="13" t="inlineStr">
        <is>
          <t>Default Title</t>
        </is>
      </c>
      <c r="D33" s="14" t="inlineStr">
        <is>
          <t>Genuine leather</t>
        </is>
      </c>
      <c r="E33" s="13" t="n"/>
      <c r="F33" s="15" t="n">
        <v>46</v>
      </c>
      <c r="G33" s="13" t="n"/>
      <c r="H33" s="13" t="n"/>
      <c r="I33" s="15" t="n">
        <v>35</v>
      </c>
      <c r="J33" s="13" t="n"/>
      <c r="K33" s="13" t="n"/>
      <c r="L33" s="15" t="n">
        <v>35</v>
      </c>
      <c r="M33" s="13" t="n"/>
      <c r="N33" s="13" t="n"/>
      <c r="O33" s="15" t="n">
        <v>35</v>
      </c>
      <c r="P33" s="16">
        <f>IF(COUNT(E33:O33)=0,"",MIN(E33:O33))</f>
        <v/>
      </c>
      <c r="Q33" s="15">
        <f>IF(COUNT(E33:O33)=0,"",LOOKUP(2,1/(E33:O33&lt;&gt;""),E33:O33))</f>
        <v/>
      </c>
      <c r="R33" s="17">
        <f>IF(P33="","",ROUND(P33*RESUMEN!$B$4,0))</f>
        <v/>
      </c>
      <c r="S33" s="18">
        <f>COUNT(E33:O33)</f>
        <v/>
      </c>
    </row>
    <row r="34">
      <c r="A34" s="13" t="inlineStr">
        <is>
          <t>58450831080173</t>
        </is>
      </c>
      <c r="B34" s="13" t="inlineStr">
        <is>
          <t>BOLSA DE RAQUETA LLM CREAM</t>
        </is>
      </c>
      <c r="C34" s="13" t="inlineStr">
        <is>
          <t>Default Title</t>
        </is>
      </c>
      <c r="D34" s="14" t="inlineStr">
        <is>
          <t>Bag Material: Ny</t>
        </is>
      </c>
      <c r="E34" s="13" t="n"/>
      <c r="F34" s="15" t="n">
        <v>8</v>
      </c>
      <c r="G34" s="13" t="n"/>
      <c r="H34" s="13" t="n"/>
      <c r="I34" s="15" t="n">
        <v>30</v>
      </c>
      <c r="J34" s="13" t="n"/>
      <c r="K34" s="13" t="n"/>
      <c r="L34" s="13" t="n"/>
      <c r="M34" s="15" t="n">
        <v>30</v>
      </c>
      <c r="N34" s="13" t="n"/>
      <c r="O34" s="13" t="n"/>
      <c r="P34" s="16">
        <f>IF(COUNT(E34:O34)=0,"",MIN(E34:O34))</f>
        <v/>
      </c>
      <c r="Q34" s="15">
        <f>IF(COUNT(E34:O34)=0,"",LOOKUP(2,1/(E34:O34&lt;&gt;""),E34:O34))</f>
        <v/>
      </c>
      <c r="R34" s="17">
        <f>IF(P34="","",ROUND(P34*RESUMEN!$B$4,0))</f>
        <v/>
      </c>
      <c r="S34" s="18">
        <f>COUNT(E34:O34)</f>
        <v/>
      </c>
    </row>
    <row r="35">
      <c r="A35" s="13" t="inlineStr">
        <is>
          <t>DANAHE</t>
        </is>
      </c>
      <c r="B35" s="13" t="inlineStr">
        <is>
          <t>BOLSA GC WHITE</t>
        </is>
      </c>
      <c r="C35" s="13" t="inlineStr"/>
      <c r="D35" s="14" t="inlineStr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5" t="n">
        <v>21</v>
      </c>
      <c r="P35" s="16">
        <f>IF(COUNT(E35:O35)=0,"",MIN(E35:O35))</f>
        <v/>
      </c>
      <c r="Q35" s="15">
        <f>IF(COUNT(E35:O35)=0,"",LOOKUP(2,1/(E35:O35&lt;&gt;""),E35:O35))</f>
        <v/>
      </c>
      <c r="R35" s="17">
        <f>IF(P35="","",ROUND(P35*RESUMEN!$B$4,0))</f>
        <v/>
      </c>
      <c r="S35" s="18">
        <f>COUNT(E35:O35)</f>
        <v/>
      </c>
    </row>
    <row r="36">
      <c r="A36" s="13" t="inlineStr">
        <is>
          <t>64e78f8c69235</t>
        </is>
      </c>
      <c r="B36" s="13" t="inlineStr">
        <is>
          <t>BOLSA GC WHITE</t>
        </is>
      </c>
      <c r="C36" s="13" t="inlineStr">
        <is>
          <t>22.5.cmx15cm</t>
        </is>
      </c>
      <c r="D36" s="14" t="inlineStr">
        <is>
          <t>Genuine leather</t>
        </is>
      </c>
      <c r="E36" s="13" t="n"/>
      <c r="F36" s="13" t="n"/>
      <c r="G36" s="15" t="n">
        <v>56</v>
      </c>
      <c r="H36" s="13" t="n"/>
      <c r="I36" s="13" t="n"/>
      <c r="J36" s="13" t="n"/>
      <c r="K36" s="13" t="n"/>
      <c r="L36" s="13" t="n"/>
      <c r="M36" s="15" t="n">
        <v>56</v>
      </c>
      <c r="N36" s="13" t="n"/>
      <c r="O36" s="13" t="n"/>
      <c r="P36" s="16">
        <f>IF(COUNT(E36:O36)=0,"",MIN(E36:O36))</f>
        <v/>
      </c>
      <c r="Q36" s="15">
        <f>IF(COUNT(E36:O36)=0,"",LOOKUP(2,1/(E36:O36&lt;&gt;""),E36:O36))</f>
        <v/>
      </c>
      <c r="R36" s="17">
        <f>IF(P36="","",ROUND(P36*RESUMEN!$B$4,0))</f>
        <v/>
      </c>
      <c r="S36" s="18">
        <f>COUNT(E36:O36)</f>
        <v/>
      </c>
    </row>
    <row r="37">
      <c r="A37" s="13" t="inlineStr">
        <is>
          <t>27168511089165</t>
        </is>
      </c>
      <c r="B37" s="13" t="inlineStr">
        <is>
          <t>BOLSA GG SMALL BROWN</t>
        </is>
      </c>
      <c r="C37" s="13" t="inlineStr">
        <is>
          <t>Default Title</t>
        </is>
      </c>
      <c r="D37" s="14" t="inlineStr">
        <is>
          <t>Stainless steel</t>
        </is>
      </c>
      <c r="E37" s="13" t="n"/>
      <c r="F37" s="15" t="n">
        <v>28</v>
      </c>
      <c r="G37" s="13" t="n"/>
      <c r="H37" s="13" t="n"/>
      <c r="I37" s="15" t="n">
        <v>46</v>
      </c>
      <c r="J37" s="15" t="n">
        <v>46</v>
      </c>
      <c r="K37" s="15" t="n">
        <v>46</v>
      </c>
      <c r="L37" s="13" t="n"/>
      <c r="M37" s="13" t="n"/>
      <c r="N37" s="13" t="n"/>
      <c r="O37" s="13" t="n"/>
      <c r="P37" s="16">
        <f>IF(COUNT(E37:O37)=0,"",MIN(E37:O37))</f>
        <v/>
      </c>
      <c r="Q37" s="15">
        <f>IF(COUNT(E37:O37)=0,"",LOOKUP(2,1/(E37:O37&lt;&gt;""),E37:O37))</f>
        <v/>
      </c>
      <c r="R37" s="17">
        <f>IF(P37="","",ROUND(P37*RESUMEN!$B$4,0))</f>
        <v/>
      </c>
      <c r="S37" s="18">
        <f>COUNT(E37:O37)</f>
        <v/>
      </c>
    </row>
    <row r="38">
      <c r="A38" s="13" t="inlineStr">
        <is>
          <t>62571331097101</t>
        </is>
      </c>
      <c r="B38" s="13" t="inlineStr">
        <is>
          <t>BOLSA LLM BLACK</t>
        </is>
      </c>
      <c r="C38" s="13" t="inlineStr">
        <is>
          <t>Default Title</t>
        </is>
      </c>
      <c r="D38" s="14" t="inlineStr">
        <is>
          <t>Genuine leather</t>
        </is>
      </c>
      <c r="E38" s="13" t="n"/>
      <c r="F38" s="15" t="n">
        <v>35</v>
      </c>
      <c r="G38" s="13" t="n"/>
      <c r="H38" s="13" t="n"/>
      <c r="I38" s="15" t="n">
        <v>8</v>
      </c>
      <c r="J38" s="13" t="n"/>
      <c r="K38" s="13" t="n"/>
      <c r="L38" s="13" t="n"/>
      <c r="M38" s="15" t="n">
        <v>8</v>
      </c>
      <c r="N38" s="13" t="n"/>
      <c r="O38" s="15" t="n">
        <v>8</v>
      </c>
      <c r="P38" s="16">
        <f>IF(COUNT(E38:O38)=0,"",MIN(E38:O38))</f>
        <v/>
      </c>
      <c r="Q38" s="15">
        <f>IF(COUNT(E38:O38)=0,"",LOOKUP(2,1/(E38:O38&lt;&gt;""),E38:O38))</f>
        <v/>
      </c>
      <c r="R38" s="17">
        <f>IF(P38="","",ROUND(P38*RESUMEN!$B$4,0))</f>
        <v/>
      </c>
      <c r="S38" s="18">
        <f>COUNT(E38:O38)</f>
        <v/>
      </c>
    </row>
    <row r="39">
      <c r="A39" s="13" t="inlineStr">
        <is>
          <t>52394691046605</t>
        </is>
      </c>
      <c r="B39" s="13" t="inlineStr">
        <is>
          <t>BOLSA NANO NOÉ LV BROWN</t>
        </is>
      </c>
      <c r="C39" s="13" t="inlineStr">
        <is>
          <t>13 cm de largo x 16 cm de alto x 10cm de ancho</t>
        </is>
      </c>
      <c r="D39" s="14" t="inlineStr"/>
      <c r="E39" s="13" t="n"/>
      <c r="F39" s="13" t="n"/>
      <c r="G39" s="13" t="n"/>
      <c r="H39" s="13" t="n"/>
      <c r="I39" s="15" t="n">
        <v>20</v>
      </c>
      <c r="J39" s="13" t="n"/>
      <c r="K39" s="13" t="n"/>
      <c r="L39" s="13" t="n"/>
      <c r="M39" s="15" t="n">
        <v>20</v>
      </c>
      <c r="N39" s="13" t="n"/>
      <c r="O39" s="13" t="n"/>
      <c r="P39" s="16">
        <f>IF(COUNT(E39:O39)=0,"",MIN(E39:O39))</f>
        <v/>
      </c>
      <c r="Q39" s="15">
        <f>IF(COUNT(E39:O39)=0,"",LOOKUP(2,1/(E39:O39&lt;&gt;""),E39:O39))</f>
        <v/>
      </c>
      <c r="R39" s="17">
        <f>IF(P39="","",ROUND(P39*RESUMEN!$B$4,0))</f>
        <v/>
      </c>
      <c r="S39" s="18">
        <f>COUNT(E39:O39)</f>
        <v/>
      </c>
    </row>
    <row r="40">
      <c r="A40" s="13" t="inlineStr">
        <is>
          <t>64e78f2fafa3d</t>
        </is>
      </c>
      <c r="B40" s="13" t="inlineStr">
        <is>
          <t>BOLSA YSL WHITE</t>
        </is>
      </c>
      <c r="C40" s="13" t="inlineStr">
        <is>
          <t>24cm x 15cm</t>
        </is>
      </c>
      <c r="D40" s="14" t="inlineStr">
        <is>
          <t>Genuine leather</t>
        </is>
      </c>
      <c r="E40" s="13" t="n"/>
      <c r="F40" s="13" t="n"/>
      <c r="G40" s="13" t="n"/>
      <c r="H40" s="15" t="n">
        <v>52</v>
      </c>
      <c r="I40" s="13" t="n"/>
      <c r="J40" s="13" t="n"/>
      <c r="K40" s="13" t="n"/>
      <c r="L40" s="13" t="n"/>
      <c r="M40" s="13" t="n"/>
      <c r="N40" s="13" t="n"/>
      <c r="O40" s="13" t="n"/>
      <c r="P40" s="16">
        <f>IF(COUNT(E40:O40)=0,"",MIN(E40:O40))</f>
        <v/>
      </c>
      <c r="Q40" s="15">
        <f>IF(COUNT(E40:O40)=0,"",LOOKUP(2,1/(E40:O40&lt;&gt;""),E40:O40))</f>
        <v/>
      </c>
      <c r="R40" s="17">
        <f>IF(P40="","",ROUND(P40*RESUMEN!$B$4,0))</f>
        <v/>
      </c>
      <c r="S40" s="18">
        <f>COUNT(E40:O40)</f>
        <v/>
      </c>
    </row>
    <row r="41">
      <c r="A41" s="13" t="inlineStr">
        <is>
          <t>46281181071009</t>
        </is>
      </c>
      <c r="B41" s="13" t="inlineStr">
        <is>
          <t>BOLSA YSL WHITE</t>
        </is>
      </c>
      <c r="C41" s="13" t="inlineStr">
        <is>
          <t>NUDE 24cm x 15cm</t>
        </is>
      </c>
      <c r="D41" s="14" t="inlineStr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5" t="n">
        <v>52</v>
      </c>
      <c r="N41" s="13" t="n"/>
      <c r="O41" s="13" t="n"/>
      <c r="P41" s="16">
        <f>IF(COUNT(E41:O41)=0,"",MIN(E41:O41))</f>
        <v/>
      </c>
      <c r="Q41" s="15">
        <f>IF(COUNT(E41:O41)=0,"",LOOKUP(2,1/(E41:O41&lt;&gt;""),E41:O41))</f>
        <v/>
      </c>
      <c r="R41" s="17">
        <f>IF(P41="","",ROUND(P41*RESUMEN!$B$4,0))</f>
        <v/>
      </c>
      <c r="S41" s="18">
        <f>COUNT(E41:O41)</f>
        <v/>
      </c>
    </row>
    <row r="42">
      <c r="A42" s="13" t="inlineStr">
        <is>
          <t>94350549840780</t>
        </is>
      </c>
      <c r="B42" s="13" t="inlineStr">
        <is>
          <t>BOLSO A TIEDIE</t>
        </is>
      </c>
      <c r="C42" s="13" t="inlineStr">
        <is>
          <t>31cm de alto x 45.5cm de largo x 18cm de ancho</t>
        </is>
      </c>
      <c r="D42" s="14" t="inlineStr">
        <is>
          <t>Canvas</t>
        </is>
      </c>
      <c r="E42" s="15" t="n">
        <v>0</v>
      </c>
      <c r="F42" s="13" t="n"/>
      <c r="G42" s="15" t="n">
        <v>10</v>
      </c>
      <c r="H42" s="15" t="n">
        <v>10</v>
      </c>
      <c r="I42" s="13" t="n"/>
      <c r="J42" s="15" t="n">
        <v>10</v>
      </c>
      <c r="K42" s="15" t="n">
        <v>10</v>
      </c>
      <c r="L42" s="13" t="n"/>
      <c r="M42" s="15" t="n">
        <v>10</v>
      </c>
      <c r="N42" s="15" t="n">
        <v>10</v>
      </c>
      <c r="O42" s="13" t="n"/>
      <c r="P42" s="16">
        <f>IF(COUNT(E42:O42)=0,"",MIN(E42:O42))</f>
        <v/>
      </c>
      <c r="Q42" s="15">
        <f>IF(COUNT(E42:O42)=0,"",LOOKUP(2,1/(E42:O42&lt;&gt;""),E42:O42))</f>
        <v/>
      </c>
      <c r="R42" s="17">
        <f>IF(P42="","",ROUND(P42*RESUMEN!$B$4,0))</f>
        <v/>
      </c>
      <c r="S42" s="18">
        <f>COUNT(E42:O42)</f>
        <v/>
      </c>
    </row>
    <row r="43">
      <c r="A43" s="13" t="inlineStr">
        <is>
          <t>66581df1de94d</t>
        </is>
      </c>
      <c r="B43" s="13" t="inlineStr">
        <is>
          <t>BOLSO B BLACK</t>
        </is>
      </c>
      <c r="C43" s="13" t="inlineStr">
        <is>
          <t>17cm de largo x 11cm de alto x 8.3cm de ancho</t>
        </is>
      </c>
      <c r="D43" s="14" t="inlineStr">
        <is>
          <t>Genuine leather</t>
        </is>
      </c>
      <c r="E43" s="15" t="n">
        <v>45</v>
      </c>
      <c r="F43" s="13" t="n"/>
      <c r="G43" s="13" t="n"/>
      <c r="H43" s="13" t="n"/>
      <c r="I43" s="13" t="n"/>
      <c r="J43" s="15" t="n">
        <v>45</v>
      </c>
      <c r="K43" s="15" t="n">
        <v>45</v>
      </c>
      <c r="L43" s="13" t="n"/>
      <c r="M43" s="15" t="n">
        <v>45</v>
      </c>
      <c r="N43" s="13" t="n"/>
      <c r="O43" s="13" t="n"/>
      <c r="P43" s="16">
        <f>IF(COUNT(E43:O43)=0,"",MIN(E43:O43))</f>
        <v/>
      </c>
      <c r="Q43" s="15">
        <f>IF(COUNT(E43:O43)=0,"",LOOKUP(2,1/(E43:O43&lt;&gt;""),E43:O43))</f>
        <v/>
      </c>
      <c r="R43" s="17">
        <f>IF(P43="","",ROUND(P43*RESUMEN!$B$4,0))</f>
        <v/>
      </c>
      <c r="S43" s="18">
        <f>COUNT(E43:O43)</f>
        <v/>
      </c>
    </row>
    <row r="44">
      <c r="A44" s="13" t="inlineStr">
        <is>
          <t>66ec817c20ce6</t>
        </is>
      </c>
      <c r="B44" s="13" t="inlineStr">
        <is>
          <t>BOLSO B BLACK</t>
        </is>
      </c>
      <c r="C44" s="13" t="inlineStr">
        <is>
          <t>HIGH QUALITY 23cm de largo x 14.5cm de alto x 10cm de ancho</t>
        </is>
      </c>
      <c r="D44" s="14" t="inlineStr">
        <is>
          <t>Genuine leather</t>
        </is>
      </c>
      <c r="E44" s="13" t="n"/>
      <c r="F44" s="13" t="n"/>
      <c r="G44" s="15" t="n">
        <v>45</v>
      </c>
      <c r="H44" s="13" t="n"/>
      <c r="I44" s="13" t="n"/>
      <c r="J44" s="13" t="n"/>
      <c r="K44" s="13" t="n"/>
      <c r="L44" s="13" t="n"/>
      <c r="M44" s="13" t="n"/>
      <c r="N44" s="13" t="n"/>
      <c r="O44" s="13" t="n"/>
      <c r="P44" s="16">
        <f>IF(COUNT(E44:O44)=0,"",MIN(E44:O44))</f>
        <v/>
      </c>
      <c r="Q44" s="15">
        <f>IF(COUNT(E44:O44)=0,"",LOOKUP(2,1/(E44:O44&lt;&gt;""),E44:O44))</f>
        <v/>
      </c>
      <c r="R44" s="17">
        <f>IF(P44="","",ROUND(P44*RESUMEN!$B$4,0))</f>
        <v/>
      </c>
      <c r="S44" s="18">
        <f>COUNT(E44:O44)</f>
        <v/>
      </c>
    </row>
    <row r="45">
      <c r="A45" s="13" t="inlineStr">
        <is>
          <t>654bdbcfddee8</t>
        </is>
      </c>
      <c r="B45" s="13" t="inlineStr">
        <is>
          <t>BOLSO B BLACK LISA</t>
        </is>
      </c>
      <c r="C45" s="13" t="inlineStr">
        <is>
          <t>17cm de largo x 11cm de alto x 8.3cm de ancho</t>
        </is>
      </c>
      <c r="D45" s="14" t="inlineStr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5" t="n">
        <v>45</v>
      </c>
      <c r="N45" s="13" t="n"/>
      <c r="O45" s="13" t="n"/>
      <c r="P45" s="16">
        <f>IF(COUNT(E45:O45)=0,"",MIN(E45:O45))</f>
        <v/>
      </c>
      <c r="Q45" s="15">
        <f>IF(COUNT(E45:O45)=0,"",LOOKUP(2,1/(E45:O45&lt;&gt;""),E45:O45))</f>
        <v/>
      </c>
      <c r="R45" s="17">
        <f>IF(P45="","",ROUND(P45*RESUMEN!$B$4,0))</f>
        <v/>
      </c>
      <c r="S45" s="18">
        <f>COUNT(E45:O45)</f>
        <v/>
      </c>
    </row>
    <row r="46">
      <c r="A46" s="13" t="inlineStr">
        <is>
          <t>66ec817ce19fe</t>
        </is>
      </c>
      <c r="B46" s="13" t="inlineStr">
        <is>
          <t>BOLSO B BLACK LISO</t>
        </is>
      </c>
      <c r="C46" s="13" t="inlineStr">
        <is>
          <t>HIGH QUALITY 23cm de largo x 14.5cm de alto x 10cm de ancho</t>
        </is>
      </c>
      <c r="D46" s="14" t="inlineStr">
        <is>
          <t>Genuine leather</t>
        </is>
      </c>
      <c r="E46" s="15" t="n">
        <v>45</v>
      </c>
      <c r="F46" s="13" t="n"/>
      <c r="G46" s="13" t="n"/>
      <c r="H46" s="13" t="n"/>
      <c r="I46" s="13" t="n"/>
      <c r="J46" s="15" t="n">
        <v>45</v>
      </c>
      <c r="K46" s="15" t="n">
        <v>45</v>
      </c>
      <c r="L46" s="15" t="n">
        <v>45</v>
      </c>
      <c r="M46" s="13" t="n"/>
      <c r="N46" s="13" t="n"/>
      <c r="O46" s="13" t="n"/>
      <c r="P46" s="16">
        <f>IF(COUNT(E46:O46)=0,"",MIN(E46:O46))</f>
        <v/>
      </c>
      <c r="Q46" s="15">
        <f>IF(COUNT(E46:O46)=0,"",LOOKUP(2,1/(E46:O46&lt;&gt;""),E46:O46))</f>
        <v/>
      </c>
      <c r="R46" s="17">
        <f>IF(P46="","",ROUND(P46*RESUMEN!$B$4,0))</f>
        <v/>
      </c>
      <c r="S46" s="18">
        <f>COUNT(E46:O46)</f>
        <v/>
      </c>
    </row>
    <row r="47">
      <c r="A47" s="13" t="inlineStr">
        <is>
          <t>654bdbd00f373</t>
        </is>
      </c>
      <c r="B47" s="13" t="inlineStr">
        <is>
          <t>BOLSO B WHITE</t>
        </is>
      </c>
      <c r="C47" s="13" t="inlineStr">
        <is>
          <t>17cm de largo x 11cm de alto x 8.3cm de ancho</t>
        </is>
      </c>
      <c r="D47" s="14" t="inlineStr"/>
      <c r="E47" s="15" t="n">
        <v>45</v>
      </c>
      <c r="F47" s="13" t="n"/>
      <c r="G47" s="13" t="n"/>
      <c r="H47" s="13" t="n"/>
      <c r="I47" s="15" t="n">
        <v>45</v>
      </c>
      <c r="J47" s="13" t="n"/>
      <c r="K47" s="13" t="n"/>
      <c r="L47" s="13" t="n"/>
      <c r="M47" s="13" t="n"/>
      <c r="N47" s="13" t="n"/>
      <c r="O47" s="13" t="n"/>
      <c r="P47" s="16">
        <f>IF(COUNT(E47:O47)=0,"",MIN(E47:O47))</f>
        <v/>
      </c>
      <c r="Q47" s="15">
        <f>IF(COUNT(E47:O47)=0,"",LOOKUP(2,1/(E47:O47&lt;&gt;""),E47:O47))</f>
        <v/>
      </c>
      <c r="R47" s="17">
        <f>IF(P47="","",ROUND(P47*RESUMEN!$B$4,0))</f>
        <v/>
      </c>
      <c r="S47" s="18">
        <f>COUNT(E47:O47)</f>
        <v/>
      </c>
    </row>
    <row r="48">
      <c r="A48" s="13" t="inlineStr">
        <is>
          <t>43728086470604</t>
        </is>
      </c>
      <c r="B48" s="13" t="inlineStr">
        <is>
          <t>BOLSO BT ANDIAMO CLUTCH BROWN</t>
        </is>
      </c>
      <c r="C48" s="13" t="inlineStr">
        <is>
          <t>30.5cm de larg</t>
        </is>
      </c>
      <c r="D48" s="14" t="inlineStr"/>
      <c r="E48" s="13" t="n"/>
      <c r="F48" s="13" t="n"/>
      <c r="G48" s="13" t="n"/>
      <c r="H48" s="15" t="n">
        <v>60</v>
      </c>
      <c r="I48" s="13" t="n"/>
      <c r="J48" s="13" t="n"/>
      <c r="K48" s="13" t="n"/>
      <c r="L48" s="13" t="n"/>
      <c r="M48" s="13" t="n"/>
      <c r="N48" s="13" t="n"/>
      <c r="O48" s="13" t="n"/>
      <c r="P48" s="16">
        <f>IF(COUNT(E48:O48)=0,"",MIN(E48:O48))</f>
        <v/>
      </c>
      <c r="Q48" s="15">
        <f>IF(COUNT(E48:O48)=0,"",LOOKUP(2,1/(E48:O48&lt;&gt;""),E48:O48))</f>
        <v/>
      </c>
      <c r="R48" s="17">
        <f>IF(P48="","",ROUND(P48*RESUMEN!$B$4,0))</f>
        <v/>
      </c>
      <c r="S48" s="18">
        <f>COUNT(E48:O48)</f>
        <v/>
      </c>
    </row>
    <row r="49">
      <c r="A49" s="13" t="inlineStr">
        <is>
          <t>68374516907020</t>
        </is>
      </c>
      <c r="B49" s="13" t="inlineStr">
        <is>
          <t>BOLSO C CLAUDE BLACK</t>
        </is>
      </c>
      <c r="C49" s="13" t="inlineStr">
        <is>
          <t>21.5cm de largo x 11.5cm de alto x 4.5cm de ancho</t>
        </is>
      </c>
      <c r="D49" s="14" t="inlineStr"/>
      <c r="E49" s="15" t="n">
        <v>52</v>
      </c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6">
        <f>IF(COUNT(E49:O49)=0,"",MIN(E49:O49))</f>
        <v/>
      </c>
      <c r="Q49" s="15">
        <f>IF(COUNT(E49:O49)=0,"",LOOKUP(2,1/(E49:O49&lt;&gt;""),E49:O49))</f>
        <v/>
      </c>
      <c r="R49" s="17">
        <f>IF(P49="","",ROUND(P49*RESUMEN!$B$4,0))</f>
        <v/>
      </c>
      <c r="S49" s="18">
        <f>COUNT(E49:O49)</f>
        <v/>
      </c>
    </row>
    <row r="50">
      <c r="A50" s="13" t="inlineStr">
        <is>
          <t>24780442420877</t>
        </is>
      </c>
      <c r="B50" s="13" t="inlineStr">
        <is>
          <t>BOLSO C N°25 DENIM</t>
        </is>
      </c>
      <c r="C50" s="13" t="inlineStr"/>
      <c r="D50" s="14" t="inlineStr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5" t="n">
        <v>65</v>
      </c>
      <c r="P50" s="16">
        <f>IF(COUNT(E50:O50)=0,"",MIN(E50:O50))</f>
        <v/>
      </c>
      <c r="Q50" s="15">
        <f>IF(COUNT(E50:O50)=0,"",LOOKUP(2,1/(E50:O50&lt;&gt;""),E50:O50))</f>
        <v/>
      </c>
      <c r="R50" s="17">
        <f>IF(P50="","",ROUND(P50*RESUMEN!$B$4,0))</f>
        <v/>
      </c>
      <c r="S50" s="18">
        <f>COUNT(E50:O50)</f>
        <v/>
      </c>
    </row>
    <row r="51">
      <c r="A51" s="13" t="inlineStr">
        <is>
          <t>24780442584717</t>
        </is>
      </c>
      <c r="B51" s="13" t="inlineStr">
        <is>
          <t>BOLSO C N°25 GOLD</t>
        </is>
      </c>
      <c r="C51" s="13" t="inlineStr"/>
      <c r="D51" s="14" t="inlineStr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5" t="n">
        <v>65</v>
      </c>
      <c r="P51" s="16">
        <f>IF(COUNT(E51:O51)=0,"",MIN(E51:O51))</f>
        <v/>
      </c>
      <c r="Q51" s="15">
        <f>IF(COUNT(E51:O51)=0,"",LOOKUP(2,1/(E51:O51&lt;&gt;""),E51:O51))</f>
        <v/>
      </c>
      <c r="R51" s="17">
        <f>IF(P51="","",ROUND(P51*RESUMEN!$B$4,0))</f>
        <v/>
      </c>
      <c r="S51" s="18">
        <f>COUNT(E51:O51)</f>
        <v/>
      </c>
    </row>
    <row r="52">
      <c r="A52" s="13" t="inlineStr">
        <is>
          <t>99781782573645</t>
        </is>
      </c>
      <c r="B52" s="13" t="inlineStr">
        <is>
          <t>BOLSO C TANK TOP</t>
        </is>
      </c>
      <c r="C52" s="13" t="inlineStr">
        <is>
          <t>Default Title</t>
        </is>
      </c>
      <c r="D52" s="14" t="inlineStr">
        <is>
          <t>Genuine leather</t>
        </is>
      </c>
      <c r="E52" s="13" t="n"/>
      <c r="F52" s="13" t="n"/>
      <c r="G52" s="13" t="n"/>
      <c r="H52" s="13" t="n"/>
      <c r="I52" s="13" t="n"/>
      <c r="J52" s="15" t="n">
        <v>55</v>
      </c>
      <c r="K52" s="15" t="n">
        <v>55</v>
      </c>
      <c r="L52" s="13" t="n"/>
      <c r="M52" s="13" t="n"/>
      <c r="N52" s="15" t="n">
        <v>55</v>
      </c>
      <c r="O52" s="13" t="n"/>
      <c r="P52" s="16">
        <f>IF(COUNT(E52:O52)=0,"",MIN(E52:O52))</f>
        <v/>
      </c>
      <c r="Q52" s="15">
        <f>IF(COUNT(E52:O52)=0,"",LOOKUP(2,1/(E52:O52&lt;&gt;""),E52:O52))</f>
        <v/>
      </c>
      <c r="R52" s="17">
        <f>IF(P52="","",ROUND(P52*RESUMEN!$B$4,0))</f>
        <v/>
      </c>
      <c r="S52" s="18">
        <f>COUNT(E52:O52)</f>
        <v/>
      </c>
    </row>
    <row r="53">
      <c r="A53" s="13" t="inlineStr">
        <is>
          <t>63666799441676</t>
        </is>
      </c>
      <c r="B53" s="13" t="inlineStr">
        <is>
          <t>BOLSO C TOTE</t>
        </is>
      </c>
      <c r="C53" s="13" t="inlineStr">
        <is>
          <t>20cm de largo x 21 cm de alto x 11cm de ancho</t>
        </is>
      </c>
      <c r="D53" s="14" t="inlineStr">
        <is>
          <t>Genuine leather</t>
        </is>
      </c>
      <c r="E53" s="15" t="n">
        <v>72</v>
      </c>
      <c r="F53" s="13" t="n"/>
      <c r="G53" s="13" t="n"/>
      <c r="H53" s="15" t="n">
        <v>72</v>
      </c>
      <c r="I53" s="13" t="n"/>
      <c r="J53" s="15" t="n">
        <v>72</v>
      </c>
      <c r="K53" s="15" t="n">
        <v>72</v>
      </c>
      <c r="L53" s="13" t="n"/>
      <c r="M53" s="13" t="n"/>
      <c r="N53" s="13" t="n"/>
      <c r="O53" s="13" t="n"/>
      <c r="P53" s="16">
        <f>IF(COUNT(E53:O53)=0,"",MIN(E53:O53))</f>
        <v/>
      </c>
      <c r="Q53" s="15">
        <f>IF(COUNT(E53:O53)=0,"",LOOKUP(2,1/(E53:O53&lt;&gt;""),E53:O53))</f>
        <v/>
      </c>
      <c r="R53" s="17">
        <f>IF(P53="","",ROUND(P53*RESUMEN!$B$4,0))</f>
        <v/>
      </c>
      <c r="S53" s="18">
        <f>COUNT(E53:O53)</f>
        <v/>
      </c>
    </row>
    <row r="54">
      <c r="A54" s="13" t="inlineStr">
        <is>
          <t>43728083210732</t>
        </is>
      </c>
      <c r="B54" s="13" t="inlineStr">
        <is>
          <t>BOLSO CC 22</t>
        </is>
      </c>
      <c r="C54" s="13" t="inlineStr">
        <is>
          <t>19cm de alto x 23.5cm de ancho</t>
        </is>
      </c>
      <c r="D54" s="14" t="inlineStr">
        <is>
          <t>Genuine leather</t>
        </is>
      </c>
      <c r="E54" s="15" t="n">
        <v>50</v>
      </c>
      <c r="F54" s="13" t="n"/>
      <c r="G54" s="13" t="n"/>
      <c r="H54" s="15" t="n">
        <v>50</v>
      </c>
      <c r="I54" s="15" t="n">
        <v>50</v>
      </c>
      <c r="J54" s="13" t="n"/>
      <c r="K54" s="13" t="n"/>
      <c r="L54" s="15" t="n">
        <v>50</v>
      </c>
      <c r="M54" s="13" t="n"/>
      <c r="N54" s="13" t="n"/>
      <c r="O54" s="13" t="n"/>
      <c r="P54" s="16">
        <f>IF(COUNT(E54:O54)=0,"",MIN(E54:O54))</f>
        <v/>
      </c>
      <c r="Q54" s="15">
        <f>IF(COUNT(E54:O54)=0,"",LOOKUP(2,1/(E54:O54&lt;&gt;""),E54:O54))</f>
        <v/>
      </c>
      <c r="R54" s="17">
        <f>IF(P54="","",ROUND(P54*RESUMEN!$B$4,0))</f>
        <v/>
      </c>
      <c r="S54" s="18">
        <f>COUNT(E54:O54)</f>
        <v/>
      </c>
    </row>
    <row r="55">
      <c r="A55" s="13" t="inlineStr">
        <is>
          <t>17760786033676</t>
        </is>
      </c>
      <c r="B55" s="13" t="inlineStr">
        <is>
          <t>BOLSO CC 22 SILVER</t>
        </is>
      </c>
      <c r="C55" s="13" t="inlineStr">
        <is>
          <t>19cm de alto x 23.5cm de ancho</t>
        </is>
      </c>
      <c r="D55" s="14" t="inlineStr">
        <is>
          <t>Genuine leather</t>
        </is>
      </c>
      <c r="E55" s="13" t="n"/>
      <c r="F55" s="13" t="n"/>
      <c r="G55" s="15" t="n">
        <v>50</v>
      </c>
      <c r="H55" s="15" t="n">
        <v>50</v>
      </c>
      <c r="I55" s="15" t="n">
        <v>50</v>
      </c>
      <c r="J55" s="13" t="n"/>
      <c r="K55" s="13" t="n"/>
      <c r="L55" s="15" t="n">
        <v>50</v>
      </c>
      <c r="M55" s="13" t="n"/>
      <c r="N55" s="13" t="n"/>
      <c r="O55" s="13" t="n"/>
      <c r="P55" s="16">
        <f>IF(COUNT(E55:O55)=0,"",MIN(E55:O55))</f>
        <v/>
      </c>
      <c r="Q55" s="15">
        <f>IF(COUNT(E55:O55)=0,"",LOOKUP(2,1/(E55:O55&lt;&gt;""),E55:O55))</f>
        <v/>
      </c>
      <c r="R55" s="17">
        <f>IF(P55="","",ROUND(P55*RESUMEN!$B$4,0))</f>
        <v/>
      </c>
      <c r="S55" s="18">
        <f>COUNT(E55:O55)</f>
        <v/>
      </c>
    </row>
    <row r="56">
      <c r="A56" s="13" t="inlineStr">
        <is>
          <t>64571791072897</t>
        </is>
      </c>
      <c r="B56" s="13" t="inlineStr">
        <is>
          <t>BOLSO CC BLACK</t>
        </is>
      </c>
      <c r="C56" s="13" t="inlineStr">
        <is>
          <t>25cm de largo x 17cm de alto x 6cm de ancho</t>
        </is>
      </c>
      <c r="D56" s="14" t="inlineStr">
        <is>
          <t>Genuine leather</t>
        </is>
      </c>
      <c r="E56" s="15" t="n">
        <v>48</v>
      </c>
      <c r="F56" s="13" t="n"/>
      <c r="G56" s="13" t="n"/>
      <c r="H56" s="15" t="n">
        <v>48</v>
      </c>
      <c r="I56" s="15" t="n">
        <v>48</v>
      </c>
      <c r="J56" s="15" t="n">
        <v>48</v>
      </c>
      <c r="K56" s="15" t="n">
        <v>48</v>
      </c>
      <c r="L56" s="15" t="n">
        <v>48</v>
      </c>
      <c r="M56" s="13" t="n"/>
      <c r="N56" s="15" t="n">
        <v>48</v>
      </c>
      <c r="O56" s="15" t="n">
        <v>48</v>
      </c>
      <c r="P56" s="16">
        <f>IF(COUNT(E56:O56)=0,"",MIN(E56:O56))</f>
        <v/>
      </c>
      <c r="Q56" s="15">
        <f>IF(COUNT(E56:O56)=0,"",LOOKUP(2,1/(E56:O56&lt;&gt;""),E56:O56))</f>
        <v/>
      </c>
      <c r="R56" s="17">
        <f>IF(P56="","",ROUND(P56*RESUMEN!$B$4,0))</f>
        <v/>
      </c>
      <c r="S56" s="18">
        <f>COUNT(E56:O56)</f>
        <v/>
      </c>
    </row>
    <row r="57">
      <c r="A57" s="13" t="inlineStr">
        <is>
          <t>24780442777933</t>
        </is>
      </c>
      <c r="B57" s="13" t="inlineStr">
        <is>
          <t>BOLSO CC CLUTCH WHITE PEARL</t>
        </is>
      </c>
      <c r="C57" s="13" t="inlineStr"/>
      <c r="D57" s="14" t="inlineStr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5" t="n">
        <v>58</v>
      </c>
      <c r="P57" s="16">
        <f>IF(COUNT(E57:O57)=0,"",MIN(E57:O57))</f>
        <v/>
      </c>
      <c r="Q57" s="15">
        <f>IF(COUNT(E57:O57)=0,"",LOOKUP(2,1/(E57:O57&lt;&gt;""),E57:O57))</f>
        <v/>
      </c>
      <c r="R57" s="17">
        <f>IF(P57="","",ROUND(P57*RESUMEN!$B$4,0))</f>
        <v/>
      </c>
      <c r="S57" s="18">
        <f>COUNT(E57:O57)</f>
        <v/>
      </c>
    </row>
    <row r="58">
      <c r="A58" s="13" t="inlineStr">
        <is>
          <t>24780442388109</t>
        </is>
      </c>
      <c r="B58" s="13" t="inlineStr">
        <is>
          <t>BOLSO CC LARGE TOTE</t>
        </is>
      </c>
      <c r="C58" s="13" t="inlineStr"/>
      <c r="D58" s="14" t="inlineStr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5" t="n">
        <v>69</v>
      </c>
      <c r="P58" s="16">
        <f>IF(COUNT(E58:O58)=0,"",MIN(E58:O58))</f>
        <v/>
      </c>
      <c r="Q58" s="15">
        <f>IF(COUNT(E58:O58)=0,"",LOOKUP(2,1/(E58:O58&lt;&gt;""),E58:O58))</f>
        <v/>
      </c>
      <c r="R58" s="17">
        <f>IF(P58="","",ROUND(P58*RESUMEN!$B$4,0))</f>
        <v/>
      </c>
      <c r="S58" s="18">
        <f>COUNT(E58:O58)</f>
        <v/>
      </c>
    </row>
    <row r="59">
      <c r="A59" s="13" t="inlineStr">
        <is>
          <t>24780442224269</t>
        </is>
      </c>
      <c r="B59" s="13" t="inlineStr">
        <is>
          <t>BOLSO CC MARY JANES</t>
        </is>
      </c>
      <c r="C59" s="13" t="inlineStr"/>
      <c r="D59" s="14" t="inlineStr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5" t="n">
        <v>58</v>
      </c>
      <c r="P59" s="16">
        <f>IF(COUNT(E59:O59)=0,"",MIN(E59:O59))</f>
        <v/>
      </c>
      <c r="Q59" s="15">
        <f>IF(COUNT(E59:O59)=0,"",LOOKUP(2,1/(E59:O59&lt;&gt;""),E59:O59))</f>
        <v/>
      </c>
      <c r="R59" s="17">
        <f>IF(P59="","",ROUND(P59*RESUMEN!$B$4,0))</f>
        <v/>
      </c>
      <c r="S59" s="18">
        <f>COUNT(E59:O59)</f>
        <v/>
      </c>
    </row>
    <row r="60">
      <c r="A60" s="13" t="inlineStr">
        <is>
          <t>24780442614093</t>
        </is>
      </c>
      <c r="B60" s="13" t="inlineStr">
        <is>
          <t>BOLSO CC MINITASKE</t>
        </is>
      </c>
      <c r="C60" s="13" t="inlineStr"/>
      <c r="D60" s="14" t="inlineStr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5" t="n">
        <v>65</v>
      </c>
      <c r="P60" s="16">
        <f>IF(COUNT(E60:O60)=0,"",MIN(E60:O60))</f>
        <v/>
      </c>
      <c r="Q60" s="15">
        <f>IF(COUNT(E60:O60)=0,"",LOOKUP(2,1/(E60:O60&lt;&gt;""),E60:O60))</f>
        <v/>
      </c>
      <c r="R60" s="17">
        <f>IF(P60="","",ROUND(P60*RESUMEN!$B$4,0))</f>
        <v/>
      </c>
      <c r="S60" s="18">
        <f>COUNT(E60:O60)</f>
        <v/>
      </c>
    </row>
    <row r="61">
      <c r="A61" s="13" t="inlineStr">
        <is>
          <t>24780442101677</t>
        </is>
      </c>
      <c r="B61" s="13" t="inlineStr">
        <is>
          <t>BOLSO CC N°25 WHITE BROWN</t>
        </is>
      </c>
      <c r="C61" s="13" t="inlineStr"/>
      <c r="D61" s="14" t="inlineStr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5" t="n">
        <v>69</v>
      </c>
      <c r="P61" s="16">
        <f>IF(COUNT(E61:O61)=0,"",MIN(E61:O61))</f>
        <v/>
      </c>
      <c r="Q61" s="15">
        <f>IF(COUNT(E61:O61)=0,"",LOOKUP(2,1/(E61:O61&lt;&gt;""),E61:O61))</f>
        <v/>
      </c>
      <c r="R61" s="17">
        <f>IF(P61="","",ROUND(P61*RESUMEN!$B$4,0))</f>
        <v/>
      </c>
      <c r="S61" s="18">
        <f>COUNT(E61:O61)</f>
        <v/>
      </c>
    </row>
    <row r="62">
      <c r="A62" s="13" t="inlineStr">
        <is>
          <t>24780442041229</t>
        </is>
      </c>
      <c r="B62" s="13" t="inlineStr">
        <is>
          <t>BOLSO CC SHOPPING TOTE</t>
        </is>
      </c>
      <c r="C62" s="13" t="inlineStr"/>
      <c r="D62" s="14" t="inlineStr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5" t="n">
        <v>55</v>
      </c>
      <c r="P62" s="16">
        <f>IF(COUNT(E62:O62)=0,"",MIN(E62:O62))</f>
        <v/>
      </c>
      <c r="Q62" s="15">
        <f>IF(COUNT(E62:O62)=0,"",LOOKUP(2,1/(E62:O62&lt;&gt;""),E62:O62))</f>
        <v/>
      </c>
      <c r="R62" s="17">
        <f>IF(P62="","",ROUND(P62*RESUMEN!$B$4,0))</f>
        <v/>
      </c>
      <c r="S62" s="18">
        <f>COUNT(E62:O62)</f>
        <v/>
      </c>
    </row>
    <row r="63">
      <c r="A63" s="13" t="inlineStr">
        <is>
          <t>43728083564972</t>
        </is>
      </c>
      <c r="B63" s="13" t="inlineStr">
        <is>
          <t>BOLSO CD 30 MONTAIGNE</t>
        </is>
      </c>
      <c r="C63" s="13" t="inlineStr">
        <is>
          <t>22.5cm de larg</t>
        </is>
      </c>
      <c r="D63" s="14" t="inlineStr">
        <is>
          <t>Genuine leather</t>
        </is>
      </c>
      <c r="E63" s="13" t="n"/>
      <c r="F63" s="13" t="n"/>
      <c r="G63" s="13" t="n"/>
      <c r="H63" s="15" t="n">
        <v>52</v>
      </c>
      <c r="I63" s="13" t="n"/>
      <c r="J63" s="13" t="n"/>
      <c r="K63" s="13" t="n"/>
      <c r="L63" s="13" t="n"/>
      <c r="M63" s="13" t="n"/>
      <c r="N63" s="13" t="n"/>
      <c r="O63" s="13" t="n"/>
      <c r="P63" s="16">
        <f>IF(COUNT(E63:O63)=0,"",MIN(E63:O63))</f>
        <v/>
      </c>
      <c r="Q63" s="15">
        <f>IF(COUNT(E63:O63)=0,"",LOOKUP(2,1/(E63:O63&lt;&gt;""),E63:O63))</f>
        <v/>
      </c>
      <c r="R63" s="17">
        <f>IF(P63="","",ROUND(P63*RESUMEN!$B$4,0))</f>
        <v/>
      </c>
      <c r="S63" s="18">
        <f>COUNT(E63:O63)</f>
        <v/>
      </c>
    </row>
    <row r="64">
      <c r="A64" s="13" t="inlineStr">
        <is>
          <t>43728087914796</t>
        </is>
      </c>
      <c r="B64" s="13" t="inlineStr">
        <is>
          <t>BOLSO CD 30 MONTAIGNE BLACK</t>
        </is>
      </c>
      <c r="C64" s="13" t="inlineStr">
        <is>
          <t>12cm de alto x 20cm de largo x 4cm de ancho</t>
        </is>
      </c>
      <c r="D64" s="14" t="inlineStr"/>
      <c r="E64" s="15" t="n">
        <v>52</v>
      </c>
      <c r="F64" s="13" t="n"/>
      <c r="G64" s="13" t="n"/>
      <c r="H64" s="13" t="n"/>
      <c r="I64" s="13" t="n"/>
      <c r="J64" s="13" t="n"/>
      <c r="K64" s="13" t="n"/>
      <c r="L64" s="13" t="n"/>
      <c r="M64" s="13" t="n"/>
      <c r="N64" s="15" t="n">
        <v>52</v>
      </c>
      <c r="O64" s="13" t="n"/>
      <c r="P64" s="16">
        <f>IF(COUNT(E64:O64)=0,"",MIN(E64:O64))</f>
        <v/>
      </c>
      <c r="Q64" s="15">
        <f>IF(COUNT(E64:O64)=0,"",LOOKUP(2,1/(E64:O64&lt;&gt;""),E64:O64))</f>
        <v/>
      </c>
      <c r="R64" s="17">
        <f>IF(P64="","",ROUND(P64*RESUMEN!$B$4,0))</f>
        <v/>
      </c>
      <c r="S64" s="18">
        <f>COUNT(E64:O64)</f>
        <v/>
      </c>
    </row>
    <row r="65">
      <c r="A65" s="13" t="inlineStr">
        <is>
          <t>29953901383309</t>
        </is>
      </c>
      <c r="B65" s="13" t="inlineStr">
        <is>
          <t>BOLSO CD BOOK TOTE BANDOLERA</t>
        </is>
      </c>
      <c r="C65" s="13" t="inlineStr"/>
      <c r="D65" s="14" t="inlineStr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5" t="n">
        <v>88</v>
      </c>
      <c r="P65" s="16">
        <f>IF(COUNT(E65:O65)=0,"",MIN(E65:O65))</f>
        <v/>
      </c>
      <c r="Q65" s="15">
        <f>IF(COUNT(E65:O65)=0,"",LOOKUP(2,1/(E65:O65&lt;&gt;""),E65:O65))</f>
        <v/>
      </c>
      <c r="R65" s="17">
        <f>IF(P65="","",ROUND(P65*RESUMEN!$B$4,0))</f>
        <v/>
      </c>
      <c r="S65" s="18">
        <f>COUNT(E65:O65)</f>
        <v/>
      </c>
    </row>
    <row r="66">
      <c r="A66" s="13" t="inlineStr">
        <is>
          <t>69521938776076</t>
        </is>
      </c>
      <c r="B66" s="13" t="inlineStr">
        <is>
          <t>BOLSO CD CARO</t>
        </is>
      </c>
      <c r="C66" s="13" t="inlineStr">
        <is>
          <t>18.5cm x 12cm x 6cm</t>
        </is>
      </c>
      <c r="D66" s="14" t="inlineStr">
        <is>
          <t>Genuine leather</t>
        </is>
      </c>
      <c r="E66" s="13" t="n"/>
      <c r="F66" s="13" t="n"/>
      <c r="G66" s="13" t="n"/>
      <c r="H66" s="15" t="n">
        <v>58</v>
      </c>
      <c r="I66" s="13" t="n"/>
      <c r="J66" s="15" t="n">
        <v>58</v>
      </c>
      <c r="K66" s="15" t="n">
        <v>58</v>
      </c>
      <c r="L66" s="15" t="n">
        <v>58</v>
      </c>
      <c r="M66" s="13" t="n"/>
      <c r="N66" s="13" t="n"/>
      <c r="O66" s="13" t="n"/>
      <c r="P66" s="16">
        <f>IF(COUNT(E66:O66)=0,"",MIN(E66:O66))</f>
        <v/>
      </c>
      <c r="Q66" s="15">
        <f>IF(COUNT(E66:O66)=0,"",LOOKUP(2,1/(E66:O66&lt;&gt;""),E66:O66))</f>
        <v/>
      </c>
      <c r="R66" s="17">
        <f>IF(P66="","",ROUND(P66*RESUMEN!$B$4,0))</f>
        <v/>
      </c>
      <c r="S66" s="18">
        <f>COUNT(E66:O66)</f>
        <v/>
      </c>
    </row>
    <row r="67">
      <c r="A67" s="13" t="inlineStr">
        <is>
          <t>29953901152237</t>
        </is>
      </c>
      <c r="B67" s="13" t="inlineStr">
        <is>
          <t>BOLSO CD CRUNCHY MILLY</t>
        </is>
      </c>
      <c r="C67" s="13" t="inlineStr"/>
      <c r="D67" s="14" t="inlineStr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5" t="n">
        <v>65</v>
      </c>
      <c r="P67" s="16">
        <f>IF(COUNT(E67:O67)=0,"",MIN(E67:O67))</f>
        <v/>
      </c>
      <c r="Q67" s="15">
        <f>IF(COUNT(E67:O67)=0,"",LOOKUP(2,1/(E67:O67&lt;&gt;""),E67:O67))</f>
        <v/>
      </c>
      <c r="R67" s="17">
        <f>IF(P67="","",ROUND(P67*RESUMEN!$B$4,0))</f>
        <v/>
      </c>
      <c r="S67" s="18">
        <f>COUNT(E67:O67)</f>
        <v/>
      </c>
    </row>
    <row r="68">
      <c r="A68" s="13" t="inlineStr">
        <is>
          <t>43728083428428</t>
        </is>
      </c>
      <c r="B68" s="13" t="inlineStr">
        <is>
          <t>BOLSO CD GROOVE 20</t>
        </is>
      </c>
      <c r="C68" s="13" t="inlineStr">
        <is>
          <t>25.5cm de largo x 21cm de alto x 15.5cm de ancho</t>
        </is>
      </c>
      <c r="D68" s="14" t="inlineStr">
        <is>
          <t>Canvas</t>
        </is>
      </c>
      <c r="E68" s="15" t="n">
        <v>55</v>
      </c>
      <c r="F68" s="13" t="n"/>
      <c r="G68" s="13" t="n"/>
      <c r="H68" s="13" t="n"/>
      <c r="I68" s="15" t="n">
        <v>55</v>
      </c>
      <c r="J68" s="15" t="n">
        <v>55</v>
      </c>
      <c r="K68" s="15" t="n">
        <v>55</v>
      </c>
      <c r="L68" s="13" t="n"/>
      <c r="M68" s="13" t="n"/>
      <c r="N68" s="13" t="n"/>
      <c r="O68" s="13" t="n"/>
      <c r="P68" s="16">
        <f>IF(COUNT(E68:O68)=0,"",MIN(E68:O68))</f>
        <v/>
      </c>
      <c r="Q68" s="15">
        <f>IF(COUNT(E68:O68)=0,"",LOOKUP(2,1/(E68:O68&lt;&gt;""),E68:O68))</f>
        <v/>
      </c>
      <c r="R68" s="17">
        <f>IF(P68="","",ROUND(P68*RESUMEN!$B$4,0))</f>
        <v/>
      </c>
      <c r="S68" s="18">
        <f>COUNT(E68:O68)</f>
        <v/>
      </c>
    </row>
    <row r="69">
      <c r="A69" s="13" t="inlineStr">
        <is>
          <t>29953901454477</t>
        </is>
      </c>
      <c r="B69" s="13" t="inlineStr">
        <is>
          <t>BOLSO CD MESSENGER SADDLE ALL BLACK</t>
        </is>
      </c>
      <c r="C69" s="13" t="inlineStr"/>
      <c r="D69" s="14" t="inlineStr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5" t="n">
        <v>64</v>
      </c>
      <c r="P69" s="16">
        <f>IF(COUNT(E69:O69)=0,"",MIN(E69:O69))</f>
        <v/>
      </c>
      <c r="Q69" s="15">
        <f>IF(COUNT(E69:O69)=0,"",LOOKUP(2,1/(E69:O69&lt;&gt;""),E69:O69))</f>
        <v/>
      </c>
      <c r="R69" s="17">
        <f>IF(P69="","",ROUND(P69*RESUMEN!$B$4,0))</f>
        <v/>
      </c>
      <c r="S69" s="18">
        <f>COUNT(E69:O69)</f>
        <v/>
      </c>
    </row>
    <row r="70">
      <c r="A70" s="13" t="inlineStr">
        <is>
          <t>73794531662733</t>
        </is>
      </c>
      <c r="B70" s="13" t="inlineStr">
        <is>
          <t>BOLSO CD MY TOP HANDLE</t>
        </is>
      </c>
      <c r="C70" s="13" t="inlineStr">
        <is>
          <t>Default Title</t>
        </is>
      </c>
      <c r="D70" s="14" t="inlineStr">
        <is>
          <t>Genuine leather</t>
        </is>
      </c>
      <c r="E70" s="13" t="n"/>
      <c r="F70" s="13" t="n"/>
      <c r="G70" s="13" t="n"/>
      <c r="H70" s="13" t="n"/>
      <c r="I70" s="13" t="n"/>
      <c r="J70" s="15" t="n">
        <v>55</v>
      </c>
      <c r="K70" s="15" t="n">
        <v>55</v>
      </c>
      <c r="L70" s="13" t="n"/>
      <c r="M70" s="13" t="n"/>
      <c r="N70" s="15" t="n">
        <v>55</v>
      </c>
      <c r="O70" s="13" t="n"/>
      <c r="P70" s="16">
        <f>IF(COUNT(E70:O70)=0,"",MIN(E70:O70))</f>
        <v/>
      </c>
      <c r="Q70" s="15">
        <f>IF(COUNT(E70:O70)=0,"",LOOKUP(2,1/(E70:O70&lt;&gt;""),E70:O70))</f>
        <v/>
      </c>
      <c r="R70" s="17">
        <f>IF(P70="","",ROUND(P70*RESUMEN!$B$4,0))</f>
        <v/>
      </c>
      <c r="S70" s="18">
        <f>COUNT(E70:O70)</f>
        <v/>
      </c>
    </row>
    <row r="71">
      <c r="A71" s="13" t="inlineStr">
        <is>
          <t>17416232396428</t>
        </is>
      </c>
      <c r="B71" s="13" t="inlineStr">
        <is>
          <t>BOLSO CD TOTE</t>
        </is>
      </c>
      <c r="C71" s="13" t="inlineStr">
        <is>
          <t>36.5cm x 28cm x 10cm</t>
        </is>
      </c>
      <c r="D71" s="14" t="inlineStr">
        <is>
          <t>Canvas</t>
        </is>
      </c>
      <c r="E71" s="15" t="n">
        <v>45</v>
      </c>
      <c r="F71" s="13" t="n"/>
      <c r="G71" s="15" t="n">
        <v>45</v>
      </c>
      <c r="H71" s="15" t="n">
        <v>45</v>
      </c>
      <c r="I71" s="13" t="n"/>
      <c r="J71" s="15" t="n">
        <v>45</v>
      </c>
      <c r="K71" s="15" t="n">
        <v>45</v>
      </c>
      <c r="L71" s="15" t="n">
        <v>45</v>
      </c>
      <c r="M71" s="13" t="n"/>
      <c r="N71" s="13" t="n"/>
      <c r="O71" s="13" t="n"/>
      <c r="P71" s="16">
        <f>IF(COUNT(E71:O71)=0,"",MIN(E71:O71))</f>
        <v/>
      </c>
      <c r="Q71" s="15">
        <f>IF(COUNT(E71:O71)=0,"",LOOKUP(2,1/(E71:O71&lt;&gt;""),E71:O71))</f>
        <v/>
      </c>
      <c r="R71" s="17">
        <f>IF(P71="","",ROUND(P71*RESUMEN!$B$4,0))</f>
        <v/>
      </c>
      <c r="S71" s="18">
        <f>COUNT(E71:O71)</f>
        <v/>
      </c>
    </row>
    <row r="72">
      <c r="A72" s="13" t="inlineStr">
        <is>
          <t>43728083774252</t>
        </is>
      </c>
      <c r="B72" s="13" t="inlineStr">
        <is>
          <t>BOLSO DE VIAJE  LV KEEPALL 45</t>
        </is>
      </c>
      <c r="C72" s="13" t="inlineStr">
        <is>
          <t>44cm de largo x 25cm de alto x 20cm de ancho</t>
        </is>
      </c>
      <c r="D72" s="14" t="inlineStr">
        <is>
          <t>Genuine leather</t>
        </is>
      </c>
      <c r="E72" s="13" t="n"/>
      <c r="F72" s="13" t="n"/>
      <c r="G72" s="13" t="n"/>
      <c r="H72" s="13" t="n"/>
      <c r="I72" s="15" t="n">
        <v>60</v>
      </c>
      <c r="J72" s="13" t="n"/>
      <c r="K72" s="13" t="n"/>
      <c r="L72" s="15" t="n">
        <v>60</v>
      </c>
      <c r="M72" s="13" t="n"/>
      <c r="N72" s="13" t="n"/>
      <c r="O72" s="13" t="n"/>
      <c r="P72" s="16">
        <f>IF(COUNT(E72:O72)=0,"",MIN(E72:O72))</f>
        <v/>
      </c>
      <c r="Q72" s="15">
        <f>IF(COUNT(E72:O72)=0,"",LOOKUP(2,1/(E72:O72&lt;&gt;""),E72:O72))</f>
        <v/>
      </c>
      <c r="R72" s="17">
        <f>IF(P72="","",ROUND(P72*RESUMEN!$B$4,0))</f>
        <v/>
      </c>
      <c r="S72" s="18">
        <f>COUNT(E72:O72)</f>
        <v/>
      </c>
    </row>
    <row r="73">
      <c r="A73" s="13" t="inlineStr">
        <is>
          <t>14139090074764</t>
        </is>
      </c>
      <c r="B73" s="13" t="inlineStr">
        <is>
          <t>BOLSO DE VIAJE C TRIOMPHE</t>
        </is>
      </c>
      <c r="C73" s="13" t="inlineStr">
        <is>
          <t>50cm x 25cm x</t>
        </is>
      </c>
      <c r="D73" s="14" t="inlineStr">
        <is>
          <t>Genuine leather</t>
        </is>
      </c>
      <c r="E73" s="13" t="n"/>
      <c r="F73" s="13" t="n"/>
      <c r="G73" s="13" t="n"/>
      <c r="H73" s="15" t="n">
        <v>65</v>
      </c>
      <c r="I73" s="13" t="n"/>
      <c r="J73" s="13" t="n"/>
      <c r="K73" s="13" t="n"/>
      <c r="L73" s="13" t="n"/>
      <c r="M73" s="13" t="n"/>
      <c r="N73" s="13" t="n"/>
      <c r="O73" s="13" t="n"/>
      <c r="P73" s="16">
        <f>IF(COUNT(E73:O73)=0,"",MIN(E73:O73))</f>
        <v/>
      </c>
      <c r="Q73" s="15">
        <f>IF(COUNT(E73:O73)=0,"",LOOKUP(2,1/(E73:O73&lt;&gt;""),E73:O73))</f>
        <v/>
      </c>
      <c r="R73" s="17">
        <f>IF(P73="","",ROUND(P73*RESUMEN!$B$4,0))</f>
        <v/>
      </c>
      <c r="S73" s="18">
        <f>COUNT(E73:O73)</f>
        <v/>
      </c>
    </row>
    <row r="74">
      <c r="A74" s="13" t="inlineStr">
        <is>
          <t>43728085758636</t>
        </is>
      </c>
      <c r="B74" s="13" t="inlineStr">
        <is>
          <t>BOLSO DE VIAJE GC LOGO</t>
        </is>
      </c>
      <c r="C74" s="13" t="inlineStr">
        <is>
          <t>42cm de largo</t>
        </is>
      </c>
      <c r="D74" s="14" t="inlineStr"/>
      <c r="E74" s="15" t="n">
        <v>75</v>
      </c>
      <c r="F74" s="13" t="n"/>
      <c r="G74" s="13" t="n"/>
      <c r="H74" s="15" t="n">
        <v>75</v>
      </c>
      <c r="I74" s="13" t="n"/>
      <c r="J74" s="13" t="n"/>
      <c r="K74" s="13" t="n"/>
      <c r="L74" s="13" t="n"/>
      <c r="M74" s="13" t="n"/>
      <c r="N74" s="13" t="n"/>
      <c r="O74" s="13" t="n"/>
      <c r="P74" s="16">
        <f>IF(COUNT(E74:O74)=0,"",MIN(E74:O74))</f>
        <v/>
      </c>
      <c r="Q74" s="15">
        <f>IF(COUNT(E74:O74)=0,"",LOOKUP(2,1/(E74:O74&lt;&gt;""),E74:O74))</f>
        <v/>
      </c>
      <c r="R74" s="17">
        <f>IF(P74="","",ROUND(P74*RESUMEN!$B$4,0))</f>
        <v/>
      </c>
      <c r="S74" s="18">
        <f>COUNT(E74:O74)</f>
        <v/>
      </c>
    </row>
    <row r="75">
      <c r="A75" s="13" t="inlineStr">
        <is>
          <t>43728136587308</t>
        </is>
      </c>
      <c r="B75" s="13" t="inlineStr">
        <is>
          <t>BOLSO DE VIAJE LV BLACK</t>
        </is>
      </c>
      <c r="C75" s="13" t="inlineStr">
        <is>
          <t>HIGH QUALITY</t>
        </is>
      </c>
      <c r="D75" s="14" t="inlineStr">
        <is>
          <t>Stainless steel</t>
        </is>
      </c>
      <c r="E75" s="15" t="n">
        <v>55</v>
      </c>
      <c r="F75" s="13" t="n"/>
      <c r="G75" s="13" t="n"/>
      <c r="H75" s="15" t="n">
        <v>55</v>
      </c>
      <c r="I75" s="13" t="n"/>
      <c r="J75" s="13" t="n"/>
      <c r="K75" s="13" t="n"/>
      <c r="L75" s="15" t="n">
        <v>55</v>
      </c>
      <c r="M75" s="15" t="n">
        <v>55</v>
      </c>
      <c r="N75" s="13" t="n"/>
      <c r="O75" s="13" t="n"/>
      <c r="P75" s="16">
        <f>IF(COUNT(E75:O75)=0,"",MIN(E75:O75))</f>
        <v/>
      </c>
      <c r="Q75" s="15">
        <f>IF(COUNT(E75:O75)=0,"",LOOKUP(2,1/(E75:O75&lt;&gt;""),E75:O75))</f>
        <v/>
      </c>
      <c r="R75" s="17">
        <f>IF(P75="","",ROUND(P75*RESUMEN!$B$4,0))</f>
        <v/>
      </c>
      <c r="S75" s="18">
        <f>COUNT(E75:O75)</f>
        <v/>
      </c>
    </row>
    <row r="76">
      <c r="A76" s="13" t="inlineStr">
        <is>
          <t>34163623006797</t>
        </is>
      </c>
      <c r="B76" s="13" t="inlineStr">
        <is>
          <t>BOLSO F BAGUETTE TEJIDO</t>
        </is>
      </c>
      <c r="C76" s="13" t="inlineStr">
        <is>
          <t>Default Title</t>
        </is>
      </c>
      <c r="D76" s="14" t="inlineStr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5" t="n">
        <v>46</v>
      </c>
      <c r="N76" s="13" t="n"/>
      <c r="O76" s="13" t="n"/>
      <c r="P76" s="16">
        <f>IF(COUNT(E76:O76)=0,"",MIN(E76:O76))</f>
        <v/>
      </c>
      <c r="Q76" s="15">
        <f>IF(COUNT(E76:O76)=0,"",LOOKUP(2,1/(E76:O76&lt;&gt;""),E76:O76))</f>
        <v/>
      </c>
      <c r="R76" s="17">
        <f>IF(P76="","",ROUND(P76*RESUMEN!$B$4,0))</f>
        <v/>
      </c>
      <c r="S76" s="18">
        <f>COUNT(E76:O76)</f>
        <v/>
      </c>
    </row>
    <row r="77">
      <c r="A77" s="13" t="inlineStr">
        <is>
          <t>6701d2514beab</t>
        </is>
      </c>
      <c r="B77" s="13" t="inlineStr">
        <is>
          <t>BOLSO F FENDIGRAPHY</t>
        </is>
      </c>
      <c r="C77" s="13" t="inlineStr">
        <is>
          <t>24cm de largo x 19cm de alto x 8cm de ancho</t>
        </is>
      </c>
      <c r="D77" s="14" t="inlineStr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5" t="n">
        <v>65</v>
      </c>
      <c r="N77" s="13" t="n"/>
      <c r="O77" s="13" t="n"/>
      <c r="P77" s="16">
        <f>IF(COUNT(E77:O77)=0,"",MIN(E77:O77))</f>
        <v/>
      </c>
      <c r="Q77" s="15">
        <f>IF(COUNT(E77:O77)=0,"",LOOKUP(2,1/(E77:O77&lt;&gt;""),E77:O77))</f>
        <v/>
      </c>
      <c r="R77" s="17">
        <f>IF(P77="","",ROUND(P77*RESUMEN!$B$4,0))</f>
        <v/>
      </c>
      <c r="S77" s="18">
        <f>COUNT(E77:O77)</f>
        <v/>
      </c>
    </row>
    <row r="78">
      <c r="A78" s="13" t="inlineStr">
        <is>
          <t>43728085695276</t>
        </is>
      </c>
      <c r="B78" s="13" t="inlineStr">
        <is>
          <t>BOLSO F FENDIGRAPHY BLACK</t>
        </is>
      </c>
      <c r="C78" s="13" t="inlineStr">
        <is>
          <t>14cm de largo x 11cm de alto x 4cm de ancho</t>
        </is>
      </c>
      <c r="D78" s="14" t="inlineStr"/>
      <c r="E78" s="15" t="n">
        <v>50</v>
      </c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6">
        <f>IF(COUNT(E78:O78)=0,"",MIN(E78:O78))</f>
        <v/>
      </c>
      <c r="Q78" s="15">
        <f>IF(COUNT(E78:O78)=0,"",LOOKUP(2,1/(E78:O78&lt;&gt;""),E78:O78))</f>
        <v/>
      </c>
      <c r="R78" s="17">
        <f>IF(P78="","",ROUND(P78*RESUMEN!$B$4,0))</f>
        <v/>
      </c>
      <c r="S78" s="18">
        <f>COUNT(E78:O78)</f>
        <v/>
      </c>
    </row>
    <row r="79">
      <c r="A79" s="13" t="inlineStr">
        <is>
          <t>91345322411533</t>
        </is>
      </c>
      <c r="B79" s="13" t="inlineStr">
        <is>
          <t>BOLSO F MON TRESOR</t>
        </is>
      </c>
      <c r="C79" s="13" t="inlineStr">
        <is>
          <t>Default Title</t>
        </is>
      </c>
      <c r="D79" s="14" t="inlineStr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5" t="n">
        <v>52</v>
      </c>
      <c r="N79" s="13" t="n"/>
      <c r="O79" s="15" t="n">
        <v>52</v>
      </c>
      <c r="P79" s="16">
        <f>IF(COUNT(E79:O79)=0,"",MIN(E79:O79))</f>
        <v/>
      </c>
      <c r="Q79" s="15">
        <f>IF(COUNT(E79:O79)=0,"",LOOKUP(2,1/(E79:O79&lt;&gt;""),E79:O79))</f>
        <v/>
      </c>
      <c r="R79" s="17">
        <f>IF(P79="","",ROUND(P79*RESUMEN!$B$4,0))</f>
        <v/>
      </c>
      <c r="S79" s="18">
        <f>COUNT(E79:O79)</f>
        <v/>
      </c>
    </row>
    <row r="80">
      <c r="A80" s="13" t="inlineStr">
        <is>
          <t>34163623137869</t>
        </is>
      </c>
      <c r="B80" s="13" t="inlineStr">
        <is>
          <t>BOLSO F SUNSHINE BLACK</t>
        </is>
      </c>
      <c r="C80" s="13" t="inlineStr">
        <is>
          <t>Default Title</t>
        </is>
      </c>
      <c r="D80" s="14" t="inlineStr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5" t="n">
        <v>56</v>
      </c>
      <c r="N80" s="13" t="n"/>
      <c r="O80" s="13" t="n"/>
      <c r="P80" s="16">
        <f>IF(COUNT(E80:O80)=0,"",MIN(E80:O80))</f>
        <v/>
      </c>
      <c r="Q80" s="15">
        <f>IF(COUNT(E80:O80)=0,"",LOOKUP(2,1/(E80:O80&lt;&gt;""),E80:O80))</f>
        <v/>
      </c>
      <c r="R80" s="17">
        <f>IF(P80="","",ROUND(P80*RESUMEN!$B$4,0))</f>
        <v/>
      </c>
      <c r="S80" s="18">
        <f>COUNT(E80:O80)</f>
        <v/>
      </c>
    </row>
    <row r="81">
      <c r="A81" s="13" t="inlineStr">
        <is>
          <t>64e78f8a50e61</t>
        </is>
      </c>
      <c r="B81" s="13" t="inlineStr">
        <is>
          <t>BOLSO GC BLACK</t>
        </is>
      </c>
      <c r="C81" s="13" t="inlineStr">
        <is>
          <t>22.5.cmx15cm</t>
        </is>
      </c>
      <c r="D81" s="14" t="inlineStr">
        <is>
          <t>Genuine leather</t>
        </is>
      </c>
      <c r="E81" s="13" t="n"/>
      <c r="F81" s="13" t="n"/>
      <c r="G81" s="15" t="n">
        <v>56</v>
      </c>
      <c r="H81" s="13" t="n"/>
      <c r="I81" s="15" t="n">
        <v>56</v>
      </c>
      <c r="J81" s="13" t="n"/>
      <c r="K81" s="13" t="n"/>
      <c r="L81" s="13" t="n"/>
      <c r="M81" s="13" t="n"/>
      <c r="N81" s="13" t="n"/>
      <c r="O81" s="13" t="n"/>
      <c r="P81" s="16">
        <f>IF(COUNT(E81:O81)=0,"",MIN(E81:O81))</f>
        <v/>
      </c>
      <c r="Q81" s="15">
        <f>IF(COUNT(E81:O81)=0,"",LOOKUP(2,1/(E81:O81&lt;&gt;""),E81:O81))</f>
        <v/>
      </c>
      <c r="R81" s="17">
        <f>IF(P81="","",ROUND(P81*RESUMEN!$B$4,0))</f>
        <v/>
      </c>
      <c r="S81" s="18">
        <f>COUNT(E81:O81)</f>
        <v/>
      </c>
    </row>
    <row r="82">
      <c r="A82" s="13" t="inlineStr">
        <is>
          <t>64e78f8d3897d</t>
        </is>
      </c>
      <c r="B82" s="13" t="inlineStr">
        <is>
          <t>BOLSO GC BROWN</t>
        </is>
      </c>
      <c r="C82" s="13" t="inlineStr">
        <is>
          <t>22.5.cmx15cm</t>
        </is>
      </c>
      <c r="D82" s="14" t="inlineStr">
        <is>
          <t>Genuine leather</t>
        </is>
      </c>
      <c r="E82" s="13" t="n"/>
      <c r="F82" s="13" t="n"/>
      <c r="G82" s="15" t="n">
        <v>56</v>
      </c>
      <c r="H82" s="13" t="n"/>
      <c r="I82" s="13" t="n"/>
      <c r="J82" s="13" t="n"/>
      <c r="K82" s="13" t="n"/>
      <c r="L82" s="13" t="n"/>
      <c r="M82" s="15" t="n">
        <v>56</v>
      </c>
      <c r="N82" s="13" t="n"/>
      <c r="O82" s="13" t="n"/>
      <c r="P82" s="16">
        <f>IF(COUNT(E82:O82)=0,"",MIN(E82:O82))</f>
        <v/>
      </c>
      <c r="Q82" s="15">
        <f>IF(COUNT(E82:O82)=0,"",LOOKUP(2,1/(E82:O82&lt;&gt;""),E82:O82))</f>
        <v/>
      </c>
      <c r="R82" s="17">
        <f>IF(P82="","",ROUND(P82*RESUMEN!$B$4,0))</f>
        <v/>
      </c>
      <c r="S82" s="18">
        <f>COUNT(E82:O82)</f>
        <v/>
      </c>
    </row>
    <row r="83">
      <c r="A83" s="13" t="inlineStr">
        <is>
          <t>99781782406413</t>
        </is>
      </c>
      <c r="B83" s="13" t="inlineStr">
        <is>
          <t>BOLSO GC BUCKET EMBLEM</t>
        </is>
      </c>
      <c r="C83" s="13" t="inlineStr">
        <is>
          <t>Default Title</t>
        </is>
      </c>
      <c r="D83" s="14" t="inlineStr">
        <is>
          <t>Genuine leather</t>
        </is>
      </c>
      <c r="E83" s="13" t="n"/>
      <c r="F83" s="13" t="n"/>
      <c r="G83" s="13" t="n"/>
      <c r="H83" s="13" t="n"/>
      <c r="I83" s="13" t="n"/>
      <c r="J83" s="15" t="n">
        <v>58</v>
      </c>
      <c r="K83" s="15" t="n">
        <v>58</v>
      </c>
      <c r="L83" s="13" t="n"/>
      <c r="M83" s="15" t="n">
        <v>58</v>
      </c>
      <c r="N83" s="15" t="n">
        <v>58</v>
      </c>
      <c r="O83" s="15" t="n">
        <v>58</v>
      </c>
      <c r="P83" s="16">
        <f>IF(COUNT(E83:O83)=0,"",MIN(E83:O83))</f>
        <v/>
      </c>
      <c r="Q83" s="15">
        <f>IF(COUNT(E83:O83)=0,"",LOOKUP(2,1/(E83:O83&lt;&gt;""),E83:O83))</f>
        <v/>
      </c>
      <c r="R83" s="17">
        <f>IF(P83="","",ROUND(P83*RESUMEN!$B$4,0))</f>
        <v/>
      </c>
      <c r="S83" s="18">
        <f>COUNT(E83:O83)</f>
        <v/>
      </c>
    </row>
    <row r="84">
      <c r="A84" s="13" t="inlineStr">
        <is>
          <t>99781782370253</t>
        </is>
      </c>
      <c r="B84" s="13" t="inlineStr">
        <is>
          <t>BOLSO GC BUCKET MARMONT</t>
        </is>
      </c>
      <c r="C84" s="13" t="inlineStr">
        <is>
          <t>Default Title</t>
        </is>
      </c>
      <c r="D84" s="14" t="inlineStr">
        <is>
          <t>Genuine leather</t>
        </is>
      </c>
      <c r="E84" s="13" t="n"/>
      <c r="F84" s="13" t="n"/>
      <c r="G84" s="13" t="n"/>
      <c r="H84" s="13" t="n"/>
      <c r="I84" s="13" t="n"/>
      <c r="J84" s="15" t="n">
        <v>42</v>
      </c>
      <c r="K84" s="15" t="n">
        <v>42</v>
      </c>
      <c r="L84" s="13" t="n"/>
      <c r="M84" s="13" t="n"/>
      <c r="N84" s="15" t="n">
        <v>42</v>
      </c>
      <c r="O84" s="13" t="n"/>
      <c r="P84" s="16">
        <f>IF(COUNT(E84:O84)=0,"",MIN(E84:O84))</f>
        <v/>
      </c>
      <c r="Q84" s="15">
        <f>IF(COUNT(E84:O84)=0,"",LOOKUP(2,1/(E84:O84&lt;&gt;""),E84:O84))</f>
        <v/>
      </c>
      <c r="R84" s="17">
        <f>IF(P84="","",ROUND(P84*RESUMEN!$B$4,0))</f>
        <v/>
      </c>
      <c r="S84" s="18">
        <f>COUNT(E84:O84)</f>
        <v/>
      </c>
    </row>
    <row r="85">
      <c r="A85" s="13" t="inlineStr">
        <is>
          <t>43728086795884</t>
        </is>
      </c>
      <c r="B85" s="13" t="inlineStr">
        <is>
          <t>BOLSO GC CHERRY</t>
        </is>
      </c>
      <c r="C85" s="13" t="inlineStr">
        <is>
          <t>25cm de largo x 16cm de alto x 7.5cm de ancho</t>
        </is>
      </c>
      <c r="D85" s="14" t="inlineStr">
        <is>
          <t>Genuine leather</t>
        </is>
      </c>
      <c r="E85" s="13" t="n"/>
      <c r="F85" s="13" t="n"/>
      <c r="G85" s="13" t="n"/>
      <c r="H85" s="13" t="n"/>
      <c r="I85" s="15" t="n">
        <v>56</v>
      </c>
      <c r="J85" s="13" t="n"/>
      <c r="K85" s="13" t="n"/>
      <c r="L85" s="15" t="n">
        <v>56</v>
      </c>
      <c r="M85" s="13" t="n"/>
      <c r="N85" s="13" t="n"/>
      <c r="O85" s="13" t="n"/>
      <c r="P85" s="16">
        <f>IF(COUNT(E85:O85)=0,"",MIN(E85:O85))</f>
        <v/>
      </c>
      <c r="Q85" s="15">
        <f>IF(COUNT(E85:O85)=0,"",LOOKUP(2,1/(E85:O85&lt;&gt;""),E85:O85))</f>
        <v/>
      </c>
      <c r="R85" s="17">
        <f>IF(P85="","",ROUND(P85*RESUMEN!$B$4,0))</f>
        <v/>
      </c>
      <c r="S85" s="18">
        <f>COUNT(E85:O85)</f>
        <v/>
      </c>
    </row>
    <row r="86">
      <c r="A86" s="13" t="inlineStr">
        <is>
          <t>677c26af628d5</t>
        </is>
      </c>
      <c r="B86" s="13" t="inlineStr">
        <is>
          <t>BOLSO GC DIONYSUS CHERRY RED</t>
        </is>
      </c>
      <c r="C86" s="13" t="inlineStr">
        <is>
          <t>18cm de largo x 12cm de alto x 4cm de ancho</t>
        </is>
      </c>
      <c r="D86" s="14" t="inlineStr"/>
      <c r="E86" s="13" t="n"/>
      <c r="F86" s="13" t="n"/>
      <c r="G86" s="15" t="n">
        <v>52</v>
      </c>
      <c r="H86" s="13" t="n"/>
      <c r="I86" s="13" t="n"/>
      <c r="J86" s="13" t="n"/>
      <c r="K86" s="13" t="n"/>
      <c r="L86" s="13" t="n"/>
      <c r="M86" s="13" t="n"/>
      <c r="N86" s="13" t="n"/>
      <c r="O86" s="13" t="n"/>
      <c r="P86" s="16">
        <f>IF(COUNT(E86:O86)=0,"",MIN(E86:O86))</f>
        <v/>
      </c>
      <c r="Q86" s="15">
        <f>IF(COUNT(E86:O86)=0,"",LOOKUP(2,1/(E86:O86&lt;&gt;""),E86:O86))</f>
        <v/>
      </c>
      <c r="R86" s="17">
        <f>IF(P86="","",ROUND(P86*RESUMEN!$B$4,0))</f>
        <v/>
      </c>
      <c r="S86" s="18">
        <f>COUNT(E86:O86)</f>
        <v/>
      </c>
    </row>
    <row r="87">
      <c r="A87" s="13" t="inlineStr">
        <is>
          <t>6701d2474e1b0</t>
        </is>
      </c>
      <c r="B87" s="13" t="inlineStr">
        <is>
          <t>BOLSO GC MARMONT BLACK</t>
        </is>
      </c>
      <c r="C87" s="13" t="inlineStr">
        <is>
          <t>20cm de largo x 15cm de alto x 8cm de ancho</t>
        </is>
      </c>
      <c r="D87" s="14" t="inlineStr">
        <is>
          <t>Genuine leather</t>
        </is>
      </c>
      <c r="E87" s="13" t="n"/>
      <c r="F87" s="13" t="n"/>
      <c r="G87" s="15" t="n">
        <v>48</v>
      </c>
      <c r="H87" s="15" t="n">
        <v>48</v>
      </c>
      <c r="I87" s="15" t="n">
        <v>48</v>
      </c>
      <c r="J87" s="13" t="n"/>
      <c r="K87" s="13" t="n"/>
      <c r="L87" s="13" t="n"/>
      <c r="M87" s="13" t="n"/>
      <c r="N87" s="13" t="n"/>
      <c r="O87" s="13" t="n"/>
      <c r="P87" s="16">
        <f>IF(COUNT(E87:O87)=0,"",MIN(E87:O87))</f>
        <v/>
      </c>
      <c r="Q87" s="15">
        <f>IF(COUNT(E87:O87)=0,"",LOOKUP(2,1/(E87:O87&lt;&gt;""),E87:O87))</f>
        <v/>
      </c>
      <c r="R87" s="17">
        <f>IF(P87="","",ROUND(P87*RESUMEN!$B$4,0))</f>
        <v/>
      </c>
      <c r="S87" s="18">
        <f>COUNT(E87:O87)</f>
        <v/>
      </c>
    </row>
    <row r="88">
      <c r="A88" s="13" t="inlineStr">
        <is>
          <t>6701d27d41def</t>
        </is>
      </c>
      <c r="B88" s="13" t="inlineStr">
        <is>
          <t>BOLSO GC NUDE</t>
        </is>
      </c>
      <c r="C88" s="13" t="inlineStr">
        <is>
          <t>14.5cm de alto x 25.2cm de largo x 6.7cm de ancho</t>
        </is>
      </c>
      <c r="D88" s="14" t="inlineStr">
        <is>
          <t>Genuine leather</t>
        </is>
      </c>
      <c r="E88" s="15" t="n">
        <v>56</v>
      </c>
      <c r="F88" s="13" t="n"/>
      <c r="G88" s="13" t="n"/>
      <c r="H88" s="15" t="n">
        <v>56</v>
      </c>
      <c r="I88" s="13" t="n"/>
      <c r="J88" s="13" t="n"/>
      <c r="K88" s="13" t="n"/>
      <c r="L88" s="15" t="n">
        <v>56</v>
      </c>
      <c r="M88" s="13" t="n"/>
      <c r="N88" s="15" t="n">
        <v>56</v>
      </c>
      <c r="O88" s="13" t="n"/>
      <c r="P88" s="16">
        <f>IF(COUNT(E88:O88)=0,"",MIN(E88:O88))</f>
        <v/>
      </c>
      <c r="Q88" s="15">
        <f>IF(COUNT(E88:O88)=0,"",LOOKUP(2,1/(E88:O88&lt;&gt;""),E88:O88))</f>
        <v/>
      </c>
      <c r="R88" s="17">
        <f>IF(P88="","",ROUND(P88*RESUMEN!$B$4,0))</f>
        <v/>
      </c>
      <c r="S88" s="18">
        <f>COUNT(E88:O88)</f>
        <v/>
      </c>
    </row>
    <row r="89">
      <c r="A89" s="13" t="inlineStr">
        <is>
          <t>33891171250349</t>
        </is>
      </c>
      <c r="B89" s="13" t="inlineStr">
        <is>
          <t>BOLSO H EVELYNE 29</t>
        </is>
      </c>
      <c r="C89" s="13" t="inlineStr"/>
      <c r="D89" s="14" t="inlineStr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5" t="n">
        <v>69</v>
      </c>
      <c r="P89" s="16">
        <f>IF(COUNT(E89:O89)=0,"",MIN(E89:O89))</f>
        <v/>
      </c>
      <c r="Q89" s="15">
        <f>IF(COUNT(E89:O89)=0,"",LOOKUP(2,1/(E89:O89&lt;&gt;""),E89:O89))</f>
        <v/>
      </c>
      <c r="R89" s="17">
        <f>IF(P89="","",ROUND(P89*RESUMEN!$B$4,0))</f>
        <v/>
      </c>
      <c r="S89" s="18">
        <f>COUNT(E89:O89)</f>
        <v/>
      </c>
    </row>
    <row r="90">
      <c r="A90" s="13" t="inlineStr">
        <is>
          <t>43728099701932</t>
        </is>
      </c>
      <c r="B90" s="13" t="inlineStr">
        <is>
          <t>BOLSO JM WHITE</t>
        </is>
      </c>
      <c r="C90" s="13" t="inlineStr">
        <is>
          <t>16cm de alto x 19.5cm de largo x 7cm de ancho 15cm de alto de correa</t>
        </is>
      </c>
      <c r="D90" s="14" t="inlineStr">
        <is>
          <t>Genuine leather</t>
        </is>
      </c>
      <c r="E90" s="13" t="n"/>
      <c r="F90" s="13" t="n"/>
      <c r="G90" s="13" t="n"/>
      <c r="H90" s="13" t="n"/>
      <c r="I90" s="13" t="n"/>
      <c r="J90" s="15" t="n">
        <v>56</v>
      </c>
      <c r="K90" s="15" t="n">
        <v>56</v>
      </c>
      <c r="L90" s="13" t="n"/>
      <c r="M90" s="13" t="n"/>
      <c r="N90" s="13" t="n"/>
      <c r="O90" s="13" t="n"/>
      <c r="P90" s="16">
        <f>IF(COUNT(E90:O90)=0,"",MIN(E90:O90))</f>
        <v/>
      </c>
      <c r="Q90" s="15">
        <f>IF(COUNT(E90:O90)=0,"",LOOKUP(2,1/(E90:O90&lt;&gt;""),E90:O90))</f>
        <v/>
      </c>
      <c r="R90" s="17">
        <f>IF(P90="","",ROUND(P90*RESUMEN!$B$4,0))</f>
        <v/>
      </c>
      <c r="S90" s="18">
        <f>COUNT(E90:O90)</f>
        <v/>
      </c>
    </row>
    <row r="91">
      <c r="A91" s="13" t="inlineStr">
        <is>
          <t>654bdb24c007a</t>
        </is>
      </c>
      <c r="B91" s="13" t="inlineStr">
        <is>
          <t>BOLSO LADY D BLACK</t>
        </is>
      </c>
      <c r="C91" s="13" t="inlineStr">
        <is>
          <t>23.5cm de largo x 20.5cm largo x 12.5cm de ancho</t>
        </is>
      </c>
      <c r="D91" s="14" t="inlineStr">
        <is>
          <t>Genuine leather</t>
        </is>
      </c>
      <c r="E91" s="13" t="n"/>
      <c r="F91" s="13" t="n"/>
      <c r="G91" s="15" t="n">
        <v>56</v>
      </c>
      <c r="H91" s="13" t="n"/>
      <c r="I91" s="13" t="n"/>
      <c r="J91" s="13" t="n"/>
      <c r="K91" s="13" t="n"/>
      <c r="L91" s="13" t="n"/>
      <c r="M91" s="13" t="n"/>
      <c r="N91" s="13" t="n"/>
      <c r="O91" s="13" t="n"/>
      <c r="P91" s="16">
        <f>IF(COUNT(E91:O91)=0,"",MIN(E91:O91))</f>
        <v/>
      </c>
      <c r="Q91" s="15">
        <f>IF(COUNT(E91:O91)=0,"",LOOKUP(2,1/(E91:O91&lt;&gt;""),E91:O91))</f>
        <v/>
      </c>
      <c r="R91" s="17">
        <f>IF(P91="","",ROUND(P91*RESUMEN!$B$4,0))</f>
        <v/>
      </c>
      <c r="S91" s="18">
        <f>COUNT(E91:O91)</f>
        <v/>
      </c>
    </row>
    <row r="92">
      <c r="A92" s="13" t="inlineStr">
        <is>
          <t>66df5ec06fc76</t>
        </is>
      </c>
      <c r="B92" s="13" t="inlineStr">
        <is>
          <t>BOLSO LADY D CHAROL BLACK</t>
        </is>
      </c>
      <c r="C92" s="13" t="inlineStr">
        <is>
          <t>23.5cm de largo x 21cm de alto x 12cm de ancho</t>
        </is>
      </c>
      <c r="D92" s="14" t="inlineStr"/>
      <c r="E92" s="13" t="n"/>
      <c r="F92" s="13" t="n"/>
      <c r="G92" s="13" t="n"/>
      <c r="H92" s="13" t="n"/>
      <c r="I92" s="15" t="n">
        <v>56</v>
      </c>
      <c r="J92" s="13" t="n"/>
      <c r="K92" s="13" t="n"/>
      <c r="L92" s="13" t="n"/>
      <c r="M92" s="13" t="n"/>
      <c r="N92" s="13" t="n"/>
      <c r="O92" s="15" t="n">
        <v>56</v>
      </c>
      <c r="P92" s="16">
        <f>IF(COUNT(E92:O92)=0,"",MIN(E92:O92))</f>
        <v/>
      </c>
      <c r="Q92" s="15">
        <f>IF(COUNT(E92:O92)=0,"",LOOKUP(2,1/(E92:O92&lt;&gt;""),E92:O92))</f>
        <v/>
      </c>
      <c r="R92" s="17">
        <f>IF(P92="","",ROUND(P92*RESUMEN!$B$4,0))</f>
        <v/>
      </c>
      <c r="S92" s="18">
        <f>COUNT(E92:O92)</f>
        <v/>
      </c>
    </row>
    <row r="93">
      <c r="A93" s="13" t="inlineStr">
        <is>
          <t>66df5ec1b9bcc</t>
        </is>
      </c>
      <c r="B93" s="13" t="inlineStr">
        <is>
          <t>BOLSO LADY D CHAROL DUSTY PINK</t>
        </is>
      </c>
      <c r="C93" s="13" t="inlineStr">
        <is>
          <t>23.5cm de largo x 21cm de alto x 12cm de ancho</t>
        </is>
      </c>
      <c r="D93" s="14" t="inlineStr">
        <is>
          <t>Genuine leather</t>
        </is>
      </c>
      <c r="E93" s="15" t="n">
        <v>56</v>
      </c>
      <c r="F93" s="13" t="n"/>
      <c r="G93" s="13" t="n"/>
      <c r="H93" s="13" t="n"/>
      <c r="I93" s="15" t="n">
        <v>56</v>
      </c>
      <c r="J93" s="13" t="n"/>
      <c r="K93" s="13" t="n"/>
      <c r="L93" s="15" t="n">
        <v>56</v>
      </c>
      <c r="M93" s="13" t="n"/>
      <c r="N93" s="15" t="n">
        <v>56</v>
      </c>
      <c r="O93" s="13" t="n"/>
      <c r="P93" s="16">
        <f>IF(COUNT(E93:O93)=0,"",MIN(E93:O93))</f>
        <v/>
      </c>
      <c r="Q93" s="15">
        <f>IF(COUNT(E93:O93)=0,"",LOOKUP(2,1/(E93:O93&lt;&gt;""),E93:O93))</f>
        <v/>
      </c>
      <c r="R93" s="17">
        <f>IF(P93="","",ROUND(P93*RESUMEN!$B$4,0))</f>
        <v/>
      </c>
      <c r="S93" s="18">
        <f>COUNT(E93:O93)</f>
        <v/>
      </c>
    </row>
    <row r="94">
      <c r="A94" s="13" t="inlineStr">
        <is>
          <t>66280391087437</t>
        </is>
      </c>
      <c r="B94" s="13" t="inlineStr">
        <is>
          <t>BOLSO LADY D CHAROL OFF WHITE</t>
        </is>
      </c>
      <c r="C94" s="13" t="inlineStr">
        <is>
          <t>17cm de largo x 15cm de alto x 7cm de ancho</t>
        </is>
      </c>
      <c r="D94" s="14" t="inlineStr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5" t="n">
        <v>56</v>
      </c>
      <c r="P94" s="16">
        <f>IF(COUNT(E94:O94)=0,"",MIN(E94:O94))</f>
        <v/>
      </c>
      <c r="Q94" s="15">
        <f>IF(COUNT(E94:O94)=0,"",LOOKUP(2,1/(E94:O94&lt;&gt;""),E94:O94))</f>
        <v/>
      </c>
      <c r="R94" s="17">
        <f>IF(P94="","",ROUND(P94*RESUMEN!$B$4,0))</f>
        <v/>
      </c>
      <c r="S94" s="18">
        <f>COUNT(E94:O94)</f>
        <v/>
      </c>
    </row>
    <row r="95">
      <c r="A95" s="13" t="inlineStr">
        <is>
          <t>66df5ec68a185</t>
        </is>
      </c>
      <c r="B95" s="13" t="inlineStr">
        <is>
          <t>BOLSO LADY D CHAROL OFF WHITE</t>
        </is>
      </c>
      <c r="C95" s="13" t="inlineStr">
        <is>
          <t>23.5cm de largo x 21cm de alto x 12cm de ancho</t>
        </is>
      </c>
      <c r="D95" s="14" t="inlineStr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5" t="n">
        <v>56</v>
      </c>
      <c r="O95" s="13" t="n"/>
      <c r="P95" s="16">
        <f>IF(COUNT(E95:O95)=0,"",MIN(E95:O95))</f>
        <v/>
      </c>
      <c r="Q95" s="15">
        <f>IF(COUNT(E95:O95)=0,"",LOOKUP(2,1/(E95:O95&lt;&gt;""),E95:O95))</f>
        <v/>
      </c>
      <c r="R95" s="17">
        <f>IF(P95="","",ROUND(P95*RESUMEN!$B$4,0))</f>
        <v/>
      </c>
      <c r="S95" s="18">
        <f>COUNT(E95:O95)</f>
        <v/>
      </c>
    </row>
    <row r="96">
      <c r="A96" s="13" t="inlineStr">
        <is>
          <t>43728088191436</t>
        </is>
      </c>
      <c r="B96" s="13" t="inlineStr">
        <is>
          <t>BOLSO LADY D CHAROL RED</t>
        </is>
      </c>
      <c r="C96" s="13" t="inlineStr">
        <is>
          <t>23.5cm de largo x 21cm de alto x 12cm de ancho</t>
        </is>
      </c>
      <c r="D96" s="14" t="inlineStr">
        <is>
          <t>Genuine leather</t>
        </is>
      </c>
      <c r="E96" s="13" t="n"/>
      <c r="F96" s="13" t="n"/>
      <c r="G96" s="13" t="n"/>
      <c r="H96" s="13" t="n"/>
      <c r="I96" s="13" t="n"/>
      <c r="J96" s="13" t="n"/>
      <c r="K96" s="13" t="n"/>
      <c r="L96" s="15" t="n">
        <v>56</v>
      </c>
      <c r="M96" s="13" t="n"/>
      <c r="N96" s="13" t="n"/>
      <c r="O96" s="13" t="n"/>
      <c r="P96" s="16">
        <f>IF(COUNT(E96:O96)=0,"",MIN(E96:O96))</f>
        <v/>
      </c>
      <c r="Q96" s="15">
        <f>IF(COUNT(E96:O96)=0,"",LOOKUP(2,1/(E96:O96&lt;&gt;""),E96:O96))</f>
        <v/>
      </c>
      <c r="R96" s="17">
        <f>IF(P96="","",ROUND(P96*RESUMEN!$B$4,0))</f>
        <v/>
      </c>
      <c r="S96" s="18">
        <f>COUNT(E96:O96)</f>
        <v/>
      </c>
    </row>
    <row r="97">
      <c r="A97" s="13" t="inlineStr">
        <is>
          <t>66958009110540</t>
        </is>
      </c>
      <c r="B97" s="13" t="inlineStr">
        <is>
          <t>BOLSO LADY D JOY BLACK</t>
        </is>
      </c>
      <c r="C97" s="13" t="inlineStr">
        <is>
          <t>22cm de largo x 11.5cm dde alto x 6.8cm de ancho (REMATE)</t>
        </is>
      </c>
      <c r="D97" s="14" t="inlineStr">
        <is>
          <t>Genuine leather</t>
        </is>
      </c>
      <c r="E97" s="13" t="n"/>
      <c r="F97" s="13" t="n"/>
      <c r="G97" s="13" t="n"/>
      <c r="H97" s="13" t="n"/>
      <c r="I97" s="13" t="n"/>
      <c r="J97" s="15" t="n">
        <v>56</v>
      </c>
      <c r="K97" s="15" t="n">
        <v>56</v>
      </c>
      <c r="L97" s="13" t="n"/>
      <c r="M97" s="15" t="n">
        <v>56</v>
      </c>
      <c r="N97" s="13" t="n"/>
      <c r="O97" s="13" t="n"/>
      <c r="P97" s="16">
        <f>IF(COUNT(E97:O97)=0,"",MIN(E97:O97))</f>
        <v/>
      </c>
      <c r="Q97" s="15">
        <f>IF(COUNT(E97:O97)=0,"",LOOKUP(2,1/(E97:O97&lt;&gt;""),E97:O97))</f>
        <v/>
      </c>
      <c r="R97" s="17">
        <f>IF(P97="","",ROUND(P97*RESUMEN!$B$4,0))</f>
        <v/>
      </c>
      <c r="S97" s="18">
        <f>COUNT(E97:O97)</f>
        <v/>
      </c>
    </row>
    <row r="98">
      <c r="A98" s="13" t="inlineStr">
        <is>
          <t>43124053803148</t>
        </is>
      </c>
      <c r="B98" s="13" t="inlineStr">
        <is>
          <t>BOLSO LADY D JOY BLACK</t>
        </is>
      </c>
      <c r="C98" s="13" t="inlineStr">
        <is>
          <t>25.5cm de largo x 14cm de alto x 6.8cm de ancho</t>
        </is>
      </c>
      <c r="D98" s="14" t="inlineStr">
        <is>
          <t>Genuine leather</t>
        </is>
      </c>
      <c r="E98" s="13" t="n"/>
      <c r="F98" s="13" t="n"/>
      <c r="G98" s="15" t="n">
        <v>56</v>
      </c>
      <c r="H98" s="13" t="n"/>
      <c r="I98" s="15" t="n">
        <v>56</v>
      </c>
      <c r="J98" s="13" t="n"/>
      <c r="K98" s="13" t="n"/>
      <c r="L98" s="13" t="n"/>
      <c r="M98" s="15" t="n">
        <v>56</v>
      </c>
      <c r="N98" s="13" t="n"/>
      <c r="O98" s="13" t="n"/>
      <c r="P98" s="16">
        <f>IF(COUNT(E98:O98)=0,"",MIN(E98:O98))</f>
        <v/>
      </c>
      <c r="Q98" s="15">
        <f>IF(COUNT(E98:O98)=0,"",LOOKUP(2,1/(E98:O98&lt;&gt;""),E98:O98))</f>
        <v/>
      </c>
      <c r="R98" s="17">
        <f>IF(P98="","",ROUND(P98*RESUMEN!$B$4,0))</f>
        <v/>
      </c>
      <c r="S98" s="18">
        <f>COUNT(E98:O98)</f>
        <v/>
      </c>
    </row>
    <row r="99">
      <c r="A99" s="13" t="inlineStr">
        <is>
          <t>43124048199820</t>
        </is>
      </c>
      <c r="B99" s="13" t="inlineStr">
        <is>
          <t>BOLSO LADY D JOY WHITE</t>
        </is>
      </c>
      <c r="C99" s="13" t="inlineStr">
        <is>
          <t>10.5cm de alto x 16.4cm de largo x 5.5cm de ancho</t>
        </is>
      </c>
      <c r="D99" s="14" t="inlineStr">
        <is>
          <t>Genuine leather</t>
        </is>
      </c>
      <c r="E99" s="13" t="n"/>
      <c r="F99" s="13" t="n"/>
      <c r="G99" s="13" t="n"/>
      <c r="H99" s="13" t="n"/>
      <c r="I99" s="13" t="n"/>
      <c r="J99" s="15" t="n">
        <v>56</v>
      </c>
      <c r="K99" s="15" t="n">
        <v>56</v>
      </c>
      <c r="L99" s="13" t="n"/>
      <c r="M99" s="13" t="n"/>
      <c r="N99" s="13" t="n"/>
      <c r="O99" s="13" t="n"/>
      <c r="P99" s="16">
        <f>IF(COUNT(E99:O99)=0,"",MIN(E99:O99))</f>
        <v/>
      </c>
      <c r="Q99" s="15">
        <f>IF(COUNT(E99:O99)=0,"",LOOKUP(2,1/(E99:O99&lt;&gt;""),E99:O99))</f>
        <v/>
      </c>
      <c r="R99" s="17">
        <f>IF(P99="","",ROUND(P99*RESUMEN!$B$4,0))</f>
        <v/>
      </c>
      <c r="S99" s="18">
        <f>COUNT(E99:O99)</f>
        <v/>
      </c>
    </row>
    <row r="100">
      <c r="A100" s="13" t="inlineStr">
        <is>
          <t>37319811028493</t>
        </is>
      </c>
      <c r="B100" s="13" t="inlineStr">
        <is>
          <t>BOLSO LADY D NUDE</t>
        </is>
      </c>
      <c r="C100" s="13" t="inlineStr">
        <is>
          <t>15 cm alto x 17.5 cm de largo x 8 cm de ancho</t>
        </is>
      </c>
      <c r="D100" s="14" t="inlineStr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5" t="n">
        <v>56</v>
      </c>
      <c r="N100" s="13" t="n"/>
      <c r="O100" s="13" t="n"/>
      <c r="P100" s="16">
        <f>IF(COUNT(E100:O100)=0,"",MIN(E100:O100))</f>
        <v/>
      </c>
      <c r="Q100" s="15">
        <f>IF(COUNT(E100:O100)=0,"",LOOKUP(2,1/(E100:O100&lt;&gt;""),E100:O100))</f>
        <v/>
      </c>
      <c r="R100" s="17">
        <f>IF(P100="","",ROUND(P100*RESUMEN!$B$4,0))</f>
        <v/>
      </c>
      <c r="S100" s="18">
        <f>COUNT(E100:O100)</f>
        <v/>
      </c>
    </row>
    <row r="101">
      <c r="A101" s="13" t="inlineStr">
        <is>
          <t>66581dfb2f7ce</t>
        </is>
      </c>
      <c r="B101" s="13" t="inlineStr">
        <is>
          <t>BOLSO LADY D NUDE</t>
        </is>
      </c>
      <c r="C101" s="13" t="inlineStr">
        <is>
          <t>17cm de largo x 20cm largo x 8cm de ancho</t>
        </is>
      </c>
      <c r="D101" s="14" t="inlineStr">
        <is>
          <t>Genuine leather</t>
        </is>
      </c>
      <c r="E101" s="13" t="n"/>
      <c r="F101" s="13" t="n"/>
      <c r="G101" s="15" t="n">
        <v>56</v>
      </c>
      <c r="H101" s="13" t="n"/>
      <c r="I101" s="13" t="n"/>
      <c r="J101" s="15" t="n">
        <v>56</v>
      </c>
      <c r="K101" s="15" t="n">
        <v>56</v>
      </c>
      <c r="L101" s="13" t="n"/>
      <c r="M101" s="15" t="n">
        <v>56</v>
      </c>
      <c r="N101" s="15" t="n">
        <v>56</v>
      </c>
      <c r="O101" s="13" t="n"/>
      <c r="P101" s="16">
        <f>IF(COUNT(E101:O101)=0,"",MIN(E101:O101))</f>
        <v/>
      </c>
      <c r="Q101" s="15">
        <f>IF(COUNT(E101:O101)=0,"",LOOKUP(2,1/(E101:O101&lt;&gt;""),E101:O101))</f>
        <v/>
      </c>
      <c r="R101" s="17">
        <f>IF(P101="","",ROUND(P101*RESUMEN!$B$4,0))</f>
        <v/>
      </c>
      <c r="S101" s="18">
        <f>COUNT(E101:O101)</f>
        <v/>
      </c>
    </row>
    <row r="102">
      <c r="A102" s="13" t="inlineStr">
        <is>
          <t>66581dfdba9ed</t>
        </is>
      </c>
      <c r="B102" s="13" t="inlineStr">
        <is>
          <t>BOLSO LADY D RED</t>
        </is>
      </c>
      <c r="C102" s="13" t="inlineStr">
        <is>
          <t>23.5cm de largo x 20.5cm alto x 12.5cm de ancho</t>
        </is>
      </c>
      <c r="D102" s="14" t="inlineStr">
        <is>
          <t>Genuine leather</t>
        </is>
      </c>
      <c r="E102" s="13" t="n"/>
      <c r="F102" s="13" t="n"/>
      <c r="G102" s="13" t="n"/>
      <c r="H102" s="13" t="n"/>
      <c r="I102" s="15" t="n">
        <v>56</v>
      </c>
      <c r="J102" s="13" t="n"/>
      <c r="K102" s="13" t="n"/>
      <c r="L102" s="13" t="n"/>
      <c r="M102" s="13" t="n"/>
      <c r="N102" s="15" t="n">
        <v>56</v>
      </c>
      <c r="O102" s="13" t="n"/>
      <c r="P102" s="16">
        <f>IF(COUNT(E102:O102)=0,"",MIN(E102:O102))</f>
        <v/>
      </c>
      <c r="Q102" s="15">
        <f>IF(COUNT(E102:O102)=0,"",LOOKUP(2,1/(E102:O102&lt;&gt;""),E102:O102))</f>
        <v/>
      </c>
      <c r="R102" s="17">
        <f>IF(P102="","",ROUND(P102*RESUMEN!$B$4,0))</f>
        <v/>
      </c>
      <c r="S102" s="18">
        <f>COUNT(E102:O102)</f>
        <v/>
      </c>
    </row>
    <row r="103">
      <c r="A103" s="13" t="inlineStr">
        <is>
          <t>654bdb2a8966e</t>
        </is>
      </c>
      <c r="B103" s="13" t="inlineStr">
        <is>
          <t>BOLSO LADY D WHITE</t>
        </is>
      </c>
      <c r="C103" s="13" t="inlineStr">
        <is>
          <t>23.5cm de largo x 20.5cm largo x 12.5cm de ancho</t>
        </is>
      </c>
      <c r="D103" s="14" t="inlineStr">
        <is>
          <t>Genuine leather</t>
        </is>
      </c>
      <c r="E103" s="13" t="n"/>
      <c r="F103" s="13" t="n"/>
      <c r="G103" s="13" t="n"/>
      <c r="H103" s="13" t="n"/>
      <c r="I103" s="13" t="n"/>
      <c r="J103" s="15" t="n">
        <v>56</v>
      </c>
      <c r="K103" s="15" t="n">
        <v>56</v>
      </c>
      <c r="L103" s="13" t="n"/>
      <c r="M103" s="15" t="n">
        <v>56</v>
      </c>
      <c r="N103" s="13" t="n"/>
      <c r="O103" s="13" t="n"/>
      <c r="P103" s="16">
        <f>IF(COUNT(E103:O103)=0,"",MIN(E103:O103))</f>
        <v/>
      </c>
      <c r="Q103" s="15">
        <f>IF(COUNT(E103:O103)=0,"",LOOKUP(2,1/(E103:O103&lt;&gt;""),E103:O103))</f>
        <v/>
      </c>
      <c r="R103" s="17">
        <f>IF(P103="","",ROUND(P103*RESUMEN!$B$4,0))</f>
        <v/>
      </c>
      <c r="S103" s="18">
        <f>COUNT(E103:O103)</f>
        <v/>
      </c>
    </row>
    <row r="104">
      <c r="A104" s="13" t="inlineStr">
        <is>
          <t>93098782243181</t>
        </is>
      </c>
      <c r="B104" s="13" t="inlineStr">
        <is>
          <t>BOLSO LV ALMA BB BLACK</t>
        </is>
      </c>
      <c r="C104" s="13" t="inlineStr">
        <is>
          <t>Default Title</t>
        </is>
      </c>
      <c r="D104" s="14" t="inlineStr">
        <is>
          <t>Stainless steel</t>
        </is>
      </c>
      <c r="E104" s="13" t="n"/>
      <c r="F104" s="13" t="n"/>
      <c r="G104" s="13" t="n"/>
      <c r="H104" s="13" t="n"/>
      <c r="I104" s="13" t="n"/>
      <c r="J104" s="15" t="n">
        <v>47</v>
      </c>
      <c r="K104" s="15" t="n">
        <v>47</v>
      </c>
      <c r="L104" s="13" t="n"/>
      <c r="M104" s="13" t="n"/>
      <c r="N104" s="15" t="n">
        <v>47</v>
      </c>
      <c r="O104" s="13" t="n"/>
      <c r="P104" s="16">
        <f>IF(COUNT(E104:O104)=0,"",MIN(E104:O104))</f>
        <v/>
      </c>
      <c r="Q104" s="15">
        <f>IF(COUNT(E104:O104)=0,"",LOOKUP(2,1/(E104:O104&lt;&gt;""),E104:O104))</f>
        <v/>
      </c>
      <c r="R104" s="17">
        <f>IF(P104="","",ROUND(P104*RESUMEN!$B$4,0))</f>
        <v/>
      </c>
      <c r="S104" s="18">
        <f>COUNT(E104:O104)</f>
        <v/>
      </c>
    </row>
    <row r="105">
      <c r="A105" s="13" t="inlineStr">
        <is>
          <t>6701d24d46b00</t>
        </is>
      </c>
      <c r="B105" s="13" t="inlineStr">
        <is>
          <t>BOLSO LV CAPUCINES</t>
        </is>
      </c>
      <c r="C105" s="13" t="inlineStr">
        <is>
          <t>26.5cm de largo x 18cm de alto x 9cm de ancho</t>
        </is>
      </c>
      <c r="D105" s="14" t="inlineStr">
        <is>
          <t>Stainless steel</t>
        </is>
      </c>
      <c r="E105" s="15" t="n">
        <v>58</v>
      </c>
      <c r="F105" s="13" t="n"/>
      <c r="G105" s="13" t="n"/>
      <c r="H105" s="15" t="n">
        <v>58</v>
      </c>
      <c r="I105" s="13" t="n"/>
      <c r="J105" s="13" t="n"/>
      <c r="K105" s="13" t="n"/>
      <c r="L105" s="15" t="n">
        <v>58</v>
      </c>
      <c r="M105" s="15" t="n">
        <v>58</v>
      </c>
      <c r="N105" s="13" t="n"/>
      <c r="O105" s="13" t="n"/>
      <c r="P105" s="16">
        <f>IF(COUNT(E105:O105)=0,"",MIN(E105:O105))</f>
        <v/>
      </c>
      <c r="Q105" s="15">
        <f>IF(COUNT(E105:O105)=0,"",LOOKUP(2,1/(E105:O105&lt;&gt;""),E105:O105))</f>
        <v/>
      </c>
      <c r="R105" s="17">
        <f>IF(P105="","",ROUND(P105*RESUMEN!$B$4,0))</f>
        <v/>
      </c>
      <c r="S105" s="18">
        <f>COUNT(E105:O105)</f>
        <v/>
      </c>
    </row>
    <row r="106">
      <c r="A106" s="13" t="inlineStr">
        <is>
          <t>93098782074253</t>
        </is>
      </c>
      <c r="B106" s="13" t="inlineStr">
        <is>
          <t>BOLSO LV CHRISTOPHER MESSENGER</t>
        </is>
      </c>
      <c r="C106" s="13" t="inlineStr">
        <is>
          <t>Default Title</t>
        </is>
      </c>
      <c r="D106" s="14" t="inlineStr">
        <is>
          <t>Stainless steel</t>
        </is>
      </c>
      <c r="E106" s="13" t="n"/>
      <c r="F106" s="13" t="n"/>
      <c r="G106" s="13" t="n"/>
      <c r="H106" s="13" t="n"/>
      <c r="I106" s="13" t="n"/>
      <c r="J106" s="15" t="n">
        <v>45</v>
      </c>
      <c r="K106" s="15" t="n">
        <v>45</v>
      </c>
      <c r="L106" s="13" t="n"/>
      <c r="M106" s="13" t="n"/>
      <c r="N106" s="15" t="n">
        <v>45</v>
      </c>
      <c r="O106" s="15" t="n">
        <v>45</v>
      </c>
      <c r="P106" s="16">
        <f>IF(COUNT(E106:O106)=0,"",MIN(E106:O106))</f>
        <v/>
      </c>
      <c r="Q106" s="15">
        <f>IF(COUNT(E106:O106)=0,"",LOOKUP(2,1/(E106:O106&lt;&gt;""),E106:O106))</f>
        <v/>
      </c>
      <c r="R106" s="17">
        <f>IF(P106="","",ROUND(P106*RESUMEN!$B$4,0))</f>
        <v/>
      </c>
      <c r="S106" s="18">
        <f>COUNT(E106:O106)</f>
        <v/>
      </c>
    </row>
    <row r="107">
      <c r="A107" s="13" t="inlineStr">
        <is>
          <t>6701d2559565d</t>
        </is>
      </c>
      <c r="B107" s="13" t="inlineStr">
        <is>
          <t>BOLSO LV DAUPHINE</t>
        </is>
      </c>
      <c r="C107" s="13" t="inlineStr">
        <is>
          <t>25.3cm de largo x 19.5cm de alto x 9cm de ancho</t>
        </is>
      </c>
      <c r="D107" s="14" t="inlineStr">
        <is>
          <t>0</t>
        </is>
      </c>
      <c r="E107" s="13" t="n"/>
      <c r="F107" s="13" t="n"/>
      <c r="G107" s="13" t="n"/>
      <c r="H107" s="15" t="n">
        <v>55</v>
      </c>
      <c r="I107" s="15" t="n">
        <v>55</v>
      </c>
      <c r="J107" s="13" t="n"/>
      <c r="K107" s="13" t="n"/>
      <c r="L107" s="13" t="n"/>
      <c r="M107" s="13" t="n"/>
      <c r="N107" s="15" t="n">
        <v>55</v>
      </c>
      <c r="O107" s="13" t="n"/>
      <c r="P107" s="16">
        <f>IF(COUNT(E107:O107)=0,"",MIN(E107:O107))</f>
        <v/>
      </c>
      <c r="Q107" s="15">
        <f>IF(COUNT(E107:O107)=0,"",LOOKUP(2,1/(E107:O107&lt;&gt;""),E107:O107))</f>
        <v/>
      </c>
      <c r="R107" s="17">
        <f>IF(P107="","",ROUND(P107*RESUMEN!$B$4,0))</f>
        <v/>
      </c>
      <c r="S107" s="18">
        <f>COUNT(E107:O107)</f>
        <v/>
      </c>
    </row>
    <row r="108">
      <c r="A108" s="13" t="inlineStr">
        <is>
          <t>68802903720716</t>
        </is>
      </c>
      <c r="B108" s="13" t="inlineStr">
        <is>
          <t>BOLSO LV HAMAC</t>
        </is>
      </c>
      <c r="C108" s="13" t="inlineStr">
        <is>
          <t>30cm de largo x 16cm de alto x 7.5cm de ancho</t>
        </is>
      </c>
      <c r="D108" s="14" t="inlineStr"/>
      <c r="E108" s="15" t="n">
        <v>45</v>
      </c>
      <c r="F108" s="13" t="n"/>
      <c r="G108" s="13" t="n"/>
      <c r="H108" s="15" t="n">
        <v>45</v>
      </c>
      <c r="I108" s="15" t="n">
        <v>45</v>
      </c>
      <c r="J108" s="13" t="n"/>
      <c r="K108" s="13" t="n"/>
      <c r="L108" s="13" t="n"/>
      <c r="M108" s="13" t="n"/>
      <c r="N108" s="13" t="n"/>
      <c r="O108" s="13" t="n"/>
      <c r="P108" s="16">
        <f>IF(COUNT(E108:O108)=0,"",MIN(E108:O108))</f>
        <v/>
      </c>
      <c r="Q108" s="15">
        <f>IF(COUNT(E108:O108)=0,"",LOOKUP(2,1/(E108:O108&lt;&gt;""),E108:O108))</f>
        <v/>
      </c>
      <c r="R108" s="17">
        <f>IF(P108="","",ROUND(P108*RESUMEN!$B$4,0))</f>
        <v/>
      </c>
      <c r="S108" s="18">
        <f>COUNT(E108:O108)</f>
        <v/>
      </c>
    </row>
    <row r="109">
      <c r="A109" s="13" t="inlineStr">
        <is>
          <t>43728086581452</t>
        </is>
      </c>
      <c r="B109" s="13" t="inlineStr">
        <is>
          <t>BOLSO LV LOCKIT BB</t>
        </is>
      </c>
      <c r="C109" s="13" t="inlineStr">
        <is>
          <t>19cm de largo x 19cm de alto x 7cm de ancho</t>
        </is>
      </c>
      <c r="D109" s="14" t="inlineStr">
        <is>
          <t>Stainless steel</t>
        </is>
      </c>
      <c r="E109" s="15" t="n">
        <v>43</v>
      </c>
      <c r="F109" s="13" t="n"/>
      <c r="G109" s="15" t="n">
        <v>43</v>
      </c>
      <c r="H109" s="13" t="n"/>
      <c r="I109" s="15" t="n">
        <v>43</v>
      </c>
      <c r="J109" s="13" t="n"/>
      <c r="K109" s="13" t="n"/>
      <c r="L109" s="13" t="n"/>
      <c r="M109" s="13" t="n"/>
      <c r="N109" s="13" t="n"/>
      <c r="O109" s="13" t="n"/>
      <c r="P109" s="16">
        <f>IF(COUNT(E109:O109)=0,"",MIN(E109:O109))</f>
        <v/>
      </c>
      <c r="Q109" s="15">
        <f>IF(COUNT(E109:O109)=0,"",LOOKUP(2,1/(E109:O109&lt;&gt;""),E109:O109))</f>
        <v/>
      </c>
      <c r="R109" s="17">
        <f>IF(P109="","",ROUND(P109*RESUMEN!$B$4,0))</f>
        <v/>
      </c>
      <c r="S109" s="18">
        <f>COUNT(E109:O109)</f>
        <v/>
      </c>
    </row>
    <row r="110">
      <c r="A110" s="13" t="inlineStr">
        <is>
          <t>6701d25048325</t>
        </is>
      </c>
      <c r="B110" s="13" t="inlineStr">
        <is>
          <t>BOLSO LV LOOP</t>
        </is>
      </c>
      <c r="C110" s="13" t="inlineStr">
        <is>
          <t>23.5cm de largo x 21cm de alto x 6cm de ancho</t>
        </is>
      </c>
      <c r="D110" s="14" t="inlineStr">
        <is>
          <t>Stainless steel</t>
        </is>
      </c>
      <c r="E110" s="15" t="n">
        <v>45</v>
      </c>
      <c r="F110" s="13" t="n"/>
      <c r="G110" s="13" t="n"/>
      <c r="H110" s="13" t="n"/>
      <c r="I110" s="13" t="n"/>
      <c r="J110" s="13" t="n"/>
      <c r="K110" s="13" t="n"/>
      <c r="L110" s="15" t="n">
        <v>45</v>
      </c>
      <c r="M110" s="13" t="n"/>
      <c r="N110" s="13" t="n"/>
      <c r="O110" s="13" t="n"/>
      <c r="P110" s="16">
        <f>IF(COUNT(E110:O110)=0,"",MIN(E110:O110))</f>
        <v/>
      </c>
      <c r="Q110" s="15">
        <f>IF(COUNT(E110:O110)=0,"",LOOKUP(2,1/(E110:O110&lt;&gt;""),E110:O110))</f>
        <v/>
      </c>
      <c r="R110" s="17">
        <f>IF(P110="","",ROUND(P110*RESUMEN!$B$4,0))</f>
        <v/>
      </c>
      <c r="S110" s="18">
        <f>COUNT(E110:O110)</f>
        <v/>
      </c>
    </row>
    <row r="111">
      <c r="A111" s="13" t="inlineStr">
        <is>
          <t>93098782381037</t>
        </is>
      </c>
      <c r="B111" s="13" t="inlineStr">
        <is>
          <t>BOLSO LV LOW KEY HOBO</t>
        </is>
      </c>
      <c r="C111" s="13" t="inlineStr">
        <is>
          <t>Default Title</t>
        </is>
      </c>
      <c r="D111" s="14" t="inlineStr">
        <is>
          <t>Stainless steel</t>
        </is>
      </c>
      <c r="E111" s="13" t="n"/>
      <c r="F111" s="13" t="n"/>
      <c r="G111" s="13" t="n"/>
      <c r="H111" s="13" t="n"/>
      <c r="I111" s="13" t="n"/>
      <c r="J111" s="15" t="n">
        <v>54</v>
      </c>
      <c r="K111" s="15" t="n">
        <v>54</v>
      </c>
      <c r="L111" s="13" t="n"/>
      <c r="M111" s="13" t="n"/>
      <c r="N111" s="15" t="n">
        <v>54</v>
      </c>
      <c r="O111" s="13" t="n"/>
      <c r="P111" s="16">
        <f>IF(COUNT(E111:O111)=0,"",MIN(E111:O111))</f>
        <v/>
      </c>
      <c r="Q111" s="15">
        <f>IF(COUNT(E111:O111)=0,"",LOOKUP(2,1/(E111:O111&lt;&gt;""),E111:O111))</f>
        <v/>
      </c>
      <c r="R111" s="17">
        <f>IF(P111="","",ROUND(P111*RESUMEN!$B$4,0))</f>
        <v/>
      </c>
      <c r="S111" s="18">
        <f>COUNT(E111:O111)</f>
        <v/>
      </c>
    </row>
    <row r="112">
      <c r="A112" s="13" t="inlineStr">
        <is>
          <t>68802901471244</t>
        </is>
      </c>
      <c r="B112" s="13" t="inlineStr">
        <is>
          <t>BOLSO LV MESSENGER</t>
        </is>
      </c>
      <c r="C112" s="13" t="inlineStr">
        <is>
          <t>30cm de largo x 20cm de alto x 10 cm de ancho</t>
        </is>
      </c>
      <c r="D112" s="14" t="inlineStr">
        <is>
          <t>Canvas</t>
        </is>
      </c>
      <c r="E112" s="15" t="n">
        <v>48</v>
      </c>
      <c r="F112" s="13" t="n"/>
      <c r="G112" s="13" t="n"/>
      <c r="H112" s="13" t="n"/>
      <c r="I112" s="15" t="n">
        <v>48</v>
      </c>
      <c r="J112" s="15" t="n">
        <v>48</v>
      </c>
      <c r="K112" s="15" t="n">
        <v>48</v>
      </c>
      <c r="L112" s="13" t="n"/>
      <c r="M112" s="13" t="n"/>
      <c r="N112" s="13" t="n"/>
      <c r="O112" s="13" t="n"/>
      <c r="P112" s="16">
        <f>IF(COUNT(E112:O112)=0,"",MIN(E112:O112))</f>
        <v/>
      </c>
      <c r="Q112" s="15">
        <f>IF(COUNT(E112:O112)=0,"",LOOKUP(2,1/(E112:O112&lt;&gt;""),E112:O112))</f>
        <v/>
      </c>
      <c r="R112" s="17">
        <f>IF(P112="","",ROUND(P112*RESUMEN!$B$4,0))</f>
        <v/>
      </c>
      <c r="S112" s="18">
        <f>COUNT(E112:O112)</f>
        <v/>
      </c>
    </row>
    <row r="113">
      <c r="A113" s="13" t="inlineStr">
        <is>
          <t>24780441331117</t>
        </is>
      </c>
      <c r="B113" s="13" t="inlineStr">
        <is>
          <t>BOLSO LV NANO DIANE MONOGRAM</t>
        </is>
      </c>
      <c r="C113" s="13" t="inlineStr"/>
      <c r="D113" s="14" t="inlineStr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5" t="n">
        <v>38</v>
      </c>
      <c r="P113" s="16">
        <f>IF(COUNT(E113:O113)=0,"",MIN(E113:O113))</f>
        <v/>
      </c>
      <c r="Q113" s="15">
        <f>IF(COUNT(E113:O113)=0,"",LOOKUP(2,1/(E113:O113&lt;&gt;""),E113:O113))</f>
        <v/>
      </c>
      <c r="R113" s="17">
        <f>IF(P113="","",ROUND(P113*RESUMEN!$B$4,0))</f>
        <v/>
      </c>
      <c r="S113" s="18">
        <f>COUNT(E113:O113)</f>
        <v/>
      </c>
    </row>
    <row r="114">
      <c r="A114" s="13" t="inlineStr">
        <is>
          <t>43020901133964</t>
        </is>
      </c>
      <c r="B114" s="13" t="inlineStr">
        <is>
          <t>BOLSO LV NEVERFULL</t>
        </is>
      </c>
      <c r="C114" s="13" t="inlineStr">
        <is>
          <t>47cm x 29cm</t>
        </is>
      </c>
      <c r="D114" s="14" t="inlineStr"/>
      <c r="E114" s="15" t="n">
        <v>40</v>
      </c>
      <c r="F114" s="13" t="n"/>
      <c r="G114" s="13" t="n"/>
      <c r="H114" s="15" t="n">
        <v>40</v>
      </c>
      <c r="I114" s="15" t="n">
        <v>40</v>
      </c>
      <c r="J114" s="13" t="n"/>
      <c r="K114" s="13" t="n"/>
      <c r="L114" s="13" t="n"/>
      <c r="M114" s="13" t="n"/>
      <c r="N114" s="13" t="n"/>
      <c r="O114" s="15" t="n">
        <v>40</v>
      </c>
      <c r="P114" s="16">
        <f>IF(COUNT(E114:O114)=0,"",MIN(E114:O114))</f>
        <v/>
      </c>
      <c r="Q114" s="15">
        <f>IF(COUNT(E114:O114)=0,"",LOOKUP(2,1/(E114:O114&lt;&gt;""),E114:O114))</f>
        <v/>
      </c>
      <c r="R114" s="17">
        <f>IF(P114="","",ROUND(P114*RESUMEN!$B$4,0))</f>
        <v/>
      </c>
      <c r="S114" s="18">
        <f>COUNT(E114:O114)</f>
        <v/>
      </c>
    </row>
    <row r="115">
      <c r="A115" s="13" t="inlineStr">
        <is>
          <t>93098783094061</t>
        </is>
      </c>
      <c r="B115" s="13" t="inlineStr">
        <is>
          <t>BOLSO LV POCHETTE FELICIE</t>
        </is>
      </c>
      <c r="C115" s="13" t="inlineStr">
        <is>
          <t>Default Title</t>
        </is>
      </c>
      <c r="D115" s="14" t="inlineStr">
        <is>
          <t>Stainless steel</t>
        </is>
      </c>
      <c r="E115" s="13" t="n"/>
      <c r="F115" s="13" t="n"/>
      <c r="G115" s="13" t="n"/>
      <c r="H115" s="13" t="n"/>
      <c r="I115" s="13" t="n"/>
      <c r="J115" s="15" t="n">
        <v>21</v>
      </c>
      <c r="K115" s="15" t="n">
        <v>21</v>
      </c>
      <c r="L115" s="13" t="n"/>
      <c r="M115" s="15" t="n">
        <v>21</v>
      </c>
      <c r="N115" s="15" t="n">
        <v>21</v>
      </c>
      <c r="O115" s="13" t="n"/>
      <c r="P115" s="16">
        <f>IF(COUNT(E115:O115)=0,"",MIN(E115:O115))</f>
        <v/>
      </c>
      <c r="Q115" s="15">
        <f>IF(COUNT(E115:O115)=0,"",LOOKUP(2,1/(E115:O115&lt;&gt;""),E115:O115))</f>
        <v/>
      </c>
      <c r="R115" s="17">
        <f>IF(P115="","",ROUND(P115*RESUMEN!$B$4,0))</f>
        <v/>
      </c>
      <c r="S115" s="18">
        <f>COUNT(E115:O115)</f>
        <v/>
      </c>
    </row>
    <row r="116">
      <c r="A116" s="13" t="inlineStr">
        <is>
          <t>93098783161293</t>
        </is>
      </c>
      <c r="B116" s="13" t="inlineStr">
        <is>
          <t>BOLSO LV POCHETTE HILLS</t>
        </is>
      </c>
      <c r="C116" s="13" t="inlineStr">
        <is>
          <t>Default Title</t>
        </is>
      </c>
      <c r="D116" s="14" t="inlineStr">
        <is>
          <t>Stainless steel</t>
        </is>
      </c>
      <c r="E116" s="13" t="n"/>
      <c r="F116" s="13" t="n"/>
      <c r="G116" s="13" t="n"/>
      <c r="H116" s="13" t="n"/>
      <c r="I116" s="13" t="n"/>
      <c r="J116" s="15" t="n">
        <v>41</v>
      </c>
      <c r="K116" s="15" t="n">
        <v>41</v>
      </c>
      <c r="L116" s="13" t="n"/>
      <c r="M116" s="13" t="n"/>
      <c r="N116" s="15" t="n">
        <v>41</v>
      </c>
      <c r="O116" s="13" t="n"/>
      <c r="P116" s="16">
        <f>IF(COUNT(E116:O116)=0,"",MIN(E116:O116))</f>
        <v/>
      </c>
      <c r="Q116" s="15">
        <f>IF(COUNT(E116:O116)=0,"",LOOKUP(2,1/(E116:O116&lt;&gt;""),E116:O116))</f>
        <v/>
      </c>
      <c r="R116" s="17">
        <f>IF(P116="","",ROUND(P116*RESUMEN!$B$4,0))</f>
        <v/>
      </c>
      <c r="S116" s="18">
        <f>COUNT(E116:O116)</f>
        <v/>
      </c>
    </row>
    <row r="117">
      <c r="A117" s="13" t="inlineStr">
        <is>
          <t>89631571079533</t>
        </is>
      </c>
      <c r="B117" s="13" t="inlineStr">
        <is>
          <t>BOLSO LV TOTE PILLOW BLACK</t>
        </is>
      </c>
      <c r="C117" s="13" t="inlineStr">
        <is>
          <t>Default Title</t>
        </is>
      </c>
      <c r="D117" s="14" t="inlineStr">
        <is>
          <t>Stainless steel</t>
        </is>
      </c>
      <c r="E117" s="13" t="n"/>
      <c r="F117" s="13" t="n"/>
      <c r="G117" s="13" t="n"/>
      <c r="H117" s="13" t="n"/>
      <c r="I117" s="15" t="n">
        <v>48</v>
      </c>
      <c r="J117" s="13" t="n"/>
      <c r="K117" s="13" t="n"/>
      <c r="L117" s="15" t="n">
        <v>48</v>
      </c>
      <c r="M117" s="13" t="n"/>
      <c r="N117" s="15" t="n">
        <v>48</v>
      </c>
      <c r="O117" s="13" t="n"/>
      <c r="P117" s="16">
        <f>IF(COUNT(E117:O117)=0,"",MIN(E117:O117))</f>
        <v/>
      </c>
      <c r="Q117" s="15">
        <f>IF(COUNT(E117:O117)=0,"",LOOKUP(2,1/(E117:O117&lt;&gt;""),E117:O117))</f>
        <v/>
      </c>
      <c r="R117" s="17">
        <f>IF(P117="","",ROUND(P117*RESUMEN!$B$4,0))</f>
        <v/>
      </c>
      <c r="S117" s="18">
        <f>COUNT(E117:O117)</f>
        <v/>
      </c>
    </row>
    <row r="118">
      <c r="A118" s="13" t="inlineStr">
        <is>
          <t>17872087535244</t>
        </is>
      </c>
      <c r="B118" s="13" t="inlineStr">
        <is>
          <t>BOLSO LW ANAGRAM</t>
        </is>
      </c>
      <c r="C118" s="13" t="inlineStr">
        <is>
          <t>50cm x 26cm x 15cm</t>
        </is>
      </c>
      <c r="D118" s="14" t="inlineStr">
        <is>
          <t>Bag material: st</t>
        </is>
      </c>
      <c r="E118" s="15" t="n">
        <v>35</v>
      </c>
      <c r="F118" s="13" t="n"/>
      <c r="G118" s="13" t="n"/>
      <c r="H118" s="15" t="n">
        <v>35</v>
      </c>
      <c r="I118" s="13" t="n"/>
      <c r="J118" s="15" t="n">
        <v>35</v>
      </c>
      <c r="K118" s="15" t="n">
        <v>35</v>
      </c>
      <c r="L118" s="15" t="n">
        <v>35</v>
      </c>
      <c r="M118" s="15" t="n">
        <v>35</v>
      </c>
      <c r="N118" s="15" t="n">
        <v>35</v>
      </c>
      <c r="O118" s="13" t="n"/>
      <c r="P118" s="16">
        <f>IF(COUNT(E118:O118)=0,"",MIN(E118:O118))</f>
        <v/>
      </c>
      <c r="Q118" s="15">
        <f>IF(COUNT(E118:O118)=0,"",LOOKUP(2,1/(E118:O118&lt;&gt;""),E118:O118))</f>
        <v/>
      </c>
      <c r="R118" s="17">
        <f>IF(P118="","",ROUND(P118*RESUMEN!$B$4,0))</f>
        <v/>
      </c>
      <c r="S118" s="18">
        <f>COUNT(E118:O118)</f>
        <v/>
      </c>
    </row>
    <row r="119">
      <c r="A119" s="13" t="inlineStr">
        <is>
          <t>43728083875724</t>
        </is>
      </c>
      <c r="B119" s="13" t="inlineStr">
        <is>
          <t>BOLSO MISS D BLACK</t>
        </is>
      </c>
      <c r="C119" s="13" t="inlineStr">
        <is>
          <t>21.6cm de largo x 12cm de alto x 6.7cm de ancho (REMATE)</t>
        </is>
      </c>
      <c r="D119" s="14" t="inlineStr">
        <is>
          <t>Genuine leather</t>
        </is>
      </c>
      <c r="E119" s="13" t="n"/>
      <c r="F119" s="13" t="n"/>
      <c r="G119" s="13" t="n"/>
      <c r="H119" s="15" t="n">
        <v>58</v>
      </c>
      <c r="I119" s="13" t="n"/>
      <c r="J119" s="13" t="n"/>
      <c r="K119" s="13" t="n"/>
      <c r="L119" s="15" t="n">
        <v>58</v>
      </c>
      <c r="M119" s="13" t="n"/>
      <c r="N119" s="13" t="n"/>
      <c r="O119" s="13" t="n"/>
      <c r="P119" s="16">
        <f>IF(COUNT(E119:O119)=0,"",MIN(E119:O119))</f>
        <v/>
      </c>
      <c r="Q119" s="15">
        <f>IF(COUNT(E119:O119)=0,"",LOOKUP(2,1/(E119:O119&lt;&gt;""),E119:O119))</f>
        <v/>
      </c>
      <c r="R119" s="17">
        <f>IF(P119="","",ROUND(P119*RESUMEN!$B$4,0))</f>
        <v/>
      </c>
      <c r="S119" s="18">
        <f>COUNT(E119:O119)</f>
        <v/>
      </c>
    </row>
    <row r="120">
      <c r="A120" s="13" t="inlineStr">
        <is>
          <t>6701d1d077e13</t>
        </is>
      </c>
      <c r="B120" s="13" t="inlineStr">
        <is>
          <t>BOLSO MM HOBO OFF WHITE CHAROL</t>
        </is>
      </c>
      <c r="C120" s="13" t="inlineStr">
        <is>
          <t>20.5cm de largo x 16cm de alto (sin incluir la correa) x 6cm de ancho</t>
        </is>
      </c>
      <c r="D120" s="14" t="inlineStr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5" t="n">
        <v>65</v>
      </c>
      <c r="N120" s="13" t="n"/>
      <c r="O120" s="13" t="n"/>
      <c r="P120" s="16">
        <f>IF(COUNT(E120:O120)=0,"",MIN(E120:O120))</f>
        <v/>
      </c>
      <c r="Q120" s="15">
        <f>IF(COUNT(E120:O120)=0,"",LOOKUP(2,1/(E120:O120&lt;&gt;""),E120:O120))</f>
        <v/>
      </c>
      <c r="R120" s="17">
        <f>IF(P120="","",ROUND(P120*RESUMEN!$B$4,0))</f>
        <v/>
      </c>
      <c r="S120" s="18">
        <f>COUNT(E120:O120)</f>
        <v/>
      </c>
    </row>
    <row r="121">
      <c r="A121" s="13" t="inlineStr">
        <is>
          <t>6701d185d4f38</t>
        </is>
      </c>
      <c r="B121" s="13" t="inlineStr">
        <is>
          <t>BOLSO MM WANDER BLACK</t>
        </is>
      </c>
      <c r="C121" s="13" t="inlineStr">
        <is>
          <t>20cm de alto x 21cm de largo x 8cm de ancho</t>
        </is>
      </c>
      <c r="D121" s="14" t="inlineStr">
        <is>
          <t>Genuine leather</t>
        </is>
      </c>
      <c r="E121" s="13" t="n"/>
      <c r="F121" s="13" t="n"/>
      <c r="G121" s="13" t="n"/>
      <c r="H121" s="15" t="n">
        <v>48</v>
      </c>
      <c r="I121" s="15" t="n">
        <v>48</v>
      </c>
      <c r="J121" s="13" t="n"/>
      <c r="K121" s="13" t="n"/>
      <c r="L121" s="13" t="n"/>
      <c r="M121" s="15" t="n">
        <v>48</v>
      </c>
      <c r="N121" s="13" t="n"/>
      <c r="O121" s="13" t="n"/>
      <c r="P121" s="16">
        <f>IF(COUNT(E121:O121)=0,"",MIN(E121:O121))</f>
        <v/>
      </c>
      <c r="Q121" s="15">
        <f>IF(COUNT(E121:O121)=0,"",LOOKUP(2,1/(E121:O121&lt;&gt;""),E121:O121))</f>
        <v/>
      </c>
      <c r="R121" s="17">
        <f>IF(P121="","",ROUND(P121*RESUMEN!$B$4,0))</f>
        <v/>
      </c>
      <c r="S121" s="18">
        <f>COUNT(E121:O121)</f>
        <v/>
      </c>
    </row>
    <row r="122">
      <c r="A122" s="13" t="inlineStr">
        <is>
          <t>43728083564492</t>
        </is>
      </c>
      <c r="B122" s="13" t="inlineStr">
        <is>
          <t>BOLSO MM WANDER NUDE</t>
        </is>
      </c>
      <c r="C122" s="13" t="inlineStr">
        <is>
          <t>20cm de alto x</t>
        </is>
      </c>
      <c r="D122" s="14" t="inlineStr"/>
      <c r="E122" s="13" t="n"/>
      <c r="F122" s="13" t="n"/>
      <c r="G122" s="13" t="n"/>
      <c r="H122" s="15" t="n">
        <v>48</v>
      </c>
      <c r="I122" s="13" t="n"/>
      <c r="J122" s="13" t="n"/>
      <c r="K122" s="13" t="n"/>
      <c r="L122" s="13" t="n"/>
      <c r="M122" s="13" t="n"/>
      <c r="N122" s="13" t="n"/>
      <c r="O122" s="13" t="n"/>
      <c r="P122" s="16">
        <f>IF(COUNT(E122:O122)=0,"",MIN(E122:O122))</f>
        <v/>
      </c>
      <c r="Q122" s="15">
        <f>IF(COUNT(E122:O122)=0,"",LOOKUP(2,1/(E122:O122&lt;&gt;""),E122:O122))</f>
        <v/>
      </c>
      <c r="R122" s="17">
        <f>IF(P122="","",ROUND(P122*RESUMEN!$B$4,0))</f>
        <v/>
      </c>
      <c r="S122" s="18">
        <f>COUNT(E122:O122)</f>
        <v/>
      </c>
    </row>
    <row r="123">
      <c r="A123" s="13" t="inlineStr">
        <is>
          <t>6701d24a43166</t>
        </is>
      </c>
      <c r="B123" s="13" t="inlineStr">
        <is>
          <t>BOLSO MM WANDER NUDE</t>
        </is>
      </c>
      <c r="C123" s="13" t="inlineStr">
        <is>
          <t>20cm de alto x 25cm de largo x 8cm de ancho</t>
        </is>
      </c>
      <c r="D123" s="14" t="inlineStr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5" t="n">
        <v>48</v>
      </c>
      <c r="P123" s="16">
        <f>IF(COUNT(E123:O123)=0,"",MIN(E123:O123))</f>
        <v/>
      </c>
      <c r="Q123" s="15">
        <f>IF(COUNT(E123:O123)=0,"",LOOKUP(2,1/(E123:O123&lt;&gt;""),E123:O123))</f>
        <v/>
      </c>
      <c r="R123" s="17">
        <f>IF(P123="","",ROUND(P123*RESUMEN!$B$4,0))</f>
        <v/>
      </c>
      <c r="S123" s="18">
        <f>COUNT(E123:O123)</f>
        <v/>
      </c>
    </row>
    <row r="124">
      <c r="A124" s="13" t="inlineStr">
        <is>
          <t>6701d1c8792fe</t>
        </is>
      </c>
      <c r="B124" s="13" t="inlineStr">
        <is>
          <t>BOLSO MM WANDER OFF WHITE</t>
        </is>
      </c>
      <c r="C124" s="13" t="inlineStr">
        <is>
          <t>20cm de alto x 25cm de largo x 8cm de ancho</t>
        </is>
      </c>
      <c r="D124" s="14" t="inlineStr">
        <is>
          <t>Genuine leather</t>
        </is>
      </c>
      <c r="E124" s="13" t="n"/>
      <c r="F124" s="13" t="n"/>
      <c r="G124" s="15" t="n">
        <v>48</v>
      </c>
      <c r="H124" s="13" t="n"/>
      <c r="I124" s="15" t="n">
        <v>48</v>
      </c>
      <c r="J124" s="13" t="n"/>
      <c r="K124" s="13" t="n"/>
      <c r="L124" s="13" t="n"/>
      <c r="M124" s="13" t="n"/>
      <c r="N124" s="13" t="n"/>
      <c r="O124" s="13" t="n"/>
      <c r="P124" s="16">
        <f>IF(COUNT(E124:O124)=0,"",MIN(E124:O124))</f>
        <v/>
      </c>
      <c r="Q124" s="15">
        <f>IF(COUNT(E124:O124)=0,"",LOOKUP(2,1/(E124:O124&lt;&gt;""),E124:O124))</f>
        <v/>
      </c>
      <c r="R124" s="17">
        <f>IF(P124="","",ROUND(P124*RESUMEN!$B$4,0))</f>
        <v/>
      </c>
      <c r="S124" s="18">
        <f>COUNT(E124:O124)</f>
        <v/>
      </c>
    </row>
    <row r="125">
      <c r="A125" s="13" t="inlineStr">
        <is>
          <t>82224431085741</t>
        </is>
      </c>
      <c r="B125" s="13" t="inlineStr">
        <is>
          <t>BOLSO MM WANDER OFF WHITE</t>
        </is>
      </c>
      <c r="C125" s="13" t="inlineStr">
        <is>
          <t>WHITE</t>
        </is>
      </c>
      <c r="D125" s="14" t="inlineStr">
        <is>
          <t>Genuine leather</t>
        </is>
      </c>
      <c r="E125" s="13" t="n"/>
      <c r="F125" s="13" t="n"/>
      <c r="G125" s="13" t="n"/>
      <c r="H125" s="13" t="n"/>
      <c r="I125" s="13" t="n"/>
      <c r="J125" s="15" t="n">
        <v>48</v>
      </c>
      <c r="K125" s="15" t="n">
        <v>48</v>
      </c>
      <c r="L125" s="13" t="n"/>
      <c r="M125" s="13" t="n"/>
      <c r="N125" s="13" t="n"/>
      <c r="O125" s="13" t="n"/>
      <c r="P125" s="16">
        <f>IF(COUNT(E125:O125)=0,"",MIN(E125:O125))</f>
        <v/>
      </c>
      <c r="Q125" s="15">
        <f>IF(COUNT(E125:O125)=0,"",LOOKUP(2,1/(E125:O125&lt;&gt;""),E125:O125))</f>
        <v/>
      </c>
      <c r="R125" s="17">
        <f>IF(P125="","",ROUND(P125*RESUMEN!$B$4,0))</f>
        <v/>
      </c>
      <c r="S125" s="18">
        <f>COUNT(E125:O125)</f>
        <v/>
      </c>
    </row>
    <row r="126">
      <c r="A126" s="13" t="inlineStr">
        <is>
          <t>43728086647788</t>
        </is>
      </c>
      <c r="B126" s="13" t="inlineStr">
        <is>
          <t>BOLSO MM WANDER RED</t>
        </is>
      </c>
      <c r="C126" s="13" t="inlineStr">
        <is>
          <t>20cm de alto x</t>
        </is>
      </c>
      <c r="D126" s="14" t="inlineStr"/>
      <c r="E126" s="13" t="n"/>
      <c r="F126" s="13" t="n"/>
      <c r="G126" s="13" t="n"/>
      <c r="H126" s="15" t="n">
        <v>48</v>
      </c>
      <c r="I126" s="13" t="n"/>
      <c r="J126" s="13" t="n"/>
      <c r="K126" s="13" t="n"/>
      <c r="L126" s="13" t="n"/>
      <c r="M126" s="13" t="n"/>
      <c r="N126" s="13" t="n"/>
      <c r="O126" s="13" t="n"/>
      <c r="P126" s="16">
        <f>IF(COUNT(E126:O126)=0,"",MIN(E126:O126))</f>
        <v/>
      </c>
      <c r="Q126" s="15">
        <f>IF(COUNT(E126:O126)=0,"",LOOKUP(2,1/(E126:O126&lt;&gt;""),E126:O126))</f>
        <v/>
      </c>
      <c r="R126" s="17">
        <f>IF(P126="","",ROUND(P126*RESUMEN!$B$4,0))</f>
        <v/>
      </c>
      <c r="S126" s="18">
        <f>COUNT(E126:O126)</f>
        <v/>
      </c>
    </row>
    <row r="127">
      <c r="A127" s="13" t="inlineStr">
        <is>
          <t>29953902748109</t>
        </is>
      </c>
      <c r="B127" s="13" t="inlineStr">
        <is>
          <t>BOLSO POCHETTE YSL CASSANDRE</t>
        </is>
      </c>
      <c r="C127" s="13" t="inlineStr"/>
      <c r="D127" s="14" t="inlineStr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5" t="n">
        <v>75</v>
      </c>
      <c r="P127" s="16">
        <f>IF(COUNT(E127:O127)=0,"",MIN(E127:O127))</f>
        <v/>
      </c>
      <c r="Q127" s="15">
        <f>IF(COUNT(E127:O127)=0,"",LOOKUP(2,1/(E127:O127&lt;&gt;""),E127:O127))</f>
        <v/>
      </c>
      <c r="R127" s="17">
        <f>IF(P127="","",ROUND(P127*RESUMEN!$B$4,0))</f>
        <v/>
      </c>
      <c r="S127" s="18">
        <f>COUNT(E127:O127)</f>
        <v/>
      </c>
    </row>
    <row r="128">
      <c r="A128" s="13" t="inlineStr">
        <is>
          <t>6701d2533c12e</t>
        </is>
      </c>
      <c r="B128" s="13" t="inlineStr">
        <is>
          <t>BOLSO PR BLACK RE-EDITION 2000</t>
        </is>
      </c>
      <c r="C128" s="13" t="inlineStr">
        <is>
          <t>21cm de largo x 15cm de alto x 6cm de ancho</t>
        </is>
      </c>
      <c r="D128" s="14" t="inlineStr">
        <is>
          <t>Stainless steel</t>
        </is>
      </c>
      <c r="E128" s="13" t="n"/>
      <c r="F128" s="13" t="n"/>
      <c r="G128" s="13" t="n"/>
      <c r="H128" s="13" t="n"/>
      <c r="I128" s="13" t="n"/>
      <c r="J128" s="13" t="n"/>
      <c r="K128" s="13" t="n"/>
      <c r="L128" s="15" t="n">
        <v>39</v>
      </c>
      <c r="M128" s="13" t="n"/>
      <c r="N128" s="15" t="n">
        <v>39</v>
      </c>
      <c r="O128" s="13" t="n"/>
      <c r="P128" s="16">
        <f>IF(COUNT(E128:O128)=0,"",MIN(E128:O128))</f>
        <v/>
      </c>
      <c r="Q128" s="15">
        <f>IF(COUNT(E128:O128)=0,"",LOOKUP(2,1/(E128:O128&lt;&gt;""),E128:O128))</f>
        <v/>
      </c>
      <c r="R128" s="17">
        <f>IF(P128="","",ROUND(P128*RESUMEN!$B$4,0))</f>
        <v/>
      </c>
      <c r="S128" s="18">
        <f>COUNT(E128:O128)</f>
        <v/>
      </c>
    </row>
    <row r="129">
      <c r="A129" s="13" t="inlineStr">
        <is>
          <t>648cc614da168</t>
        </is>
      </c>
      <c r="B129" s="13" t="inlineStr">
        <is>
          <t>BOLSO YSL BLACK</t>
        </is>
      </c>
      <c r="C129" s="13" t="inlineStr">
        <is>
          <t>24cm x 15cm</t>
        </is>
      </c>
      <c r="D129" s="14" t="inlineStr">
        <is>
          <t>Genuine leather</t>
        </is>
      </c>
      <c r="E129" s="13" t="n"/>
      <c r="F129" s="13" t="n"/>
      <c r="G129" s="13" t="n"/>
      <c r="H129" s="15" t="n">
        <v>48</v>
      </c>
      <c r="I129" s="13" t="n"/>
      <c r="J129" s="15" t="n">
        <v>48</v>
      </c>
      <c r="K129" s="15" t="n">
        <v>48</v>
      </c>
      <c r="L129" s="15" t="n">
        <v>48</v>
      </c>
      <c r="M129" s="13" t="n"/>
      <c r="N129" s="13" t="n"/>
      <c r="O129" s="13" t="n"/>
      <c r="P129" s="16">
        <f>IF(COUNT(E129:O129)=0,"",MIN(E129:O129))</f>
        <v/>
      </c>
      <c r="Q129" s="15">
        <f>IF(COUNT(E129:O129)=0,"",LOOKUP(2,1/(E129:O129&lt;&gt;""),E129:O129))</f>
        <v/>
      </c>
      <c r="R129" s="17">
        <f>IF(P129="","",ROUND(P129*RESUMEN!$B$4,0))</f>
        <v/>
      </c>
      <c r="S129" s="18">
        <f>COUNT(E129:O129)</f>
        <v/>
      </c>
    </row>
    <row r="130">
      <c r="A130" s="13" t="inlineStr">
        <is>
          <t>33891171089901</t>
        </is>
      </c>
      <c r="B130" s="13" t="inlineStr">
        <is>
          <t>BOLSO YSL CHAROL CHERRY 37</t>
        </is>
      </c>
      <c r="C130" s="13" t="inlineStr"/>
      <c r="D130" s="14" t="inlineStr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5" t="n">
        <v>55</v>
      </c>
      <c r="P130" s="16">
        <f>IF(COUNT(E130:O130)=0,"",MIN(E130:O130))</f>
        <v/>
      </c>
      <c r="Q130" s="15">
        <f>IF(COUNT(E130:O130)=0,"",LOOKUP(2,1/(E130:O130&lt;&gt;""),E130:O130))</f>
        <v/>
      </c>
      <c r="R130" s="17">
        <f>IF(P130="","",ROUND(P130*RESUMEN!$B$4,0))</f>
        <v/>
      </c>
      <c r="S130" s="18">
        <f>COUNT(E130:O130)</f>
        <v/>
      </c>
    </row>
    <row r="131">
      <c r="A131" s="13" t="inlineStr">
        <is>
          <t>29953903326061</t>
        </is>
      </c>
      <c r="B131" s="13" t="inlineStr">
        <is>
          <t>BOLSO YSL GABY VANITY</t>
        </is>
      </c>
      <c r="C131" s="13" t="inlineStr"/>
      <c r="D131" s="14" t="inlineStr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5" t="n">
        <v>53</v>
      </c>
      <c r="P131" s="16">
        <f>IF(COUNT(E131:O131)=0,"",MIN(E131:O131))</f>
        <v/>
      </c>
      <c r="Q131" s="15">
        <f>IF(COUNT(E131:O131)=0,"",LOOKUP(2,1/(E131:O131&lt;&gt;""),E131:O131))</f>
        <v/>
      </c>
      <c r="R131" s="17">
        <f>IF(P131="","",ROUND(P131*RESUMEN!$B$4,0))</f>
        <v/>
      </c>
      <c r="S131" s="18">
        <f>COUNT(E131:O131)</f>
        <v/>
      </c>
    </row>
    <row r="132">
      <c r="A132" s="13" t="inlineStr">
        <is>
          <t>29953902560653</t>
        </is>
      </c>
      <c r="B132" s="13" t="inlineStr">
        <is>
          <t>BOLSO YSL ICARE NAPA</t>
        </is>
      </c>
      <c r="C132" s="13" t="inlineStr"/>
      <c r="D132" s="14" t="inlineStr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5" t="n">
        <v>58</v>
      </c>
      <c r="P132" s="16">
        <f>IF(COUNT(E132:O132)=0,"",MIN(E132:O132))</f>
        <v/>
      </c>
      <c r="Q132" s="15">
        <f>IF(COUNT(E132:O132)=0,"",LOOKUP(2,1/(E132:O132&lt;&gt;""),E132:O132))</f>
        <v/>
      </c>
      <c r="R132" s="17">
        <f>IF(P132="","",ROUND(P132*RESUMEN!$B$4,0))</f>
        <v/>
      </c>
      <c r="S132" s="18">
        <f>COUNT(E132:O132)</f>
        <v/>
      </c>
    </row>
    <row r="133">
      <c r="A133" s="13" t="inlineStr">
        <is>
          <t>29953902655501</t>
        </is>
      </c>
      <c r="B133" s="13" t="inlineStr">
        <is>
          <t>BOLSO YSL ICARE NAPA BLACK</t>
        </is>
      </c>
      <c r="C133" s="13" t="inlineStr"/>
      <c r="D133" s="14" t="inlineStr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5" t="n">
        <v>59</v>
      </c>
      <c r="P133" s="16">
        <f>IF(COUNT(E133:O133)=0,"",MIN(E133:O133))</f>
        <v/>
      </c>
      <c r="Q133" s="15">
        <f>IF(COUNT(E133:O133)=0,"",LOOKUP(2,1/(E133:O133&lt;&gt;""),E133:O133))</f>
        <v/>
      </c>
      <c r="R133" s="17">
        <f>IF(P133="","",ROUND(P133*RESUMEN!$B$4,0))</f>
        <v/>
      </c>
      <c r="S133" s="18">
        <f>COUNT(E133:O133)</f>
        <v/>
      </c>
    </row>
    <row r="134">
      <c r="A134" s="13" t="inlineStr">
        <is>
          <t>34163622788685</t>
        </is>
      </c>
      <c r="B134" s="13" t="inlineStr">
        <is>
          <t>BOLSO YSL ICARINO NAPA BLACK</t>
        </is>
      </c>
      <c r="C134" s="13" t="inlineStr">
        <is>
          <t>Default Title</t>
        </is>
      </c>
      <c r="D134" s="14" t="inlineStr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5" t="n">
        <v>55</v>
      </c>
      <c r="N134" s="13" t="n"/>
      <c r="O134" s="15" t="n">
        <v>55</v>
      </c>
      <c r="P134" s="16">
        <f>IF(COUNT(E134:O134)=0,"",MIN(E134:O134))</f>
        <v/>
      </c>
      <c r="Q134" s="15">
        <f>IF(COUNT(E134:O134)=0,"",LOOKUP(2,1/(E134:O134&lt;&gt;""),E134:O134))</f>
        <v/>
      </c>
      <c r="R134" s="17">
        <f>IF(P134="","",ROUND(P134*RESUMEN!$B$4,0))</f>
        <v/>
      </c>
      <c r="S134" s="18">
        <f>COUNT(E134:O134)</f>
        <v/>
      </c>
    </row>
    <row r="135">
      <c r="A135" s="13" t="inlineStr">
        <is>
          <t>29953902272525</t>
        </is>
      </c>
      <c r="B135" s="13" t="inlineStr">
        <is>
          <t>BOLSO YSL JAMIE SHOPPING</t>
        </is>
      </c>
      <c r="C135" s="13" t="inlineStr"/>
      <c r="D135" s="14" t="inlineStr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5" t="n">
        <v>69</v>
      </c>
      <c r="P135" s="16">
        <f>IF(COUNT(E135:O135)=0,"",MIN(E135:O135))</f>
        <v/>
      </c>
      <c r="Q135" s="15">
        <f>IF(COUNT(E135:O135)=0,"",LOOKUP(2,1/(E135:O135&lt;&gt;""),E135:O135))</f>
        <v/>
      </c>
      <c r="R135" s="17">
        <f>IF(P135="","",ROUND(P135*RESUMEN!$B$4,0))</f>
        <v/>
      </c>
      <c r="S135" s="18">
        <f>COUNT(E135:O135)</f>
        <v/>
      </c>
    </row>
    <row r="136">
      <c r="A136" s="13" t="inlineStr">
        <is>
          <t>29953902351501</t>
        </is>
      </c>
      <c r="B136" s="13" t="inlineStr">
        <is>
          <t>BOLSO YSL JAMIE SHOPPING ALL BLACK</t>
        </is>
      </c>
      <c r="C136" s="13" t="inlineStr"/>
      <c r="D136" s="14" t="inlineStr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5" t="n">
        <v>69</v>
      </c>
      <c r="P136" s="16">
        <f>IF(COUNT(E136:O136)=0,"",MIN(E136:O136))</f>
        <v/>
      </c>
      <c r="Q136" s="15">
        <f>IF(COUNT(E136:O136)=0,"",LOOKUP(2,1/(E136:O136&lt;&gt;""),E136:O136))</f>
        <v/>
      </c>
      <c r="R136" s="17">
        <f>IF(P136="","",ROUND(P136*RESUMEN!$B$4,0))</f>
        <v/>
      </c>
      <c r="S136" s="18">
        <f>COUNT(E136:O136)</f>
        <v/>
      </c>
    </row>
    <row r="137">
      <c r="A137" s="13" t="inlineStr">
        <is>
          <t>29953902481485</t>
        </is>
      </c>
      <c r="B137" s="13" t="inlineStr">
        <is>
          <t>BOLSO YSL JAMIE SHOPPING BURGUNDY</t>
        </is>
      </c>
      <c r="C137" s="13" t="inlineStr"/>
      <c r="D137" s="14" t="inlineStr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5" t="n">
        <v>65</v>
      </c>
      <c r="P137" s="16">
        <f>IF(COUNT(E137:O137)=0,"",MIN(E137:O137))</f>
        <v/>
      </c>
      <c r="Q137" s="15">
        <f>IF(COUNT(E137:O137)=0,"",LOOKUP(2,1/(E137:O137&lt;&gt;""),E137:O137))</f>
        <v/>
      </c>
      <c r="R137" s="17">
        <f>IF(P137="","",ROUND(P137*RESUMEN!$B$4,0))</f>
        <v/>
      </c>
      <c r="S137" s="18">
        <f>COUNT(E137:O137)</f>
        <v/>
      </c>
    </row>
    <row r="138">
      <c r="A138" s="13" t="inlineStr">
        <is>
          <t>29953903227757</t>
        </is>
      </c>
      <c r="B138" s="13" t="inlineStr">
        <is>
          <t>BOLSO YSL KATE CLASSIC</t>
        </is>
      </c>
      <c r="C138" s="13" t="inlineStr"/>
      <c r="D138" s="14" t="inlineStr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5" t="n">
        <v>49</v>
      </c>
      <c r="P138" s="16">
        <f>IF(COUNT(E138:O138)=0,"",MIN(E138:O138))</f>
        <v/>
      </c>
      <c r="Q138" s="15">
        <f>IF(COUNT(E138:O138)=0,"",LOOKUP(2,1/(E138:O138&lt;&gt;""),E138:O138))</f>
        <v/>
      </c>
      <c r="R138" s="17">
        <f>IF(P138="","",ROUND(P138*RESUMEN!$B$4,0))</f>
        <v/>
      </c>
      <c r="S138" s="18">
        <f>COUNT(E138:O138)</f>
        <v/>
      </c>
    </row>
    <row r="139">
      <c r="A139" s="13" t="inlineStr">
        <is>
          <t>29953902810253</t>
        </is>
      </c>
      <c r="B139" s="13" t="inlineStr">
        <is>
          <t>BOLSO YSL LOULOU BLACK GOLD</t>
        </is>
      </c>
      <c r="C139" s="13" t="inlineStr"/>
      <c r="D139" s="14" t="inlineStr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5" t="n">
        <v>58</v>
      </c>
      <c r="P139" s="16">
        <f>IF(COUNT(E139:O139)=0,"",MIN(E139:O139))</f>
        <v/>
      </c>
      <c r="Q139" s="15">
        <f>IF(COUNT(E139:O139)=0,"",LOOKUP(2,1/(E139:O139&lt;&gt;""),E139:O139))</f>
        <v/>
      </c>
      <c r="R139" s="17">
        <f>IF(P139="","",ROUND(P139*RESUMEN!$B$4,0))</f>
        <v/>
      </c>
      <c r="S139" s="18">
        <f>COUNT(E139:O139)</f>
        <v/>
      </c>
    </row>
    <row r="140">
      <c r="A140" s="13" t="inlineStr">
        <is>
          <t>29953903034541</t>
        </is>
      </c>
      <c r="B140" s="13" t="inlineStr">
        <is>
          <t>BOLSO YSL LOULOU BLACK SILVER</t>
        </is>
      </c>
      <c r="C140" s="13" t="inlineStr"/>
      <c r="D140" s="14" t="inlineStr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5" t="n">
        <v>56</v>
      </c>
      <c r="P140" s="16">
        <f>IF(COUNT(E140:O140)=0,"",MIN(E140:O140))</f>
        <v/>
      </c>
      <c r="Q140" s="15">
        <f>IF(COUNT(E140:O140)=0,"",LOOKUP(2,1/(E140:O140&lt;&gt;""),E140:O140))</f>
        <v/>
      </c>
      <c r="R140" s="17">
        <f>IF(P140="","",ROUND(P140*RESUMEN!$B$4,0))</f>
        <v/>
      </c>
      <c r="S140" s="18">
        <f>COUNT(E140:O140)</f>
        <v/>
      </c>
    </row>
    <row r="141">
      <c r="A141" s="13" t="inlineStr">
        <is>
          <t>29953903165613</t>
        </is>
      </c>
      <c r="B141" s="13" t="inlineStr">
        <is>
          <t>BOLSO YSL LOULOU BURGUNDY</t>
        </is>
      </c>
      <c r="C141" s="13" t="inlineStr"/>
      <c r="D141" s="14" t="inlineStr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5" t="n">
        <v>59</v>
      </c>
      <c r="P141" s="16">
        <f>IF(COUNT(E141:O141)=0,"",MIN(E141:O141))</f>
        <v/>
      </c>
      <c r="Q141" s="15">
        <f>IF(COUNT(E141:O141)=0,"",LOOKUP(2,1/(E141:O141&lt;&gt;""),E141:O141))</f>
        <v/>
      </c>
      <c r="R141" s="17">
        <f>IF(P141="","",ROUND(P141*RESUMEN!$B$4,0))</f>
        <v/>
      </c>
      <c r="S141" s="18">
        <f>COUNT(E141:O141)</f>
        <v/>
      </c>
    </row>
    <row r="142">
      <c r="A142" s="13" t="inlineStr">
        <is>
          <t>29953902939629</t>
        </is>
      </c>
      <c r="B142" s="13" t="inlineStr">
        <is>
          <t>BOLSO YSL LOULOU WHITE</t>
        </is>
      </c>
      <c r="C142" s="13" t="inlineStr"/>
      <c r="D142" s="14" t="inlineStr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5" t="n">
        <v>56</v>
      </c>
      <c r="P142" s="16">
        <f>IF(COUNT(E142:O142)=0,"",MIN(E142:O142))</f>
        <v/>
      </c>
      <c r="Q142" s="15">
        <f>IF(COUNT(E142:O142)=0,"",LOOKUP(2,1/(E142:O142&lt;&gt;""),E142:O142))</f>
        <v/>
      </c>
      <c r="R142" s="17">
        <f>IF(P142="","",ROUND(P142*RESUMEN!$B$4,0))</f>
        <v/>
      </c>
      <c r="S142" s="18">
        <f>COUNT(E142:O142)</f>
        <v/>
      </c>
    </row>
    <row r="143">
      <c r="A143" s="13" t="inlineStr">
        <is>
          <t>87893051058957</t>
        </is>
      </c>
      <c r="B143" s="13" t="inlineStr">
        <is>
          <t>BOLSO YSL NUDE</t>
        </is>
      </c>
      <c r="C143" s="13" t="inlineStr">
        <is>
          <t>Default Title</t>
        </is>
      </c>
      <c r="D143" s="14" t="inlineStr">
        <is>
          <t>0</t>
        </is>
      </c>
      <c r="E143" s="15" t="n">
        <v>0</v>
      </c>
      <c r="F143" s="13" t="n"/>
      <c r="G143" s="13" t="n"/>
      <c r="H143" s="15" t="n">
        <v>52</v>
      </c>
      <c r="I143" s="13" t="n"/>
      <c r="J143" s="13" t="n"/>
      <c r="K143" s="13" t="n"/>
      <c r="L143" s="15" t="n">
        <v>52</v>
      </c>
      <c r="M143" s="13" t="n"/>
      <c r="N143" s="13" t="n"/>
      <c r="O143" s="13" t="n"/>
      <c r="P143" s="16">
        <f>IF(COUNT(E143:O143)=0,"",MIN(E143:O143))</f>
        <v/>
      </c>
      <c r="Q143" s="15">
        <f>IF(COUNT(E143:O143)=0,"",LOOKUP(2,1/(E143:O143&lt;&gt;""),E143:O143))</f>
        <v/>
      </c>
      <c r="R143" s="17">
        <f>IF(P143="","",ROUND(P143*RESUMEN!$B$4,0))</f>
        <v/>
      </c>
      <c r="S143" s="18">
        <f>COUNT(E143:O143)</f>
        <v/>
      </c>
    </row>
    <row r="144">
      <c r="A144" s="13" t="inlineStr">
        <is>
          <t>29953903457133</t>
        </is>
      </c>
      <c r="B144" s="13" t="inlineStr">
        <is>
          <t>BOLSO YSL SAC DE JOUR</t>
        </is>
      </c>
      <c r="C144" s="13" t="inlineStr"/>
      <c r="D144" s="14" t="inlineStr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5" t="n">
        <v>85</v>
      </c>
      <c r="P144" s="16">
        <f>IF(COUNT(E144:O144)=0,"",MIN(E144:O144))</f>
        <v/>
      </c>
      <c r="Q144" s="15">
        <f>IF(COUNT(E144:O144)=0,"",LOOKUP(2,1/(E144:O144&lt;&gt;""),E144:O144))</f>
        <v/>
      </c>
      <c r="R144" s="17">
        <f>IF(P144="","",ROUND(P144*RESUMEN!$B$4,0))</f>
        <v/>
      </c>
      <c r="S144" s="18">
        <f>COUNT(E144:O144)</f>
        <v/>
      </c>
    </row>
    <row r="145">
      <c r="A145" s="13" t="inlineStr">
        <is>
          <t>33891171186509</t>
        </is>
      </c>
      <c r="B145" s="13" t="inlineStr">
        <is>
          <t>BOLSO YSL VOLTAIRE BOX</t>
        </is>
      </c>
      <c r="C145" s="13" t="inlineStr"/>
      <c r="D145" s="14" t="inlineStr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5" t="n">
        <v>65</v>
      </c>
      <c r="P145" s="16">
        <f>IF(COUNT(E145:O145)=0,"",MIN(E145:O145))</f>
        <v/>
      </c>
      <c r="Q145" s="15">
        <f>IF(COUNT(E145:O145)=0,"",LOOKUP(2,1/(E145:O145&lt;&gt;""),E145:O145))</f>
        <v/>
      </c>
      <c r="R145" s="17">
        <f>IF(P145="","",ROUND(P145*RESUMEN!$B$4,0))</f>
        <v/>
      </c>
      <c r="S145" s="18">
        <f>COUNT(E145:O145)</f>
        <v/>
      </c>
    </row>
    <row r="146">
      <c r="A146" s="13" t="inlineStr">
        <is>
          <t>83188051093645</t>
        </is>
      </c>
      <c r="B146" s="13" t="inlineStr">
        <is>
          <t>BRAZALETE F GOLD BLACK</t>
        </is>
      </c>
      <c r="C146" s="13" t="inlineStr">
        <is>
          <t>HIGH QUALITY</t>
        </is>
      </c>
      <c r="D146" s="14" t="inlineStr">
        <is>
          <t>Brass</t>
        </is>
      </c>
      <c r="E146" s="13" t="n"/>
      <c r="F146" s="15" t="n">
        <v>11</v>
      </c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6">
        <f>IF(COUNT(E146:O146)=0,"",MIN(E146:O146))</f>
        <v/>
      </c>
      <c r="Q146" s="15">
        <f>IF(COUNT(E146:O146)=0,"",LOOKUP(2,1/(E146:O146&lt;&gt;""),E146:O146))</f>
        <v/>
      </c>
      <c r="R146" s="17">
        <f>IF(P146="","",ROUND(P146*RESUMEN!$B$4,0))</f>
        <v/>
      </c>
      <c r="S146" s="18">
        <f>COUNT(E146:O146)</f>
        <v/>
      </c>
    </row>
    <row r="147">
      <c r="A147" s="13" t="inlineStr">
        <is>
          <t>86312001095277</t>
        </is>
      </c>
      <c r="B147" s="13" t="inlineStr">
        <is>
          <t>BRAZALETE F SILVER CON MICROZIRCONIAS</t>
        </is>
      </c>
      <c r="C147" s="13" t="inlineStr">
        <is>
          <t>Default Title</t>
        </is>
      </c>
      <c r="D147" s="14" t="inlineStr">
        <is>
          <t>Brass + Zirconia</t>
        </is>
      </c>
      <c r="E147" s="13" t="n"/>
      <c r="F147" s="15" t="n">
        <v>8</v>
      </c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6">
        <f>IF(COUNT(E147:O147)=0,"",MIN(E147:O147))</f>
        <v/>
      </c>
      <c r="Q147" s="15">
        <f>IF(COUNT(E147:O147)=0,"",LOOKUP(2,1/(E147:O147&lt;&gt;""),E147:O147))</f>
        <v/>
      </c>
      <c r="R147" s="17">
        <f>IF(P147="","",ROUND(P147*RESUMEN!$B$4,0))</f>
        <v/>
      </c>
      <c r="S147" s="18">
        <f>COUNT(E147:O147)</f>
        <v/>
      </c>
    </row>
    <row r="148">
      <c r="A148" s="13" t="inlineStr">
        <is>
          <t>80380861033869</t>
        </is>
      </c>
      <c r="B148" s="13" t="inlineStr">
        <is>
          <t>BRAZALETE GC BLONDIE CRISTAL BANGLE GOLD</t>
        </is>
      </c>
      <c r="C148" s="13" t="inlineStr">
        <is>
          <t>Default Title</t>
        </is>
      </c>
      <c r="D148" s="14" t="inlineStr">
        <is>
          <t>Brass</t>
        </is>
      </c>
      <c r="E148" s="13" t="n"/>
      <c r="F148" s="15" t="n">
        <v>11</v>
      </c>
      <c r="G148" s="13" t="n"/>
      <c r="H148" s="13" t="n"/>
      <c r="I148" s="13" t="n"/>
      <c r="J148" s="13" t="n"/>
      <c r="K148" s="13" t="n"/>
      <c r="L148" s="15" t="n">
        <v>12</v>
      </c>
      <c r="M148" s="13" t="n"/>
      <c r="N148" s="13" t="n"/>
      <c r="O148" s="13" t="n"/>
      <c r="P148" s="16">
        <f>IF(COUNT(E148:O148)=0,"",MIN(E148:O148))</f>
        <v/>
      </c>
      <c r="Q148" s="15">
        <f>IF(COUNT(E148:O148)=0,"",LOOKUP(2,1/(E148:O148&lt;&gt;""),E148:O148))</f>
        <v/>
      </c>
      <c r="R148" s="17">
        <f>IF(P148="","",ROUND(P148*RESUMEN!$B$4,0))</f>
        <v/>
      </c>
      <c r="S148" s="18">
        <f>COUNT(E148:O148)</f>
        <v/>
      </c>
    </row>
    <row r="149">
      <c r="A149" s="13" t="inlineStr">
        <is>
          <t>679bf19779a29</t>
        </is>
      </c>
      <c r="B149" s="13" t="inlineStr">
        <is>
          <t>CALCETÍN A BLACK</t>
        </is>
      </c>
      <c r="C149" s="13" t="inlineStr">
        <is>
          <t>Default Title</t>
        </is>
      </c>
      <c r="D149" s="14" t="inlineStr">
        <is>
          <t>Fabric Material</t>
        </is>
      </c>
      <c r="E149" s="13" t="n"/>
      <c r="F149" s="13" t="n"/>
      <c r="G149" s="15" t="n">
        <v>5</v>
      </c>
      <c r="H149" s="15" t="n">
        <v>5</v>
      </c>
      <c r="I149" s="13" t="n"/>
      <c r="J149" s="13" t="n"/>
      <c r="K149" s="13" t="n"/>
      <c r="L149" s="15" t="n">
        <v>5</v>
      </c>
      <c r="M149" s="13" t="n"/>
      <c r="N149" s="13" t="n"/>
      <c r="O149" s="13" t="n"/>
      <c r="P149" s="16">
        <f>IF(COUNT(E149:O149)=0,"",MIN(E149:O149))</f>
        <v/>
      </c>
      <c r="Q149" s="15">
        <f>IF(COUNT(E149:O149)=0,"",LOOKUP(2,1/(E149:O149&lt;&gt;""),E149:O149))</f>
        <v/>
      </c>
      <c r="R149" s="17">
        <f>IF(P149="","",ROUND(P149*RESUMEN!$B$4,0))</f>
        <v/>
      </c>
      <c r="S149" s="18">
        <f>COUNT(E149:O149)</f>
        <v/>
      </c>
    </row>
    <row r="150">
      <c r="A150" s="13" t="inlineStr">
        <is>
          <t>679bf1982d8ea</t>
        </is>
      </c>
      <c r="B150" s="13" t="inlineStr">
        <is>
          <t>CALCETÍN A WHITE</t>
        </is>
      </c>
      <c r="C150" s="13" t="inlineStr">
        <is>
          <t>Default Title</t>
        </is>
      </c>
      <c r="D150" s="14" t="inlineStr">
        <is>
          <t>Fabric Material</t>
        </is>
      </c>
      <c r="E150" s="15" t="n">
        <v>5</v>
      </c>
      <c r="F150" s="13" t="n"/>
      <c r="G150" s="15" t="n">
        <v>5</v>
      </c>
      <c r="H150" s="15" t="n">
        <v>5</v>
      </c>
      <c r="I150" s="13" t="n"/>
      <c r="J150" s="13" t="n"/>
      <c r="K150" s="13" t="n"/>
      <c r="L150" s="15" t="n">
        <v>5</v>
      </c>
      <c r="M150" s="13" t="n"/>
      <c r="N150" s="13" t="n"/>
      <c r="O150" s="15" t="n">
        <v>5</v>
      </c>
      <c r="P150" s="16">
        <f>IF(COUNT(E150:O150)=0,"",MIN(E150:O150))</f>
        <v/>
      </c>
      <c r="Q150" s="15">
        <f>IF(COUNT(E150:O150)=0,"",LOOKUP(2,1/(E150:O150&lt;&gt;""),E150:O150))</f>
        <v/>
      </c>
      <c r="R150" s="17">
        <f>IF(P150="","",ROUND(P150*RESUMEN!$B$4,0))</f>
        <v/>
      </c>
      <c r="S150" s="18">
        <f>COUNT(E150:O150)</f>
        <v/>
      </c>
    </row>
    <row r="151">
      <c r="A151" s="13" t="inlineStr">
        <is>
          <t>80490861006349</t>
        </is>
      </c>
      <c r="B151" s="13" t="inlineStr">
        <is>
          <t>CAMISETA ALLS BLACK</t>
        </is>
      </c>
      <c r="C151" s="13" t="inlineStr">
        <is>
          <t>l</t>
        </is>
      </c>
      <c r="D151" s="14" t="inlineStr">
        <is>
          <t>Material: Cotton</t>
        </is>
      </c>
      <c r="E151" s="13" t="n"/>
      <c r="F151" s="15" t="n">
        <v>27</v>
      </c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6">
        <f>IF(COUNT(E151:O151)=0,"",MIN(E151:O151))</f>
        <v/>
      </c>
      <c r="Q151" s="15">
        <f>IF(COUNT(E151:O151)=0,"",LOOKUP(2,1/(E151:O151&lt;&gt;""),E151:O151))</f>
        <v/>
      </c>
      <c r="R151" s="17">
        <f>IF(P151="","",ROUND(P151*RESUMEN!$B$4,0))</f>
        <v/>
      </c>
      <c r="S151" s="18">
        <f>COUNT(E151:O151)</f>
        <v/>
      </c>
    </row>
    <row r="152">
      <c r="A152" s="13" t="inlineStr">
        <is>
          <t>60477551054605</t>
        </is>
      </c>
      <c r="B152" s="13" t="inlineStr">
        <is>
          <t>CAMISETA ALLS WHITE</t>
        </is>
      </c>
      <c r="C152" s="13" t="inlineStr">
        <is>
          <t>M</t>
        </is>
      </c>
      <c r="D152" s="14" t="inlineStr">
        <is>
          <t>Material: Cotton</t>
        </is>
      </c>
      <c r="E152" s="13" t="n"/>
      <c r="F152" s="15" t="n">
        <v>27</v>
      </c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6">
        <f>IF(COUNT(E152:O152)=0,"",MIN(E152:O152))</f>
        <v/>
      </c>
      <c r="Q152" s="15">
        <f>IF(COUNT(E152:O152)=0,"",LOOKUP(2,1/(E152:O152&lt;&gt;""),E152:O152))</f>
        <v/>
      </c>
      <c r="R152" s="17">
        <f>IF(P152="","",ROUND(P152*RESUMEN!$B$4,0))</f>
        <v/>
      </c>
      <c r="S152" s="18">
        <f>COUNT(E152:O152)</f>
        <v/>
      </c>
    </row>
    <row r="153">
      <c r="A153" s="13" t="inlineStr">
        <is>
          <t>48915671011501</t>
        </is>
      </c>
      <c r="B153" s="13" t="inlineStr">
        <is>
          <t>CAMISETA CD OBLIQUE BLACK</t>
        </is>
      </c>
      <c r="C153" s="13" t="inlineStr">
        <is>
          <t>L OVERSIZE</t>
        </is>
      </c>
      <c r="D153" s="14" t="inlineStr">
        <is>
          <t>Canvas</t>
        </is>
      </c>
      <c r="E153" s="13" t="n"/>
      <c r="F153" s="15" t="n">
        <v>10</v>
      </c>
      <c r="G153" s="13" t="n"/>
      <c r="H153" s="13" t="n"/>
      <c r="I153" s="13" t="n"/>
      <c r="J153" s="13" t="n"/>
      <c r="K153" s="13" t="n"/>
      <c r="L153" s="13" t="n"/>
      <c r="M153" s="15" t="n">
        <v>27</v>
      </c>
      <c r="N153" s="13" t="n"/>
      <c r="O153" s="13" t="n"/>
      <c r="P153" s="16">
        <f>IF(COUNT(E153:O153)=0,"",MIN(E153:O153))</f>
        <v/>
      </c>
      <c r="Q153" s="15">
        <f>IF(COUNT(E153:O153)=0,"",LOOKUP(2,1/(E153:O153&lt;&gt;""),E153:O153))</f>
        <v/>
      </c>
      <c r="R153" s="17">
        <f>IF(P153="","",ROUND(P153*RESUMEN!$B$4,0))</f>
        <v/>
      </c>
      <c r="S153" s="18">
        <f>COUNT(E153:O153)</f>
        <v/>
      </c>
    </row>
    <row r="154">
      <c r="A154" s="13" t="inlineStr">
        <is>
          <t>48915671144269</t>
        </is>
      </c>
      <c r="B154" s="13" t="inlineStr">
        <is>
          <t>CAMISETA CD OBLIQUE BLACK</t>
        </is>
      </c>
      <c r="C154" s="13" t="inlineStr">
        <is>
          <t>M OVERSIZE</t>
        </is>
      </c>
      <c r="D154" s="14" t="inlineStr">
        <is>
          <t>Material: Cotton</t>
        </is>
      </c>
      <c r="E154" s="13" t="n"/>
      <c r="F154" s="15" t="n">
        <v>27</v>
      </c>
      <c r="G154" s="13" t="n"/>
      <c r="H154" s="13" t="n"/>
      <c r="I154" s="13" t="n"/>
      <c r="J154" s="15" t="n">
        <v>27</v>
      </c>
      <c r="K154" s="15" t="n">
        <v>27</v>
      </c>
      <c r="L154" s="13" t="n"/>
      <c r="M154" s="15" t="n">
        <v>27</v>
      </c>
      <c r="N154" s="13" t="n"/>
      <c r="O154" s="13" t="n"/>
      <c r="P154" s="16">
        <f>IF(COUNT(E154:O154)=0,"",MIN(E154:O154))</f>
        <v/>
      </c>
      <c r="Q154" s="15">
        <f>IF(COUNT(E154:O154)=0,"",LOOKUP(2,1/(E154:O154&lt;&gt;""),E154:O154))</f>
        <v/>
      </c>
      <c r="R154" s="17">
        <f>IF(P154="","",ROUND(P154*RESUMEN!$B$4,0))</f>
        <v/>
      </c>
      <c r="S154" s="18">
        <f>COUNT(E154:O154)</f>
        <v/>
      </c>
    </row>
    <row r="155">
      <c r="A155" s="13" t="inlineStr">
        <is>
          <t>93098782175949</t>
        </is>
      </c>
      <c r="B155" s="13" t="inlineStr">
        <is>
          <t>CANGURERA LV HIGH RISE PM</t>
        </is>
      </c>
      <c r="C155" s="13" t="inlineStr">
        <is>
          <t>Default Title</t>
        </is>
      </c>
      <c r="D155" s="14" t="inlineStr">
        <is>
          <t>Stainless steel</t>
        </is>
      </c>
      <c r="E155" s="13" t="n"/>
      <c r="F155" s="13" t="n"/>
      <c r="G155" s="13" t="n"/>
      <c r="H155" s="13" t="n"/>
      <c r="I155" s="13" t="n"/>
      <c r="J155" s="15" t="n">
        <v>40</v>
      </c>
      <c r="K155" s="15" t="n">
        <v>40</v>
      </c>
      <c r="L155" s="13" t="n"/>
      <c r="M155" s="13" t="n"/>
      <c r="N155" s="15" t="n">
        <v>40</v>
      </c>
      <c r="O155" s="13" t="n"/>
      <c r="P155" s="16">
        <f>IF(COUNT(E155:O155)=0,"",MIN(E155:O155))</f>
        <v/>
      </c>
      <c r="Q155" s="15">
        <f>IF(COUNT(E155:O155)=0,"",LOOKUP(2,1/(E155:O155&lt;&gt;""),E155:O155))</f>
        <v/>
      </c>
      <c r="R155" s="17">
        <f>IF(P155="","",ROUND(P155*RESUMEN!$B$4,0))</f>
        <v/>
      </c>
      <c r="S155" s="18">
        <f>COUNT(E155:O155)</f>
        <v/>
      </c>
    </row>
    <row r="156">
      <c r="A156" s="13" t="inlineStr">
        <is>
          <t>99781783183821</t>
        </is>
      </c>
      <c r="B156" s="13" t="inlineStr">
        <is>
          <t>CARTERA C FLAP TRIOMPHIE</t>
        </is>
      </c>
      <c r="C156" s="13" t="inlineStr">
        <is>
          <t>Default Title</t>
        </is>
      </c>
      <c r="D156" s="14" t="inlineStr">
        <is>
          <t>Genuine leather</t>
        </is>
      </c>
      <c r="E156" s="13" t="n"/>
      <c r="F156" s="13" t="n"/>
      <c r="G156" s="13" t="n"/>
      <c r="H156" s="13" t="n"/>
      <c r="I156" s="13" t="n"/>
      <c r="J156" s="15" t="n">
        <v>22</v>
      </c>
      <c r="K156" s="15" t="n">
        <v>22</v>
      </c>
      <c r="L156" s="13" t="n"/>
      <c r="M156" s="13" t="n"/>
      <c r="N156" s="13" t="n"/>
      <c r="O156" s="15" t="n">
        <v>22</v>
      </c>
      <c r="P156" s="16">
        <f>IF(COUNT(E156:O156)=0,"",MIN(E156:O156))</f>
        <v/>
      </c>
      <c r="Q156" s="15">
        <f>IF(COUNT(E156:O156)=0,"",LOOKUP(2,1/(E156:O156&lt;&gt;""),E156:O156))</f>
        <v/>
      </c>
      <c r="R156" s="17">
        <f>IF(P156="","",ROUND(P156*RESUMEN!$B$4,0))</f>
        <v/>
      </c>
      <c r="S156" s="18">
        <f>COUNT(E156:O156)</f>
        <v/>
      </c>
    </row>
    <row r="157">
      <c r="A157" s="13" t="inlineStr">
        <is>
          <t>95662171066189</t>
        </is>
      </c>
      <c r="B157" s="13" t="inlineStr">
        <is>
          <t>CARTERA C TRIOMPHE CON SOLAPA</t>
        </is>
      </c>
      <c r="C157" s="13" t="inlineStr">
        <is>
          <t>Default Title</t>
        </is>
      </c>
      <c r="D157" s="14" t="inlineStr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5" t="n">
        <v>22</v>
      </c>
      <c r="O157" s="13" t="n"/>
      <c r="P157" s="16">
        <f>IF(COUNT(E157:O157)=0,"",MIN(E157:O157))</f>
        <v/>
      </c>
      <c r="Q157" s="15">
        <f>IF(COUNT(E157:O157)=0,"",LOOKUP(2,1/(E157:O157&lt;&gt;""),E157:O157))</f>
        <v/>
      </c>
      <c r="R157" s="17">
        <f>IF(P157="","",ROUND(P157*RESUMEN!$B$4,0))</f>
        <v/>
      </c>
      <c r="S157" s="18">
        <f>COUNT(E157:O157)</f>
        <v/>
      </c>
    </row>
    <row r="158">
      <c r="A158" s="13" t="inlineStr">
        <is>
          <t>24780442803917</t>
        </is>
      </c>
      <c r="B158" s="13" t="inlineStr">
        <is>
          <t>CARTERA CC CON SOLAPA BLACK</t>
        </is>
      </c>
      <c r="C158" s="13" t="inlineStr"/>
      <c r="D158" s="14" t="inlineStr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5" t="n">
        <v>22</v>
      </c>
      <c r="P158" s="16">
        <f>IF(COUNT(E158:O158)=0,"",MIN(E158:O158))</f>
        <v/>
      </c>
      <c r="Q158" s="15">
        <f>IF(COUNT(E158:O158)=0,"",LOOKUP(2,1/(E158:O158&lt;&gt;""),E158:O158))</f>
        <v/>
      </c>
      <c r="R158" s="17">
        <f>IF(P158="","",ROUND(P158*RESUMEN!$B$4,0))</f>
        <v/>
      </c>
      <c r="S158" s="18">
        <f>COUNT(E158:O158)</f>
        <v/>
      </c>
    </row>
    <row r="159">
      <c r="A159" s="13" t="inlineStr">
        <is>
          <t>29953901866893</t>
        </is>
      </c>
      <c r="B159" s="13" t="inlineStr">
        <is>
          <t>CARTERA CD ALARGADA CARO ORCHID</t>
        </is>
      </c>
      <c r="C159" s="13" t="inlineStr"/>
      <c r="D159" s="14" t="inlineStr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5" t="n">
        <v>22</v>
      </c>
      <c r="P159" s="16">
        <f>IF(COUNT(E159:O159)=0,"",MIN(E159:O159))</f>
        <v/>
      </c>
      <c r="Q159" s="15">
        <f>IF(COUNT(E159:O159)=0,"",LOOKUP(2,1/(E159:O159&lt;&gt;""),E159:O159))</f>
        <v/>
      </c>
      <c r="R159" s="17">
        <f>IF(P159="","",ROUND(P159*RESUMEN!$B$4,0))</f>
        <v/>
      </c>
      <c r="S159" s="18">
        <f>COUNT(E159:O159)</f>
        <v/>
      </c>
    </row>
    <row r="160">
      <c r="A160" s="13" t="inlineStr">
        <is>
          <t>29953901737517</t>
        </is>
      </c>
      <c r="B160" s="13" t="inlineStr">
        <is>
          <t>CARTERA CD CARO CANNAGE</t>
        </is>
      </c>
      <c r="C160" s="13" t="inlineStr"/>
      <c r="D160" s="14" t="inlineStr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5" t="n">
        <v>22</v>
      </c>
      <c r="P160" s="16">
        <f>IF(COUNT(E160:O160)=0,"",MIN(E160:O160))</f>
        <v/>
      </c>
      <c r="Q160" s="15">
        <f>IF(COUNT(E160:O160)=0,"",LOOKUP(2,1/(E160:O160&lt;&gt;""),E160:O160))</f>
        <v/>
      </c>
      <c r="R160" s="17">
        <f>IF(P160="","",ROUND(P160*RESUMEN!$B$4,0))</f>
        <v/>
      </c>
      <c r="S160" s="18">
        <f>COUNT(E160:O160)</f>
        <v/>
      </c>
    </row>
    <row r="161">
      <c r="A161" s="13" t="inlineStr">
        <is>
          <t>29953901549389</t>
        </is>
      </c>
      <c r="B161" s="13" t="inlineStr">
        <is>
          <t>CARTERA CD DAHLIA OBLIQUE</t>
        </is>
      </c>
      <c r="C161" s="13" t="inlineStr"/>
      <c r="D161" s="14" t="inlineStr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5" t="n">
        <v>22</v>
      </c>
      <c r="P161" s="16">
        <f>IF(COUNT(E161:O161)=0,"",MIN(E161:O161))</f>
        <v/>
      </c>
      <c r="Q161" s="15">
        <f>IF(COUNT(E161:O161)=0,"",LOOKUP(2,1/(E161:O161&lt;&gt;""),E161:O161))</f>
        <v/>
      </c>
      <c r="R161" s="17">
        <f>IF(P161="","",ROUND(P161*RESUMEN!$B$4,0))</f>
        <v/>
      </c>
      <c r="S161" s="18">
        <f>COUNT(E161:O161)</f>
        <v/>
      </c>
    </row>
    <row r="162">
      <c r="A162" s="13" t="inlineStr">
        <is>
          <t>29953901642605</t>
        </is>
      </c>
      <c r="B162" s="13" t="inlineStr">
        <is>
          <t>CARTERA CD LADY D GLYCINE</t>
        </is>
      </c>
      <c r="C162" s="13" t="inlineStr"/>
      <c r="D162" s="14" t="inlineStr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5" t="n">
        <v>22</v>
      </c>
      <c r="P162" s="16">
        <f>IF(COUNT(E162:O162)=0,"",MIN(E162:O162))</f>
        <v/>
      </c>
      <c r="Q162" s="15">
        <f>IF(COUNT(E162:O162)=0,"",LOOKUP(2,1/(E162:O162&lt;&gt;""),E162:O162))</f>
        <v/>
      </c>
      <c r="R162" s="17">
        <f>IF(P162="","",ROUND(P162*RESUMEN!$B$4,0))</f>
        <v/>
      </c>
      <c r="S162" s="18">
        <f>COUNT(E162:O162)</f>
        <v/>
      </c>
    </row>
    <row r="163">
      <c r="A163" s="13" t="inlineStr">
        <is>
          <t>33891171489101</t>
        </is>
      </c>
      <c r="B163" s="13" t="inlineStr">
        <is>
          <t>CARTERA CD LIBRO ALARGADA OBLIQUE</t>
        </is>
      </c>
      <c r="C163" s="13" t="inlineStr"/>
      <c r="D163" s="14" t="inlineStr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5" t="n">
        <v>22</v>
      </c>
      <c r="P163" s="16">
        <f>IF(COUNT(E163:O163)=0,"",MIN(E163:O163))</f>
        <v/>
      </c>
      <c r="Q163" s="15">
        <f>IF(COUNT(E163:O163)=0,"",LOOKUP(2,1/(E163:O163&lt;&gt;""),E163:O163))</f>
        <v/>
      </c>
      <c r="R163" s="17">
        <f>IF(P163="","",ROUND(P163*RESUMEN!$B$4,0))</f>
        <v/>
      </c>
      <c r="S163" s="18">
        <f>COUNT(E163:O163)</f>
        <v/>
      </c>
    </row>
    <row r="164">
      <c r="A164" s="13" t="inlineStr">
        <is>
          <t>33891171359725</t>
        </is>
      </c>
      <c r="B164" s="13" t="inlineStr">
        <is>
          <t>CARTERA CD LIBRO ALARGADA SADDLE</t>
        </is>
      </c>
      <c r="C164" s="13" t="inlineStr"/>
      <c r="D164" s="14" t="inlineStr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5" t="n">
        <v>22</v>
      </c>
      <c r="P164" s="16">
        <f>IF(COUNT(E164:O164)=0,"",MIN(E164:O164))</f>
        <v/>
      </c>
      <c r="Q164" s="15">
        <f>IF(COUNT(E164:O164)=0,"",LOOKUP(2,1/(E164:O164&lt;&gt;""),E164:O164))</f>
        <v/>
      </c>
      <c r="R164" s="17">
        <f>IF(P164="","",ROUND(P164*RESUMEN!$B$4,0))</f>
        <v/>
      </c>
      <c r="S164" s="18">
        <f>COUNT(E164:O164)</f>
        <v/>
      </c>
    </row>
    <row r="165">
      <c r="A165" s="13" t="inlineStr">
        <is>
          <t>29953902018861</t>
        </is>
      </c>
      <c r="B165" s="13" t="inlineStr">
        <is>
          <t>CARTERA CD LOTUS SADDLE</t>
        </is>
      </c>
      <c r="C165" s="13" t="inlineStr"/>
      <c r="D165" s="14" t="inlineStr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5" t="n">
        <v>22</v>
      </c>
      <c r="P165" s="16">
        <f>IF(COUNT(E165:O165)=0,"",MIN(E165:O165))</f>
        <v/>
      </c>
      <c r="Q165" s="15">
        <f>IF(COUNT(E165:O165)=0,"",LOOKUP(2,1/(E165:O165&lt;&gt;""),E165:O165))</f>
        <v/>
      </c>
      <c r="R165" s="17">
        <f>IF(P165="","",ROUND(P165*RESUMEN!$B$4,0))</f>
        <v/>
      </c>
      <c r="S165" s="18">
        <f>COUNT(E165:O165)</f>
        <v/>
      </c>
    </row>
    <row r="166">
      <c r="A166" s="13" t="inlineStr">
        <is>
          <t>29953901989485</t>
        </is>
      </c>
      <c r="B166" s="13" t="inlineStr">
        <is>
          <t>CARTERA CD LOTUS SADDLE OBLIQUE</t>
        </is>
      </c>
      <c r="C166" s="13" t="inlineStr"/>
      <c r="D166" s="14" t="inlineStr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5" t="n">
        <v>22</v>
      </c>
      <c r="P166" s="16">
        <f>IF(COUNT(E166:O166)=0,"",MIN(E166:O166))</f>
        <v/>
      </c>
      <c r="Q166" s="15">
        <f>IF(COUNT(E166:O166)=0,"",LOOKUP(2,1/(E166:O166&lt;&gt;""),E166:O166))</f>
        <v/>
      </c>
      <c r="R166" s="17">
        <f>IF(P166="","",ROUND(P166*RESUMEN!$B$4,0))</f>
        <v/>
      </c>
      <c r="S166" s="18">
        <f>COUNT(E166:O166)</f>
        <v/>
      </c>
    </row>
    <row r="167">
      <c r="A167" s="13" t="inlineStr">
        <is>
          <t>34163621960461</t>
        </is>
      </c>
      <c r="B167" s="13" t="inlineStr">
        <is>
          <t>CARTERA F BAGUETTE BLACK</t>
        </is>
      </c>
      <c r="C167" s="13" t="inlineStr">
        <is>
          <t>HIGH QUALITY</t>
        </is>
      </c>
      <c r="D167" s="14" t="inlineStr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5" t="n">
        <v>46</v>
      </c>
      <c r="N167" s="13" t="n"/>
      <c r="O167" s="13" t="n"/>
      <c r="P167" s="16">
        <f>IF(COUNT(E167:O167)=0,"",MIN(E167:O167))</f>
        <v/>
      </c>
      <c r="Q167" s="15">
        <f>IF(COUNT(E167:O167)=0,"",LOOKUP(2,1/(E167:O167&lt;&gt;""),E167:O167))</f>
        <v/>
      </c>
      <c r="R167" s="17">
        <f>IF(P167="","",ROUND(P167*RESUMEN!$B$4,0))</f>
        <v/>
      </c>
      <c r="S167" s="18">
        <f>COUNT(E167:O167)</f>
        <v/>
      </c>
    </row>
    <row r="168">
      <c r="A168" s="13" t="inlineStr">
        <is>
          <t>34163622017517</t>
        </is>
      </c>
      <c r="B168" s="13" t="inlineStr">
        <is>
          <t>CARTERA F BAGUETTE WHITE</t>
        </is>
      </c>
      <c r="C168" s="13" t="inlineStr">
        <is>
          <t>HIGH QUALITY</t>
        </is>
      </c>
      <c r="D168" s="14" t="inlineStr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5" t="n">
        <v>52</v>
      </c>
      <c r="N168" s="13" t="n"/>
      <c r="O168" s="13" t="n"/>
      <c r="P168" s="16">
        <f>IF(COUNT(E168:O168)=0,"",MIN(E168:O168))</f>
        <v/>
      </c>
      <c r="Q168" s="15">
        <f>IF(COUNT(E168:O168)=0,"",LOOKUP(2,1/(E168:O168&lt;&gt;""),E168:O168))</f>
        <v/>
      </c>
      <c r="R168" s="17">
        <f>IF(P168="","",ROUND(P168*RESUMEN!$B$4,0))</f>
        <v/>
      </c>
      <c r="S168" s="18">
        <f>COUNT(E168:O168)</f>
        <v/>
      </c>
    </row>
    <row r="169">
      <c r="A169" s="13" t="inlineStr">
        <is>
          <t>94758097365260</t>
        </is>
      </c>
      <c r="B169" s="13" t="inlineStr">
        <is>
          <t>CARTERA G SAINT-MARC GREY</t>
        </is>
      </c>
      <c r="C169" s="13" t="inlineStr">
        <is>
          <t>11cm x 8cm</t>
        </is>
      </c>
      <c r="D169" s="14" t="inlineStr">
        <is>
          <t>Genuine leather</t>
        </is>
      </c>
      <c r="E169" s="15" t="n">
        <v>15</v>
      </c>
      <c r="F169" s="13" t="n"/>
      <c r="G169" s="15" t="n">
        <v>15</v>
      </c>
      <c r="H169" s="13" t="n"/>
      <c r="I169" s="15" t="n">
        <v>15</v>
      </c>
      <c r="J169" s="15" t="n">
        <v>15</v>
      </c>
      <c r="K169" s="15" t="n">
        <v>15</v>
      </c>
      <c r="L169" s="15" t="n">
        <v>15</v>
      </c>
      <c r="M169" s="13" t="n"/>
      <c r="N169" s="15" t="n">
        <v>15</v>
      </c>
      <c r="O169" s="13" t="n"/>
      <c r="P169" s="16">
        <f>IF(COUNT(E169:O169)=0,"",MIN(E169:O169))</f>
        <v/>
      </c>
      <c r="Q169" s="15">
        <f>IF(COUNT(E169:O169)=0,"",LOOKUP(2,1/(E169:O169&lt;&gt;""),E169:O169))</f>
        <v/>
      </c>
      <c r="R169" s="17">
        <f>IF(P169="","",ROUND(P169*RESUMEN!$B$4,0))</f>
        <v/>
      </c>
      <c r="S169" s="18">
        <f>COUNT(E169:O169)</f>
        <v/>
      </c>
    </row>
    <row r="170">
      <c r="A170" s="13" t="inlineStr">
        <is>
          <t>99781782263469</t>
        </is>
      </c>
      <c r="B170" s="13" t="inlineStr">
        <is>
          <t>CARTERA GC ALARGADA</t>
        </is>
      </c>
      <c r="C170" s="13" t="inlineStr">
        <is>
          <t>Default Title</t>
        </is>
      </c>
      <c r="D170" s="14" t="inlineStr">
        <is>
          <t>Genuine leather</t>
        </is>
      </c>
      <c r="E170" s="13" t="n"/>
      <c r="F170" s="13" t="n"/>
      <c r="G170" s="13" t="n"/>
      <c r="H170" s="13" t="n"/>
      <c r="I170" s="13" t="n"/>
      <c r="J170" s="15" t="n">
        <v>17</v>
      </c>
      <c r="K170" s="15" t="n">
        <v>17</v>
      </c>
      <c r="L170" s="13" t="n"/>
      <c r="M170" s="13" t="n"/>
      <c r="N170" s="15" t="n">
        <v>17</v>
      </c>
      <c r="O170" s="13" t="n"/>
      <c r="P170" s="16">
        <f>IF(COUNT(E170:O170)=0,"",MIN(E170:O170))</f>
        <v/>
      </c>
      <c r="Q170" s="15">
        <f>IF(COUNT(E170:O170)=0,"",LOOKUP(2,1/(E170:O170&lt;&gt;""),E170:O170))</f>
        <v/>
      </c>
      <c r="R170" s="17">
        <f>IF(P170="","",ROUND(P170*RESUMEN!$B$4,0))</f>
        <v/>
      </c>
      <c r="S170" s="18">
        <f>COUNT(E170:O170)</f>
        <v/>
      </c>
    </row>
    <row r="171">
      <c r="A171" s="13" t="inlineStr">
        <is>
          <t>15565825325196</t>
        </is>
      </c>
      <c r="B171" s="13" t="inlineStr">
        <is>
          <t>CARTERA GC BI-FOLD</t>
        </is>
      </c>
      <c r="C171" s="13" t="inlineStr">
        <is>
          <t>9.5cm x 10cm</t>
        </is>
      </c>
      <c r="D171" s="14" t="inlineStr">
        <is>
          <t>Genuine leather</t>
        </is>
      </c>
      <c r="E171" s="13" t="n"/>
      <c r="F171" s="13" t="n"/>
      <c r="G171" s="13" t="n"/>
      <c r="H171" s="13" t="n"/>
      <c r="I171" s="13" t="n"/>
      <c r="J171" s="15" t="n">
        <v>18</v>
      </c>
      <c r="K171" s="15" t="n">
        <v>18</v>
      </c>
      <c r="L171" s="15" t="n">
        <v>18</v>
      </c>
      <c r="M171" s="13" t="n"/>
      <c r="N171" s="13" t="n"/>
      <c r="O171" s="13" t="n"/>
      <c r="P171" s="16">
        <f>IF(COUNT(E171:O171)=0,"",MIN(E171:O171))</f>
        <v/>
      </c>
      <c r="Q171" s="15">
        <f>IF(COUNT(E171:O171)=0,"",LOOKUP(2,1/(E171:O171&lt;&gt;""),E171:O171))</f>
        <v/>
      </c>
      <c r="R171" s="17">
        <f>IF(P171="","",ROUND(P171*RESUMEN!$B$4,0))</f>
        <v/>
      </c>
      <c r="S171" s="18">
        <f>COUNT(E171:O171)</f>
        <v/>
      </c>
    </row>
    <row r="172">
      <c r="A172" s="13" t="inlineStr">
        <is>
          <t>99781781554989</t>
        </is>
      </c>
      <c r="B172" s="13" t="inlineStr">
        <is>
          <t>CARTERA GC CADENA OPHIDIA</t>
        </is>
      </c>
      <c r="C172" s="13" t="inlineStr">
        <is>
          <t>Default Title</t>
        </is>
      </c>
      <c r="D172" s="14" t="inlineStr">
        <is>
          <t>Genuine leather</t>
        </is>
      </c>
      <c r="E172" s="13" t="n"/>
      <c r="F172" s="13" t="n"/>
      <c r="G172" s="13" t="n"/>
      <c r="H172" s="13" t="n"/>
      <c r="I172" s="13" t="n"/>
      <c r="J172" s="15" t="n">
        <v>27</v>
      </c>
      <c r="K172" s="15" t="n">
        <v>27</v>
      </c>
      <c r="L172" s="13" t="n"/>
      <c r="M172" s="15" t="n">
        <v>27</v>
      </c>
      <c r="N172" s="15" t="n">
        <v>27</v>
      </c>
      <c r="O172" s="13" t="n"/>
      <c r="P172" s="16">
        <f>IF(COUNT(E172:O172)=0,"",MIN(E172:O172))</f>
        <v/>
      </c>
      <c r="Q172" s="15">
        <f>IF(COUNT(E172:O172)=0,"",LOOKUP(2,1/(E172:O172&lt;&gt;""),E172:O172))</f>
        <v/>
      </c>
      <c r="R172" s="17">
        <f>IF(P172="","",ROUND(P172*RESUMEN!$B$4,0))</f>
        <v/>
      </c>
      <c r="S172" s="18">
        <f>COUNT(E172:O172)</f>
        <v/>
      </c>
    </row>
    <row r="173">
      <c r="A173" s="13" t="inlineStr">
        <is>
          <t>99781781282669</t>
        </is>
      </c>
      <c r="B173" s="13" t="inlineStr">
        <is>
          <t>CARTERA GC CONTINENTAL BICOLOR</t>
        </is>
      </c>
      <c r="C173" s="13" t="inlineStr">
        <is>
          <t>Default Title</t>
        </is>
      </c>
      <c r="D173" s="14" t="inlineStr">
        <is>
          <t>Genuine leather</t>
        </is>
      </c>
      <c r="E173" s="13" t="n"/>
      <c r="F173" s="13" t="n"/>
      <c r="G173" s="13" t="n"/>
      <c r="H173" s="13" t="n"/>
      <c r="I173" s="13" t="n"/>
      <c r="J173" s="15" t="n">
        <v>27</v>
      </c>
      <c r="K173" s="15" t="n">
        <v>27</v>
      </c>
      <c r="L173" s="13" t="n"/>
      <c r="M173" s="15" t="n">
        <v>27</v>
      </c>
      <c r="N173" s="15" t="n">
        <v>27</v>
      </c>
      <c r="O173" s="13" t="n"/>
      <c r="P173" s="16">
        <f>IF(COUNT(E173:O173)=0,"",MIN(E173:O173))</f>
        <v/>
      </c>
      <c r="Q173" s="15">
        <f>IF(COUNT(E173:O173)=0,"",LOOKUP(2,1/(E173:O173&lt;&gt;""),E173:O173))</f>
        <v/>
      </c>
      <c r="R173" s="17">
        <f>IF(P173="","",ROUND(P173*RESUMEN!$B$4,0))</f>
        <v/>
      </c>
      <c r="S173" s="18">
        <f>COUNT(E173:O173)</f>
        <v/>
      </c>
    </row>
    <row r="174">
      <c r="A174" s="13" t="inlineStr">
        <is>
          <t>99781781725613</t>
        </is>
      </c>
      <c r="B174" s="13" t="inlineStr">
        <is>
          <t>CARTERA GC LEATHER</t>
        </is>
      </c>
      <c r="C174" s="13" t="inlineStr">
        <is>
          <t>Default Title</t>
        </is>
      </c>
      <c r="D174" s="14" t="inlineStr">
        <is>
          <t>Genuine leather</t>
        </is>
      </c>
      <c r="E174" s="13" t="n"/>
      <c r="F174" s="13" t="n"/>
      <c r="G174" s="13" t="n"/>
      <c r="H174" s="13" t="n"/>
      <c r="I174" s="13" t="n"/>
      <c r="J174" s="15" t="n">
        <v>19</v>
      </c>
      <c r="K174" s="15" t="n">
        <v>19</v>
      </c>
      <c r="L174" s="13" t="n"/>
      <c r="M174" s="13" t="n"/>
      <c r="N174" s="15" t="n">
        <v>19</v>
      </c>
      <c r="O174" s="13" t="n"/>
      <c r="P174" s="16">
        <f>IF(COUNT(E174:O174)=0,"",MIN(E174:O174))</f>
        <v/>
      </c>
      <c r="Q174" s="15">
        <f>IF(COUNT(E174:O174)=0,"",LOOKUP(2,1/(E174:O174&lt;&gt;""),E174:O174))</f>
        <v/>
      </c>
      <c r="R174" s="17">
        <f>IF(P174="","",ROUND(P174*RESUMEN!$B$4,0))</f>
        <v/>
      </c>
      <c r="S174" s="18">
        <f>COUNT(E174:O174)</f>
        <v/>
      </c>
    </row>
    <row r="175">
      <c r="A175" s="13" t="inlineStr">
        <is>
          <t>43728085897228</t>
        </is>
      </c>
      <c r="B175" s="13" t="inlineStr">
        <is>
          <t>CARTERA GC OPHIDIA</t>
        </is>
      </c>
      <c r="C175" s="13" t="inlineStr">
        <is>
          <t>12cm de largo x 10cm de alto</t>
        </is>
      </c>
      <c r="D175" s="14" t="inlineStr">
        <is>
          <t>Genuine leather</t>
        </is>
      </c>
      <c r="E175" s="15" t="n">
        <v>18</v>
      </c>
      <c r="F175" s="13" t="n"/>
      <c r="G175" s="15" t="n">
        <v>18</v>
      </c>
      <c r="H175" s="15" t="n">
        <v>18</v>
      </c>
      <c r="I175" s="15" t="n">
        <v>18</v>
      </c>
      <c r="J175" s="13" t="n"/>
      <c r="K175" s="13" t="n"/>
      <c r="L175" s="13" t="n"/>
      <c r="M175" s="15" t="n">
        <v>18</v>
      </c>
      <c r="N175" s="13" t="n"/>
      <c r="O175" s="13" t="n"/>
      <c r="P175" s="16">
        <f>IF(COUNT(E175:O175)=0,"",MIN(E175:O175))</f>
        <v/>
      </c>
      <c r="Q175" s="15">
        <f>IF(COUNT(E175:O175)=0,"",LOOKUP(2,1/(E175:O175&lt;&gt;""),E175:O175))</f>
        <v/>
      </c>
      <c r="R175" s="17">
        <f>IF(P175="","",ROUND(P175*RESUMEN!$B$4,0))</f>
        <v/>
      </c>
      <c r="S175" s="18">
        <f>COUNT(E175:O175)</f>
        <v/>
      </c>
    </row>
    <row r="176">
      <c r="A176" s="13" t="inlineStr">
        <is>
          <t>99781781418829</t>
        </is>
      </c>
      <c r="B176" s="13" t="inlineStr">
        <is>
          <t>CARTERA GC PLEGABLE</t>
        </is>
      </c>
      <c r="C176" s="13" t="inlineStr">
        <is>
          <t>BLACK</t>
        </is>
      </c>
      <c r="D176" s="14" t="inlineStr">
        <is>
          <t>Genuine leather</t>
        </is>
      </c>
      <c r="E176" s="13" t="n"/>
      <c r="F176" s="13" t="n"/>
      <c r="G176" s="13" t="n"/>
      <c r="H176" s="13" t="n"/>
      <c r="I176" s="13" t="n"/>
      <c r="J176" s="15" t="n">
        <v>19</v>
      </c>
      <c r="K176" s="15" t="n">
        <v>19</v>
      </c>
      <c r="L176" s="13" t="n"/>
      <c r="M176" s="13" t="n"/>
      <c r="N176" s="13" t="n"/>
      <c r="O176" s="13" t="n"/>
      <c r="P176" s="16">
        <f>IF(COUNT(E176:O176)=0,"",MIN(E176:O176))</f>
        <v/>
      </c>
      <c r="Q176" s="15">
        <f>IF(COUNT(E176:O176)=0,"",LOOKUP(2,1/(E176:O176&lt;&gt;""),E176:O176))</f>
        <v/>
      </c>
      <c r="R176" s="17">
        <f>IF(P176="","",ROUND(P176*RESUMEN!$B$4,0))</f>
        <v/>
      </c>
      <c r="S176" s="18">
        <f>COUNT(E176:O176)</f>
        <v/>
      </c>
    </row>
    <row r="177">
      <c r="A177" s="13" t="inlineStr">
        <is>
          <t>33891171713389</t>
        </is>
      </c>
      <c r="B177" s="13" t="inlineStr">
        <is>
          <t>CARTERA H BEARN BLACK</t>
        </is>
      </c>
      <c r="C177" s="13" t="inlineStr"/>
      <c r="D177" s="14" t="inlineStr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5" t="n">
        <v>24</v>
      </c>
      <c r="P177" s="16">
        <f>IF(COUNT(E177:O177)=0,"",MIN(E177:O177))</f>
        <v/>
      </c>
      <c r="Q177" s="15">
        <f>IF(COUNT(E177:O177)=0,"",LOOKUP(2,1/(E177:O177&lt;&gt;""),E177:O177))</f>
        <v/>
      </c>
      <c r="R177" s="17">
        <f>IF(P177="","",ROUND(P177*RESUMEN!$B$4,0))</f>
        <v/>
      </c>
      <c r="S177" s="18">
        <f>COUNT(E177:O177)</f>
        <v/>
      </c>
    </row>
    <row r="178">
      <c r="A178" s="13" t="inlineStr">
        <is>
          <t>33891171584013</t>
        </is>
      </c>
      <c r="B178" s="13" t="inlineStr">
        <is>
          <t>CARTERA H SELLIER COMPACT</t>
        </is>
      </c>
      <c r="C178" s="13" t="inlineStr"/>
      <c r="D178" s="14" t="inlineStr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5" t="n">
        <v>24</v>
      </c>
      <c r="P178" s="16">
        <f>IF(COUNT(E178:O178)=0,"",MIN(E178:O178))</f>
        <v/>
      </c>
      <c r="Q178" s="15">
        <f>IF(COUNT(E178:O178)=0,"",LOOKUP(2,1/(E178:O178&lt;&gt;""),E178:O178))</f>
        <v/>
      </c>
      <c r="R178" s="17">
        <f>IF(P178="","",ROUND(P178*RESUMEN!$B$4,0))</f>
        <v/>
      </c>
      <c r="S178" s="18">
        <f>COUNT(E178:O178)</f>
        <v/>
      </c>
    </row>
    <row r="179">
      <c r="A179" s="13" t="inlineStr">
        <is>
          <t>33891171670445</t>
        </is>
      </c>
      <c r="B179" s="13" t="inlineStr">
        <is>
          <t>CARTERA H SELLIER COMPACT BLACK</t>
        </is>
      </c>
      <c r="C179" s="13" t="inlineStr"/>
      <c r="D179" s="14" t="inlineStr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5" t="n">
        <v>24</v>
      </c>
      <c r="P179" s="16">
        <f>IF(COUNT(E179:O179)=0,"",MIN(E179:O179))</f>
        <v/>
      </c>
      <c r="Q179" s="15">
        <f>IF(COUNT(E179:O179)=0,"",LOOKUP(2,1/(E179:O179&lt;&gt;""),E179:O179))</f>
        <v/>
      </c>
      <c r="R179" s="17">
        <f>IF(P179="","",ROUND(P179*RESUMEN!$B$4,0))</f>
        <v/>
      </c>
      <c r="S179" s="18">
        <f>COUNT(E179:O179)</f>
        <v/>
      </c>
    </row>
    <row r="180">
      <c r="A180" s="13" t="inlineStr">
        <is>
          <t>24780441141293</t>
        </is>
      </c>
      <c r="B180" s="13" t="inlineStr">
        <is>
          <t>CARTERA LV BLOOM H36</t>
        </is>
      </c>
      <c r="C180" s="13" t="inlineStr"/>
      <c r="D180" s="14" t="inlineStr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5" t="n">
        <v>16</v>
      </c>
      <c r="P180" s="16">
        <f>IF(COUNT(E180:O180)=0,"",MIN(E180:O180))</f>
        <v/>
      </c>
      <c r="Q180" s="15">
        <f>IF(COUNT(E180:O180)=0,"",LOOKUP(2,1/(E180:O180&lt;&gt;""),E180:O180))</f>
        <v/>
      </c>
      <c r="R180" s="17">
        <f>IF(P180="","",ROUND(P180*RESUMEN!$B$4,0))</f>
        <v/>
      </c>
      <c r="S180" s="18">
        <f>COUNT(E180:O180)</f>
        <v/>
      </c>
    </row>
    <row r="181">
      <c r="A181" s="13" t="inlineStr">
        <is>
          <t>24780441200045</t>
        </is>
      </c>
      <c r="B181" s="13" t="inlineStr">
        <is>
          <t>CARTERA LV EMILIE REVERSO</t>
        </is>
      </c>
      <c r="C181" s="13" t="inlineStr"/>
      <c r="D181" s="14" t="inlineStr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5" t="n">
        <v>16</v>
      </c>
      <c r="P181" s="16">
        <f>IF(COUNT(E181:O181)=0,"",MIN(E181:O181))</f>
        <v/>
      </c>
      <c r="Q181" s="15">
        <f>IF(COUNT(E181:O181)=0,"",LOOKUP(2,1/(E181:O181&lt;&gt;""),E181:O181))</f>
        <v/>
      </c>
      <c r="R181" s="17">
        <f>IF(P181="","",ROUND(P181*RESUMEN!$B$4,0))</f>
        <v/>
      </c>
      <c r="S181" s="18">
        <f>COUNT(E181:O181)</f>
        <v/>
      </c>
    </row>
    <row r="182">
      <c r="A182" s="13" t="inlineStr">
        <is>
          <t>93098781770861</t>
        </is>
      </c>
      <c r="B182" s="13" t="inlineStr">
        <is>
          <t>CARTERA LV EMPREINTE BLACK</t>
        </is>
      </c>
      <c r="C182" s="13" t="inlineStr">
        <is>
          <t>Default Title</t>
        </is>
      </c>
      <c r="D182" s="14" t="inlineStr">
        <is>
          <t>Bag body materia</t>
        </is>
      </c>
      <c r="E182" s="13" t="n"/>
      <c r="F182" s="13" t="n"/>
      <c r="G182" s="13" t="n"/>
      <c r="H182" s="13" t="n"/>
      <c r="I182" s="13" t="n"/>
      <c r="J182" s="15" t="n">
        <v>17</v>
      </c>
      <c r="K182" s="15" t="n">
        <v>17</v>
      </c>
      <c r="L182" s="13" t="n"/>
      <c r="M182" s="13" t="n"/>
      <c r="N182" s="15" t="n">
        <v>17</v>
      </c>
      <c r="O182" s="13" t="n"/>
      <c r="P182" s="16">
        <f>IF(COUNT(E182:O182)=0,"",MIN(E182:O182))</f>
        <v/>
      </c>
      <c r="Q182" s="15">
        <f>IF(COUNT(E182:O182)=0,"",LOOKUP(2,1/(E182:O182&lt;&gt;""),E182:O182))</f>
        <v/>
      </c>
      <c r="R182" s="17">
        <f>IF(P182="","",ROUND(P182*RESUMEN!$B$4,0))</f>
        <v/>
      </c>
      <c r="S182" s="18">
        <f>COUNT(E182:O182)</f>
        <v/>
      </c>
    </row>
    <row r="183">
      <c r="A183" s="13" t="inlineStr">
        <is>
          <t>93098781907021</t>
        </is>
      </c>
      <c r="B183" s="13" t="inlineStr">
        <is>
          <t>CARTERA LV GASTON MONOGRAM</t>
        </is>
      </c>
      <c r="C183" s="13" t="inlineStr">
        <is>
          <t>Default Title</t>
        </is>
      </c>
      <c r="D183" s="14" t="inlineStr">
        <is>
          <t>PVC materialBag</t>
        </is>
      </c>
      <c r="E183" s="13" t="n"/>
      <c r="F183" s="13" t="n"/>
      <c r="G183" s="13" t="n"/>
      <c r="H183" s="13" t="n"/>
      <c r="I183" s="13" t="n"/>
      <c r="J183" s="15" t="n">
        <v>45</v>
      </c>
      <c r="K183" s="15" t="n">
        <v>45</v>
      </c>
      <c r="L183" s="13" t="n"/>
      <c r="M183" s="13" t="n"/>
      <c r="N183" s="15" t="n">
        <v>45</v>
      </c>
      <c r="O183" s="13" t="n"/>
      <c r="P183" s="16">
        <f>IF(COUNT(E183:O183)=0,"",MIN(E183:O183))</f>
        <v/>
      </c>
      <c r="Q183" s="15">
        <f>IF(COUNT(E183:O183)=0,"",LOOKUP(2,1/(E183:O183&lt;&gt;""),E183:O183))</f>
        <v/>
      </c>
      <c r="R183" s="17">
        <f>IF(P183="","",ROUND(P183*RESUMEN!$B$4,0))</f>
        <v/>
      </c>
      <c r="S183" s="18">
        <f>COUNT(E183:O183)</f>
        <v/>
      </c>
    </row>
    <row r="184">
      <c r="A184" s="13" t="inlineStr">
        <is>
          <t>93098781603629</t>
        </is>
      </c>
      <c r="B184" s="13" t="inlineStr">
        <is>
          <t>CARTERA LV MULTIPLE MONOGRAM</t>
        </is>
      </c>
      <c r="C184" s="13" t="inlineStr">
        <is>
          <t>Default Title</t>
        </is>
      </c>
      <c r="D184" s="14" t="inlineStr">
        <is>
          <t>Bag body materia</t>
        </is>
      </c>
      <c r="E184" s="13" t="n"/>
      <c r="F184" s="13" t="n"/>
      <c r="G184" s="13" t="n"/>
      <c r="H184" s="13" t="n"/>
      <c r="I184" s="13" t="n"/>
      <c r="J184" s="15" t="n">
        <v>17</v>
      </c>
      <c r="K184" s="15" t="n">
        <v>17</v>
      </c>
      <c r="L184" s="13" t="n"/>
      <c r="M184" s="13" t="n"/>
      <c r="N184" s="13" t="n"/>
      <c r="O184" s="15" t="n">
        <v>17</v>
      </c>
      <c r="P184" s="16">
        <f>IF(COUNT(E184:O184)=0,"",MIN(E184:O184))</f>
        <v/>
      </c>
      <c r="Q184" s="15">
        <f>IF(COUNT(E184:O184)=0,"",LOOKUP(2,1/(E184:O184&lt;&gt;""),E184:O184))</f>
        <v/>
      </c>
      <c r="R184" s="17">
        <f>IF(P184="","",ROUND(P184*RESUMEN!$B$4,0))</f>
        <v/>
      </c>
      <c r="S184" s="18">
        <f>COUNT(E184:O184)</f>
        <v/>
      </c>
    </row>
    <row r="185">
      <c r="A185" s="13" t="inlineStr">
        <is>
          <t>24780441054861</t>
        </is>
      </c>
      <c r="B185" s="13" t="inlineStr">
        <is>
          <t>CARTERA LV VICTORINE MONOGRAM EMPREINTE</t>
        </is>
      </c>
      <c r="C185" s="13" t="inlineStr"/>
      <c r="D185" s="14" t="inlineStr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5" t="n">
        <v>16</v>
      </c>
      <c r="P185" s="16">
        <f>IF(COUNT(E185:O185)=0,"",MIN(E185:O185))</f>
        <v/>
      </c>
      <c r="Q185" s="15">
        <f>IF(COUNT(E185:O185)=0,"",LOOKUP(2,1/(E185:O185&lt;&gt;""),E185:O185))</f>
        <v/>
      </c>
      <c r="R185" s="17">
        <f>IF(P185="","",ROUND(P185*RESUMEN!$B$4,0))</f>
        <v/>
      </c>
      <c r="S185" s="18">
        <f>COUNT(E185:O185)</f>
        <v/>
      </c>
    </row>
    <row r="186">
      <c r="A186" s="13" t="inlineStr">
        <is>
          <t>93098783399149</t>
        </is>
      </c>
      <c r="B186" s="13" t="inlineStr">
        <is>
          <t>CARTERA LV ZIPPY CLIP</t>
        </is>
      </c>
      <c r="C186" s="13" t="inlineStr">
        <is>
          <t>Default Title</t>
        </is>
      </c>
      <c r="D186" s="14" t="inlineStr">
        <is>
          <t>Bag body materia</t>
        </is>
      </c>
      <c r="E186" s="13" t="n"/>
      <c r="F186" s="13" t="n"/>
      <c r="G186" s="13" t="n"/>
      <c r="H186" s="13" t="n"/>
      <c r="I186" s="13" t="n"/>
      <c r="J186" s="15" t="n">
        <v>14</v>
      </c>
      <c r="K186" s="15" t="n">
        <v>14</v>
      </c>
      <c r="L186" s="13" t="n"/>
      <c r="M186" s="13" t="n"/>
      <c r="N186" s="15" t="n">
        <v>14</v>
      </c>
      <c r="O186" s="13" t="n"/>
      <c r="P186" s="16">
        <f>IF(COUNT(E186:O186)=0,"",MIN(E186:O186))</f>
        <v/>
      </c>
      <c r="Q186" s="15">
        <f>IF(COUNT(E186:O186)=0,"",LOOKUP(2,1/(E186:O186&lt;&gt;""),E186:O186))</f>
        <v/>
      </c>
      <c r="R186" s="17">
        <f>IF(P186="","",ROUND(P186*RESUMEN!$B$4,0))</f>
        <v/>
      </c>
      <c r="S186" s="18">
        <f>COUNT(E186:O186)</f>
        <v/>
      </c>
    </row>
    <row r="187">
      <c r="A187" s="13" t="inlineStr">
        <is>
          <t>23794532108653</t>
        </is>
      </c>
      <c r="B187" s="13" t="inlineStr">
        <is>
          <t>CARTERA MM MATELASSE</t>
        </is>
      </c>
      <c r="C187" s="13" t="inlineStr">
        <is>
          <t>Default Title</t>
        </is>
      </c>
      <c r="D187" s="14" t="inlineStr">
        <is>
          <t>Genuine leather</t>
        </is>
      </c>
      <c r="E187" s="13" t="n"/>
      <c r="F187" s="13" t="n"/>
      <c r="G187" s="13" t="n"/>
      <c r="H187" s="13" t="n"/>
      <c r="I187" s="13" t="n"/>
      <c r="J187" s="15" t="n">
        <v>22</v>
      </c>
      <c r="K187" s="15" t="n">
        <v>22</v>
      </c>
      <c r="L187" s="13" t="n"/>
      <c r="M187" s="13" t="n"/>
      <c r="N187" s="15" t="n">
        <v>22</v>
      </c>
      <c r="O187" s="13" t="n"/>
      <c r="P187" s="16">
        <f>IF(COUNT(E187:O187)=0,"",MIN(E187:O187))</f>
        <v/>
      </c>
      <c r="Q187" s="15">
        <f>IF(COUNT(E187:O187)=0,"",LOOKUP(2,1/(E187:O187&lt;&gt;""),E187:O187))</f>
        <v/>
      </c>
      <c r="R187" s="17">
        <f>IF(P187="","",ROUND(P187*RESUMEN!$B$4,0))</f>
        <v/>
      </c>
      <c r="S187" s="18">
        <f>COUNT(E187:O187)</f>
        <v/>
      </c>
    </row>
    <row r="188">
      <c r="A188" s="13" t="inlineStr">
        <is>
          <t>43794532275885</t>
        </is>
      </c>
      <c r="B188" s="13" t="inlineStr">
        <is>
          <t>CARTERA MM NAPA BLACK</t>
        </is>
      </c>
      <c r="C188" s="13" t="inlineStr">
        <is>
          <t>Default Title</t>
        </is>
      </c>
      <c r="D188" s="14" t="inlineStr">
        <is>
          <t>Genuine leather</t>
        </is>
      </c>
      <c r="E188" s="13" t="n"/>
      <c r="F188" s="13" t="n"/>
      <c r="G188" s="13" t="n"/>
      <c r="H188" s="13" t="n"/>
      <c r="I188" s="13" t="n"/>
      <c r="J188" s="15" t="n">
        <v>23</v>
      </c>
      <c r="K188" s="15" t="n">
        <v>23</v>
      </c>
      <c r="L188" s="13" t="n"/>
      <c r="M188" s="13" t="n"/>
      <c r="N188" s="15" t="n">
        <v>23</v>
      </c>
      <c r="O188" s="13" t="n"/>
      <c r="P188" s="16">
        <f>IF(COUNT(E188:O188)=0,"",MIN(E188:O188))</f>
        <v/>
      </c>
      <c r="Q188" s="15">
        <f>IF(COUNT(E188:O188)=0,"",LOOKUP(2,1/(E188:O188&lt;&gt;""),E188:O188))</f>
        <v/>
      </c>
      <c r="R188" s="17">
        <f>IF(P188="","",ROUND(P188*RESUMEN!$B$4,0))</f>
        <v/>
      </c>
      <c r="S188" s="18">
        <f>COUNT(E188:O188)</f>
        <v/>
      </c>
    </row>
    <row r="189">
      <c r="A189" s="13" t="inlineStr">
        <is>
          <t>13794532310349</t>
        </is>
      </c>
      <c r="B189" s="13" t="inlineStr">
        <is>
          <t>CARTERA MM NAPA PINK</t>
        </is>
      </c>
      <c r="C189" s="13" t="inlineStr">
        <is>
          <t>Default Title</t>
        </is>
      </c>
      <c r="D189" s="14" t="inlineStr">
        <is>
          <t>Genuine leather</t>
        </is>
      </c>
      <c r="E189" s="13" t="n"/>
      <c r="F189" s="13" t="n"/>
      <c r="G189" s="13" t="n"/>
      <c r="H189" s="13" t="n"/>
      <c r="I189" s="13" t="n"/>
      <c r="J189" s="15" t="n">
        <v>23</v>
      </c>
      <c r="K189" s="15" t="n">
        <v>23</v>
      </c>
      <c r="L189" s="13" t="n"/>
      <c r="M189" s="13" t="n"/>
      <c r="N189" s="15" t="n">
        <v>23</v>
      </c>
      <c r="O189" s="15" t="n">
        <v>23</v>
      </c>
      <c r="P189" s="16">
        <f>IF(COUNT(E189:O189)=0,"",MIN(E189:O189))</f>
        <v/>
      </c>
      <c r="Q189" s="15">
        <f>IF(COUNT(E189:O189)=0,"",LOOKUP(2,1/(E189:O189&lt;&gt;""),E189:O189))</f>
        <v/>
      </c>
      <c r="R189" s="17">
        <f>IF(P189="","",ROUND(P189*RESUMEN!$B$4,0))</f>
        <v/>
      </c>
      <c r="S189" s="18">
        <f>COUNT(E189:O189)</f>
        <v/>
      </c>
    </row>
    <row r="190">
      <c r="A190" s="13" t="inlineStr">
        <is>
          <t>43794531982605</t>
        </is>
      </c>
      <c r="B190" s="13" t="inlineStr">
        <is>
          <t>CARTERA PR LOGO TRIANGULAR</t>
        </is>
      </c>
      <c r="C190" s="13" t="inlineStr">
        <is>
          <t>Default Title</t>
        </is>
      </c>
      <c r="D190" s="14" t="inlineStr">
        <is>
          <t>Genuine leather</t>
        </is>
      </c>
      <c r="E190" s="13" t="n"/>
      <c r="F190" s="13" t="n"/>
      <c r="G190" s="13" t="n"/>
      <c r="H190" s="13" t="n"/>
      <c r="I190" s="13" t="n"/>
      <c r="J190" s="15" t="n">
        <v>23</v>
      </c>
      <c r="K190" s="15" t="n">
        <v>23</v>
      </c>
      <c r="L190" s="13" t="n"/>
      <c r="M190" s="13" t="n"/>
      <c r="N190" s="15" t="n">
        <v>23</v>
      </c>
      <c r="O190" s="13" t="n"/>
      <c r="P190" s="16">
        <f>IF(COUNT(E190:O190)=0,"",MIN(E190:O190))</f>
        <v/>
      </c>
      <c r="Q190" s="15">
        <f>IF(COUNT(E190:O190)=0,"",LOOKUP(2,1/(E190:O190&lt;&gt;""),E190:O190))</f>
        <v/>
      </c>
      <c r="R190" s="17">
        <f>IF(P190="","",ROUND(P190*RESUMEN!$B$4,0))</f>
        <v/>
      </c>
      <c r="S190" s="18">
        <f>COUNT(E190:O190)</f>
        <v/>
      </c>
    </row>
    <row r="191">
      <c r="A191" s="13" t="inlineStr">
        <is>
          <t>93794531735053</t>
        </is>
      </c>
      <c r="B191" s="13" t="inlineStr">
        <is>
          <t>CARTERA PR SAFFIANO</t>
        </is>
      </c>
      <c r="C191" s="13" t="inlineStr">
        <is>
          <t>Default Title</t>
        </is>
      </c>
      <c r="D191" s="14" t="inlineStr">
        <is>
          <t>Genuine leather</t>
        </is>
      </c>
      <c r="E191" s="13" t="n"/>
      <c r="F191" s="13" t="n"/>
      <c r="G191" s="13" t="n"/>
      <c r="H191" s="13" t="n"/>
      <c r="I191" s="13" t="n"/>
      <c r="J191" s="15" t="n">
        <v>19</v>
      </c>
      <c r="K191" s="15" t="n">
        <v>19</v>
      </c>
      <c r="L191" s="13" t="n"/>
      <c r="M191" s="13" t="n"/>
      <c r="N191" s="13" t="n"/>
      <c r="O191" s="15" t="n">
        <v>19</v>
      </c>
      <c r="P191" s="16">
        <f>IF(COUNT(E191:O191)=0,"",MIN(E191:O191))</f>
        <v/>
      </c>
      <c r="Q191" s="15">
        <f>IF(COUNT(E191:O191)=0,"",LOOKUP(2,1/(E191:O191&lt;&gt;""),E191:O191))</f>
        <v/>
      </c>
      <c r="R191" s="17">
        <f>IF(P191="","",ROUND(P191*RESUMEN!$B$4,0))</f>
        <v/>
      </c>
      <c r="S191" s="18">
        <f>COUNT(E191:O191)</f>
        <v/>
      </c>
    </row>
    <row r="192">
      <c r="A192" s="13" t="inlineStr">
        <is>
          <t>13794531858861</t>
        </is>
      </c>
      <c r="B192" s="13" t="inlineStr">
        <is>
          <t>CARTERA PR SAFFIANO DARKBLUE</t>
        </is>
      </c>
      <c r="C192" s="13" t="inlineStr">
        <is>
          <t>BLUE</t>
        </is>
      </c>
      <c r="D192" s="14" t="inlineStr">
        <is>
          <t>Genuine leather</t>
        </is>
      </c>
      <c r="E192" s="13" t="n"/>
      <c r="F192" s="13" t="n"/>
      <c r="G192" s="13" t="n"/>
      <c r="H192" s="13" t="n"/>
      <c r="I192" s="13" t="n"/>
      <c r="J192" s="15" t="n">
        <v>19</v>
      </c>
      <c r="K192" s="15" t="n">
        <v>19</v>
      </c>
      <c r="L192" s="13" t="n"/>
      <c r="M192" s="13" t="n"/>
      <c r="N192" s="13" t="n"/>
      <c r="O192" s="13" t="n"/>
      <c r="P192" s="16">
        <f>IF(COUNT(E192:O192)=0,"",MIN(E192:O192))</f>
        <v/>
      </c>
      <c r="Q192" s="15">
        <f>IF(COUNT(E192:O192)=0,"",LOOKUP(2,1/(E192:O192&lt;&gt;""),E192:O192))</f>
        <v/>
      </c>
      <c r="R192" s="17">
        <f>IF(P192="","",ROUND(P192*RESUMEN!$B$4,0))</f>
        <v/>
      </c>
      <c r="S192" s="18">
        <f>COUNT(E192:O192)</f>
        <v/>
      </c>
    </row>
    <row r="193">
      <c r="A193" s="13" t="inlineStr">
        <is>
          <t>52394691183085</t>
        </is>
      </c>
      <c r="B193" s="13" t="inlineStr">
        <is>
          <t>CARTERA ZIPPY LV BROWN</t>
        </is>
      </c>
      <c r="C193" s="13" t="inlineStr">
        <is>
          <t>Default Title</t>
        </is>
      </c>
      <c r="D193" s="14" t="inlineStr"/>
      <c r="E193" s="13" t="n"/>
      <c r="F193" s="13" t="n"/>
      <c r="G193" s="13" t="n"/>
      <c r="H193" s="13" t="n"/>
      <c r="I193" s="15" t="n">
        <v>15</v>
      </c>
      <c r="J193" s="13" t="n"/>
      <c r="K193" s="13" t="n"/>
      <c r="L193" s="13" t="n"/>
      <c r="M193" s="13" t="n"/>
      <c r="N193" s="13" t="n"/>
      <c r="O193" s="13" t="n"/>
      <c r="P193" s="16">
        <f>IF(COUNT(E193:O193)=0,"",MIN(E193:O193))</f>
        <v/>
      </c>
      <c r="Q193" s="15">
        <f>IF(COUNT(E193:O193)=0,"",LOOKUP(2,1/(E193:O193&lt;&gt;""),E193:O193))</f>
        <v/>
      </c>
      <c r="R193" s="17">
        <f>IF(P193="","",ROUND(P193*RESUMEN!$B$4,0))</f>
        <v/>
      </c>
      <c r="S193" s="18">
        <f>COUNT(E193:O193)</f>
        <v/>
      </c>
    </row>
    <row r="194">
      <c r="A194" s="13" t="inlineStr">
        <is>
          <t>52394691183086</t>
        </is>
      </c>
      <c r="B194" s="13" t="inlineStr">
        <is>
          <t>CARTERA ZIPPY LV BROWN</t>
        </is>
      </c>
      <c r="C194" s="13" t="inlineStr">
        <is>
          <t>HIGH QUALITY</t>
        </is>
      </c>
      <c r="D194" s="14" t="inlineStr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5" t="n">
        <v>13</v>
      </c>
      <c r="O194" s="13" t="n"/>
      <c r="P194" s="16">
        <f>IF(COUNT(E194:O194)=0,"",MIN(E194:O194))</f>
        <v/>
      </c>
      <c r="Q194" s="15">
        <f>IF(COUNT(E194:O194)=0,"",LOOKUP(2,1/(E194:O194&lt;&gt;""),E194:O194))</f>
        <v/>
      </c>
      <c r="R194" s="17">
        <f>IF(P194="","",ROUND(P194*RESUMEN!$B$4,0))</f>
        <v/>
      </c>
      <c r="S194" s="18">
        <f>COUNT(E194:O194)</f>
        <v/>
      </c>
    </row>
    <row r="195">
      <c r="A195" s="13" t="inlineStr">
        <is>
          <t>79534521342989</t>
        </is>
      </c>
      <c r="B195" s="13" t="inlineStr">
        <is>
          <t>CHAMARRA MM BLACK</t>
        </is>
      </c>
      <c r="C195" s="13" t="inlineStr">
        <is>
          <t>M</t>
        </is>
      </c>
      <c r="D195" s="14" t="inlineStr"/>
      <c r="E195" s="13" t="n"/>
      <c r="F195" s="13" t="n"/>
      <c r="G195" s="15" t="n">
        <v>58</v>
      </c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6">
        <f>IF(COUNT(E195:O195)=0,"",MIN(E195:O195))</f>
        <v/>
      </c>
      <c r="Q195" s="15">
        <f>IF(COUNT(E195:O195)=0,"",LOOKUP(2,1/(E195:O195&lt;&gt;""),E195:O195))</f>
        <v/>
      </c>
      <c r="R195" s="17">
        <f>IF(P195="","",ROUND(P195*RESUMEN!$B$4,0))</f>
        <v/>
      </c>
      <c r="S195" s="18">
        <f>COUNT(E195:O195)</f>
        <v/>
      </c>
    </row>
    <row r="196">
      <c r="A196" s="13" t="inlineStr">
        <is>
          <t>99781782880429</t>
        </is>
      </c>
      <c r="B196" s="13" t="inlineStr">
        <is>
          <t>CINTO C HERITAGE</t>
        </is>
      </c>
      <c r="C196" s="13" t="inlineStr">
        <is>
          <t>100CM</t>
        </is>
      </c>
      <c r="D196" s="14" t="inlineStr">
        <is>
          <t>Genuine leather</t>
        </is>
      </c>
      <c r="E196" s="13" t="n"/>
      <c r="F196" s="13" t="n"/>
      <c r="G196" s="13" t="n"/>
      <c r="H196" s="13" t="n"/>
      <c r="I196" s="13" t="n"/>
      <c r="J196" s="15" t="n">
        <v>45</v>
      </c>
      <c r="K196" s="15" t="n">
        <v>45</v>
      </c>
      <c r="L196" s="13" t="n"/>
      <c r="M196" s="13" t="n"/>
      <c r="N196" s="15" t="n">
        <v>45</v>
      </c>
      <c r="O196" s="13" t="n"/>
      <c r="P196" s="16">
        <f>IF(COUNT(E196:O196)=0,"",MIN(E196:O196))</f>
        <v/>
      </c>
      <c r="Q196" s="15">
        <f>IF(COUNT(E196:O196)=0,"",LOOKUP(2,1/(E196:O196&lt;&gt;""),E196:O196))</f>
        <v/>
      </c>
      <c r="R196" s="17">
        <f>IF(P196="","",ROUND(P196*RESUMEN!$B$4,0))</f>
        <v/>
      </c>
      <c r="S196" s="18">
        <f>COUNT(E196:O196)</f>
        <v/>
      </c>
    </row>
    <row r="197">
      <c r="A197" s="13" t="inlineStr">
        <is>
          <t>99781782675341</t>
        </is>
      </c>
      <c r="B197" s="13" t="inlineStr">
        <is>
          <t>CINTO C TRIOMPHIE BUCKLE</t>
        </is>
      </c>
      <c r="C197" s="13" t="inlineStr">
        <is>
          <t>100CM</t>
        </is>
      </c>
      <c r="D197" s="14" t="inlineStr">
        <is>
          <t>Genuine leather</t>
        </is>
      </c>
      <c r="E197" s="13" t="n"/>
      <c r="F197" s="13" t="n"/>
      <c r="G197" s="13" t="n"/>
      <c r="H197" s="13" t="n"/>
      <c r="I197" s="13" t="n"/>
      <c r="J197" s="15" t="n">
        <v>45</v>
      </c>
      <c r="K197" s="15" t="n">
        <v>45</v>
      </c>
      <c r="L197" s="13" t="n"/>
      <c r="M197" s="13" t="n"/>
      <c r="N197" s="15" t="n">
        <v>45</v>
      </c>
      <c r="O197" s="13" t="n"/>
      <c r="P197" s="16">
        <f>IF(COUNT(E197:O197)=0,"",MIN(E197:O197))</f>
        <v/>
      </c>
      <c r="Q197" s="15">
        <f>IF(COUNT(E197:O197)=0,"",LOOKUP(2,1/(E197:O197&lt;&gt;""),E197:O197))</f>
        <v/>
      </c>
      <c r="R197" s="17">
        <f>IF(P197="","",ROUND(P197*RESUMEN!$B$4,0))</f>
        <v/>
      </c>
      <c r="S197" s="18">
        <f>COUNT(E197:O197)</f>
        <v/>
      </c>
    </row>
    <row r="198">
      <c r="A198" s="13" t="inlineStr">
        <is>
          <t>99781782982125</t>
        </is>
      </c>
      <c r="B198" s="13" t="inlineStr">
        <is>
          <t>CINTO C VIVIENNE 25</t>
        </is>
      </c>
      <c r="C198" s="13" t="inlineStr">
        <is>
          <t>100cm</t>
        </is>
      </c>
      <c r="D198" s="14" t="inlineStr">
        <is>
          <t>Genuine leather</t>
        </is>
      </c>
      <c r="E198" s="13" t="n"/>
      <c r="F198" s="13" t="n"/>
      <c r="G198" s="13" t="n"/>
      <c r="H198" s="13" t="n"/>
      <c r="I198" s="13" t="n"/>
      <c r="J198" s="15" t="n">
        <v>45</v>
      </c>
      <c r="K198" s="15" t="n">
        <v>45</v>
      </c>
      <c r="L198" s="13" t="n"/>
      <c r="M198" s="15" t="n">
        <v>45</v>
      </c>
      <c r="N198" s="13" t="n"/>
      <c r="O198" s="15" t="n">
        <v>45</v>
      </c>
      <c r="P198" s="16">
        <f>IF(COUNT(E198:O198)=0,"",MIN(E198:O198))</f>
        <v/>
      </c>
      <c r="Q198" s="15">
        <f>IF(COUNT(E198:O198)=0,"",LOOKUP(2,1/(E198:O198&lt;&gt;""),E198:O198))</f>
        <v/>
      </c>
      <c r="R198" s="17">
        <f>IF(P198="","",ROUND(P198*RESUMEN!$B$4,0))</f>
        <v/>
      </c>
      <c r="S198" s="18">
        <f>COUNT(E198:O198)</f>
        <v/>
      </c>
    </row>
    <row r="199">
      <c r="A199" s="13" t="inlineStr">
        <is>
          <t>99781783009805</t>
        </is>
      </c>
      <c r="B199" s="13" t="inlineStr">
        <is>
          <t>CINTO C VIVIENNE 25 BLACK</t>
        </is>
      </c>
      <c r="C199" s="13" t="inlineStr">
        <is>
          <t>100cm</t>
        </is>
      </c>
      <c r="D199" s="14" t="inlineStr">
        <is>
          <t>Genuine leather</t>
        </is>
      </c>
      <c r="E199" s="13" t="n"/>
      <c r="F199" s="13" t="n"/>
      <c r="G199" s="13" t="n"/>
      <c r="H199" s="13" t="n"/>
      <c r="I199" s="13" t="n"/>
      <c r="J199" s="15" t="n">
        <v>45</v>
      </c>
      <c r="K199" s="15" t="n">
        <v>45</v>
      </c>
      <c r="L199" s="13" t="n"/>
      <c r="M199" s="15" t="n">
        <v>45</v>
      </c>
      <c r="N199" s="13" t="n"/>
      <c r="O199" s="15" t="n">
        <v>45</v>
      </c>
      <c r="P199" s="16">
        <f>IF(COUNT(E199:O199)=0,"",MIN(E199:O199))</f>
        <v/>
      </c>
      <c r="Q199" s="15">
        <f>IF(COUNT(E199:O199)=0,"",LOOKUP(2,1/(E199:O199&lt;&gt;""),E199:O199))</f>
        <v/>
      </c>
      <c r="R199" s="17">
        <f>IF(P199="","",ROUND(P199*RESUMEN!$B$4,0))</f>
        <v/>
      </c>
      <c r="S199" s="18">
        <f>COUNT(E199:O199)</f>
        <v/>
      </c>
    </row>
    <row r="200">
      <c r="A200" s="13" t="inlineStr">
        <is>
          <t>24780443453517</t>
        </is>
      </c>
      <c r="B200" s="13" t="inlineStr">
        <is>
          <t>CINTO CC CHAIN</t>
        </is>
      </c>
      <c r="C200" s="13" t="inlineStr">
        <is>
          <t>100cm</t>
        </is>
      </c>
      <c r="D200" s="14" t="inlineStr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5" t="n">
        <v>65</v>
      </c>
      <c r="P200" s="16">
        <f>IF(COUNT(E200:O200)=0,"",MIN(E200:O200))</f>
        <v/>
      </c>
      <c r="Q200" s="15">
        <f>IF(COUNT(E200:O200)=0,"",LOOKUP(2,1/(E200:O200&lt;&gt;""),E200:O200))</f>
        <v/>
      </c>
      <c r="R200" s="17">
        <f>IF(P200="","",ROUND(P200*RESUMEN!$B$4,0))</f>
        <v/>
      </c>
      <c r="S200" s="18">
        <f>COUNT(E200:O200)</f>
        <v/>
      </c>
    </row>
    <row r="201">
      <c r="A201" s="13" t="inlineStr">
        <is>
          <t>24780443529645</t>
        </is>
      </c>
      <c r="B201" s="13" t="inlineStr">
        <is>
          <t>CINTO CC CLASSIC</t>
        </is>
      </c>
      <c r="C201" s="13" t="inlineStr">
        <is>
          <t>100cm</t>
        </is>
      </c>
      <c r="D201" s="14" t="inlineStr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5" t="n">
        <v>45</v>
      </c>
      <c r="P201" s="16">
        <f>IF(COUNT(E201:O201)=0,"",MIN(E201:O201))</f>
        <v/>
      </c>
      <c r="Q201" s="15">
        <f>IF(COUNT(E201:O201)=0,"",LOOKUP(2,1/(E201:O201&lt;&gt;""),E201:O201))</f>
        <v/>
      </c>
      <c r="R201" s="17">
        <f>IF(P201="","",ROUND(P201*RESUMEN!$B$4,0))</f>
        <v/>
      </c>
      <c r="S201" s="18">
        <f>COUNT(E201:O201)</f>
        <v/>
      </c>
    </row>
    <row r="202">
      <c r="A202" s="13" t="inlineStr">
        <is>
          <t>24780443296461</t>
        </is>
      </c>
      <c r="B202" s="13" t="inlineStr">
        <is>
          <t>CINTO CC LEATHER</t>
        </is>
      </c>
      <c r="C202" s="13" t="inlineStr">
        <is>
          <t>100cm</t>
        </is>
      </c>
      <c r="D202" s="14" t="inlineStr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5" t="n">
        <v>48</v>
      </c>
      <c r="P202" s="16">
        <f>IF(COUNT(E202:O202)=0,"",MIN(E202:O202))</f>
        <v/>
      </c>
      <c r="Q202" s="15">
        <f>IF(COUNT(E202:O202)=0,"",LOOKUP(2,1/(E202:O202&lt;&gt;""),E202:O202))</f>
        <v/>
      </c>
      <c r="R202" s="17">
        <f>IF(P202="","",ROUND(P202*RESUMEN!$B$4,0))</f>
        <v/>
      </c>
      <c r="S202" s="18">
        <f>COUNT(E202:O202)</f>
        <v/>
      </c>
    </row>
    <row r="203">
      <c r="A203" s="13" t="inlineStr">
        <is>
          <t>24780443136013</t>
        </is>
      </c>
      <c r="B203" s="13" t="inlineStr">
        <is>
          <t>CINTO CC LEATHER BLACK</t>
        </is>
      </c>
      <c r="C203" s="13" t="inlineStr">
        <is>
          <t>100cm</t>
        </is>
      </c>
      <c r="D203" s="14" t="inlineStr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5" t="n">
        <v>48</v>
      </c>
      <c r="P203" s="16">
        <f>IF(COUNT(E203:O203)=0,"",MIN(E203:O203))</f>
        <v/>
      </c>
      <c r="Q203" s="15">
        <f>IF(COUNT(E203:O203)=0,"",LOOKUP(2,1/(E203:O203&lt;&gt;""),E203:O203))</f>
        <v/>
      </c>
      <c r="R203" s="17">
        <f>IF(P203="","",ROUND(P203*RESUMEN!$B$4,0))</f>
        <v/>
      </c>
      <c r="S203" s="18">
        <f>COUNT(E203:O203)</f>
        <v/>
      </c>
    </row>
    <row r="204">
      <c r="A204" s="13" t="inlineStr">
        <is>
          <t>24780443358605</t>
        </is>
      </c>
      <c r="B204" s="13" t="inlineStr">
        <is>
          <t>CINTO CC SLINGBACK</t>
        </is>
      </c>
      <c r="C204" s="13" t="inlineStr">
        <is>
          <t>100cm</t>
        </is>
      </c>
      <c r="D204" s="14" t="inlineStr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5" t="n">
        <v>48</v>
      </c>
      <c r="P204" s="16">
        <f>IF(COUNT(E204:O204)=0,"",MIN(E204:O204))</f>
        <v/>
      </c>
      <c r="Q204" s="15">
        <f>IF(COUNT(E204:O204)=0,"",LOOKUP(2,1/(E204:O204&lt;&gt;""),E204:O204))</f>
        <v/>
      </c>
      <c r="R204" s="17">
        <f>IF(P204="","",ROUND(P204*RESUMEN!$B$4,0))</f>
        <v/>
      </c>
      <c r="S204" s="18">
        <f>COUNT(E204:O204)</f>
        <v/>
      </c>
    </row>
    <row r="205">
      <c r="A205" s="13" t="inlineStr">
        <is>
          <t>29953901285005</t>
        </is>
      </c>
      <c r="B205" s="13" t="inlineStr">
        <is>
          <t>CINTO CD MEDALLON</t>
        </is>
      </c>
      <c r="C205" s="13" t="inlineStr">
        <is>
          <t>100cm</t>
        </is>
      </c>
      <c r="D205" s="14" t="inlineStr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5" t="n">
        <v>53</v>
      </c>
      <c r="P205" s="16">
        <f>IF(COUNT(E205:O205)=0,"",MIN(E205:O205))</f>
        <v/>
      </c>
      <c r="Q205" s="15">
        <f>IF(COUNT(E205:O205)=0,"",LOOKUP(2,1/(E205:O205&lt;&gt;""),E205:O205))</f>
        <v/>
      </c>
      <c r="R205" s="17">
        <f>IF(P205="","",ROUND(P205*RESUMEN!$B$4,0))</f>
        <v/>
      </c>
      <c r="S205" s="18">
        <f>COUNT(E205:O205)</f>
        <v/>
      </c>
    </row>
    <row r="206">
      <c r="A206" s="13" t="inlineStr">
        <is>
          <t>33891172826893</t>
        </is>
      </c>
      <c r="B206" s="13" t="inlineStr">
        <is>
          <t>CINTO CD MONTAIGNE 30</t>
        </is>
      </c>
      <c r="C206" s="13" t="inlineStr">
        <is>
          <t>100cm</t>
        </is>
      </c>
      <c r="D206" s="14" t="inlineStr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5" t="n">
        <v>48</v>
      </c>
      <c r="P206" s="16">
        <f>IF(COUNT(E206:O206)=0,"",MIN(E206:O206))</f>
        <v/>
      </c>
      <c r="Q206" s="15">
        <f>IF(COUNT(E206:O206)=0,"",LOOKUP(2,1/(E206:O206&lt;&gt;""),E206:O206))</f>
        <v/>
      </c>
      <c r="R206" s="17">
        <f>IF(P206="","",ROUND(P206*RESUMEN!$B$4,0))</f>
        <v/>
      </c>
      <c r="S206" s="18">
        <f>COUNT(E206:O206)</f>
        <v/>
      </c>
    </row>
    <row r="207">
      <c r="A207" s="13" t="inlineStr">
        <is>
          <t>42340124661388</t>
        </is>
      </c>
      <c r="B207" s="13" t="inlineStr">
        <is>
          <t>CINTO CD OBLIQUE</t>
        </is>
      </c>
      <c r="C207" s="13" t="inlineStr">
        <is>
          <t>110cm</t>
        </is>
      </c>
      <c r="D207" s="14" t="inlineStr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5" t="n">
        <v>45</v>
      </c>
      <c r="O207" s="13" t="n"/>
      <c r="P207" s="16">
        <f>IF(COUNT(E207:O207)=0,"",MIN(E207:O207))</f>
        <v/>
      </c>
      <c r="Q207" s="15">
        <f>IF(COUNT(E207:O207)=0,"",LOOKUP(2,1/(E207:O207&lt;&gt;""),E207:O207))</f>
        <v/>
      </c>
      <c r="R207" s="17">
        <f>IF(P207="","",ROUND(P207*RESUMEN!$B$4,0))</f>
        <v/>
      </c>
      <c r="S207" s="18">
        <f>COUNT(E207:O207)</f>
        <v/>
      </c>
    </row>
    <row r="208">
      <c r="A208" s="13" t="inlineStr">
        <is>
          <t>43792107834124</t>
        </is>
      </c>
      <c r="B208" s="13" t="inlineStr">
        <is>
          <t>CINTO CD REVOLUTION</t>
        </is>
      </c>
      <c r="C208" s="13" t="inlineStr">
        <is>
          <t>110cm</t>
        </is>
      </c>
      <c r="D208" s="14" t="inlineStr">
        <is>
          <t>0</t>
        </is>
      </c>
      <c r="E208" s="13" t="n"/>
      <c r="F208" s="13" t="n"/>
      <c r="G208" s="13" t="n"/>
      <c r="H208" s="15" t="n">
        <v>45</v>
      </c>
      <c r="I208" s="15" t="n">
        <v>45</v>
      </c>
      <c r="J208" s="13" t="n"/>
      <c r="K208" s="13" t="n"/>
      <c r="L208" s="13" t="n"/>
      <c r="M208" s="13" t="n"/>
      <c r="N208" s="13" t="n"/>
      <c r="O208" s="15" t="n">
        <v>45</v>
      </c>
      <c r="P208" s="16">
        <f>IF(COUNT(E208:O208)=0,"",MIN(E208:O208))</f>
        <v/>
      </c>
      <c r="Q208" s="15">
        <f>IF(COUNT(E208:O208)=0,"",LOOKUP(2,1/(E208:O208&lt;&gt;""),E208:O208))</f>
        <v/>
      </c>
      <c r="R208" s="17">
        <f>IF(P208="","",ROUND(P208*RESUMEN!$B$4,0))</f>
        <v/>
      </c>
      <c r="S208" s="18">
        <f>COUNT(E208:O208)</f>
        <v/>
      </c>
    </row>
    <row r="209">
      <c r="A209" s="13" t="inlineStr">
        <is>
          <t>33891172797517</t>
        </is>
      </c>
      <c r="B209" s="13" t="inlineStr">
        <is>
          <t>CINTO CD SADDLE OBLIQUE</t>
        </is>
      </c>
      <c r="C209" s="13" t="inlineStr">
        <is>
          <t>100cm</t>
        </is>
      </c>
      <c r="D209" s="14" t="inlineStr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5" t="n">
        <v>48</v>
      </c>
      <c r="P209" s="16">
        <f>IF(COUNT(E209:O209)=0,"",MIN(E209:O209))</f>
        <v/>
      </c>
      <c r="Q209" s="15">
        <f>IF(COUNT(E209:O209)=0,"",LOOKUP(2,1/(E209:O209&lt;&gt;""),E209:O209))</f>
        <v/>
      </c>
      <c r="R209" s="17">
        <f>IF(P209="","",ROUND(P209*RESUMEN!$B$4,0))</f>
        <v/>
      </c>
      <c r="S209" s="18">
        <f>COUNT(E209:O209)</f>
        <v/>
      </c>
    </row>
    <row r="210">
      <c r="A210" s="13" t="inlineStr">
        <is>
          <t>33891172488493</t>
        </is>
      </c>
      <c r="B210" s="13" t="inlineStr">
        <is>
          <t>CINTO FR ALL BLACK</t>
        </is>
      </c>
      <c r="C210" s="13" t="inlineStr">
        <is>
          <t>110cm</t>
        </is>
      </c>
      <c r="D210" s="14" t="inlineStr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5" t="n">
        <v>45</v>
      </c>
      <c r="P210" s="16">
        <f>IF(COUNT(E210:O210)=0,"",MIN(E210:O210))</f>
        <v/>
      </c>
      <c r="Q210" s="15">
        <f>IF(COUNT(E210:O210)=0,"",LOOKUP(2,1/(E210:O210&lt;&gt;""),E210:O210))</f>
        <v/>
      </c>
      <c r="R210" s="17">
        <f>IF(P210="","",ROUND(P210*RESUMEN!$B$4,0))</f>
        <v/>
      </c>
      <c r="S210" s="18">
        <f>COUNT(E210:O210)</f>
        <v/>
      </c>
    </row>
    <row r="211">
      <c r="A211" s="13" t="inlineStr">
        <is>
          <t>33891172607693</t>
        </is>
      </c>
      <c r="B211" s="13" t="inlineStr">
        <is>
          <t>CINTO FR BLACK GANCINI</t>
        </is>
      </c>
      <c r="C211" s="13" t="inlineStr">
        <is>
          <t>110cm</t>
        </is>
      </c>
      <c r="D211" s="14" t="inlineStr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5" t="n">
        <v>45</v>
      </c>
      <c r="P211" s="16">
        <f>IF(COUNT(E211:O211)=0,"",MIN(E211:O211))</f>
        <v/>
      </c>
      <c r="Q211" s="15">
        <f>IF(COUNT(E211:O211)=0,"",LOOKUP(2,1/(E211:O211&lt;&gt;""),E211:O211))</f>
        <v/>
      </c>
      <c r="R211" s="17">
        <f>IF(P211="","",ROUND(P211*RESUMEN!$B$4,0))</f>
        <v/>
      </c>
      <c r="S211" s="18">
        <f>COUNT(E211:O211)</f>
        <v/>
      </c>
    </row>
    <row r="212">
      <c r="A212" s="13" t="inlineStr">
        <is>
          <t>33891172512781</t>
        </is>
      </c>
      <c r="B212" s="13" t="inlineStr">
        <is>
          <t>CINTO FR REVERSIBLE BROWN</t>
        </is>
      </c>
      <c r="C212" s="13" t="inlineStr">
        <is>
          <t>110cm</t>
        </is>
      </c>
      <c r="D212" s="14" t="inlineStr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5" t="n">
        <v>45</v>
      </c>
      <c r="P212" s="16">
        <f>IF(COUNT(E212:O212)=0,"",MIN(E212:O212))</f>
        <v/>
      </c>
      <c r="Q212" s="15">
        <f>IF(COUNT(E212:O212)=0,"",LOOKUP(2,1/(E212:O212&lt;&gt;""),E212:O212))</f>
        <v/>
      </c>
      <c r="R212" s="17">
        <f>IF(P212="","",ROUND(P212*RESUMEN!$B$4,0))</f>
        <v/>
      </c>
      <c r="S212" s="18">
        <f>COUNT(E212:O212)</f>
        <v/>
      </c>
    </row>
    <row r="213">
      <c r="A213" s="13" t="inlineStr">
        <is>
          <t>33891172105453</t>
        </is>
      </c>
      <c r="B213" s="13" t="inlineStr">
        <is>
          <t>CINTO GC CON HEBILLA REDONDA</t>
        </is>
      </c>
      <c r="C213" s="13" t="inlineStr">
        <is>
          <t>100cm</t>
        </is>
      </c>
      <c r="D213" s="14" t="inlineStr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5" t="n">
        <v>48</v>
      </c>
      <c r="P213" s="16">
        <f>IF(COUNT(E213:O213)=0,"",MIN(E213:O213))</f>
        <v/>
      </c>
      <c r="Q213" s="15">
        <f>IF(COUNT(E213:O213)=0,"",LOOKUP(2,1/(E213:O213&lt;&gt;""),E213:O213))</f>
        <v/>
      </c>
      <c r="R213" s="17">
        <f>IF(P213="","",ROUND(P213*RESUMEN!$B$4,0))</f>
        <v/>
      </c>
      <c r="S213" s="18">
        <f>COUNT(E213:O213)</f>
        <v/>
      </c>
    </row>
    <row r="214">
      <c r="A214" s="13" t="inlineStr">
        <is>
          <t>99781781012045</t>
        </is>
      </c>
      <c r="B214" s="13" t="inlineStr">
        <is>
          <t>CINTO GC DELGADO MARMONT</t>
        </is>
      </c>
      <c r="C214" s="13" t="inlineStr">
        <is>
          <t>100CM</t>
        </is>
      </c>
      <c r="D214" s="14" t="inlineStr">
        <is>
          <t>Genuine leather</t>
        </is>
      </c>
      <c r="E214" s="13" t="n"/>
      <c r="F214" s="13" t="n"/>
      <c r="G214" s="13" t="n"/>
      <c r="H214" s="13" t="n"/>
      <c r="I214" s="13" t="n"/>
      <c r="J214" s="15" t="n">
        <v>45</v>
      </c>
      <c r="K214" s="15" t="n">
        <v>45</v>
      </c>
      <c r="L214" s="13" t="n"/>
      <c r="M214" s="13" t="n"/>
      <c r="N214" s="15" t="n">
        <v>45</v>
      </c>
      <c r="O214" s="13" t="n"/>
      <c r="P214" s="16">
        <f>IF(COUNT(E214:O214)=0,"",MIN(E214:O214))</f>
        <v/>
      </c>
      <c r="Q214" s="15">
        <f>IF(COUNT(E214:O214)=0,"",LOOKUP(2,1/(E214:O214&lt;&gt;""),E214:O214))</f>
        <v/>
      </c>
      <c r="R214" s="17">
        <f>IF(P214="","",ROUND(P214*RESUMEN!$B$4,0))</f>
        <v/>
      </c>
      <c r="S214" s="18">
        <f>COUNT(E214:O214)</f>
        <v/>
      </c>
    </row>
    <row r="215">
      <c r="A215" s="13" t="inlineStr">
        <is>
          <t>33891172393581</t>
        </is>
      </c>
      <c r="B215" s="13" t="inlineStr">
        <is>
          <t>CINTO GC ENTRELAZADA GOLD</t>
        </is>
      </c>
      <c r="C215" s="13" t="inlineStr">
        <is>
          <t>100cm</t>
        </is>
      </c>
      <c r="D215" s="14" t="inlineStr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5" t="n">
        <v>48</v>
      </c>
      <c r="P215" s="16">
        <f>IF(COUNT(E215:O215)=0,"",MIN(E215:O215))</f>
        <v/>
      </c>
      <c r="Q215" s="15">
        <f>IF(COUNT(E215:O215)=0,"",LOOKUP(2,1/(E215:O215&lt;&gt;""),E215:O215))</f>
        <v/>
      </c>
      <c r="R215" s="17">
        <f>IF(P215="","",ROUND(P215*RESUMEN!$B$4,0))</f>
        <v/>
      </c>
      <c r="S215" s="18">
        <f>COUNT(E215:O215)</f>
        <v/>
      </c>
    </row>
    <row r="216">
      <c r="A216" s="13" t="inlineStr">
        <is>
          <t>33891172265901</t>
        </is>
      </c>
      <c r="B216" s="13" t="inlineStr">
        <is>
          <t>CINTO GC ENTRELAZADA SILVER</t>
        </is>
      </c>
      <c r="C216" s="13" t="inlineStr">
        <is>
          <t>100cm</t>
        </is>
      </c>
      <c r="D216" s="14" t="inlineStr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5" t="n">
        <v>48</v>
      </c>
      <c r="P216" s="16">
        <f>IF(COUNT(E216:O216)=0,"",MIN(E216:O216))</f>
        <v/>
      </c>
      <c r="Q216" s="15">
        <f>IF(COUNT(E216:O216)=0,"",LOOKUP(2,1/(E216:O216&lt;&gt;""),E216:O216))</f>
        <v/>
      </c>
      <c r="R216" s="17">
        <f>IF(P216="","",ROUND(P216*RESUMEN!$B$4,0))</f>
        <v/>
      </c>
      <c r="S216" s="18">
        <f>COUNT(E216:O216)</f>
        <v/>
      </c>
    </row>
    <row r="217">
      <c r="A217" s="13" t="inlineStr">
        <is>
          <t>33891171856877</t>
        </is>
      </c>
      <c r="B217" s="13" t="inlineStr">
        <is>
          <t>CINTO GC HEBILLA OVALADA</t>
        </is>
      </c>
      <c r="C217" s="13" t="inlineStr">
        <is>
          <t>100cm</t>
        </is>
      </c>
      <c r="D217" s="14" t="inlineStr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5" t="n">
        <v>48</v>
      </c>
      <c r="P217" s="16">
        <f>IF(COUNT(E217:O217)=0,"",MIN(E217:O217))</f>
        <v/>
      </c>
      <c r="Q217" s="15">
        <f>IF(COUNT(E217:O217)=0,"",LOOKUP(2,1/(E217:O217&lt;&gt;""),E217:O217))</f>
        <v/>
      </c>
      <c r="R217" s="17">
        <f>IF(P217="","",ROUND(P217*RESUMEN!$B$4,0))</f>
        <v/>
      </c>
      <c r="S217" s="18">
        <f>COUNT(E217:O217)</f>
        <v/>
      </c>
    </row>
    <row r="218">
      <c r="A218" s="13" t="inlineStr">
        <is>
          <t>33891172043309</t>
        </is>
      </c>
      <c r="B218" s="13" t="inlineStr">
        <is>
          <t>CINTO GC HORSEBIT</t>
        </is>
      </c>
      <c r="C218" s="13" t="inlineStr">
        <is>
          <t>100cm</t>
        </is>
      </c>
      <c r="D218" s="14" t="inlineStr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5" t="n">
        <v>48</v>
      </c>
      <c r="P218" s="16">
        <f>IF(COUNT(E218:O218)=0,"",MIN(E218:O218))</f>
        <v/>
      </c>
      <c r="Q218" s="15">
        <f>IF(COUNT(E218:O218)=0,"",LOOKUP(2,1/(E218:O218&lt;&gt;""),E218:O218))</f>
        <v/>
      </c>
      <c r="R218" s="17">
        <f>IF(P218="","",ROUND(P218*RESUMEN!$B$4,0))</f>
        <v/>
      </c>
      <c r="S218" s="18">
        <f>COUNT(E218:O218)</f>
        <v/>
      </c>
    </row>
    <row r="219">
      <c r="A219" s="13" t="inlineStr">
        <is>
          <t>33891171950093</t>
        </is>
      </c>
      <c r="B219" s="13" t="inlineStr">
        <is>
          <t>CINTO GC HORSEBIT BROWN</t>
        </is>
      </c>
      <c r="C219" s="13" t="inlineStr">
        <is>
          <t>100cm</t>
        </is>
      </c>
      <c r="D219" s="14" t="inlineStr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5" t="n">
        <v>48</v>
      </c>
      <c r="P219" s="16">
        <f>IF(COUNT(E219:O219)=0,"",MIN(E219:O219))</f>
        <v/>
      </c>
      <c r="Q219" s="15">
        <f>IF(COUNT(E219:O219)=0,"",LOOKUP(2,1/(E219:O219&lt;&gt;""),E219:O219))</f>
        <v/>
      </c>
      <c r="R219" s="17">
        <f>IF(P219="","",ROUND(P219*RESUMEN!$B$4,0))</f>
        <v/>
      </c>
      <c r="S219" s="18">
        <f>COUNT(E219:O219)</f>
        <v/>
      </c>
    </row>
    <row r="220">
      <c r="A220" s="13" t="inlineStr">
        <is>
          <t>43728086200460</t>
        </is>
      </c>
      <c r="B220" s="13" t="inlineStr">
        <is>
          <t>CINTO GC MILANO</t>
        </is>
      </c>
      <c r="C220" s="13" t="inlineStr">
        <is>
          <t>100cm</t>
        </is>
      </c>
      <c r="D220" s="14" t="inlineStr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5" t="n">
        <v>45</v>
      </c>
      <c r="N220" s="13" t="n"/>
      <c r="O220" s="13" t="n"/>
      <c r="P220" s="16">
        <f>IF(COUNT(E220:O220)=0,"",MIN(E220:O220))</f>
        <v/>
      </c>
      <c r="Q220" s="15">
        <f>IF(COUNT(E220:O220)=0,"",LOOKUP(2,1/(E220:O220&lt;&gt;""),E220:O220))</f>
        <v/>
      </c>
      <c r="R220" s="17">
        <f>IF(P220="","",ROUND(P220*RESUMEN!$B$4,0))</f>
        <v/>
      </c>
      <c r="S220" s="18">
        <f>COUNT(E220:O220)</f>
        <v/>
      </c>
    </row>
    <row r="221">
      <c r="A221" s="13" t="inlineStr">
        <is>
          <t>99781781126317</t>
        </is>
      </c>
      <c r="B221" s="13" t="inlineStr">
        <is>
          <t>CINTO GC REVERSIBLE HEBILLA</t>
        </is>
      </c>
      <c r="C221" s="13" t="inlineStr">
        <is>
          <t>100CM</t>
        </is>
      </c>
      <c r="D221" s="14" t="inlineStr">
        <is>
          <t>Genuine leather</t>
        </is>
      </c>
      <c r="E221" s="13" t="n"/>
      <c r="F221" s="13" t="n"/>
      <c r="G221" s="13" t="n"/>
      <c r="H221" s="13" t="n"/>
      <c r="I221" s="13" t="n"/>
      <c r="J221" s="15" t="n">
        <v>45</v>
      </c>
      <c r="K221" s="15" t="n">
        <v>45</v>
      </c>
      <c r="L221" s="13" t="n"/>
      <c r="M221" s="13" t="n"/>
      <c r="N221" s="15" t="n">
        <v>45</v>
      </c>
      <c r="O221" s="13" t="n"/>
      <c r="P221" s="16">
        <f>IF(COUNT(E221:O221)=0,"",MIN(E221:O221))</f>
        <v/>
      </c>
      <c r="Q221" s="15">
        <f>IF(COUNT(E221:O221)=0,"",LOOKUP(2,1/(E221:O221&lt;&gt;""),E221:O221))</f>
        <v/>
      </c>
      <c r="R221" s="17">
        <f>IF(P221="","",ROUND(P221*RESUMEN!$B$4,0))</f>
        <v/>
      </c>
      <c r="S221" s="18">
        <f>COUNT(E221:O221)</f>
        <v/>
      </c>
    </row>
    <row r="222">
      <c r="A222" s="13" t="inlineStr">
        <is>
          <t>24780441590413</t>
        </is>
      </c>
      <c r="B222" s="13" t="inlineStr">
        <is>
          <t>CINTO LV DARLING ARD</t>
        </is>
      </c>
      <c r="C222" s="13" t="inlineStr">
        <is>
          <t>100 cm</t>
        </is>
      </c>
      <c r="D222" s="14" t="inlineStr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5" t="n">
        <v>52</v>
      </c>
      <c r="P222" s="16">
        <f>IF(COUNT(E222:O222)=0,"",MIN(E222:O222))</f>
        <v/>
      </c>
      <c r="Q222" s="15">
        <f>IF(COUNT(E222:O222)=0,"",LOOKUP(2,1/(E222:O222&lt;&gt;""),E222:O222))</f>
        <v/>
      </c>
      <c r="R222" s="17">
        <f>IF(P222="","",ROUND(P222*RESUMEN!$B$4,0))</f>
        <v/>
      </c>
      <c r="S222" s="18">
        <f>COUNT(E222:O222)</f>
        <v/>
      </c>
    </row>
    <row r="223">
      <c r="A223" s="13" t="inlineStr">
        <is>
          <t>24780441426573</t>
        </is>
      </c>
      <c r="B223" s="13" t="inlineStr">
        <is>
          <t>CINTO LV MINI FLOWERGRAM</t>
        </is>
      </c>
      <c r="C223" s="13" t="inlineStr">
        <is>
          <t>100 cm</t>
        </is>
      </c>
      <c r="D223" s="14" t="inlineStr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5" t="n">
        <v>65</v>
      </c>
      <c r="P223" s="16">
        <f>IF(COUNT(E223:O223)=0,"",MIN(E223:O223))</f>
        <v/>
      </c>
      <c r="Q223" s="15">
        <f>IF(COUNT(E223:O223)=0,"",LOOKUP(2,1/(E223:O223&lt;&gt;""),E223:O223))</f>
        <v/>
      </c>
      <c r="R223" s="17">
        <f>IF(P223="","",ROUND(P223*RESUMEN!$B$4,0))</f>
        <v/>
      </c>
      <c r="S223" s="18">
        <f>COUNT(E223:O223)</f>
        <v/>
      </c>
    </row>
    <row r="224">
      <c r="A224" s="13" t="inlineStr">
        <is>
          <t>93098782959597</t>
        </is>
      </c>
      <c r="B224" s="13" t="inlineStr">
        <is>
          <t>CINTO LV PONT NEUF BLACK</t>
        </is>
      </c>
      <c r="C224" s="13" t="inlineStr">
        <is>
          <t>BLACK</t>
        </is>
      </c>
      <c r="D224" s="14" t="inlineStr">
        <is>
          <t>Genuine leather</t>
        </is>
      </c>
      <c r="E224" s="13" t="n"/>
      <c r="F224" s="13" t="n"/>
      <c r="G224" s="13" t="n"/>
      <c r="H224" s="13" t="n"/>
      <c r="I224" s="13" t="n"/>
      <c r="J224" s="15" t="n">
        <v>35</v>
      </c>
      <c r="K224" s="15" t="n">
        <v>35</v>
      </c>
      <c r="L224" s="13" t="n"/>
      <c r="M224" s="13" t="n"/>
      <c r="N224" s="13" t="n"/>
      <c r="O224" s="13" t="n"/>
      <c r="P224" s="16">
        <f>IF(COUNT(E224:O224)=0,"",MIN(E224:O224))</f>
        <v/>
      </c>
      <c r="Q224" s="15">
        <f>IF(COUNT(E224:O224)=0,"",LOOKUP(2,1/(E224:O224&lt;&gt;""),E224:O224))</f>
        <v/>
      </c>
      <c r="R224" s="17">
        <f>IF(P224="","",ROUND(P224*RESUMEN!$B$4,0))</f>
        <v/>
      </c>
      <c r="S224" s="18">
        <f>COUNT(E224:O224)</f>
        <v/>
      </c>
    </row>
    <row r="225">
      <c r="A225" s="13" t="inlineStr">
        <is>
          <t>24780441715245</t>
        </is>
      </c>
      <c r="B225" s="13" t="inlineStr">
        <is>
          <t>CINTO LV REVERSIBLE DAMOFLAJE</t>
        </is>
      </c>
      <c r="C225" s="13" t="inlineStr">
        <is>
          <t>110cm</t>
        </is>
      </c>
      <c r="D225" s="14" t="inlineStr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5" t="n">
        <v>45</v>
      </c>
      <c r="P225" s="16">
        <f>IF(COUNT(E225:O225)=0,"",MIN(E225:O225))</f>
        <v/>
      </c>
      <c r="Q225" s="15">
        <f>IF(COUNT(E225:O225)=0,"",LOOKUP(2,1/(E225:O225&lt;&gt;""),E225:O225))</f>
        <v/>
      </c>
      <c r="R225" s="17">
        <f>IF(P225="","",ROUND(P225*RESUMEN!$B$4,0))</f>
        <v/>
      </c>
      <c r="S225" s="18">
        <f>COUNT(E225:O225)</f>
        <v/>
      </c>
    </row>
    <row r="226">
      <c r="A226" s="13" t="inlineStr">
        <is>
          <t>24780441879085</t>
        </is>
      </c>
      <c r="B226" s="13" t="inlineStr">
        <is>
          <t>CINTO LV REVERSIBLE FROG</t>
        </is>
      </c>
      <c r="C226" s="13" t="inlineStr">
        <is>
          <t>110cm</t>
        </is>
      </c>
      <c r="D226" s="14" t="inlineStr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5" t="n">
        <v>48</v>
      </c>
      <c r="P226" s="16">
        <f>IF(COUNT(E226:O226)=0,"",MIN(E226:O226))</f>
        <v/>
      </c>
      <c r="Q226" s="15">
        <f>IF(COUNT(E226:O226)=0,"",LOOKUP(2,1/(E226:O226&lt;&gt;""),E226:O226))</f>
        <v/>
      </c>
      <c r="R226" s="17">
        <f>IF(P226="","",ROUND(P226*RESUMEN!$B$4,0))</f>
        <v/>
      </c>
      <c r="S226" s="18">
        <f>COUNT(E226:O226)</f>
        <v/>
      </c>
    </row>
    <row r="227">
      <c r="A227" s="13" t="inlineStr">
        <is>
          <t>93098782758445</t>
        </is>
      </c>
      <c r="B227" s="13" t="inlineStr">
        <is>
          <t>CINTO LV REVERSIBLE INITIALES</t>
        </is>
      </c>
      <c r="C227" s="13" t="inlineStr">
        <is>
          <t>100CM</t>
        </is>
      </c>
      <c r="D227" s="14" t="inlineStr">
        <is>
          <t>Genuine leather</t>
        </is>
      </c>
      <c r="E227" s="13" t="n"/>
      <c r="F227" s="13" t="n"/>
      <c r="G227" s="13" t="n"/>
      <c r="H227" s="13" t="n"/>
      <c r="I227" s="13" t="n"/>
      <c r="J227" s="15" t="n">
        <v>35</v>
      </c>
      <c r="K227" s="15" t="n">
        <v>35</v>
      </c>
      <c r="L227" s="13" t="n"/>
      <c r="M227" s="13" t="n"/>
      <c r="N227" s="15" t="n">
        <v>35</v>
      </c>
      <c r="O227" s="13" t="n"/>
      <c r="P227" s="16">
        <f>IF(COUNT(E227:O227)=0,"",MIN(E227:O227))</f>
        <v/>
      </c>
      <c r="Q227" s="15">
        <f>IF(COUNT(E227:O227)=0,"",LOOKUP(2,1/(E227:O227&lt;&gt;""),E227:O227))</f>
        <v/>
      </c>
      <c r="R227" s="17">
        <f>IF(P227="","",ROUND(P227*RESUMEN!$B$4,0))</f>
        <v/>
      </c>
      <c r="S227" s="18">
        <f>COUNT(E227:O227)</f>
        <v/>
      </c>
    </row>
    <row r="228">
      <c r="A228" s="13" t="inlineStr">
        <is>
          <t>93098782555053</t>
        </is>
      </c>
      <c r="B228" s="13" t="inlineStr">
        <is>
          <t>CINTO LV REVERSIBLE MINI</t>
        </is>
      </c>
      <c r="C228" s="13" t="inlineStr">
        <is>
          <t>BLACK</t>
        </is>
      </c>
      <c r="D228" s="14" t="inlineStr">
        <is>
          <t>Genuine leather</t>
        </is>
      </c>
      <c r="E228" s="13" t="n"/>
      <c r="F228" s="13" t="n"/>
      <c r="G228" s="13" t="n"/>
      <c r="H228" s="13" t="n"/>
      <c r="I228" s="13" t="n"/>
      <c r="J228" s="15" t="n">
        <v>45</v>
      </c>
      <c r="K228" s="15" t="n">
        <v>45</v>
      </c>
      <c r="L228" s="13" t="n"/>
      <c r="M228" s="13" t="n"/>
      <c r="N228" s="13" t="n"/>
      <c r="O228" s="13" t="n"/>
      <c r="P228" s="16">
        <f>IF(COUNT(E228:O228)=0,"",MIN(E228:O228))</f>
        <v/>
      </c>
      <c r="Q228" s="15">
        <f>IF(COUNT(E228:O228)=0,"",LOOKUP(2,1/(E228:O228&lt;&gt;""),E228:O228))</f>
        <v/>
      </c>
      <c r="R228" s="17">
        <f>IF(P228="","",ROUND(P228*RESUMEN!$B$4,0))</f>
        <v/>
      </c>
      <c r="S228" s="18">
        <f>COUNT(E228:O228)</f>
        <v/>
      </c>
    </row>
    <row r="229">
      <c r="A229" s="13" t="inlineStr">
        <is>
          <t>24780441910157</t>
        </is>
      </c>
      <c r="B229" s="13" t="inlineStr">
        <is>
          <t>CINTO LV REVERSIBLE OPTIC</t>
        </is>
      </c>
      <c r="C229" s="13" t="inlineStr">
        <is>
          <t>110cm</t>
        </is>
      </c>
      <c r="D229" s="14" t="inlineStr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5" t="n">
        <v>48</v>
      </c>
      <c r="P229" s="16">
        <f>IF(COUNT(E229:O229)=0,"",MIN(E229:O229))</f>
        <v/>
      </c>
      <c r="Q229" s="15">
        <f>IF(COUNT(E229:O229)=0,"",LOOKUP(2,1/(E229:O229&lt;&gt;""),E229:O229))</f>
        <v/>
      </c>
      <c r="R229" s="17">
        <f>IF(P229="","",ROUND(P229*RESUMEN!$B$4,0))</f>
        <v/>
      </c>
      <c r="S229" s="18">
        <f>COUNT(E229:O229)</f>
        <v/>
      </c>
    </row>
    <row r="230">
      <c r="A230" s="13" t="inlineStr">
        <is>
          <t>93098782656749</t>
        </is>
      </c>
      <c r="B230" s="13" t="inlineStr">
        <is>
          <t>CINTO LV REVERSIBLE PRETTY</t>
        </is>
      </c>
      <c r="C230" s="13" t="inlineStr">
        <is>
          <t>BLACK</t>
        </is>
      </c>
      <c r="D230" s="14" t="inlineStr">
        <is>
          <t>Genuine leather</t>
        </is>
      </c>
      <c r="E230" s="13" t="n"/>
      <c r="F230" s="13" t="n"/>
      <c r="G230" s="13" t="n"/>
      <c r="H230" s="13" t="n"/>
      <c r="I230" s="13" t="n"/>
      <c r="J230" s="15" t="n">
        <v>45</v>
      </c>
      <c r="K230" s="15" t="n">
        <v>45</v>
      </c>
      <c r="L230" s="13" t="n"/>
      <c r="M230" s="13" t="n"/>
      <c r="N230" s="13" t="n"/>
      <c r="O230" s="13" t="n"/>
      <c r="P230" s="16">
        <f>IF(COUNT(E230:O230)=0,"",MIN(E230:O230))</f>
        <v/>
      </c>
      <c r="Q230" s="15">
        <f>IF(COUNT(E230:O230)=0,"",LOOKUP(2,1/(E230:O230&lt;&gt;""),E230:O230))</f>
        <v/>
      </c>
      <c r="R230" s="17">
        <f>IF(P230="","",ROUND(P230*RESUMEN!$B$4,0))</f>
        <v/>
      </c>
      <c r="S230" s="18">
        <f>COUNT(E230:O230)</f>
        <v/>
      </c>
    </row>
    <row r="231">
      <c r="A231" s="13" t="inlineStr">
        <is>
          <t>24780441651405</t>
        </is>
      </c>
      <c r="B231" s="13" t="inlineStr">
        <is>
          <t>CINTO LV S-LOCK REVERSIBLE</t>
        </is>
      </c>
      <c r="C231" s="13" t="inlineStr">
        <is>
          <t>100 cm</t>
        </is>
      </c>
      <c r="D231" s="14" t="inlineStr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5" t="n">
        <v>52</v>
      </c>
      <c r="P231" s="16">
        <f>IF(COUNT(E231:O231)=0,"",MIN(E231:O231))</f>
        <v/>
      </c>
      <c r="Q231" s="15">
        <f>IF(COUNT(E231:O231)=0,"",LOOKUP(2,1/(E231:O231&lt;&gt;""),E231:O231))</f>
        <v/>
      </c>
      <c r="R231" s="17">
        <f>IF(P231="","",ROUND(P231*RESUMEN!$B$4,0))</f>
        <v/>
      </c>
      <c r="S231" s="18">
        <f>COUNT(E231:O231)</f>
        <v/>
      </c>
    </row>
    <row r="232">
      <c r="A232" s="13" t="inlineStr">
        <is>
          <t>93098782860141</t>
        </is>
      </c>
      <c r="B232" s="13" t="inlineStr">
        <is>
          <t>CINTO LV SKYLINE BLACK</t>
        </is>
      </c>
      <c r="C232" s="13" t="inlineStr">
        <is>
          <t>BLACK</t>
        </is>
      </c>
      <c r="D232" s="14" t="inlineStr">
        <is>
          <t>Genuine leather</t>
        </is>
      </c>
      <c r="E232" s="13" t="n"/>
      <c r="F232" s="13" t="n"/>
      <c r="G232" s="13" t="n"/>
      <c r="H232" s="13" t="n"/>
      <c r="I232" s="13" t="n"/>
      <c r="J232" s="15" t="n">
        <v>35</v>
      </c>
      <c r="K232" s="15" t="n">
        <v>35</v>
      </c>
      <c r="L232" s="13" t="n"/>
      <c r="M232" s="13" t="n"/>
      <c r="N232" s="13" t="n"/>
      <c r="O232" s="13" t="n"/>
      <c r="P232" s="16">
        <f>IF(COUNT(E232:O232)=0,"",MIN(E232:O232))</f>
        <v/>
      </c>
      <c r="Q232" s="15">
        <f>IF(COUNT(E232:O232)=0,"",LOOKUP(2,1/(E232:O232&lt;&gt;""),E232:O232))</f>
        <v/>
      </c>
      <c r="R232" s="17">
        <f>IF(P232="","",ROUND(P232*RESUMEN!$B$4,0))</f>
        <v/>
      </c>
      <c r="S232" s="18">
        <f>COUNT(E232:O232)</f>
        <v/>
      </c>
    </row>
    <row r="233">
      <c r="A233" s="13" t="inlineStr">
        <is>
          <t>63264441047757</t>
        </is>
      </c>
      <c r="B233" s="13" t="inlineStr">
        <is>
          <t>COLLAR CD GOLD CON PERLAS</t>
        </is>
      </c>
      <c r="C233" s="13" t="inlineStr">
        <is>
          <t>Default Title</t>
        </is>
      </c>
      <c r="D233" s="14" t="inlineStr">
        <is>
          <t>Brass + Pearl</t>
        </is>
      </c>
      <c r="E233" s="13" t="n"/>
      <c r="F233" s="15" t="n">
        <v>9</v>
      </c>
      <c r="G233" s="13" t="n"/>
      <c r="H233" s="13" t="n"/>
      <c r="I233" s="15" t="n">
        <v>9</v>
      </c>
      <c r="J233" s="13" t="n"/>
      <c r="K233" s="13" t="n"/>
      <c r="L233" s="15" t="n">
        <v>9</v>
      </c>
      <c r="M233" s="13" t="n"/>
      <c r="N233" s="15" t="n">
        <v>9</v>
      </c>
      <c r="O233" s="13" t="n"/>
      <c r="P233" s="16">
        <f>IF(COUNT(E233:O233)=0,"",MIN(E233:O233))</f>
        <v/>
      </c>
      <c r="Q233" s="15">
        <f>IF(COUNT(E233:O233)=0,"",LOOKUP(2,1/(E233:O233&lt;&gt;""),E233:O233))</f>
        <v/>
      </c>
      <c r="R233" s="17">
        <f>IF(P233="","",ROUND(P233*RESUMEN!$B$4,0))</f>
        <v/>
      </c>
      <c r="S233" s="18">
        <f>COUNT(E233:O233)</f>
        <v/>
      </c>
    </row>
    <row r="234">
      <c r="A234" s="13" t="inlineStr">
        <is>
          <t>67319253498892</t>
        </is>
      </c>
      <c r="B234" s="13" t="inlineStr">
        <is>
          <t>COLLAR CD REVOLUTION</t>
        </is>
      </c>
      <c r="C234" s="13" t="inlineStr">
        <is>
          <t>41cm con 6cm de extensión</t>
        </is>
      </c>
      <c r="D234" s="14" t="inlineStr"/>
      <c r="E234" s="15" t="n">
        <v>8</v>
      </c>
      <c r="F234" s="13" t="n"/>
      <c r="G234" s="13" t="n"/>
      <c r="H234" s="13" t="n"/>
      <c r="I234" s="15" t="n">
        <v>8</v>
      </c>
      <c r="J234" s="13" t="n"/>
      <c r="K234" s="13" t="n"/>
      <c r="L234" s="13" t="n"/>
      <c r="M234" s="13" t="n"/>
      <c r="N234" s="15" t="n">
        <v>8</v>
      </c>
      <c r="O234" s="13" t="n"/>
      <c r="P234" s="16">
        <f>IF(COUNT(E234:O234)=0,"",MIN(E234:O234))</f>
        <v/>
      </c>
      <c r="Q234" s="15">
        <f>IF(COUNT(E234:O234)=0,"",LOOKUP(2,1/(E234:O234&lt;&gt;""),E234:O234))</f>
        <v/>
      </c>
      <c r="R234" s="17">
        <f>IF(P234="","",ROUND(P234*RESUMEN!$B$4,0))</f>
        <v/>
      </c>
      <c r="S234" s="18">
        <f>COUNT(E234:O234)</f>
        <v/>
      </c>
    </row>
    <row r="235">
      <c r="A235" s="13" t="inlineStr">
        <is>
          <t>98946151012205</t>
        </is>
      </c>
      <c r="B235" s="13" t="inlineStr">
        <is>
          <t>COLLAR CON PASADOR Y PLACA ESTILO CORAZÓN CON ZIRCONIA</t>
        </is>
      </c>
      <c r="C235" s="13" t="inlineStr">
        <is>
          <t>Default Title</t>
        </is>
      </c>
      <c r="D235" s="14" t="inlineStr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5" t="n">
        <v>9</v>
      </c>
      <c r="P235" s="16">
        <f>IF(COUNT(E235:O235)=0,"",MIN(E235:O235))</f>
        <v/>
      </c>
      <c r="Q235" s="15">
        <f>IF(COUNT(E235:O235)=0,"",LOOKUP(2,1/(E235:O235&lt;&gt;""),E235:O235))</f>
        <v/>
      </c>
      <c r="R235" s="17">
        <f>IF(P235="","",ROUND(P235*RESUMEN!$B$4,0))</f>
        <v/>
      </c>
      <c r="S235" s="18">
        <f>COUNT(E235:O235)</f>
        <v/>
      </c>
    </row>
    <row r="236">
      <c r="A236" s="13" t="inlineStr">
        <is>
          <t>43047194886284</t>
        </is>
      </c>
      <c r="B236" s="13" t="inlineStr">
        <is>
          <t>COLLAR CORAZÓN GOLD</t>
        </is>
      </c>
      <c r="C236" s="13" t="inlineStr">
        <is>
          <t>40cm con 6.5cm de extensión.</t>
        </is>
      </c>
      <c r="D236" s="14" t="inlineStr">
        <is>
          <t>Brass</t>
        </is>
      </c>
      <c r="E236" s="13" t="n"/>
      <c r="F236" s="13" t="n"/>
      <c r="G236" s="13" t="n"/>
      <c r="H236" s="15" t="n">
        <v>9</v>
      </c>
      <c r="I236" s="13" t="n"/>
      <c r="J236" s="13" t="n"/>
      <c r="K236" s="13" t="n"/>
      <c r="L236" s="15" t="n">
        <v>9</v>
      </c>
      <c r="M236" s="13" t="n"/>
      <c r="N236" s="15" t="n">
        <v>9</v>
      </c>
      <c r="O236" s="13" t="n"/>
      <c r="P236" s="16">
        <f>IF(COUNT(E236:O236)=0,"",MIN(E236:O236))</f>
        <v/>
      </c>
      <c r="Q236" s="15">
        <f>IF(COUNT(E236:O236)=0,"",LOOKUP(2,1/(E236:O236&lt;&gt;""),E236:O236))</f>
        <v/>
      </c>
      <c r="R236" s="17">
        <f>IF(P236="","",ROUND(P236*RESUMEN!$B$4,0))</f>
        <v/>
      </c>
      <c r="S236" s="18">
        <f>COUNT(E236:O236)</f>
        <v/>
      </c>
    </row>
    <row r="237">
      <c r="A237" s="13" t="inlineStr">
        <is>
          <t>43986811051937</t>
        </is>
      </c>
      <c r="B237" s="13" t="inlineStr">
        <is>
          <t>COLLAR CORAZÓN GOLD</t>
        </is>
      </c>
      <c r="C237" s="13" t="inlineStr">
        <is>
          <t>Titanio 45cm / dije 1cm</t>
        </is>
      </c>
      <c r="D237" s="14" t="inlineStr">
        <is>
          <t>Brass</t>
        </is>
      </c>
      <c r="E237" s="13" t="n"/>
      <c r="F237" s="13" t="n"/>
      <c r="G237" s="15" t="n">
        <v>9</v>
      </c>
      <c r="H237" s="13" t="n"/>
      <c r="I237" s="15" t="n">
        <v>9</v>
      </c>
      <c r="J237" s="13" t="n"/>
      <c r="K237" s="13" t="n"/>
      <c r="L237" s="13" t="n"/>
      <c r="M237" s="13" t="n"/>
      <c r="N237" s="13" t="n"/>
      <c r="O237" s="13" t="n"/>
      <c r="P237" s="16">
        <f>IF(COUNT(E237:O237)=0,"",MIN(E237:O237))</f>
        <v/>
      </c>
      <c r="Q237" s="15">
        <f>IF(COUNT(E237:O237)=0,"",LOOKUP(2,1/(E237:O237&lt;&gt;""),E237:O237))</f>
        <v/>
      </c>
      <c r="R237" s="17">
        <f>IF(P237="","",ROUND(P237*RESUMEN!$B$4,0))</f>
        <v/>
      </c>
      <c r="S237" s="18">
        <f>COUNT(E237:O237)</f>
        <v/>
      </c>
    </row>
    <row r="238">
      <c r="A238" s="13" t="inlineStr">
        <is>
          <t>43047193870476</t>
        </is>
      </c>
      <c r="B238" s="13" t="inlineStr">
        <is>
          <t>COLLAR CORAZÓN SILVER</t>
        </is>
      </c>
      <c r="C238" s="13" t="inlineStr">
        <is>
          <t>40cm con 6.5cm</t>
        </is>
      </c>
      <c r="D238" s="14" t="inlineStr"/>
      <c r="E238" s="13" t="n"/>
      <c r="F238" s="13" t="n"/>
      <c r="G238" s="13" t="n"/>
      <c r="H238" s="15" t="n">
        <v>9</v>
      </c>
      <c r="I238" s="13" t="n"/>
      <c r="J238" s="13" t="n"/>
      <c r="K238" s="13" t="n"/>
      <c r="L238" s="13" t="n"/>
      <c r="M238" s="13" t="n"/>
      <c r="N238" s="13" t="n"/>
      <c r="O238" s="13" t="n"/>
      <c r="P238" s="16">
        <f>IF(COUNT(E238:O238)=0,"",MIN(E238:O238))</f>
        <v/>
      </c>
      <c r="Q238" s="15">
        <f>IF(COUNT(E238:O238)=0,"",LOOKUP(2,1/(E238:O238&lt;&gt;""),E238:O238))</f>
        <v/>
      </c>
      <c r="R238" s="17">
        <f>IF(P238="","",ROUND(P238*RESUMEN!$B$4,0))</f>
        <v/>
      </c>
      <c r="S238" s="18">
        <f>COUNT(E238:O238)</f>
        <v/>
      </c>
    </row>
    <row r="239">
      <c r="A239" s="13" t="inlineStr">
        <is>
          <t>38563859802892</t>
        </is>
      </c>
      <c r="B239" s="13" t="inlineStr">
        <is>
          <t>COLLAR CORAZ√ìN GOLD</t>
        </is>
      </c>
      <c r="C239" s="13" t="inlineStr">
        <is>
          <t>44 cm / dije 2.5cm</t>
        </is>
      </c>
      <c r="D239" s="14" t="inlineStr">
        <is>
          <t>Brass</t>
        </is>
      </c>
      <c r="E239" s="13" t="n"/>
      <c r="F239" s="13" t="n"/>
      <c r="G239" s="13" t="n"/>
      <c r="H239" s="13" t="n"/>
      <c r="I239" s="13" t="n"/>
      <c r="J239" s="15" t="n">
        <v>9</v>
      </c>
      <c r="K239" s="15" t="n">
        <v>9</v>
      </c>
      <c r="L239" s="13" t="n"/>
      <c r="M239" s="13" t="n"/>
      <c r="N239" s="13" t="n"/>
      <c r="O239" s="13" t="n"/>
      <c r="P239" s="16">
        <f>IF(COUNT(E239:O239)=0,"",MIN(E239:O239))</f>
        <v/>
      </c>
      <c r="Q239" s="15">
        <f>IF(COUNT(E239:O239)=0,"",LOOKUP(2,1/(E239:O239&lt;&gt;""),E239:O239))</f>
        <v/>
      </c>
      <c r="R239" s="17">
        <f>IF(P239="","",ROUND(P239*RESUMEN!$B$4,0))</f>
        <v/>
      </c>
      <c r="S239" s="18">
        <f>COUNT(E239:O239)</f>
        <v/>
      </c>
    </row>
    <row r="240">
      <c r="A240" s="13" t="inlineStr">
        <is>
          <t>12731906776716</t>
        </is>
      </c>
      <c r="B240" s="13" t="inlineStr">
        <is>
          <t>COLLAR CORAZ√ìN SILVER</t>
        </is>
      </c>
      <c r="C240" s="13" t="inlineStr">
        <is>
          <t>44 cm / dije 2.5cm</t>
        </is>
      </c>
      <c r="D240" s="14" t="inlineStr">
        <is>
          <t>Brass</t>
        </is>
      </c>
      <c r="E240" s="13" t="n"/>
      <c r="F240" s="13" t="n"/>
      <c r="G240" s="13" t="n"/>
      <c r="H240" s="13" t="n"/>
      <c r="I240" s="13" t="n"/>
      <c r="J240" s="15" t="n">
        <v>9</v>
      </c>
      <c r="K240" s="15" t="n">
        <v>9</v>
      </c>
      <c r="L240" s="13" t="n"/>
      <c r="M240" s="13" t="n"/>
      <c r="N240" s="13" t="n"/>
      <c r="O240" s="13" t="n"/>
      <c r="P240" s="16">
        <f>IF(COUNT(E240:O240)=0,"",MIN(E240:O240))</f>
        <v/>
      </c>
      <c r="Q240" s="15">
        <f>IF(COUNT(E240:O240)=0,"",LOOKUP(2,1/(E240:O240&lt;&gt;""),E240:O240))</f>
        <v/>
      </c>
      <c r="R240" s="17">
        <f>IF(P240="","",ROUND(P240*RESUMEN!$B$4,0))</f>
        <v/>
      </c>
      <c r="S240" s="18">
        <f>COUNT(E240:O240)</f>
        <v/>
      </c>
    </row>
    <row r="241">
      <c r="A241" s="13" t="inlineStr">
        <is>
          <t>46022281088705</t>
        </is>
      </c>
      <c r="B241" s="13" t="inlineStr">
        <is>
          <t>COLLAR CORAZ√ìN SILVER</t>
        </is>
      </c>
      <c r="C241" s="13" t="inlineStr">
        <is>
          <t>titanio 45cm / dije 1cm</t>
        </is>
      </c>
      <c r="D241" s="14" t="inlineStr">
        <is>
          <t>Brass</t>
        </is>
      </c>
      <c r="E241" s="15" t="n">
        <v>9</v>
      </c>
      <c r="F241" s="13" t="n"/>
      <c r="G241" s="13" t="n"/>
      <c r="H241" s="13" t="n"/>
      <c r="I241" s="15" t="n">
        <v>9</v>
      </c>
      <c r="J241" s="15" t="n">
        <v>9</v>
      </c>
      <c r="K241" s="15" t="n">
        <v>9</v>
      </c>
      <c r="L241" s="13" t="n"/>
      <c r="M241" s="13" t="n"/>
      <c r="N241" s="13" t="n"/>
      <c r="O241" s="13" t="n"/>
      <c r="P241" s="16">
        <f>IF(COUNT(E241:O241)=0,"",MIN(E241:O241))</f>
        <v/>
      </c>
      <c r="Q241" s="15">
        <f>IF(COUNT(E241:O241)=0,"",LOOKUP(2,1/(E241:O241&lt;&gt;""),E241:O241))</f>
        <v/>
      </c>
      <c r="R241" s="17">
        <f>IF(P241="","",ROUND(P241*RESUMEN!$B$4,0))</f>
        <v/>
      </c>
      <c r="S241" s="18">
        <f>COUNT(E241:O241)</f>
        <v/>
      </c>
    </row>
    <row r="242">
      <c r="A242" s="13" t="inlineStr">
        <is>
          <t>81420901016909</t>
        </is>
      </c>
      <c r="B242" s="13" t="inlineStr">
        <is>
          <t>COLLAR DE CADENA GC SCRIPT GOLD</t>
        </is>
      </c>
      <c r="C242" s="13" t="inlineStr">
        <is>
          <t>Default Title</t>
        </is>
      </c>
      <c r="D242" s="14" t="inlineStr">
        <is>
          <t>Brass</t>
        </is>
      </c>
      <c r="E242" s="13" t="n"/>
      <c r="F242" s="15" t="n">
        <v>9</v>
      </c>
      <c r="G242" s="13" t="n"/>
      <c r="H242" s="13" t="n"/>
      <c r="I242" s="13" t="n"/>
      <c r="J242" s="15" t="n">
        <v>9</v>
      </c>
      <c r="K242" s="15" t="n">
        <v>9</v>
      </c>
      <c r="L242" s="13" t="n"/>
      <c r="M242" s="15" t="n">
        <v>9</v>
      </c>
      <c r="N242" s="13" t="n"/>
      <c r="O242" s="13" t="n"/>
      <c r="P242" s="16">
        <f>IF(COUNT(E242:O242)=0,"",MIN(E242:O242))</f>
        <v/>
      </c>
      <c r="Q242" s="15">
        <f>IF(COUNT(E242:O242)=0,"",LOOKUP(2,1/(E242:O242&lt;&gt;""),E242:O242))</f>
        <v/>
      </c>
      <c r="R242" s="17">
        <f>IF(P242="","",ROUND(P242*RESUMEN!$B$4,0))</f>
        <v/>
      </c>
      <c r="S242" s="18">
        <f>COUNT(E242:O242)</f>
        <v/>
      </c>
    </row>
    <row r="243">
      <c r="A243" s="13" t="inlineStr">
        <is>
          <t>22154981086081</t>
        </is>
      </c>
      <c r="B243" s="13" t="inlineStr">
        <is>
          <t>COLLAR DOBLE PLACA - GOLD PINK</t>
        </is>
      </c>
      <c r="C243" s="13" t="inlineStr">
        <is>
          <t>44.5cm</t>
        </is>
      </c>
      <c r="D243" s="14" t="inlineStr"/>
      <c r="E243" s="15" t="n">
        <v>9</v>
      </c>
      <c r="F243" s="13" t="n"/>
      <c r="G243" s="13" t="n"/>
      <c r="H243" s="13" t="n"/>
      <c r="I243" s="15" t="n">
        <v>9</v>
      </c>
      <c r="J243" s="13" t="n"/>
      <c r="K243" s="13" t="n"/>
      <c r="L243" s="13" t="n"/>
      <c r="M243" s="13" t="n"/>
      <c r="N243" s="13" t="n"/>
      <c r="O243" s="13" t="n"/>
      <c r="P243" s="16">
        <f>IF(COUNT(E243:O243)=0,"",MIN(E243:O243))</f>
        <v/>
      </c>
      <c r="Q243" s="15">
        <f>IF(COUNT(E243:O243)=0,"",LOOKUP(2,1/(E243:O243&lt;&gt;""),E243:O243))</f>
        <v/>
      </c>
      <c r="R243" s="17">
        <f>IF(P243="","",ROUND(P243*RESUMEN!$B$4,0))</f>
        <v/>
      </c>
      <c r="S243" s="18">
        <f>COUNT(E243:O243)</f>
        <v/>
      </c>
    </row>
    <row r="244">
      <c r="A244" s="13" t="inlineStr">
        <is>
          <t>668eee3eadc59</t>
        </is>
      </c>
      <c r="B244" s="13" t="inlineStr">
        <is>
          <t>COLLAR DOBLE PLACA CORAZÓN ROSA-PLATA</t>
        </is>
      </c>
      <c r="C244" s="13" t="inlineStr">
        <is>
          <t>HIGH QUALITY</t>
        </is>
      </c>
      <c r="D244" s="14" t="inlineStr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6">
        <f>IF(COUNT(E244:O244)=0,"",MIN(E244:O244))</f>
        <v/>
      </c>
      <c r="Q244" s="15">
        <f>IF(COUNT(E244:O244)=0,"",LOOKUP(2,1/(E244:O244&lt;&gt;""),E244:O244))</f>
        <v/>
      </c>
      <c r="R244" s="17">
        <f>IF(P244="","",ROUND(P244*RESUMEN!$B$4,0))</f>
        <v/>
      </c>
      <c r="S244" s="18">
        <f>COUNT(E244:O244)</f>
        <v/>
      </c>
    </row>
    <row r="245">
      <c r="A245" s="13" t="inlineStr">
        <is>
          <t>25156441068705</t>
        </is>
      </c>
      <c r="B245" s="13" t="inlineStr">
        <is>
          <t>COLLAR DOBLE PLACA-GOLD TURQUESA</t>
        </is>
      </c>
      <c r="C245" s="13" t="inlineStr">
        <is>
          <t>44.5cm</t>
        </is>
      </c>
      <c r="D245" s="14" t="inlineStr"/>
      <c r="E245" s="15" t="n">
        <v>9</v>
      </c>
      <c r="F245" s="13" t="n"/>
      <c r="G245" s="13" t="n"/>
      <c r="H245" s="13" t="n"/>
      <c r="I245" s="15" t="n">
        <v>9</v>
      </c>
      <c r="J245" s="13" t="n"/>
      <c r="K245" s="13" t="n"/>
      <c r="L245" s="13" t="n"/>
      <c r="M245" s="15" t="n">
        <v>9</v>
      </c>
      <c r="N245" s="13" t="n"/>
      <c r="O245" s="13" t="n"/>
      <c r="P245" s="16">
        <f>IF(COUNT(E245:O245)=0,"",MIN(E245:O245))</f>
        <v/>
      </c>
      <c r="Q245" s="15">
        <f>IF(COUNT(E245:O245)=0,"",LOOKUP(2,1/(E245:O245&lt;&gt;""),E245:O245))</f>
        <v/>
      </c>
      <c r="R245" s="17">
        <f>IF(P245="","",ROUND(P245*RESUMEN!$B$4,0))</f>
        <v/>
      </c>
      <c r="S245" s="18">
        <f>COUNT(E245:O245)</f>
        <v/>
      </c>
    </row>
    <row r="246">
      <c r="A246" s="13" t="inlineStr">
        <is>
          <t>87084241011085</t>
        </is>
      </c>
      <c r="B246" s="13" t="inlineStr">
        <is>
          <t>COLLAR F SILVER CON ZIRCONIA</t>
        </is>
      </c>
      <c r="C246" s="13" t="inlineStr">
        <is>
          <t>Default Title</t>
        </is>
      </c>
      <c r="D246" s="14" t="inlineStr">
        <is>
          <t>Brass + Zirconia</t>
        </is>
      </c>
      <c r="E246" s="13" t="n"/>
      <c r="F246" s="15" t="n">
        <v>9</v>
      </c>
      <c r="G246" s="13" t="n"/>
      <c r="H246" s="13" t="n"/>
      <c r="I246" s="13" t="n"/>
      <c r="J246" s="15" t="n">
        <v>9</v>
      </c>
      <c r="K246" s="15" t="n">
        <v>9</v>
      </c>
      <c r="L246" s="15" t="n">
        <v>9</v>
      </c>
      <c r="M246" s="13" t="n"/>
      <c r="N246" s="13" t="n"/>
      <c r="O246" s="13" t="n"/>
      <c r="P246" s="16">
        <f>IF(COUNT(E246:O246)=0,"",MIN(E246:O246))</f>
        <v/>
      </c>
      <c r="Q246" s="15">
        <f>IF(COUNT(E246:O246)=0,"",LOOKUP(2,1/(E246:O246&lt;&gt;""),E246:O246))</f>
        <v/>
      </c>
      <c r="R246" s="17">
        <f>IF(P246="","",ROUND(P246*RESUMEN!$B$4,0))</f>
        <v/>
      </c>
      <c r="S246" s="18">
        <f>COUNT(E246:O246)</f>
        <v/>
      </c>
    </row>
    <row r="247">
      <c r="A247" s="13" t="inlineStr">
        <is>
          <t>78326321018849</t>
        </is>
      </c>
      <c r="B247" s="13" t="inlineStr">
        <is>
          <t>COLLAR LOVESTRUCK</t>
        </is>
      </c>
      <c r="C247" s="13" t="inlineStr">
        <is>
          <t>43CM</t>
        </is>
      </c>
      <c r="D247" s="14" t="inlineStr">
        <is>
          <t>Brass</t>
        </is>
      </c>
      <c r="E247" s="15" t="n">
        <v>9</v>
      </c>
      <c r="F247" s="13" t="n"/>
      <c r="G247" s="13" t="n"/>
      <c r="H247" s="15" t="n">
        <v>9</v>
      </c>
      <c r="I247" s="13" t="n"/>
      <c r="J247" s="15" t="n">
        <v>6.5</v>
      </c>
      <c r="K247" s="15" t="n">
        <v>6.5</v>
      </c>
      <c r="L247" s="15" t="n">
        <v>8</v>
      </c>
      <c r="M247" s="15" t="n">
        <v>9</v>
      </c>
      <c r="N247" s="13" t="n"/>
      <c r="O247" s="15" t="n">
        <v>9</v>
      </c>
      <c r="P247" s="16">
        <f>IF(COUNT(E247:O247)=0,"",MIN(E247:O247))</f>
        <v/>
      </c>
      <c r="Q247" s="15">
        <f>IF(COUNT(E247:O247)=0,"",LOOKUP(2,1/(E247:O247&lt;&gt;""),E247:O247))</f>
        <v/>
      </c>
      <c r="R247" s="17">
        <f>IF(P247="","",ROUND(P247*RESUMEN!$B$4,0))</f>
        <v/>
      </c>
      <c r="S247" s="18">
        <f>COUNT(E247:O247)</f>
        <v/>
      </c>
    </row>
    <row r="248">
      <c r="A248" s="13" t="inlineStr">
        <is>
          <t>86290411075053</t>
        </is>
      </c>
      <c r="B248" s="13" t="inlineStr">
        <is>
          <t>COLLAR LV EVER BLOSSOM GOLD BLACK</t>
        </is>
      </c>
      <c r="C248" s="13" t="inlineStr">
        <is>
          <t>Default Title</t>
        </is>
      </c>
      <c r="D248" s="14" t="inlineStr">
        <is>
          <t>Brass + Zirconia</t>
        </is>
      </c>
      <c r="E248" s="13" t="n"/>
      <c r="F248" s="15" t="n">
        <v>8</v>
      </c>
      <c r="G248" s="13" t="n"/>
      <c r="H248" s="13" t="n"/>
      <c r="I248" s="13" t="n"/>
      <c r="J248" s="13" t="n"/>
      <c r="K248" s="13" t="n"/>
      <c r="L248" s="13" t="n"/>
      <c r="M248" s="15" t="n">
        <v>11</v>
      </c>
      <c r="N248" s="15" t="n">
        <v>8</v>
      </c>
      <c r="O248" s="13" t="n"/>
      <c r="P248" s="16">
        <f>IF(COUNT(E248:O248)=0,"",MIN(E248:O248))</f>
        <v/>
      </c>
      <c r="Q248" s="15">
        <f>IF(COUNT(E248:O248)=0,"",LOOKUP(2,1/(E248:O248&lt;&gt;""),E248:O248))</f>
        <v/>
      </c>
      <c r="R248" s="17">
        <f>IF(P248="","",ROUND(P248*RESUMEN!$B$4,0))</f>
        <v/>
      </c>
      <c r="S248" s="18">
        <f>COUNT(E248:O248)</f>
        <v/>
      </c>
    </row>
    <row r="249">
      <c r="A249" s="13" t="inlineStr">
        <is>
          <t>85563421017997</t>
        </is>
      </c>
      <c r="B249" s="13" t="inlineStr">
        <is>
          <t>COLLAR LV INSIGNIAS BLOSSOM GOLD BLACK</t>
        </is>
      </c>
      <c r="C249" s="13" t="inlineStr">
        <is>
          <t>Default Title</t>
        </is>
      </c>
      <c r="D249" s="14" t="inlineStr">
        <is>
          <t>Brass + Zirconia</t>
        </is>
      </c>
      <c r="E249" s="13" t="n"/>
      <c r="F249" s="15" t="n">
        <v>11</v>
      </c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6">
        <f>IF(COUNT(E249:O249)=0,"",MIN(E249:O249))</f>
        <v/>
      </c>
      <c r="Q249" s="15">
        <f>IF(COUNT(E249:O249)=0,"",LOOKUP(2,1/(E249:O249&lt;&gt;""),E249:O249))</f>
        <v/>
      </c>
      <c r="R249" s="17">
        <f>IF(P249="","",ROUND(P249*RESUMEN!$B$4,0))</f>
        <v/>
      </c>
      <c r="S249" s="18">
        <f>COUNT(E249:O249)</f>
        <v/>
      </c>
    </row>
    <row r="250">
      <c r="A250" s="13" t="inlineStr">
        <is>
          <t>99781783430157</t>
        </is>
      </c>
      <c r="B250" s="13" t="inlineStr">
        <is>
          <t>COLLAR LV SAILOR SOO</t>
        </is>
      </c>
      <c r="C250" s="13" t="inlineStr">
        <is>
          <t>Default Title</t>
        </is>
      </c>
      <c r="D250" s="14" t="inlineStr">
        <is>
          <t>Brass</t>
        </is>
      </c>
      <c r="E250" s="13" t="n"/>
      <c r="F250" s="13" t="n"/>
      <c r="G250" s="13" t="n"/>
      <c r="H250" s="13" t="n"/>
      <c r="I250" s="13" t="n"/>
      <c r="J250" s="15" t="n">
        <v>14</v>
      </c>
      <c r="K250" s="15" t="n">
        <v>14</v>
      </c>
      <c r="L250" s="13" t="n"/>
      <c r="M250" s="13" t="n"/>
      <c r="N250" s="13" t="n"/>
      <c r="O250" s="15" t="n">
        <v>14</v>
      </c>
      <c r="P250" s="16">
        <f>IF(COUNT(E250:O250)=0,"",MIN(E250:O250))</f>
        <v/>
      </c>
      <c r="Q250" s="15">
        <f>IF(COUNT(E250:O250)=0,"",LOOKUP(2,1/(E250:O250&lt;&gt;""),E250:O250))</f>
        <v/>
      </c>
      <c r="R250" s="17">
        <f>IF(P250="","",ROUND(P250*RESUMEN!$B$4,0))</f>
        <v/>
      </c>
      <c r="S250" s="18">
        <f>COUNT(E250:O250)</f>
        <v/>
      </c>
    </row>
    <row r="251">
      <c r="A251" s="13" t="inlineStr">
        <is>
          <t>79416181049069</t>
        </is>
      </c>
      <c r="B251" s="13" t="inlineStr">
        <is>
          <t>COLLAR MM GOLD BLACK</t>
        </is>
      </c>
      <c r="C251" s="13" t="inlineStr">
        <is>
          <t>BRASS</t>
        </is>
      </c>
      <c r="D251" s="14" t="inlineStr">
        <is>
          <t>Brass</t>
        </is>
      </c>
      <c r="E251" s="13" t="n"/>
      <c r="F251" s="15" t="n">
        <v>8</v>
      </c>
      <c r="G251" s="13" t="n"/>
      <c r="H251" s="13" t="n"/>
      <c r="I251" s="13" t="n"/>
      <c r="J251" s="13" t="n"/>
      <c r="K251" s="13" t="n"/>
      <c r="L251" s="13" t="n"/>
      <c r="M251" s="15" t="n">
        <v>8</v>
      </c>
      <c r="N251" s="13" t="n"/>
      <c r="O251" s="13" t="n"/>
      <c r="P251" s="16">
        <f>IF(COUNT(E251:O251)=0,"",MIN(E251:O251))</f>
        <v/>
      </c>
      <c r="Q251" s="15">
        <f>IF(COUNT(E251:O251)=0,"",LOOKUP(2,1/(E251:O251&lt;&gt;""),E251:O251))</f>
        <v/>
      </c>
      <c r="R251" s="17">
        <f>IF(P251="","",ROUND(P251*RESUMEN!$B$4,0))</f>
        <v/>
      </c>
      <c r="S251" s="18">
        <f>COUNT(E251:O251)</f>
        <v/>
      </c>
    </row>
    <row r="252">
      <c r="A252" s="13" t="inlineStr">
        <is>
          <t>79416181049070</t>
        </is>
      </c>
      <c r="B252" s="13" t="inlineStr">
        <is>
          <t>COLLAR MM GOLD BLACK</t>
        </is>
      </c>
      <c r="C252" s="13" t="inlineStr">
        <is>
          <t>COPPER</t>
        </is>
      </c>
      <c r="D252" s="14" t="inlineStr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5" t="n">
        <v>8</v>
      </c>
      <c r="P252" s="16">
        <f>IF(COUNT(E252:O252)=0,"",MIN(E252:O252))</f>
        <v/>
      </c>
      <c r="Q252" s="15">
        <f>IF(COUNT(E252:O252)=0,"",LOOKUP(2,1/(E252:O252&lt;&gt;""),E252:O252))</f>
        <v/>
      </c>
      <c r="R252" s="17">
        <f>IF(P252="","",ROUND(P252*RESUMEN!$B$4,0))</f>
        <v/>
      </c>
      <c r="S252" s="18">
        <f>COUNT(E252:O252)</f>
        <v/>
      </c>
    </row>
    <row r="253">
      <c r="A253" s="13" t="inlineStr">
        <is>
          <t>79958551028717</t>
        </is>
      </c>
      <c r="B253" s="13" t="inlineStr">
        <is>
          <t>COLLAR MM HEART GOLD BLUE</t>
        </is>
      </c>
      <c r="C253" s="13" t="inlineStr">
        <is>
          <t>Default Title</t>
        </is>
      </c>
      <c r="D253" s="14" t="inlineStr">
        <is>
          <t>Brass</t>
        </is>
      </c>
      <c r="E253" s="13" t="n"/>
      <c r="F253" s="15" t="n">
        <v>9</v>
      </c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6">
        <f>IF(COUNT(E253:O253)=0,"",MIN(E253:O253))</f>
        <v/>
      </c>
      <c r="Q253" s="15">
        <f>IF(COUNT(E253:O253)=0,"",LOOKUP(2,1/(E253:O253&lt;&gt;""),E253:O253))</f>
        <v/>
      </c>
      <c r="R253" s="17">
        <f>IF(P253="","",ROUND(P253*RESUMEN!$B$4,0))</f>
        <v/>
      </c>
      <c r="S253" s="18">
        <f>COUNT(E253:O253)</f>
        <v/>
      </c>
    </row>
    <row r="254">
      <c r="A254" s="13" t="inlineStr">
        <is>
          <t>34241171019789</t>
        </is>
      </c>
      <c r="B254" s="13" t="inlineStr">
        <is>
          <t>COLLAR MM LOGO SILVER CON ZIRCONIA</t>
        </is>
      </c>
      <c r="C254" s="13" t="inlineStr">
        <is>
          <t>Default Title</t>
        </is>
      </c>
      <c r="D254" s="14" t="inlineStr">
        <is>
          <t>Brass</t>
        </is>
      </c>
      <c r="E254" s="13" t="n"/>
      <c r="F254" s="15" t="n">
        <v>10</v>
      </c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6">
        <f>IF(COUNT(E254:O254)=0,"",MIN(E254:O254))</f>
        <v/>
      </c>
      <c r="Q254" s="15">
        <f>IF(COUNT(E254:O254)=0,"",LOOKUP(2,1/(E254:O254&lt;&gt;""),E254:O254))</f>
        <v/>
      </c>
      <c r="R254" s="17">
        <f>IF(P254="","",ROUND(P254*RESUMEN!$B$4,0))</f>
        <v/>
      </c>
      <c r="S254" s="18">
        <f>COUNT(E254:O254)</f>
        <v/>
      </c>
    </row>
    <row r="255">
      <c r="A255" s="13" t="inlineStr">
        <is>
          <t>78439551060397</t>
        </is>
      </c>
      <c r="B255" s="13" t="inlineStr">
        <is>
          <t>COLLAR MM SILVER WHITE</t>
        </is>
      </c>
      <c r="C255" s="13" t="inlineStr">
        <is>
          <t>Default Title</t>
        </is>
      </c>
      <c r="D255" s="14" t="inlineStr">
        <is>
          <t>Brass</t>
        </is>
      </c>
      <c r="E255" s="13" t="n"/>
      <c r="F255" s="15" t="n">
        <v>8</v>
      </c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6">
        <f>IF(COUNT(E255:O255)=0,"",MIN(E255:O255))</f>
        <v/>
      </c>
      <c r="Q255" s="15">
        <f>IF(COUNT(E255:O255)=0,"",LOOKUP(2,1/(E255:O255&lt;&gt;""),E255:O255))</f>
        <v/>
      </c>
      <c r="R255" s="17">
        <f>IF(P255="","",ROUND(P255*RESUMEN!$B$4,0))</f>
        <v/>
      </c>
      <c r="S255" s="18">
        <f>COUNT(E255:O255)</f>
        <v/>
      </c>
    </row>
    <row r="256">
      <c r="A256" s="13" t="inlineStr">
        <is>
          <t>32438791094701</t>
        </is>
      </c>
      <c r="B256" s="13" t="inlineStr">
        <is>
          <t>COLLAR T CORAZÓN CON ZIRCONIA</t>
        </is>
      </c>
      <c r="C256" s="13" t="inlineStr">
        <is>
          <t>Default Title</t>
        </is>
      </c>
      <c r="D256" s="14" t="inlineStr"/>
      <c r="E256" s="13" t="n"/>
      <c r="F256" s="13" t="n"/>
      <c r="G256" s="13" t="n"/>
      <c r="H256" s="15" t="n">
        <v>9</v>
      </c>
      <c r="I256" s="13" t="n"/>
      <c r="J256" s="13" t="n"/>
      <c r="K256" s="13" t="n"/>
      <c r="L256" s="13" t="n"/>
      <c r="M256" s="13" t="n"/>
      <c r="N256" s="13" t="n"/>
      <c r="O256" s="13" t="n"/>
      <c r="P256" s="16">
        <f>IF(COUNT(E256:O256)=0,"",MIN(E256:O256))</f>
        <v/>
      </c>
      <c r="Q256" s="15">
        <f>IF(COUNT(E256:O256)=0,"",LOOKUP(2,1/(E256:O256&lt;&gt;""),E256:O256))</f>
        <v/>
      </c>
      <c r="R256" s="17">
        <f>IF(P256="","",ROUND(P256*RESUMEN!$B$4,0))</f>
        <v/>
      </c>
      <c r="S256" s="18">
        <f>COUNT(E256:O256)</f>
        <v/>
      </c>
    </row>
    <row r="257">
      <c r="A257" s="13" t="inlineStr">
        <is>
          <t>90883811004365</t>
        </is>
      </c>
      <c r="B257" s="13" t="inlineStr">
        <is>
          <t>COLLAR T CORAZÓN CON ZIRCONIA</t>
        </is>
      </c>
      <c r="C257" s="13" t="inlineStr">
        <is>
          <t>HIGH QUALITY</t>
        </is>
      </c>
      <c r="D257" s="14" t="inlineStr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5" t="n">
        <v>9</v>
      </c>
      <c r="N257" s="15" t="n">
        <v>9</v>
      </c>
      <c r="O257" s="13" t="n"/>
      <c r="P257" s="16">
        <f>IF(COUNT(E257:O257)=0,"",MIN(E257:O257))</f>
        <v/>
      </c>
      <c r="Q257" s="15">
        <f>IF(COUNT(E257:O257)=0,"",LOOKUP(2,1/(E257:O257&lt;&gt;""),E257:O257))</f>
        <v/>
      </c>
      <c r="R257" s="17">
        <f>IF(P257="","",ROUND(P257*RESUMEN!$B$4,0))</f>
        <v/>
      </c>
      <c r="S257" s="18">
        <f>COUNT(E257:O257)</f>
        <v/>
      </c>
    </row>
    <row r="258">
      <c r="A258" s="13" t="inlineStr">
        <is>
          <t>57913391088461</t>
        </is>
      </c>
      <c r="B258" s="13" t="inlineStr">
        <is>
          <t>COLLAR T ESLABONES GOLD CON PEARL</t>
        </is>
      </c>
      <c r="C258" s="13" t="inlineStr">
        <is>
          <t>HIGH QUALITY</t>
        </is>
      </c>
      <c r="D258" s="14" t="inlineStr">
        <is>
          <t>Brass + Pearl</t>
        </is>
      </c>
      <c r="E258" s="13" t="n"/>
      <c r="F258" s="15" t="n">
        <v>17</v>
      </c>
      <c r="G258" s="13" t="n"/>
      <c r="H258" s="13" t="n"/>
      <c r="I258" s="15" t="n">
        <v>17</v>
      </c>
      <c r="J258" s="13" t="n"/>
      <c r="K258" s="13" t="n"/>
      <c r="L258" s="13" t="n"/>
      <c r="M258" s="13" t="n"/>
      <c r="N258" s="13" t="n"/>
      <c r="O258" s="13" t="n"/>
      <c r="P258" s="16">
        <f>IF(COUNT(E258:O258)=0,"",MIN(E258:O258))</f>
        <v/>
      </c>
      <c r="Q258" s="15">
        <f>IF(COUNT(E258:O258)=0,"",LOOKUP(2,1/(E258:O258&lt;&gt;""),E258:O258))</f>
        <v/>
      </c>
      <c r="R258" s="17">
        <f>IF(P258="","",ROUND(P258*RESUMEN!$B$4,0))</f>
        <v/>
      </c>
      <c r="S258" s="18">
        <f>COUNT(E258:O258)</f>
        <v/>
      </c>
    </row>
    <row r="259">
      <c r="A259" s="13" t="inlineStr">
        <is>
          <t>40071861011917</t>
        </is>
      </c>
      <c r="B259" s="13" t="inlineStr">
        <is>
          <t>CONJUNTO DEPORTIVO A NEGRO</t>
        </is>
      </c>
      <c r="C259" s="13" t="inlineStr">
        <is>
          <t>M</t>
        </is>
      </c>
      <c r="D259" s="14" t="inlineStr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5" t="n">
        <v>24</v>
      </c>
      <c r="O259" s="13" t="n"/>
      <c r="P259" s="16">
        <f>IF(COUNT(E259:O259)=0,"",MIN(E259:O259))</f>
        <v/>
      </c>
      <c r="Q259" s="15">
        <f>IF(COUNT(E259:O259)=0,"",LOOKUP(2,1/(E259:O259&lt;&gt;""),E259:O259))</f>
        <v/>
      </c>
      <c r="R259" s="17">
        <f>IF(P259="","",ROUND(P259*RESUMEN!$B$4,0))</f>
        <v/>
      </c>
      <c r="S259" s="18">
        <f>COUNT(E259:O259)</f>
        <v/>
      </c>
    </row>
    <row r="260">
      <c r="A260" s="13" t="inlineStr">
        <is>
          <t>87904131075277</t>
        </is>
      </c>
      <c r="B260" s="13" t="inlineStr">
        <is>
          <t>GORRA A BLACK</t>
        </is>
      </c>
      <c r="C260" s="13" t="inlineStr">
        <is>
          <t>Default Title</t>
        </is>
      </c>
      <c r="D260" s="14" t="inlineStr">
        <is>
          <t>Canvas</t>
        </is>
      </c>
      <c r="E260" s="13" t="n"/>
      <c r="F260" s="15" t="n">
        <v>10</v>
      </c>
      <c r="G260" s="13" t="n"/>
      <c r="H260" s="13" t="n"/>
      <c r="I260" s="15" t="n">
        <v>10</v>
      </c>
      <c r="J260" s="13" t="n"/>
      <c r="K260" s="13" t="n"/>
      <c r="L260" s="13" t="n"/>
      <c r="M260" s="15" t="n">
        <v>10</v>
      </c>
      <c r="N260" s="15" t="n">
        <v>10</v>
      </c>
      <c r="O260" s="13" t="n"/>
      <c r="P260" s="16">
        <f>IF(COUNT(E260:O260)=0,"",MIN(E260:O260))</f>
        <v/>
      </c>
      <c r="Q260" s="15">
        <f>IF(COUNT(E260:O260)=0,"",LOOKUP(2,1/(E260:O260&lt;&gt;""),E260:O260))</f>
        <v/>
      </c>
      <c r="R260" s="17">
        <f>IF(P260="","",ROUND(P260*RESUMEN!$B$4,0))</f>
        <v/>
      </c>
      <c r="S260" s="18">
        <f>COUNT(E260:O260)</f>
        <v/>
      </c>
    </row>
    <row r="261">
      <c r="A261" s="13" t="inlineStr">
        <is>
          <t>18936841085197</t>
        </is>
      </c>
      <c r="B261" s="13" t="inlineStr">
        <is>
          <t>GORRA A BLACK AND WHITE</t>
        </is>
      </c>
      <c r="C261" s="13" t="inlineStr">
        <is>
          <t>Default Title</t>
        </is>
      </c>
      <c r="D261" s="14" t="inlineStr">
        <is>
          <t>Canvas</t>
        </is>
      </c>
      <c r="E261" s="13" t="n"/>
      <c r="F261" s="15" t="n">
        <v>10</v>
      </c>
      <c r="G261" s="13" t="n"/>
      <c r="H261" s="13" t="n"/>
      <c r="I261" s="13" t="n"/>
      <c r="J261" s="13" t="n"/>
      <c r="K261" s="13" t="n"/>
      <c r="L261" s="13" t="n"/>
      <c r="M261" s="15" t="n">
        <v>10</v>
      </c>
      <c r="N261" s="13" t="n"/>
      <c r="O261" s="13" t="n"/>
      <c r="P261" s="16">
        <f>IF(COUNT(E261:O261)=0,"",MIN(E261:O261))</f>
        <v/>
      </c>
      <c r="Q261" s="15">
        <f>IF(COUNT(E261:O261)=0,"",LOOKUP(2,1/(E261:O261&lt;&gt;""),E261:O261))</f>
        <v/>
      </c>
      <c r="R261" s="17">
        <f>IF(P261="","",ROUND(P261*RESUMEN!$B$4,0))</f>
        <v/>
      </c>
      <c r="S261" s="18">
        <f>COUNT(E261:O261)</f>
        <v/>
      </c>
    </row>
    <row r="262">
      <c r="A262" s="13" t="inlineStr">
        <is>
          <t>69943351015917</t>
        </is>
      </c>
      <c r="B262" s="13" t="inlineStr">
        <is>
          <t>GORRA A BROWN</t>
        </is>
      </c>
      <c r="C262" s="13" t="inlineStr">
        <is>
          <t>Default Title</t>
        </is>
      </c>
      <c r="D262" s="14" t="inlineStr">
        <is>
          <t>Canvas</t>
        </is>
      </c>
      <c r="E262" s="13" t="n"/>
      <c r="F262" s="15" t="n">
        <v>10</v>
      </c>
      <c r="G262" s="13" t="n"/>
      <c r="H262" s="13" t="n"/>
      <c r="I262" s="15" t="n">
        <v>10</v>
      </c>
      <c r="J262" s="13" t="n"/>
      <c r="K262" s="13" t="n"/>
      <c r="L262" s="13" t="n"/>
      <c r="M262" s="15" t="n">
        <v>10</v>
      </c>
      <c r="N262" s="15" t="n">
        <v>10</v>
      </c>
      <c r="O262" s="13" t="n"/>
      <c r="P262" s="16">
        <f>IF(COUNT(E262:O262)=0,"",MIN(E262:O262))</f>
        <v/>
      </c>
      <c r="Q262" s="15">
        <f>IF(COUNT(E262:O262)=0,"",LOOKUP(2,1/(E262:O262&lt;&gt;""),E262:O262))</f>
        <v/>
      </c>
      <c r="R262" s="17">
        <f>IF(P262="","",ROUND(P262*RESUMEN!$B$4,0))</f>
        <v/>
      </c>
      <c r="S262" s="18">
        <f>COUNT(E262:O262)</f>
        <v/>
      </c>
    </row>
    <row r="263">
      <c r="A263" s="13" t="inlineStr">
        <is>
          <t>19874081084045</t>
        </is>
      </c>
      <c r="B263" s="13" t="inlineStr">
        <is>
          <t>GORRA A WHITE</t>
        </is>
      </c>
      <c r="C263" s="13" t="inlineStr">
        <is>
          <t>Default Title</t>
        </is>
      </c>
      <c r="D263" s="14" t="inlineStr">
        <is>
          <t>Bag Material: Ny</t>
        </is>
      </c>
      <c r="E263" s="13" t="n"/>
      <c r="F263" s="15" t="n">
        <v>40</v>
      </c>
      <c r="G263" s="13" t="n"/>
      <c r="H263" s="13" t="n"/>
      <c r="I263" s="13" t="n"/>
      <c r="J263" s="13" t="n"/>
      <c r="K263" s="13" t="n"/>
      <c r="L263" s="13" t="n"/>
      <c r="M263" s="13" t="n"/>
      <c r="N263" s="15" t="n">
        <v>10</v>
      </c>
      <c r="O263" s="13" t="n"/>
      <c r="P263" s="16">
        <f>IF(COUNT(E263:O263)=0,"",MIN(E263:O263))</f>
        <v/>
      </c>
      <c r="Q263" s="15">
        <f>IF(COUNT(E263:O263)=0,"",LOOKUP(2,1/(E263:O263&lt;&gt;""),E263:O263))</f>
        <v/>
      </c>
      <c r="R263" s="17">
        <f>IF(P263="","",ROUND(P263*RESUMEN!$B$4,0))</f>
        <v/>
      </c>
      <c r="S263" s="18">
        <f>COUNT(E263:O263)</f>
        <v/>
      </c>
    </row>
    <row r="264">
      <c r="A264" s="13" t="inlineStr">
        <is>
          <t>03382867546764</t>
        </is>
      </c>
      <c r="B264" s="13" t="inlineStr">
        <is>
          <t>GORRA C BEIGE</t>
        </is>
      </c>
      <c r="C264" s="13" t="inlineStr">
        <is>
          <t>M (AJUSTABLE</t>
        </is>
      </c>
      <c r="D264" s="14" t="inlineStr">
        <is>
          <t>0</t>
        </is>
      </c>
      <c r="E264" s="13" t="n"/>
      <c r="F264" s="13" t="n"/>
      <c r="G264" s="13" t="n"/>
      <c r="H264" s="13" t="n"/>
      <c r="I264" s="15" t="n">
        <v>18</v>
      </c>
      <c r="J264" s="13" t="n"/>
      <c r="K264" s="13" t="n"/>
      <c r="L264" s="13" t="n"/>
      <c r="M264" s="13" t="n"/>
      <c r="N264" s="13" t="n"/>
      <c r="O264" s="13" t="n"/>
      <c r="P264" s="16">
        <f>IF(COUNT(E264:O264)=0,"",MIN(E264:O264))</f>
        <v/>
      </c>
      <c r="Q264" s="15">
        <f>IF(COUNT(E264:O264)=0,"",LOOKUP(2,1/(E264:O264&lt;&gt;""),E264:O264))</f>
        <v/>
      </c>
      <c r="R264" s="17">
        <f>IF(P264="","",ROUND(P264*RESUMEN!$B$4,0))</f>
        <v/>
      </c>
      <c r="S264" s="18">
        <f>COUNT(E264:O264)</f>
        <v/>
      </c>
    </row>
    <row r="265">
      <c r="A265" s="13" t="inlineStr">
        <is>
          <t>3382867546764</t>
        </is>
      </c>
      <c r="B265" s="13" t="inlineStr">
        <is>
          <t>GORRA C BEIGE</t>
        </is>
      </c>
      <c r="C265" s="13" t="inlineStr">
        <is>
          <t>M (AJUSTABLE</t>
        </is>
      </c>
      <c r="D265" s="14" t="inlineStr"/>
      <c r="E265" s="15" t="n">
        <v>18</v>
      </c>
      <c r="F265" s="13" t="n"/>
      <c r="G265" s="13" t="n"/>
      <c r="H265" s="15" t="n">
        <v>18</v>
      </c>
      <c r="I265" s="13" t="n"/>
      <c r="J265" s="13" t="n"/>
      <c r="K265" s="13" t="n"/>
      <c r="L265" s="13" t="n"/>
      <c r="M265" s="15" t="n">
        <v>18</v>
      </c>
      <c r="N265" s="13" t="n"/>
      <c r="O265" s="13" t="n"/>
      <c r="P265" s="16">
        <f>IF(COUNT(E265:O265)=0,"",MIN(E265:O265))</f>
        <v/>
      </c>
      <c r="Q265" s="15">
        <f>IF(COUNT(E265:O265)=0,"",LOOKUP(2,1/(E265:O265&lt;&gt;""),E265:O265))</f>
        <v/>
      </c>
      <c r="R265" s="17">
        <f>IF(P265="","",ROUND(P265*RESUMEN!$B$4,0))</f>
        <v/>
      </c>
      <c r="S265" s="18">
        <f>COUNT(E265:O265)</f>
        <v/>
      </c>
    </row>
    <row r="266">
      <c r="A266" s="13" t="inlineStr">
        <is>
          <t>3382853668492</t>
        </is>
      </c>
      <c r="B266" s="13" t="inlineStr">
        <is>
          <t>GORRA C BLACK</t>
        </is>
      </c>
      <c r="C266" s="13" t="inlineStr">
        <is>
          <t>M (AJUSTABLE)</t>
        </is>
      </c>
      <c r="D266" s="14" t="inlineStr">
        <is>
          <t>Canvas</t>
        </is>
      </c>
      <c r="E266" s="13" t="n"/>
      <c r="F266" s="13" t="n"/>
      <c r="G266" s="15" t="n">
        <v>18</v>
      </c>
      <c r="H266" s="15" t="n">
        <v>18</v>
      </c>
      <c r="I266" s="15" t="n">
        <v>18</v>
      </c>
      <c r="J266" s="15" t="n">
        <v>18</v>
      </c>
      <c r="K266" s="15" t="n">
        <v>18</v>
      </c>
      <c r="L266" s="15" t="n">
        <v>18</v>
      </c>
      <c r="M266" s="13" t="n"/>
      <c r="N266" s="13" t="n"/>
      <c r="O266" s="13" t="n"/>
      <c r="P266" s="16">
        <f>IF(COUNT(E266:O266)=0,"",MIN(E266:O266))</f>
        <v/>
      </c>
      <c r="Q266" s="15">
        <f>IF(COUNT(E266:O266)=0,"",LOOKUP(2,1/(E266:O266&lt;&gt;""),E266:O266))</f>
        <v/>
      </c>
      <c r="R266" s="17">
        <f>IF(P266="","",ROUND(P266*RESUMEN!$B$4,0))</f>
        <v/>
      </c>
      <c r="S266" s="18">
        <f>COUNT(E266:O266)</f>
        <v/>
      </c>
    </row>
    <row r="267">
      <c r="A267" s="13" t="inlineStr">
        <is>
          <t>99781782742573</t>
        </is>
      </c>
      <c r="B267" s="13" t="inlineStr">
        <is>
          <t>GORRA C DENIM LAVADO</t>
        </is>
      </c>
      <c r="C267" s="13" t="inlineStr">
        <is>
          <t>Default Title</t>
        </is>
      </c>
      <c r="D267" s="14" t="inlineStr">
        <is>
          <t>Hat Material: De</t>
        </is>
      </c>
      <c r="E267" s="13" t="n"/>
      <c r="F267" s="13" t="n"/>
      <c r="G267" s="13" t="n"/>
      <c r="H267" s="13" t="n"/>
      <c r="I267" s="13" t="n"/>
      <c r="J267" s="15" t="n">
        <v>17</v>
      </c>
      <c r="K267" s="15" t="n">
        <v>17</v>
      </c>
      <c r="L267" s="13" t="n"/>
      <c r="M267" s="15" t="n">
        <v>17</v>
      </c>
      <c r="N267" s="13" t="n"/>
      <c r="O267" s="15" t="n">
        <v>17</v>
      </c>
      <c r="P267" s="16">
        <f>IF(COUNT(E267:O267)=0,"",MIN(E267:O267))</f>
        <v/>
      </c>
      <c r="Q267" s="15">
        <f>IF(COUNT(E267:O267)=0,"",LOOKUP(2,1/(E267:O267&lt;&gt;""),E267:O267))</f>
        <v/>
      </c>
      <c r="R267" s="17">
        <f>IF(P267="","",ROUND(P267*RESUMEN!$B$4,0))</f>
        <v/>
      </c>
      <c r="S267" s="18">
        <f>COUNT(E267:O267)</f>
        <v/>
      </c>
    </row>
    <row r="268">
      <c r="A268" s="13" t="inlineStr">
        <is>
          <t>654bdbd8c9587</t>
        </is>
      </c>
      <c r="B268" s="13" t="inlineStr">
        <is>
          <t>GORRA C WHITE</t>
        </is>
      </c>
      <c r="C268" s="13" t="inlineStr">
        <is>
          <t>M (AJUSTABLE)</t>
        </is>
      </c>
      <c r="D268" s="14" t="inlineStr">
        <is>
          <t>canvas</t>
        </is>
      </c>
      <c r="E268" s="13" t="n"/>
      <c r="F268" s="13" t="n"/>
      <c r="G268" s="13" t="n"/>
      <c r="H268" s="15" t="n">
        <v>18</v>
      </c>
      <c r="I268" s="15" t="n">
        <v>18</v>
      </c>
      <c r="J268" s="13" t="n"/>
      <c r="K268" s="13" t="n"/>
      <c r="L268" s="13" t="n"/>
      <c r="M268" s="13" t="n"/>
      <c r="N268" s="13" t="n"/>
      <c r="O268" s="13" t="n"/>
      <c r="P268" s="16">
        <f>IF(COUNT(E268:O268)=0,"",MIN(E268:O268))</f>
        <v/>
      </c>
      <c r="Q268" s="15">
        <f>IF(COUNT(E268:O268)=0,"",LOOKUP(2,1/(E268:O268&lt;&gt;""),E268:O268))</f>
        <v/>
      </c>
      <c r="R268" s="17">
        <f>IF(P268="","",ROUND(P268*RESUMEN!$B$4,0))</f>
        <v/>
      </c>
      <c r="S268" s="18">
        <f>COUNT(E268:O268)</f>
        <v/>
      </c>
    </row>
    <row r="269">
      <c r="A269" s="13" t="inlineStr">
        <is>
          <t>29953901022861</t>
        </is>
      </c>
      <c r="B269" s="13" t="inlineStr">
        <is>
          <t>GORRA CC WHITE</t>
        </is>
      </c>
      <c r="C269" s="13" t="inlineStr"/>
      <c r="D269" s="14" t="inlineStr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5" t="n">
        <v>18</v>
      </c>
      <c r="P269" s="16">
        <f>IF(COUNT(E269:O269)=0,"",MIN(E269:O269))</f>
        <v/>
      </c>
      <c r="Q269" s="15">
        <f>IF(COUNT(E269:O269)=0,"",LOOKUP(2,1/(E269:O269&lt;&gt;""),E269:O269))</f>
        <v/>
      </c>
      <c r="R269" s="17">
        <f>IF(P269="","",ROUND(P269*RESUMEN!$B$4,0))</f>
        <v/>
      </c>
      <c r="S269" s="18">
        <f>COUNT(E269:O269)</f>
        <v/>
      </c>
    </row>
    <row r="270">
      <c r="A270" s="13" t="inlineStr">
        <is>
          <t>93098782449965</t>
        </is>
      </c>
      <c r="B270" s="13" t="inlineStr">
        <is>
          <t>GORRA LV MY PARIS</t>
        </is>
      </c>
      <c r="C270" s="13" t="inlineStr">
        <is>
          <t>Default Title</t>
        </is>
      </c>
      <c r="D270" s="14" t="inlineStr">
        <is>
          <t>Canvas</t>
        </is>
      </c>
      <c r="E270" s="13" t="n"/>
      <c r="F270" s="13" t="n"/>
      <c r="G270" s="13" t="n"/>
      <c r="H270" s="13" t="n"/>
      <c r="I270" s="13" t="n"/>
      <c r="J270" s="15" t="n">
        <v>20</v>
      </c>
      <c r="K270" s="15" t="n">
        <v>20</v>
      </c>
      <c r="L270" s="13" t="n"/>
      <c r="M270" s="15" t="n">
        <v>20</v>
      </c>
      <c r="N270" s="15" t="n">
        <v>20</v>
      </c>
      <c r="O270" s="13" t="n"/>
      <c r="P270" s="16">
        <f>IF(COUNT(E270:O270)=0,"",MIN(E270:O270))</f>
        <v/>
      </c>
      <c r="Q270" s="15">
        <f>IF(COUNT(E270:O270)=0,"",LOOKUP(2,1/(E270:O270&lt;&gt;""),E270:O270))</f>
        <v/>
      </c>
      <c r="R270" s="17">
        <f>IF(P270="","",ROUND(P270*RESUMEN!$B$4,0))</f>
        <v/>
      </c>
      <c r="S270" s="18">
        <f>COUNT(E270:O270)</f>
        <v/>
      </c>
    </row>
    <row r="271">
      <c r="A271" s="13" t="inlineStr">
        <is>
          <t>37309581067981</t>
        </is>
      </c>
      <c r="B271" s="13" t="inlineStr">
        <is>
          <t>HOODIE ALLS BLACK</t>
        </is>
      </c>
      <c r="C271" s="13" t="inlineStr">
        <is>
          <t>M</t>
        </is>
      </c>
      <c r="D271" s="14" t="inlineStr">
        <is>
          <t>Material: Cotton</t>
        </is>
      </c>
      <c r="E271" s="13" t="n"/>
      <c r="F271" s="15" t="n">
        <v>35</v>
      </c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6">
        <f>IF(COUNT(E271:O271)=0,"",MIN(E271:O271))</f>
        <v/>
      </c>
      <c r="Q271" s="15">
        <f>IF(COUNT(E271:O271)=0,"",LOOKUP(2,1/(E271:O271&lt;&gt;""),E271:O271))</f>
        <v/>
      </c>
      <c r="R271" s="17">
        <f>IF(P271="","",ROUND(P271*RESUMEN!$B$4,0))</f>
        <v/>
      </c>
      <c r="S271" s="18">
        <f>COUNT(E271:O271)</f>
        <v/>
      </c>
    </row>
    <row r="272">
      <c r="A272" s="13" t="inlineStr">
        <is>
          <t>61050601014957</t>
        </is>
      </c>
      <c r="B272" s="13" t="inlineStr">
        <is>
          <t>LEGGINGS LLM BLACK</t>
        </is>
      </c>
      <c r="C272" s="13" t="inlineStr">
        <is>
          <t>2M ,1L</t>
        </is>
      </c>
      <c r="D272" s="14" t="inlineStr">
        <is>
          <t>Material: Spande</t>
        </is>
      </c>
      <c r="E272" s="13" t="n"/>
      <c r="F272" s="15" t="n">
        <v>25</v>
      </c>
      <c r="G272" s="13" t="n"/>
      <c r="H272" s="13" t="n"/>
      <c r="I272" s="13" t="n"/>
      <c r="J272" s="15" t="n">
        <v>25</v>
      </c>
      <c r="K272" s="15" t="n">
        <v>25</v>
      </c>
      <c r="L272" s="13" t="n"/>
      <c r="M272" s="13" t="n"/>
      <c r="N272" s="15" t="n">
        <v>25</v>
      </c>
      <c r="O272" s="13" t="n"/>
      <c r="P272" s="16">
        <f>IF(COUNT(E272:O272)=0,"",MIN(E272:O272))</f>
        <v/>
      </c>
      <c r="Q272" s="15">
        <f>IF(COUNT(E272:O272)=0,"",LOOKUP(2,1/(E272:O272&lt;&gt;""),E272:O272))</f>
        <v/>
      </c>
      <c r="R272" s="17">
        <f>IF(P272="","",ROUND(P272*RESUMEN!$B$4,0))</f>
        <v/>
      </c>
      <c r="S272" s="18">
        <f>COUNT(E272:O272)</f>
        <v/>
      </c>
    </row>
    <row r="273">
      <c r="A273" s="13" t="inlineStr">
        <is>
          <t>99781783219981</t>
        </is>
      </c>
      <c r="B273" s="13" t="inlineStr">
        <is>
          <t>LENTES C TRIOMPHIE 01</t>
        </is>
      </c>
      <c r="C273" s="13" t="inlineStr">
        <is>
          <t>BLACK</t>
        </is>
      </c>
      <c r="D273" s="14" t="inlineStr">
        <is>
          <t>Frame: Resin
Len</t>
        </is>
      </c>
      <c r="E273" s="13" t="n"/>
      <c r="F273" s="13" t="n"/>
      <c r="G273" s="13" t="n"/>
      <c r="H273" s="13" t="n"/>
      <c r="I273" s="13" t="n"/>
      <c r="J273" s="15" t="n">
        <v>32</v>
      </c>
      <c r="K273" s="15" t="n">
        <v>32</v>
      </c>
      <c r="L273" s="13" t="n"/>
      <c r="M273" s="13" t="n"/>
      <c r="N273" s="13" t="n"/>
      <c r="O273" s="13" t="n"/>
      <c r="P273" s="16">
        <f>IF(COUNT(E273:O273)=0,"",MIN(E273:O273))</f>
        <v/>
      </c>
      <c r="Q273" s="15">
        <f>IF(COUNT(E273:O273)=0,"",LOOKUP(2,1/(E273:O273&lt;&gt;""),E273:O273))</f>
        <v/>
      </c>
      <c r="R273" s="17">
        <f>IF(P273="","",ROUND(P273*RESUMEN!$B$4,0))</f>
        <v/>
      </c>
      <c r="S273" s="18">
        <f>COUNT(E273:O273)</f>
        <v/>
      </c>
    </row>
    <row r="274">
      <c r="A274" s="13" t="inlineStr">
        <is>
          <t>53794531101133</t>
        </is>
      </c>
      <c r="B274" s="13" t="inlineStr">
        <is>
          <t>LENTES CD CANNAGE S2U</t>
        </is>
      </c>
      <c r="C274" s="13" t="inlineStr">
        <is>
          <t>Default Title</t>
        </is>
      </c>
      <c r="D274" s="14" t="inlineStr">
        <is>
          <t>Frame: Resin
Len</t>
        </is>
      </c>
      <c r="E274" s="13" t="n"/>
      <c r="F274" s="13" t="n"/>
      <c r="G274" s="13" t="n"/>
      <c r="H274" s="13" t="n"/>
      <c r="I274" s="13" t="n"/>
      <c r="J274" s="15" t="n">
        <v>32</v>
      </c>
      <c r="K274" s="15" t="n">
        <v>32</v>
      </c>
      <c r="L274" s="13" t="n"/>
      <c r="M274" s="13" t="n"/>
      <c r="N274" s="13" t="n"/>
      <c r="O274" s="15" t="n">
        <v>32</v>
      </c>
      <c r="P274" s="16">
        <f>IF(COUNT(E274:O274)=0,"",MIN(E274:O274))</f>
        <v/>
      </c>
      <c r="Q274" s="15">
        <f>IF(COUNT(E274:O274)=0,"",LOOKUP(2,1/(E274:O274&lt;&gt;""),E274:O274))</f>
        <v/>
      </c>
      <c r="R274" s="17">
        <f>IF(P274="","",ROUND(P274*RESUMEN!$B$4,0))</f>
        <v/>
      </c>
      <c r="S274" s="18">
        <f>COUNT(E274:O274)</f>
        <v/>
      </c>
    </row>
    <row r="275">
      <c r="A275" s="13" t="inlineStr">
        <is>
          <t>33794531202829</t>
        </is>
      </c>
      <c r="B275" s="13" t="inlineStr">
        <is>
          <t>LENTES CD GLOW S1</t>
        </is>
      </c>
      <c r="C275" s="13" t="inlineStr">
        <is>
          <t>Default Title</t>
        </is>
      </c>
      <c r="D275" s="14" t="inlineStr">
        <is>
          <t>Stainless steel</t>
        </is>
      </c>
      <c r="E275" s="13" t="n"/>
      <c r="F275" s="13" t="n"/>
      <c r="G275" s="13" t="n"/>
      <c r="H275" s="13" t="n"/>
      <c r="I275" s="13" t="n"/>
      <c r="J275" s="15" t="n">
        <v>32</v>
      </c>
      <c r="K275" s="15" t="n">
        <v>32</v>
      </c>
      <c r="L275" s="13" t="n"/>
      <c r="M275" s="13" t="n"/>
      <c r="N275" s="15" t="n">
        <v>32</v>
      </c>
      <c r="O275" s="13" t="n"/>
      <c r="P275" s="16">
        <f>IF(COUNT(E275:O275)=0,"",MIN(E275:O275))</f>
        <v/>
      </c>
      <c r="Q275" s="15">
        <f>IF(COUNT(E275:O275)=0,"",LOOKUP(2,1/(E275:O275&lt;&gt;""),E275:O275))</f>
        <v/>
      </c>
      <c r="R275" s="17">
        <f>IF(P275="","",ROUND(P275*RESUMEN!$B$4,0))</f>
        <v/>
      </c>
      <c r="S275" s="18">
        <f>COUNT(E275:O275)</f>
        <v/>
      </c>
    </row>
    <row r="276">
      <c r="A276" s="13" t="inlineStr">
        <is>
          <t>93794531066669</t>
        </is>
      </c>
      <c r="B276" s="13" t="inlineStr">
        <is>
          <t>LENTES CD M1U</t>
        </is>
      </c>
      <c r="C276" s="13" t="inlineStr">
        <is>
          <t>Default Title</t>
        </is>
      </c>
      <c r="D276" s="14" t="inlineStr">
        <is>
          <t>Frame: Resin
Len</t>
        </is>
      </c>
      <c r="E276" s="13" t="n"/>
      <c r="F276" s="13" t="n"/>
      <c r="G276" s="13" t="n"/>
      <c r="H276" s="13" t="n"/>
      <c r="I276" s="13" t="n"/>
      <c r="J276" s="15" t="n">
        <v>32</v>
      </c>
      <c r="K276" s="15" t="n">
        <v>32</v>
      </c>
      <c r="L276" s="13" t="n"/>
      <c r="M276" s="15" t="n">
        <v>32</v>
      </c>
      <c r="N276" s="13" t="n"/>
      <c r="O276" s="13" t="n"/>
      <c r="P276" s="16">
        <f>IF(COUNT(E276:O276)=0,"",MIN(E276:O276))</f>
        <v/>
      </c>
      <c r="Q276" s="15">
        <f>IF(COUNT(E276:O276)=0,"",LOOKUP(2,1/(E276:O276&lt;&gt;""),E276:O276))</f>
        <v/>
      </c>
      <c r="R276" s="17">
        <f>IF(P276="","",ROUND(P276*RESUMEN!$B$4,0))</f>
        <v/>
      </c>
      <c r="S276" s="18">
        <f>COUNT(E276:O276)</f>
        <v/>
      </c>
    </row>
    <row r="277">
      <c r="A277" s="13" t="inlineStr">
        <is>
          <t>43794531550861</t>
        </is>
      </c>
      <c r="B277" s="13" t="inlineStr">
        <is>
          <t>LENTES CD PACIFIC R1</t>
        </is>
      </c>
      <c r="C277" s="13" t="inlineStr">
        <is>
          <t>Default Title</t>
        </is>
      </c>
      <c r="D277" s="14" t="inlineStr">
        <is>
          <t>Frame: Resin
Len</t>
        </is>
      </c>
      <c r="E277" s="13" t="n"/>
      <c r="F277" s="13" t="n"/>
      <c r="G277" s="13" t="n"/>
      <c r="H277" s="13" t="n"/>
      <c r="I277" s="13" t="n"/>
      <c r="J277" s="15" t="n">
        <v>32</v>
      </c>
      <c r="K277" s="15" t="n">
        <v>32</v>
      </c>
      <c r="L277" s="13" t="n"/>
      <c r="M277" s="15" t="n">
        <v>32</v>
      </c>
      <c r="N277" s="13" t="n"/>
      <c r="O277" s="15" t="n">
        <v>32</v>
      </c>
      <c r="P277" s="16">
        <f>IF(COUNT(E277:O277)=0,"",MIN(E277:O277))</f>
        <v/>
      </c>
      <c r="Q277" s="15">
        <f>IF(COUNT(E277:O277)=0,"",LOOKUP(2,1/(E277:O277&lt;&gt;""),E277:O277))</f>
        <v/>
      </c>
      <c r="R277" s="17">
        <f>IF(P277="","",ROUND(P277*RESUMEN!$B$4,0))</f>
        <v/>
      </c>
      <c r="S277" s="18">
        <f>COUNT(E277:O277)</f>
        <v/>
      </c>
    </row>
    <row r="278">
      <c r="A278" s="13" t="inlineStr">
        <is>
          <t>63794531345773</t>
        </is>
      </c>
      <c r="B278" s="13" t="inlineStr">
        <is>
          <t>LENTES CD SIGNATURE B8U</t>
        </is>
      </c>
      <c r="C278" s="13" t="inlineStr"/>
      <c r="D278" s="14" t="inlineStr">
        <is>
          <t>Frame: Resin
Len</t>
        </is>
      </c>
      <c r="E278" s="13" t="n"/>
      <c r="F278" s="13" t="n"/>
      <c r="G278" s="13" t="n"/>
      <c r="H278" s="13" t="n"/>
      <c r="I278" s="13" t="n"/>
      <c r="J278" s="15" t="n">
        <v>32</v>
      </c>
      <c r="K278" s="15" t="n">
        <v>32</v>
      </c>
      <c r="L278" s="13" t="n"/>
      <c r="M278" s="13" t="n"/>
      <c r="N278" s="13" t="n"/>
      <c r="O278" s="13" t="n"/>
      <c r="P278" s="16">
        <f>IF(COUNT(E278:O278)=0,"",MIN(E278:O278))</f>
        <v/>
      </c>
      <c r="Q278" s="15">
        <f>IF(COUNT(E278:O278)=0,"",LOOKUP(2,1/(E278:O278&lt;&gt;""),E278:O278))</f>
        <v/>
      </c>
      <c r="R278" s="17">
        <f>IF(P278="","",ROUND(P278*RESUMEN!$B$4,0))</f>
        <v/>
      </c>
      <c r="S278" s="18">
        <f>COUNT(E278:O278)</f>
        <v/>
      </c>
    </row>
    <row r="279">
      <c r="A279" s="13" t="inlineStr">
        <is>
          <t>43728083615436</t>
        </is>
      </c>
      <c r="B279" s="13" t="inlineStr">
        <is>
          <t>LENTES CD SIGNATURE SI21</t>
        </is>
      </c>
      <c r="C279" s="13" t="inlineStr">
        <is>
          <t>Default Title</t>
        </is>
      </c>
      <c r="D279" s="14" t="inlineStr">
        <is>
          <t>0</t>
        </is>
      </c>
      <c r="E279" s="13" t="n"/>
      <c r="F279" s="13" t="n"/>
      <c r="G279" s="13" t="n"/>
      <c r="H279" s="15" t="n">
        <v>36</v>
      </c>
      <c r="I279" s="15" t="n">
        <v>36</v>
      </c>
      <c r="J279" s="13" t="n"/>
      <c r="K279" s="13" t="n"/>
      <c r="L279" s="13" t="n"/>
      <c r="M279" s="13" t="n"/>
      <c r="N279" s="13" t="n"/>
      <c r="O279" s="15" t="n">
        <v>36</v>
      </c>
      <c r="P279" s="16">
        <f>IF(COUNT(E279:O279)=0,"",MIN(E279:O279))</f>
        <v/>
      </c>
      <c r="Q279" s="15">
        <f>IF(COUNT(E279:O279)=0,"",LOOKUP(2,1/(E279:O279&lt;&gt;""),E279:O279))</f>
        <v/>
      </c>
      <c r="R279" s="17">
        <f>IF(P279="","",ROUND(P279*RESUMEN!$B$4,0))</f>
        <v/>
      </c>
      <c r="S279" s="18">
        <f>COUNT(E279:O279)</f>
        <v/>
      </c>
    </row>
    <row r="280">
      <c r="A280" s="13" t="inlineStr">
        <is>
          <t>53794531481933</t>
        </is>
      </c>
      <c r="B280" s="13" t="inlineStr">
        <is>
          <t>LENTES CD TREASURE R1</t>
        </is>
      </c>
      <c r="C280" s="13" t="inlineStr">
        <is>
          <t>Default Title</t>
        </is>
      </c>
      <c r="D280" s="14" t="inlineStr">
        <is>
          <t>Frame: Resin
Len</t>
        </is>
      </c>
      <c r="E280" s="13" t="n"/>
      <c r="F280" s="13" t="n"/>
      <c r="G280" s="13" t="n"/>
      <c r="H280" s="13" t="n"/>
      <c r="I280" s="13" t="n"/>
      <c r="J280" s="15" t="n">
        <v>32</v>
      </c>
      <c r="K280" s="15" t="n">
        <v>32</v>
      </c>
      <c r="L280" s="13" t="n"/>
      <c r="M280" s="15" t="n">
        <v>32</v>
      </c>
      <c r="N280" s="13" t="n"/>
      <c r="O280" s="13" t="n"/>
      <c r="P280" s="16">
        <f>IF(COUNT(E280:O280)=0,"",MIN(E280:O280))</f>
        <v/>
      </c>
      <c r="Q280" s="15">
        <f>IF(COUNT(E280:O280)=0,"",LOOKUP(2,1/(E280:O280&lt;&gt;""),E280:O280))</f>
        <v/>
      </c>
      <c r="R280" s="17">
        <f>IF(P280="","",ROUND(P280*RESUMEN!$B$4,0))</f>
        <v/>
      </c>
      <c r="S280" s="18">
        <f>COUNT(E280:O280)</f>
        <v/>
      </c>
    </row>
    <row r="281">
      <c r="A281" s="13" t="inlineStr">
        <is>
          <t>91345321930669</t>
        </is>
      </c>
      <c r="B281" s="13" t="inlineStr">
        <is>
          <t>LENTES F BAGUETTE</t>
        </is>
      </c>
      <c r="C281" s="13" t="inlineStr">
        <is>
          <t>Default Title</t>
        </is>
      </c>
      <c r="D281" s="14" t="inlineStr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5" t="n">
        <v>38</v>
      </c>
      <c r="N281" s="13" t="n"/>
      <c r="O281" s="13" t="n"/>
      <c r="P281" s="16">
        <f>IF(COUNT(E281:O281)=0,"",MIN(E281:O281))</f>
        <v/>
      </c>
      <c r="Q281" s="15">
        <f>IF(COUNT(E281:O281)=0,"",LOOKUP(2,1/(E281:O281&lt;&gt;""),E281:O281))</f>
        <v/>
      </c>
      <c r="R281" s="17">
        <f>IF(P281="","",ROUND(P281*RESUMEN!$B$4,0))</f>
        <v/>
      </c>
      <c r="S281" s="18">
        <f>COUNT(E281:O281)</f>
        <v/>
      </c>
    </row>
    <row r="282">
      <c r="A282" s="13" t="inlineStr">
        <is>
          <t>91345322036909</t>
        </is>
      </c>
      <c r="B282" s="13" t="inlineStr">
        <is>
          <t>LENTES F FIRST BROWN</t>
        </is>
      </c>
      <c r="C282" s="13" t="inlineStr">
        <is>
          <t>Default Title</t>
        </is>
      </c>
      <c r="D282" s="14" t="inlineStr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5" t="n">
        <v>38</v>
      </c>
      <c r="N282" s="13" t="n"/>
      <c r="O282" s="13" t="n"/>
      <c r="P282" s="16">
        <f>IF(COUNT(E282:O282)=0,"",MIN(E282:O282))</f>
        <v/>
      </c>
      <c r="Q282" s="15">
        <f>IF(COUNT(E282:O282)=0,"",LOOKUP(2,1/(E282:O282&lt;&gt;""),E282:O282))</f>
        <v/>
      </c>
      <c r="R282" s="17">
        <f>IF(P282="","",ROUND(P282*RESUMEN!$B$4,0))</f>
        <v/>
      </c>
      <c r="S282" s="18">
        <f>COUNT(E282:O282)</f>
        <v/>
      </c>
    </row>
    <row r="283">
      <c r="A283" s="13" t="inlineStr">
        <is>
          <t>34163622302253</t>
        </is>
      </c>
      <c r="B283" s="13" t="inlineStr">
        <is>
          <t>LENTES F OVAL CRYSTAL</t>
        </is>
      </c>
      <c r="C283" s="13" t="inlineStr">
        <is>
          <t>Default Title</t>
        </is>
      </c>
      <c r="D283" s="14" t="inlineStr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5" t="n">
        <v>32</v>
      </c>
      <c r="N283" s="13" t="n"/>
      <c r="O283" s="13" t="n"/>
      <c r="P283" s="16">
        <f>IF(COUNT(E283:O283)=0,"",MIN(E283:O283))</f>
        <v/>
      </c>
      <c r="Q283" s="15">
        <f>IF(COUNT(E283:O283)=0,"",LOOKUP(2,1/(E283:O283&lt;&gt;""),E283:O283))</f>
        <v/>
      </c>
      <c r="R283" s="17">
        <f>IF(P283="","",ROUND(P283*RESUMEN!$B$4,0))</f>
        <v/>
      </c>
      <c r="S283" s="18">
        <f>COUNT(E283:O283)</f>
        <v/>
      </c>
    </row>
    <row r="284">
      <c r="A284" s="13" t="inlineStr">
        <is>
          <t>34163622241805</t>
        </is>
      </c>
      <c r="B284" s="13" t="inlineStr">
        <is>
          <t>LENTES F OVAL CRYSTAL BLACK</t>
        </is>
      </c>
      <c r="C284" s="13" t="inlineStr">
        <is>
          <t>Default Title</t>
        </is>
      </c>
      <c r="D284" s="14" t="inlineStr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5" t="n">
        <v>32</v>
      </c>
      <c r="N284" s="13" t="n"/>
      <c r="O284" s="13" t="n"/>
      <c r="P284" s="16">
        <f>IF(COUNT(E284:O284)=0,"",MIN(E284:O284))</f>
        <v/>
      </c>
      <c r="Q284" s="15">
        <f>IF(COUNT(E284:O284)=0,"",LOOKUP(2,1/(E284:O284&lt;&gt;""),E284:O284))</f>
        <v/>
      </c>
      <c r="R284" s="17">
        <f>IF(P284="","",ROUND(P284*RESUMEN!$B$4,0))</f>
        <v/>
      </c>
      <c r="S284" s="18">
        <f>COUNT(E284:O284)</f>
        <v/>
      </c>
    </row>
    <row r="285">
      <c r="A285" s="13" t="inlineStr">
        <is>
          <t>93098781536397</t>
        </is>
      </c>
      <c r="B285" s="13" t="inlineStr">
        <is>
          <t>LENTES LV ATTITUDE SOO</t>
        </is>
      </c>
      <c r="C285" s="13" t="inlineStr">
        <is>
          <t>Default Title</t>
        </is>
      </c>
      <c r="D285" s="14" t="inlineStr">
        <is>
          <t>Stainless steel</t>
        </is>
      </c>
      <c r="E285" s="13" t="n"/>
      <c r="F285" s="13" t="n"/>
      <c r="G285" s="13" t="n"/>
      <c r="H285" s="13" t="n"/>
      <c r="I285" s="13" t="n"/>
      <c r="J285" s="15" t="n">
        <v>32</v>
      </c>
      <c r="K285" s="15" t="n">
        <v>32</v>
      </c>
      <c r="L285" s="13" t="n"/>
      <c r="M285" s="13" t="n"/>
      <c r="N285" s="15" t="n">
        <v>32</v>
      </c>
      <c r="O285" s="13" t="n"/>
      <c r="P285" s="16">
        <f>IF(COUNT(E285:O285)=0,"",MIN(E285:O285))</f>
        <v/>
      </c>
      <c r="Q285" s="15">
        <f>IF(COUNT(E285:O285)=0,"",LOOKUP(2,1/(E285:O285&lt;&gt;""),E285:O285))</f>
        <v/>
      </c>
      <c r="R285" s="17">
        <f>IF(P285="","",ROUND(P285*RESUMEN!$B$4,0))</f>
        <v/>
      </c>
      <c r="S285" s="18">
        <f>COUNT(E285:O285)</f>
        <v/>
      </c>
    </row>
    <row r="286">
      <c r="A286" s="13" t="inlineStr">
        <is>
          <t>93098781173101</t>
        </is>
      </c>
      <c r="B286" s="13" t="inlineStr">
        <is>
          <t>LENTES LV ESCAPE SQUARE</t>
        </is>
      </c>
      <c r="C286" s="13" t="inlineStr">
        <is>
          <t>BLACK</t>
        </is>
      </c>
      <c r="D286" s="14" t="inlineStr">
        <is>
          <t>Frame: Resin
Len</t>
        </is>
      </c>
      <c r="E286" s="13" t="n"/>
      <c r="F286" s="13" t="n"/>
      <c r="G286" s="13" t="n"/>
      <c r="H286" s="13" t="n"/>
      <c r="I286" s="13" t="n"/>
      <c r="J286" s="15" t="n">
        <v>32</v>
      </c>
      <c r="K286" s="15" t="n">
        <v>32</v>
      </c>
      <c r="L286" s="13" t="n"/>
      <c r="M286" s="13" t="n"/>
      <c r="N286" s="13" t="n"/>
      <c r="O286" s="13" t="n"/>
      <c r="P286" s="16">
        <f>IF(COUNT(E286:O286)=0,"",MIN(E286:O286))</f>
        <v/>
      </c>
      <c r="Q286" s="15">
        <f>IF(COUNT(E286:O286)=0,"",LOOKUP(2,1/(E286:O286&lt;&gt;""),E286:O286))</f>
        <v/>
      </c>
      <c r="R286" s="17">
        <f>IF(P286="","",ROUND(P286*RESUMEN!$B$4,0))</f>
        <v/>
      </c>
      <c r="S286" s="18">
        <f>COUNT(E286:O286)</f>
        <v/>
      </c>
    </row>
    <row r="287">
      <c r="A287" s="13" t="inlineStr">
        <is>
          <t>71417611050957</t>
        </is>
      </c>
      <c r="B287" s="13" t="inlineStr">
        <is>
          <t>LENTES LV ESCAPE SQUARE SILVER</t>
        </is>
      </c>
      <c r="C287" s="13" t="inlineStr">
        <is>
          <t>HIGH QUALITY</t>
        </is>
      </c>
      <c r="D287" s="14" t="inlineStr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5" t="n">
        <v>32</v>
      </c>
      <c r="O287" s="13" t="n"/>
      <c r="P287" s="16">
        <f>IF(COUNT(E287:O287)=0,"",MIN(E287:O287))</f>
        <v/>
      </c>
      <c r="Q287" s="15">
        <f>IF(COUNT(E287:O287)=0,"",LOOKUP(2,1/(E287:O287&lt;&gt;""),E287:O287))</f>
        <v/>
      </c>
      <c r="R287" s="17">
        <f>IF(P287="","",ROUND(P287*RESUMEN!$B$4,0))</f>
        <v/>
      </c>
      <c r="S287" s="18">
        <f>COUNT(E287:O287)</f>
        <v/>
      </c>
    </row>
    <row r="288">
      <c r="A288" s="13" t="inlineStr">
        <is>
          <t>93098781301933</t>
        </is>
      </c>
      <c r="B288" s="13" t="inlineStr">
        <is>
          <t>LENTES LV HIT SOO</t>
        </is>
      </c>
      <c r="C288" s="13" t="inlineStr">
        <is>
          <t>Default Title</t>
        </is>
      </c>
      <c r="D288" s="14" t="inlineStr">
        <is>
          <t>Frame: Resin
Len</t>
        </is>
      </c>
      <c r="E288" s="13" t="n"/>
      <c r="F288" s="13" t="n"/>
      <c r="G288" s="13" t="n"/>
      <c r="H288" s="13" t="n"/>
      <c r="I288" s="13" t="n"/>
      <c r="J288" s="15" t="n">
        <v>32</v>
      </c>
      <c r="K288" s="15" t="n">
        <v>32</v>
      </c>
      <c r="L288" s="13" t="n"/>
      <c r="M288" s="13" t="n"/>
      <c r="N288" s="15" t="n">
        <v>32</v>
      </c>
      <c r="O288" s="13" t="n"/>
      <c r="P288" s="16">
        <f>IF(COUNT(E288:O288)=0,"",MIN(E288:O288))</f>
        <v/>
      </c>
      <c r="Q288" s="15">
        <f>IF(COUNT(E288:O288)=0,"",LOOKUP(2,1/(E288:O288&lt;&gt;""),E288:O288))</f>
        <v/>
      </c>
      <c r="R288" s="17">
        <f>IF(P288="","",ROUND(P288*RESUMEN!$B$4,0))</f>
        <v/>
      </c>
      <c r="S288" s="18">
        <f>COUNT(E288:O288)</f>
        <v/>
      </c>
    </row>
    <row r="289">
      <c r="A289" s="13" t="inlineStr">
        <is>
          <t>99781783326765</t>
        </is>
      </c>
      <c r="B289" s="13" t="inlineStr">
        <is>
          <t>LENTES PANTHERE GOLD</t>
        </is>
      </c>
      <c r="C289" s="13" t="inlineStr">
        <is>
          <t>GOLD</t>
        </is>
      </c>
      <c r="D289" s="14" t="inlineStr">
        <is>
          <t>Stainless steel</t>
        </is>
      </c>
      <c r="E289" s="13" t="n"/>
      <c r="F289" s="13" t="n"/>
      <c r="G289" s="13" t="n"/>
      <c r="H289" s="13" t="n"/>
      <c r="I289" s="13" t="n"/>
      <c r="J289" s="15" t="n">
        <v>32</v>
      </c>
      <c r="K289" s="15" t="n">
        <v>32</v>
      </c>
      <c r="L289" s="13" t="n"/>
      <c r="M289" s="13" t="n"/>
      <c r="N289" s="13" t="n"/>
      <c r="O289" s="13" t="n"/>
      <c r="P289" s="16">
        <f>IF(COUNT(E289:O289)=0,"",MIN(E289:O289))</f>
        <v/>
      </c>
      <c r="Q289" s="15">
        <f>IF(COUNT(E289:O289)=0,"",LOOKUP(2,1/(E289:O289&lt;&gt;""),E289:O289))</f>
        <v/>
      </c>
      <c r="R289" s="17">
        <f>IF(P289="","",ROUND(P289*RESUMEN!$B$4,0))</f>
        <v/>
      </c>
      <c r="S289" s="18">
        <f>COUNT(E289:O289)</f>
        <v/>
      </c>
    </row>
    <row r="290">
      <c r="A290" s="13" t="inlineStr">
        <is>
          <t>34163622850829</t>
        </is>
      </c>
      <c r="B290" s="13" t="inlineStr">
        <is>
          <t>LENTES YSL SL 914 BROWN</t>
        </is>
      </c>
      <c r="C290" s="13" t="inlineStr">
        <is>
          <t>Default Title</t>
        </is>
      </c>
      <c r="D290" s="14" t="inlineStr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5" t="n">
        <v>40</v>
      </c>
      <c r="N290" s="13" t="n"/>
      <c r="O290" s="13" t="n"/>
      <c r="P290" s="16">
        <f>IF(COUNT(E290:O290)=0,"",MIN(E290:O290))</f>
        <v/>
      </c>
      <c r="Q290" s="15">
        <f>IF(COUNT(E290:O290)=0,"",LOOKUP(2,1/(E290:O290&lt;&gt;""),E290:O290))</f>
        <v/>
      </c>
      <c r="R290" s="17">
        <f>IF(P290="","",ROUND(P290*RESUMEN!$B$4,0))</f>
        <v/>
      </c>
      <c r="S290" s="18">
        <f>COUNT(E290:O290)</f>
        <v/>
      </c>
    </row>
    <row r="291">
      <c r="A291" s="13" t="inlineStr">
        <is>
          <t>98219285835148</t>
        </is>
      </c>
      <c r="B291" s="13" t="inlineStr">
        <is>
          <t>MINI BOLSO LV STEAMER</t>
        </is>
      </c>
      <c r="C291" s="13" t="inlineStr">
        <is>
          <t>17cm de largo</t>
        </is>
      </c>
      <c r="D291" s="14" t="inlineStr">
        <is>
          <t>PVC materialBag</t>
        </is>
      </c>
      <c r="E291" s="15" t="n">
        <v>45</v>
      </c>
      <c r="F291" s="13" t="n"/>
      <c r="G291" s="15" t="n">
        <v>45</v>
      </c>
      <c r="H291" s="15" t="n">
        <v>45</v>
      </c>
      <c r="I291" s="13" t="n"/>
      <c r="J291" s="13" t="n"/>
      <c r="K291" s="13" t="n"/>
      <c r="L291" s="13" t="n"/>
      <c r="M291" s="13" t="n"/>
      <c r="N291" s="13" t="n"/>
      <c r="O291" s="13" t="n"/>
      <c r="P291" s="16">
        <f>IF(COUNT(E291:O291)=0,"",MIN(E291:O291))</f>
        <v/>
      </c>
      <c r="Q291" s="15">
        <f>IF(COUNT(E291:O291)=0,"",LOOKUP(2,1/(E291:O291&lt;&gt;""),E291:O291))</f>
        <v/>
      </c>
      <c r="R291" s="17">
        <f>IF(P291="","",ROUND(P291*RESUMEN!$B$4,0))</f>
        <v/>
      </c>
      <c r="S291" s="18">
        <f>COUNT(E291:O291)</f>
        <v/>
      </c>
    </row>
    <row r="292">
      <c r="A292" s="13" t="inlineStr">
        <is>
          <t>23025461724461</t>
        </is>
      </c>
      <c r="B292" s="13" t="inlineStr">
        <is>
          <t>MOCASINES GC HORSEBIT</t>
        </is>
      </c>
      <c r="C292" s="13" t="inlineStr">
        <is>
          <t>42/8MX</t>
        </is>
      </c>
      <c r="D292" s="14" t="inlineStr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5" t="n">
        <v>58</v>
      </c>
      <c r="O292" s="13" t="n"/>
      <c r="P292" s="16">
        <f>IF(COUNT(E292:O292)=0,"",MIN(E292:O292))</f>
        <v/>
      </c>
      <c r="Q292" s="15">
        <f>IF(COUNT(E292:O292)=0,"",LOOKUP(2,1/(E292:O292&lt;&gt;""),E292:O292))</f>
        <v/>
      </c>
      <c r="R292" s="17">
        <f>IF(P292="","",ROUND(P292*RESUMEN!$B$4,0))</f>
        <v/>
      </c>
      <c r="S292" s="18">
        <f>COUNT(E292:O292)</f>
        <v/>
      </c>
    </row>
    <row r="293">
      <c r="A293" s="13" t="inlineStr">
        <is>
          <t>23025461857229</t>
        </is>
      </c>
      <c r="B293" s="13" t="inlineStr">
        <is>
          <t>MOCASINES GC HORSEBIT</t>
        </is>
      </c>
      <c r="C293" s="13" t="inlineStr">
        <is>
          <t>44/9MX</t>
        </is>
      </c>
      <c r="D293" s="14" t="inlineStr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5" t="n">
        <v>58</v>
      </c>
      <c r="O293" s="13" t="n"/>
      <c r="P293" s="16">
        <f>IF(COUNT(E293:O293)=0,"",MIN(E293:O293))</f>
        <v/>
      </c>
      <c r="Q293" s="15">
        <f>IF(COUNT(E293:O293)=0,"",LOOKUP(2,1/(E293:O293&lt;&gt;""),E293:O293))</f>
        <v/>
      </c>
      <c r="R293" s="17">
        <f>IF(P293="","",ROUND(P293*RESUMEN!$B$4,0))</f>
        <v/>
      </c>
      <c r="S293" s="18">
        <f>COUNT(E293:O293)</f>
        <v/>
      </c>
    </row>
    <row r="294">
      <c r="A294" s="13" t="inlineStr">
        <is>
          <t>29953902146541</t>
        </is>
      </c>
      <c r="B294" s="13" t="inlineStr">
        <is>
          <t>MONEDERO CD MYRTE OBLIQUE</t>
        </is>
      </c>
      <c r="C294" s="13" t="inlineStr"/>
      <c r="D294" s="14" t="inlineStr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5" t="n">
        <v>19</v>
      </c>
      <c r="P294" s="16">
        <f>IF(COUNT(E294:O294)=0,"",MIN(E294:O294))</f>
        <v/>
      </c>
      <c r="Q294" s="15">
        <f>IF(COUNT(E294:O294)=0,"",LOOKUP(2,1/(E294:O294&lt;&gt;""),E294:O294))</f>
        <v/>
      </c>
      <c r="R294" s="17">
        <f>IF(P294="","",ROUND(P294*RESUMEN!$B$4,0))</f>
        <v/>
      </c>
      <c r="S294" s="18">
        <f>COUNT(E294:O294)</f>
        <v/>
      </c>
    </row>
    <row r="295">
      <c r="A295" s="13" t="inlineStr">
        <is>
          <t>93098783231917</t>
        </is>
      </c>
      <c r="B295" s="13" t="inlineStr">
        <is>
          <t>MONEDERO LV ROSALIE BLACK</t>
        </is>
      </c>
      <c r="C295" s="13" t="inlineStr">
        <is>
          <t>Default Title</t>
        </is>
      </c>
      <c r="D295" s="14" t="inlineStr">
        <is>
          <t>Bag body materia</t>
        </is>
      </c>
      <c r="E295" s="13" t="n"/>
      <c r="F295" s="13" t="n"/>
      <c r="G295" s="13" t="n"/>
      <c r="H295" s="13" t="n"/>
      <c r="I295" s="13" t="n"/>
      <c r="J295" s="15" t="n">
        <v>17</v>
      </c>
      <c r="K295" s="15" t="n">
        <v>17</v>
      </c>
      <c r="L295" s="13" t="n"/>
      <c r="M295" s="13" t="n"/>
      <c r="N295" s="15" t="n">
        <v>17</v>
      </c>
      <c r="O295" s="13" t="n"/>
      <c r="P295" s="16">
        <f>IF(COUNT(E295:O295)=0,"",MIN(E295:O295))</f>
        <v/>
      </c>
      <c r="Q295" s="15">
        <f>IF(COUNT(E295:O295)=0,"",LOOKUP(2,1/(E295:O295&lt;&gt;""),E295:O295))</f>
        <v/>
      </c>
      <c r="R295" s="17">
        <f>IF(P295="","",ROUND(P295*RESUMEN!$B$4,0))</f>
        <v/>
      </c>
      <c r="S295" s="18">
        <f>COUNT(E295:O295)</f>
        <v/>
      </c>
    </row>
    <row r="296">
      <c r="A296" s="13" t="inlineStr">
        <is>
          <t>93098783400845</t>
        </is>
      </c>
      <c r="B296" s="13" t="inlineStr">
        <is>
          <t>MONEDERO LV ZIPPY</t>
        </is>
      </c>
      <c r="C296" s="13" t="inlineStr">
        <is>
          <t>BROWN</t>
        </is>
      </c>
      <c r="D296" s="14" t="inlineStr">
        <is>
          <t>Bag body materia</t>
        </is>
      </c>
      <c r="E296" s="13" t="n"/>
      <c r="F296" s="13" t="n"/>
      <c r="G296" s="13" t="n"/>
      <c r="H296" s="13" t="n"/>
      <c r="I296" s="13" t="n"/>
      <c r="J296" s="15" t="n">
        <v>14</v>
      </c>
      <c r="K296" s="15" t="n">
        <v>14</v>
      </c>
      <c r="L296" s="13" t="n"/>
      <c r="M296" s="13" t="n"/>
      <c r="N296" s="13" t="n"/>
      <c r="O296" s="13" t="n"/>
      <c r="P296" s="16">
        <f>IF(COUNT(E296:O296)=0,"",MIN(E296:O296))</f>
        <v/>
      </c>
      <c r="Q296" s="15">
        <f>IF(COUNT(E296:O296)=0,"",LOOKUP(2,1/(E296:O296&lt;&gt;""),E296:O296))</f>
        <v/>
      </c>
      <c r="R296" s="17">
        <f>IF(P296="","",ROUND(P296*RESUMEN!$B$4,0))</f>
        <v/>
      </c>
      <c r="S296" s="18">
        <f>COUNT(E296:O296)</f>
        <v/>
      </c>
    </row>
    <row r="297">
      <c r="A297" s="13" t="inlineStr">
        <is>
          <t>40495211029965</t>
        </is>
      </c>
      <c r="B297" s="13" t="inlineStr">
        <is>
          <t>PERFUME  BV LE GEMME TYGAR EAU DE PARFUM</t>
        </is>
      </c>
      <c r="C297" s="13" t="inlineStr">
        <is>
          <t>100 ml</t>
        </is>
      </c>
      <c r="D297" s="14" t="inlineStr"/>
      <c r="E297" s="13" t="n"/>
      <c r="F297" s="13" t="n"/>
      <c r="G297" s="15" t="n">
        <v>18</v>
      </c>
      <c r="H297" s="13" t="n"/>
      <c r="I297" s="15" t="n">
        <v>18</v>
      </c>
      <c r="J297" s="13" t="n"/>
      <c r="K297" s="13" t="n"/>
      <c r="L297" s="13" t="n"/>
      <c r="M297" s="13" t="n"/>
      <c r="N297" s="13" t="n"/>
      <c r="O297" s="13" t="n"/>
      <c r="P297" s="16">
        <f>IF(COUNT(E297:O297)=0,"",MIN(E297:O297))</f>
        <v/>
      </c>
      <c r="Q297" s="15">
        <f>IF(COUNT(E297:O297)=0,"",LOOKUP(2,1/(E297:O297&lt;&gt;""),E297:O297))</f>
        <v/>
      </c>
      <c r="R297" s="17">
        <f>IF(P297="","",ROUND(P297*RESUMEN!$B$4,0))</f>
        <v/>
      </c>
      <c r="S297" s="18">
        <f>COUNT(E297:O297)</f>
        <v/>
      </c>
    </row>
    <row r="298">
      <c r="A298" s="13" t="inlineStr">
        <is>
          <t>GISEL Y REYNA</t>
        </is>
      </c>
      <c r="B298" s="13" t="inlineStr">
        <is>
          <t>PERFUME BACCARAT</t>
        </is>
      </c>
      <c r="C298" s="13" t="inlineStr"/>
      <c r="D298" s="14" t="inlineStr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5" t="n">
        <v>18</v>
      </c>
      <c r="P298" s="16">
        <f>IF(COUNT(E298:O298)=0,"",MIN(E298:O298))</f>
        <v/>
      </c>
      <c r="Q298" s="15">
        <f>IF(COUNT(E298:O298)=0,"",LOOKUP(2,1/(E298:O298&lt;&gt;""),E298:O298))</f>
        <v/>
      </c>
      <c r="R298" s="17">
        <f>IF(P298="","",ROUND(P298*RESUMEN!$B$4,0))</f>
        <v/>
      </c>
      <c r="S298" s="18">
        <f>COUNT(E298:O298)</f>
        <v/>
      </c>
    </row>
    <row r="299">
      <c r="A299" s="13" t="inlineStr">
        <is>
          <t>77763960600332</t>
        </is>
      </c>
      <c r="B299" s="13" t="inlineStr">
        <is>
          <t>PERFUME BACCARAT</t>
        </is>
      </c>
      <c r="C299" s="13" t="inlineStr">
        <is>
          <t>70ml</t>
        </is>
      </c>
      <c r="D299" s="14" t="inlineStr">
        <is>
          <t>Perfume Cost: Oi</t>
        </is>
      </c>
      <c r="E299" s="15" t="n">
        <v>18</v>
      </c>
      <c r="F299" s="13" t="n"/>
      <c r="G299" s="15" t="n">
        <v>18</v>
      </c>
      <c r="H299" s="15" t="n">
        <v>18</v>
      </c>
      <c r="I299" s="13" t="n"/>
      <c r="J299" s="13" t="n"/>
      <c r="K299" s="13" t="n"/>
      <c r="L299" s="15" t="n">
        <v>18</v>
      </c>
      <c r="M299" s="15" t="n">
        <v>18</v>
      </c>
      <c r="N299" s="13" t="n"/>
      <c r="O299" s="13" t="n"/>
      <c r="P299" s="16">
        <f>IF(COUNT(E299:O299)=0,"",MIN(E299:O299))</f>
        <v/>
      </c>
      <c r="Q299" s="15">
        <f>IF(COUNT(E299:O299)=0,"",LOOKUP(2,1/(E299:O299&lt;&gt;""),E299:O299))</f>
        <v/>
      </c>
      <c r="R299" s="17">
        <f>IF(P299="","",ROUND(P299*RESUMEN!$B$4,0))</f>
        <v/>
      </c>
      <c r="S299" s="18">
        <f>COUNT(E299:O299)</f>
        <v/>
      </c>
    </row>
    <row r="300">
      <c r="A300" s="13" t="inlineStr">
        <is>
          <t>48321436441740</t>
        </is>
      </c>
      <c r="B300" s="13" t="inlineStr">
        <is>
          <t>PERFUME CC No 5</t>
        </is>
      </c>
      <c r="C300" s="13" t="inlineStr">
        <is>
          <t>100ml</t>
        </is>
      </c>
      <c r="D300" s="14" t="inlineStr">
        <is>
          <t>Perfume Cost: Oi</t>
        </is>
      </c>
      <c r="E300" s="13" t="n"/>
      <c r="F300" s="13" t="n"/>
      <c r="G300" s="13" t="n"/>
      <c r="H300" s="13" t="n"/>
      <c r="I300" s="13" t="n"/>
      <c r="J300" s="15" t="n">
        <v>18</v>
      </c>
      <c r="K300" s="15" t="n">
        <v>18</v>
      </c>
      <c r="L300" s="13" t="n"/>
      <c r="M300" s="13" t="n"/>
      <c r="N300" s="13" t="n"/>
      <c r="O300" s="13" t="n"/>
      <c r="P300" s="16">
        <f>IF(COUNT(E300:O300)=0,"",MIN(E300:O300))</f>
        <v/>
      </c>
      <c r="Q300" s="15">
        <f>IF(COUNT(E300:O300)=0,"",LOOKUP(2,1/(E300:O300&lt;&gt;""),E300:O300))</f>
        <v/>
      </c>
      <c r="R300" s="17">
        <f>IF(P300="","",ROUND(P300*RESUMEN!$B$4,0))</f>
        <v/>
      </c>
      <c r="S300" s="18">
        <f>COUNT(E300:O300)</f>
        <v/>
      </c>
    </row>
    <row r="301">
      <c r="A301" s="13" t="inlineStr">
        <is>
          <t>95510921204013</t>
        </is>
      </c>
      <c r="B301" s="13" t="inlineStr">
        <is>
          <t>PERFUME CD HOMME INTENSE</t>
        </is>
      </c>
      <c r="C301" s="13" t="inlineStr">
        <is>
          <t>Default Title</t>
        </is>
      </c>
      <c r="D301" s="14" t="inlineStr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5" t="n">
        <v>18</v>
      </c>
      <c r="N301" s="13" t="n"/>
      <c r="O301" s="13" t="n"/>
      <c r="P301" s="16">
        <f>IF(COUNT(E301:O301)=0,"",MIN(E301:O301))</f>
        <v/>
      </c>
      <c r="Q301" s="15">
        <f>IF(COUNT(E301:O301)=0,"",LOOKUP(2,1/(E301:O301&lt;&gt;""),E301:O301))</f>
        <v/>
      </c>
      <c r="R301" s="17">
        <f>IF(P301="","",ROUND(P301*RESUMEN!$B$4,0))</f>
        <v/>
      </c>
      <c r="S301" s="18">
        <f>COUNT(E301:O301)</f>
        <v/>
      </c>
    </row>
    <row r="302">
      <c r="A302" s="13" t="inlineStr">
        <is>
          <t>95510921532845</t>
        </is>
      </c>
      <c r="B302" s="13" t="inlineStr">
        <is>
          <t>PERFUME CD HYPNOTIC POISON</t>
        </is>
      </c>
      <c r="C302" s="13" t="inlineStr">
        <is>
          <t>Default Title</t>
        </is>
      </c>
      <c r="D302" s="14" t="inlineStr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5" t="n">
        <v>18</v>
      </c>
      <c r="N302" s="13" t="n"/>
      <c r="O302" s="15" t="n">
        <v>18</v>
      </c>
      <c r="P302" s="16">
        <f>IF(COUNT(E302:O302)=0,"",MIN(E302:O302))</f>
        <v/>
      </c>
      <c r="Q302" s="15">
        <f>IF(COUNT(E302:O302)=0,"",LOOKUP(2,1/(E302:O302&lt;&gt;""),E302:O302))</f>
        <v/>
      </c>
      <c r="R302" s="17">
        <f>IF(P302="","",ROUND(P302*RESUMEN!$B$4,0))</f>
        <v/>
      </c>
      <c r="S302" s="18">
        <f>COUNT(E302:O302)</f>
        <v/>
      </c>
    </row>
    <row r="303">
      <c r="A303" s="13" t="inlineStr">
        <is>
          <t>40495211154861</t>
        </is>
      </c>
      <c r="B303" s="13" t="inlineStr">
        <is>
          <t>PERFUME CREED AVENTUS EAU DE PARFUM</t>
        </is>
      </c>
      <c r="C303" s="13" t="inlineStr">
        <is>
          <t>100 ml</t>
        </is>
      </c>
      <c r="D303" s="14" t="inlineStr"/>
      <c r="E303" s="13" t="n"/>
      <c r="F303" s="13" t="n"/>
      <c r="G303" s="15" t="n">
        <v>18</v>
      </c>
      <c r="H303" s="15" t="n">
        <v>18</v>
      </c>
      <c r="I303" s="13" t="n"/>
      <c r="J303" s="13" t="n"/>
      <c r="K303" s="13" t="n"/>
      <c r="L303" s="13" t="n"/>
      <c r="M303" s="15" t="n">
        <v>18</v>
      </c>
      <c r="N303" s="13" t="n"/>
      <c r="O303" s="15" t="n">
        <v>18</v>
      </c>
      <c r="P303" s="16">
        <f>IF(COUNT(E303:O303)=0,"",MIN(E303:O303))</f>
        <v/>
      </c>
      <c r="Q303" s="15">
        <f>IF(COUNT(E303:O303)=0,"",LOOKUP(2,1/(E303:O303&lt;&gt;""),E303:O303))</f>
        <v/>
      </c>
      <c r="R303" s="17">
        <f>IF(P303="","",ROUND(P303*RESUMEN!$B$4,0))</f>
        <v/>
      </c>
      <c r="S303" s="18">
        <f>COUNT(E303:O303)</f>
        <v/>
      </c>
    </row>
    <row r="304">
      <c r="A304" s="13" t="inlineStr">
        <is>
          <t>34163621043821</t>
        </is>
      </c>
      <c r="B304" s="13" t="inlineStr">
        <is>
          <t>PERFUME CREED SILVER MOUNTAIN WATER</t>
        </is>
      </c>
      <c r="C304" s="13" t="inlineStr">
        <is>
          <t>Default Title</t>
        </is>
      </c>
      <c r="D304" s="14" t="inlineStr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5" t="n">
        <v>18</v>
      </c>
      <c r="N304" s="13" t="n"/>
      <c r="O304" s="15" t="n">
        <v>18</v>
      </c>
      <c r="P304" s="16">
        <f>IF(COUNT(E304:O304)=0,"",MIN(E304:O304))</f>
        <v/>
      </c>
      <c r="Q304" s="15">
        <f>IF(COUNT(E304:O304)=0,"",LOOKUP(2,1/(E304:O304&lt;&gt;""),E304:O304))</f>
        <v/>
      </c>
      <c r="R304" s="17">
        <f>IF(P304="","",ROUND(P304*RESUMEN!$B$4,0))</f>
        <v/>
      </c>
      <c r="S304" s="18">
        <f>COUNT(E304:O304)</f>
        <v/>
      </c>
    </row>
    <row r="305">
      <c r="A305" s="13" t="inlineStr">
        <is>
          <t>15711173032365</t>
        </is>
      </c>
      <c r="B305" s="13" t="inlineStr">
        <is>
          <t>PERFUME DEVOTION, EAU DE PARFUM 100ML</t>
        </is>
      </c>
      <c r="C305" s="13" t="inlineStr">
        <is>
          <t>Default Title</t>
        </is>
      </c>
      <c r="D305" s="14" t="inlineStr">
        <is>
          <t>Perfume Cost: Oi</t>
        </is>
      </c>
      <c r="E305" s="13" t="n"/>
      <c r="F305" s="13" t="n"/>
      <c r="G305" s="15" t="n">
        <v>18</v>
      </c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6">
        <f>IF(COUNT(E305:O305)=0,"",MIN(E305:O305))</f>
        <v/>
      </c>
      <c r="Q305" s="15">
        <f>IF(COUNT(E305:O305)=0,"",LOOKUP(2,1/(E305:O305&lt;&gt;""),E305:O305))</f>
        <v/>
      </c>
      <c r="R305" s="17">
        <f>IF(P305="","",ROUND(P305*RESUMEN!$B$4,0))</f>
        <v/>
      </c>
      <c r="S305" s="18">
        <f>COUNT(E305:O305)</f>
        <v/>
      </c>
    </row>
    <row r="306">
      <c r="A306" s="13" t="inlineStr">
        <is>
          <t>34163621325165</t>
        </is>
      </c>
      <c r="B306" s="13" t="inlineStr">
        <is>
          <t>PERFUME GIORGO PASSIONE</t>
        </is>
      </c>
      <c r="C306" s="13" t="inlineStr">
        <is>
          <t>Default Title</t>
        </is>
      </c>
      <c r="D306" s="14" t="inlineStr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5" t="n">
        <v>18</v>
      </c>
      <c r="N306" s="13" t="n"/>
      <c r="O306" s="13" t="n"/>
      <c r="P306" s="16">
        <f>IF(COUNT(E306:O306)=0,"",MIN(E306:O306))</f>
        <v/>
      </c>
      <c r="Q306" s="15">
        <f>IF(COUNT(E306:O306)=0,"",LOOKUP(2,1/(E306:O306&lt;&gt;""),E306:O306))</f>
        <v/>
      </c>
      <c r="R306" s="17">
        <f>IF(P306="","",ROUND(P306*RESUMEN!$B$4,0))</f>
        <v/>
      </c>
      <c r="S306" s="18">
        <f>COUNT(E306:O306)</f>
        <v/>
      </c>
    </row>
    <row r="307">
      <c r="A307" s="13" t="inlineStr">
        <is>
          <t>38991221168653</t>
        </is>
      </c>
      <c r="B307" s="13" t="inlineStr">
        <is>
          <t>PERFUME JEAN PAUL LE BELLE</t>
        </is>
      </c>
      <c r="C307" s="13" t="inlineStr">
        <is>
          <t>Default Title</t>
        </is>
      </c>
      <c r="D307" s="14" t="inlineStr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5" t="n">
        <v>18</v>
      </c>
      <c r="N307" s="13" t="n"/>
      <c r="O307" s="13" t="n"/>
      <c r="P307" s="16">
        <f>IF(COUNT(E307:O307)=0,"",MIN(E307:O307))</f>
        <v/>
      </c>
      <c r="Q307" s="15">
        <f>IF(COUNT(E307:O307)=0,"",LOOKUP(2,1/(E307:O307&lt;&gt;""),E307:O307))</f>
        <v/>
      </c>
      <c r="R307" s="17">
        <f>IF(P307="","",ROUND(P307*RESUMEN!$B$4,0))</f>
        <v/>
      </c>
      <c r="S307" s="18">
        <f>COUNT(E307:O307)</f>
        <v/>
      </c>
    </row>
    <row r="308">
      <c r="A308" s="13" t="inlineStr">
        <is>
          <t>95510921488205</t>
        </is>
      </c>
      <c r="B308" s="13" t="inlineStr">
        <is>
          <t>PERFUME JEAN PAUL LE MALE</t>
        </is>
      </c>
      <c r="C308" s="13" t="inlineStr">
        <is>
          <t>Default Title</t>
        </is>
      </c>
      <c r="D308" s="14" t="inlineStr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5" t="n">
        <v>18</v>
      </c>
      <c r="N308" s="13" t="n"/>
      <c r="O308" s="13" t="n"/>
      <c r="P308" s="16">
        <f>IF(COUNT(E308:O308)=0,"",MIN(E308:O308))</f>
        <v/>
      </c>
      <c r="Q308" s="15">
        <f>IF(COUNT(E308:O308)=0,"",LOOKUP(2,1/(E308:O308&lt;&gt;""),E308:O308))</f>
        <v/>
      </c>
      <c r="R308" s="17">
        <f>IF(P308="","",ROUND(P308*RESUMEN!$B$4,0))</f>
        <v/>
      </c>
      <c r="S308" s="18">
        <f>COUNT(E308:O308)</f>
        <v/>
      </c>
    </row>
    <row r="309">
      <c r="A309" s="13" t="inlineStr">
        <is>
          <t>BARBARA</t>
        </is>
      </c>
      <c r="B309" s="13" t="inlineStr">
        <is>
          <t>PERFUME JEAN PAUL SCANDAL GAUTTER MEN</t>
        </is>
      </c>
      <c r="C309" s="13" t="inlineStr"/>
      <c r="D309" s="14" t="inlineStr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5" t="n">
        <v>18</v>
      </c>
      <c r="P309" s="16">
        <f>IF(COUNT(E309:O309)=0,"",MIN(E309:O309))</f>
        <v/>
      </c>
      <c r="Q309" s="15">
        <f>IF(COUNT(E309:O309)=0,"",LOOKUP(2,1/(E309:O309&lt;&gt;""),E309:O309))</f>
        <v/>
      </c>
      <c r="R309" s="17">
        <f>IF(P309="","",ROUND(P309*RESUMEN!$B$4,0))</f>
        <v/>
      </c>
      <c r="S309" s="18">
        <f>COUNT(E309:O309)</f>
        <v/>
      </c>
    </row>
    <row r="310">
      <c r="A310" s="13" t="inlineStr">
        <is>
          <t>38991221063565</t>
        </is>
      </c>
      <c r="B310" s="13" t="inlineStr">
        <is>
          <t>PERFUME JEAN PAUL SCANDAL GAUTTER MEN</t>
        </is>
      </c>
      <c r="C310" s="13" t="inlineStr">
        <is>
          <t>Default Title</t>
        </is>
      </c>
      <c r="D310" s="14" t="inlineStr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5" t="n">
        <v>18</v>
      </c>
      <c r="N310" s="13" t="n"/>
      <c r="O310" s="13" t="n"/>
      <c r="P310" s="16">
        <f>IF(COUNT(E310:O310)=0,"",MIN(E310:O310))</f>
        <v/>
      </c>
      <c r="Q310" s="15">
        <f>IF(COUNT(E310:O310)=0,"",LOOKUP(2,1/(E310:O310&lt;&gt;""),E310:O310))</f>
        <v/>
      </c>
      <c r="R310" s="17">
        <f>IF(P310="","",ROUND(P310*RESUMEN!$B$4,0))</f>
        <v/>
      </c>
      <c r="S310" s="18">
        <f>COUNT(E310:O310)</f>
        <v/>
      </c>
    </row>
    <row r="311">
      <c r="A311" s="13" t="inlineStr">
        <is>
          <t>15711173123085</t>
        </is>
      </c>
      <c r="B311" s="13" t="inlineStr">
        <is>
          <t>PERFUME LAYTON DE MARLY 125ML</t>
        </is>
      </c>
      <c r="C311" s="13" t="inlineStr">
        <is>
          <t>Default Title</t>
        </is>
      </c>
      <c r="D311" s="14" t="inlineStr">
        <is>
          <t>Perfume Cost: Oi</t>
        </is>
      </c>
      <c r="E311" s="13" t="n"/>
      <c r="F311" s="13" t="n"/>
      <c r="G311" s="15" t="n">
        <v>18</v>
      </c>
      <c r="H311" s="13" t="n"/>
      <c r="I311" s="13" t="n"/>
      <c r="J311" s="15" t="n">
        <v>18</v>
      </c>
      <c r="K311" s="15" t="n">
        <v>18</v>
      </c>
      <c r="L311" s="13" t="n"/>
      <c r="M311" s="13" t="n"/>
      <c r="N311" s="13" t="n"/>
      <c r="O311" s="15" t="n">
        <v>18</v>
      </c>
      <c r="P311" s="16">
        <f>IF(COUNT(E311:O311)=0,"",MIN(E311:O311))</f>
        <v/>
      </c>
      <c r="Q311" s="15">
        <f>IF(COUNT(E311:O311)=0,"",LOOKUP(2,1/(E311:O311&lt;&gt;""),E311:O311))</f>
        <v/>
      </c>
      <c r="R311" s="17">
        <f>IF(P311="","",ROUND(P311*RESUMEN!$B$4,0))</f>
        <v/>
      </c>
      <c r="S311" s="18">
        <f>COUNT(E311:O311)</f>
        <v/>
      </c>
    </row>
    <row r="312">
      <c r="A312" s="13" t="inlineStr">
        <is>
          <t>15711173203885</t>
        </is>
      </c>
      <c r="B312" s="13" t="inlineStr">
        <is>
          <t>PERFUME LES SABLES ROSES</t>
        </is>
      </c>
      <c r="C312" s="13" t="inlineStr">
        <is>
          <t>Default Title</t>
        </is>
      </c>
      <c r="D312" s="14" t="inlineStr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5" t="n">
        <v>34</v>
      </c>
      <c r="O312" s="13" t="n"/>
      <c r="P312" s="16">
        <f>IF(COUNT(E312:O312)=0,"",MIN(E312:O312))</f>
        <v/>
      </c>
      <c r="Q312" s="15">
        <f>IF(COUNT(E312:O312)=0,"",LOOKUP(2,1/(E312:O312&lt;&gt;""),E312:O312))</f>
        <v/>
      </c>
      <c r="R312" s="17">
        <f>IF(P312="","",ROUND(P312*RESUMEN!$B$4,0))</f>
        <v/>
      </c>
      <c r="S312" s="18">
        <f>COUNT(E312:O312)</f>
        <v/>
      </c>
    </row>
    <row r="313">
      <c r="A313" s="13" t="inlineStr">
        <is>
          <t>15711173374893</t>
        </is>
      </c>
      <c r="B313" s="13" t="inlineStr">
        <is>
          <t>PERFUME PARADOXE, EAU DE PARFUM 90ML</t>
        </is>
      </c>
      <c r="C313" s="13" t="inlineStr">
        <is>
          <t>90 ml</t>
        </is>
      </c>
      <c r="D313" s="14" t="inlineStr"/>
      <c r="E313" s="15" t="n">
        <v>0</v>
      </c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5" t="n">
        <v>18</v>
      </c>
      <c r="O313" s="13" t="n"/>
      <c r="P313" s="16">
        <f>IF(COUNT(E313:O313)=0,"",MIN(E313:O313))</f>
        <v/>
      </c>
      <c r="Q313" s="15">
        <f>IF(COUNT(E313:O313)=0,"",LOOKUP(2,1/(E313:O313&lt;&gt;""),E313:O313))</f>
        <v/>
      </c>
      <c r="R313" s="17">
        <f>IF(P313="","",ROUND(P313*RESUMEN!$B$4,0))</f>
        <v/>
      </c>
      <c r="S313" s="18">
        <f>COUNT(E313:O313)</f>
        <v/>
      </c>
    </row>
    <row r="314">
      <c r="A314" s="13" t="inlineStr">
        <is>
          <t>77763961743628</t>
        </is>
      </c>
      <c r="B314" s="13" t="inlineStr">
        <is>
          <t>PERFUME SANTAL 33</t>
        </is>
      </c>
      <c r="C314" s="13" t="inlineStr">
        <is>
          <t>100ml</t>
        </is>
      </c>
      <c r="D314" s="14" t="inlineStr">
        <is>
          <t>Perfume Cost: Oi</t>
        </is>
      </c>
      <c r="E314" s="15" t="n">
        <v>18</v>
      </c>
      <c r="F314" s="13" t="n"/>
      <c r="G314" s="15" t="n">
        <v>18</v>
      </c>
      <c r="H314" s="15" t="n">
        <v>18</v>
      </c>
      <c r="I314" s="13" t="n"/>
      <c r="J314" s="15" t="n">
        <v>18</v>
      </c>
      <c r="K314" s="15" t="n">
        <v>18</v>
      </c>
      <c r="L314" s="15" t="n">
        <v>18</v>
      </c>
      <c r="M314" s="13" t="n"/>
      <c r="N314" s="13" t="n"/>
      <c r="O314" s="13" t="n"/>
      <c r="P314" s="16">
        <f>IF(COUNT(E314:O314)=0,"",MIN(E314:O314))</f>
        <v/>
      </c>
      <c r="Q314" s="15">
        <f>IF(COUNT(E314:O314)=0,"",LOOKUP(2,1/(E314:O314&lt;&gt;""),E314:O314))</f>
        <v/>
      </c>
      <c r="R314" s="17">
        <f>IF(P314="","",ROUND(P314*RESUMEN!$B$4,0))</f>
        <v/>
      </c>
      <c r="S314" s="18">
        <f>COUNT(E314:O314)</f>
        <v/>
      </c>
    </row>
    <row r="315">
      <c r="A315" s="13" t="inlineStr">
        <is>
          <t>48321437841036</t>
        </is>
      </c>
      <c r="B315" s="13" t="inlineStr">
        <is>
          <t>PERFUME SAUVAGE</t>
        </is>
      </c>
      <c r="C315" s="13" t="inlineStr">
        <is>
          <t>100ml</t>
        </is>
      </c>
      <c r="D315" s="14" t="inlineStr"/>
      <c r="E315" s="15" t="n">
        <v>18</v>
      </c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5" t="n">
        <v>18</v>
      </c>
      <c r="O315" s="13" t="n"/>
      <c r="P315" s="16">
        <f>IF(COUNT(E315:O315)=0,"",MIN(E315:O315))</f>
        <v/>
      </c>
      <c r="Q315" s="15">
        <f>IF(COUNT(E315:O315)=0,"",LOOKUP(2,1/(E315:O315&lt;&gt;""),E315:O315))</f>
        <v/>
      </c>
      <c r="R315" s="17">
        <f>IF(P315="","",ROUND(P315*RESUMEN!$B$4,0))</f>
        <v/>
      </c>
      <c r="S315" s="18">
        <f>COUNT(E315:O315)</f>
        <v/>
      </c>
    </row>
    <row r="316">
      <c r="A316" s="13" t="inlineStr">
        <is>
          <t>15711173480813</t>
        </is>
      </c>
      <c r="B316" s="13" t="inlineStr">
        <is>
          <t>PERFUME TERRE H</t>
        </is>
      </c>
      <c r="C316" s="13" t="inlineStr">
        <is>
          <t>100 ml</t>
        </is>
      </c>
      <c r="D316" s="14" t="inlineStr"/>
      <c r="E316" s="15" t="n">
        <v>18</v>
      </c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6">
        <f>IF(COUNT(E316:O316)=0,"",MIN(E316:O316))</f>
        <v/>
      </c>
      <c r="Q316" s="15">
        <f>IF(COUNT(E316:O316)=0,"",LOOKUP(2,1/(E316:O316&lt;&gt;""),E316:O316))</f>
        <v/>
      </c>
      <c r="R316" s="17">
        <f>IF(P316="","",ROUND(P316*RESUMEN!$B$4,0))</f>
        <v/>
      </c>
      <c r="S316" s="18">
        <f>COUNT(E316:O316)</f>
        <v/>
      </c>
    </row>
    <row r="317">
      <c r="A317" s="13" t="inlineStr">
        <is>
          <t>15711173551373</t>
        </is>
      </c>
      <c r="B317" s="13" t="inlineStr">
        <is>
          <t>PERFUME TF COSTA AZZURRA 100ML</t>
        </is>
      </c>
      <c r="C317" s="13" t="inlineStr">
        <is>
          <t>Default Title</t>
        </is>
      </c>
      <c r="D317" s="14" t="inlineStr">
        <is>
          <t>Perfume Cost: Oi</t>
        </is>
      </c>
      <c r="E317" s="13" t="n"/>
      <c r="F317" s="13" t="n"/>
      <c r="G317" s="13" t="n"/>
      <c r="H317" s="13" t="n"/>
      <c r="I317" s="13" t="n"/>
      <c r="J317" s="13" t="n"/>
      <c r="K317" s="13" t="n"/>
      <c r="L317" s="15" t="n">
        <v>18</v>
      </c>
      <c r="M317" s="13" t="n"/>
      <c r="N317" s="13" t="n"/>
      <c r="O317" s="13" t="n"/>
      <c r="P317" s="16">
        <f>IF(COUNT(E317:O317)=0,"",MIN(E317:O317))</f>
        <v/>
      </c>
      <c r="Q317" s="15">
        <f>IF(COUNT(E317:O317)=0,"",LOOKUP(2,1/(E317:O317&lt;&gt;""),E317:O317))</f>
        <v/>
      </c>
      <c r="R317" s="17">
        <f>IF(P317="","",ROUND(P317*RESUMEN!$B$4,0))</f>
        <v/>
      </c>
      <c r="S317" s="18">
        <f>COUNT(E317:O317)</f>
        <v/>
      </c>
    </row>
    <row r="318">
      <c r="A318" s="13" t="inlineStr">
        <is>
          <t>48321439631756</t>
        </is>
      </c>
      <c r="B318" s="13" t="inlineStr">
        <is>
          <t>PERFUME TF LOST CHERRY</t>
        </is>
      </c>
      <c r="C318" s="13" t="inlineStr">
        <is>
          <t>Default Title</t>
        </is>
      </c>
      <c r="D318" s="14" t="inlineStr">
        <is>
          <t>Perfume Cost: Oi</t>
        </is>
      </c>
      <c r="E318" s="13" t="n"/>
      <c r="F318" s="13" t="n"/>
      <c r="G318" s="15" t="n">
        <v>18</v>
      </c>
      <c r="H318" s="15" t="n">
        <v>18</v>
      </c>
      <c r="I318" s="15" t="n">
        <v>18</v>
      </c>
      <c r="J318" s="13" t="n"/>
      <c r="K318" s="13" t="n"/>
      <c r="L318" s="15" t="n">
        <v>18</v>
      </c>
      <c r="M318" s="13" t="n"/>
      <c r="N318" s="15" t="n">
        <v>18</v>
      </c>
      <c r="O318" s="15" t="n">
        <v>18</v>
      </c>
      <c r="P318" s="16">
        <f>IF(COUNT(E318:O318)=0,"",MIN(E318:O318))</f>
        <v/>
      </c>
      <c r="Q318" s="15">
        <f>IF(COUNT(E318:O318)=0,"",LOOKUP(2,1/(E318:O318&lt;&gt;""),E318:O318))</f>
        <v/>
      </c>
      <c r="R318" s="17">
        <f>IF(P318="","",ROUND(P318*RESUMEN!$B$4,0))</f>
        <v/>
      </c>
      <c r="S318" s="18">
        <f>COUNT(E318:O318)</f>
        <v/>
      </c>
    </row>
    <row r="319">
      <c r="A319" s="13" t="inlineStr">
        <is>
          <t>40495211254925</t>
        </is>
      </c>
      <c r="B319" s="13" t="inlineStr">
        <is>
          <t>PERFUME V BORN IN ROMA THE GOLD DONNA</t>
        </is>
      </c>
      <c r="C319" s="13" t="inlineStr">
        <is>
          <t>100 ml</t>
        </is>
      </c>
      <c r="D319" s="14" t="inlineStr">
        <is>
          <t>Perfume Cost: Oi</t>
        </is>
      </c>
      <c r="E319" s="13" t="n"/>
      <c r="F319" s="13" t="n"/>
      <c r="G319" s="15" t="n">
        <v>18</v>
      </c>
      <c r="H319" s="15" t="n">
        <v>18</v>
      </c>
      <c r="I319" s="13" t="n"/>
      <c r="J319" s="15" t="n">
        <v>18</v>
      </c>
      <c r="K319" s="15" t="n">
        <v>18</v>
      </c>
      <c r="L319" s="13" t="n"/>
      <c r="M319" s="13" t="n"/>
      <c r="N319" s="15" t="n">
        <v>18</v>
      </c>
      <c r="O319" s="13" t="n"/>
      <c r="P319" s="16">
        <f>IF(COUNT(E319:O319)=0,"",MIN(E319:O319))</f>
        <v/>
      </c>
      <c r="Q319" s="15">
        <f>IF(COUNT(E319:O319)=0,"",LOOKUP(2,1/(E319:O319&lt;&gt;""),E319:O319))</f>
        <v/>
      </c>
      <c r="R319" s="17">
        <f>IF(P319="","",ROUND(P319*RESUMEN!$B$4,0))</f>
        <v/>
      </c>
      <c r="S319" s="18">
        <f>COUNT(E319:O319)</f>
        <v/>
      </c>
    </row>
    <row r="320">
      <c r="A320" s="13" t="inlineStr">
        <is>
          <t>91345321067917</t>
        </is>
      </c>
      <c r="B320" s="13" t="inlineStr">
        <is>
          <t>PERFUME V&amp;R SPICEBOMB EXTREME</t>
        </is>
      </c>
      <c r="C320" s="13" t="inlineStr">
        <is>
          <t>Default Title</t>
        </is>
      </c>
      <c r="D320" s="14" t="inlineStr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5" t="n">
        <v>18</v>
      </c>
      <c r="N320" s="13" t="n"/>
      <c r="O320" s="13" t="n"/>
      <c r="P320" s="16">
        <f>IF(COUNT(E320:O320)=0,"",MIN(E320:O320))</f>
        <v/>
      </c>
      <c r="Q320" s="15">
        <f>IF(COUNT(E320:O320)=0,"",LOOKUP(2,1/(E320:O320&lt;&gt;""),E320:O320))</f>
        <v/>
      </c>
      <c r="R320" s="17">
        <f>IF(P320="","",ROUND(P320*RESUMEN!$B$4,0))</f>
        <v/>
      </c>
      <c r="S320" s="18">
        <f>COUNT(E320:O320)</f>
        <v/>
      </c>
    </row>
    <row r="321">
      <c r="A321" s="13" t="inlineStr">
        <is>
          <t>40495211372301</t>
        </is>
      </c>
      <c r="B321" s="13" t="inlineStr">
        <is>
          <t>PERFUME VC EROS EAU DE PARFUM</t>
        </is>
      </c>
      <c r="C321" s="13" t="inlineStr">
        <is>
          <t>100 ml</t>
        </is>
      </c>
      <c r="D321" s="14" t="inlineStr"/>
      <c r="E321" s="13" t="n"/>
      <c r="F321" s="13" t="n"/>
      <c r="G321" s="15" t="n">
        <v>18</v>
      </c>
      <c r="H321" s="13" t="n"/>
      <c r="I321" s="13" t="n"/>
      <c r="J321" s="13" t="n"/>
      <c r="K321" s="13" t="n"/>
      <c r="L321" s="13" t="n"/>
      <c r="M321" s="15" t="n">
        <v>18</v>
      </c>
      <c r="N321" s="13" t="n"/>
      <c r="O321" s="13" t="n"/>
      <c r="P321" s="16">
        <f>IF(COUNT(E321:O321)=0,"",MIN(E321:O321))</f>
        <v/>
      </c>
      <c r="Q321" s="15">
        <f>IF(COUNT(E321:O321)=0,"",LOOKUP(2,1/(E321:O321&lt;&gt;""),E321:O321))</f>
        <v/>
      </c>
      <c r="R321" s="17">
        <f>IF(P321="","",ROUND(P321*RESUMEN!$B$4,0))</f>
        <v/>
      </c>
      <c r="S321" s="18">
        <f>COUNT(E321:O321)</f>
        <v/>
      </c>
    </row>
    <row r="322">
      <c r="A322" s="13" t="inlineStr">
        <is>
          <t>34163621682221</t>
        </is>
      </c>
      <c r="B322" s="13" t="inlineStr">
        <is>
          <t>PERFUME VERSACE CRYSTAL NOIR</t>
        </is>
      </c>
      <c r="C322" s="13" t="inlineStr">
        <is>
          <t>Default Title</t>
        </is>
      </c>
      <c r="D322" s="14" t="inlineStr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5" t="n">
        <v>18</v>
      </c>
      <c r="N322" s="13" t="n"/>
      <c r="O322" s="13" t="n"/>
      <c r="P322" s="16">
        <f>IF(COUNT(E322:O322)=0,"",MIN(E322:O322))</f>
        <v/>
      </c>
      <c r="Q322" s="15">
        <f>IF(COUNT(E322:O322)=0,"",LOOKUP(2,1/(E322:O322&lt;&gt;""),E322:O322))</f>
        <v/>
      </c>
      <c r="R322" s="17">
        <f>IF(P322="","",ROUND(P322*RESUMEN!$B$4,0))</f>
        <v/>
      </c>
      <c r="S322" s="18">
        <f>COUNT(E322:O322)</f>
        <v/>
      </c>
    </row>
    <row r="323">
      <c r="A323" s="13" t="inlineStr">
        <is>
          <t>34163622950605</t>
        </is>
      </c>
      <c r="B323" s="13" t="inlineStr">
        <is>
          <t>PERFUME YOU STRONGER TOBACCO</t>
        </is>
      </c>
      <c r="C323" s="13" t="inlineStr">
        <is>
          <t>Default Title</t>
        </is>
      </c>
      <c r="D323" s="14" t="inlineStr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5" t="n">
        <v>18</v>
      </c>
      <c r="N323" s="13" t="n"/>
      <c r="O323" s="13" t="n"/>
      <c r="P323" s="16">
        <f>IF(COUNT(E323:O323)=0,"",MIN(E323:O323))</f>
        <v/>
      </c>
      <c r="Q323" s="15">
        <f>IF(COUNT(E323:O323)=0,"",LOOKUP(2,1/(E323:O323&lt;&gt;""),E323:O323))</f>
        <v/>
      </c>
      <c r="R323" s="17">
        <f>IF(P323="","",ROUND(P323*RESUMEN!$B$4,0))</f>
        <v/>
      </c>
      <c r="S323" s="18">
        <f>COUNT(E323:O323)</f>
        <v/>
      </c>
    </row>
    <row r="324">
      <c r="A324" s="13" t="inlineStr">
        <is>
          <t>95510921069549</t>
        </is>
      </c>
      <c r="B324" s="13" t="inlineStr">
        <is>
          <t>PERFUME YSL BLACK OPIUM OVER RED</t>
        </is>
      </c>
      <c r="C324" s="13" t="inlineStr">
        <is>
          <t>Default Title</t>
        </is>
      </c>
      <c r="D324" s="14" t="inlineStr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5" t="n">
        <v>18</v>
      </c>
      <c r="N324" s="13" t="n"/>
      <c r="O324" s="13" t="n"/>
      <c r="P324" s="16">
        <f>IF(COUNT(E324:O324)=0,"",MIN(E324:O324))</f>
        <v/>
      </c>
      <c r="Q324" s="15">
        <f>IF(COUNT(E324:O324)=0,"",LOOKUP(2,1/(E324:O324&lt;&gt;""),E324:O324))</f>
        <v/>
      </c>
      <c r="R324" s="17">
        <f>IF(P324="","",ROUND(P324*RESUMEN!$B$4,0))</f>
        <v/>
      </c>
      <c r="S324" s="18">
        <f>COUNT(E324:O324)</f>
        <v/>
      </c>
    </row>
    <row r="325">
      <c r="A325" s="13" t="inlineStr">
        <is>
          <t>34163621292397</t>
        </is>
      </c>
      <c r="B325" s="13" t="inlineStr">
        <is>
          <t>PERFUME YSL MEN</t>
        </is>
      </c>
      <c r="C325" s="13" t="inlineStr">
        <is>
          <t>Default Title</t>
        </is>
      </c>
      <c r="D325" s="14" t="inlineStr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5" t="n">
        <v>18</v>
      </c>
      <c r="N325" s="13" t="n"/>
      <c r="O325" s="13" t="n"/>
      <c r="P325" s="16">
        <f>IF(COUNT(E325:O325)=0,"",MIN(E325:O325))</f>
        <v/>
      </c>
      <c r="Q325" s="15">
        <f>IF(COUNT(E325:O325)=0,"",LOOKUP(2,1/(E325:O325&lt;&gt;""),E325:O325))</f>
        <v/>
      </c>
      <c r="R325" s="17">
        <f>IF(P325="","",ROUND(P325*RESUMEN!$B$4,0))</f>
        <v/>
      </c>
      <c r="S325" s="18">
        <f>COUNT(E325:O325)</f>
        <v/>
      </c>
    </row>
    <row r="326">
      <c r="A326" s="13" t="inlineStr">
        <is>
          <t>95510922056045</t>
        </is>
      </c>
      <c r="B326" s="13" t="inlineStr">
        <is>
          <t>PERFUME YSL MYSLF</t>
        </is>
      </c>
      <c r="C326" s="13" t="inlineStr">
        <is>
          <t>Default Title</t>
        </is>
      </c>
      <c r="D326" s="14" t="inlineStr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5" t="n">
        <v>18</v>
      </c>
      <c r="N326" s="13" t="n"/>
      <c r="O326" s="13" t="n"/>
      <c r="P326" s="16">
        <f>IF(COUNT(E326:O326)=0,"",MIN(E326:O326))</f>
        <v/>
      </c>
      <c r="Q326" s="15">
        <f>IF(COUNT(E326:O326)=0,"",LOOKUP(2,1/(E326:O326&lt;&gt;""),E326:O326))</f>
        <v/>
      </c>
      <c r="R326" s="17">
        <f>IF(P326="","",ROUND(P326*RESUMEN!$B$4,0))</f>
        <v/>
      </c>
      <c r="S326" s="18">
        <f>COUNT(E326:O326)</f>
        <v/>
      </c>
    </row>
    <row r="327">
      <c r="A327" s="13" t="inlineStr">
        <is>
          <t>15711173666157</t>
        </is>
      </c>
      <c r="B327" s="13" t="inlineStr">
        <is>
          <t>PERFUME, DELINA EXCLUSIF EAU DE PARFUM, 75 ML</t>
        </is>
      </c>
      <c r="C327" s="13" t="inlineStr">
        <is>
          <t>Default Title</t>
        </is>
      </c>
      <c r="D327" s="14" t="inlineStr">
        <is>
          <t>Perfume Cost: Oi</t>
        </is>
      </c>
      <c r="E327" s="15" t="n">
        <v>18</v>
      </c>
      <c r="F327" s="13" t="n"/>
      <c r="G327" s="13" t="n"/>
      <c r="H327" s="15" t="n">
        <v>18</v>
      </c>
      <c r="I327" s="13" t="n"/>
      <c r="J327" s="13" t="n"/>
      <c r="K327" s="13" t="n"/>
      <c r="L327" s="15" t="n">
        <v>18</v>
      </c>
      <c r="M327" s="13" t="n"/>
      <c r="N327" s="15" t="n">
        <v>18</v>
      </c>
      <c r="O327" s="13" t="n"/>
      <c r="P327" s="16">
        <f>IF(COUNT(E327:O327)=0,"",MIN(E327:O327))</f>
        <v/>
      </c>
      <c r="Q327" s="15">
        <f>IF(COUNT(E327:O327)=0,"",LOOKUP(2,1/(E327:O327&lt;&gt;""),E327:O327))</f>
        <v/>
      </c>
      <c r="R327" s="17">
        <f>IF(P327="","",ROUND(P327*RESUMEN!$B$4,0))</f>
        <v/>
      </c>
      <c r="S327" s="18">
        <f>COUNT(E327:O327)</f>
        <v/>
      </c>
    </row>
    <row r="328">
      <c r="A328" s="13" t="inlineStr">
        <is>
          <t>34163621418381</t>
        </is>
      </c>
      <c r="B328" s="13" t="inlineStr">
        <is>
          <t>PERUFUME JEAN PAUL SCANDAL WOMEN</t>
        </is>
      </c>
      <c r="C328" s="13" t="inlineStr">
        <is>
          <t>REGULAR</t>
        </is>
      </c>
      <c r="D328" s="14" t="inlineStr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5" t="n">
        <v>18</v>
      </c>
      <c r="N328" s="13" t="n"/>
      <c r="O328" s="13" t="n"/>
      <c r="P328" s="16">
        <f>IF(COUNT(E328:O328)=0,"",MIN(E328:O328))</f>
        <v/>
      </c>
      <c r="Q328" s="15">
        <f>IF(COUNT(E328:O328)=0,"",LOOKUP(2,1/(E328:O328&lt;&gt;""),E328:O328))</f>
        <v/>
      </c>
      <c r="R328" s="17">
        <f>IF(P328="","",ROUND(P328*RESUMEN!$B$4,0))</f>
        <v/>
      </c>
      <c r="S328" s="18">
        <f>COUNT(E328:O328)</f>
        <v/>
      </c>
    </row>
    <row r="329">
      <c r="A329" s="13" t="inlineStr">
        <is>
          <t>93098781839789</t>
        </is>
      </c>
      <c r="B329" s="13" t="inlineStr">
        <is>
          <t>PORTADOCUMENTOS LV VOYAGE</t>
        </is>
      </c>
      <c r="C329" s="13" t="inlineStr">
        <is>
          <t>Default Title</t>
        </is>
      </c>
      <c r="D329" s="14" t="inlineStr">
        <is>
          <t>Stainless steel</t>
        </is>
      </c>
      <c r="E329" s="13" t="n"/>
      <c r="F329" s="13" t="n"/>
      <c r="G329" s="13" t="n"/>
      <c r="H329" s="13" t="n"/>
      <c r="I329" s="13" t="n"/>
      <c r="J329" s="15" t="n">
        <v>55</v>
      </c>
      <c r="K329" s="15" t="n">
        <v>55</v>
      </c>
      <c r="L329" s="13" t="n"/>
      <c r="M329" s="13" t="n"/>
      <c r="N329" s="15" t="n">
        <v>55</v>
      </c>
      <c r="O329" s="13" t="n"/>
      <c r="P329" s="16">
        <f>IF(COUNT(E329:O329)=0,"",MIN(E329:O329))</f>
        <v/>
      </c>
      <c r="Q329" s="15">
        <f>IF(COUNT(E329:O329)=0,"",LOOKUP(2,1/(E329:O329&lt;&gt;""),E329:O329))</f>
        <v/>
      </c>
      <c r="R329" s="17">
        <f>IF(P329="","",ROUND(P329*RESUMEN!$B$4,0))</f>
        <v/>
      </c>
      <c r="S329" s="18">
        <f>COUNT(E329:O329)</f>
        <v/>
      </c>
    </row>
    <row r="330">
      <c r="A330" s="13" t="inlineStr">
        <is>
          <t>61744051068109</t>
        </is>
      </c>
      <c r="B330" s="13" t="inlineStr">
        <is>
          <t>PULSERA CD GOLD CON ZIRCONIA</t>
        </is>
      </c>
      <c r="C330" s="13" t="inlineStr">
        <is>
          <t>Default Title</t>
        </is>
      </c>
      <c r="D330" s="14" t="inlineStr">
        <is>
          <t>Brass + Zirconia</t>
        </is>
      </c>
      <c r="E330" s="13" t="n"/>
      <c r="F330" s="15" t="n">
        <v>9</v>
      </c>
      <c r="G330" s="13" t="n"/>
      <c r="H330" s="13" t="n"/>
      <c r="I330" s="15" t="n">
        <v>18</v>
      </c>
      <c r="J330" s="13" t="n"/>
      <c r="K330" s="13" t="n"/>
      <c r="L330" s="13" t="n"/>
      <c r="M330" s="13" t="n"/>
      <c r="N330" s="13" t="n"/>
      <c r="O330" s="13" t="n"/>
      <c r="P330" s="16">
        <f>IF(COUNT(E330:O330)=0,"",MIN(E330:O330))</f>
        <v/>
      </c>
      <c r="Q330" s="15">
        <f>IF(COUNT(E330:O330)=0,"",LOOKUP(2,1/(E330:O330&lt;&gt;""),E330:O330))</f>
        <v/>
      </c>
      <c r="R330" s="17">
        <f>IF(P330="","",ROUND(P330*RESUMEN!$B$4,0))</f>
        <v/>
      </c>
      <c r="S330" s="18">
        <f>COUNT(E330:O330)</f>
        <v/>
      </c>
    </row>
    <row r="331">
      <c r="A331" s="13" t="inlineStr">
        <is>
          <t>62328733504652</t>
        </is>
      </c>
      <c r="B331" s="13" t="inlineStr">
        <is>
          <t>PULSERA CD PETIT</t>
        </is>
      </c>
      <c r="C331" s="13" t="inlineStr">
        <is>
          <t>16cm con 5cm de extensión</t>
        </is>
      </c>
      <c r="D331" s="14" t="inlineStr">
        <is>
          <t>Brass</t>
        </is>
      </c>
      <c r="E331" s="15" t="n">
        <v>7</v>
      </c>
      <c r="F331" s="13" t="n"/>
      <c r="G331" s="13" t="n"/>
      <c r="H331" s="15" t="n">
        <v>7</v>
      </c>
      <c r="I331" s="13" t="n"/>
      <c r="J331" s="13" t="n"/>
      <c r="K331" s="13" t="n"/>
      <c r="L331" s="15" t="n">
        <v>7</v>
      </c>
      <c r="M331" s="13" t="n"/>
      <c r="N331" s="15" t="n">
        <v>7</v>
      </c>
      <c r="O331" s="13" t="n"/>
      <c r="P331" s="16">
        <f>IF(COUNT(E331:O331)=0,"",MIN(E331:O331))</f>
        <v/>
      </c>
      <c r="Q331" s="15">
        <f>IF(COUNT(E331:O331)=0,"",LOOKUP(2,1/(E331:O331&lt;&gt;""),E331:O331))</f>
        <v/>
      </c>
      <c r="R331" s="17">
        <f>IF(P331="","",ROUND(P331*RESUMEN!$B$4,0))</f>
        <v/>
      </c>
      <c r="S331" s="18">
        <f>COUNT(E331:O331)</f>
        <v/>
      </c>
    </row>
    <row r="332">
      <c r="A332" s="13" t="inlineStr">
        <is>
          <t>60411861009357</t>
        </is>
      </c>
      <c r="B332" s="13" t="inlineStr">
        <is>
          <t>PULSERA CLAIR DE LUNE SILVER CON ZIRCONIA</t>
        </is>
      </c>
      <c r="C332" s="13" t="inlineStr">
        <is>
          <t>Default Title</t>
        </is>
      </c>
      <c r="D332" s="14" t="inlineStr">
        <is>
          <t>Brass + Zirconia</t>
        </is>
      </c>
      <c r="E332" s="13" t="n"/>
      <c r="F332" s="15" t="n">
        <v>8</v>
      </c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6">
        <f>IF(COUNT(E332:O332)=0,"",MIN(E332:O332))</f>
        <v/>
      </c>
      <c r="Q332" s="15">
        <f>IF(COUNT(E332:O332)=0,"",LOOKUP(2,1/(E332:O332&lt;&gt;""),E332:O332))</f>
        <v/>
      </c>
      <c r="R332" s="17">
        <f>IF(P332="","",ROUND(P332*RESUMEN!$B$4,0))</f>
        <v/>
      </c>
      <c r="S332" s="18">
        <f>COUNT(E332:O332)</f>
        <v/>
      </c>
    </row>
    <row r="333">
      <c r="A333" s="13" t="inlineStr">
        <is>
          <t>10473111097537</t>
        </is>
      </c>
      <c r="B333" s="13" t="inlineStr">
        <is>
          <t>PULSERA DE CUENTAS ROSEGOLD</t>
        </is>
      </c>
      <c r="C333" s="13" t="inlineStr">
        <is>
          <t>17cm</t>
        </is>
      </c>
      <c r="D333" s="14" t="inlineStr">
        <is>
          <t>Brass</t>
        </is>
      </c>
      <c r="E333" s="15" t="n">
        <v>9</v>
      </c>
      <c r="F333" s="13" t="n"/>
      <c r="G333" s="15" t="n">
        <v>9</v>
      </c>
      <c r="H333" s="13" t="n"/>
      <c r="I333" s="15" t="n">
        <v>9</v>
      </c>
      <c r="J333" s="15" t="n">
        <v>6</v>
      </c>
      <c r="K333" s="15" t="n">
        <v>6</v>
      </c>
      <c r="L333" s="13" t="n"/>
      <c r="M333" s="13" t="n"/>
      <c r="N333" s="13" t="n"/>
      <c r="O333" s="15" t="n">
        <v>9</v>
      </c>
      <c r="P333" s="16">
        <f>IF(COUNT(E333:O333)=0,"",MIN(E333:O333))</f>
        <v/>
      </c>
      <c r="Q333" s="15">
        <f>IF(COUNT(E333:O333)=0,"",LOOKUP(2,1/(E333:O333&lt;&gt;""),E333:O333))</f>
        <v/>
      </c>
      <c r="R333" s="17">
        <f>IF(P333="","",ROUND(P333*RESUMEN!$B$4,0))</f>
        <v/>
      </c>
      <c r="S333" s="18">
        <f>COUNT(E333:O333)</f>
        <v/>
      </c>
    </row>
    <row r="334">
      <c r="A334" s="13" t="inlineStr">
        <is>
          <t>83844901025261</t>
        </is>
      </c>
      <c r="B334" s="13" t="inlineStr">
        <is>
          <t>PULSERA DE TELA F GOLD BLACK</t>
        </is>
      </c>
      <c r="C334" s="13" t="inlineStr">
        <is>
          <t>Default Title</t>
        </is>
      </c>
      <c r="D334" s="14" t="inlineStr">
        <is>
          <t>Brass</t>
        </is>
      </c>
      <c r="E334" s="13" t="n"/>
      <c r="F334" s="15" t="n">
        <v>8</v>
      </c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6">
        <f>IF(COUNT(E334:O334)=0,"",MIN(E334:O334))</f>
        <v/>
      </c>
      <c r="Q334" s="15">
        <f>IF(COUNT(E334:O334)=0,"",LOOKUP(2,1/(E334:O334&lt;&gt;""),E334:O334))</f>
        <v/>
      </c>
      <c r="R334" s="17">
        <f>IF(P334="","",ROUND(P334*RESUMEN!$B$4,0))</f>
        <v/>
      </c>
      <c r="S334" s="18">
        <f>COUNT(E334:O334)</f>
        <v/>
      </c>
    </row>
    <row r="335">
      <c r="A335" s="13" t="inlineStr">
        <is>
          <t>34163623457677</t>
        </is>
      </c>
      <c r="B335" s="13" t="inlineStr">
        <is>
          <t>PULSERA DE TENNIS DIAMONDS BLUE</t>
        </is>
      </c>
      <c r="C335" s="13" t="inlineStr">
        <is>
          <t>Default Title</t>
        </is>
      </c>
      <c r="D335" s="14" t="inlineStr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5" t="n">
        <v>12</v>
      </c>
      <c r="N335" s="13" t="n"/>
      <c r="O335" s="13" t="n"/>
      <c r="P335" s="16">
        <f>IF(COUNT(E335:O335)=0,"",MIN(E335:O335))</f>
        <v/>
      </c>
      <c r="Q335" s="15">
        <f>IF(COUNT(E335:O335)=0,"",LOOKUP(2,1/(E335:O335&lt;&gt;""),E335:O335))</f>
        <v/>
      </c>
      <c r="R335" s="17">
        <f>IF(P335="","",ROUND(P335*RESUMEN!$B$4,0))</f>
        <v/>
      </c>
      <c r="S335" s="18">
        <f>COUNT(E335:O335)</f>
        <v/>
      </c>
    </row>
    <row r="336">
      <c r="A336" s="13" t="inlineStr">
        <is>
          <t>34163623595533</t>
        </is>
      </c>
      <c r="B336" s="13" t="inlineStr">
        <is>
          <t>PULSERA DE TENNIS DIAMONDS GOLD</t>
        </is>
      </c>
      <c r="C336" s="13" t="inlineStr">
        <is>
          <t>Default Title</t>
        </is>
      </c>
      <c r="D336" s="14" t="inlineStr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5" t="n">
        <v>10</v>
      </c>
      <c r="N336" s="13" t="n"/>
      <c r="O336" s="13" t="n"/>
      <c r="P336" s="16">
        <f>IF(COUNT(E336:O336)=0,"",MIN(E336:O336))</f>
        <v/>
      </c>
      <c r="Q336" s="15">
        <f>IF(COUNT(E336:O336)=0,"",LOOKUP(2,1/(E336:O336&lt;&gt;""),E336:O336))</f>
        <v/>
      </c>
      <c r="R336" s="17">
        <f>IF(P336="","",ROUND(P336*RESUMEN!$B$4,0))</f>
        <v/>
      </c>
      <c r="S336" s="18">
        <f>COUNT(E336:O336)</f>
        <v/>
      </c>
    </row>
    <row r="337">
      <c r="A337" s="13" t="inlineStr">
        <is>
          <t>34163623621517</t>
        </is>
      </c>
      <c r="B337" s="13" t="inlineStr">
        <is>
          <t>PULSERA DE TENNIS DIAMONDS SILVER</t>
        </is>
      </c>
      <c r="C337" s="13" t="inlineStr">
        <is>
          <t>Default Title</t>
        </is>
      </c>
      <c r="D337" s="14" t="inlineStr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5" t="n">
        <v>9</v>
      </c>
      <c r="N337" s="13" t="n"/>
      <c r="O337" s="13" t="n"/>
      <c r="P337" s="16">
        <f>IF(COUNT(E337:O337)=0,"",MIN(E337:O337))</f>
        <v/>
      </c>
      <c r="Q337" s="15">
        <f>IF(COUNT(E337:O337)=0,"",LOOKUP(2,1/(E337:O337&lt;&gt;""),E337:O337))</f>
        <v/>
      </c>
      <c r="R337" s="17">
        <f>IF(P337="","",ROUND(P337*RESUMEN!$B$4,0))</f>
        <v/>
      </c>
      <c r="S337" s="18">
        <f>COUNT(E337:O337)</f>
        <v/>
      </c>
    </row>
    <row r="338">
      <c r="A338" s="13" t="inlineStr">
        <is>
          <t>84911031092013</t>
        </is>
      </c>
      <c r="B338" s="13" t="inlineStr">
        <is>
          <t>PULSERA GC GOLD BLONDIE CON ZIRCONIAS</t>
        </is>
      </c>
      <c r="C338" s="13" t="inlineStr">
        <is>
          <t>Default Title</t>
        </is>
      </c>
      <c r="D338" s="14" t="inlineStr">
        <is>
          <t>Brass + Zirconia</t>
        </is>
      </c>
      <c r="E338" s="13" t="n"/>
      <c r="F338" s="15" t="n">
        <v>15</v>
      </c>
      <c r="G338" s="13" t="n"/>
      <c r="H338" s="13" t="n"/>
      <c r="I338" s="13" t="n"/>
      <c r="J338" s="13" t="n"/>
      <c r="K338" s="13" t="n"/>
      <c r="L338" s="13" t="n"/>
      <c r="M338" s="13" t="n"/>
      <c r="N338" s="15" t="n">
        <v>15</v>
      </c>
      <c r="O338" s="13" t="n"/>
      <c r="P338" s="16">
        <f>IF(COUNT(E338:O338)=0,"",MIN(E338:O338))</f>
        <v/>
      </c>
      <c r="Q338" s="15">
        <f>IF(COUNT(E338:O338)=0,"",LOOKUP(2,1/(E338:O338&lt;&gt;""),E338:O338))</f>
        <v/>
      </c>
      <c r="R338" s="17">
        <f>IF(P338="","",ROUND(P338*RESUMEN!$B$4,0))</f>
        <v/>
      </c>
      <c r="S338" s="18">
        <f>COUNT(E338:O338)</f>
        <v/>
      </c>
    </row>
    <row r="339">
      <c r="A339" s="13" t="inlineStr">
        <is>
          <t>84159921033261</t>
        </is>
      </c>
      <c r="B339" s="13" t="inlineStr">
        <is>
          <t>PULSERA GC ROSE GOLD BLONDIE CON ZIRCONIAS</t>
        </is>
      </c>
      <c r="C339" s="13" t="inlineStr">
        <is>
          <t>Default Title</t>
        </is>
      </c>
      <c r="D339" s="14" t="inlineStr">
        <is>
          <t>Brass + Zirconia</t>
        </is>
      </c>
      <c r="E339" s="13" t="n"/>
      <c r="F339" s="15" t="n">
        <v>8</v>
      </c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6">
        <f>IF(COUNT(E339:O339)=0,"",MIN(E339:O339))</f>
        <v/>
      </c>
      <c r="Q339" s="15">
        <f>IF(COUNT(E339:O339)=0,"",LOOKUP(2,1/(E339:O339&lt;&gt;""),E339:O339))</f>
        <v/>
      </c>
      <c r="R339" s="17">
        <f>IF(P339="","",ROUND(P339*RESUMEN!$B$4,0))</f>
        <v/>
      </c>
      <c r="S339" s="18">
        <f>COUNT(E339:O339)</f>
        <v/>
      </c>
    </row>
    <row r="340">
      <c r="A340" s="13" t="inlineStr">
        <is>
          <t>82350491022541</t>
        </is>
      </c>
      <c r="B340" s="13" t="inlineStr">
        <is>
          <t>PULSERA GC SCRIPT DE CADENA GOLD</t>
        </is>
      </c>
      <c r="C340" s="13" t="inlineStr">
        <is>
          <t>Default Title</t>
        </is>
      </c>
      <c r="D340" s="14" t="inlineStr">
        <is>
          <t>Brass</t>
        </is>
      </c>
      <c r="E340" s="13" t="n"/>
      <c r="F340" s="15" t="n">
        <v>8</v>
      </c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5" t="n">
        <v>9</v>
      </c>
      <c r="P340" s="16">
        <f>IF(COUNT(E340:O340)=0,"",MIN(E340:O340))</f>
        <v/>
      </c>
      <c r="Q340" s="15">
        <f>IF(COUNT(E340:O340)=0,"",LOOKUP(2,1/(E340:O340&lt;&gt;""),E340:O340))</f>
        <v/>
      </c>
      <c r="R340" s="17">
        <f>IF(P340="","",ROUND(P340*RESUMEN!$B$4,0))</f>
        <v/>
      </c>
      <c r="S340" s="18">
        <f>COUNT(E340:O340)</f>
        <v/>
      </c>
    </row>
    <row r="341">
      <c r="A341" s="13" t="inlineStr">
        <is>
          <t>43047213301900</t>
        </is>
      </c>
      <c r="B341" s="13" t="inlineStr">
        <is>
          <t>PULSERA KNOT GOLD</t>
        </is>
      </c>
      <c r="C341" s="13" t="inlineStr"/>
      <c r="D341" s="14" t="inlineStr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5" t="n">
        <v>13</v>
      </c>
      <c r="O341" s="13" t="n"/>
      <c r="P341" s="16">
        <f>IF(COUNT(E341:O341)=0,"",MIN(E341:O341))</f>
        <v/>
      </c>
      <c r="Q341" s="15">
        <f>IF(COUNT(E341:O341)=0,"",LOOKUP(2,1/(E341:O341&lt;&gt;""),E341:O341))</f>
        <v/>
      </c>
      <c r="R341" s="17">
        <f>IF(P341="","",ROUND(P341*RESUMEN!$B$4,0))</f>
        <v/>
      </c>
      <c r="S341" s="18">
        <f>COUNT(E341:O341)</f>
        <v/>
      </c>
    </row>
    <row r="342">
      <c r="A342" s="13" t="inlineStr">
        <is>
          <t>87401991025249</t>
        </is>
      </c>
      <c r="B342" s="13" t="inlineStr">
        <is>
          <t>PULSERA LOVESTRUCK</t>
        </is>
      </c>
      <c r="C342" s="13" t="inlineStr">
        <is>
          <t>18 cm</t>
        </is>
      </c>
      <c r="D342" s="14" t="inlineStr">
        <is>
          <t>Brass</t>
        </is>
      </c>
      <c r="E342" s="15" t="n">
        <v>9</v>
      </c>
      <c r="F342" s="13" t="n"/>
      <c r="G342" s="13" t="n"/>
      <c r="H342" s="15" t="n">
        <v>9</v>
      </c>
      <c r="I342" s="13" t="n"/>
      <c r="J342" s="15" t="n">
        <v>6.5</v>
      </c>
      <c r="K342" s="15" t="n">
        <v>6.5</v>
      </c>
      <c r="L342" s="15" t="n">
        <v>9</v>
      </c>
      <c r="M342" s="13" t="n"/>
      <c r="N342" s="15" t="n">
        <v>7.75</v>
      </c>
      <c r="O342" s="13" t="n"/>
      <c r="P342" s="16">
        <f>IF(COUNT(E342:O342)=0,"",MIN(E342:O342))</f>
        <v/>
      </c>
      <c r="Q342" s="15">
        <f>IF(COUNT(E342:O342)=0,"",LOOKUP(2,1/(E342:O342&lt;&gt;""),E342:O342))</f>
        <v/>
      </c>
      <c r="R342" s="17">
        <f>IF(P342="","",ROUND(P342*RESUMEN!$B$4,0))</f>
        <v/>
      </c>
      <c r="S342" s="18">
        <f>COUNT(E342:O342)</f>
        <v/>
      </c>
    </row>
    <row r="343">
      <c r="A343" s="13" t="inlineStr">
        <is>
          <t>87045211023629</t>
        </is>
      </c>
      <c r="B343" s="13" t="inlineStr">
        <is>
          <t>PULSERA LV BLOSSOM TWIST GOLD</t>
        </is>
      </c>
      <c r="C343" s="13" t="inlineStr">
        <is>
          <t>Default Title</t>
        </is>
      </c>
      <c r="D343" s="14" t="inlineStr">
        <is>
          <t>Brass + Zirconia</t>
        </is>
      </c>
      <c r="E343" s="13" t="n"/>
      <c r="F343" s="15" t="n">
        <v>9</v>
      </c>
      <c r="G343" s="13" t="n"/>
      <c r="H343" s="13" t="n"/>
      <c r="I343" s="13" t="n"/>
      <c r="J343" s="13" t="n"/>
      <c r="K343" s="13" t="n"/>
      <c r="L343" s="13" t="n"/>
      <c r="M343" s="13" t="n"/>
      <c r="N343" s="15" t="n">
        <v>9</v>
      </c>
      <c r="O343" s="13" t="n"/>
      <c r="P343" s="16">
        <f>IF(COUNT(E343:O343)=0,"",MIN(E343:O343))</f>
        <v/>
      </c>
      <c r="Q343" s="15">
        <f>IF(COUNT(E343:O343)=0,"",LOOKUP(2,1/(E343:O343&lt;&gt;""),E343:O343))</f>
        <v/>
      </c>
      <c r="R343" s="17">
        <f>IF(P343="","",ROUND(P343*RESUMEN!$B$4,0))</f>
        <v/>
      </c>
      <c r="S343" s="18">
        <f>COUNT(E343:O343)</f>
        <v/>
      </c>
    </row>
    <row r="344">
      <c r="A344" s="13" t="inlineStr">
        <is>
          <t>93098781469165</t>
        </is>
      </c>
      <c r="B344" s="13" t="inlineStr">
        <is>
          <t>PULSERA LV CATCH IT BLACK</t>
        </is>
      </c>
      <c r="C344" s="13" t="inlineStr">
        <is>
          <t>Default Title</t>
        </is>
      </c>
      <c r="D344" s="14" t="inlineStr">
        <is>
          <t>Brass</t>
        </is>
      </c>
      <c r="E344" s="13" t="n"/>
      <c r="F344" s="13" t="n"/>
      <c r="G344" s="13" t="n"/>
      <c r="H344" s="13" t="n"/>
      <c r="I344" s="13" t="n"/>
      <c r="J344" s="15" t="n">
        <v>10</v>
      </c>
      <c r="K344" s="15" t="n">
        <v>10</v>
      </c>
      <c r="L344" s="13" t="n"/>
      <c r="M344" s="13" t="n"/>
      <c r="N344" s="15" t="n">
        <v>10</v>
      </c>
      <c r="O344" s="13" t="n"/>
      <c r="P344" s="16">
        <f>IF(COUNT(E344:O344)=0,"",MIN(E344:O344))</f>
        <v/>
      </c>
      <c r="Q344" s="15">
        <f>IF(COUNT(E344:O344)=0,"",LOOKUP(2,1/(E344:O344&lt;&gt;""),E344:O344))</f>
        <v/>
      </c>
      <c r="R344" s="17">
        <f>IF(P344="","",ROUND(P344*RESUMEN!$B$4,0))</f>
        <v/>
      </c>
      <c r="S344" s="18">
        <f>COUNT(E344:O344)</f>
        <v/>
      </c>
    </row>
    <row r="345">
      <c r="A345" s="13" t="inlineStr">
        <is>
          <t>87725181046765</t>
        </is>
      </c>
      <c r="B345" s="13" t="inlineStr">
        <is>
          <t>PULSERA LV IDYLLE BLOSSOM TRES OROS</t>
        </is>
      </c>
      <c r="C345" s="13" t="inlineStr">
        <is>
          <t>Default Title</t>
        </is>
      </c>
      <c r="D345" s="14" t="inlineStr">
        <is>
          <t>Brass + Zirconia</t>
        </is>
      </c>
      <c r="E345" s="13" t="n"/>
      <c r="F345" s="15" t="n">
        <v>9</v>
      </c>
      <c r="G345" s="13" t="n"/>
      <c r="H345" s="13" t="n"/>
      <c r="I345" s="13" t="n"/>
      <c r="J345" s="13" t="n"/>
      <c r="K345" s="13" t="n"/>
      <c r="L345" s="13" t="n"/>
      <c r="M345" s="13" t="n"/>
      <c r="N345" s="15" t="n">
        <v>9</v>
      </c>
      <c r="O345" s="13" t="n"/>
      <c r="P345" s="16">
        <f>IF(COUNT(E345:O345)=0,"",MIN(E345:O345))</f>
        <v/>
      </c>
      <c r="Q345" s="15">
        <f>IF(COUNT(E345:O345)=0,"",LOOKUP(2,1/(E345:O345&lt;&gt;""),E345:O345))</f>
        <v/>
      </c>
      <c r="R345" s="17">
        <f>IF(P345="","",ROUND(P345*RESUMEN!$B$4,0))</f>
        <v/>
      </c>
      <c r="S345" s="18">
        <f>COUNT(E345:O345)</f>
        <v/>
      </c>
    </row>
    <row r="346">
      <c r="A346" s="13" t="inlineStr">
        <is>
          <t>93098781071405</t>
        </is>
      </c>
      <c r="B346" s="13" t="inlineStr">
        <is>
          <t>PULSERA LV SAILOR SOO</t>
        </is>
      </c>
      <c r="C346" s="13" t="inlineStr">
        <is>
          <t>Default Title</t>
        </is>
      </c>
      <c r="D346" s="14" t="inlineStr">
        <is>
          <t>Brass</t>
        </is>
      </c>
      <c r="E346" s="13" t="n"/>
      <c r="F346" s="13" t="n"/>
      <c r="G346" s="13" t="n"/>
      <c r="H346" s="13" t="n"/>
      <c r="I346" s="13" t="n"/>
      <c r="J346" s="15" t="n">
        <v>9</v>
      </c>
      <c r="K346" s="15" t="n">
        <v>9</v>
      </c>
      <c r="L346" s="13" t="n"/>
      <c r="M346" s="13" t="n"/>
      <c r="N346" s="13" t="n"/>
      <c r="O346" s="15" t="n">
        <v>9</v>
      </c>
      <c r="P346" s="16">
        <f>IF(COUNT(E346:O346)=0,"",MIN(E346:O346))</f>
        <v/>
      </c>
      <c r="Q346" s="15">
        <f>IF(COUNT(E346:O346)=0,"",LOOKUP(2,1/(E346:O346&lt;&gt;""),E346:O346))</f>
        <v/>
      </c>
      <c r="R346" s="17">
        <f>IF(P346="","",ROUND(P346*RESUMEN!$B$4,0))</f>
        <v/>
      </c>
      <c r="S346" s="18">
        <f>COUNT(E346:O346)</f>
        <v/>
      </c>
    </row>
    <row r="347">
      <c r="A347" s="13" t="inlineStr">
        <is>
          <t>93098781240333</t>
        </is>
      </c>
      <c r="B347" s="13" t="inlineStr">
        <is>
          <t>PULSERA LV SPIKE SOO</t>
        </is>
      </c>
      <c r="C347" s="13" t="inlineStr">
        <is>
          <t>SILVER</t>
        </is>
      </c>
      <c r="D347" s="14" t="inlineStr">
        <is>
          <t>Brass</t>
        </is>
      </c>
      <c r="E347" s="13" t="n"/>
      <c r="F347" s="13" t="n"/>
      <c r="G347" s="13" t="n"/>
      <c r="H347" s="13" t="n"/>
      <c r="I347" s="13" t="n"/>
      <c r="J347" s="15" t="n">
        <v>8</v>
      </c>
      <c r="K347" s="15" t="n">
        <v>8</v>
      </c>
      <c r="L347" s="13" t="n"/>
      <c r="M347" s="13" t="n"/>
      <c r="N347" s="13" t="n"/>
      <c r="O347" s="13" t="n"/>
      <c r="P347" s="16">
        <f>IF(COUNT(E347:O347)=0,"",MIN(E347:O347))</f>
        <v/>
      </c>
      <c r="Q347" s="15">
        <f>IF(COUNT(E347:O347)=0,"",LOOKUP(2,1/(E347:O347&lt;&gt;""),E347:O347))</f>
        <v/>
      </c>
      <c r="R347" s="17">
        <f>IF(P347="","",ROUND(P347*RESUMEN!$B$4,0))</f>
        <v/>
      </c>
      <c r="S347" s="18">
        <f>COUNT(E347:O347)</f>
        <v/>
      </c>
    </row>
    <row r="348">
      <c r="A348" s="13" t="inlineStr">
        <is>
          <t>87729331097505</t>
        </is>
      </c>
      <c r="B348" s="13" t="inlineStr">
        <is>
          <t>PULSERA T BLANCA CON ZIRCONIA</t>
        </is>
      </c>
      <c r="C348" s="13" t="inlineStr">
        <is>
          <t>16 cm</t>
        </is>
      </c>
      <c r="D348" s="14" t="inlineStr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5" t="n">
        <v>8</v>
      </c>
      <c r="O348" s="13" t="n"/>
      <c r="P348" s="16">
        <f>IF(COUNT(E348:O348)=0,"",MIN(E348:O348))</f>
        <v/>
      </c>
      <c r="Q348" s="15">
        <f>IF(COUNT(E348:O348)=0,"",LOOKUP(2,1/(E348:O348&lt;&gt;""),E348:O348))</f>
        <v/>
      </c>
      <c r="R348" s="17">
        <f>IF(P348="","",ROUND(P348*RESUMEN!$B$4,0))</f>
        <v/>
      </c>
      <c r="S348" s="18">
        <f>COUNT(E348:O348)</f>
        <v/>
      </c>
    </row>
    <row r="349">
      <c r="A349" s="13" t="inlineStr">
        <is>
          <t>17360611212238</t>
        </is>
      </c>
      <c r="B349" s="13" t="inlineStr">
        <is>
          <t>RELOJ BALLON BLUE C</t>
        </is>
      </c>
      <c r="C349" s="13" t="inlineStr">
        <is>
          <t>RELOJ CON CAJA</t>
        </is>
      </c>
      <c r="D349" s="14" t="inlineStr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5" t="n">
        <v>28</v>
      </c>
      <c r="O349" s="13" t="n"/>
      <c r="P349" s="16">
        <f>IF(COUNT(E349:O349)=0,"",MIN(E349:O349))</f>
        <v/>
      </c>
      <c r="Q349" s="15">
        <f>IF(COUNT(E349:O349)=0,"",LOOKUP(2,1/(E349:O349&lt;&gt;""),E349:O349))</f>
        <v/>
      </c>
      <c r="R349" s="17">
        <f>IF(P349="","",ROUND(P349*RESUMEN!$B$4,0))</f>
        <v/>
      </c>
      <c r="S349" s="18">
        <f>COUNT(E349:O349)</f>
        <v/>
      </c>
    </row>
    <row r="350">
      <c r="A350" s="13" t="inlineStr">
        <is>
          <t>17360611212237</t>
        </is>
      </c>
      <c r="B350" s="13" t="inlineStr">
        <is>
          <t>RELOJ BALLON BLUE C</t>
        </is>
      </c>
      <c r="C350" s="13" t="inlineStr">
        <is>
          <t>RELOJ SIN CAJA</t>
        </is>
      </c>
      <c r="D350" s="14" t="inlineStr">
        <is>
          <t>Stainless steel</t>
        </is>
      </c>
      <c r="E350" s="13" t="n"/>
      <c r="F350" s="15" t="n">
        <v>68</v>
      </c>
      <c r="G350" s="13" t="n"/>
      <c r="H350" s="15" t="n">
        <v>28</v>
      </c>
      <c r="I350" s="15" t="n">
        <v>28</v>
      </c>
      <c r="J350" s="13" t="n"/>
      <c r="K350" s="13" t="n"/>
      <c r="L350" s="13" t="n"/>
      <c r="M350" s="15" t="n">
        <v>28</v>
      </c>
      <c r="N350" s="13" t="n"/>
      <c r="O350" s="15" t="n">
        <v>28</v>
      </c>
      <c r="P350" s="16">
        <f>IF(COUNT(E350:O350)=0,"",MIN(E350:O350))</f>
        <v/>
      </c>
      <c r="Q350" s="15">
        <f>IF(COUNT(E350:O350)=0,"",LOOKUP(2,1/(E350:O350&lt;&gt;""),E350:O350))</f>
        <v/>
      </c>
      <c r="R350" s="17">
        <f>IF(P350="","",ROUND(P350*RESUMEN!$B$4,0))</f>
        <v/>
      </c>
      <c r="S350" s="18">
        <f>COUNT(E350:O350)</f>
        <v/>
      </c>
    </row>
    <row r="351">
      <c r="A351" s="13" t="inlineStr">
        <is>
          <t>34163623705709</t>
        </is>
      </c>
      <c r="B351" s="13" t="inlineStr">
        <is>
          <t>RELOJ C BAIGNOIRE BLACK-GOLD</t>
        </is>
      </c>
      <c r="C351" s="13" t="inlineStr">
        <is>
          <t>Default Title</t>
        </is>
      </c>
      <c r="D351" s="14" t="inlineStr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5" t="n">
        <v>65</v>
      </c>
      <c r="N351" s="13" t="n"/>
      <c r="O351" s="15" t="n">
        <v>65</v>
      </c>
      <c r="P351" s="16">
        <f>IF(COUNT(E351:O351)=0,"",MIN(E351:O351))</f>
        <v/>
      </c>
      <c r="Q351" s="15">
        <f>IF(COUNT(E351:O351)=0,"",LOOKUP(2,1/(E351:O351&lt;&gt;""),E351:O351))</f>
        <v/>
      </c>
      <c r="R351" s="17">
        <f>IF(P351="","",ROUND(P351*RESUMEN!$B$4,0))</f>
        <v/>
      </c>
      <c r="S351" s="18">
        <f>COUNT(E351:O351)</f>
        <v/>
      </c>
    </row>
    <row r="352">
      <c r="A352" s="13" t="inlineStr">
        <is>
          <t>91345323547213</t>
        </is>
      </c>
      <c r="B352" s="13" t="inlineStr">
        <is>
          <t>RELOJ C BAIGNOIRE GOLD</t>
        </is>
      </c>
      <c r="C352" s="13" t="inlineStr">
        <is>
          <t>Default Title</t>
        </is>
      </c>
      <c r="D352" s="14" t="inlineStr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5" t="n">
        <v>82</v>
      </c>
      <c r="N352" s="13" t="n"/>
      <c r="O352" s="13" t="n"/>
      <c r="P352" s="16">
        <f>IF(COUNT(E352:O352)=0,"",MIN(E352:O352))</f>
        <v/>
      </c>
      <c r="Q352" s="15">
        <f>IF(COUNT(E352:O352)=0,"",LOOKUP(2,1/(E352:O352&lt;&gt;""),E352:O352))</f>
        <v/>
      </c>
      <c r="R352" s="17">
        <f>IF(P352="","",ROUND(P352*RESUMEN!$B$4,0))</f>
        <v/>
      </c>
      <c r="S352" s="18">
        <f>COUNT(E352:O352)</f>
        <v/>
      </c>
    </row>
    <row r="353">
      <c r="A353" s="13" t="inlineStr">
        <is>
          <t>91345323704269</t>
        </is>
      </c>
      <c r="B353" s="13" t="inlineStr">
        <is>
          <t>RELOJ C BAIGNOIRE ROSEGOLD</t>
        </is>
      </c>
      <c r="C353" s="13" t="inlineStr">
        <is>
          <t>Default Title</t>
        </is>
      </c>
      <c r="D353" s="14" t="inlineStr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5" t="n">
        <v>82</v>
      </c>
      <c r="N353" s="13" t="n"/>
      <c r="O353" s="13" t="n"/>
      <c r="P353" s="16">
        <f>IF(COUNT(E353:O353)=0,"",MIN(E353:O353))</f>
        <v/>
      </c>
      <c r="Q353" s="15">
        <f>IF(COUNT(E353:O353)=0,"",LOOKUP(2,1/(E353:O353&lt;&gt;""),E353:O353))</f>
        <v/>
      </c>
      <c r="R353" s="17">
        <f>IF(P353="","",ROUND(P353*RESUMEN!$B$4,0))</f>
        <v/>
      </c>
      <c r="S353" s="18">
        <f>COUNT(E353:O353)</f>
        <v/>
      </c>
    </row>
    <row r="354">
      <c r="A354" s="13" t="inlineStr">
        <is>
          <t>679be1fa82b97</t>
        </is>
      </c>
      <c r="B354" s="13" t="inlineStr">
        <is>
          <t>RELOJ C SANTOS BLACK</t>
        </is>
      </c>
      <c r="C354" s="13" t="inlineStr">
        <is>
          <t>RELOJ SIN CAJA MUJER 27mm</t>
        </is>
      </c>
      <c r="D354" s="14" t="inlineStr">
        <is>
          <t>Genuine leather</t>
        </is>
      </c>
      <c r="E354" s="15" t="n">
        <v>35</v>
      </c>
      <c r="F354" s="13" t="n"/>
      <c r="G354" s="15" t="n">
        <v>35</v>
      </c>
      <c r="H354" s="15" t="n">
        <v>35</v>
      </c>
      <c r="I354" s="15" t="n">
        <v>35</v>
      </c>
      <c r="J354" s="13" t="n"/>
      <c r="K354" s="13" t="n"/>
      <c r="L354" s="13" t="n"/>
      <c r="M354" s="15" t="n">
        <v>35</v>
      </c>
      <c r="N354" s="15" t="n">
        <v>35</v>
      </c>
      <c r="O354" s="13" t="n"/>
      <c r="P354" s="16">
        <f>IF(COUNT(E354:O354)=0,"",MIN(E354:O354))</f>
        <v/>
      </c>
      <c r="Q354" s="15">
        <f>IF(COUNT(E354:O354)=0,"",LOOKUP(2,1/(E354:O354&lt;&gt;""),E354:O354))</f>
        <v/>
      </c>
      <c r="R354" s="17">
        <f>IF(P354="","",ROUND(P354*RESUMEN!$B$4,0))</f>
        <v/>
      </c>
      <c r="S354" s="18">
        <f>COUNT(E354:O354)</f>
        <v/>
      </c>
    </row>
    <row r="355">
      <c r="A355" s="13" t="inlineStr">
        <is>
          <t>17360611377166</t>
        </is>
      </c>
      <c r="B355" s="13" t="inlineStr">
        <is>
          <t>RELOJ COSMOGRAPH DAYTONA GREEN DIAL R</t>
        </is>
      </c>
      <c r="C355" s="13" t="inlineStr">
        <is>
          <t>RELOJ CON CAJA</t>
        </is>
      </c>
      <c r="D355" s="14" t="inlineStr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5" t="n">
        <v>48</v>
      </c>
      <c r="O355" s="13" t="n"/>
      <c r="P355" s="16">
        <f>IF(COUNT(E355:O355)=0,"",MIN(E355:O355))</f>
        <v/>
      </c>
      <c r="Q355" s="15">
        <f>IF(COUNT(E355:O355)=0,"",LOOKUP(2,1/(E355:O355&lt;&gt;""),E355:O355))</f>
        <v/>
      </c>
      <c r="R355" s="17">
        <f>IF(P355="","",ROUND(P355*RESUMEN!$B$4,0))</f>
        <v/>
      </c>
      <c r="S355" s="18">
        <f>COUNT(E355:O355)</f>
        <v/>
      </c>
    </row>
    <row r="356">
      <c r="A356" s="13" t="inlineStr">
        <is>
          <t>17360611377165</t>
        </is>
      </c>
      <c r="B356" s="13" t="inlineStr">
        <is>
          <t>RELOJ COSMOGRAPH DAYTONA GREEN DIAL R</t>
        </is>
      </c>
      <c r="C356" s="13" t="inlineStr">
        <is>
          <t>RELOJ SIN CAJA</t>
        </is>
      </c>
      <c r="D356" s="14" t="inlineStr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5" t="n">
        <v>48</v>
      </c>
      <c r="N356" s="13" t="n"/>
      <c r="O356" s="13" t="n"/>
      <c r="P356" s="16">
        <f>IF(COUNT(E356:O356)=0,"",MIN(E356:O356))</f>
        <v/>
      </c>
      <c r="Q356" s="15">
        <f>IF(COUNT(E356:O356)=0,"",LOOKUP(2,1/(E356:O356&lt;&gt;""),E356:O356))</f>
        <v/>
      </c>
      <c r="R356" s="17">
        <f>IF(P356="","",ROUND(P356*RESUMEN!$B$4,0))</f>
        <v/>
      </c>
      <c r="S356" s="18">
        <f>COUNT(E356:O356)</f>
        <v/>
      </c>
    </row>
    <row r="357">
      <c r="A357" s="13" t="inlineStr">
        <is>
          <t>17360611631597</t>
        </is>
      </c>
      <c r="B357" s="13" t="inlineStr">
        <is>
          <t>RELOJ GENEVA PP</t>
        </is>
      </c>
      <c r="C357" s="13" t="inlineStr">
        <is>
          <t>RELOJ CON CAJA</t>
        </is>
      </c>
      <c r="D357" s="14" t="inlineStr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5" t="n">
        <v>68</v>
      </c>
      <c r="O357" s="13" t="n"/>
      <c r="P357" s="16">
        <f>IF(COUNT(E357:O357)=0,"",MIN(E357:O357))</f>
        <v/>
      </c>
      <c r="Q357" s="15">
        <f>IF(COUNT(E357:O357)=0,"",LOOKUP(2,1/(E357:O357&lt;&gt;""),E357:O357))</f>
        <v/>
      </c>
      <c r="R357" s="17">
        <f>IF(P357="","",ROUND(P357*RESUMEN!$B$4,0))</f>
        <v/>
      </c>
      <c r="S357" s="18">
        <f>COUNT(E357:O357)</f>
        <v/>
      </c>
    </row>
    <row r="358">
      <c r="A358" s="13" t="inlineStr">
        <is>
          <t>17360611631598</t>
        </is>
      </c>
      <c r="B358" s="13" t="inlineStr">
        <is>
          <t>RELOJ GENEVA PP</t>
        </is>
      </c>
      <c r="C358" s="13" t="inlineStr">
        <is>
          <t>RELOJ SIN CAJA</t>
        </is>
      </c>
      <c r="D358" s="14" t="inlineStr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5" t="n">
        <v>68</v>
      </c>
      <c r="N358" s="13" t="n"/>
      <c r="O358" s="13" t="n"/>
      <c r="P358" s="16">
        <f>IF(COUNT(E358:O358)=0,"",MIN(E358:O358))</f>
        <v/>
      </c>
      <c r="Q358" s="15">
        <f>IF(COUNT(E358:O358)=0,"",LOOKUP(2,1/(E358:O358&lt;&gt;""),E358:O358))</f>
        <v/>
      </c>
      <c r="R358" s="17">
        <f>IF(P358="","",ROUND(P358*RESUMEN!$B$4,0))</f>
        <v/>
      </c>
      <c r="S358" s="18">
        <f>COUNT(E358:O358)</f>
        <v/>
      </c>
    </row>
    <row r="359">
      <c r="A359" s="13" t="inlineStr">
        <is>
          <t>17360611474253</t>
        </is>
      </c>
      <c r="B359" s="13" t="inlineStr">
        <is>
          <t>RELOJ LADY DATEJUST GOLD RX</t>
        </is>
      </c>
      <c r="C359" s="13" t="inlineStr">
        <is>
          <t>RELOJ SIN CAJA</t>
        </is>
      </c>
      <c r="D359" s="14" t="inlineStr">
        <is>
          <t>Stainless steel</t>
        </is>
      </c>
      <c r="E359" s="13" t="n"/>
      <c r="F359" s="13" t="n"/>
      <c r="G359" s="13" t="n"/>
      <c r="H359" s="13" t="n"/>
      <c r="I359" s="13" t="n"/>
      <c r="J359" s="15" t="n">
        <v>48</v>
      </c>
      <c r="K359" s="15" t="n">
        <v>48</v>
      </c>
      <c r="L359" s="13" t="n"/>
      <c r="M359" s="13" t="n"/>
      <c r="N359" s="13" t="n"/>
      <c r="O359" s="13" t="n"/>
      <c r="P359" s="16">
        <f>IF(COUNT(E359:O359)=0,"",MIN(E359:O359))</f>
        <v/>
      </c>
      <c r="Q359" s="15">
        <f>IF(COUNT(E359:O359)=0,"",LOOKUP(2,1/(E359:O359&lt;&gt;""),E359:O359))</f>
        <v/>
      </c>
      <c r="R359" s="17">
        <f>IF(P359="","",ROUND(P359*RESUMEN!$B$4,0))</f>
        <v/>
      </c>
      <c r="S359" s="18">
        <f>COUNT(E359:O359)</f>
        <v/>
      </c>
    </row>
    <row r="360">
      <c r="A360" s="13" t="inlineStr">
        <is>
          <t>17360611572910</t>
        </is>
      </c>
      <c r="B360" s="13" t="inlineStr">
        <is>
          <t>RELOJ NAUTILUS PP</t>
        </is>
      </c>
      <c r="C360" s="13" t="inlineStr">
        <is>
          <t>RELOJ CON CAJA</t>
        </is>
      </c>
      <c r="D360" s="14" t="inlineStr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5" t="n">
        <v>58</v>
      </c>
      <c r="N360" s="13" t="n"/>
      <c r="O360" s="13" t="n"/>
      <c r="P360" s="16">
        <f>IF(COUNT(E360:O360)=0,"",MIN(E360:O360))</f>
        <v/>
      </c>
      <c r="Q360" s="15">
        <f>IF(COUNT(E360:O360)=0,"",LOOKUP(2,1/(E360:O360&lt;&gt;""),E360:O360))</f>
        <v/>
      </c>
      <c r="R360" s="17">
        <f>IF(P360="","",ROUND(P360*RESUMEN!$B$4,0))</f>
        <v/>
      </c>
      <c r="S360" s="18">
        <f>COUNT(E360:O360)</f>
        <v/>
      </c>
    </row>
    <row r="361">
      <c r="A361" s="13" t="inlineStr">
        <is>
          <t>17360611572909</t>
        </is>
      </c>
      <c r="B361" s="13" t="inlineStr">
        <is>
          <t>RELOJ NAUTILUS PP</t>
        </is>
      </c>
      <c r="C361" s="13" t="inlineStr">
        <is>
          <t>RELOJ SIN CAJA</t>
        </is>
      </c>
      <c r="D361" s="14" t="inlineStr">
        <is>
          <t>Stainless steel</t>
        </is>
      </c>
      <c r="E361" s="13" t="n"/>
      <c r="F361" s="13" t="n"/>
      <c r="G361" s="13" t="n"/>
      <c r="H361" s="15" t="n">
        <v>58</v>
      </c>
      <c r="I361" s="13" t="n"/>
      <c r="J361" s="13" t="n"/>
      <c r="K361" s="13" t="n"/>
      <c r="L361" s="13" t="n"/>
      <c r="M361" s="13" t="n"/>
      <c r="N361" s="13" t="n"/>
      <c r="O361" s="13" t="n"/>
      <c r="P361" s="16">
        <f>IF(COUNT(E361:O361)=0,"",MIN(E361:O361))</f>
        <v/>
      </c>
      <c r="Q361" s="15">
        <f>IF(COUNT(E361:O361)=0,"",LOOKUP(2,1/(E361:O361&lt;&gt;""),E361:O361))</f>
        <v/>
      </c>
      <c r="R361" s="17">
        <f>IF(P361="","",ROUND(P361*RESUMEN!$B$4,0))</f>
        <v/>
      </c>
      <c r="S361" s="18">
        <f>COUNT(E361:O361)</f>
        <v/>
      </c>
    </row>
    <row r="362">
      <c r="A362" s="13" t="inlineStr">
        <is>
          <t>53890267165196</t>
        </is>
      </c>
      <c r="B362" s="13" t="inlineStr">
        <is>
          <t>RELOJ PANTHERE GOLD</t>
        </is>
      </c>
      <c r="C362" s="13" t="inlineStr">
        <is>
          <t>RELOJ SIN CAJA</t>
        </is>
      </c>
      <c r="D362" s="14" t="inlineStr">
        <is>
          <t>Stainless steel</t>
        </is>
      </c>
      <c r="E362" s="13" t="n"/>
      <c r="F362" s="13" t="n"/>
      <c r="G362" s="13" t="n"/>
      <c r="H362" s="15" t="n">
        <v>60</v>
      </c>
      <c r="I362" s="15" t="n">
        <v>60</v>
      </c>
      <c r="J362" s="15" t="n">
        <v>60</v>
      </c>
      <c r="K362" s="15" t="n">
        <v>60</v>
      </c>
      <c r="L362" s="13" t="n"/>
      <c r="M362" s="15" t="n">
        <v>60</v>
      </c>
      <c r="N362" s="13" t="n"/>
      <c r="O362" s="13" t="n"/>
      <c r="P362" s="16">
        <f>IF(COUNT(E362:O362)=0,"",MIN(E362:O362))</f>
        <v/>
      </c>
      <c r="Q362" s="15">
        <f>IF(COUNT(E362:O362)=0,"",LOOKUP(2,1/(E362:O362&lt;&gt;""),E362:O362))</f>
        <v/>
      </c>
      <c r="R362" s="17">
        <f>IF(P362="","",ROUND(P362*RESUMEN!$B$4,0))</f>
        <v/>
      </c>
      <c r="S362" s="18">
        <f>COUNT(E362:O362)</f>
        <v/>
      </c>
    </row>
    <row r="363">
      <c r="A363" s="13" t="inlineStr">
        <is>
          <t>67535d2d7860a</t>
        </is>
      </c>
      <c r="B363" s="13" t="inlineStr">
        <is>
          <t>RELOJ PANTHERE GOLD SILVER</t>
        </is>
      </c>
      <c r="C363" s="13" t="inlineStr">
        <is>
          <t>Default Title</t>
        </is>
      </c>
      <c r="D363" s="14" t="inlineStr"/>
      <c r="E363" s="15" t="n">
        <v>58</v>
      </c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6">
        <f>IF(COUNT(E363:O363)=0,"",MIN(E363:O363))</f>
        <v/>
      </c>
      <c r="Q363" s="15">
        <f>IF(COUNT(E363:O363)=0,"",LOOKUP(2,1/(E363:O363&lt;&gt;""),E363:O363))</f>
        <v/>
      </c>
      <c r="R363" s="17">
        <f>IF(P363="","",ROUND(P363*RESUMEN!$B$4,0))</f>
        <v/>
      </c>
      <c r="S363" s="18">
        <f>COUNT(E363:O363)</f>
        <v/>
      </c>
    </row>
    <row r="364">
      <c r="A364" s="13" t="inlineStr">
        <is>
          <t>67535d2d7860a-2</t>
        </is>
      </c>
      <c r="B364" s="13" t="inlineStr">
        <is>
          <t>RELOJ PANTHERE GOLD SILVER</t>
        </is>
      </c>
      <c r="C364" s="13" t="inlineStr">
        <is>
          <t>RELOJ CON CAJA</t>
        </is>
      </c>
      <c r="D364" s="14" t="inlineStr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5" t="n">
        <v>58</v>
      </c>
      <c r="P364" s="16">
        <f>IF(COUNT(E364:O364)=0,"",MIN(E364:O364))</f>
        <v/>
      </c>
      <c r="Q364" s="15">
        <f>IF(COUNT(E364:O364)=0,"",LOOKUP(2,1/(E364:O364&lt;&gt;""),E364:O364))</f>
        <v/>
      </c>
      <c r="R364" s="17">
        <f>IF(P364="","",ROUND(P364*RESUMEN!$B$4,0))</f>
        <v/>
      </c>
      <c r="S364" s="18">
        <f>COUNT(E364:O364)</f>
        <v/>
      </c>
    </row>
    <row r="365">
      <c r="A365" s="13" t="inlineStr">
        <is>
          <t>67535d2d7860a-1</t>
        </is>
      </c>
      <c r="B365" s="13" t="inlineStr">
        <is>
          <t>RELOJ PANTHERE GOLD SILVER</t>
        </is>
      </c>
      <c r="C365" s="13" t="inlineStr">
        <is>
          <t>RELOJ SIN CAJA</t>
        </is>
      </c>
      <c r="D365" s="14" t="inlineStr">
        <is>
          <t>Stainless steel</t>
        </is>
      </c>
      <c r="E365" s="13" t="n"/>
      <c r="F365" s="13" t="n"/>
      <c r="G365" s="15" t="n">
        <v>58</v>
      </c>
      <c r="H365" s="15" t="n">
        <v>58</v>
      </c>
      <c r="I365" s="15" t="n">
        <v>58</v>
      </c>
      <c r="J365" s="13" t="n"/>
      <c r="K365" s="13" t="n"/>
      <c r="L365" s="13" t="n"/>
      <c r="M365" s="15" t="n">
        <v>58</v>
      </c>
      <c r="N365" s="13" t="n"/>
      <c r="O365" s="13" t="n"/>
      <c r="P365" s="16">
        <f>IF(COUNT(E365:O365)=0,"",MIN(E365:O365))</f>
        <v/>
      </c>
      <c r="Q365" s="15">
        <f>IF(COUNT(E365:O365)=0,"",LOOKUP(2,1/(E365:O365&lt;&gt;""),E365:O365))</f>
        <v/>
      </c>
      <c r="R365" s="17">
        <f>IF(P365="","",ROUND(P365*RESUMEN!$B$4,0))</f>
        <v/>
      </c>
      <c r="S365" s="18">
        <f>COUNT(E365:O365)</f>
        <v/>
      </c>
    </row>
    <row r="366">
      <c r="A366" s="13" t="inlineStr">
        <is>
          <t>65332801087437</t>
        </is>
      </c>
      <c r="B366" s="13" t="inlineStr">
        <is>
          <t>RELOJ PANTHERE GOLD ZIRCONIA</t>
        </is>
      </c>
      <c r="C366" s="13" t="inlineStr">
        <is>
          <t>HIGH QUALITY CON CAJA</t>
        </is>
      </c>
      <c r="D366" s="14" t="inlineStr">
        <is>
          <t>Stainless steel</t>
        </is>
      </c>
      <c r="E366" s="13" t="n"/>
      <c r="F366" s="13" t="n"/>
      <c r="G366" s="13" t="n"/>
      <c r="H366" s="13" t="n"/>
      <c r="I366" s="13" t="n"/>
      <c r="J366" s="13" t="n"/>
      <c r="K366" s="13" t="n"/>
      <c r="L366" s="15" t="n">
        <v>60</v>
      </c>
      <c r="M366" s="13" t="n"/>
      <c r="N366" s="15" t="n">
        <v>60</v>
      </c>
      <c r="O366" s="13" t="n"/>
      <c r="P366" s="16">
        <f>IF(COUNT(E366:O366)=0,"",MIN(E366:O366))</f>
        <v/>
      </c>
      <c r="Q366" s="15">
        <f>IF(COUNT(E366:O366)=0,"",LOOKUP(2,1/(E366:O366&lt;&gt;""),E366:O366))</f>
        <v/>
      </c>
      <c r="R366" s="17">
        <f>IF(P366="","",ROUND(P366*RESUMEN!$B$4,0))</f>
        <v/>
      </c>
      <c r="S366" s="18">
        <f>COUNT(E366:O366)</f>
        <v/>
      </c>
    </row>
    <row r="367">
      <c r="A367" s="13" t="inlineStr">
        <is>
          <t>85430731026029</t>
        </is>
      </c>
      <c r="B367" s="13" t="inlineStr">
        <is>
          <t>RELOJ PANTHERE SILVER</t>
        </is>
      </c>
      <c r="C367" s="13" t="inlineStr">
        <is>
          <t>RELOJ CON CAJA</t>
        </is>
      </c>
      <c r="D367" s="14" t="inlineStr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5" t="n">
        <v>58</v>
      </c>
      <c r="P367" s="16">
        <f>IF(COUNT(E367:O367)=0,"",MIN(E367:O367))</f>
        <v/>
      </c>
      <c r="Q367" s="15">
        <f>IF(COUNT(E367:O367)=0,"",LOOKUP(2,1/(E367:O367&lt;&gt;""),E367:O367))</f>
        <v/>
      </c>
      <c r="R367" s="17">
        <f>IF(P367="","",ROUND(P367*RESUMEN!$B$4,0))</f>
        <v/>
      </c>
      <c r="S367" s="18">
        <f>COUNT(E367:O367)</f>
        <v/>
      </c>
    </row>
    <row r="368">
      <c r="A368" s="13" t="inlineStr">
        <is>
          <t>14156151055725</t>
        </is>
      </c>
      <c r="B368" s="13" t="inlineStr">
        <is>
          <t>RELOJ PANTHERE SILVER</t>
        </is>
      </c>
      <c r="C368" s="13" t="inlineStr">
        <is>
          <t>RELOJ SIN CAJA</t>
        </is>
      </c>
      <c r="D368" s="14" t="inlineStr">
        <is>
          <t>Stainless steel</t>
        </is>
      </c>
      <c r="E368" s="13" t="n"/>
      <c r="F368" s="13" t="n"/>
      <c r="G368" s="15" t="n">
        <v>58</v>
      </c>
      <c r="H368" s="15" t="n">
        <v>58</v>
      </c>
      <c r="I368" s="15" t="n">
        <v>58</v>
      </c>
      <c r="J368" s="13" t="n"/>
      <c r="K368" s="13" t="n"/>
      <c r="L368" s="13" t="n"/>
      <c r="M368" s="13" t="n"/>
      <c r="N368" s="13" t="n"/>
      <c r="O368" s="13" t="n"/>
      <c r="P368" s="16">
        <f>IF(COUNT(E368:O368)=0,"",MIN(E368:O368))</f>
        <v/>
      </c>
      <c r="Q368" s="15">
        <f>IF(COUNT(E368:O368)=0,"",LOOKUP(2,1/(E368:O368&lt;&gt;""),E368:O368))</f>
        <v/>
      </c>
      <c r="R368" s="17">
        <f>IF(P368="","",ROUND(P368*RESUMEN!$B$4,0))</f>
        <v/>
      </c>
      <c r="S368" s="18">
        <f>COUNT(E368:O368)</f>
        <v/>
      </c>
    </row>
    <row r="369">
      <c r="A369" s="13" t="inlineStr">
        <is>
          <t>47030502675980</t>
        </is>
      </c>
      <c r="B369" s="13" t="inlineStr">
        <is>
          <t>RELOJ PANTHERE SILVER</t>
        </is>
      </c>
      <c r="C369" s="13" t="inlineStr">
        <is>
          <t>SIN CAJA</t>
        </is>
      </c>
      <c r="D369" s="14" t="inlineStr"/>
      <c r="E369" s="15" t="n">
        <v>0</v>
      </c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6">
        <f>IF(COUNT(E369:O369)=0,"",MIN(E369:O369))</f>
        <v/>
      </c>
      <c r="Q369" s="15">
        <f>IF(COUNT(E369:O369)=0,"",LOOKUP(2,1/(E369:O369&lt;&gt;""),E369:O369))</f>
        <v/>
      </c>
      <c r="R369" s="17">
        <f>IF(P369="","",ROUND(P369*RESUMEN!$B$4,0))</f>
        <v/>
      </c>
      <c r="S369" s="18">
        <f>COUNT(E369:O369)</f>
        <v/>
      </c>
    </row>
    <row r="370">
      <c r="A370" s="13" t="inlineStr">
        <is>
          <t>677c26b37ee9a</t>
        </is>
      </c>
      <c r="B370" s="13" t="inlineStr">
        <is>
          <t>RELOJ PP NAUTILUS ROSEGOLD</t>
        </is>
      </c>
      <c r="C370" s="13" t="inlineStr">
        <is>
          <t>Default Title</t>
        </is>
      </c>
      <c r="D370" s="14" t="inlineStr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5" t="n">
        <v>72</v>
      </c>
      <c r="N370" s="13" t="n"/>
      <c r="O370" s="13" t="n"/>
      <c r="P370" s="16">
        <f>IF(COUNT(E370:O370)=0,"",MIN(E370:O370))</f>
        <v/>
      </c>
      <c r="Q370" s="15">
        <f>IF(COUNT(E370:O370)=0,"",LOOKUP(2,1/(E370:O370&lt;&gt;""),E370:O370))</f>
        <v/>
      </c>
      <c r="R370" s="17">
        <f>IF(P370="","",ROUND(P370*RESUMEN!$B$4,0))</f>
        <v/>
      </c>
      <c r="S370" s="18">
        <f>COUNT(E370:O370)</f>
        <v/>
      </c>
    </row>
    <row r="371">
      <c r="A371" s="13" t="inlineStr">
        <is>
          <t>679be1f9f363c</t>
        </is>
      </c>
      <c r="B371" s="13" t="inlineStr">
        <is>
          <t>RELOJ PP NAUTILUS SILVER BLUE</t>
        </is>
      </c>
      <c r="C371" s="13" t="inlineStr">
        <is>
          <t>Ajustable con caja</t>
        </is>
      </c>
      <c r="D371" s="14" t="inlineStr">
        <is>
          <t>0</t>
        </is>
      </c>
      <c r="E371" s="13" t="n"/>
      <c r="F371" s="13" t="n"/>
      <c r="G371" s="13" t="n"/>
      <c r="H371" s="13" t="n"/>
      <c r="I371" s="15" t="n">
        <v>58</v>
      </c>
      <c r="J371" s="13" t="n"/>
      <c r="K371" s="13" t="n"/>
      <c r="L371" s="13" t="n"/>
      <c r="M371" s="13" t="n"/>
      <c r="N371" s="13" t="n"/>
      <c r="O371" s="13" t="n"/>
      <c r="P371" s="16">
        <f>IF(COUNT(E371:O371)=0,"",MIN(E371:O371))</f>
        <v/>
      </c>
      <c r="Q371" s="15">
        <f>IF(COUNT(E371:O371)=0,"",LOOKUP(2,1/(E371:O371&lt;&gt;""),E371:O371))</f>
        <v/>
      </c>
      <c r="R371" s="17">
        <f>IF(P371="","",ROUND(P371*RESUMEN!$B$4,0))</f>
        <v/>
      </c>
      <c r="S371" s="18">
        <f>COUNT(E371:O371)</f>
        <v/>
      </c>
    </row>
    <row r="372">
      <c r="A372" s="13" t="inlineStr">
        <is>
          <t>679be1fb57d7e</t>
        </is>
      </c>
      <c r="B372" s="13" t="inlineStr">
        <is>
          <t>RELOJ RX DAY DATE ROSEGOLD</t>
        </is>
      </c>
      <c r="C372" s="13" t="inlineStr">
        <is>
          <t>Default Title</t>
        </is>
      </c>
      <c r="D372" s="14" t="inlineStr"/>
      <c r="E372" s="15" t="n">
        <v>48</v>
      </c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6">
        <f>IF(COUNT(E372:O372)=0,"",MIN(E372:O372))</f>
        <v/>
      </c>
      <c r="Q372" s="15">
        <f>IF(COUNT(E372:O372)=0,"",LOOKUP(2,1/(E372:O372&lt;&gt;""),E372:O372))</f>
        <v/>
      </c>
      <c r="R372" s="17">
        <f>IF(P372="","",ROUND(P372*RESUMEN!$B$4,0))</f>
        <v/>
      </c>
      <c r="S372" s="18">
        <f>COUNT(E372:O372)</f>
        <v/>
      </c>
    </row>
    <row r="373">
      <c r="A373" s="13" t="inlineStr">
        <is>
          <t>679be1fb57d7e-1</t>
        </is>
      </c>
      <c r="B373" s="13" t="inlineStr">
        <is>
          <t>RELOJ RX DAY DATE ROSEGOLD</t>
        </is>
      </c>
      <c r="C373" s="13" t="inlineStr">
        <is>
          <t>RELOJ SIN CAJA</t>
        </is>
      </c>
      <c r="D373" s="14" t="inlineStr"/>
      <c r="E373" s="13" t="n"/>
      <c r="F373" s="13" t="n"/>
      <c r="G373" s="13" t="n"/>
      <c r="H373" s="13" t="n"/>
      <c r="I373" s="15" t="n">
        <v>48</v>
      </c>
      <c r="J373" s="13" t="n"/>
      <c r="K373" s="13" t="n"/>
      <c r="L373" s="13" t="n"/>
      <c r="M373" s="13" t="n"/>
      <c r="N373" s="13" t="n"/>
      <c r="O373" s="13" t="n"/>
      <c r="P373" s="16">
        <f>IF(COUNT(E373:O373)=0,"",MIN(E373:O373))</f>
        <v/>
      </c>
      <c r="Q373" s="15">
        <f>IF(COUNT(E373:O373)=0,"",LOOKUP(2,1/(E373:O373&lt;&gt;""),E373:O373))</f>
        <v/>
      </c>
      <c r="R373" s="17">
        <f>IF(P373="","",ROUND(P373*RESUMEN!$B$4,0))</f>
        <v/>
      </c>
      <c r="S373" s="18">
        <f>COUNT(E373:O373)</f>
        <v/>
      </c>
    </row>
    <row r="374">
      <c r="A374" s="13" t="inlineStr">
        <is>
          <t>677c26b553b3f</t>
        </is>
      </c>
      <c r="B374" s="13" t="inlineStr">
        <is>
          <t>RELOJ RX OYSTER PERPETUAL BLACK</t>
        </is>
      </c>
      <c r="C374" s="13" t="inlineStr">
        <is>
          <t>Default Title</t>
        </is>
      </c>
      <c r="D374" s="14" t="inlineStr"/>
      <c r="E374" s="15" t="n">
        <v>0</v>
      </c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6">
        <f>IF(COUNT(E374:O374)=0,"",MIN(E374:O374))</f>
        <v/>
      </c>
      <c r="Q374" s="15">
        <f>IF(COUNT(E374:O374)=0,"",LOOKUP(2,1/(E374:O374&lt;&gt;""),E374:O374))</f>
        <v/>
      </c>
      <c r="R374" s="17">
        <f>IF(P374="","",ROUND(P374*RESUMEN!$B$4,0))</f>
        <v/>
      </c>
      <c r="S374" s="18">
        <f>COUNT(E374:O374)</f>
        <v/>
      </c>
    </row>
    <row r="375">
      <c r="A375" s="13" t="inlineStr">
        <is>
          <t>677c26b553b3f-2</t>
        </is>
      </c>
      <c r="B375" s="13" t="inlineStr">
        <is>
          <t>RELOJ RX OYSTER PERPETUAL BLACK</t>
        </is>
      </c>
      <c r="C375" s="13" t="inlineStr">
        <is>
          <t>RELOJ CON CAJA</t>
        </is>
      </c>
      <c r="D375" s="14" t="inlineStr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5" t="n">
        <v>42</v>
      </c>
      <c r="P375" s="16">
        <f>IF(COUNT(E375:O375)=0,"",MIN(E375:O375))</f>
        <v/>
      </c>
      <c r="Q375" s="15">
        <f>IF(COUNT(E375:O375)=0,"",LOOKUP(2,1/(E375:O375&lt;&gt;""),E375:O375))</f>
        <v/>
      </c>
      <c r="R375" s="17">
        <f>IF(P375="","",ROUND(P375*RESUMEN!$B$4,0))</f>
        <v/>
      </c>
      <c r="S375" s="18">
        <f>COUNT(E375:O375)</f>
        <v/>
      </c>
    </row>
    <row r="376">
      <c r="A376" s="13" t="inlineStr">
        <is>
          <t>677c26b553b3f-1</t>
        </is>
      </c>
      <c r="B376" s="13" t="inlineStr">
        <is>
          <t>RELOJ RX OYSTER PERPETUAL BLACK</t>
        </is>
      </c>
      <c r="C376" s="13" t="inlineStr">
        <is>
          <t>RELOJ SIN CAJA</t>
        </is>
      </c>
      <c r="D376" s="14" t="inlineStr">
        <is>
          <t>Stainless steel</t>
        </is>
      </c>
      <c r="E376" s="13" t="n"/>
      <c r="F376" s="13" t="n"/>
      <c r="G376" s="15" t="n">
        <v>42</v>
      </c>
      <c r="H376" s="15" t="n">
        <v>42</v>
      </c>
      <c r="I376" s="13" t="n"/>
      <c r="J376" s="13" t="n"/>
      <c r="K376" s="13" t="n"/>
      <c r="L376" s="13" t="n"/>
      <c r="M376" s="13" t="n"/>
      <c r="N376" s="13" t="n"/>
      <c r="O376" s="15" t="n">
        <v>42</v>
      </c>
      <c r="P376" s="16">
        <f>IF(COUNT(E376:O376)=0,"",MIN(E376:O376))</f>
        <v/>
      </c>
      <c r="Q376" s="15">
        <f>IF(COUNT(E376:O376)=0,"",LOOKUP(2,1/(E376:O376&lt;&gt;""),E376:O376))</f>
        <v/>
      </c>
      <c r="R376" s="17">
        <f>IF(P376="","",ROUND(P376*RESUMEN!$B$4,0))</f>
        <v/>
      </c>
      <c r="S376" s="18">
        <f>COUNT(E376:O376)</f>
        <v/>
      </c>
    </row>
    <row r="377">
      <c r="A377" s="13" t="inlineStr">
        <is>
          <t>71264750638476</t>
        </is>
      </c>
      <c r="B377" s="13" t="inlineStr">
        <is>
          <t>RELOJ RX OYSTER PERPETUAL GREEN</t>
        </is>
      </c>
      <c r="C377" s="13" t="inlineStr">
        <is>
          <t>RELOJ CON CAJA</t>
        </is>
      </c>
      <c r="D377" s="14" t="inlineStr"/>
      <c r="E377" s="15" t="n">
        <v>0</v>
      </c>
      <c r="F377" s="13" t="n"/>
      <c r="G377" s="13" t="n"/>
      <c r="H377" s="15" t="n">
        <v>42</v>
      </c>
      <c r="I377" s="13" t="n"/>
      <c r="J377" s="13" t="n"/>
      <c r="K377" s="13" t="n"/>
      <c r="L377" s="13" t="n"/>
      <c r="M377" s="13" t="n"/>
      <c r="N377" s="15" t="n">
        <v>42</v>
      </c>
      <c r="O377" s="13" t="n"/>
      <c r="P377" s="16">
        <f>IF(COUNT(E377:O377)=0,"",MIN(E377:O377))</f>
        <v/>
      </c>
      <c r="Q377" s="15">
        <f>IF(COUNT(E377:O377)=0,"",LOOKUP(2,1/(E377:O377&lt;&gt;""),E377:O377))</f>
        <v/>
      </c>
      <c r="R377" s="17">
        <f>IF(P377="","",ROUND(P377*RESUMEN!$B$4,0))</f>
        <v/>
      </c>
      <c r="S377" s="18">
        <f>COUNT(E377:O377)</f>
        <v/>
      </c>
    </row>
    <row r="378">
      <c r="A378" s="13" t="inlineStr">
        <is>
          <t>47030519289356</t>
        </is>
      </c>
      <c r="B378" s="13" t="inlineStr">
        <is>
          <t>RELOJ RX OYSTER PERPETUAL GREEN</t>
        </is>
      </c>
      <c r="C378" s="13" t="inlineStr">
        <is>
          <t>RELOJ SIN CAJA</t>
        </is>
      </c>
      <c r="D378" s="14" t="inlineStr">
        <is>
          <t>Stainless steel</t>
        </is>
      </c>
      <c r="E378" s="13" t="n"/>
      <c r="F378" s="13" t="n"/>
      <c r="G378" s="15" t="n">
        <v>42</v>
      </c>
      <c r="H378" s="13" t="n"/>
      <c r="I378" s="13" t="n"/>
      <c r="J378" s="13" t="n"/>
      <c r="K378" s="13" t="n"/>
      <c r="L378" s="13" t="n"/>
      <c r="M378" s="15" t="n">
        <v>42</v>
      </c>
      <c r="N378" s="13" t="n"/>
      <c r="O378" s="13" t="n"/>
      <c r="P378" s="16">
        <f>IF(COUNT(E378:O378)=0,"",MIN(E378:O378))</f>
        <v/>
      </c>
      <c r="Q378" s="15">
        <f>IF(COUNT(E378:O378)=0,"",LOOKUP(2,1/(E378:O378&lt;&gt;""),E378:O378))</f>
        <v/>
      </c>
      <c r="R378" s="17">
        <f>IF(P378="","",ROUND(P378*RESUMEN!$B$4,0))</f>
        <v/>
      </c>
      <c r="S378" s="18">
        <f>COUNT(E378:O378)</f>
        <v/>
      </c>
    </row>
    <row r="379">
      <c r="A379" s="13" t="inlineStr">
        <is>
          <t>10427542282892</t>
        </is>
      </c>
      <c r="B379" s="13" t="inlineStr">
        <is>
          <t>RELOJ SANTOS SILVER</t>
        </is>
      </c>
      <c r="C379" s="13" t="inlineStr">
        <is>
          <t>34mm Mujer Con Caja</t>
        </is>
      </c>
      <c r="D379" s="14" t="inlineStr">
        <is>
          <t>Stainless steel</t>
        </is>
      </c>
      <c r="E379" s="15" t="n">
        <v>68</v>
      </c>
      <c r="F379" s="15" t="n">
        <v>58</v>
      </c>
      <c r="G379" s="15" t="n">
        <v>68</v>
      </c>
      <c r="H379" s="15" t="n">
        <v>68</v>
      </c>
      <c r="I379" s="13" t="n"/>
      <c r="J379" s="15" t="n">
        <v>68</v>
      </c>
      <c r="K379" s="15" t="n">
        <v>68</v>
      </c>
      <c r="L379" s="13" t="n"/>
      <c r="M379" s="13" t="n"/>
      <c r="N379" s="13" t="n"/>
      <c r="O379" s="15" t="n">
        <v>68</v>
      </c>
      <c r="P379" s="16">
        <f>IF(COUNT(E379:O379)=0,"",MIN(E379:O379))</f>
        <v/>
      </c>
      <c r="Q379" s="15">
        <f>IF(COUNT(E379:O379)=0,"",LOOKUP(2,1/(E379:O379&lt;&gt;""),E379:O379))</f>
        <v/>
      </c>
      <c r="R379" s="17">
        <f>IF(P379="","",ROUND(P379*RESUMEN!$B$4,0))</f>
        <v/>
      </c>
      <c r="S379" s="18">
        <f>COUNT(E379:O379)</f>
        <v/>
      </c>
    </row>
    <row r="380">
      <c r="A380" s="13" t="inlineStr">
        <is>
          <t>10427542282893</t>
        </is>
      </c>
      <c r="B380" s="13" t="inlineStr">
        <is>
          <t>RELOJ SANTOS SILVER</t>
        </is>
      </c>
      <c r="C380" s="13" t="inlineStr">
        <is>
          <t>39mm Hombre Con Caja</t>
        </is>
      </c>
      <c r="D380" s="14" t="inlineStr">
        <is>
          <t>Stainless steel</t>
        </is>
      </c>
      <c r="E380" s="13" t="n"/>
      <c r="F380" s="15" t="n">
        <v>68</v>
      </c>
      <c r="G380" s="15" t="n">
        <v>58</v>
      </c>
      <c r="H380" s="15" t="n">
        <v>58</v>
      </c>
      <c r="I380" s="13" t="n"/>
      <c r="J380" s="13" t="n"/>
      <c r="K380" s="13" t="n"/>
      <c r="L380" s="13" t="n"/>
      <c r="M380" s="13" t="n"/>
      <c r="N380" s="13" t="n"/>
      <c r="O380" s="15" t="n">
        <v>68</v>
      </c>
      <c r="P380" s="16">
        <f>IF(COUNT(E380:O380)=0,"",MIN(E380:O380))</f>
        <v/>
      </c>
      <c r="Q380" s="15">
        <f>IF(COUNT(E380:O380)=0,"",LOOKUP(2,1/(E380:O380&lt;&gt;""),E380:O380))</f>
        <v/>
      </c>
      <c r="R380" s="17">
        <f>IF(P380="","",ROUND(P380*RESUMEN!$B$4,0))</f>
        <v/>
      </c>
      <c r="S380" s="18">
        <f>COUNT(E380:O380)</f>
        <v/>
      </c>
    </row>
    <row r="381">
      <c r="A381" s="13" t="inlineStr">
        <is>
          <t>67535d35b8819</t>
        </is>
      </c>
      <c r="B381" s="13" t="inlineStr">
        <is>
          <t>RELOJ SERPENTI SEDUTTORI</t>
        </is>
      </c>
      <c r="C381" s="13" t="inlineStr">
        <is>
          <t>RELOJ CON  CAJA</t>
        </is>
      </c>
      <c r="D381" s="14" t="inlineStr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5" t="n">
        <v>58</v>
      </c>
      <c r="P381" s="16">
        <f>IF(COUNT(E381:O381)=0,"",MIN(E381:O381))</f>
        <v/>
      </c>
      <c r="Q381" s="15">
        <f>IF(COUNT(E381:O381)=0,"",LOOKUP(2,1/(E381:O381&lt;&gt;""),E381:O381))</f>
        <v/>
      </c>
      <c r="R381" s="17">
        <f>IF(P381="","",ROUND(P381*RESUMEN!$B$4,0))</f>
        <v/>
      </c>
      <c r="S381" s="18">
        <f>COUNT(E381:O381)</f>
        <v/>
      </c>
    </row>
    <row r="382">
      <c r="A382" s="13" t="inlineStr">
        <is>
          <t>67535d35b8818</t>
        </is>
      </c>
      <c r="B382" s="13" t="inlineStr">
        <is>
          <t>RELOJ SERPENTI SEDUTTORI</t>
        </is>
      </c>
      <c r="C382" s="13" t="inlineStr">
        <is>
          <t>RELOJ SIN CAJA</t>
        </is>
      </c>
      <c r="D382" s="14" t="inlineStr"/>
      <c r="E382" s="15" t="n">
        <v>0</v>
      </c>
      <c r="F382" s="15" t="n">
        <v>0</v>
      </c>
      <c r="G382" s="13" t="n"/>
      <c r="H382" s="15" t="n">
        <v>58</v>
      </c>
      <c r="I382" s="15" t="n">
        <v>58</v>
      </c>
      <c r="J382" s="13" t="n"/>
      <c r="K382" s="13" t="n"/>
      <c r="L382" s="13" t="n"/>
      <c r="M382" s="13" t="n"/>
      <c r="N382" s="15" t="n">
        <v>58</v>
      </c>
      <c r="O382" s="13" t="n"/>
      <c r="P382" s="16">
        <f>IF(COUNT(E382:O382)=0,"",MIN(E382:O382))</f>
        <v/>
      </c>
      <c r="Q382" s="15">
        <f>IF(COUNT(E382:O382)=0,"",LOOKUP(2,1/(E382:O382&lt;&gt;""),E382:O382))</f>
        <v/>
      </c>
      <c r="R382" s="17">
        <f>IF(P382="","",ROUND(P382*RESUMEN!$B$4,0))</f>
        <v/>
      </c>
      <c r="S382" s="18">
        <f>COUNT(E382:O382)</f>
        <v/>
      </c>
    </row>
    <row r="383">
      <c r="A383" s="13" t="inlineStr">
        <is>
          <t>42283701061581</t>
        </is>
      </c>
      <c r="B383" s="13" t="inlineStr">
        <is>
          <t>RELOJ TANK CR BLACK GOLD</t>
        </is>
      </c>
      <c r="C383" s="13" t="inlineStr">
        <is>
          <t>Default Title</t>
        </is>
      </c>
      <c r="D383" s="14" t="inlineStr">
        <is>
          <t>Genuine leather</t>
        </is>
      </c>
      <c r="E383" s="13" t="n"/>
      <c r="F383" s="15" t="n">
        <v>35</v>
      </c>
      <c r="G383" s="13" t="n"/>
      <c r="H383" s="15" t="n">
        <v>35</v>
      </c>
      <c r="I383" s="15" t="n">
        <v>35</v>
      </c>
      <c r="J383" s="15" t="n">
        <v>35</v>
      </c>
      <c r="K383" s="15" t="n">
        <v>35</v>
      </c>
      <c r="L383" s="15" t="n">
        <v>35</v>
      </c>
      <c r="M383" s="13" t="n"/>
      <c r="N383" s="13" t="n"/>
      <c r="O383" s="15" t="n">
        <v>35</v>
      </c>
      <c r="P383" s="16">
        <f>IF(COUNT(E383:O383)=0,"",MIN(E383:O383))</f>
        <v/>
      </c>
      <c r="Q383" s="15">
        <f>IF(COUNT(E383:O383)=0,"",LOOKUP(2,1/(E383:O383&lt;&gt;""),E383:O383))</f>
        <v/>
      </c>
      <c r="R383" s="17">
        <f>IF(P383="","",ROUND(P383*RESUMEN!$B$4,0))</f>
        <v/>
      </c>
      <c r="S383" s="18">
        <f>COUNT(E383:O383)</f>
        <v/>
      </c>
    </row>
    <row r="384">
      <c r="A384" s="13" t="inlineStr">
        <is>
          <t>34762981018093</t>
        </is>
      </c>
      <c r="B384" s="13" t="inlineStr">
        <is>
          <t>RELOJ TANK CR BLACK GOLD CROCODILE</t>
        </is>
      </c>
      <c r="C384" s="13" t="inlineStr"/>
      <c r="D384" s="14" t="inlineStr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5" t="n">
        <v>35</v>
      </c>
      <c r="O384" s="13" t="n"/>
      <c r="P384" s="16">
        <f>IF(COUNT(E384:O384)=0,"",MIN(E384:O384))</f>
        <v/>
      </c>
      <c r="Q384" s="15">
        <f>IF(COUNT(E384:O384)=0,"",LOOKUP(2,1/(E384:O384&lt;&gt;""),E384:O384))</f>
        <v/>
      </c>
      <c r="R384" s="17">
        <f>IF(P384="","",ROUND(P384*RESUMEN!$B$4,0))</f>
        <v/>
      </c>
      <c r="S384" s="18">
        <f>COUNT(E384:O384)</f>
        <v/>
      </c>
    </row>
    <row r="385">
      <c r="A385" s="13" t="inlineStr">
        <is>
          <t>34163622524845</t>
        </is>
      </c>
      <c r="B385" s="13" t="inlineStr">
        <is>
          <t>SANDALIAS CD DIORACT WHITE</t>
        </is>
      </c>
      <c r="C385" s="13" t="inlineStr">
        <is>
          <t>36/24mx</t>
        </is>
      </c>
      <c r="D385" s="14" t="inlineStr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5" t="n">
        <v>60</v>
      </c>
      <c r="N385" s="13" t="n"/>
      <c r="O385" s="13" t="n"/>
      <c r="P385" s="16">
        <f>IF(COUNT(E385:O385)=0,"",MIN(E385:O385))</f>
        <v/>
      </c>
      <c r="Q385" s="15">
        <f>IF(COUNT(E385:O385)=0,"",LOOKUP(2,1/(E385:O385&lt;&gt;""),E385:O385))</f>
        <v/>
      </c>
      <c r="R385" s="17">
        <f>IF(P385="","",ROUND(P385*RESUMEN!$B$4,0))</f>
        <v/>
      </c>
      <c r="S385" s="18">
        <f>COUNT(E385:O385)</f>
        <v/>
      </c>
    </row>
    <row r="386">
      <c r="A386" s="13" t="inlineStr">
        <is>
          <t>34163622492077</t>
        </is>
      </c>
      <c r="B386" s="13" t="inlineStr">
        <is>
          <t>SANDALIAS CD DIORACT WHITE</t>
        </is>
      </c>
      <c r="C386" s="13" t="inlineStr">
        <is>
          <t>38/25mx</t>
        </is>
      </c>
      <c r="D386" s="14" t="inlineStr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5" t="n">
        <v>60</v>
      </c>
      <c r="N386" s="13" t="n"/>
      <c r="O386" s="15" t="n">
        <v>60</v>
      </c>
      <c r="P386" s="16">
        <f>IF(COUNT(E386:O386)=0,"",MIN(E386:O386))</f>
        <v/>
      </c>
      <c r="Q386" s="15">
        <f>IF(COUNT(E386:O386)=0,"",LOOKUP(2,1/(E386:O386&lt;&gt;""),E386:O386))</f>
        <v/>
      </c>
      <c r="R386" s="17">
        <f>IF(P386="","",ROUND(P386*RESUMEN!$B$4,0))</f>
        <v/>
      </c>
      <c r="S386" s="18">
        <f>COUNT(E386:O386)</f>
        <v/>
      </c>
    </row>
    <row r="387">
      <c r="A387" s="13" t="inlineStr">
        <is>
          <t>42834310172300</t>
        </is>
      </c>
      <c r="B387" s="13" t="inlineStr">
        <is>
          <t>SANDALIAS CD MULE</t>
        </is>
      </c>
      <c r="C387" s="13" t="inlineStr">
        <is>
          <t>23cm</t>
        </is>
      </c>
      <c r="D387" s="14" t="inlineStr"/>
      <c r="E387" s="15" t="n">
        <v>35</v>
      </c>
      <c r="F387" s="13" t="n"/>
      <c r="G387" s="13" t="n"/>
      <c r="H387" s="13" t="n"/>
      <c r="I387" s="15" t="n">
        <v>35</v>
      </c>
      <c r="J387" s="13" t="n"/>
      <c r="K387" s="13" t="n"/>
      <c r="L387" s="13" t="n"/>
      <c r="M387" s="15" t="n">
        <v>35</v>
      </c>
      <c r="N387" s="13" t="n"/>
      <c r="O387" s="13" t="n"/>
      <c r="P387" s="16">
        <f>IF(COUNT(E387:O387)=0,"",MIN(E387:O387))</f>
        <v/>
      </c>
      <c r="Q387" s="15">
        <f>IF(COUNT(E387:O387)=0,"",LOOKUP(2,1/(E387:O387&lt;&gt;""),E387:O387))</f>
        <v/>
      </c>
      <c r="R387" s="17">
        <f>IF(P387="","",ROUND(P387*RESUMEN!$B$4,0))</f>
        <v/>
      </c>
      <c r="S387" s="18">
        <f>COUNT(E387:O387)</f>
        <v/>
      </c>
    </row>
    <row r="388">
      <c r="A388" s="13" t="inlineStr">
        <is>
          <t>42834310205068</t>
        </is>
      </c>
      <c r="B388" s="13" t="inlineStr">
        <is>
          <t>SANDALIAS CD MULE</t>
        </is>
      </c>
      <c r="C388" s="13" t="inlineStr">
        <is>
          <t>25cm</t>
        </is>
      </c>
      <c r="D388" s="14" t="inlineStr">
        <is>
          <t>Upper Material:</t>
        </is>
      </c>
      <c r="E388" s="13" t="n"/>
      <c r="F388" s="13" t="n"/>
      <c r="G388" s="15" t="n">
        <v>35</v>
      </c>
      <c r="H388" s="13" t="n"/>
      <c r="I388" s="15" t="n">
        <v>35</v>
      </c>
      <c r="J388" s="13" t="n"/>
      <c r="K388" s="13" t="n"/>
      <c r="L388" s="13" t="n"/>
      <c r="M388" s="13" t="n"/>
      <c r="N388" s="15" t="n">
        <v>35</v>
      </c>
      <c r="O388" s="15" t="n">
        <v>35</v>
      </c>
      <c r="P388" s="16">
        <f>IF(COUNT(E388:O388)=0,"",MIN(E388:O388))</f>
        <v/>
      </c>
      <c r="Q388" s="15">
        <f>IF(COUNT(E388:O388)=0,"",LOOKUP(2,1/(E388:O388&lt;&gt;""),E388:O388))</f>
        <v/>
      </c>
      <c r="R388" s="17">
        <f>IF(P388="","",ROUND(P388*RESUMEN!$B$4,0))</f>
        <v/>
      </c>
      <c r="S388" s="18">
        <f>COUNT(E388:O388)</f>
        <v/>
      </c>
    </row>
    <row r="389">
      <c r="A389" s="13" t="inlineStr">
        <is>
          <t>42834310237836</t>
        </is>
      </c>
      <c r="B389" s="13" t="inlineStr">
        <is>
          <t>SANDALIAS CD MULE</t>
        </is>
      </c>
      <c r="C389" s="13" t="inlineStr">
        <is>
          <t>25cm</t>
        </is>
      </c>
      <c r="D389" s="14" t="inlineStr">
        <is>
          <t>Upper Material:</t>
        </is>
      </c>
      <c r="E389" s="13" t="n"/>
      <c r="F389" s="13" t="n"/>
      <c r="G389" s="15" t="n">
        <v>35</v>
      </c>
      <c r="H389" s="13" t="n"/>
      <c r="I389" s="13" t="n"/>
      <c r="J389" s="13" t="n"/>
      <c r="K389" s="13" t="n"/>
      <c r="L389" s="15" t="n">
        <v>35</v>
      </c>
      <c r="M389" s="15" t="n">
        <v>35</v>
      </c>
      <c r="N389" s="15" t="n">
        <v>35</v>
      </c>
      <c r="O389" s="13" t="n"/>
      <c r="P389" s="16">
        <f>IF(COUNT(E389:O389)=0,"",MIN(E389:O389))</f>
        <v/>
      </c>
      <c r="Q389" s="15">
        <f>IF(COUNT(E389:O389)=0,"",LOOKUP(2,1/(E389:O389&lt;&gt;""),E389:O389))</f>
        <v/>
      </c>
      <c r="R389" s="17">
        <f>IF(P389="","",ROUND(P389*RESUMEN!$B$4,0))</f>
        <v/>
      </c>
      <c r="S389" s="18">
        <f>COUNT(E389:O389)</f>
        <v/>
      </c>
    </row>
    <row r="390">
      <c r="A390" s="13" t="inlineStr">
        <is>
          <t>42834319871628</t>
        </is>
      </c>
      <c r="B390" s="13" t="inlineStr">
        <is>
          <t>SANDALIAS DG</t>
        </is>
      </c>
      <c r="C390" s="13" t="inlineStr">
        <is>
          <t>27cm</t>
        </is>
      </c>
      <c r="D390" s="14" t="inlineStr"/>
      <c r="E390" s="15" t="n">
        <v>40</v>
      </c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5" t="n">
        <v>40</v>
      </c>
      <c r="P390" s="16">
        <f>IF(COUNT(E390:O390)=0,"",MIN(E390:O390))</f>
        <v/>
      </c>
      <c r="Q390" s="15">
        <f>IF(COUNT(E390:O390)=0,"",LOOKUP(2,1/(E390:O390&lt;&gt;""),E390:O390))</f>
        <v/>
      </c>
      <c r="R390" s="17">
        <f>IF(P390="","",ROUND(P390*RESUMEN!$B$4,0))</f>
        <v/>
      </c>
      <c r="S390" s="18">
        <f>COUNT(E390:O390)</f>
        <v/>
      </c>
    </row>
    <row r="391">
      <c r="A391" s="13" t="inlineStr">
        <is>
          <t>42834319904396</t>
        </is>
      </c>
      <c r="B391" s="13" t="inlineStr">
        <is>
          <t>SANDALIAS DG</t>
        </is>
      </c>
      <c r="C391" s="13" t="inlineStr">
        <is>
          <t>28cm</t>
        </is>
      </c>
      <c r="D391" s="14" t="inlineStr"/>
      <c r="E391" s="15" t="n">
        <v>40</v>
      </c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5" t="n">
        <v>40</v>
      </c>
      <c r="P391" s="16">
        <f>IF(COUNT(E391:O391)=0,"",MIN(E391:O391))</f>
        <v/>
      </c>
      <c r="Q391" s="15">
        <f>IF(COUNT(E391:O391)=0,"",LOOKUP(2,1/(E391:O391&lt;&gt;""),E391:O391))</f>
        <v/>
      </c>
      <c r="R391" s="17">
        <f>IF(P391="","",ROUND(P391*RESUMEN!$B$4,0))</f>
        <v/>
      </c>
      <c r="S391" s="18">
        <f>COUNT(E391:O391)</f>
        <v/>
      </c>
    </row>
    <row r="392">
      <c r="A392" s="13" t="inlineStr">
        <is>
          <t>34163622177965</t>
        </is>
      </c>
      <c r="B392" s="13" t="inlineStr">
        <is>
          <t>SANDALIAS F FEEL BLACK</t>
        </is>
      </c>
      <c r="C392" s="13" t="inlineStr">
        <is>
          <t>38/25mx</t>
        </is>
      </c>
      <c r="D392" s="14" t="inlineStr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5" t="n">
        <v>55</v>
      </c>
      <c r="N392" s="13" t="n"/>
      <c r="O392" s="15" t="n">
        <v>55</v>
      </c>
      <c r="P392" s="16">
        <f>IF(COUNT(E392:O392)=0,"",MIN(E392:O392))</f>
        <v/>
      </c>
      <c r="Q392" s="15">
        <f>IF(COUNT(E392:O392)=0,"",LOOKUP(2,1/(E392:O392&lt;&gt;""),E392:O392))</f>
        <v/>
      </c>
      <c r="R392" s="17">
        <f>IF(P392="","",ROUND(P392*RESUMEN!$B$4,0))</f>
        <v/>
      </c>
      <c r="S392" s="18">
        <f>COUNT(E392:O392)</f>
        <v/>
      </c>
    </row>
    <row r="393">
      <c r="A393" s="13" t="inlineStr">
        <is>
          <t>23025461105261</t>
        </is>
      </c>
      <c r="B393" s="13" t="inlineStr">
        <is>
          <t>SANDALIAS H CHYPRE</t>
        </is>
      </c>
      <c r="C393" s="13" t="inlineStr">
        <is>
          <t>42/8MX</t>
        </is>
      </c>
      <c r="D393" s="14" t="inlineStr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5" t="n">
        <v>45</v>
      </c>
      <c r="O393" s="13" t="n"/>
      <c r="P393" s="16">
        <f>IF(COUNT(E393:O393)=0,"",MIN(E393:O393))</f>
        <v/>
      </c>
      <c r="Q393" s="15">
        <f>IF(COUNT(E393:O393)=0,"",LOOKUP(2,1/(E393:O393&lt;&gt;""),E393:O393))</f>
        <v/>
      </c>
      <c r="R393" s="17">
        <f>IF(P393="","",ROUND(P393*RESUMEN!$B$4,0))</f>
        <v/>
      </c>
      <c r="S393" s="18">
        <f>COUNT(E393:O393)</f>
        <v/>
      </c>
    </row>
    <row r="394">
      <c r="A394" s="13" t="inlineStr">
        <is>
          <t>23025461238029</t>
        </is>
      </c>
      <c r="B394" s="13" t="inlineStr">
        <is>
          <t>SANDALIAS H CHYPRE</t>
        </is>
      </c>
      <c r="C394" s="13" t="inlineStr">
        <is>
          <t>44/9MX</t>
        </is>
      </c>
      <c r="D394" s="14" t="inlineStr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5" t="n">
        <v>45</v>
      </c>
      <c r="O394" s="13" t="n"/>
      <c r="P394" s="16">
        <f>IF(COUNT(E394:O394)=0,"",MIN(E394:O394))</f>
        <v/>
      </c>
      <c r="Q394" s="15">
        <f>IF(COUNT(E394:O394)=0,"",LOOKUP(2,1/(E394:O394&lt;&gt;""),E394:O394))</f>
        <v/>
      </c>
      <c r="R394" s="17">
        <f>IF(P394="","",ROUND(P394*RESUMEN!$B$4,0))</f>
        <v/>
      </c>
      <c r="S394" s="18">
        <f>COUNT(E394:O394)</f>
        <v/>
      </c>
    </row>
    <row r="395">
      <c r="A395" s="13" t="inlineStr">
        <is>
          <t>34163622623149</t>
        </is>
      </c>
      <c r="B395" s="13" t="inlineStr">
        <is>
          <t>SANDALIAS LV MULE BOM DIA</t>
        </is>
      </c>
      <c r="C395" s="13" t="inlineStr">
        <is>
          <t>38/25mx</t>
        </is>
      </c>
      <c r="D395" s="14" t="inlineStr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5" t="n">
        <v>50</v>
      </c>
      <c r="N395" s="13" t="n"/>
      <c r="O395" s="15" t="n">
        <v>50</v>
      </c>
      <c r="P395" s="16">
        <f>IF(COUNT(E395:O395)=0,"",MIN(E395:O395))</f>
        <v/>
      </c>
      <c r="Q395" s="15">
        <f>IF(COUNT(E395:O395)=0,"",LOOKUP(2,1/(E395:O395&lt;&gt;""),E395:O395))</f>
        <v/>
      </c>
      <c r="R395" s="17">
        <f>IF(P395="","",ROUND(P395*RESUMEN!$B$4,0))</f>
        <v/>
      </c>
      <c r="S395" s="18">
        <f>COUNT(E395:O395)</f>
        <v/>
      </c>
    </row>
    <row r="396">
      <c r="A396" s="13" t="inlineStr">
        <is>
          <t>16498231076513</t>
        </is>
      </c>
      <c r="B396" s="13" t="inlineStr">
        <is>
          <t>SET DE COLLAR Y PULSERA CORAZÓN CON ZIRCONIA. Titanio</t>
        </is>
      </c>
      <c r="C396" s="13" t="inlineStr">
        <is>
          <t>Default Title</t>
        </is>
      </c>
      <c r="D396" s="14" t="inlineStr">
        <is>
          <t>Brass</t>
        </is>
      </c>
      <c r="E396" s="13" t="n"/>
      <c r="F396" s="13" t="n"/>
      <c r="G396" s="13" t="n"/>
      <c r="H396" s="13" t="n"/>
      <c r="I396" s="13" t="n"/>
      <c r="J396" s="15" t="n">
        <v>9</v>
      </c>
      <c r="K396" s="15" t="n">
        <v>9</v>
      </c>
      <c r="L396" s="13" t="n"/>
      <c r="M396" s="13" t="n"/>
      <c r="N396" s="13" t="n"/>
      <c r="O396" s="15" t="n">
        <v>8</v>
      </c>
      <c r="P396" s="16">
        <f>IF(COUNT(E396:O396)=0,"",MIN(E396:O396))</f>
        <v/>
      </c>
      <c r="Q396" s="15">
        <f>IF(COUNT(E396:O396)=0,"",LOOKUP(2,1/(E396:O396&lt;&gt;""),E396:O396))</f>
        <v/>
      </c>
      <c r="R396" s="17">
        <f>IF(P396="","",ROUND(P396*RESUMEN!$B$4,0))</f>
        <v/>
      </c>
      <c r="S396" s="18">
        <f>COUNT(E396:O396)</f>
        <v/>
      </c>
    </row>
    <row r="397">
      <c r="A397" s="13" t="inlineStr">
        <is>
          <t>57465711014125</t>
        </is>
      </c>
      <c r="B397" s="13" t="inlineStr">
        <is>
          <t>SET DEPORTIVO LLM CON ESCOTE V PINK</t>
        </is>
      </c>
      <c r="C397" s="13" t="inlineStr">
        <is>
          <t>S</t>
        </is>
      </c>
      <c r="D397" s="14" t="inlineStr">
        <is>
          <t>Bag Material: Ny</t>
        </is>
      </c>
      <c r="E397" s="13" t="n"/>
      <c r="F397" s="15" t="n">
        <v>30</v>
      </c>
      <c r="G397" s="13" t="n"/>
      <c r="H397" s="13" t="n"/>
      <c r="I397" s="13" t="n"/>
      <c r="J397" s="13" t="n"/>
      <c r="K397" s="13" t="n"/>
      <c r="L397" s="15" t="n">
        <v>25</v>
      </c>
      <c r="M397" s="13" t="n"/>
      <c r="N397" s="13" t="n"/>
      <c r="O397" s="13" t="n"/>
      <c r="P397" s="16">
        <f>IF(COUNT(E397:O397)=0,"",MIN(E397:O397))</f>
        <v/>
      </c>
      <c r="Q397" s="15">
        <f>IF(COUNT(E397:O397)=0,"",LOOKUP(2,1/(E397:O397&lt;&gt;""),E397:O397))</f>
        <v/>
      </c>
      <c r="R397" s="17">
        <f>IF(P397="","",ROUND(P397*RESUMEN!$B$4,0))</f>
        <v/>
      </c>
      <c r="S397" s="18">
        <f>COUNT(E397:O397)</f>
        <v/>
      </c>
    </row>
    <row r="398">
      <c r="A398" s="13" t="inlineStr">
        <is>
          <t>60739441017133</t>
        </is>
      </c>
      <c r="B398" s="13" t="inlineStr">
        <is>
          <t>SHORT DEPORTIVO ALLS BLACK</t>
        </is>
      </c>
      <c r="C398" s="13" t="inlineStr">
        <is>
          <t>L</t>
        </is>
      </c>
      <c r="D398" s="14" t="inlineStr">
        <is>
          <t>Material: Cotton</t>
        </is>
      </c>
      <c r="E398" s="13" t="n"/>
      <c r="F398" s="15" t="n">
        <v>32</v>
      </c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6">
        <f>IF(COUNT(E398:O398)=0,"",MIN(E398:O398))</f>
        <v/>
      </c>
      <c r="Q398" s="15">
        <f>IF(COUNT(E398:O398)=0,"",LOOKUP(2,1/(E398:O398&lt;&gt;""),E398:O398))</f>
        <v/>
      </c>
      <c r="R398" s="17">
        <f>IF(P398="","",ROUND(P398*RESUMEN!$B$4,0))</f>
        <v/>
      </c>
      <c r="S398" s="18">
        <f>COUNT(E398:O398)</f>
        <v/>
      </c>
    </row>
    <row r="399">
      <c r="A399" s="13" t="inlineStr">
        <is>
          <t>33644561619885</t>
        </is>
      </c>
      <c r="B399" s="13" t="inlineStr">
        <is>
          <t>SOMBRERO MM RAFFIA BEIGE/RED</t>
        </is>
      </c>
      <c r="C399" s="13" t="inlineStr">
        <is>
          <t>Default Title</t>
        </is>
      </c>
      <c r="D399" s="14" t="inlineStr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5" t="n">
        <v>32</v>
      </c>
      <c r="N399" s="13" t="n"/>
      <c r="O399" s="13" t="n"/>
      <c r="P399" s="16">
        <f>IF(COUNT(E399:O399)=0,"",MIN(E399:O399))</f>
        <v/>
      </c>
      <c r="Q399" s="15">
        <f>IF(COUNT(E399:O399)=0,"",LOOKUP(2,1/(E399:O399&lt;&gt;""),E399:O399))</f>
        <v/>
      </c>
      <c r="R399" s="17">
        <f>IF(P399="","",ROUND(P399*RESUMEN!$B$4,0))</f>
        <v/>
      </c>
      <c r="S399" s="18">
        <f>COUNT(E399:O399)</f>
        <v/>
      </c>
    </row>
    <row r="400">
      <c r="A400" s="13" t="inlineStr">
        <is>
          <t>88016261004301</t>
        </is>
      </c>
      <c r="B400" s="13" t="inlineStr">
        <is>
          <t>SUDADERA ALLS BLACK</t>
        </is>
      </c>
      <c r="C400" s="13" t="inlineStr">
        <is>
          <t>L</t>
        </is>
      </c>
      <c r="D400" s="14" t="inlineStr">
        <is>
          <t>Material: Cotton</t>
        </is>
      </c>
      <c r="E400" s="13" t="n"/>
      <c r="F400" s="15" t="n">
        <v>35</v>
      </c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6">
        <f>IF(COUNT(E400:O400)=0,"",MIN(E400:O400))</f>
        <v/>
      </c>
      <c r="Q400" s="15">
        <f>IF(COUNT(E400:O400)=0,"",LOOKUP(2,1/(E400:O400&lt;&gt;""),E400:O400))</f>
        <v/>
      </c>
      <c r="R400" s="17">
        <f>IF(P400="","",ROUND(P400*RESUMEN!$B$4,0))</f>
        <v/>
      </c>
      <c r="S400" s="18">
        <f>COUNT(E400:O400)</f>
        <v/>
      </c>
    </row>
    <row r="401">
      <c r="A401" s="13" t="inlineStr">
        <is>
          <t>73812531045133</t>
        </is>
      </c>
      <c r="B401" s="13" t="inlineStr">
        <is>
          <t>SUETER LV BLACK CON EFECTO DEGRADADO</t>
        </is>
      </c>
      <c r="C401" s="13" t="inlineStr">
        <is>
          <t>Default Title</t>
        </is>
      </c>
      <c r="D401" s="14" t="inlineStr">
        <is>
          <t>Material: Cotton</t>
        </is>
      </c>
      <c r="E401" s="13" t="n"/>
      <c r="F401" s="15" t="n">
        <v>27</v>
      </c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6">
        <f>IF(COUNT(E401:O401)=0,"",MIN(E401:O401))</f>
        <v/>
      </c>
      <c r="Q401" s="15">
        <f>IF(COUNT(E401:O401)=0,"",LOOKUP(2,1/(E401:O401&lt;&gt;""),E401:O401))</f>
        <v/>
      </c>
      <c r="R401" s="17">
        <f>IF(P401="","",ROUND(P401*RESUMEN!$B$4,0))</f>
        <v/>
      </c>
      <c r="S401" s="18">
        <f>COUNT(E401:O401)</f>
        <v/>
      </c>
    </row>
    <row r="402">
      <c r="A402" s="13" t="inlineStr">
        <is>
          <t>43728084634892</t>
        </is>
      </c>
      <c r="B402" s="13" t="inlineStr">
        <is>
          <t>SUETER PR MILANO BLACK</t>
        </is>
      </c>
      <c r="C402" s="13" t="inlineStr">
        <is>
          <t>M</t>
        </is>
      </c>
      <c r="D402" s="14" t="inlineStr">
        <is>
          <t>Material: Knit s</t>
        </is>
      </c>
      <c r="E402" s="13" t="n"/>
      <c r="F402" s="13" t="n"/>
      <c r="G402" s="15" t="n">
        <v>38</v>
      </c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6">
        <f>IF(COUNT(E402:O402)=0,"",MIN(E402:O402))</f>
        <v/>
      </c>
      <c r="Q402" s="15">
        <f>IF(COUNT(E402:O402)=0,"",LOOKUP(2,1/(E402:O402&lt;&gt;""),E402:O402))</f>
        <v/>
      </c>
      <c r="R402" s="17">
        <f>IF(P402="","",ROUND(P402*RESUMEN!$B$4,0))</f>
        <v/>
      </c>
      <c r="S402" s="18">
        <f>COUNT(E402:O402)</f>
        <v/>
      </c>
    </row>
    <row r="403">
      <c r="A403" s="13" t="inlineStr">
        <is>
          <t>43728084854796</t>
        </is>
      </c>
      <c r="B403" s="13" t="inlineStr">
        <is>
          <t>SUETER YSL</t>
        </is>
      </c>
      <c r="C403" s="13" t="inlineStr">
        <is>
          <t>M</t>
        </is>
      </c>
      <c r="D403" s="14" t="inlineStr">
        <is>
          <t>Material: Knit s</t>
        </is>
      </c>
      <c r="E403" s="15" t="n">
        <v>38</v>
      </c>
      <c r="F403" s="13" t="n"/>
      <c r="G403" s="15" t="n">
        <v>38</v>
      </c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6">
        <f>IF(COUNT(E403:O403)=0,"",MIN(E403:O403))</f>
        <v/>
      </c>
      <c r="Q403" s="15">
        <f>IF(COUNT(E403:O403)=0,"",LOOKUP(2,1/(E403:O403&lt;&gt;""),E403:O403))</f>
        <v/>
      </c>
      <c r="R403" s="17">
        <f>IF(P403="","",ROUND(P403*RESUMEN!$B$4,0))</f>
        <v/>
      </c>
      <c r="S403" s="18">
        <f>COUNT(E403:O403)</f>
        <v/>
      </c>
    </row>
    <row r="404">
      <c r="A404" s="13" t="inlineStr">
        <is>
          <t>72233622795788</t>
        </is>
      </c>
      <c r="B404" s="13" t="inlineStr">
        <is>
          <t>SUÉTER PR MILANO WHITE</t>
        </is>
      </c>
      <c r="C404" s="13" t="inlineStr">
        <is>
          <t>L</t>
        </is>
      </c>
      <c r="D404" s="14" t="inlineStr">
        <is>
          <t>Sweaters</t>
        </is>
      </c>
      <c r="E404" s="13" t="n"/>
      <c r="F404" s="13" t="n"/>
      <c r="G404" s="13" t="n"/>
      <c r="H404" s="15" t="n">
        <v>38</v>
      </c>
      <c r="I404" s="13" t="n"/>
      <c r="J404" s="13" t="n"/>
      <c r="K404" s="13" t="n"/>
      <c r="L404" s="13" t="n"/>
      <c r="M404" s="15" t="n">
        <v>38</v>
      </c>
      <c r="N404" s="13" t="n"/>
      <c r="O404" s="13" t="n"/>
      <c r="P404" s="16">
        <f>IF(COUNT(E404:O404)=0,"",MIN(E404:O404))</f>
        <v/>
      </c>
      <c r="Q404" s="15">
        <f>IF(COUNT(E404:O404)=0,"",LOOKUP(2,1/(E404:O404&lt;&gt;""),E404:O404))</f>
        <v/>
      </c>
      <c r="R404" s="17">
        <f>IF(P404="","",ROUND(P404*RESUMEN!$B$4,0))</f>
        <v/>
      </c>
      <c r="S404" s="18">
        <f>COUNT(E404:O404)</f>
        <v/>
      </c>
    </row>
    <row r="405">
      <c r="A405" s="13" t="inlineStr">
        <is>
          <t>43728084530892</t>
        </is>
      </c>
      <c r="B405" s="13" t="inlineStr">
        <is>
          <t>SUÉTER PR MILANO WHITE</t>
        </is>
      </c>
      <c r="C405" s="13" t="inlineStr">
        <is>
          <t>M</t>
        </is>
      </c>
      <c r="D405" s="14" t="inlineStr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5" t="n">
        <v>38</v>
      </c>
      <c r="P405" s="16">
        <f>IF(COUNT(E405:O405)=0,"",MIN(E405:O405))</f>
        <v/>
      </c>
      <c r="Q405" s="15">
        <f>IF(COUNT(E405:O405)=0,"",LOOKUP(2,1/(E405:O405&lt;&gt;""),E405:O405))</f>
        <v/>
      </c>
      <c r="R405" s="17">
        <f>IF(P405="","",ROUND(P405*RESUMEN!$B$4,0))</f>
        <v/>
      </c>
      <c r="S405" s="18">
        <f>COUNT(E405:O405)</f>
        <v/>
      </c>
    </row>
    <row r="406">
      <c r="A406" s="13" t="inlineStr">
        <is>
          <t>679be97d4c737</t>
        </is>
      </c>
      <c r="B406" s="13" t="inlineStr">
        <is>
          <t>SU√âTER DE BOT√ìN YSL</t>
        </is>
      </c>
      <c r="C406" s="13" t="inlineStr">
        <is>
          <t>M</t>
        </is>
      </c>
      <c r="D406" s="14" t="inlineStr"/>
      <c r="E406" s="15" t="n">
        <v>0</v>
      </c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6">
        <f>IF(COUNT(E406:O406)=0,"",MIN(E406:O406))</f>
        <v/>
      </c>
      <c r="Q406" s="15">
        <f>IF(COUNT(E406:O406)=0,"",LOOKUP(2,1/(E406:O406&lt;&gt;""),E406:O406))</f>
        <v/>
      </c>
      <c r="R406" s="17">
        <f>IF(P406="","",ROUND(P406*RESUMEN!$B$4,0))</f>
        <v/>
      </c>
      <c r="S406" s="18">
        <f>COUNT(E406:O406)</f>
        <v/>
      </c>
    </row>
    <row r="407">
      <c r="A407" s="13" t="inlineStr">
        <is>
          <t>679be97ded7a3</t>
        </is>
      </c>
      <c r="B407" s="13" t="inlineStr">
        <is>
          <t>SU√âTER DE BOT√ìN YSL</t>
        </is>
      </c>
      <c r="C407" s="13" t="inlineStr">
        <is>
          <t>S</t>
        </is>
      </c>
      <c r="D407" s="14" t="inlineStr"/>
      <c r="E407" s="15" t="n">
        <v>0</v>
      </c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6">
        <f>IF(COUNT(E407:O407)=0,"",MIN(E407:O407))</f>
        <v/>
      </c>
      <c r="Q407" s="15">
        <f>IF(COUNT(E407:O407)=0,"",LOOKUP(2,1/(E407:O407&lt;&gt;""),E407:O407))</f>
        <v/>
      </c>
      <c r="R407" s="17">
        <f>IF(P407="","",ROUND(P407*RESUMEN!$B$4,0))</f>
        <v/>
      </c>
      <c r="S407" s="18">
        <f>COUNT(E407:O407)</f>
        <v/>
      </c>
    </row>
    <row r="408">
      <c r="A408" s="13" t="inlineStr">
        <is>
          <t>47754352942988</t>
        </is>
      </c>
      <c r="B408" s="13" t="inlineStr">
        <is>
          <t>TARJETERO CD FREESIA</t>
        </is>
      </c>
      <c r="C408" s="13" t="inlineStr">
        <is>
          <t>10cm x 7.5cm</t>
        </is>
      </c>
      <c r="D408" s="14" t="inlineStr"/>
      <c r="E408" s="15" t="n">
        <v>13</v>
      </c>
      <c r="F408" s="13" t="n"/>
      <c r="G408" s="13" t="n"/>
      <c r="H408" s="15" t="n">
        <v>13</v>
      </c>
      <c r="I408" s="13" t="n"/>
      <c r="J408" s="13" t="n"/>
      <c r="K408" s="13" t="n"/>
      <c r="L408" s="13" t="n"/>
      <c r="M408" s="13" t="n"/>
      <c r="N408" s="13" t="n"/>
      <c r="O408" s="13" t="n"/>
      <c r="P408" s="16">
        <f>IF(COUNT(E408:O408)=0,"",MIN(E408:O408))</f>
        <v/>
      </c>
      <c r="Q408" s="15">
        <f>IF(COUNT(E408:O408)=0,"",LOOKUP(2,1/(E408:O408&lt;&gt;""),E408:O408))</f>
        <v/>
      </c>
      <c r="R408" s="17">
        <f>IF(P408="","",ROUND(P408*RESUMEN!$B$4,0))</f>
        <v/>
      </c>
      <c r="S408" s="18">
        <f>COUNT(E408:O408)</f>
        <v/>
      </c>
    </row>
    <row r="409">
      <c r="A409" s="13" t="inlineStr">
        <is>
          <t>6737d91d66417</t>
        </is>
      </c>
      <c r="B409" s="13" t="inlineStr">
        <is>
          <t>TARJETERO CD SADDLE</t>
        </is>
      </c>
      <c r="C409" s="13" t="inlineStr">
        <is>
          <t>11cm de largo x 8cm de Alto</t>
        </is>
      </c>
      <c r="D409" s="14" t="inlineStr">
        <is>
          <t>Stainless steel</t>
        </is>
      </c>
      <c r="E409" s="15" t="n">
        <v>18</v>
      </c>
      <c r="F409" s="13" t="n"/>
      <c r="G409" s="15" t="n">
        <v>18</v>
      </c>
      <c r="H409" s="13" t="n"/>
      <c r="I409" s="15" t="n">
        <v>18</v>
      </c>
      <c r="J409" s="13" t="n"/>
      <c r="K409" s="13" t="n"/>
      <c r="L409" s="15" t="n">
        <v>18</v>
      </c>
      <c r="M409" s="13" t="n"/>
      <c r="N409" s="13" t="n"/>
      <c r="O409" s="13" t="n"/>
      <c r="P409" s="16">
        <f>IF(COUNT(E409:O409)=0,"",MIN(E409:O409))</f>
        <v/>
      </c>
      <c r="Q409" s="15">
        <f>IF(COUNT(E409:O409)=0,"",LOOKUP(2,1/(E409:O409&lt;&gt;""),E409:O409))</f>
        <v/>
      </c>
      <c r="R409" s="17">
        <f>IF(P409="","",ROUND(P409*RESUMEN!$B$4,0))</f>
        <v/>
      </c>
      <c r="S409" s="18">
        <f>COUNT(E409:O409)</f>
        <v/>
      </c>
    </row>
    <row r="410">
      <c r="A410" s="13" t="inlineStr">
        <is>
          <t>99781781861773</t>
        </is>
      </c>
      <c r="B410" s="13" t="inlineStr">
        <is>
          <t>TARJETERO GC EBANO</t>
        </is>
      </c>
      <c r="C410" s="13" t="inlineStr">
        <is>
          <t>BROWN</t>
        </is>
      </c>
      <c r="D410" s="14" t="inlineStr">
        <is>
          <t>Genuine leather</t>
        </is>
      </c>
      <c r="E410" s="13" t="n"/>
      <c r="F410" s="13" t="n"/>
      <c r="G410" s="13" t="n"/>
      <c r="H410" s="13" t="n"/>
      <c r="I410" s="13" t="n"/>
      <c r="J410" s="15" t="n">
        <v>14</v>
      </c>
      <c r="K410" s="15" t="n">
        <v>14</v>
      </c>
      <c r="L410" s="13" t="n"/>
      <c r="M410" s="13" t="n"/>
      <c r="N410" s="13" t="n"/>
      <c r="O410" s="13" t="n"/>
      <c r="P410" s="16">
        <f>IF(COUNT(E410:O410)=0,"",MIN(E410:O410))</f>
        <v/>
      </c>
      <c r="Q410" s="15">
        <f>IF(COUNT(E410:O410)=0,"",LOOKUP(2,1/(E410:O410&lt;&gt;""),E410:O410))</f>
        <v/>
      </c>
      <c r="R410" s="17">
        <f>IF(P410="","",ROUND(P410*RESUMEN!$B$4,0))</f>
        <v/>
      </c>
      <c r="S410" s="18">
        <f>COUNT(E410:O410)</f>
        <v/>
      </c>
    </row>
    <row r="411">
      <c r="A411" s="13" t="inlineStr">
        <is>
          <t>99781782139949</t>
        </is>
      </c>
      <c r="B411" s="13" t="inlineStr">
        <is>
          <t>TARJETERO GC EMBLEM</t>
        </is>
      </c>
      <c r="C411" s="13" t="inlineStr">
        <is>
          <t>Default Title</t>
        </is>
      </c>
      <c r="D411" s="14" t="inlineStr">
        <is>
          <t>Genuine leather</t>
        </is>
      </c>
      <c r="E411" s="13" t="n"/>
      <c r="F411" s="13" t="n"/>
      <c r="G411" s="13" t="n"/>
      <c r="H411" s="13" t="n"/>
      <c r="I411" s="13" t="n"/>
      <c r="J411" s="15" t="n">
        <v>14</v>
      </c>
      <c r="K411" s="15" t="n">
        <v>14</v>
      </c>
      <c r="L411" s="13" t="n"/>
      <c r="M411" s="13" t="n"/>
      <c r="N411" s="13" t="n"/>
      <c r="O411" s="15" t="n">
        <v>14</v>
      </c>
      <c r="P411" s="16">
        <f>IF(COUNT(E411:O411)=0,"",MIN(E411:O411))</f>
        <v/>
      </c>
      <c r="Q411" s="15">
        <f>IF(COUNT(E411:O411)=0,"",LOOKUP(2,1/(E411:O411&lt;&gt;""),E411:O411))</f>
        <v/>
      </c>
      <c r="R411" s="17">
        <f>IF(P411="","",ROUND(P411*RESUMEN!$B$4,0))</f>
        <v/>
      </c>
      <c r="S411" s="18">
        <f>COUNT(E411:O411)</f>
        <v/>
      </c>
    </row>
    <row r="412">
      <c r="A412" s="13" t="inlineStr">
        <is>
          <t>99781781623917</t>
        </is>
      </c>
      <c r="B412" s="13" t="inlineStr">
        <is>
          <t>TARJETERO GC LEATHER LOGO SILVER</t>
        </is>
      </c>
      <c r="C412" s="13" t="inlineStr">
        <is>
          <t>BLACK</t>
        </is>
      </c>
      <c r="D412" s="14" t="inlineStr">
        <is>
          <t>Genuine leather</t>
        </is>
      </c>
      <c r="E412" s="13" t="n"/>
      <c r="F412" s="13" t="n"/>
      <c r="G412" s="13" t="n"/>
      <c r="H412" s="13" t="n"/>
      <c r="I412" s="13" t="n"/>
      <c r="J412" s="15" t="n">
        <v>19</v>
      </c>
      <c r="K412" s="15" t="n">
        <v>19</v>
      </c>
      <c r="L412" s="13" t="n"/>
      <c r="M412" s="13" t="n"/>
      <c r="N412" s="13" t="n"/>
      <c r="O412" s="13" t="n"/>
      <c r="P412" s="16">
        <f>IF(COUNT(E412:O412)=0,"",MIN(E412:O412))</f>
        <v/>
      </c>
      <c r="Q412" s="15">
        <f>IF(COUNT(E412:O412)=0,"",LOOKUP(2,1/(E412:O412&lt;&gt;""),E412:O412))</f>
        <v/>
      </c>
      <c r="R412" s="17">
        <f>IF(P412="","",ROUND(P412*RESUMEN!$B$4,0))</f>
        <v/>
      </c>
      <c r="S412" s="18">
        <f>COUNT(E412:O412)</f>
        <v/>
      </c>
    </row>
    <row r="413">
      <c r="A413" s="13" t="inlineStr">
        <is>
          <t>99781781384365</t>
        </is>
      </c>
      <c r="B413" s="13" t="inlineStr">
        <is>
          <t>TARJETERO GC MARMONT</t>
        </is>
      </c>
      <c r="C413" s="13" t="inlineStr">
        <is>
          <t>Default Title</t>
        </is>
      </c>
      <c r="D413" s="14" t="inlineStr">
        <is>
          <t>Genuine leather</t>
        </is>
      </c>
      <c r="E413" s="13" t="n"/>
      <c r="F413" s="13" t="n"/>
      <c r="G413" s="13" t="n"/>
      <c r="H413" s="13" t="n"/>
      <c r="I413" s="13" t="n"/>
      <c r="J413" s="15" t="n">
        <v>14</v>
      </c>
      <c r="K413" s="15" t="n">
        <v>14</v>
      </c>
      <c r="L413" s="13" t="n"/>
      <c r="M413" s="13" t="n"/>
      <c r="N413" s="13" t="n"/>
      <c r="O413" s="15" t="n">
        <v>14</v>
      </c>
      <c r="P413" s="16">
        <f>IF(COUNT(E413:O413)=0,"",MIN(E413:O413))</f>
        <v/>
      </c>
      <c r="Q413" s="15">
        <f>IF(COUNT(E413:O413)=0,"",LOOKUP(2,1/(E413:O413&lt;&gt;""),E413:O413))</f>
        <v/>
      </c>
      <c r="R413" s="17">
        <f>IF(P413="","",ROUND(P413*RESUMEN!$B$4,0))</f>
        <v/>
      </c>
      <c r="S413" s="18">
        <f>COUNT(E413:O413)</f>
        <v/>
      </c>
    </row>
    <row r="414">
      <c r="A414" s="13" t="inlineStr">
        <is>
          <t>99781781934093</t>
        </is>
      </c>
      <c r="B414" s="13" t="inlineStr">
        <is>
          <t>TARJETERO GC OPHIDIA SUPREME</t>
        </is>
      </c>
      <c r="C414" s="13" t="inlineStr">
        <is>
          <t>BROWN</t>
        </is>
      </c>
      <c r="D414" s="14" t="inlineStr">
        <is>
          <t>Genuine leather</t>
        </is>
      </c>
      <c r="E414" s="13" t="n"/>
      <c r="F414" s="13" t="n"/>
      <c r="G414" s="13" t="n"/>
      <c r="H414" s="13" t="n"/>
      <c r="I414" s="13" t="n"/>
      <c r="J414" s="15" t="n">
        <v>14</v>
      </c>
      <c r="K414" s="15" t="n">
        <v>14</v>
      </c>
      <c r="L414" s="13" t="n"/>
      <c r="M414" s="13" t="n"/>
      <c r="N414" s="13" t="n"/>
      <c r="O414" s="13" t="n"/>
      <c r="P414" s="16">
        <f>IF(COUNT(E414:O414)=0,"",MIN(E414:O414))</f>
        <v/>
      </c>
      <c r="Q414" s="15">
        <f>IF(COUNT(E414:O414)=0,"",LOOKUP(2,1/(E414:O414&lt;&gt;""),E414:O414))</f>
        <v/>
      </c>
      <c r="R414" s="17">
        <f>IF(P414="","",ROUND(P414*RESUMEN!$B$4,0))</f>
        <v/>
      </c>
      <c r="S414" s="18">
        <f>COUNT(E414:O414)</f>
        <v/>
      </c>
    </row>
    <row r="415">
      <c r="A415" s="13" t="inlineStr">
        <is>
          <t>99781782096237</t>
        </is>
      </c>
      <c r="B415" s="13" t="inlineStr">
        <is>
          <t>TARJETERO GC SUPREME</t>
        </is>
      </c>
      <c r="C415" s="13" t="inlineStr">
        <is>
          <t>BROWN</t>
        </is>
      </c>
      <c r="D415" s="14" t="inlineStr">
        <is>
          <t>Genuine leather</t>
        </is>
      </c>
      <c r="E415" s="13" t="n"/>
      <c r="F415" s="13" t="n"/>
      <c r="G415" s="13" t="n"/>
      <c r="H415" s="13" t="n"/>
      <c r="I415" s="13" t="n"/>
      <c r="J415" s="15" t="n">
        <v>16</v>
      </c>
      <c r="K415" s="15" t="n">
        <v>16</v>
      </c>
      <c r="L415" s="13" t="n"/>
      <c r="M415" s="13" t="n"/>
      <c r="N415" s="13" t="n"/>
      <c r="O415" s="13" t="n"/>
      <c r="P415" s="16">
        <f>IF(COUNT(E415:O415)=0,"",MIN(E415:O415))</f>
        <v/>
      </c>
      <c r="Q415" s="15">
        <f>IF(COUNT(E415:O415)=0,"",LOOKUP(2,1/(E415:O415&lt;&gt;""),E415:O415))</f>
        <v/>
      </c>
      <c r="R415" s="17">
        <f>IF(P415="","",ROUND(P415*RESUMEN!$B$4,0))</f>
        <v/>
      </c>
      <c r="S415" s="18">
        <f>COUNT(E415:O415)</f>
        <v/>
      </c>
    </row>
    <row r="416">
      <c r="A416" s="13" t="inlineStr">
        <is>
          <t>33794532055533</t>
        </is>
      </c>
      <c r="B416" s="13" t="inlineStr">
        <is>
          <t>TARJETERO MM NAPA</t>
        </is>
      </c>
      <c r="C416" s="13" t="inlineStr">
        <is>
          <t>Default Title</t>
        </is>
      </c>
      <c r="D416" s="14" t="inlineStr">
        <is>
          <t>Genuine leather</t>
        </is>
      </c>
      <c r="E416" s="13" t="n"/>
      <c r="F416" s="13" t="n"/>
      <c r="G416" s="13" t="n"/>
      <c r="H416" s="13" t="n"/>
      <c r="I416" s="13" t="n"/>
      <c r="J416" s="15" t="n">
        <v>15</v>
      </c>
      <c r="K416" s="15" t="n">
        <v>15</v>
      </c>
      <c r="L416" s="13" t="n"/>
      <c r="M416" s="13" t="n"/>
      <c r="N416" s="15" t="n">
        <v>15</v>
      </c>
      <c r="O416" s="15" t="n">
        <v>15</v>
      </c>
      <c r="P416" s="16">
        <f>IF(COUNT(E416:O416)=0,"",MIN(E416:O416))</f>
        <v/>
      </c>
      <c r="Q416" s="15">
        <f>IF(COUNT(E416:O416)=0,"",LOOKUP(2,1/(E416:O416&lt;&gt;""),E416:O416))</f>
        <v/>
      </c>
      <c r="R416" s="17">
        <f>IF(P416="","",ROUND(P416*RESUMEN!$B$4,0))</f>
        <v/>
      </c>
      <c r="S416" s="18">
        <f>COUNT(E416:O416)</f>
        <v/>
      </c>
    </row>
    <row r="417">
      <c r="A417" s="13" t="inlineStr">
        <is>
          <t>43728117034540</t>
        </is>
      </c>
      <c r="B417" s="13" t="inlineStr">
        <is>
          <t>TARJETERO YSL GOLD</t>
        </is>
      </c>
      <c r="C417" s="13" t="inlineStr">
        <is>
          <t>HIGH QUALITY</t>
        </is>
      </c>
      <c r="D417" s="14" t="inlineStr">
        <is>
          <t>Genuine leather</t>
        </is>
      </c>
      <c r="E417" s="15" t="n">
        <v>13</v>
      </c>
      <c r="F417" s="13" t="n"/>
      <c r="G417" s="13" t="n"/>
      <c r="H417" s="15" t="n">
        <v>13</v>
      </c>
      <c r="I417" s="13" t="n"/>
      <c r="J417" s="13" t="n"/>
      <c r="K417" s="13" t="n"/>
      <c r="L417" s="15" t="n">
        <v>13</v>
      </c>
      <c r="M417" s="15" t="n">
        <v>13</v>
      </c>
      <c r="N417" s="13" t="n"/>
      <c r="O417" s="15" t="n">
        <v>13</v>
      </c>
      <c r="P417" s="16">
        <f>IF(COUNT(E417:O417)=0,"",MIN(E417:O417))</f>
        <v/>
      </c>
      <c r="Q417" s="15">
        <f>IF(COUNT(E417:O417)=0,"",LOOKUP(2,1/(E417:O417&lt;&gt;""),E417:O417))</f>
        <v/>
      </c>
      <c r="R417" s="17">
        <f>IF(P417="","",ROUND(P417*RESUMEN!$B$4,0))</f>
        <v/>
      </c>
      <c r="S417" s="18">
        <f>COUNT(E417:O417)</f>
        <v/>
      </c>
    </row>
    <row r="418">
      <c r="A418" s="13" t="inlineStr">
        <is>
          <t>66f1ed2e521fd</t>
        </is>
      </c>
      <c r="B418" s="13" t="inlineStr">
        <is>
          <t>TARJETERO YSL SILVER</t>
        </is>
      </c>
      <c r="C418" s="13" t="inlineStr">
        <is>
          <t>8cm x 10.5cm</t>
        </is>
      </c>
      <c r="D418" s="14" t="inlineStr">
        <is>
          <t>Genuine leather</t>
        </is>
      </c>
      <c r="E418" s="13" t="n"/>
      <c r="F418" s="13" t="n"/>
      <c r="G418" s="13" t="n"/>
      <c r="H418" s="13" t="n"/>
      <c r="I418" s="15" t="n">
        <v>13</v>
      </c>
      <c r="J418" s="15" t="n">
        <v>13</v>
      </c>
      <c r="K418" s="15" t="n">
        <v>13</v>
      </c>
      <c r="L418" s="13" t="n"/>
      <c r="M418" s="13" t="n"/>
      <c r="N418" s="13" t="n"/>
      <c r="O418" s="13" t="n"/>
      <c r="P418" s="16">
        <f>IF(COUNT(E418:O418)=0,"",MIN(E418:O418))</f>
        <v/>
      </c>
      <c r="Q418" s="15">
        <f>IF(COUNT(E418:O418)=0,"",LOOKUP(2,1/(E418:O418&lt;&gt;""),E418:O418))</f>
        <v/>
      </c>
      <c r="R418" s="17">
        <f>IF(P418="","",ROUND(P418*RESUMEN!$B$4,0))</f>
        <v/>
      </c>
      <c r="S418" s="18">
        <f>COUNT(E418:O418)</f>
        <v/>
      </c>
    </row>
    <row r="419">
      <c r="A419" s="13" t="inlineStr">
        <is>
          <t>23025461529549</t>
        </is>
      </c>
      <c r="B419" s="13" t="inlineStr">
        <is>
          <t>TENIS H BOUNCING BLACK</t>
        </is>
      </c>
      <c r="C419" s="13" t="inlineStr">
        <is>
          <t>42/8MX</t>
        </is>
      </c>
      <c r="D419" s="14" t="inlineStr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5" t="n">
        <v>60</v>
      </c>
      <c r="O419" s="13" t="n"/>
      <c r="P419" s="16">
        <f>IF(COUNT(E419:O419)=0,"",MIN(E419:O419))</f>
        <v/>
      </c>
      <c r="Q419" s="15">
        <f>IF(COUNT(E419:O419)=0,"",LOOKUP(2,1/(E419:O419&lt;&gt;""),E419:O419))</f>
        <v/>
      </c>
      <c r="R419" s="17">
        <f>IF(P419="","",ROUND(P419*RESUMEN!$B$4,0))</f>
        <v/>
      </c>
      <c r="S419" s="18">
        <f>COUNT(E419:O419)</f>
        <v/>
      </c>
    </row>
    <row r="420">
      <c r="A420" s="13" t="inlineStr">
        <is>
          <t>23025461662317</t>
        </is>
      </c>
      <c r="B420" s="13" t="inlineStr">
        <is>
          <t>TENIS H BOUNCING BLACK</t>
        </is>
      </c>
      <c r="C420" s="13" t="inlineStr">
        <is>
          <t>44/9MX</t>
        </is>
      </c>
      <c r="D420" s="14" t="inlineStr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5" t="n">
        <v>60</v>
      </c>
      <c r="O420" s="13" t="n"/>
      <c r="P420" s="16">
        <f>IF(COUNT(E420:O420)=0,"",MIN(E420:O420))</f>
        <v/>
      </c>
      <c r="Q420" s="15">
        <f>IF(COUNT(E420:O420)=0,"",LOOKUP(2,1/(E420:O420&lt;&gt;""),E420:O420))</f>
        <v/>
      </c>
      <c r="R420" s="17">
        <f>IF(P420="","",ROUND(P420*RESUMEN!$B$4,0))</f>
        <v/>
      </c>
      <c r="S420" s="18">
        <f>COUNT(E420:O420)</f>
        <v/>
      </c>
    </row>
    <row r="421">
      <c r="A421" s="13" t="inlineStr">
        <is>
          <t>23025461332941</t>
        </is>
      </c>
      <c r="B421" s="13" t="inlineStr">
        <is>
          <t>TENIS H BOUNCING WHITE</t>
        </is>
      </c>
      <c r="C421" s="13" t="inlineStr">
        <is>
          <t>42/8MX</t>
        </is>
      </c>
      <c r="D421" s="14" t="inlineStr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5" t="n">
        <v>60</v>
      </c>
      <c r="O421" s="13" t="n"/>
      <c r="P421" s="16">
        <f>IF(COUNT(E421:O421)=0,"",MIN(E421:O421))</f>
        <v/>
      </c>
      <c r="Q421" s="15">
        <f>IF(COUNT(E421:O421)=0,"",LOOKUP(2,1/(E421:O421&lt;&gt;""),E421:O421))</f>
        <v/>
      </c>
      <c r="R421" s="17">
        <f>IF(P421="","",ROUND(P421*RESUMEN!$B$4,0))</f>
        <v/>
      </c>
      <c r="S421" s="18">
        <f>COUNT(E421:O421)</f>
        <v/>
      </c>
    </row>
    <row r="422">
      <c r="A422" s="13" t="inlineStr">
        <is>
          <t>23025461465709</t>
        </is>
      </c>
      <c r="B422" s="13" t="inlineStr">
        <is>
          <t>TENIS H BOUNCING WHITE</t>
        </is>
      </c>
      <c r="C422" s="13" t="inlineStr">
        <is>
          <t>44/9MX</t>
        </is>
      </c>
      <c r="D422" s="14" t="inlineStr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5" t="n">
        <v>60</v>
      </c>
      <c r="O422" s="13" t="n"/>
      <c r="P422" s="16">
        <f>IF(COUNT(E422:O422)=0,"",MIN(E422:O422))</f>
        <v/>
      </c>
      <c r="Q422" s="15">
        <f>IF(COUNT(E422:O422)=0,"",LOOKUP(2,1/(E422:O422&lt;&gt;""),E422:O422))</f>
        <v/>
      </c>
      <c r="R422" s="17">
        <f>IF(P422="","",ROUND(P422*RESUMEN!$B$4,0))</f>
        <v/>
      </c>
      <c r="S422" s="18">
        <f>COUNT(E422:O422)</f>
        <v/>
      </c>
    </row>
    <row r="423">
      <c r="A423" s="13" t="inlineStr">
        <is>
          <t>23025461018285</t>
        </is>
      </c>
      <c r="B423" s="13" t="inlineStr">
        <is>
          <t>TENIS LV CLASSIC</t>
        </is>
      </c>
      <c r="C423" s="13" t="inlineStr">
        <is>
          <t>42/8MX</t>
        </is>
      </c>
      <c r="D423" s="14" t="inlineStr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5" t="n">
        <v>63</v>
      </c>
      <c r="O423" s="13" t="n"/>
      <c r="P423" s="16">
        <f>IF(COUNT(E423:O423)=0,"",MIN(E423:O423))</f>
        <v/>
      </c>
      <c r="Q423" s="15">
        <f>IF(COUNT(E423:O423)=0,"",LOOKUP(2,1/(E423:O423&lt;&gt;""),E423:O423))</f>
        <v/>
      </c>
      <c r="R423" s="17">
        <f>IF(P423="","",ROUND(P423*RESUMEN!$B$4,0))</f>
        <v/>
      </c>
      <c r="S423" s="18">
        <f>COUNT(E423:O423)</f>
        <v/>
      </c>
    </row>
    <row r="424">
      <c r="A424" s="13" t="inlineStr">
        <is>
          <t>10065591106765</t>
        </is>
      </c>
      <c r="B424" s="13" t="inlineStr">
        <is>
          <t>TRAJE DE BAÑO C TRIOMPHE ALL BLACK</t>
        </is>
      </c>
      <c r="C424" s="13" t="inlineStr">
        <is>
          <t>M</t>
        </is>
      </c>
      <c r="D424" s="14" t="inlineStr"/>
      <c r="E424" s="13" t="n"/>
      <c r="F424" s="13" t="n"/>
      <c r="G424" s="13" t="n"/>
      <c r="H424" s="13" t="n"/>
      <c r="I424" s="13" t="n"/>
      <c r="J424" s="13" t="n"/>
      <c r="K424" s="13" t="n"/>
      <c r="L424" s="15" t="n">
        <v>25</v>
      </c>
      <c r="M424" s="13" t="n"/>
      <c r="N424" s="13" t="n"/>
      <c r="O424" s="13" t="n"/>
      <c r="P424" s="16">
        <f>IF(COUNT(E424:O424)=0,"",MIN(E424:O424))</f>
        <v/>
      </c>
      <c r="Q424" s="15">
        <f>IF(COUNT(E424:O424)=0,"",LOOKUP(2,1/(E424:O424&lt;&gt;""),E424:O424))</f>
        <v/>
      </c>
      <c r="R424" s="17">
        <f>IF(P424="","",ROUND(P424*RESUMEN!$B$4,0))</f>
        <v/>
      </c>
      <c r="S424" s="18">
        <f>COUNT(E424:O424)</f>
        <v/>
      </c>
    </row>
    <row r="425">
      <c r="A425" s="13" t="inlineStr">
        <is>
          <t>71556651035341</t>
        </is>
      </c>
      <c r="B425" s="13" t="inlineStr">
        <is>
          <t>TRAJE DE BAÑO CD</t>
        </is>
      </c>
      <c r="C425" s="13" t="inlineStr">
        <is>
          <t>L</t>
        </is>
      </c>
      <c r="D425" s="14" t="inlineStr">
        <is>
          <t>Material: Cotton</t>
        </is>
      </c>
      <c r="E425" s="13" t="n"/>
      <c r="F425" s="13" t="n"/>
      <c r="G425" s="13" t="n"/>
      <c r="H425" s="13" t="n"/>
      <c r="I425" s="13" t="n"/>
      <c r="J425" s="15" t="n">
        <v>25</v>
      </c>
      <c r="K425" s="15" t="n">
        <v>25</v>
      </c>
      <c r="L425" s="15" t="n">
        <v>25</v>
      </c>
      <c r="M425" s="13" t="n"/>
      <c r="N425" s="13" t="n"/>
      <c r="O425" s="13" t="n"/>
      <c r="P425" s="16">
        <f>IF(COUNT(E425:O425)=0,"",MIN(E425:O425))</f>
        <v/>
      </c>
      <c r="Q425" s="15">
        <f>IF(COUNT(E425:O425)=0,"",LOOKUP(2,1/(E425:O425&lt;&gt;""),E425:O425))</f>
        <v/>
      </c>
      <c r="R425" s="17">
        <f>IF(P425="","",ROUND(P425*RESUMEN!$B$4,0))</f>
        <v/>
      </c>
      <c r="S425" s="18">
        <f>COUNT(E425:O425)</f>
        <v/>
      </c>
    </row>
    <row r="426">
      <c r="A426" s="13" t="inlineStr">
        <is>
          <t>47685124125580</t>
        </is>
      </c>
      <c r="B426" s="13" t="inlineStr">
        <is>
          <t>TRAJE DE BAÑO CD</t>
        </is>
      </c>
      <c r="C426" s="13" t="inlineStr">
        <is>
          <t>M</t>
        </is>
      </c>
      <c r="D426" s="14" t="inlineStr">
        <is>
          <t>0</t>
        </is>
      </c>
      <c r="E426" s="13" t="n"/>
      <c r="F426" s="13" t="n"/>
      <c r="G426" s="13" t="n"/>
      <c r="H426" s="13" t="n"/>
      <c r="I426" s="15" t="n">
        <v>25</v>
      </c>
      <c r="J426" s="13" t="n"/>
      <c r="K426" s="13" t="n"/>
      <c r="L426" s="13" t="n"/>
      <c r="M426" s="13" t="n"/>
      <c r="N426" s="15" t="n">
        <v>25</v>
      </c>
      <c r="O426" s="15" t="n">
        <v>25</v>
      </c>
      <c r="P426" s="16">
        <f>IF(COUNT(E426:O426)=0,"",MIN(E426:O426))</f>
        <v/>
      </c>
      <c r="Q426" s="15">
        <f>IF(COUNT(E426:O426)=0,"",LOOKUP(2,1/(E426:O426&lt;&gt;""),E426:O426))</f>
        <v/>
      </c>
      <c r="R426" s="17">
        <f>IF(P426="","",ROUND(P426*RESUMEN!$B$4,0))</f>
        <v/>
      </c>
      <c r="S426" s="18">
        <f>COUNT(E426:O426)</f>
        <v/>
      </c>
    </row>
    <row r="427">
      <c r="A427" s="13" t="inlineStr">
        <is>
          <t>47685114092812</t>
        </is>
      </c>
      <c r="B427" s="13" t="inlineStr">
        <is>
          <t>TRAJE DE BAÑO CD</t>
        </is>
      </c>
      <c r="C427" s="13" t="inlineStr">
        <is>
          <t>S</t>
        </is>
      </c>
      <c r="D427" s="14" t="inlineStr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5" t="n">
        <v>25</v>
      </c>
      <c r="O427" s="13" t="n"/>
      <c r="P427" s="16">
        <f>IF(COUNT(E427:O427)=0,"",MIN(E427:O427))</f>
        <v/>
      </c>
      <c r="Q427" s="15">
        <f>IF(COUNT(E427:O427)=0,"",LOOKUP(2,1/(E427:O427&lt;&gt;""),E427:O427))</f>
        <v/>
      </c>
      <c r="R427" s="17">
        <f>IF(P427="","",ROUND(P427*RESUMEN!$B$4,0))</f>
        <v/>
      </c>
      <c r="S427" s="18">
        <f>COUNT(E427:O427)</f>
        <v/>
      </c>
    </row>
    <row r="428">
      <c r="A428" s="13" t="inlineStr">
        <is>
          <t>10065591348557</t>
        </is>
      </c>
      <c r="B428" s="13" t="inlineStr">
        <is>
          <t>TRAJE DE BAÑO COMPLETO CD</t>
        </is>
      </c>
      <c r="C428" s="13" t="inlineStr">
        <is>
          <t>M</t>
        </is>
      </c>
      <c r="D428" s="14" t="inlineStr"/>
      <c r="E428" s="13" t="n"/>
      <c r="F428" s="13" t="n"/>
      <c r="G428" s="13" t="n"/>
      <c r="H428" s="13" t="n"/>
      <c r="I428" s="13" t="n"/>
      <c r="J428" s="13" t="n"/>
      <c r="K428" s="13" t="n"/>
      <c r="L428" s="15" t="n">
        <v>25</v>
      </c>
      <c r="M428" s="13" t="n"/>
      <c r="N428" s="13" t="n"/>
      <c r="O428" s="13" t="n"/>
      <c r="P428" s="16">
        <f>IF(COUNT(E428:O428)=0,"",MIN(E428:O428))</f>
        <v/>
      </c>
      <c r="Q428" s="15">
        <f>IF(COUNT(E428:O428)=0,"",LOOKUP(2,1/(E428:O428&lt;&gt;""),E428:O428))</f>
        <v/>
      </c>
      <c r="R428" s="17">
        <f>IF(P428="","",ROUND(P428*RESUMEN!$B$4,0))</f>
        <v/>
      </c>
      <c r="S428" s="18">
        <f>COUNT(E428:O428)</f>
        <v/>
      </c>
    </row>
    <row r="429">
      <c r="A429" s="13" t="inlineStr">
        <is>
          <t>70693391064173</t>
        </is>
      </c>
      <c r="B429" s="13" t="inlineStr">
        <is>
          <t>TRAJE DE BAÑO COMPLETO DG</t>
        </is>
      </c>
      <c r="C429" s="13" t="inlineStr">
        <is>
          <t>L</t>
        </is>
      </c>
      <c r="D429" s="14" t="inlineStr">
        <is>
          <t>Material: Cotton</t>
        </is>
      </c>
      <c r="E429" s="13" t="n"/>
      <c r="F429" s="13" t="n"/>
      <c r="G429" s="13" t="n"/>
      <c r="H429" s="13" t="n"/>
      <c r="I429" s="13" t="n"/>
      <c r="J429" s="15" t="n">
        <v>25</v>
      </c>
      <c r="K429" s="15" t="n">
        <v>25</v>
      </c>
      <c r="L429" s="13" t="n"/>
      <c r="M429" s="13" t="n"/>
      <c r="N429" s="15" t="n">
        <v>25</v>
      </c>
      <c r="O429" s="13" t="n"/>
      <c r="P429" s="16">
        <f>IF(COUNT(E429:O429)=0,"",MIN(E429:O429))</f>
        <v/>
      </c>
      <c r="Q429" s="15">
        <f>IF(COUNT(E429:O429)=0,"",LOOKUP(2,1/(E429:O429&lt;&gt;""),E429:O429))</f>
        <v/>
      </c>
      <c r="R429" s="17">
        <f>IF(P429="","",ROUND(P429*RESUMEN!$B$4,0))</f>
        <v/>
      </c>
      <c r="S429" s="18">
        <f>COUNT(E429:O429)</f>
        <v/>
      </c>
    </row>
    <row r="430">
      <c r="A430" s="13" t="inlineStr">
        <is>
          <t>77590344914188</t>
        </is>
      </c>
      <c r="B430" s="13" t="inlineStr">
        <is>
          <t>TRAJE DE BAÑO COMPLETO DG</t>
        </is>
      </c>
      <c r="C430" s="13" t="inlineStr">
        <is>
          <t>M</t>
        </is>
      </c>
      <c r="D430" s="14" t="inlineStr">
        <is>
          <t>0</t>
        </is>
      </c>
      <c r="E430" s="13" t="n"/>
      <c r="F430" s="13" t="n"/>
      <c r="G430" s="13" t="n"/>
      <c r="H430" s="13" t="n"/>
      <c r="I430" s="15" t="n">
        <v>25</v>
      </c>
      <c r="J430" s="13" t="n"/>
      <c r="K430" s="13" t="n"/>
      <c r="L430" s="13" t="n"/>
      <c r="M430" s="13" t="n"/>
      <c r="N430" s="15" t="n">
        <v>25</v>
      </c>
      <c r="O430" s="13" t="n"/>
      <c r="P430" s="16">
        <f>IF(COUNT(E430:O430)=0,"",MIN(E430:O430))</f>
        <v/>
      </c>
      <c r="Q430" s="15">
        <f>IF(COUNT(E430:O430)=0,"",LOOKUP(2,1/(E430:O430&lt;&gt;""),E430:O430))</f>
        <v/>
      </c>
      <c r="R430" s="17">
        <f>IF(P430="","",ROUND(P430*RESUMEN!$B$4,0))</f>
        <v/>
      </c>
      <c r="S430" s="18">
        <f>COUNT(E430:O430)</f>
        <v/>
      </c>
    </row>
    <row r="431">
      <c r="A431" s="13" t="inlineStr">
        <is>
          <t>77590343248780</t>
        </is>
      </c>
      <c r="B431" s="13" t="inlineStr">
        <is>
          <t>TRAJE DE BAÑO COMPLETO PR</t>
        </is>
      </c>
      <c r="C431" s="13" t="inlineStr">
        <is>
          <t>M</t>
        </is>
      </c>
      <c r="D431" s="14" t="inlineStr">
        <is>
          <t>cotton</t>
        </is>
      </c>
      <c r="E431" s="13" t="n"/>
      <c r="F431" s="13" t="n"/>
      <c r="G431" s="13" t="n"/>
      <c r="H431" s="13" t="n"/>
      <c r="I431" s="15" t="n">
        <v>25</v>
      </c>
      <c r="J431" s="15" t="n">
        <v>25</v>
      </c>
      <c r="K431" s="15" t="n">
        <v>25</v>
      </c>
      <c r="L431" s="13" t="n"/>
      <c r="M431" s="15" t="n">
        <v>25</v>
      </c>
      <c r="N431" s="13" t="n"/>
      <c r="O431" s="13" t="n"/>
      <c r="P431" s="16">
        <f>IF(COUNT(E431:O431)=0,"",MIN(E431:O431))</f>
        <v/>
      </c>
      <c r="Q431" s="15">
        <f>IF(COUNT(E431:O431)=0,"",LOOKUP(2,1/(E431:O431&lt;&gt;""),E431:O431))</f>
        <v/>
      </c>
      <c r="R431" s="17">
        <f>IF(P431="","",ROUND(P431*RESUMEN!$B$4,0))</f>
        <v/>
      </c>
      <c r="S431" s="18">
        <f>COUNT(E431:O431)</f>
        <v/>
      </c>
    </row>
    <row r="432">
      <c r="A432" s="13" t="inlineStr">
        <is>
          <t>77590343216012</t>
        </is>
      </c>
      <c r="B432" s="13" t="inlineStr">
        <is>
          <t>TRAJE DE BAÑO COMPLETO PR</t>
        </is>
      </c>
      <c r="C432" s="13" t="inlineStr">
        <is>
          <t>S</t>
        </is>
      </c>
      <c r="D432" s="14" t="inlineStr">
        <is>
          <t>cotton</t>
        </is>
      </c>
      <c r="E432" s="13" t="n"/>
      <c r="F432" s="13" t="n"/>
      <c r="G432" s="13" t="n"/>
      <c r="H432" s="13" t="n"/>
      <c r="I432" s="15" t="n">
        <v>25</v>
      </c>
      <c r="J432" s="13" t="n"/>
      <c r="K432" s="13" t="n"/>
      <c r="L432" s="13" t="n"/>
      <c r="M432" s="15" t="n">
        <v>25</v>
      </c>
      <c r="N432" s="13" t="n"/>
      <c r="O432" s="13" t="n"/>
      <c r="P432" s="16">
        <f>IF(COUNT(E432:O432)=0,"",MIN(E432:O432))</f>
        <v/>
      </c>
      <c r="Q432" s="15">
        <f>IF(COUNT(E432:O432)=0,"",LOOKUP(2,1/(E432:O432&lt;&gt;""),E432:O432))</f>
        <v/>
      </c>
      <c r="R432" s="17">
        <f>IF(P432="","",ROUND(P432*RESUMEN!$B$4,0))</f>
        <v/>
      </c>
      <c r="S432" s="18">
        <f>COUNT(E432:O432)</f>
        <v/>
      </c>
    </row>
    <row r="433">
      <c r="A433" s="13" t="inlineStr">
        <is>
          <t>10065591041229</t>
        </is>
      </c>
      <c r="B433" s="13" t="inlineStr">
        <is>
          <t>TRAJE DE BAÑO COMPLETO TRIOMPHE</t>
        </is>
      </c>
      <c r="C433" s="13" t="inlineStr">
        <is>
          <t>M</t>
        </is>
      </c>
      <c r="D433" s="14" t="inlineStr"/>
      <c r="E433" s="13" t="n"/>
      <c r="F433" s="13" t="n"/>
      <c r="G433" s="13" t="n"/>
      <c r="H433" s="13" t="n"/>
      <c r="I433" s="13" t="n"/>
      <c r="J433" s="13" t="n"/>
      <c r="K433" s="13" t="n"/>
      <c r="L433" s="15" t="n">
        <v>25</v>
      </c>
      <c r="M433" s="13" t="n"/>
      <c r="N433" s="13" t="n"/>
      <c r="O433" s="15" t="n">
        <v>25</v>
      </c>
      <c r="P433" s="16">
        <f>IF(COUNT(E433:O433)=0,"",MIN(E433:O433))</f>
        <v/>
      </c>
      <c r="Q433" s="15">
        <f>IF(COUNT(E433:O433)=0,"",LOOKUP(2,1/(E433:O433&lt;&gt;""),E433:O433))</f>
        <v/>
      </c>
      <c r="R433" s="17">
        <f>IF(P433="","",ROUND(P433*RESUMEN!$B$4,0))</f>
        <v/>
      </c>
      <c r="S433" s="18">
        <f>COUNT(E433:O433)</f>
        <v/>
      </c>
    </row>
    <row r="434">
      <c r="A434" s="13" t="inlineStr">
        <is>
          <t>69428801043277</t>
        </is>
      </c>
      <c r="B434" s="13" t="inlineStr">
        <is>
          <t>TRAJE DE BAÑO F</t>
        </is>
      </c>
      <c r="C434" s="13" t="inlineStr">
        <is>
          <t>L</t>
        </is>
      </c>
      <c r="D434" s="14" t="inlineStr">
        <is>
          <t>Material: Cotton</t>
        </is>
      </c>
      <c r="E434" s="13" t="n"/>
      <c r="F434" s="13" t="n"/>
      <c r="G434" s="13" t="n"/>
      <c r="H434" s="13" t="n"/>
      <c r="I434" s="13" t="n"/>
      <c r="J434" s="15" t="n">
        <v>25</v>
      </c>
      <c r="K434" s="15" t="n">
        <v>25</v>
      </c>
      <c r="L434" s="13" t="n"/>
      <c r="M434" s="13" t="n"/>
      <c r="N434" s="15" t="n">
        <v>25</v>
      </c>
      <c r="O434" s="13" t="n"/>
      <c r="P434" s="16">
        <f>IF(COUNT(E434:O434)=0,"",MIN(E434:O434))</f>
        <v/>
      </c>
      <c r="Q434" s="15">
        <f>IF(COUNT(E434:O434)=0,"",LOOKUP(2,1/(E434:O434&lt;&gt;""),E434:O434))</f>
        <v/>
      </c>
      <c r="R434" s="17">
        <f>IF(P434="","",ROUND(P434*RESUMEN!$B$4,0))</f>
        <v/>
      </c>
      <c r="S434" s="18">
        <f>COUNT(E434:O434)</f>
        <v/>
      </c>
    </row>
    <row r="435">
      <c r="A435" s="13" t="inlineStr">
        <is>
          <t>77590343942668</t>
        </is>
      </c>
      <c r="B435" s="13" t="inlineStr">
        <is>
          <t>TRAJE DE BAÑO F</t>
        </is>
      </c>
      <c r="C435" s="13" t="inlineStr">
        <is>
          <t>M</t>
        </is>
      </c>
      <c r="D435" s="14" t="inlineStr">
        <is>
          <t>cotton</t>
        </is>
      </c>
      <c r="E435" s="13" t="n"/>
      <c r="F435" s="13" t="n"/>
      <c r="G435" s="13" t="n"/>
      <c r="H435" s="13" t="n"/>
      <c r="I435" s="15" t="n">
        <v>25</v>
      </c>
      <c r="J435" s="13" t="n"/>
      <c r="K435" s="13" t="n"/>
      <c r="L435" s="13" t="n"/>
      <c r="M435" s="13" t="n"/>
      <c r="N435" s="13" t="n"/>
      <c r="O435" s="15" t="n">
        <v>25</v>
      </c>
      <c r="P435" s="16">
        <f>IF(COUNT(E435:O435)=0,"",MIN(E435:O435))</f>
        <v/>
      </c>
      <c r="Q435" s="15">
        <f>IF(COUNT(E435:O435)=0,"",LOOKUP(2,1/(E435:O435&lt;&gt;""),E435:O435))</f>
        <v/>
      </c>
      <c r="R435" s="17">
        <f>IF(P435="","",ROUND(P435*RESUMEN!$B$4,0))</f>
        <v/>
      </c>
      <c r="S435" s="18">
        <f>COUNT(E435:O435)</f>
        <v/>
      </c>
    </row>
    <row r="436">
      <c r="A436" s="13" t="inlineStr">
        <is>
          <t>77590343909900</t>
        </is>
      </c>
      <c r="B436" s="13" t="inlineStr">
        <is>
          <t>TRAJE DE BAÑO F</t>
        </is>
      </c>
      <c r="C436" s="13" t="inlineStr">
        <is>
          <t>S</t>
        </is>
      </c>
      <c r="D436" s="14" t="inlineStr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5" t="n">
        <v>25</v>
      </c>
      <c r="O436" s="13" t="n"/>
      <c r="P436" s="16">
        <f>IF(COUNT(E436:O436)=0,"",MIN(E436:O436))</f>
        <v/>
      </c>
      <c r="Q436" s="15">
        <f>IF(COUNT(E436:O436)=0,"",LOOKUP(2,1/(E436:O436&lt;&gt;""),E436:O436))</f>
        <v/>
      </c>
      <c r="R436" s="17">
        <f>IF(P436="","",ROUND(P436*RESUMEN!$B$4,0))</f>
        <v/>
      </c>
      <c r="S436" s="18">
        <f>COUNT(E436:O436)</f>
        <v/>
      </c>
    </row>
    <row r="437">
      <c r="A437" s="13" t="inlineStr">
        <is>
          <t>77590341729932</t>
        </is>
      </c>
      <c r="B437" s="13" t="inlineStr">
        <is>
          <t>TRAJE DE BAÑO F MEN</t>
        </is>
      </c>
      <c r="C437" s="13" t="inlineStr">
        <is>
          <t>L</t>
        </is>
      </c>
      <c r="D437" s="14" t="inlineStr"/>
      <c r="E437" s="15" t="n">
        <v>30</v>
      </c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5" t="n">
        <v>30</v>
      </c>
      <c r="O437" s="13" t="n"/>
      <c r="P437" s="16">
        <f>IF(COUNT(E437:O437)=0,"",MIN(E437:O437))</f>
        <v/>
      </c>
      <c r="Q437" s="15">
        <f>IF(COUNT(E437:O437)=0,"",LOOKUP(2,1/(E437:O437&lt;&gt;""),E437:O437))</f>
        <v/>
      </c>
      <c r="R437" s="17">
        <f>IF(P437="","",ROUND(P437*RESUMEN!$B$4,0))</f>
        <v/>
      </c>
      <c r="S437" s="18">
        <f>COUNT(E437:O437)</f>
        <v/>
      </c>
    </row>
    <row r="438">
      <c r="A438" s="13" t="inlineStr">
        <is>
          <t>77590341697164</t>
        </is>
      </c>
      <c r="B438" s="13" t="inlineStr">
        <is>
          <t>TRAJE DE BAÑO F MEN</t>
        </is>
      </c>
      <c r="C438" s="13" t="inlineStr">
        <is>
          <t>M</t>
        </is>
      </c>
      <c r="D438" s="14" t="inlineStr"/>
      <c r="E438" s="15" t="n">
        <v>30</v>
      </c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5" t="n">
        <v>30</v>
      </c>
      <c r="O438" s="13" t="n"/>
      <c r="P438" s="16">
        <f>IF(COUNT(E438:O438)=0,"",MIN(E438:O438))</f>
        <v/>
      </c>
      <c r="Q438" s="15">
        <f>IF(COUNT(E438:O438)=0,"",LOOKUP(2,1/(E438:O438&lt;&gt;""),E438:O438))</f>
        <v/>
      </c>
      <c r="R438" s="17">
        <f>IF(P438="","",ROUND(P438*RESUMEN!$B$4,0))</f>
        <v/>
      </c>
      <c r="S438" s="18">
        <f>COUNT(E438:O438)</f>
        <v/>
      </c>
    </row>
    <row r="439">
      <c r="A439" s="13" t="inlineStr">
        <is>
          <t>10065591251949</t>
        </is>
      </c>
      <c r="B439" s="13" t="inlineStr">
        <is>
          <t>TRAJE DE BAÑO GC PINK</t>
        </is>
      </c>
      <c r="C439" s="13" t="inlineStr">
        <is>
          <t>M</t>
        </is>
      </c>
      <c r="D439" s="14" t="inlineStr"/>
      <c r="E439" s="13" t="n"/>
      <c r="F439" s="13" t="n"/>
      <c r="G439" s="13" t="n"/>
      <c r="H439" s="13" t="n"/>
      <c r="I439" s="13" t="n"/>
      <c r="J439" s="13" t="n"/>
      <c r="K439" s="13" t="n"/>
      <c r="L439" s="15" t="n">
        <v>25</v>
      </c>
      <c r="M439" s="13" t="n"/>
      <c r="N439" s="13" t="n"/>
      <c r="O439" s="13" t="n"/>
      <c r="P439" s="16">
        <f>IF(COUNT(E439:O439)=0,"",MIN(E439:O439))</f>
        <v/>
      </c>
      <c r="Q439" s="15">
        <f>IF(COUNT(E439:O439)=0,"",LOOKUP(2,1/(E439:O439&lt;&gt;""),E439:O439))</f>
        <v/>
      </c>
      <c r="R439" s="17">
        <f>IF(P439="","",ROUND(P439*RESUMEN!$B$4,0))</f>
        <v/>
      </c>
      <c r="S439" s="18">
        <f>COUNT(E439:O439)</f>
        <v/>
      </c>
    </row>
    <row r="440">
      <c r="A440" s="13" t="inlineStr">
        <is>
          <t>79534521160493</t>
        </is>
      </c>
      <c r="B440" s="13" t="inlineStr">
        <is>
          <t>UGG FUNKARRA BROWN</t>
        </is>
      </c>
      <c r="C440" s="13" t="inlineStr">
        <is>
          <t>23CM</t>
        </is>
      </c>
      <c r="D440" s="14" t="inlineStr"/>
      <c r="E440" s="13" t="n"/>
      <c r="F440" s="13" t="n"/>
      <c r="G440" s="15" t="n">
        <v>58</v>
      </c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6">
        <f>IF(COUNT(E440:O440)=0,"",MIN(E440:O440))</f>
        <v/>
      </c>
      <c r="Q440" s="15">
        <f>IF(COUNT(E440:O440)=0,"",LOOKUP(2,1/(E440:O440&lt;&gt;""),E440:O440))</f>
        <v/>
      </c>
      <c r="R440" s="17">
        <f>IF(P440="","",ROUND(P440*RESUMEN!$B$4,0))</f>
        <v/>
      </c>
      <c r="S440" s="18">
        <f>COUNT(E440:O440)</f>
        <v/>
      </c>
    </row>
    <row r="441">
      <c r="A441" s="13" t="inlineStr">
        <is>
          <t>79534521293261</t>
        </is>
      </c>
      <c r="B441" s="13" t="inlineStr">
        <is>
          <t>UGG FUNKARRA BROWN</t>
        </is>
      </c>
      <c r="C441" s="13" t="inlineStr">
        <is>
          <t>24CM</t>
        </is>
      </c>
      <c r="D441" s="14" t="inlineStr"/>
      <c r="E441" s="13" t="n"/>
      <c r="F441" s="13" t="n"/>
      <c r="G441" s="15" t="n">
        <v>58</v>
      </c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6">
        <f>IF(COUNT(E441:O441)=0,"",MIN(E441:O441))</f>
        <v/>
      </c>
      <c r="Q441" s="15">
        <f>IF(COUNT(E441:O441)=0,"",LOOKUP(2,1/(E441:O441&lt;&gt;""),E441:O441))</f>
        <v/>
      </c>
      <c r="R441" s="17">
        <f>IF(P441="","",ROUND(P441*RESUMEN!$B$4,0))</f>
        <v/>
      </c>
      <c r="S441" s="18">
        <f>COUNT(E441:O441)</f>
        <v/>
      </c>
    </row>
    <row r="442">
      <c r="A442" s="13" t="inlineStr">
        <is>
          <t>29024531094765</t>
        </is>
      </c>
      <c r="B442" s="13" t="inlineStr">
        <is>
          <t>UGG PANTUFLAS TAZZ II</t>
        </is>
      </c>
      <c r="C442" s="13" t="inlineStr">
        <is>
          <t>23CM</t>
        </is>
      </c>
      <c r="D442" s="14" t="inlineStr"/>
      <c r="E442" s="13" t="n"/>
      <c r="F442" s="13" t="n"/>
      <c r="G442" s="15" t="n">
        <v>48</v>
      </c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6">
        <f>IF(COUNT(E442:O442)=0,"",MIN(E442:O442))</f>
        <v/>
      </c>
      <c r="Q442" s="15">
        <f>IF(COUNT(E442:O442)=0,"",LOOKUP(2,1/(E442:O442&lt;&gt;""),E442:O442))</f>
        <v/>
      </c>
      <c r="R442" s="17">
        <f>IF(P442="","",ROUND(P442*RESUMEN!$B$4,0))</f>
        <v/>
      </c>
      <c r="S442" s="18">
        <f>COUNT(E442:O442)</f>
        <v/>
      </c>
    </row>
    <row r="443">
      <c r="A443" s="13" t="inlineStr">
        <is>
          <t>24469401092557</t>
        </is>
      </c>
      <c r="B443" s="13" t="inlineStr">
        <is>
          <t>UGG PANTUFLAS TAZZ II</t>
        </is>
      </c>
      <c r="C443" s="13" t="inlineStr">
        <is>
          <t>24CM</t>
        </is>
      </c>
      <c r="D443" s="14" t="inlineStr"/>
      <c r="E443" s="13" t="n"/>
      <c r="F443" s="13" t="n"/>
      <c r="G443" s="15" t="n">
        <v>48</v>
      </c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6">
        <f>IF(COUNT(E443:O443)=0,"",MIN(E443:O443))</f>
        <v/>
      </c>
      <c r="Q443" s="15">
        <f>IF(COUNT(E443:O443)=0,"",LOOKUP(2,1/(E443:O443&lt;&gt;""),E443:O443))</f>
        <v/>
      </c>
      <c r="R443" s="17">
        <f>IF(P443="","",ROUND(P443*RESUMEN!$B$4,0))</f>
        <v/>
      </c>
      <c r="S443" s="18">
        <f>COUNT(E443:O443)</f>
        <v/>
      </c>
    </row>
    <row r="444">
      <c r="A444" s="13" t="inlineStr">
        <is>
          <t>77944125775884</t>
        </is>
      </c>
      <c r="B444" s="13" t="inlineStr">
        <is>
          <t>VESTIDO A BACKSPIN</t>
        </is>
      </c>
      <c r="C444" s="13" t="inlineStr">
        <is>
          <t>M</t>
        </is>
      </c>
      <c r="D444" s="14" t="inlineStr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5" t="n">
        <v>24</v>
      </c>
      <c r="P444" s="16">
        <f>IF(COUNT(E444:O444)=0,"",MIN(E444:O444))</f>
        <v/>
      </c>
      <c r="Q444" s="15">
        <f>IF(COUNT(E444:O444)=0,"",LOOKUP(2,1/(E444:O444&lt;&gt;""),E444:O444))</f>
        <v/>
      </c>
      <c r="R444" s="17">
        <f>IF(P444="","",ROUND(P444*RESUMEN!$B$4,0))</f>
        <v/>
      </c>
      <c r="S444" s="18">
        <f>COUNT(E444:O444)</f>
        <v/>
      </c>
    </row>
    <row r="445">
      <c r="A445" s="13" t="inlineStr">
        <is>
          <t>CELESTE</t>
        </is>
      </c>
      <c r="B445" s="13" t="inlineStr">
        <is>
          <t>ZAPATILLA J´ADIOR</t>
        </is>
      </c>
      <c r="C445" s="13" t="inlineStr">
        <is>
          <t>27.5CM</t>
        </is>
      </c>
      <c r="D445" s="14" t="inlineStr"/>
      <c r="E445" s="13" t="n"/>
      <c r="F445" s="13" t="n"/>
      <c r="G445" s="15" t="n">
        <v>58</v>
      </c>
      <c r="H445" s="13" t="n"/>
      <c r="I445" s="13" t="n"/>
      <c r="J445" s="13" t="n"/>
      <c r="K445" s="13" t="n"/>
      <c r="L445" s="13" t="n"/>
      <c r="M445" s="13" t="n"/>
      <c r="N445" s="13" t="n"/>
      <c r="O445" s="15" t="n">
        <v>18</v>
      </c>
      <c r="P445" s="16">
        <f>IF(COUNT(E445:O445)=0,"",MIN(E445:O445))</f>
        <v/>
      </c>
      <c r="Q445" s="15">
        <f>IF(COUNT(E445:O445)=0,"",LOOKUP(2,1/(E445:O445&lt;&gt;""),E445:O445))</f>
        <v/>
      </c>
      <c r="R445" s="17">
        <f>IF(P445="","",ROUND(P445*RESUMEN!$B$4,0))</f>
        <v/>
      </c>
      <c r="S445" s="18">
        <f>COUNT(E445:O445)</f>
        <v/>
      </c>
    </row>
    <row r="446">
      <c r="A446" s="13" t="inlineStr">
        <is>
          <t>72002479482508</t>
        </is>
      </c>
      <c r="B446" s="13" t="inlineStr">
        <is>
          <t>ZAPATILLA J’ADIOR</t>
        </is>
      </c>
      <c r="C446" s="13" t="inlineStr">
        <is>
          <t>23cm</t>
        </is>
      </c>
      <c r="D446" s="14" t="inlineStr">
        <is>
          <t>Genuine leather</t>
        </is>
      </c>
      <c r="E446" s="13" t="n"/>
      <c r="F446" s="13" t="n"/>
      <c r="G446" s="13" t="n"/>
      <c r="H446" s="15" t="n">
        <v>58</v>
      </c>
      <c r="I446" s="15" t="n">
        <v>58</v>
      </c>
      <c r="J446" s="13" t="n"/>
      <c r="K446" s="13" t="n"/>
      <c r="L446" s="13" t="n"/>
      <c r="M446" s="13" t="n"/>
      <c r="N446" s="13" t="n"/>
      <c r="O446" s="13" t="n"/>
      <c r="P446" s="16">
        <f>IF(COUNT(E446:O446)=0,"",MIN(E446:O446))</f>
        <v/>
      </c>
      <c r="Q446" s="15">
        <f>IF(COUNT(E446:O446)=0,"",LOOKUP(2,1/(E446:O446&lt;&gt;""),E446:O446))</f>
        <v/>
      </c>
      <c r="R446" s="17">
        <f>IF(P446="","",ROUND(P446*RESUMEN!$B$4,0))</f>
        <v/>
      </c>
      <c r="S446" s="18">
        <f>COUNT(E446:O446)</f>
        <v/>
      </c>
    </row>
    <row r="447">
      <c r="A447" s="13" t="inlineStr">
        <is>
          <t>72002488652044</t>
        </is>
      </c>
      <c r="B447" s="13" t="inlineStr">
        <is>
          <t>ZAPATILLA J’ADIOR</t>
        </is>
      </c>
      <c r="C447" s="13" t="inlineStr">
        <is>
          <t>24cm</t>
        </is>
      </c>
      <c r="D447" s="14" t="inlineStr">
        <is>
          <t>Genuine leather</t>
        </is>
      </c>
      <c r="E447" s="13" t="n"/>
      <c r="F447" s="13" t="n"/>
      <c r="G447" s="15" t="n">
        <v>58</v>
      </c>
      <c r="H447" s="15" t="n">
        <v>58</v>
      </c>
      <c r="I447" s="15" t="n">
        <v>58</v>
      </c>
      <c r="J447" s="13" t="n"/>
      <c r="K447" s="13" t="n"/>
      <c r="L447" s="13" t="n"/>
      <c r="M447" s="13" t="n"/>
      <c r="N447" s="15" t="n">
        <v>58</v>
      </c>
      <c r="O447" s="13" t="n"/>
      <c r="P447" s="16">
        <f>IF(COUNT(E447:O447)=0,"",MIN(E447:O447))</f>
        <v/>
      </c>
      <c r="Q447" s="15">
        <f>IF(COUNT(E447:O447)=0,"",LOOKUP(2,1/(E447:O447&lt;&gt;""),E447:O447))</f>
        <v/>
      </c>
      <c r="R447" s="17">
        <f>IF(P447="","",ROUND(P447*RESUMEN!$B$4,0))</f>
        <v/>
      </c>
      <c r="S447" s="18">
        <f>COUNT(E447:O447)</f>
        <v/>
      </c>
    </row>
    <row r="448">
      <c r="A448" s="13" t="inlineStr">
        <is>
          <t>GISEL</t>
        </is>
      </c>
      <c r="B448" s="13" t="inlineStr">
        <is>
          <t>ZAPATILLA J’ADIOR</t>
        </is>
      </c>
      <c r="C448" s="13" t="inlineStr">
        <is>
          <t>38/25CM</t>
        </is>
      </c>
      <c r="D448" s="14" t="inlineStr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5" t="n">
        <v>18</v>
      </c>
      <c r="P448" s="16">
        <f>IF(COUNT(E448:O448)=0,"",MIN(E448:O448))</f>
        <v/>
      </c>
      <c r="Q448" s="15">
        <f>IF(COUNT(E448:O448)=0,"",LOOKUP(2,1/(E448:O448&lt;&gt;""),E448:O448))</f>
        <v/>
      </c>
      <c r="R448" s="17">
        <f>IF(P448="","",ROUND(P448*RESUMEN!$B$4,0))</f>
        <v/>
      </c>
      <c r="S448" s="18">
        <f>COUNT(E448:O448)</f>
        <v/>
      </c>
    </row>
    <row r="449">
      <c r="A449" s="13" t="inlineStr">
        <is>
          <t>72002489515276</t>
        </is>
      </c>
      <c r="B449" s="13" t="inlineStr">
        <is>
          <t>ZAPATILLA J’ADIOR</t>
        </is>
      </c>
      <c r="C449" s="13" t="inlineStr">
        <is>
          <t>38/25cm</t>
        </is>
      </c>
      <c r="D449" s="14" t="inlineStr">
        <is>
          <t>Genuine leather</t>
        </is>
      </c>
      <c r="E449" s="13" t="n"/>
      <c r="F449" s="13" t="n"/>
      <c r="G449" s="15" t="n">
        <v>58</v>
      </c>
      <c r="H449" s="13" t="n"/>
      <c r="I449" s="15" t="n">
        <v>58</v>
      </c>
      <c r="J449" s="13" t="n"/>
      <c r="K449" s="13" t="n"/>
      <c r="L449" s="13" t="n"/>
      <c r="M449" s="13" t="n"/>
      <c r="N449" s="13" t="n"/>
      <c r="O449" s="15" t="n">
        <v>58</v>
      </c>
      <c r="P449" s="16">
        <f>IF(COUNT(E449:O449)=0,"",MIN(E449:O449))</f>
        <v/>
      </c>
      <c r="Q449" s="15">
        <f>IF(COUNT(E449:O449)=0,"",LOOKUP(2,1/(E449:O449&lt;&gt;""),E449:O449))</f>
        <v/>
      </c>
      <c r="R449" s="17">
        <f>IF(P449="","",ROUND(P449*RESUMEN!$B$4,0))</f>
        <v/>
      </c>
      <c r="S449" s="18">
        <f>COUNT(E449:O449)</f>
        <v/>
      </c>
    </row>
    <row r="450">
      <c r="A450" s="13" t="inlineStr">
        <is>
          <t>91345321754957</t>
        </is>
      </c>
      <c r="B450" s="13" t="inlineStr">
        <is>
          <t>ZAPATILLAS CD HEELED</t>
        </is>
      </c>
      <c r="C450" s="13" t="inlineStr">
        <is>
          <t>25MX (39UK)</t>
        </is>
      </c>
      <c r="D450" s="14" t="inlineStr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5" t="n">
        <v>65</v>
      </c>
      <c r="N450" s="13" t="n"/>
      <c r="O450" s="13" t="n"/>
      <c r="P450" s="16">
        <f>IF(COUNT(E450:O450)=0,"",MIN(E450:O450))</f>
        <v/>
      </c>
      <c r="Q450" s="15">
        <f>IF(COUNT(E450:O450)=0,"",LOOKUP(2,1/(E450:O450&lt;&gt;""),E450:O450))</f>
        <v/>
      </c>
      <c r="R450" s="17">
        <f>IF(P450="","",ROUND(P450*RESUMEN!$B$4,0))</f>
        <v/>
      </c>
      <c r="S450" s="18">
        <f>COUNT(E450:O450)</f>
        <v/>
      </c>
    </row>
    <row r="451">
      <c r="A451" s="13" t="inlineStr">
        <is>
          <t>72002489673612</t>
        </is>
      </c>
      <c r="B451" s="13" t="inlineStr">
        <is>
          <t>ZAPATILLAS CL KATE</t>
        </is>
      </c>
      <c r="C451" s="13" t="inlineStr">
        <is>
          <t>25cm=39</t>
        </is>
      </c>
      <c r="D451" s="14" t="inlineStr">
        <is>
          <t>Genuine leather</t>
        </is>
      </c>
      <c r="E451" s="13" t="n"/>
      <c r="F451" s="13" t="n"/>
      <c r="G451" s="13" t="n"/>
      <c r="H451" s="15" t="n">
        <v>48</v>
      </c>
      <c r="I451" s="13" t="n"/>
      <c r="J451" s="15" t="n">
        <v>48</v>
      </c>
      <c r="K451" s="15" t="n">
        <v>48</v>
      </c>
      <c r="L451" s="15" t="n">
        <v>48</v>
      </c>
      <c r="M451" s="13" t="n"/>
      <c r="N451" s="13" t="n"/>
      <c r="O451" s="13" t="n"/>
      <c r="P451" s="16">
        <f>IF(COUNT(E451:O451)=0,"",MIN(E451:O451))</f>
        <v/>
      </c>
      <c r="Q451" s="15">
        <f>IF(COUNT(E451:O451)=0,"",LOOKUP(2,1/(E451:O451&lt;&gt;""),E451:O451))</f>
        <v/>
      </c>
      <c r="R451" s="17">
        <f>IF(P451="","",ROUND(P451*RESUMEN!$B$4,0))</f>
        <v/>
      </c>
      <c r="S451" s="18">
        <f>COUNT(E451:O451)</f>
        <v/>
      </c>
    </row>
    <row r="452">
      <c r="A452" s="13" t="inlineStr">
        <is>
          <t>72002489640844</t>
        </is>
      </c>
      <c r="B452" s="13" t="inlineStr">
        <is>
          <t>ZAPATILLAS CL KATE</t>
        </is>
      </c>
      <c r="C452" s="13" t="inlineStr">
        <is>
          <t>36/24cm</t>
        </is>
      </c>
      <c r="D452" s="14" t="inlineStr">
        <is>
          <t>Genuine leather</t>
        </is>
      </c>
      <c r="E452" s="13" t="n"/>
      <c r="F452" s="13" t="n"/>
      <c r="G452" s="13" t="n"/>
      <c r="H452" s="13" t="n"/>
      <c r="I452" s="13" t="n"/>
      <c r="J452" s="15" t="n">
        <v>48</v>
      </c>
      <c r="K452" s="15" t="n">
        <v>48</v>
      </c>
      <c r="L452" s="13" t="n"/>
      <c r="M452" s="13" t="n"/>
      <c r="N452" s="13" t="n"/>
      <c r="O452" s="15" t="n">
        <v>48</v>
      </c>
      <c r="P452" s="16">
        <f>IF(COUNT(E452:O452)=0,"",MIN(E452:O452))</f>
        <v/>
      </c>
      <c r="Q452" s="15">
        <f>IF(COUNT(E452:O452)=0,"",LOOKUP(2,1/(E452:O452&lt;&gt;""),E452:O452))</f>
        <v/>
      </c>
      <c r="R452" s="17">
        <f>IF(P452="","",ROUND(P452*RESUMEN!$B$4,0))</f>
        <v/>
      </c>
      <c r="S452" s="18">
        <f>COUNT(E452:O452)</f>
        <v/>
      </c>
    </row>
    <row r="453">
      <c r="A453" s="13" t="inlineStr">
        <is>
          <t>43728085210284</t>
        </is>
      </c>
      <c r="B453" s="13" t="inlineStr">
        <is>
          <t>ZAPATILLAS MM SLINGBACKS CHERRY</t>
        </is>
      </c>
      <c r="C453" s="13" t="inlineStr">
        <is>
          <t>24cm=38</t>
        </is>
      </c>
      <c r="D453" s="14" t="inlineStr"/>
      <c r="E453" s="13" t="n"/>
      <c r="F453" s="13" t="n"/>
      <c r="G453" s="13" t="n"/>
      <c r="H453" s="15" t="n">
        <v>65</v>
      </c>
      <c r="I453" s="13" t="n"/>
      <c r="J453" s="13" t="n"/>
      <c r="K453" s="13" t="n"/>
      <c r="L453" s="13" t="n"/>
      <c r="M453" s="13" t="n"/>
      <c r="N453" s="13" t="n"/>
      <c r="O453" s="13" t="n"/>
      <c r="P453" s="16">
        <f>IF(COUNT(E453:O453)=0,"",MIN(E453:O453))</f>
        <v/>
      </c>
      <c r="Q453" s="15">
        <f>IF(COUNT(E453:O453)=0,"",LOOKUP(2,1/(E453:O453&lt;&gt;""),E453:O453))</f>
        <v/>
      </c>
      <c r="R453" s="17">
        <f>IF(P453="","",ROUND(P453*RESUMEN!$B$4,0))</f>
        <v/>
      </c>
      <c r="S453" s="18">
        <f>COUNT(E453:O453)</f>
        <v/>
      </c>
    </row>
    <row r="454">
      <c r="A454" s="13" t="inlineStr">
        <is>
          <t>34163623342957</t>
        </is>
      </c>
      <c r="B454" s="13" t="inlineStr">
        <is>
          <t>ZAPATILLAS V ROCKSTUD BEIGE</t>
        </is>
      </c>
      <c r="C454" s="13" t="inlineStr">
        <is>
          <t>36/24mx</t>
        </is>
      </c>
      <c r="D454" s="14" t="inlineStr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5" t="n">
        <v>55</v>
      </c>
      <c r="N454" s="13" t="n"/>
      <c r="O454" s="15" t="n">
        <v>55</v>
      </c>
      <c r="P454" s="16">
        <f>IF(COUNT(E454:O454)=0,"",MIN(E454:O454))</f>
        <v/>
      </c>
      <c r="Q454" s="15">
        <f>IF(COUNT(E454:O454)=0,"",LOOKUP(2,1/(E454:O454&lt;&gt;""),E454:O454))</f>
        <v/>
      </c>
      <c r="R454" s="17">
        <f>IF(P454="","",ROUND(P454*RESUMEN!$B$4,0))</f>
        <v/>
      </c>
      <c r="S454" s="18">
        <f>COUNT(E454:O454)</f>
        <v/>
      </c>
    </row>
    <row r="455">
      <c r="A455" s="13" t="inlineStr">
        <is>
          <t>34163623210189</t>
        </is>
      </c>
      <c r="B455" s="13" t="inlineStr">
        <is>
          <t>ZAPATILLAS V ROCKSTUD BEIGE</t>
        </is>
      </c>
      <c r="C455" s="13" t="inlineStr">
        <is>
          <t>38/24mx</t>
        </is>
      </c>
      <c r="D455" s="14" t="inlineStr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5" t="n">
        <v>55</v>
      </c>
      <c r="N455" s="13" t="n"/>
      <c r="O455" s="13" t="n"/>
      <c r="P455" s="16">
        <f>IF(COUNT(E455:O455)=0,"",MIN(E455:O455))</f>
        <v/>
      </c>
      <c r="Q455" s="15">
        <f>IF(COUNT(E455:O455)=0,"",LOOKUP(2,1/(E455:O455&lt;&gt;""),E455:O455))</f>
        <v/>
      </c>
      <c r="R455" s="17">
        <f>IF(P455="","",ROUND(P455*RESUMEN!$B$4,0))</f>
        <v/>
      </c>
      <c r="S455" s="18">
        <f>COUNT(E455:O455)</f>
        <v/>
      </c>
    </row>
    <row r="456">
      <c r="A456" s="13" t="inlineStr">
        <is>
          <t>72002489425036</t>
        </is>
      </c>
      <c r="B456" s="13" t="inlineStr">
        <is>
          <t>ZAPATILLAS YSL OPYUM BLACK</t>
        </is>
      </c>
      <c r="C456" s="13" t="inlineStr">
        <is>
          <t>23cm=36</t>
        </is>
      </c>
      <c r="D456" s="14" t="inlineStr">
        <is>
          <t>Genuine leather</t>
        </is>
      </c>
      <c r="E456" s="13" t="n"/>
      <c r="F456" s="13" t="n"/>
      <c r="G456" s="13" t="n"/>
      <c r="H456" s="15" t="n">
        <v>65</v>
      </c>
      <c r="I456" s="15" t="n">
        <v>65</v>
      </c>
      <c r="J456" s="15" t="n">
        <v>65</v>
      </c>
      <c r="K456" s="15" t="n">
        <v>65</v>
      </c>
      <c r="L456" s="13" t="n"/>
      <c r="M456" s="13" t="n"/>
      <c r="N456" s="13" t="n"/>
      <c r="O456" s="13" t="n"/>
      <c r="P456" s="16">
        <f>IF(COUNT(E456:O456)=0,"",MIN(E456:O456))</f>
        <v/>
      </c>
      <c r="Q456" s="15">
        <f>IF(COUNT(E456:O456)=0,"",LOOKUP(2,1/(E456:O456&lt;&gt;""),E456:O456))</f>
        <v/>
      </c>
      <c r="R456" s="17">
        <f>IF(P456="","",ROUND(P456*RESUMEN!$B$4,0))</f>
        <v/>
      </c>
      <c r="S456" s="18">
        <f>COUNT(E456:O456)</f>
        <v/>
      </c>
    </row>
    <row r="457">
      <c r="A457" s="13" t="inlineStr">
        <is>
          <t>6748bba38eb40</t>
        </is>
      </c>
      <c r="B457" s="13" t="inlineStr">
        <is>
          <t>ZAPATILLAS YSL OPYUM BLACK</t>
        </is>
      </c>
      <c r="C457" s="13" t="inlineStr">
        <is>
          <t>24cm=38</t>
        </is>
      </c>
      <c r="D457" s="14" t="inlineStr">
        <is>
          <t>Genuine leather</t>
        </is>
      </c>
      <c r="E457" s="15" t="n">
        <v>65</v>
      </c>
      <c r="F457" s="13" t="n"/>
      <c r="G457" s="13" t="n"/>
      <c r="H457" s="15" t="n">
        <v>65</v>
      </c>
      <c r="I457" s="15" t="n">
        <v>65</v>
      </c>
      <c r="J457" s="13" t="n"/>
      <c r="K457" s="13" t="n"/>
      <c r="L457" s="15" t="n">
        <v>65</v>
      </c>
      <c r="M457" s="13" t="n"/>
      <c r="N457" s="13" t="n"/>
      <c r="O457" s="13" t="n"/>
      <c r="P457" s="16">
        <f>IF(COUNT(E457:O457)=0,"",MIN(E457:O457))</f>
        <v/>
      </c>
      <c r="Q457" s="15">
        <f>IF(COUNT(E457:O457)=0,"",LOOKUP(2,1/(E457:O457&lt;&gt;""),E457:O457))</f>
        <v/>
      </c>
      <c r="R457" s="17">
        <f>IF(P457="","",ROUND(P457*RESUMEN!$B$4,0))</f>
        <v/>
      </c>
      <c r="S457" s="18">
        <f>COUNT(E457:O457)</f>
        <v/>
      </c>
    </row>
    <row r="458">
      <c r="A458" s="13" t="inlineStr">
        <is>
          <t>82224432134061</t>
        </is>
      </c>
      <c r="B458" s="13" t="inlineStr">
        <is>
          <t>ZAPATILLAS YSL OPYUM BLACK</t>
        </is>
      </c>
      <c r="C458" s="13" t="inlineStr">
        <is>
          <t>26 cm</t>
        </is>
      </c>
      <c r="D458" s="14" t="inlineStr">
        <is>
          <t>0</t>
        </is>
      </c>
      <c r="E458" s="13" t="n"/>
      <c r="F458" s="13" t="n"/>
      <c r="G458" s="13" t="n"/>
      <c r="H458" s="13" t="n"/>
      <c r="I458" s="15" t="n">
        <v>65</v>
      </c>
      <c r="J458" s="13" t="n"/>
      <c r="K458" s="13" t="n"/>
      <c r="L458" s="13" t="n"/>
      <c r="M458" s="13" t="n"/>
      <c r="N458" s="13" t="n"/>
      <c r="O458" s="13" t="n"/>
      <c r="P458" s="16">
        <f>IF(COUNT(E458:O458)=0,"",MIN(E458:O458))</f>
        <v/>
      </c>
      <c r="Q458" s="15">
        <f>IF(COUNT(E458:O458)=0,"",LOOKUP(2,1/(E458:O458&lt;&gt;""),E458:O458))</f>
        <v/>
      </c>
      <c r="R458" s="17">
        <f>IF(P458="","",ROUND(P458*RESUMEN!$B$4,0))</f>
        <v/>
      </c>
      <c r="S458" s="18">
        <f>COUNT(E458:O458)</f>
        <v/>
      </c>
    </row>
    <row r="459">
      <c r="A459" s="13" t="inlineStr">
        <is>
          <t>6748bba425e93</t>
        </is>
      </c>
      <c r="B459" s="13" t="inlineStr">
        <is>
          <t>ZAPATILLAS YSL OPYUM BLACK</t>
        </is>
      </c>
      <c r="C459" s="13" t="inlineStr">
        <is>
          <t>38/25cm</t>
        </is>
      </c>
      <c r="D459" s="14" t="inlineStr">
        <is>
          <t>Genuine leather</t>
        </is>
      </c>
      <c r="E459" s="13" t="n"/>
      <c r="F459" s="13" t="n"/>
      <c r="G459" s="13" t="n"/>
      <c r="H459" s="13" t="n"/>
      <c r="I459" s="15" t="n">
        <v>65</v>
      </c>
      <c r="J459" s="13" t="n"/>
      <c r="K459" s="13" t="n"/>
      <c r="L459" s="15" t="n">
        <v>65</v>
      </c>
      <c r="M459" s="13" t="n"/>
      <c r="N459" s="13" t="n"/>
      <c r="O459" s="15" t="n">
        <v>65</v>
      </c>
      <c r="P459" s="16">
        <f>IF(COUNT(E459:O459)=0,"",MIN(E459:O459))</f>
        <v/>
      </c>
      <c r="Q459" s="15">
        <f>IF(COUNT(E459:O459)=0,"",LOOKUP(2,1/(E459:O459&lt;&gt;""),E459:O459))</f>
        <v/>
      </c>
      <c r="R459" s="17">
        <f>IF(P459="","",ROUND(P459*RESUMEN!$B$4,0))</f>
        <v/>
      </c>
      <c r="S459" s="18">
        <f>COUNT(E459:O459)</f>
        <v/>
      </c>
    </row>
    <row r="460">
      <c r="A460" s="13" t="inlineStr">
        <is>
          <t>91345323151149</t>
        </is>
      </c>
      <c r="B460" s="13" t="inlineStr">
        <is>
          <t>ZAPATILLAS YSL SLINGBACK</t>
        </is>
      </c>
      <c r="C460" s="13" t="inlineStr">
        <is>
          <t>24MX</t>
        </is>
      </c>
      <c r="D460" s="14" t="inlineStr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5" t="n">
        <v>68</v>
      </c>
      <c r="N460" s="13" t="n"/>
      <c r="O460" s="13" t="n"/>
      <c r="P460" s="16">
        <f>IF(COUNT(E460:O460)=0,"",MIN(E460:O460))</f>
        <v/>
      </c>
      <c r="Q460" s="15">
        <f>IF(COUNT(E460:O460)=0,"",LOOKUP(2,1/(E460:O460&lt;&gt;""),E460:O460))</f>
        <v/>
      </c>
      <c r="R460" s="17">
        <f>IF(P460="","",ROUND(P460*RESUMEN!$B$4,0))</f>
        <v/>
      </c>
      <c r="S460" s="18">
        <f>COUNT(E460:O460)</f>
        <v/>
      </c>
    </row>
    <row r="461">
      <c r="A461" s="13" t="inlineStr">
        <is>
          <t>91345323018381</t>
        </is>
      </c>
      <c r="B461" s="13" t="inlineStr">
        <is>
          <t>ZAPATILLAS YSL SLINGBACK</t>
        </is>
      </c>
      <c r="C461" s="13" t="inlineStr">
        <is>
          <t>25MX</t>
        </is>
      </c>
      <c r="D461" s="14" t="inlineStr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5" t="n">
        <v>68</v>
      </c>
      <c r="N461" s="13" t="n"/>
      <c r="O461" s="13" t="n"/>
      <c r="P461" s="16">
        <f>IF(COUNT(E461:O461)=0,"",MIN(E461:O461))</f>
        <v/>
      </c>
      <c r="Q461" s="15">
        <f>IF(COUNT(E461:O461)=0,"",LOOKUP(2,1/(E461:O461&lt;&gt;""),E461:O461))</f>
        <v/>
      </c>
      <c r="R461" s="17">
        <f>IF(P461="","",ROUND(P461*RESUMEN!$B$4,0))</f>
        <v/>
      </c>
      <c r="S461" s="18">
        <f>COUNT(E461:O461)</f>
        <v/>
      </c>
    </row>
    <row r="462">
      <c r="A462" s="13" t="inlineStr">
        <is>
          <t>BOX</t>
        </is>
      </c>
      <c r="B462" s="13" t="inlineStr"/>
      <c r="C462" s="13" t="inlineStr"/>
      <c r="D462" s="14" t="inlineStr"/>
      <c r="E462" s="15" t="n">
        <v>10</v>
      </c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6">
        <f>IF(COUNT(E462:O462)=0,"",MIN(E462:O462))</f>
        <v/>
      </c>
      <c r="Q462" s="15">
        <f>IF(COUNT(E462:O462)=0,"",LOOKUP(2,1/(E462:O462&lt;&gt;""),E462:O462))</f>
        <v/>
      </c>
      <c r="R462" s="17">
        <f>IF(P462="","",ROUND(P462*RESUMEN!$B$4,0))</f>
        <v/>
      </c>
      <c r="S462" s="18">
        <f>COUNT(E462:O462)</f>
        <v/>
      </c>
    </row>
    <row r="463">
      <c r="A463" s="13" t="inlineStr">
        <is>
          <t>REYNA</t>
        </is>
      </c>
      <c r="B463" s="13" t="inlineStr"/>
      <c r="C463" s="13" t="inlineStr"/>
      <c r="D463" s="14" t="inlineStr"/>
      <c r="E463" s="13" t="n"/>
      <c r="F463" s="13" t="n"/>
      <c r="G463" s="15" t="n">
        <v>10</v>
      </c>
      <c r="H463" s="13" t="n"/>
      <c r="I463" s="13" t="n"/>
      <c r="J463" s="13" t="n"/>
      <c r="K463" s="13" t="n"/>
      <c r="L463" s="13" t="n"/>
      <c r="M463" s="13" t="n"/>
      <c r="N463" s="13" t="n"/>
      <c r="O463" s="15" t="n">
        <v>18</v>
      </c>
      <c r="P463" s="16">
        <f>IF(COUNT(E463:O463)=0,"",MIN(E463:O463))</f>
        <v/>
      </c>
      <c r="Q463" s="15">
        <f>IF(COUNT(E463:O463)=0,"",LOOKUP(2,1/(E463:O463&lt;&gt;""),E463:O463))</f>
        <v/>
      </c>
      <c r="R463" s="17">
        <f>IF(P463="","",ROUND(P463*RESUMEN!$B$4,0))</f>
        <v/>
      </c>
      <c r="S463" s="18">
        <f>COUNT(E463:O463)</f>
        <v/>
      </c>
    </row>
    <row r="464">
      <c r="A464" s="13" t="inlineStr">
        <is>
          <t>72142921022126</t>
        </is>
      </c>
      <c r="B464" s="13" t="inlineStr"/>
      <c r="C464" s="13" t="inlineStr">
        <is>
          <t>7</t>
        </is>
      </c>
      <c r="D464" s="14" t="inlineStr">
        <is>
          <t>Brass + Zirconia</t>
        </is>
      </c>
      <c r="E464" s="13" t="n"/>
      <c r="F464" s="15" t="n">
        <v>9</v>
      </c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6">
        <f>IF(COUNT(E464:O464)=0,"",MIN(E464:O464))</f>
        <v/>
      </c>
      <c r="Q464" s="15">
        <f>IF(COUNT(E464:O464)=0,"",LOOKUP(2,1/(E464:O464&lt;&gt;""),E464:O464))</f>
        <v/>
      </c>
      <c r="R464" s="17">
        <f>IF(P464="","",ROUND(P464*RESUMEN!$B$4,0))</f>
        <v/>
      </c>
      <c r="S464" s="18">
        <f>COUNT(E464:O464)</f>
        <v/>
      </c>
    </row>
    <row r="465">
      <c r="A465" s="13" t="inlineStr">
        <is>
          <t>79684371047438</t>
        </is>
      </c>
      <c r="B465" s="13" t="inlineStr"/>
      <c r="C465" s="13" t="inlineStr">
        <is>
          <t>7</t>
        </is>
      </c>
      <c r="D465" s="14" t="inlineStr">
        <is>
          <t>Brass + Zirconia</t>
        </is>
      </c>
      <c r="E465" s="13" t="n"/>
      <c r="F465" s="15" t="n">
        <v>12</v>
      </c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6">
        <f>IF(COUNT(E465:O465)=0,"",MIN(E465:O465))</f>
        <v/>
      </c>
      <c r="Q465" s="15">
        <f>IF(COUNT(E465:O465)=0,"",LOOKUP(2,1/(E465:O465&lt;&gt;""),E465:O465))</f>
        <v/>
      </c>
      <c r="R465" s="17">
        <f>IF(P465="","",ROUND(P465*RESUMEN!$B$4,0))</f>
        <v/>
      </c>
      <c r="S465" s="18">
        <f>COUNT(E465:O465)</f>
        <v/>
      </c>
    </row>
    <row r="466">
      <c r="A466" s="13" t="inlineStr">
        <is>
          <t>67308101075310</t>
        </is>
      </c>
      <c r="B466" s="13" t="inlineStr"/>
      <c r="C466" s="13" t="inlineStr">
        <is>
          <t>8</t>
        </is>
      </c>
      <c r="D466" s="14" t="inlineStr">
        <is>
          <t>Brass + Zirconia</t>
        </is>
      </c>
      <c r="E466" s="13" t="n"/>
      <c r="F466" s="15" t="n">
        <v>9</v>
      </c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6">
        <f>IF(COUNT(E466:O466)=0,"",MIN(E466:O466))</f>
        <v/>
      </c>
      <c r="Q466" s="15">
        <f>IF(COUNT(E466:O466)=0,"",LOOKUP(2,1/(E466:O466&lt;&gt;""),E466:O466))</f>
        <v/>
      </c>
      <c r="R466" s="17">
        <f>IF(P466="","",ROUND(P466*RESUMEN!$B$4,0))</f>
        <v/>
      </c>
      <c r="S466" s="18">
        <f>COUNT(E466:O466)</f>
        <v/>
      </c>
    </row>
    <row r="467">
      <c r="A467" s="13" t="inlineStr">
        <is>
          <t>72142921022127</t>
        </is>
      </c>
      <c r="B467" s="13" t="inlineStr"/>
      <c r="C467" s="13" t="inlineStr">
        <is>
          <t>8</t>
        </is>
      </c>
      <c r="D467" s="14" t="inlineStr">
        <is>
          <t>Brass + Zirconia</t>
        </is>
      </c>
      <c r="E467" s="13" t="n"/>
      <c r="F467" s="15" t="n">
        <v>9</v>
      </c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6">
        <f>IF(COUNT(E467:O467)=0,"",MIN(E467:O467))</f>
        <v/>
      </c>
      <c r="Q467" s="15">
        <f>IF(COUNT(E467:O467)=0,"",LOOKUP(2,1/(E467:O467&lt;&gt;""),E467:O467))</f>
        <v/>
      </c>
      <c r="R467" s="17">
        <f>IF(P467="","",ROUND(P467*RESUMEN!$B$4,0))</f>
        <v/>
      </c>
      <c r="S467" s="18">
        <f>COUNT(E467:O467)</f>
        <v/>
      </c>
    </row>
    <row r="468">
      <c r="A468" s="13" t="inlineStr">
        <is>
          <t>29502191036206</t>
        </is>
      </c>
      <c r="B468" s="13" t="inlineStr"/>
      <c r="C468" s="13" t="inlineStr">
        <is>
          <t>9</t>
        </is>
      </c>
      <c r="D468" s="14" t="inlineStr">
        <is>
          <t>Brass</t>
        </is>
      </c>
      <c r="E468" s="13" t="n"/>
      <c r="F468" s="15" t="n">
        <v>9</v>
      </c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6">
        <f>IF(COUNT(E468:O468)=0,"",MIN(E468:O468))</f>
        <v/>
      </c>
      <c r="Q468" s="15">
        <f>IF(COUNT(E468:O468)=0,"",LOOKUP(2,1/(E468:O468&lt;&gt;""),E468:O468))</f>
        <v/>
      </c>
      <c r="R468" s="17">
        <f>IF(P468="","",ROUND(P468*RESUMEN!$B$4,0))</f>
        <v/>
      </c>
      <c r="S468" s="18">
        <f>COUNT(E468:O468)</f>
        <v/>
      </c>
    </row>
    <row r="469">
      <c r="A469" s="13" t="inlineStr">
        <is>
          <t>21120091008141</t>
        </is>
      </c>
      <c r="B469" s="13" t="inlineStr"/>
      <c r="C469" s="13" t="inlineStr">
        <is>
          <t>L</t>
        </is>
      </c>
      <c r="D469" s="14" t="inlineStr">
        <is>
          <t>Material: Cotton</t>
        </is>
      </c>
      <c r="E469" s="13" t="n"/>
      <c r="F469" s="15" t="n">
        <v>35</v>
      </c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6">
        <f>IF(COUNT(E469:O469)=0,"",MIN(E469:O469))</f>
        <v/>
      </c>
      <c r="Q469" s="15">
        <f>IF(COUNT(E469:O469)=0,"",LOOKUP(2,1/(E469:O469&lt;&gt;""),E469:O469))</f>
        <v/>
      </c>
      <c r="R469" s="17">
        <f>IF(P469="","",ROUND(P469*RESUMEN!$B$4,0))</f>
        <v/>
      </c>
      <c r="S469" s="18">
        <f>COUNT(E469:O469)</f>
        <v/>
      </c>
    </row>
    <row r="470">
      <c r="A470" s="13" t="inlineStr">
        <is>
          <t>60477551054606</t>
        </is>
      </c>
      <c r="B470" s="13" t="inlineStr"/>
      <c r="C470" s="13" t="inlineStr">
        <is>
          <t>L</t>
        </is>
      </c>
      <c r="D470" s="14" t="inlineStr">
        <is>
          <t>Material: Cotton</t>
        </is>
      </c>
      <c r="E470" s="13" t="n"/>
      <c r="F470" s="15" t="n">
        <v>27</v>
      </c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6">
        <f>IF(COUNT(E470:O470)=0,"",MIN(E470:O470))</f>
        <v/>
      </c>
      <c r="Q470" s="15">
        <f>IF(COUNT(E470:O470)=0,"",LOOKUP(2,1/(E470:O470&lt;&gt;""),E470:O470))</f>
        <v/>
      </c>
      <c r="R470" s="17">
        <f>IF(P470="","",ROUND(P470*RESUMEN!$B$4,0))</f>
        <v/>
      </c>
      <c r="S470" s="18">
        <f>COUNT(E470:O470)</f>
        <v/>
      </c>
    </row>
    <row r="471">
      <c r="A471" s="13" t="inlineStr">
        <is>
          <t>88016261004302</t>
        </is>
      </c>
      <c r="B471" s="13" t="inlineStr"/>
      <c r="C471" s="13" t="inlineStr">
        <is>
          <t>M</t>
        </is>
      </c>
      <c r="D471" s="14" t="inlineStr">
        <is>
          <t>Material: Knit s</t>
        </is>
      </c>
      <c r="E471" s="13" t="n"/>
      <c r="F471" s="15" t="n">
        <v>35</v>
      </c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6">
        <f>IF(COUNT(E471:O471)=0,"",MIN(E471:O471))</f>
        <v/>
      </c>
      <c r="Q471" s="15">
        <f>IF(COUNT(E471:O471)=0,"",LOOKUP(2,1/(E471:O471&lt;&gt;""),E471:O471))</f>
        <v/>
      </c>
      <c r="R471" s="17">
        <f>IF(P471="","",ROUND(P471*RESUMEN!$B$4,0))</f>
        <v/>
      </c>
      <c r="S471" s="18">
        <f>COUNT(E471:O471)</f>
        <v/>
      </c>
    </row>
    <row r="472">
      <c r="A472" s="13" t="inlineStr">
        <is>
          <t>80490861139117</t>
        </is>
      </c>
      <c r="B472" s="13" t="inlineStr"/>
      <c r="C472" s="13" t="inlineStr">
        <is>
          <t>m</t>
        </is>
      </c>
      <c r="D472" s="14" t="inlineStr">
        <is>
          <t>Material: Cotton</t>
        </is>
      </c>
      <c r="E472" s="13" t="n"/>
      <c r="F472" s="15" t="n">
        <v>27</v>
      </c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6">
        <f>IF(COUNT(E472:O472)=0,"",MIN(E472:O472))</f>
        <v/>
      </c>
      <c r="Q472" s="15">
        <f>IF(COUNT(E472:O472)=0,"",LOOKUP(2,1/(E472:O472&lt;&gt;""),E472:O472))</f>
        <v/>
      </c>
      <c r="R472" s="17">
        <f>IF(P472="","",ROUND(P472*RESUMEN!$B$4,0))</f>
        <v/>
      </c>
      <c r="S472" s="18">
        <f>COUNT(E472:O472)</f>
        <v/>
      </c>
    </row>
  </sheetData>
  <autoFilter ref="A4:S4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6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0" t="inlineStr">
        <is>
          <t>HISTORIAL DE PRECIOS — CYNTHIA CAO</t>
        </is>
      </c>
    </row>
    <row r="2">
      <c r="A2" s="11" t="inlineStr">
        <is>
          <t>8 orden(es) · costo unitario en USD · MXN = MEJOR × RESUMEN!B4 · * = dato del historial previo</t>
        </is>
      </c>
    </row>
    <row r="4">
      <c r="A4" s="12" t="inlineStr">
        <is>
          <t>SKU</t>
        </is>
      </c>
      <c r="B4" s="12" t="inlineStr">
        <is>
          <t>PRODUCTO</t>
        </is>
      </c>
      <c r="C4" s="12" t="inlineStr">
        <is>
          <t>VARIANTE</t>
        </is>
      </c>
      <c r="D4" s="12" t="inlineStr">
        <is>
          <t>MATERIAL</t>
        </is>
      </c>
      <c r="E4" s="12" t="inlineStr">
        <is>
          <t>Sep 2025
05/09</t>
        </is>
      </c>
      <c r="F4" s="12" t="inlineStr">
        <is>
          <t>Oct 2025
25/10</t>
        </is>
      </c>
      <c r="G4" s="12" t="inlineStr">
        <is>
          <t>Ene 2026
07/01</t>
        </is>
      </c>
      <c r="H4" s="12" t="inlineStr">
        <is>
          <t>Feb 2026
18/02</t>
        </is>
      </c>
      <c r="I4" s="12" t="inlineStr">
        <is>
          <t>Mar 2026
19/03</t>
        </is>
      </c>
      <c r="J4" s="12" t="inlineStr">
        <is>
          <t>Abr 2026
27/04</t>
        </is>
      </c>
      <c r="K4" s="12" t="inlineStr">
        <is>
          <t>May 2026
31/05</t>
        </is>
      </c>
      <c r="L4" s="12" t="inlineStr">
        <is>
          <t>Jul 2026
CYN070726*</t>
        </is>
      </c>
      <c r="M4" s="12" t="inlineStr">
        <is>
          <t>MEJOR
(US)</t>
        </is>
      </c>
      <c r="N4" s="12" t="inlineStr">
        <is>
          <t>ÚLTIMA
(US)</t>
        </is>
      </c>
      <c r="O4" s="12" t="inlineStr">
        <is>
          <t>MXN
(mejor×TC)</t>
        </is>
      </c>
      <c r="P4" s="12" t="inlineStr">
        <is>
          <t># ÓRD.</t>
        </is>
      </c>
      <c r="Q4" s="12" t="inlineStr">
        <is>
          <t>MEJOR
DESDE ABR ★</t>
        </is>
      </c>
    </row>
    <row r="5">
      <c r="A5" s="13" t="inlineStr">
        <is>
          <t>43897301288173</t>
        </is>
      </c>
      <c r="B5" s="13" t="inlineStr">
        <is>
          <t>(Sin nombre)</t>
        </is>
      </c>
      <c r="C5" s="13" t="inlineStr">
        <is>
          <t>XGH493116 26cm w</t>
        </is>
      </c>
      <c r="D5" s="14" t="inlineStr">
        <is>
          <t>Genuine leather mi</t>
        </is>
      </c>
      <c r="E5" s="13" t="n"/>
      <c r="F5" s="13" t="n"/>
      <c r="G5" s="15" t="n">
        <v>63</v>
      </c>
      <c r="H5" s="13" t="n"/>
      <c r="I5" s="13" t="n"/>
      <c r="J5" s="15" t="n">
        <v>65</v>
      </c>
      <c r="K5" s="13" t="n"/>
      <c r="L5" s="15" t="n">
        <v>63</v>
      </c>
      <c r="M5" s="16">
        <f>IF(COUNT(E5:L5)=0,"",MIN(E5:L5))</f>
        <v/>
      </c>
      <c r="N5" s="15">
        <f>IF(COUNT(E5:L5)=0,"",LOOKUP(2,1/(E5:L5&lt;&gt;""),E5:L5))</f>
        <v/>
      </c>
      <c r="O5" s="17">
        <f>IF(M5="","",ROUND(M5*RESUMEN!$B$4,0))</f>
        <v/>
      </c>
      <c r="P5" s="18">
        <f>COUNT(E5:L5)</f>
        <v/>
      </c>
      <c r="Q5" s="19">
        <f>IF(COUNT(J5:L5)=0,"",MIN(J5:L5))</f>
        <v/>
      </c>
    </row>
    <row r="6">
      <c r="A6" s="13" t="inlineStr">
        <is>
          <t>41889241640397</t>
        </is>
      </c>
      <c r="B6" s="13" t="inlineStr">
        <is>
          <t>ANILLO CD ZIRCONIAS GOLD-BLACK</t>
        </is>
      </c>
      <c r="C6" s="13" t="inlineStr">
        <is>
          <t>8</t>
        </is>
      </c>
      <c r="D6" s="14" t="inlineStr"/>
      <c r="E6" s="13" t="n"/>
      <c r="F6" s="15" t="n">
        <v>9.5</v>
      </c>
      <c r="G6" s="13" t="n"/>
      <c r="H6" s="13" t="n"/>
      <c r="I6" s="13" t="n"/>
      <c r="J6" s="13" t="n"/>
      <c r="K6" s="13" t="n"/>
      <c r="L6" s="13" t="n"/>
      <c r="M6" s="16">
        <f>IF(COUNT(E6:L6)=0,"",MIN(E6:L6))</f>
        <v/>
      </c>
      <c r="N6" s="15">
        <f>IF(COUNT(E6:L6)=0,"",LOOKUP(2,1/(E6:L6&lt;&gt;""),E6:L6))</f>
        <v/>
      </c>
      <c r="O6" s="17">
        <f>IF(M6="","",ROUND(M6*RESUMEN!$B$4,0))</f>
        <v/>
      </c>
      <c r="P6" s="18">
        <f>COUNT(E6:L6)</f>
        <v/>
      </c>
      <c r="Q6" s="19">
        <f>IF(COUNT(J6:L6)=0,"",MIN(J6:L6))</f>
        <v/>
      </c>
    </row>
    <row r="7">
      <c r="A7" s="13" t="inlineStr">
        <is>
          <t>43047206256780</t>
        </is>
      </c>
      <c r="B7" s="13" t="inlineStr">
        <is>
          <t>ANILLO LOCK GOLD-SILVER CON ZIRCONIAS</t>
        </is>
      </c>
      <c r="C7" s="13" t="inlineStr">
        <is>
          <t>6</t>
        </is>
      </c>
      <c r="D7" s="14" t="inlineStr">
        <is>
          <t>copper,zircon</t>
        </is>
      </c>
      <c r="E7" s="13" t="n"/>
      <c r="F7" s="13" t="n"/>
      <c r="G7" s="15" t="n">
        <v>11.8</v>
      </c>
      <c r="H7" s="13" t="n"/>
      <c r="I7" s="15" t="n">
        <v>12.8</v>
      </c>
      <c r="J7" s="15" t="n">
        <v>12.8</v>
      </c>
      <c r="K7" s="13" t="n"/>
      <c r="L7" s="13" t="n"/>
      <c r="M7" s="16">
        <f>IF(COUNT(E7:L7)=0,"",MIN(E7:L7))</f>
        <v/>
      </c>
      <c r="N7" s="15">
        <f>IF(COUNT(E7:L7)=0,"",LOOKUP(2,1/(E7:L7&lt;&gt;""),E7:L7))</f>
        <v/>
      </c>
      <c r="O7" s="17">
        <f>IF(M7="","",ROUND(M7*RESUMEN!$B$4,0))</f>
        <v/>
      </c>
      <c r="P7" s="18">
        <f>COUNT(E7:L7)</f>
        <v/>
      </c>
      <c r="Q7" s="19">
        <f>IF(COUNT(J7:L7)=0,"",MIN(J7:L7))</f>
        <v/>
      </c>
    </row>
    <row r="8">
      <c r="A8" s="13" t="inlineStr">
        <is>
          <t>43047206289548</t>
        </is>
      </c>
      <c r="B8" s="13" t="inlineStr">
        <is>
          <t>ANILLO LOCK GOLD-SILVER CON ZIRCONIAS</t>
        </is>
      </c>
      <c r="C8" s="13" t="inlineStr">
        <is>
          <t>7</t>
        </is>
      </c>
      <c r="D8" s="14" t="inlineStr">
        <is>
          <t>copper,zircon</t>
        </is>
      </c>
      <c r="E8" s="13" t="n"/>
      <c r="F8" s="15" t="n">
        <v>12.8</v>
      </c>
      <c r="G8" s="15" t="n">
        <v>11.8</v>
      </c>
      <c r="H8" s="13" t="n"/>
      <c r="I8" s="13" t="n"/>
      <c r="J8" s="13" t="n"/>
      <c r="K8" s="15" t="n">
        <v>12.8</v>
      </c>
      <c r="L8" s="13" t="n"/>
      <c r="M8" s="16">
        <f>IF(COUNT(E8:L8)=0,"",MIN(E8:L8))</f>
        <v/>
      </c>
      <c r="N8" s="15">
        <f>IF(COUNT(E8:L8)=0,"",LOOKUP(2,1/(E8:L8&lt;&gt;""),E8:L8))</f>
        <v/>
      </c>
      <c r="O8" s="17">
        <f>IF(M8="","",ROUND(M8*RESUMEN!$B$4,0))</f>
        <v/>
      </c>
      <c r="P8" s="18">
        <f>COUNT(E8:L8)</f>
        <v/>
      </c>
      <c r="Q8" s="19">
        <f>IF(COUNT(J8:L8)=0,"",MIN(J8:L8))</f>
        <v/>
      </c>
    </row>
    <row r="9">
      <c r="A9" s="13" t="inlineStr">
        <is>
          <t>43047206682764</t>
        </is>
      </c>
      <c r="B9" s="13" t="inlineStr">
        <is>
          <t>ANILLO LOCK ROSEGOLD-SILVER CON ZIRCONIAS</t>
        </is>
      </c>
      <c r="C9" s="13" t="inlineStr">
        <is>
          <t>6</t>
        </is>
      </c>
      <c r="D9" s="14" t="inlineStr">
        <is>
          <t>copper,zircon</t>
        </is>
      </c>
      <c r="E9" s="13" t="n"/>
      <c r="F9" s="13" t="n"/>
      <c r="G9" s="15" t="n">
        <v>11.8</v>
      </c>
      <c r="H9" s="13" t="n"/>
      <c r="I9" s="13" t="n"/>
      <c r="J9" s="13" t="n"/>
      <c r="K9" s="13" t="n"/>
      <c r="L9" s="13" t="n"/>
      <c r="M9" s="16">
        <f>IF(COUNT(E9:L9)=0,"",MIN(E9:L9))</f>
        <v/>
      </c>
      <c r="N9" s="15">
        <f>IF(COUNT(E9:L9)=0,"",LOOKUP(2,1/(E9:L9&lt;&gt;""),E9:L9))</f>
        <v/>
      </c>
      <c r="O9" s="17">
        <f>IF(M9="","",ROUND(M9*RESUMEN!$B$4,0))</f>
        <v/>
      </c>
      <c r="P9" s="18">
        <f>COUNT(E9:L9)</f>
        <v/>
      </c>
      <c r="Q9" s="19">
        <f>IF(COUNT(J9:L9)=0,"",MIN(J9:L9))</f>
        <v/>
      </c>
    </row>
    <row r="10">
      <c r="A10" s="13" t="inlineStr">
        <is>
          <t>43047206748300</t>
        </is>
      </c>
      <c r="B10" s="13" t="inlineStr">
        <is>
          <t>ANILLO LOCK ROSEGOLD-SILVER CON ZIRCONIAS</t>
        </is>
      </c>
      <c r="C10" s="13" t="inlineStr">
        <is>
          <t>8</t>
        </is>
      </c>
      <c r="D10" s="14" t="inlineStr">
        <is>
          <t>copper,zircon</t>
        </is>
      </c>
      <c r="E10" s="13" t="n"/>
      <c r="F10" s="13" t="n"/>
      <c r="G10" s="15" t="n">
        <v>11.8</v>
      </c>
      <c r="H10" s="13" t="n"/>
      <c r="I10" s="13" t="n"/>
      <c r="J10" s="15" t="n">
        <v>12.8</v>
      </c>
      <c r="K10" s="13" t="n"/>
      <c r="L10" s="13" t="n"/>
      <c r="M10" s="16">
        <f>IF(COUNT(E10:L10)=0,"",MIN(E10:L10))</f>
        <v/>
      </c>
      <c r="N10" s="15">
        <f>IF(COUNT(E10:L10)=0,"",LOOKUP(2,1/(E10:L10&lt;&gt;""),E10:L10))</f>
        <v/>
      </c>
      <c r="O10" s="17">
        <f>IF(M10="","",ROUND(M10*RESUMEN!$B$4,0))</f>
        <v/>
      </c>
      <c r="P10" s="18">
        <f>COUNT(E10:L10)</f>
        <v/>
      </c>
      <c r="Q10" s="19">
        <f>IF(COUNT(J10:L10)=0,"",MIN(J10:L10))</f>
        <v/>
      </c>
    </row>
    <row r="11">
      <c r="A11" s="13" t="inlineStr">
        <is>
          <t>39252671264941</t>
        </is>
      </c>
      <c r="B11" s="13" t="inlineStr">
        <is>
          <t>ANILLO LV LETTER GOLD</t>
        </is>
      </c>
      <c r="C11" s="13" t="inlineStr">
        <is>
          <t>7</t>
        </is>
      </c>
      <c r="D11" s="14" t="inlineStr">
        <is>
          <t>stainless steel</t>
        </is>
      </c>
      <c r="E11" s="13" t="n"/>
      <c r="F11" s="15" t="n">
        <v>5.28</v>
      </c>
      <c r="G11" s="13" t="n"/>
      <c r="H11" s="15" t="n">
        <v>5.28</v>
      </c>
      <c r="I11" s="15" t="n">
        <v>5.28</v>
      </c>
      <c r="J11" s="13" t="n"/>
      <c r="K11" s="13" t="n"/>
      <c r="L11" s="13" t="n"/>
      <c r="M11" s="16">
        <f>IF(COUNT(E11:L11)=0,"",MIN(E11:L11))</f>
        <v/>
      </c>
      <c r="N11" s="15">
        <f>IF(COUNT(E11:L11)=0,"",LOOKUP(2,1/(E11:L11&lt;&gt;""),E11:L11))</f>
        <v/>
      </c>
      <c r="O11" s="17">
        <f>IF(M11="","",ROUND(M11*RESUMEN!$B$4,0))</f>
        <v/>
      </c>
      <c r="P11" s="18">
        <f>COUNT(E11:L11)</f>
        <v/>
      </c>
      <c r="Q11" s="19">
        <f>IF(COUNT(J11:L11)=0,"",MIN(J11:L11))</f>
        <v/>
      </c>
    </row>
    <row r="12">
      <c r="A12" s="13" t="inlineStr">
        <is>
          <t>39252671397709</t>
        </is>
      </c>
      <c r="B12" s="13" t="inlineStr">
        <is>
          <t>ANILLO LV LETTER GOLD</t>
        </is>
      </c>
      <c r="C12" s="13" t="inlineStr">
        <is>
          <t>8</t>
        </is>
      </c>
      <c r="D12" s="14" t="inlineStr">
        <is>
          <t>copper</t>
        </is>
      </c>
      <c r="E12" s="13" t="n"/>
      <c r="F12" s="15" t="n">
        <v>5.28</v>
      </c>
      <c r="G12" s="13" t="n"/>
      <c r="H12" s="13" t="n"/>
      <c r="I12" s="15" t="n">
        <v>5.28</v>
      </c>
      <c r="J12" s="13" t="n"/>
      <c r="K12" s="13" t="n"/>
      <c r="L12" s="13" t="n"/>
      <c r="M12" s="16">
        <f>IF(COUNT(E12:L12)=0,"",MIN(E12:L12))</f>
        <v/>
      </c>
      <c r="N12" s="15">
        <f>IF(COUNT(E12:L12)=0,"",LOOKUP(2,1/(E12:L12&lt;&gt;""),E12:L12))</f>
        <v/>
      </c>
      <c r="O12" s="17">
        <f>IF(M12="","",ROUND(M12*RESUMEN!$B$4,0))</f>
        <v/>
      </c>
      <c r="P12" s="18">
        <f>COUNT(E12:L12)</f>
        <v/>
      </c>
      <c r="Q12" s="19">
        <f>IF(COUNT(J12:L12)=0,"",MIN(J12:L12))</f>
        <v/>
      </c>
    </row>
    <row r="13">
      <c r="A13" s="13" t="inlineStr">
        <is>
          <t>39252671092621</t>
        </is>
      </c>
      <c r="B13" s="13" t="inlineStr">
        <is>
          <t>ANILLO LV LETTER SILVER</t>
        </is>
      </c>
      <c r="C13" s="13" t="inlineStr">
        <is>
          <t>7</t>
        </is>
      </c>
      <c r="D13" s="14" t="inlineStr">
        <is>
          <t>stainless steel</t>
        </is>
      </c>
      <c r="E13" s="13" t="n"/>
      <c r="F13" s="15" t="n">
        <v>5.28</v>
      </c>
      <c r="G13" s="13" t="n"/>
      <c r="H13" s="15" t="n">
        <v>5.28</v>
      </c>
      <c r="I13" s="13" t="n"/>
      <c r="J13" s="13" t="n"/>
      <c r="K13" s="13" t="n"/>
      <c r="L13" s="13" t="n"/>
      <c r="M13" s="16">
        <f>IF(COUNT(E13:L13)=0,"",MIN(E13:L13))</f>
        <v/>
      </c>
      <c r="N13" s="15">
        <f>IF(COUNT(E13:L13)=0,"",LOOKUP(2,1/(E13:L13&lt;&gt;""),E13:L13))</f>
        <v/>
      </c>
      <c r="O13" s="17">
        <f>IF(M13="","",ROUND(M13*RESUMEN!$B$4,0))</f>
        <v/>
      </c>
      <c r="P13" s="18">
        <f>COUNT(E13:L13)</f>
        <v/>
      </c>
      <c r="Q13" s="19">
        <f>IF(COUNT(J13:L13)=0,"",MIN(J13:L13))</f>
        <v/>
      </c>
    </row>
    <row r="14">
      <c r="A14" s="13" t="inlineStr">
        <is>
          <t>39252671125389</t>
        </is>
      </c>
      <c r="B14" s="13" t="inlineStr">
        <is>
          <t>ANILLO LV LETTER SILVER</t>
        </is>
      </c>
      <c r="C14" s="13" t="inlineStr">
        <is>
          <t>8</t>
        </is>
      </c>
      <c r="D14" s="14" t="inlineStr"/>
      <c r="E14" s="13" t="n"/>
      <c r="F14" s="15" t="n">
        <v>5.28</v>
      </c>
      <c r="G14" s="13" t="n"/>
      <c r="H14" s="13" t="n"/>
      <c r="I14" s="13" t="n"/>
      <c r="J14" s="13" t="n"/>
      <c r="K14" s="13" t="n"/>
      <c r="L14" s="13" t="n"/>
      <c r="M14" s="16">
        <f>IF(COUNT(E14:L14)=0,"",MIN(E14:L14))</f>
        <v/>
      </c>
      <c r="N14" s="15">
        <f>IF(COUNT(E14:L14)=0,"",LOOKUP(2,1/(E14:L14&lt;&gt;""),E14:L14))</f>
        <v/>
      </c>
      <c r="O14" s="17">
        <f>IF(M14="","",ROUND(M14*RESUMEN!$B$4,0))</f>
        <v/>
      </c>
      <c r="P14" s="18">
        <f>COUNT(E14:L14)</f>
        <v/>
      </c>
      <c r="Q14" s="19">
        <f>IF(COUNT(J14:L14)=0,"",MIN(J14:L14))</f>
        <v/>
      </c>
    </row>
    <row r="15">
      <c r="A15" s="13" t="inlineStr">
        <is>
          <t>43047228014732</t>
        </is>
      </c>
      <c r="B15" s="13" t="inlineStr">
        <is>
          <t>ANILLO ONE T SILVER CON ZIRCONIA</t>
        </is>
      </c>
      <c r="C15" s="13" t="inlineStr">
        <is>
          <t>6</t>
        </is>
      </c>
      <c r="D15" s="14" t="inlineStr">
        <is>
          <t>copper</t>
        </is>
      </c>
      <c r="E15" s="15" t="n">
        <v>9.800000000000001</v>
      </c>
      <c r="F15" s="13" t="n"/>
      <c r="G15" s="15" t="n">
        <v>9.800000000000001</v>
      </c>
      <c r="H15" s="13" t="n"/>
      <c r="I15" s="13" t="n"/>
      <c r="J15" s="13" t="n"/>
      <c r="K15" s="15" t="n">
        <v>9.800000000000001</v>
      </c>
      <c r="L15" s="13" t="n"/>
      <c r="M15" s="16">
        <f>IF(COUNT(E15:L15)=0,"",MIN(E15:L15))</f>
        <v/>
      </c>
      <c r="N15" s="15">
        <f>IF(COUNT(E15:L15)=0,"",LOOKUP(2,1/(E15:L15&lt;&gt;""),E15:L15))</f>
        <v/>
      </c>
      <c r="O15" s="17">
        <f>IF(M15="","",ROUND(M15*RESUMEN!$B$4,0))</f>
        <v/>
      </c>
      <c r="P15" s="18">
        <f>COUNT(E15:L15)</f>
        <v/>
      </c>
      <c r="Q15" s="19">
        <f>IF(COUNT(J15:L15)=0,"",MIN(J15:L15))</f>
        <v/>
      </c>
    </row>
    <row r="16">
      <c r="A16" s="13" t="inlineStr">
        <is>
          <t>43047228047500</t>
        </is>
      </c>
      <c r="B16" s="13" t="inlineStr">
        <is>
          <t>ANILLO ONE T SILVER CON ZIRCONIA</t>
        </is>
      </c>
      <c r="C16" s="13" t="inlineStr">
        <is>
          <t>7</t>
        </is>
      </c>
      <c r="D16" s="14" t="inlineStr"/>
      <c r="E16" s="15" t="n">
        <v>9.800000000000001</v>
      </c>
      <c r="F16" s="13" t="n"/>
      <c r="G16" s="13" t="n"/>
      <c r="H16" s="13" t="n"/>
      <c r="I16" s="13" t="n"/>
      <c r="J16" s="13" t="n"/>
      <c r="K16" s="13" t="n"/>
      <c r="L16" s="13" t="n"/>
      <c r="M16" s="16">
        <f>IF(COUNT(E16:L16)=0,"",MIN(E16:L16))</f>
        <v/>
      </c>
      <c r="N16" s="15">
        <f>IF(COUNT(E16:L16)=0,"",LOOKUP(2,1/(E16:L16&lt;&gt;""),E16:L16))</f>
        <v/>
      </c>
      <c r="O16" s="17">
        <f>IF(M16="","",ROUND(M16*RESUMEN!$B$4,0))</f>
        <v/>
      </c>
      <c r="P16" s="18">
        <f>COUNT(E16:L16)</f>
        <v/>
      </c>
      <c r="Q16" s="19">
        <f>IF(COUNT(J16:L16)=0,"",MIN(J16:L16))</f>
        <v/>
      </c>
    </row>
    <row r="17">
      <c r="A17" s="13" t="inlineStr">
        <is>
          <t>43728112129132</t>
        </is>
      </c>
      <c r="B17" s="13" t="inlineStr">
        <is>
          <t>ANILLO P SHINNY FLOWER</t>
        </is>
      </c>
      <c r="C17" s="13" t="inlineStr">
        <is>
          <t>6</t>
        </is>
      </c>
      <c r="D17" s="14" t="inlineStr">
        <is>
          <t>copper,zircon</t>
        </is>
      </c>
      <c r="E17" s="13" t="n"/>
      <c r="F17" s="15" t="n">
        <v>2.6</v>
      </c>
      <c r="G17" s="13" t="n"/>
      <c r="H17" s="13" t="n"/>
      <c r="I17" s="15" t="n">
        <v>2.6</v>
      </c>
      <c r="J17" s="13" t="n"/>
      <c r="K17" s="13" t="n"/>
      <c r="L17" s="13" t="n"/>
      <c r="M17" s="16">
        <f>IF(COUNT(E17:L17)=0,"",MIN(E17:L17))</f>
        <v/>
      </c>
      <c r="N17" s="15">
        <f>IF(COUNT(E17:L17)=0,"",LOOKUP(2,1/(E17:L17&lt;&gt;""),E17:L17))</f>
        <v/>
      </c>
      <c r="O17" s="17">
        <f>IF(M17="","",ROUND(M17*RESUMEN!$B$4,0))</f>
        <v/>
      </c>
      <c r="P17" s="18">
        <f>COUNT(E17:L17)</f>
        <v/>
      </c>
      <c r="Q17" s="19">
        <f>IF(COUNT(J17:L17)=0,"",MIN(J17:L17))</f>
        <v/>
      </c>
    </row>
    <row r="18">
      <c r="A18" s="13" t="inlineStr">
        <is>
          <t>43078594756748</t>
        </is>
      </c>
      <c r="B18" s="13" t="inlineStr">
        <is>
          <t>ANILLO P SHINNY FLOWER</t>
        </is>
      </c>
      <c r="C18" s="13" t="inlineStr">
        <is>
          <t>7</t>
        </is>
      </c>
      <c r="D18" s="14" t="inlineStr">
        <is>
          <t>copper,zircon</t>
        </is>
      </c>
      <c r="E18" s="13" t="n"/>
      <c r="F18" s="15" t="n">
        <v>2.6</v>
      </c>
      <c r="G18" s="15" t="n">
        <v>2.6</v>
      </c>
      <c r="H18" s="13" t="n"/>
      <c r="I18" s="13" t="n"/>
      <c r="J18" s="13" t="n"/>
      <c r="K18" s="13" t="n"/>
      <c r="L18" s="15" t="n">
        <v>2.6</v>
      </c>
      <c r="M18" s="16">
        <f>IF(COUNT(E18:L18)=0,"",MIN(E18:L18))</f>
        <v/>
      </c>
      <c r="N18" s="15">
        <f>IF(COUNT(E18:L18)=0,"",LOOKUP(2,1/(E18:L18&lt;&gt;""),E18:L18))</f>
        <v/>
      </c>
      <c r="O18" s="17">
        <f>IF(M18="","",ROUND(M18*RESUMEN!$B$4,0))</f>
        <v/>
      </c>
      <c r="P18" s="18">
        <f>COUNT(E18:L18)</f>
        <v/>
      </c>
      <c r="Q18" s="19">
        <f>IF(COUNT(J18:L18)=0,"",MIN(J18:L18))</f>
        <v/>
      </c>
    </row>
    <row r="19">
      <c r="A19" s="13" t="inlineStr">
        <is>
          <t>43078594789516</t>
        </is>
      </c>
      <c r="B19" s="13" t="inlineStr">
        <is>
          <t>ANILLO P SHINNY FLOWER</t>
        </is>
      </c>
      <c r="C19" s="13" t="inlineStr">
        <is>
          <t>8</t>
        </is>
      </c>
      <c r="D19" s="14" t="inlineStr">
        <is>
          <t>copper,zircon</t>
        </is>
      </c>
      <c r="E19" s="13" t="n"/>
      <c r="F19" s="13" t="n"/>
      <c r="G19" s="13" t="n"/>
      <c r="H19" s="15" t="n">
        <v>2.6</v>
      </c>
      <c r="I19" s="15" t="n">
        <v>2.6</v>
      </c>
      <c r="J19" s="13" t="n"/>
      <c r="K19" s="13" t="n"/>
      <c r="L19" s="13" t="n"/>
      <c r="M19" s="16">
        <f>IF(COUNT(E19:L19)=0,"",MIN(E19:L19))</f>
        <v/>
      </c>
      <c r="N19" s="15">
        <f>IF(COUNT(E19:L19)=0,"",LOOKUP(2,1/(E19:L19&lt;&gt;""),E19:L19))</f>
        <v/>
      </c>
      <c r="O19" s="17">
        <f>IF(M19="","",ROUND(M19*RESUMEN!$B$4,0))</f>
        <v/>
      </c>
      <c r="P19" s="18">
        <f>COUNT(E19:L19)</f>
        <v/>
      </c>
      <c r="Q19" s="19">
        <f>IF(COUNT(J19:L19)=0,"",MIN(J19:L19))</f>
        <v/>
      </c>
    </row>
    <row r="20">
      <c r="A20" s="13" t="inlineStr">
        <is>
          <t>43728112856684</t>
        </is>
      </c>
      <c r="B20" s="13" t="inlineStr">
        <is>
          <t>ANILLO P STARS</t>
        </is>
      </c>
      <c r="C20" s="13" t="inlineStr">
        <is>
          <t>6</t>
        </is>
      </c>
      <c r="D20" s="14" t="inlineStr">
        <is>
          <t>copper</t>
        </is>
      </c>
      <c r="E20" s="13" t="n"/>
      <c r="F20" s="13" t="n"/>
      <c r="G20" s="13" t="n"/>
      <c r="H20" s="13" t="n"/>
      <c r="I20" s="15" t="n">
        <v>1.7</v>
      </c>
      <c r="J20" s="13" t="n"/>
      <c r="K20" s="13" t="n"/>
      <c r="L20" s="13" t="n"/>
      <c r="M20" s="16">
        <f>IF(COUNT(E20:L20)=0,"",MIN(E20:L20))</f>
        <v/>
      </c>
      <c r="N20" s="15">
        <f>IF(COUNT(E20:L20)=0,"",LOOKUP(2,1/(E20:L20&lt;&gt;""),E20:L20))</f>
        <v/>
      </c>
      <c r="O20" s="17">
        <f>IF(M20="","",ROUND(M20*RESUMEN!$B$4,0))</f>
        <v/>
      </c>
      <c r="P20" s="18">
        <f>COUNT(E20:L20)</f>
        <v/>
      </c>
      <c r="Q20" s="19">
        <f>IF(COUNT(J20:L20)=0,"",MIN(J20:L20))</f>
        <v/>
      </c>
    </row>
    <row r="21">
      <c r="A21" s="13" t="inlineStr">
        <is>
          <t>43071835930764</t>
        </is>
      </c>
      <c r="B21" s="13" t="inlineStr">
        <is>
          <t>ANILLO P STARS</t>
        </is>
      </c>
      <c r="C21" s="13" t="inlineStr">
        <is>
          <t>7</t>
        </is>
      </c>
      <c r="D21" s="14" t="inlineStr">
        <is>
          <t>copper</t>
        </is>
      </c>
      <c r="E21" s="13" t="n"/>
      <c r="F21" s="13" t="n"/>
      <c r="G21" s="13" t="n"/>
      <c r="H21" s="13" t="n"/>
      <c r="I21" s="15" t="n">
        <v>1.7</v>
      </c>
      <c r="J21" s="13" t="n"/>
      <c r="K21" s="13" t="n"/>
      <c r="L21" s="13" t="n"/>
      <c r="M21" s="16">
        <f>IF(COUNT(E21:L21)=0,"",MIN(E21:L21))</f>
        <v/>
      </c>
      <c r="N21" s="15">
        <f>IF(COUNT(E21:L21)=0,"",LOOKUP(2,1/(E21:L21&lt;&gt;""),E21:L21))</f>
        <v/>
      </c>
      <c r="O21" s="17">
        <f>IF(M21="","",ROUND(M21*RESUMEN!$B$4,0))</f>
        <v/>
      </c>
      <c r="P21" s="18">
        <f>COUNT(E21:L21)</f>
        <v/>
      </c>
      <c r="Q21" s="19">
        <f>IF(COUNT(J21:L21)=0,"",MIN(J21:L21))</f>
        <v/>
      </c>
    </row>
    <row r="22">
      <c r="A22" s="13" t="inlineStr">
        <is>
          <t>43071835963532</t>
        </is>
      </c>
      <c r="B22" s="13" t="inlineStr">
        <is>
          <t>ANILLO P STARS</t>
        </is>
      </c>
      <c r="C22" s="13" t="inlineStr">
        <is>
          <t>8</t>
        </is>
      </c>
      <c r="D22" s="14" t="inlineStr">
        <is>
          <t>copper</t>
        </is>
      </c>
      <c r="E22" s="13" t="n"/>
      <c r="F22" s="13" t="n"/>
      <c r="G22" s="13" t="n"/>
      <c r="H22" s="15" t="n">
        <v>1.7</v>
      </c>
      <c r="I22" s="13" t="n"/>
      <c r="J22" s="13" t="n"/>
      <c r="K22" s="15" t="n">
        <v>1.7</v>
      </c>
      <c r="L22" s="13" t="n"/>
      <c r="M22" s="16">
        <f>IF(COUNT(E22:L22)=0,"",MIN(E22:L22))</f>
        <v/>
      </c>
      <c r="N22" s="15">
        <f>IF(COUNT(E22:L22)=0,"",LOOKUP(2,1/(E22:L22&lt;&gt;""),E22:L22))</f>
        <v/>
      </c>
      <c r="O22" s="17">
        <f>IF(M22="","",ROUND(M22*RESUMEN!$B$4,0))</f>
        <v/>
      </c>
      <c r="P22" s="18">
        <f>COUNT(E22:L22)</f>
        <v/>
      </c>
      <c r="Q22" s="19">
        <f>IF(COUNT(J22:L22)=0,"",MIN(J22:L22))</f>
        <v/>
      </c>
    </row>
    <row r="23">
      <c r="A23" s="13" t="inlineStr">
        <is>
          <t>81836202265453</t>
        </is>
      </c>
      <c r="B23" s="13" t="inlineStr">
        <is>
          <t>ANILLO P STARS</t>
        </is>
      </c>
      <c r="C23" s="13" t="inlineStr">
        <is>
          <t>9</t>
        </is>
      </c>
      <c r="D23" s="14" t="inlineStr">
        <is>
          <t>copper</t>
        </is>
      </c>
      <c r="E23" s="13" t="n"/>
      <c r="F23" s="13" t="n"/>
      <c r="G23" s="13" t="n"/>
      <c r="H23" s="13" t="n"/>
      <c r="I23" s="13" t="n"/>
      <c r="J23" s="13" t="n"/>
      <c r="K23" s="15" t="n">
        <v>1.7</v>
      </c>
      <c r="L23" s="13" t="n"/>
      <c r="M23" s="16">
        <f>IF(COUNT(E23:L23)=0,"",MIN(E23:L23))</f>
        <v/>
      </c>
      <c r="N23" s="15">
        <f>IF(COUNT(E23:L23)=0,"",LOOKUP(2,1/(E23:L23&lt;&gt;""),E23:L23))</f>
        <v/>
      </c>
      <c r="O23" s="17">
        <f>IF(M23="","",ROUND(M23*RESUMEN!$B$4,0))</f>
        <v/>
      </c>
      <c r="P23" s="18">
        <f>COUNT(E23:L23)</f>
        <v/>
      </c>
      <c r="Q23" s="19">
        <f>IF(COUNT(J23:L23)=0,"",MIN(J23:L23))</f>
        <v/>
      </c>
    </row>
    <row r="24">
      <c r="A24" s="13" t="inlineStr">
        <is>
          <t>43728071296588</t>
        </is>
      </c>
      <c r="B24" s="13" t="inlineStr">
        <is>
          <t>ANILLO SERPENTI LISO GOLD</t>
        </is>
      </c>
      <c r="C24" s="13" t="inlineStr">
        <is>
          <t>XGN gold</t>
        </is>
      </c>
      <c r="D24" s="14" t="inlineStr">
        <is>
          <t>copper</t>
        </is>
      </c>
      <c r="E24" s="13" t="n"/>
      <c r="F24" s="15" t="n">
        <v>6.9</v>
      </c>
      <c r="G24" s="13" t="n"/>
      <c r="H24" s="13" t="n"/>
      <c r="I24" s="13" t="n"/>
      <c r="J24" s="15" t="n">
        <v>6.8</v>
      </c>
      <c r="K24" s="13" t="n"/>
      <c r="L24" s="15" t="n">
        <v>6.9</v>
      </c>
      <c r="M24" s="16">
        <f>IF(COUNT(E24:L24)=0,"",MIN(E24:L24))</f>
        <v/>
      </c>
      <c r="N24" s="15">
        <f>IF(COUNT(E24:L24)=0,"",LOOKUP(2,1/(E24:L24&lt;&gt;""),E24:L24))</f>
        <v/>
      </c>
      <c r="O24" s="17">
        <f>IF(M24="","",ROUND(M24*RESUMEN!$B$4,0))</f>
        <v/>
      </c>
      <c r="P24" s="18">
        <f>COUNT(E24:L24)</f>
        <v/>
      </c>
      <c r="Q24" s="19">
        <f>IF(COUNT(J24:L24)=0,"",MIN(J24:L24))</f>
        <v/>
      </c>
    </row>
    <row r="25">
      <c r="A25" s="13" t="inlineStr">
        <is>
          <t>43728071182284</t>
        </is>
      </c>
      <c r="B25" s="13" t="inlineStr">
        <is>
          <t>ANILLO SERPENTI LISO SILVER</t>
        </is>
      </c>
      <c r="C25" s="13" t="inlineStr">
        <is>
          <t>AJUSTABLE</t>
        </is>
      </c>
      <c r="D25" s="14" t="inlineStr">
        <is>
          <t>copper</t>
        </is>
      </c>
      <c r="E25" s="13" t="n"/>
      <c r="F25" s="13" t="n"/>
      <c r="G25" s="13" t="n"/>
      <c r="H25" s="13" t="n"/>
      <c r="I25" s="15" t="n">
        <v>6.8</v>
      </c>
      <c r="J25" s="15" t="n">
        <v>6.8</v>
      </c>
      <c r="K25" s="15" t="n">
        <v>6.8</v>
      </c>
      <c r="L25" s="13" t="n"/>
      <c r="M25" s="16">
        <f>IF(COUNT(E25:L25)=0,"",MIN(E25:L25))</f>
        <v/>
      </c>
      <c r="N25" s="15">
        <f>IF(COUNT(E25:L25)=0,"",LOOKUP(2,1/(E25:L25&lt;&gt;""),E25:L25))</f>
        <v/>
      </c>
      <c r="O25" s="17">
        <f>IF(M25="","",ROUND(M25*RESUMEN!$B$4,0))</f>
        <v/>
      </c>
      <c r="P25" s="18">
        <f>COUNT(E25:L25)</f>
        <v/>
      </c>
      <c r="Q25" s="19">
        <f>IF(COUNT(J25:L25)=0,"",MIN(J25:L25))</f>
        <v/>
      </c>
    </row>
    <row r="26">
      <c r="A26" s="13" t="inlineStr">
        <is>
          <t>38332091054029</t>
        </is>
      </c>
      <c r="B26" s="13" t="inlineStr">
        <is>
          <t>ANILLO T EDGE SILVER</t>
        </is>
      </c>
      <c r="C26" s="13" t="inlineStr">
        <is>
          <t>6</t>
        </is>
      </c>
      <c r="D26" s="14" t="inlineStr">
        <is>
          <t>copper,zircon</t>
        </is>
      </c>
      <c r="E26" s="13" t="n"/>
      <c r="F26" s="13" t="n"/>
      <c r="G26" s="15" t="n">
        <v>10.8</v>
      </c>
      <c r="H26" s="13" t="n"/>
      <c r="I26" s="13" t="n"/>
      <c r="J26" s="13" t="n"/>
      <c r="K26" s="15" t="n">
        <v>10.8</v>
      </c>
      <c r="L26" s="13" t="n"/>
      <c r="M26" s="16">
        <f>IF(COUNT(E26:L26)=0,"",MIN(E26:L26))</f>
        <v/>
      </c>
      <c r="N26" s="15">
        <f>IF(COUNT(E26:L26)=0,"",LOOKUP(2,1/(E26:L26&lt;&gt;""),E26:L26))</f>
        <v/>
      </c>
      <c r="O26" s="17">
        <f>IF(M26="","",ROUND(M26*RESUMEN!$B$4,0))</f>
        <v/>
      </c>
      <c r="P26" s="18">
        <f>COUNT(E26:L26)</f>
        <v/>
      </c>
      <c r="Q26" s="19">
        <f>IF(COUNT(J26:L26)=0,"",MIN(J26:L26))</f>
        <v/>
      </c>
    </row>
    <row r="27">
      <c r="A27" s="13" t="inlineStr">
        <is>
          <t>38332091186797</t>
        </is>
      </c>
      <c r="B27" s="13" t="inlineStr">
        <is>
          <t>ANILLO T EDGE SILVER</t>
        </is>
      </c>
      <c r="C27" s="13" t="inlineStr">
        <is>
          <t>XGX249-004 7#</t>
        </is>
      </c>
      <c r="D27" s="14" t="inlineStr">
        <is>
          <t>copper,zircon</t>
        </is>
      </c>
      <c r="E27" s="13" t="n"/>
      <c r="F27" s="15" t="n">
        <v>10.8</v>
      </c>
      <c r="G27" s="15" t="n">
        <v>10.8</v>
      </c>
      <c r="H27" s="13" t="n"/>
      <c r="I27" s="13" t="n"/>
      <c r="J27" s="15" t="n">
        <v>10.8</v>
      </c>
      <c r="K27" s="13" t="n"/>
      <c r="L27" s="15" t="n">
        <v>10.8</v>
      </c>
      <c r="M27" s="16">
        <f>IF(COUNT(E27:L27)=0,"",MIN(E27:L27))</f>
        <v/>
      </c>
      <c r="N27" s="15">
        <f>IF(COUNT(E27:L27)=0,"",LOOKUP(2,1/(E27:L27&lt;&gt;""),E27:L27))</f>
        <v/>
      </c>
      <c r="O27" s="17">
        <f>IF(M27="","",ROUND(M27*RESUMEN!$B$4,0))</f>
        <v/>
      </c>
      <c r="P27" s="18">
        <f>COUNT(E27:L27)</f>
        <v/>
      </c>
      <c r="Q27" s="19">
        <f>IF(COUNT(J27:L27)=0,"",MIN(J27:L27))</f>
        <v/>
      </c>
    </row>
    <row r="28">
      <c r="A28" s="13" t="inlineStr">
        <is>
          <t>34876761335341</t>
        </is>
      </c>
      <c r="B28" s="13" t="inlineStr">
        <is>
          <t>ANILLO T LOVESTRUCK SILVER-ROSE GOLD</t>
        </is>
      </c>
      <c r="C28" s="13" t="inlineStr">
        <is>
          <t>6</t>
        </is>
      </c>
      <c r="D28" s="14" t="inlineStr">
        <is>
          <t>copper</t>
        </is>
      </c>
      <c r="E28" s="13" t="n"/>
      <c r="F28" s="15" t="n">
        <v>8.800000000000001</v>
      </c>
      <c r="G28" s="15" t="n">
        <v>8.800000000000001</v>
      </c>
      <c r="H28" s="13" t="n"/>
      <c r="I28" s="15" t="n">
        <v>8.800000000000001</v>
      </c>
      <c r="J28" s="15" t="n">
        <v>8.800000000000001</v>
      </c>
      <c r="K28" s="13" t="n"/>
      <c r="L28" s="13" t="n"/>
      <c r="M28" s="16">
        <f>IF(COUNT(E28:L28)=0,"",MIN(E28:L28))</f>
        <v/>
      </c>
      <c r="N28" s="15">
        <f>IF(COUNT(E28:L28)=0,"",LOOKUP(2,1/(E28:L28&lt;&gt;""),E28:L28))</f>
        <v/>
      </c>
      <c r="O28" s="17">
        <f>IF(M28="","",ROUND(M28*RESUMEN!$B$4,0))</f>
        <v/>
      </c>
      <c r="P28" s="18">
        <f>COUNT(E28:L28)</f>
        <v/>
      </c>
      <c r="Q28" s="19">
        <f>IF(COUNT(J28:L28)=0,"",MIN(J28:L28))</f>
        <v/>
      </c>
    </row>
    <row r="29">
      <c r="A29" s="13" t="inlineStr">
        <is>
          <t>34876761468109</t>
        </is>
      </c>
      <c r="B29" s="13" t="inlineStr">
        <is>
          <t>ANILLO T LOVESTRUCK SILVER-ROSE GOLD</t>
        </is>
      </c>
      <c r="C29" s="13" t="inlineStr">
        <is>
          <t>7</t>
        </is>
      </c>
      <c r="D29" s="14" t="inlineStr">
        <is>
          <t>copper</t>
        </is>
      </c>
      <c r="E29" s="13" t="n"/>
      <c r="F29" s="13" t="n"/>
      <c r="G29" s="15" t="n">
        <v>8.800000000000001</v>
      </c>
      <c r="H29" s="13" t="n"/>
      <c r="I29" s="13" t="n"/>
      <c r="J29" s="15" t="n">
        <v>8.800000000000001</v>
      </c>
      <c r="K29" s="13" t="n"/>
      <c r="L29" s="13" t="n"/>
      <c r="M29" s="16">
        <f>IF(COUNT(E29:L29)=0,"",MIN(E29:L29))</f>
        <v/>
      </c>
      <c r="N29" s="15">
        <f>IF(COUNT(E29:L29)=0,"",LOOKUP(2,1/(E29:L29&lt;&gt;""),E29:L29))</f>
        <v/>
      </c>
      <c r="O29" s="17">
        <f>IF(M29="","",ROUND(M29*RESUMEN!$B$4,0))</f>
        <v/>
      </c>
      <c r="P29" s="18">
        <f>COUNT(E29:L29)</f>
        <v/>
      </c>
      <c r="Q29" s="19">
        <f>IF(COUNT(J29:L29)=0,"",MIN(J29:L29))</f>
        <v/>
      </c>
    </row>
    <row r="30">
      <c r="A30" s="13" t="inlineStr">
        <is>
          <t>41648081090125</t>
        </is>
      </c>
      <c r="B30" s="13" t="inlineStr">
        <is>
          <t>ANILLO T LOVESTRUCK SILVER-ROSE GOLD</t>
        </is>
      </c>
      <c r="C30" s="13" t="inlineStr">
        <is>
          <t>8</t>
        </is>
      </c>
      <c r="D30" s="14" t="inlineStr"/>
      <c r="E30" s="13" t="n"/>
      <c r="F30" s="13" t="n"/>
      <c r="G30" s="13" t="n"/>
      <c r="H30" s="13" t="n"/>
      <c r="I30" s="13" t="n"/>
      <c r="J30" s="15" t="n">
        <v>8.800000000000001</v>
      </c>
      <c r="K30" s="13" t="n"/>
      <c r="L30" s="13" t="n"/>
      <c r="M30" s="16">
        <f>IF(COUNT(E30:L30)=0,"",MIN(E30:L30))</f>
        <v/>
      </c>
      <c r="N30" s="15">
        <f>IF(COUNT(E30:L30)=0,"",LOOKUP(2,1/(E30:L30&lt;&gt;""),E30:L30))</f>
        <v/>
      </c>
      <c r="O30" s="17">
        <f>IF(M30="","",ROUND(M30*RESUMEN!$B$4,0))</f>
        <v/>
      </c>
      <c r="P30" s="18">
        <f>COUNT(E30:L30)</f>
        <v/>
      </c>
      <c r="Q30" s="19">
        <f>IF(COUNT(J30:L30)=0,"",MIN(J30:L30))</f>
        <v/>
      </c>
    </row>
    <row r="31">
      <c r="A31" s="13" t="inlineStr">
        <is>
          <t>41889241279949</t>
        </is>
      </c>
      <c r="B31" s="13" t="inlineStr">
        <is>
          <t>ANILLO T V SILVER</t>
        </is>
      </c>
      <c r="C31" s="13" t="inlineStr">
        <is>
          <t>7</t>
        </is>
      </c>
      <c r="D31" s="14" t="inlineStr">
        <is>
          <t>copper</t>
        </is>
      </c>
      <c r="E31" s="13" t="n"/>
      <c r="F31" s="15" t="n">
        <v>9.800000000000001</v>
      </c>
      <c r="G31" s="13" t="n"/>
      <c r="H31" s="13" t="n"/>
      <c r="I31" s="15" t="n">
        <v>9.800000000000001</v>
      </c>
      <c r="J31" s="13" t="n"/>
      <c r="K31" s="13" t="n"/>
      <c r="L31" s="13" t="n"/>
      <c r="M31" s="16">
        <f>IF(COUNT(E31:L31)=0,"",MIN(E31:L31))</f>
        <v/>
      </c>
      <c r="N31" s="15">
        <f>IF(COUNT(E31:L31)=0,"",LOOKUP(2,1/(E31:L31&lt;&gt;""),E31:L31))</f>
        <v/>
      </c>
      <c r="O31" s="17">
        <f>IF(M31="","",ROUND(M31*RESUMEN!$B$4,0))</f>
        <v/>
      </c>
      <c r="P31" s="18">
        <f>COUNT(E31:L31)</f>
        <v/>
      </c>
      <c r="Q31" s="19">
        <f>IF(COUNT(J31:L31)=0,"",MIN(J31:L31))</f>
        <v/>
      </c>
    </row>
    <row r="32">
      <c r="A32" s="13" t="inlineStr">
        <is>
          <t>41889241312717</t>
        </is>
      </c>
      <c r="B32" s="13" t="inlineStr">
        <is>
          <t>ANILLO T V SILVER</t>
        </is>
      </c>
      <c r="C32" s="13" t="inlineStr">
        <is>
          <t>8</t>
        </is>
      </c>
      <c r="D32" s="14" t="inlineStr">
        <is>
          <t>copper,zircon</t>
        </is>
      </c>
      <c r="E32" s="13" t="n"/>
      <c r="F32" s="15" t="n">
        <v>9.800000000000001</v>
      </c>
      <c r="G32" s="13" t="n"/>
      <c r="H32" s="13" t="n"/>
      <c r="I32" s="15" t="n">
        <v>9.800000000000001</v>
      </c>
      <c r="J32" s="13" t="n"/>
      <c r="K32" s="13" t="n"/>
      <c r="L32" s="13" t="n"/>
      <c r="M32" s="16">
        <f>IF(COUNT(E32:L32)=0,"",MIN(E32:L32))</f>
        <v/>
      </c>
      <c r="N32" s="15">
        <f>IF(COUNT(E32:L32)=0,"",LOOKUP(2,1/(E32:L32&lt;&gt;""),E32:L32))</f>
        <v/>
      </c>
      <c r="O32" s="17">
        <f>IF(M32="","",ROUND(M32*RESUMEN!$B$4,0))</f>
        <v/>
      </c>
      <c r="P32" s="18">
        <f>COUNT(E32:L32)</f>
        <v/>
      </c>
      <c r="Q32" s="19">
        <f>IF(COUNT(J32:L32)=0,"",MIN(J32:L32))</f>
        <v/>
      </c>
    </row>
    <row r="33">
      <c r="A33" s="13" t="inlineStr">
        <is>
          <t>41889241445485</t>
        </is>
      </c>
      <c r="B33" s="13" t="inlineStr">
        <is>
          <t>ANILLO T V SILVER</t>
        </is>
      </c>
      <c r="C33" s="13" t="inlineStr">
        <is>
          <t>9</t>
        </is>
      </c>
      <c r="D33" s="14" t="inlineStr">
        <is>
          <t>copper,zircon</t>
        </is>
      </c>
      <c r="E33" s="13" t="n"/>
      <c r="F33" s="15" t="n">
        <v>9.800000000000001</v>
      </c>
      <c r="G33" s="13" t="n"/>
      <c r="H33" s="13" t="n"/>
      <c r="I33" s="15" t="n">
        <v>9.800000000000001</v>
      </c>
      <c r="J33" s="13" t="n"/>
      <c r="K33" s="13" t="n"/>
      <c r="L33" s="13" t="n"/>
      <c r="M33" s="16">
        <f>IF(COUNT(E33:L33)=0,"",MIN(E33:L33))</f>
        <v/>
      </c>
      <c r="N33" s="15">
        <f>IF(COUNT(E33:L33)=0,"",LOOKUP(2,1/(E33:L33&lt;&gt;""),E33:L33))</f>
        <v/>
      </c>
      <c r="O33" s="17">
        <f>IF(M33="","",ROUND(M33*RESUMEN!$B$4,0))</f>
        <v/>
      </c>
      <c r="P33" s="18">
        <f>COUNT(E33:L33)</f>
        <v/>
      </c>
      <c r="Q33" s="19">
        <f>IF(COUNT(J33:L33)=0,"",MIN(J33:L33))</f>
        <v/>
      </c>
    </row>
    <row r="34">
      <c r="A34" s="13" t="inlineStr">
        <is>
          <t>665bb4c20b268</t>
        </is>
      </c>
      <c r="B34" s="13" t="inlineStr">
        <is>
          <t>ANILLO V GOLD</t>
        </is>
      </c>
      <c r="C34" s="13" t="inlineStr">
        <is>
          <t>AJUSTABLE</t>
        </is>
      </c>
      <c r="D34" s="14" t="inlineStr">
        <is>
          <t>copper</t>
        </is>
      </c>
      <c r="E34" s="13" t="n"/>
      <c r="F34" s="13" t="n"/>
      <c r="G34" s="13" t="n"/>
      <c r="H34" s="13" t="n"/>
      <c r="I34" s="13" t="n"/>
      <c r="J34" s="13" t="n"/>
      <c r="K34" s="15" t="n">
        <v>6.8</v>
      </c>
      <c r="L34" s="13" t="n"/>
      <c r="M34" s="16">
        <f>IF(COUNT(E34:L34)=0,"",MIN(E34:L34))</f>
        <v/>
      </c>
      <c r="N34" s="15">
        <f>IF(COUNT(E34:L34)=0,"",LOOKUP(2,1/(E34:L34&lt;&gt;""),E34:L34))</f>
        <v/>
      </c>
      <c r="O34" s="17">
        <f>IF(M34="","",ROUND(M34*RESUMEN!$B$4,0))</f>
        <v/>
      </c>
      <c r="P34" s="18">
        <f>COUNT(E34:L34)</f>
        <v/>
      </c>
      <c r="Q34" s="19">
        <f>IF(COUNT(J34:L34)=0,"",MIN(J34:L34))</f>
        <v/>
      </c>
    </row>
    <row r="35">
      <c r="A35" s="13" t="inlineStr">
        <is>
          <t>15711172030349</t>
        </is>
      </c>
      <c r="B35" s="13" t="inlineStr">
        <is>
          <t>ARETES BEAN GOLD T</t>
        </is>
      </c>
      <c r="C35" s="13" t="inlineStr">
        <is>
          <t>Default Title</t>
        </is>
      </c>
      <c r="D35" s="14" t="inlineStr">
        <is>
          <t>copper</t>
        </is>
      </c>
      <c r="E35" s="15" t="n">
        <v>8</v>
      </c>
      <c r="F35" s="15" t="n">
        <v>8</v>
      </c>
      <c r="G35" s="13" t="n"/>
      <c r="H35" s="15" t="n">
        <v>7.5</v>
      </c>
      <c r="I35" s="15" t="n">
        <v>8</v>
      </c>
      <c r="J35" s="13" t="n"/>
      <c r="K35" s="15" t="n">
        <v>8.800000000000001</v>
      </c>
      <c r="L35" s="13" t="n"/>
      <c r="M35" s="16">
        <f>IF(COUNT(E35:L35)=0,"",MIN(E35:L35))</f>
        <v/>
      </c>
      <c r="N35" s="15">
        <f>IF(COUNT(E35:L35)=0,"",LOOKUP(2,1/(E35:L35&lt;&gt;""),E35:L35))</f>
        <v/>
      </c>
      <c r="O35" s="17">
        <f>IF(M35="","",ROUND(M35*RESUMEN!$B$4,0))</f>
        <v/>
      </c>
      <c r="P35" s="18">
        <f>COUNT(E35:L35)</f>
        <v/>
      </c>
      <c r="Q35" s="19">
        <f>IF(COUNT(J35:L35)=0,"",MIN(J35:L35))</f>
        <v/>
      </c>
    </row>
    <row r="36">
      <c r="A36" s="13" t="inlineStr">
        <is>
          <t>62101481140653</t>
        </is>
      </c>
      <c r="B36" s="13" t="inlineStr">
        <is>
          <t>ARETES BEAN SILVER T</t>
        </is>
      </c>
      <c r="C36" s="13" t="inlineStr">
        <is>
          <t>Default Title</t>
        </is>
      </c>
      <c r="D36" s="14" t="inlineStr">
        <is>
          <t>copper</t>
        </is>
      </c>
      <c r="E36" s="15" t="n">
        <v>8</v>
      </c>
      <c r="F36" s="15" t="n">
        <v>8</v>
      </c>
      <c r="G36" s="13" t="n"/>
      <c r="H36" s="15" t="n">
        <v>7.5</v>
      </c>
      <c r="I36" s="13" t="n"/>
      <c r="J36" s="15" t="n">
        <v>8</v>
      </c>
      <c r="K36" s="15" t="n">
        <v>8</v>
      </c>
      <c r="L36" s="13" t="n"/>
      <c r="M36" s="16">
        <f>IF(COUNT(E36:L36)=0,"",MIN(E36:L36))</f>
        <v/>
      </c>
      <c r="N36" s="15">
        <f>IF(COUNT(E36:L36)=0,"",LOOKUP(2,1/(E36:L36&lt;&gt;""),E36:L36))</f>
        <v/>
      </c>
      <c r="O36" s="17">
        <f>IF(M36="","",ROUND(M36*RESUMEN!$B$4,0))</f>
        <v/>
      </c>
      <c r="P36" s="18">
        <f>COUNT(E36:L36)</f>
        <v/>
      </c>
      <c r="Q36" s="19">
        <f>IF(COUNT(J36:L36)=0,"",MIN(J36:L36))</f>
        <v/>
      </c>
    </row>
    <row r="37">
      <c r="A37" s="13" t="inlineStr">
        <is>
          <t>64e78d3bae5c1</t>
        </is>
      </c>
      <c r="B37" s="13" t="inlineStr">
        <is>
          <t>ARETES BLOSSOM STAR GOLD</t>
        </is>
      </c>
      <c r="C37" s="13" t="inlineStr"/>
      <c r="D37" s="14" t="inlineStr">
        <is>
          <t>copper</t>
        </is>
      </c>
      <c r="E37" s="15" t="n">
        <v>6.8</v>
      </c>
      <c r="F37" s="13" t="n"/>
      <c r="G37" s="15" t="n">
        <v>6.8</v>
      </c>
      <c r="H37" s="13" t="n"/>
      <c r="I37" s="13" t="n"/>
      <c r="J37" s="13" t="n"/>
      <c r="K37" s="13" t="n"/>
      <c r="L37" s="13" t="n"/>
      <c r="M37" s="16">
        <f>IF(COUNT(E37:L37)=0,"",MIN(E37:L37))</f>
        <v/>
      </c>
      <c r="N37" s="15">
        <f>IF(COUNT(E37:L37)=0,"",LOOKUP(2,1/(E37:L37&lt;&gt;""),E37:L37))</f>
        <v/>
      </c>
      <c r="O37" s="17">
        <f>IF(M37="","",ROUND(M37*RESUMEN!$B$4,0))</f>
        <v/>
      </c>
      <c r="P37" s="18">
        <f>COUNT(E37:L37)</f>
        <v/>
      </c>
      <c r="Q37" s="19">
        <f>IF(COUNT(J37:L37)=0,"",MIN(J37:L37))</f>
        <v/>
      </c>
    </row>
    <row r="38">
      <c r="A38" s="13" t="inlineStr">
        <is>
          <t>94792221051565</t>
        </is>
      </c>
      <c r="B38" s="13" t="inlineStr">
        <is>
          <t>ARETES BLOSSOM STAR GOLD</t>
        </is>
      </c>
      <c r="C38" s="13" t="inlineStr">
        <is>
          <t>REGULAR</t>
        </is>
      </c>
      <c r="D38" s="14" t="inlineStr">
        <is>
          <t>copper</t>
        </is>
      </c>
      <c r="E38" s="13" t="n"/>
      <c r="F38" s="13" t="n"/>
      <c r="G38" s="13" t="n"/>
      <c r="H38" s="15" t="n">
        <v>6.8</v>
      </c>
      <c r="I38" s="13" t="n"/>
      <c r="J38" s="13" t="n"/>
      <c r="K38" s="15" t="n">
        <v>6.8</v>
      </c>
      <c r="L38" s="15" t="n">
        <v>6.8</v>
      </c>
      <c r="M38" s="16">
        <f>IF(COUNT(E38:L38)=0,"",MIN(E38:L38))</f>
        <v/>
      </c>
      <c r="N38" s="15">
        <f>IF(COUNT(E38:L38)=0,"",LOOKUP(2,1/(E38:L38&lt;&gt;""),E38:L38))</f>
        <v/>
      </c>
      <c r="O38" s="17">
        <f>IF(M38="","",ROUND(M38*RESUMEN!$B$4,0))</f>
        <v/>
      </c>
      <c r="P38" s="18">
        <f>COUNT(E38:L38)</f>
        <v/>
      </c>
      <c r="Q38" s="19">
        <f>IF(COUNT(J38:L38)=0,"",MIN(J38:L38))</f>
        <v/>
      </c>
    </row>
    <row r="39">
      <c r="A39" s="13" t="inlineStr">
        <is>
          <t>64e78d3baafe7</t>
        </is>
      </c>
      <c r="B39" s="13" t="inlineStr">
        <is>
          <t>ARETES BLOSSOM STAR ROSE GOLD</t>
        </is>
      </c>
      <c r="C39" s="13" t="inlineStr">
        <is>
          <t>white flower ros</t>
        </is>
      </c>
      <c r="D39" s="14" t="inlineStr">
        <is>
          <t>copper</t>
        </is>
      </c>
      <c r="E39" s="15" t="n">
        <v>6.8</v>
      </c>
      <c r="F39" s="13" t="n"/>
      <c r="G39" s="15" t="n">
        <v>6.8</v>
      </c>
      <c r="H39" s="15" t="n">
        <v>6.8</v>
      </c>
      <c r="I39" s="13" t="n"/>
      <c r="J39" s="15" t="n">
        <v>6.8</v>
      </c>
      <c r="K39" s="13" t="n"/>
      <c r="L39" s="15" t="n">
        <v>6.8</v>
      </c>
      <c r="M39" s="16">
        <f>IF(COUNT(E39:L39)=0,"",MIN(E39:L39))</f>
        <v/>
      </c>
      <c r="N39" s="15">
        <f>IF(COUNT(E39:L39)=0,"",LOOKUP(2,1/(E39:L39&lt;&gt;""),E39:L39))</f>
        <v/>
      </c>
      <c r="O39" s="17">
        <f>IF(M39="","",ROUND(M39*RESUMEN!$B$4,0))</f>
        <v/>
      </c>
      <c r="P39" s="18">
        <f>COUNT(E39:L39)</f>
        <v/>
      </c>
      <c r="Q39" s="19">
        <f>IF(COUNT(J39:L39)=0,"",MIN(J39:L39))</f>
        <v/>
      </c>
    </row>
    <row r="40">
      <c r="A40" s="13" t="inlineStr">
        <is>
          <t>64e78d3c1c538</t>
        </is>
      </c>
      <c r="B40" s="13" t="inlineStr">
        <is>
          <t>ARETES BLOSSOM STAR SILVER</t>
        </is>
      </c>
      <c r="C40" s="13" t="inlineStr">
        <is>
          <t>Default Title</t>
        </is>
      </c>
      <c r="D40" s="14" t="inlineStr">
        <is>
          <t>copper</t>
        </is>
      </c>
      <c r="E40" s="15" t="n">
        <v>6.8</v>
      </c>
      <c r="F40" s="13" t="n"/>
      <c r="G40" s="15" t="n">
        <v>6.8</v>
      </c>
      <c r="H40" s="13" t="n"/>
      <c r="I40" s="15" t="n">
        <v>6.8</v>
      </c>
      <c r="J40" s="15" t="n">
        <v>6.8</v>
      </c>
      <c r="K40" s="13" t="n"/>
      <c r="L40" s="13" t="n"/>
      <c r="M40" s="16">
        <f>IF(COUNT(E40:L40)=0,"",MIN(E40:L40))</f>
        <v/>
      </c>
      <c r="N40" s="15">
        <f>IF(COUNT(E40:L40)=0,"",LOOKUP(2,1/(E40:L40&lt;&gt;""),E40:L40))</f>
        <v/>
      </c>
      <c r="O40" s="17">
        <f>IF(M40="","",ROUND(M40*RESUMEN!$B$4,0))</f>
        <v/>
      </c>
      <c r="P40" s="18">
        <f>COUNT(E40:L40)</f>
        <v/>
      </c>
      <c r="Q40" s="19">
        <f>IF(COUNT(J40:L40)=0,"",MIN(J40:L40))</f>
        <v/>
      </c>
    </row>
    <row r="41">
      <c r="A41" s="13" t="inlineStr">
        <is>
          <t>665bb4e06b7c8</t>
        </is>
      </c>
      <c r="B41" s="13" t="inlineStr">
        <is>
          <t>ARETES CC DORADO</t>
        </is>
      </c>
      <c r="C41" s="13" t="inlineStr">
        <is>
          <t>Regular</t>
        </is>
      </c>
      <c r="D41" s="14" t="inlineStr">
        <is>
          <t>stainless steel</t>
        </is>
      </c>
      <c r="E41" s="15" t="n">
        <v>2</v>
      </c>
      <c r="F41" s="15" t="n">
        <v>2</v>
      </c>
      <c r="G41" s="13" t="n"/>
      <c r="H41" s="15" t="n">
        <v>2</v>
      </c>
      <c r="I41" s="13" t="n"/>
      <c r="J41" s="13" t="n"/>
      <c r="K41" s="15" t="n">
        <v>2</v>
      </c>
      <c r="L41" s="13" t="n"/>
      <c r="M41" s="16">
        <f>IF(COUNT(E41:L41)=0,"",MIN(E41:L41))</f>
        <v/>
      </c>
      <c r="N41" s="15">
        <f>IF(COUNT(E41:L41)=0,"",LOOKUP(2,1/(E41:L41&lt;&gt;""),E41:L41))</f>
        <v/>
      </c>
      <c r="O41" s="17">
        <f>IF(M41="","",ROUND(M41*RESUMEN!$B$4,0))</f>
        <v/>
      </c>
      <c r="P41" s="18">
        <f>COUNT(E41:L41)</f>
        <v/>
      </c>
      <c r="Q41" s="19">
        <f>IF(COUNT(J41:L41)=0,"",MIN(J41:L41))</f>
        <v/>
      </c>
    </row>
    <row r="42">
      <c r="A42" s="13" t="inlineStr">
        <is>
          <t>63ebd72976d60</t>
        </is>
      </c>
      <c r="B42" s="13" t="inlineStr">
        <is>
          <t>ARETES CC ROSE GOLD</t>
        </is>
      </c>
      <c r="C42" s="13" t="inlineStr">
        <is>
          <t>XGK 1.2cm rose g</t>
        </is>
      </c>
      <c r="D42" s="14" t="inlineStr">
        <is>
          <t>stainless steel</t>
        </is>
      </c>
      <c r="E42" s="15" t="n">
        <v>2</v>
      </c>
      <c r="F42" s="13" t="n"/>
      <c r="G42" s="15" t="n">
        <v>2</v>
      </c>
      <c r="H42" s="13" t="n"/>
      <c r="I42" s="15" t="n">
        <v>2</v>
      </c>
      <c r="J42" s="13" t="n"/>
      <c r="K42" s="15" t="n">
        <v>2</v>
      </c>
      <c r="L42" s="15" t="n">
        <v>2</v>
      </c>
      <c r="M42" s="16">
        <f>IF(COUNT(E42:L42)=0,"",MIN(E42:L42))</f>
        <v/>
      </c>
      <c r="N42" s="15">
        <f>IF(COUNT(E42:L42)=0,"",LOOKUP(2,1/(E42:L42&lt;&gt;""),E42:L42))</f>
        <v/>
      </c>
      <c r="O42" s="17">
        <f>IF(M42="","",ROUND(M42*RESUMEN!$B$4,0))</f>
        <v/>
      </c>
      <c r="P42" s="18">
        <f>COUNT(E42:L42)</f>
        <v/>
      </c>
      <c r="Q42" s="19">
        <f>IF(COUNT(J42:L42)=0,"",MIN(J42:L42))</f>
        <v/>
      </c>
    </row>
    <row r="43">
      <c r="A43" s="13" t="inlineStr">
        <is>
          <t>63e0bb0816c62</t>
        </is>
      </c>
      <c r="B43" s="13" t="inlineStr">
        <is>
          <t>ARETES CC SILVER</t>
        </is>
      </c>
      <c r="C43" s="13" t="inlineStr">
        <is>
          <t>Default Title</t>
        </is>
      </c>
      <c r="D43" s="14" t="inlineStr">
        <is>
          <t>copper</t>
        </is>
      </c>
      <c r="E43" s="13" t="n"/>
      <c r="F43" s="13" t="n"/>
      <c r="G43" s="13" t="n"/>
      <c r="H43" s="13" t="n"/>
      <c r="I43" s="15" t="n">
        <v>2</v>
      </c>
      <c r="J43" s="13" t="n"/>
      <c r="K43" s="15" t="n">
        <v>2</v>
      </c>
      <c r="L43" s="15" t="n">
        <v>2</v>
      </c>
      <c r="M43" s="16">
        <f>IF(COUNT(E43:L43)=0,"",MIN(E43:L43))</f>
        <v/>
      </c>
      <c r="N43" s="15">
        <f>IF(COUNT(E43:L43)=0,"",LOOKUP(2,1/(E43:L43&lt;&gt;""),E43:L43))</f>
        <v/>
      </c>
      <c r="O43" s="17">
        <f>IF(M43="","",ROUND(M43*RESUMEN!$B$4,0))</f>
        <v/>
      </c>
      <c r="P43" s="18">
        <f>COUNT(E43:L43)</f>
        <v/>
      </c>
      <c r="Q43" s="19">
        <f>IF(COUNT(J43:L43)=0,"",MIN(J43:L43))</f>
        <v/>
      </c>
    </row>
    <row r="44">
      <c r="A44" s="13" t="inlineStr">
        <is>
          <t>8275727247244</t>
        </is>
      </c>
      <c r="B44" s="13" t="inlineStr">
        <is>
          <t>ARETES CD COLGANTES</t>
        </is>
      </c>
      <c r="C44" s="13" t="inlineStr">
        <is>
          <t>Default Title</t>
        </is>
      </c>
      <c r="D44" s="14" t="inlineStr">
        <is>
          <t>copper,zircon</t>
        </is>
      </c>
      <c r="E44" s="13" t="n"/>
      <c r="F44" s="15" t="n">
        <v>8.800000000000001</v>
      </c>
      <c r="G44" s="13" t="n"/>
      <c r="H44" s="15" t="n">
        <v>8.800000000000001</v>
      </c>
      <c r="I44" s="15" t="n">
        <v>8.800000000000001</v>
      </c>
      <c r="J44" s="13" t="n"/>
      <c r="K44" s="15" t="n">
        <v>8.800000000000001</v>
      </c>
      <c r="L44" s="13" t="n"/>
      <c r="M44" s="16">
        <f>IF(COUNT(E44:L44)=0,"",MIN(E44:L44))</f>
        <v/>
      </c>
      <c r="N44" s="15">
        <f>IF(COUNT(E44:L44)=0,"",LOOKUP(2,1/(E44:L44&lt;&gt;""),E44:L44))</f>
        <v/>
      </c>
      <c r="O44" s="17">
        <f>IF(M44="","",ROUND(M44*RESUMEN!$B$4,0))</f>
        <v/>
      </c>
      <c r="P44" s="18">
        <f>COUNT(E44:L44)</f>
        <v/>
      </c>
      <c r="Q44" s="19">
        <f>IF(COUNT(J44:L44)=0,"",MIN(J44:L44))</f>
        <v/>
      </c>
    </row>
    <row r="45">
      <c r="A45" s="13" t="inlineStr">
        <is>
          <t>64e78e725d8db</t>
        </is>
      </c>
      <c r="B45" s="13" t="inlineStr">
        <is>
          <t>ARETES CD CON PERLA GOLD DR</t>
        </is>
      </c>
      <c r="C45" s="13" t="inlineStr">
        <is>
          <t>XGJSA306 gold</t>
        </is>
      </c>
      <c r="D45" s="14" t="inlineStr">
        <is>
          <t>copper</t>
        </is>
      </c>
      <c r="E45" s="15" t="n">
        <v>6.08</v>
      </c>
      <c r="F45" s="13" t="n"/>
      <c r="G45" s="15" t="n">
        <v>6.08</v>
      </c>
      <c r="H45" s="13" t="n"/>
      <c r="I45" s="15" t="n">
        <v>6.08</v>
      </c>
      <c r="J45" s="13" t="n"/>
      <c r="K45" s="15" t="n">
        <v>6.08</v>
      </c>
      <c r="L45" s="15" t="n">
        <v>6.08</v>
      </c>
      <c r="M45" s="16">
        <f>IF(COUNT(E45:L45)=0,"",MIN(E45:L45))</f>
        <v/>
      </c>
      <c r="N45" s="15">
        <f>IF(COUNT(E45:L45)=0,"",LOOKUP(2,1/(E45:L45&lt;&gt;""),E45:L45))</f>
        <v/>
      </c>
      <c r="O45" s="17">
        <f>IF(M45="","",ROUND(M45*RESUMEN!$B$4,0))</f>
        <v/>
      </c>
      <c r="P45" s="18">
        <f>COUNT(E45:L45)</f>
        <v/>
      </c>
      <c r="Q45" s="19">
        <f>IF(COUNT(J45:L45)=0,"",MIN(J45:L45))</f>
        <v/>
      </c>
    </row>
    <row r="46">
      <c r="A46" s="13" t="inlineStr">
        <is>
          <t>665bb4e678422</t>
        </is>
      </c>
      <c r="B46" s="13" t="inlineStr">
        <is>
          <t>ARETES CD GOLD</t>
        </is>
      </c>
      <c r="C46" s="13" t="inlineStr">
        <is>
          <t>XGYY gold</t>
        </is>
      </c>
      <c r="D46" s="14" t="inlineStr">
        <is>
          <t>copper</t>
        </is>
      </c>
      <c r="E46" s="15" t="n">
        <v>7</v>
      </c>
      <c r="F46" s="13" t="n"/>
      <c r="G46" s="15" t="n">
        <v>7</v>
      </c>
      <c r="H46" s="13" t="n"/>
      <c r="I46" s="15" t="n">
        <v>7</v>
      </c>
      <c r="J46" s="13" t="n"/>
      <c r="K46" s="15" t="n">
        <v>7</v>
      </c>
      <c r="L46" s="15" t="n">
        <v>7</v>
      </c>
      <c r="M46" s="16">
        <f>IF(COUNT(E46:L46)=0,"",MIN(E46:L46))</f>
        <v/>
      </c>
      <c r="N46" s="15">
        <f>IF(COUNT(E46:L46)=0,"",LOOKUP(2,1/(E46:L46&lt;&gt;""),E46:L46))</f>
        <v/>
      </c>
      <c r="O46" s="17">
        <f>IF(M46="","",ROUND(M46*RESUMEN!$B$4,0))</f>
        <v/>
      </c>
      <c r="P46" s="18">
        <f>COUNT(E46:L46)</f>
        <v/>
      </c>
      <c r="Q46" s="19">
        <f>IF(COUNT(J46:L46)=0,"",MIN(J46:L46))</f>
        <v/>
      </c>
    </row>
    <row r="47">
      <c r="A47" s="13" t="inlineStr">
        <is>
          <t>665bd4aee8cb5</t>
        </is>
      </c>
      <c r="B47" s="13" t="inlineStr">
        <is>
          <t>ARETES CD PERLAS/ ZIRCONIAS</t>
        </is>
      </c>
      <c r="C47" s="13" t="inlineStr">
        <is>
          <t>Default Title</t>
        </is>
      </c>
      <c r="D47" s="14" t="inlineStr">
        <is>
          <t>copper,Imitation p</t>
        </is>
      </c>
      <c r="E47" s="13" t="n"/>
      <c r="F47" s="15" t="n">
        <v>8.800000000000001</v>
      </c>
      <c r="G47" s="15" t="n">
        <v>8.800000000000001</v>
      </c>
      <c r="H47" s="13" t="n"/>
      <c r="I47" s="13" t="n"/>
      <c r="J47" s="13" t="n"/>
      <c r="K47" s="15" t="n">
        <v>8.800000000000001</v>
      </c>
      <c r="L47" s="13" t="n"/>
      <c r="M47" s="16">
        <f>IF(COUNT(E47:L47)=0,"",MIN(E47:L47))</f>
        <v/>
      </c>
      <c r="N47" s="15">
        <f>IF(COUNT(E47:L47)=0,"",LOOKUP(2,1/(E47:L47&lt;&gt;""),E47:L47))</f>
        <v/>
      </c>
      <c r="O47" s="17">
        <f>IF(M47="","",ROUND(M47*RESUMEN!$B$4,0))</f>
        <v/>
      </c>
      <c r="P47" s="18">
        <f>COUNT(E47:L47)</f>
        <v/>
      </c>
      <c r="Q47" s="19">
        <f>IF(COUNT(J47:L47)=0,"",MIN(J47:L47))</f>
        <v/>
      </c>
    </row>
    <row r="48">
      <c r="A48" s="13" t="inlineStr">
        <is>
          <t>15711172330573</t>
        </is>
      </c>
      <c r="B48" s="13" t="inlineStr">
        <is>
          <t>ARETES CD PETIT JOLIE GOLD</t>
        </is>
      </c>
      <c r="C48" s="13" t="inlineStr">
        <is>
          <t>Default Title</t>
        </is>
      </c>
      <c r="D48" s="14" t="inlineStr">
        <is>
          <t>copper,zircon</t>
        </is>
      </c>
      <c r="E48" s="13" t="n"/>
      <c r="F48" s="15" t="n">
        <v>5.5</v>
      </c>
      <c r="G48" s="15" t="n">
        <v>6</v>
      </c>
      <c r="H48" s="15" t="n">
        <v>6</v>
      </c>
      <c r="I48" s="13" t="n"/>
      <c r="J48" s="15" t="n">
        <v>6.8</v>
      </c>
      <c r="K48" s="13" t="n"/>
      <c r="L48" s="13" t="n"/>
      <c r="M48" s="16">
        <f>IF(COUNT(E48:L48)=0,"",MIN(E48:L48))</f>
        <v/>
      </c>
      <c r="N48" s="15">
        <f>IF(COUNT(E48:L48)=0,"",LOOKUP(2,1/(E48:L48&lt;&gt;""),E48:L48))</f>
        <v/>
      </c>
      <c r="O48" s="17">
        <f>IF(M48="","",ROUND(M48*RESUMEN!$B$4,0))</f>
        <v/>
      </c>
      <c r="P48" s="18">
        <f>COUNT(E48:L48)</f>
        <v/>
      </c>
      <c r="Q48" s="19">
        <f>IF(COUNT(J48:L48)=0,"",MIN(J48:L48))</f>
        <v/>
      </c>
    </row>
    <row r="49">
      <c r="A49" s="13" t="inlineStr">
        <is>
          <t>89633861063789</t>
        </is>
      </c>
      <c r="B49" s="13" t="inlineStr">
        <is>
          <t>ARETES CD ROUND LOGO CON ZIRCONIAS</t>
        </is>
      </c>
      <c r="C49" s="13" t="inlineStr">
        <is>
          <t>HIGH QUALITY</t>
        </is>
      </c>
      <c r="D49" s="14" t="inlineStr">
        <is>
          <t>copper,zircon</t>
        </is>
      </c>
      <c r="E49" s="13" t="n"/>
      <c r="F49" s="15" t="n">
        <v>7</v>
      </c>
      <c r="G49" s="15" t="n">
        <v>7</v>
      </c>
      <c r="H49" s="13" t="n"/>
      <c r="I49" s="13" t="n"/>
      <c r="J49" s="13" t="n"/>
      <c r="K49" s="13" t="n"/>
      <c r="L49" s="13" t="n"/>
      <c r="M49" s="16">
        <f>IF(COUNT(E49:L49)=0,"",MIN(E49:L49))</f>
        <v/>
      </c>
      <c r="N49" s="15">
        <f>IF(COUNT(E49:L49)=0,"",LOOKUP(2,1/(E49:L49&lt;&gt;""),E49:L49))</f>
        <v/>
      </c>
      <c r="O49" s="17">
        <f>IF(M49="","",ROUND(M49*RESUMEN!$B$4,0))</f>
        <v/>
      </c>
      <c r="P49" s="18">
        <f>COUNT(E49:L49)</f>
        <v/>
      </c>
      <c r="Q49" s="19">
        <f>IF(COUNT(J49:L49)=0,"",MIN(J49:L49))</f>
        <v/>
      </c>
    </row>
    <row r="50">
      <c r="A50" s="13" t="inlineStr">
        <is>
          <t>15711172277517</t>
        </is>
      </c>
      <c r="B50" s="13" t="inlineStr">
        <is>
          <t>ARETES CD SADDLE GOLD</t>
        </is>
      </c>
      <c r="C50" s="13" t="inlineStr">
        <is>
          <t>3 cm</t>
        </is>
      </c>
      <c r="D50" s="14" t="inlineStr"/>
      <c r="E50" s="13" t="n"/>
      <c r="F50" s="15" t="n">
        <v>7</v>
      </c>
      <c r="G50" s="13" t="n"/>
      <c r="H50" s="13" t="n"/>
      <c r="I50" s="13" t="n"/>
      <c r="J50" s="13" t="n"/>
      <c r="K50" s="13" t="n"/>
      <c r="L50" s="13" t="n"/>
      <c r="M50" s="16">
        <f>IF(COUNT(E50:L50)=0,"",MIN(E50:L50))</f>
        <v/>
      </c>
      <c r="N50" s="15">
        <f>IF(COUNT(E50:L50)=0,"",LOOKUP(2,1/(E50:L50&lt;&gt;""),E50:L50))</f>
        <v/>
      </c>
      <c r="O50" s="17">
        <f>IF(M50="","",ROUND(M50*RESUMEN!$B$4,0))</f>
        <v/>
      </c>
      <c r="P50" s="18">
        <f>COUNT(E50:L50)</f>
        <v/>
      </c>
      <c r="Q50" s="19">
        <f>IF(COUNT(J50:L50)=0,"",MIN(J50:L50))</f>
        <v/>
      </c>
    </row>
    <row r="51">
      <c r="A51" s="13" t="inlineStr">
        <is>
          <t>677c26b6bfd93</t>
        </is>
      </c>
      <c r="B51" s="13" t="inlineStr">
        <is>
          <t>ARETES CD SILVER</t>
        </is>
      </c>
      <c r="C51" s="13" t="inlineStr">
        <is>
          <t>silver</t>
        </is>
      </c>
      <c r="D51" s="14" t="inlineStr">
        <is>
          <t>copper</t>
        </is>
      </c>
      <c r="E51" s="15" t="n">
        <v>6.8</v>
      </c>
      <c r="F51" s="13" t="n"/>
      <c r="G51" s="13" t="n"/>
      <c r="H51" s="13" t="n"/>
      <c r="I51" s="15" t="n">
        <v>7</v>
      </c>
      <c r="J51" s="13" t="n"/>
      <c r="K51" s="15" t="n">
        <v>7</v>
      </c>
      <c r="L51" s="15" t="n">
        <v>6.8</v>
      </c>
      <c r="M51" s="16">
        <f>IF(COUNT(E51:L51)=0,"",MIN(E51:L51))</f>
        <v/>
      </c>
      <c r="N51" s="15">
        <f>IF(COUNT(E51:L51)=0,"",LOOKUP(2,1/(E51:L51&lt;&gt;""),E51:L51))</f>
        <v/>
      </c>
      <c r="O51" s="17">
        <f>IF(M51="","",ROUND(M51*RESUMEN!$B$4,0))</f>
        <v/>
      </c>
      <c r="P51" s="18">
        <f>COUNT(E51:L51)</f>
        <v/>
      </c>
      <c r="Q51" s="19">
        <f>IF(COUNT(J51:L51)=0,"",MIN(J51:L51))</f>
        <v/>
      </c>
    </row>
    <row r="52">
      <c r="A52" s="13" t="inlineStr">
        <is>
          <t>17235661006529</t>
        </is>
      </c>
      <c r="B52" s="13" t="inlineStr">
        <is>
          <t>ARETES CD TRIBALES</t>
        </is>
      </c>
      <c r="C52" s="13" t="inlineStr">
        <is>
          <t>Default Title</t>
        </is>
      </c>
      <c r="D52" s="14" t="inlineStr">
        <is>
          <t>copper,Imitation p</t>
        </is>
      </c>
      <c r="E52" s="13" t="n"/>
      <c r="F52" s="13" t="n"/>
      <c r="G52" s="15" t="n">
        <v>8.800000000000001</v>
      </c>
      <c r="H52" s="15" t="n">
        <v>8.800000000000001</v>
      </c>
      <c r="I52" s="13" t="n"/>
      <c r="J52" s="13" t="n"/>
      <c r="K52" s="15" t="n">
        <v>8.800000000000001</v>
      </c>
      <c r="L52" s="15" t="n">
        <v>8.800000000000001</v>
      </c>
      <c r="M52" s="16">
        <f>IF(COUNT(E52:L52)=0,"",MIN(E52:L52))</f>
        <v/>
      </c>
      <c r="N52" s="15">
        <f>IF(COUNT(E52:L52)=0,"",LOOKUP(2,1/(E52:L52&lt;&gt;""),E52:L52))</f>
        <v/>
      </c>
      <c r="O52" s="17">
        <f>IF(M52="","",ROUND(M52*RESUMEN!$B$4,0))</f>
        <v/>
      </c>
      <c r="P52" s="18">
        <f>COUNT(E52:L52)</f>
        <v/>
      </c>
      <c r="Q52" s="19">
        <f>IF(COUNT(J52:L52)=0,"",MIN(J52:L52))</f>
        <v/>
      </c>
    </row>
    <row r="53">
      <c r="A53" s="13" t="inlineStr">
        <is>
          <t>66178b9555250</t>
        </is>
      </c>
      <c r="B53" s="13" t="inlineStr">
        <is>
          <t>ARETES CLASH ROSEGOLD ZIRCONIA</t>
        </is>
      </c>
      <c r="C53" s="13" t="inlineStr">
        <is>
          <t>Default Title</t>
        </is>
      </c>
      <c r="D53" s="14" t="inlineStr"/>
      <c r="E53" s="15" t="n">
        <v>5.3</v>
      </c>
      <c r="F53" s="13" t="n"/>
      <c r="G53" s="13" t="n"/>
      <c r="H53" s="13" t="n"/>
      <c r="I53" s="13" t="n"/>
      <c r="J53" s="13" t="n"/>
      <c r="K53" s="15" t="n">
        <v>5.3</v>
      </c>
      <c r="L53" s="13" t="n"/>
      <c r="M53" s="16">
        <f>IF(COUNT(E53:L53)=0,"",MIN(E53:L53))</f>
        <v/>
      </c>
      <c r="N53" s="15">
        <f>IF(COUNT(E53:L53)=0,"",LOOKUP(2,1/(E53:L53&lt;&gt;""),E53:L53))</f>
        <v/>
      </c>
      <c r="O53" s="17">
        <f>IF(M53="","",ROUND(M53*RESUMEN!$B$4,0))</f>
        <v/>
      </c>
      <c r="P53" s="18">
        <f>COUNT(E53:L53)</f>
        <v/>
      </c>
      <c r="Q53" s="19">
        <f>IF(COUNT(J53:L53)=0,"",MIN(J53:L53))</f>
        <v/>
      </c>
    </row>
    <row r="54">
      <c r="A54" s="13" t="inlineStr">
        <is>
          <t>43047217758348</t>
        </is>
      </c>
      <c r="B54" s="13" t="inlineStr">
        <is>
          <t>ARETES CORAZÓN GRABADO GOLD</t>
        </is>
      </c>
      <c r="C54" s="13" t="inlineStr">
        <is>
          <t>XGX101847 gold</t>
        </is>
      </c>
      <c r="D54" s="14" t="inlineStr">
        <is>
          <t>stainless steel</t>
        </is>
      </c>
      <c r="E54" s="15" t="n">
        <v>5.88</v>
      </c>
      <c r="F54" s="15" t="n">
        <v>5.88</v>
      </c>
      <c r="G54" s="13" t="n"/>
      <c r="H54" s="15" t="n">
        <v>5.4</v>
      </c>
      <c r="I54" s="15" t="n">
        <v>5.88</v>
      </c>
      <c r="J54" s="15" t="n">
        <v>5.88</v>
      </c>
      <c r="K54" s="15" t="n">
        <v>5.88</v>
      </c>
      <c r="L54" s="15" t="n">
        <v>5.4</v>
      </c>
      <c r="M54" s="16">
        <f>IF(COUNT(E54:L54)=0,"",MIN(E54:L54))</f>
        <v/>
      </c>
      <c r="N54" s="15">
        <f>IF(COUNT(E54:L54)=0,"",LOOKUP(2,1/(E54:L54&lt;&gt;""),E54:L54))</f>
        <v/>
      </c>
      <c r="O54" s="17">
        <f>IF(M54="","",ROUND(M54*RESUMEN!$B$4,0))</f>
        <v/>
      </c>
      <c r="P54" s="18">
        <f>COUNT(E54:L54)</f>
        <v/>
      </c>
      <c r="Q54" s="19">
        <f>IF(COUNT(J54:L54)=0,"",MIN(J54:L54))</f>
        <v/>
      </c>
    </row>
    <row r="55">
      <c r="A55" s="13" t="inlineStr">
        <is>
          <t>43047204716684</t>
        </is>
      </c>
      <c r="B55" s="13" t="inlineStr">
        <is>
          <t>ARETES CORAZÓN GRABADO ROSEGOLD</t>
        </is>
      </c>
      <c r="C55" s="13" t="inlineStr">
        <is>
          <t>Default Title</t>
        </is>
      </c>
      <c r="D55" s="14" t="inlineStr">
        <is>
          <t>stainless steel</t>
        </is>
      </c>
      <c r="E55" s="15" t="n">
        <v>5.88</v>
      </c>
      <c r="F55" s="13" t="n"/>
      <c r="G55" s="13" t="n"/>
      <c r="H55" s="15" t="n">
        <v>5.4</v>
      </c>
      <c r="I55" s="13" t="n"/>
      <c r="J55" s="13" t="n"/>
      <c r="K55" s="13" t="n"/>
      <c r="L55" s="13" t="n"/>
      <c r="M55" s="16">
        <f>IF(COUNT(E55:L55)=0,"",MIN(E55:L55))</f>
        <v/>
      </c>
      <c r="N55" s="15">
        <f>IF(COUNT(E55:L55)=0,"",LOOKUP(2,1/(E55:L55&lt;&gt;""),E55:L55))</f>
        <v/>
      </c>
      <c r="O55" s="17">
        <f>IF(M55="","",ROUND(M55*RESUMEN!$B$4,0))</f>
        <v/>
      </c>
      <c r="P55" s="18">
        <f>COUNT(E55:L55)</f>
        <v/>
      </c>
      <c r="Q55" s="19">
        <f>IF(COUNT(J55:L55)=0,"",MIN(J55:L55))</f>
        <v/>
      </c>
    </row>
    <row r="56">
      <c r="A56" s="13" t="inlineStr">
        <is>
          <t>43047196360844</t>
        </is>
      </c>
      <c r="B56" s="13" t="inlineStr">
        <is>
          <t>ARETES CORAZÓN GRABADO SILVER</t>
        </is>
      </c>
      <c r="C56" s="13" t="inlineStr">
        <is>
          <t>Default Title</t>
        </is>
      </c>
      <c r="D56" s="14" t="inlineStr">
        <is>
          <t>stainless steel</t>
        </is>
      </c>
      <c r="E56" s="15" t="n">
        <v>5.88</v>
      </c>
      <c r="F56" s="15" t="n">
        <v>5.88</v>
      </c>
      <c r="G56" s="15" t="n">
        <v>5.88</v>
      </c>
      <c r="H56" s="15" t="n">
        <v>5.4</v>
      </c>
      <c r="I56" s="15" t="n">
        <v>5.88</v>
      </c>
      <c r="J56" s="13" t="n"/>
      <c r="K56" s="15" t="n">
        <v>5.88</v>
      </c>
      <c r="L56" s="15" t="n">
        <v>5.4</v>
      </c>
      <c r="M56" s="16">
        <f>IF(COUNT(E56:L56)=0,"",MIN(E56:L56))</f>
        <v/>
      </c>
      <c r="N56" s="15">
        <f>IF(COUNT(E56:L56)=0,"",LOOKUP(2,1/(E56:L56&lt;&gt;""),E56:L56))</f>
        <v/>
      </c>
      <c r="O56" s="17">
        <f>IF(M56="","",ROUND(M56*RESUMEN!$B$4,0))</f>
        <v/>
      </c>
      <c r="P56" s="18">
        <f>COUNT(E56:L56)</f>
        <v/>
      </c>
      <c r="Q56" s="19">
        <f>IF(COUNT(J56:L56)=0,"",MIN(J56:L56))</f>
        <v/>
      </c>
    </row>
    <row r="57">
      <c r="A57" s="13" t="inlineStr">
        <is>
          <t>43047211597964</t>
        </is>
      </c>
      <c r="B57" s="13" t="inlineStr">
        <is>
          <t>ARETES CORAZÓN PLACA GRABADO GOLD</t>
        </is>
      </c>
      <c r="C57" s="13" t="inlineStr">
        <is>
          <t>Regular</t>
        </is>
      </c>
      <c r="D57" s="14" t="inlineStr">
        <is>
          <t>stainless steel</t>
        </is>
      </c>
      <c r="E57" s="15" t="n">
        <v>7</v>
      </c>
      <c r="F57" s="13" t="n"/>
      <c r="G57" s="13" t="n"/>
      <c r="H57" s="13" t="n"/>
      <c r="I57" s="13" t="n"/>
      <c r="J57" s="13" t="n"/>
      <c r="K57" s="15" t="n">
        <v>7</v>
      </c>
      <c r="L57" s="13" t="n"/>
      <c r="M57" s="16">
        <f>IF(COUNT(E57:L57)=0,"",MIN(E57:L57))</f>
        <v/>
      </c>
      <c r="N57" s="15">
        <f>IF(COUNT(E57:L57)=0,"",LOOKUP(2,1/(E57:L57&lt;&gt;""),E57:L57))</f>
        <v/>
      </c>
      <c r="O57" s="17">
        <f>IF(M57="","",ROUND(M57*RESUMEN!$B$4,0))</f>
        <v/>
      </c>
      <c r="P57" s="18">
        <f>COUNT(E57:L57)</f>
        <v/>
      </c>
      <c r="Q57" s="19">
        <f>IF(COUNT(J57:L57)=0,"",MIN(J57:L57))</f>
        <v/>
      </c>
    </row>
    <row r="58">
      <c r="A58" s="13" t="inlineStr">
        <is>
          <t>38332091970605</t>
        </is>
      </c>
      <c r="B58" s="13" t="inlineStr">
        <is>
          <t>ARETES DG CON PERLA GOLD</t>
        </is>
      </c>
      <c r="C58" s="13" t="inlineStr">
        <is>
          <t>Default Title</t>
        </is>
      </c>
      <c r="D58" s="14" t="inlineStr">
        <is>
          <t>copper</t>
        </is>
      </c>
      <c r="E58" s="13" t="n"/>
      <c r="F58" s="13" t="n"/>
      <c r="G58" s="15" t="n">
        <v>8.800000000000001</v>
      </c>
      <c r="H58" s="13" t="n"/>
      <c r="I58" s="13" t="n"/>
      <c r="J58" s="13" t="n"/>
      <c r="K58" s="15" t="n">
        <v>8.800000000000001</v>
      </c>
      <c r="L58" s="13" t="n"/>
      <c r="M58" s="16">
        <f>IF(COUNT(E58:L58)=0,"",MIN(E58:L58))</f>
        <v/>
      </c>
      <c r="N58" s="15">
        <f>IF(COUNT(E58:L58)=0,"",LOOKUP(2,1/(E58:L58&lt;&gt;""),E58:L58))</f>
        <v/>
      </c>
      <c r="O58" s="17">
        <f>IF(M58="","",ROUND(M58*RESUMEN!$B$4,0))</f>
        <v/>
      </c>
      <c r="P58" s="18">
        <f>COUNT(E58:L58)</f>
        <v/>
      </c>
      <c r="Q58" s="19">
        <f>IF(COUNT(J58:L58)=0,"",MIN(J58:L58))</f>
        <v/>
      </c>
    </row>
    <row r="59">
      <c r="A59" s="13" t="inlineStr">
        <is>
          <t>15711172175405</t>
        </is>
      </c>
      <c r="B59" s="13" t="inlineStr">
        <is>
          <t>ARETES DIORIVIERA GOLD CD</t>
        </is>
      </c>
      <c r="C59" s="13" t="inlineStr">
        <is>
          <t>Default Title</t>
        </is>
      </c>
      <c r="D59" s="14" t="inlineStr">
        <is>
          <t>copper,Imitation p</t>
        </is>
      </c>
      <c r="E59" s="13" t="n"/>
      <c r="F59" s="15" t="n">
        <v>10</v>
      </c>
      <c r="G59" s="13" t="n"/>
      <c r="H59" s="15" t="n">
        <v>10</v>
      </c>
      <c r="I59" s="13" t="n"/>
      <c r="J59" s="13" t="n"/>
      <c r="K59" s="13" t="n"/>
      <c r="L59" s="15" t="n">
        <v>10</v>
      </c>
      <c r="M59" s="16">
        <f>IF(COUNT(E59:L59)=0,"",MIN(E59:L59))</f>
        <v/>
      </c>
      <c r="N59" s="15">
        <f>IF(COUNT(E59:L59)=0,"",LOOKUP(2,1/(E59:L59&lt;&gt;""),E59:L59))</f>
        <v/>
      </c>
      <c r="O59" s="17">
        <f>IF(M59="","",ROUND(M59*RESUMEN!$B$4,0))</f>
        <v/>
      </c>
      <c r="P59" s="18">
        <f>COUNT(E59:L59)</f>
        <v/>
      </c>
      <c r="Q59" s="19">
        <f>IF(COUNT(J59:L59)=0,"",MIN(J59:L59))</f>
        <v/>
      </c>
    </row>
    <row r="60">
      <c r="A60" s="13" t="inlineStr">
        <is>
          <t>43071800901772</t>
        </is>
      </c>
      <c r="B60" s="13" t="inlineStr">
        <is>
          <t>ARETES F GOLD BLACK</t>
        </is>
      </c>
      <c r="C60" s="13" t="inlineStr">
        <is>
          <t>Regular</t>
        </is>
      </c>
      <c r="D60" s="14" t="inlineStr">
        <is>
          <t>copper</t>
        </is>
      </c>
      <c r="E60" s="13" t="n"/>
      <c r="F60" s="13" t="n"/>
      <c r="G60" s="15" t="n">
        <v>8.800000000000001</v>
      </c>
      <c r="H60" s="13" t="n"/>
      <c r="I60" s="13" t="n"/>
      <c r="J60" s="13" t="n"/>
      <c r="K60" s="15" t="n">
        <v>8.800000000000001</v>
      </c>
      <c r="L60" s="13" t="n"/>
      <c r="M60" s="16">
        <f>IF(COUNT(E60:L60)=0,"",MIN(E60:L60))</f>
        <v/>
      </c>
      <c r="N60" s="15">
        <f>IF(COUNT(E60:L60)=0,"",LOOKUP(2,1/(E60:L60&lt;&gt;""),E60:L60))</f>
        <v/>
      </c>
      <c r="O60" s="17">
        <f>IF(M60="","",ROUND(M60*RESUMEN!$B$4,0))</f>
        <v/>
      </c>
      <c r="P60" s="18">
        <f>COUNT(E60:L60)</f>
        <v/>
      </c>
      <c r="Q60" s="19">
        <f>IF(COUNT(J60:L60)=0,"",MIN(J60:L60))</f>
        <v/>
      </c>
    </row>
    <row r="61">
      <c r="A61" s="13" t="inlineStr">
        <is>
          <t>38332091513773</t>
        </is>
      </c>
      <c r="B61" s="13" t="inlineStr">
        <is>
          <t>ARETES LOGO CC GOLD CON ZIRCONIAS</t>
        </is>
      </c>
      <c r="C61" s="13" t="inlineStr">
        <is>
          <t>gold</t>
        </is>
      </c>
      <c r="D61" s="14" t="inlineStr">
        <is>
          <t>copper,zircon</t>
        </is>
      </c>
      <c r="E61" s="13" t="n"/>
      <c r="F61" s="15" t="n">
        <v>3.78</v>
      </c>
      <c r="G61" s="15" t="n">
        <v>3.78</v>
      </c>
      <c r="H61" s="13" t="n"/>
      <c r="I61" s="13" t="n"/>
      <c r="J61" s="15" t="n">
        <v>3.78</v>
      </c>
      <c r="K61" s="13" t="n"/>
      <c r="L61" s="15" t="n">
        <v>3.78</v>
      </c>
      <c r="M61" s="16">
        <f>IF(COUNT(E61:L61)=0,"",MIN(E61:L61))</f>
        <v/>
      </c>
      <c r="N61" s="15">
        <f>IF(COUNT(E61:L61)=0,"",LOOKUP(2,1/(E61:L61&lt;&gt;""),E61:L61))</f>
        <v/>
      </c>
      <c r="O61" s="17">
        <f>IF(M61="","",ROUND(M61*RESUMEN!$B$4,0))</f>
        <v/>
      </c>
      <c r="P61" s="18">
        <f>COUNT(E61:L61)</f>
        <v/>
      </c>
      <c r="Q61" s="19">
        <f>IF(COUNT(J61:L61)=0,"",MIN(J61:L61))</f>
        <v/>
      </c>
    </row>
    <row r="62">
      <c r="A62" s="13" t="inlineStr">
        <is>
          <t>665bb51b8f87b-1</t>
        </is>
      </c>
      <c r="B62" s="13" t="inlineStr">
        <is>
          <t>ARETES LOVE DORADOS</t>
        </is>
      </c>
      <c r="C62" s="13" t="inlineStr">
        <is>
          <t>Regular</t>
        </is>
      </c>
      <c r="D62" s="14" t="inlineStr">
        <is>
          <t>stainless steel</t>
        </is>
      </c>
      <c r="E62" s="15" t="n">
        <v>2.6</v>
      </c>
      <c r="F62" s="13" t="n"/>
      <c r="G62" s="15" t="n">
        <v>2.6</v>
      </c>
      <c r="H62" s="13" t="n"/>
      <c r="I62" s="13" t="n"/>
      <c r="J62" s="13" t="n"/>
      <c r="K62" s="15" t="n">
        <v>2.6</v>
      </c>
      <c r="L62" s="15" t="n">
        <v>2.6</v>
      </c>
      <c r="M62" s="16">
        <f>IF(COUNT(E62:L62)=0,"",MIN(E62:L62))</f>
        <v/>
      </c>
      <c r="N62" s="15">
        <f>IF(COUNT(E62:L62)=0,"",LOOKUP(2,1/(E62:L62&lt;&gt;""),E62:L62))</f>
        <v/>
      </c>
      <c r="O62" s="17">
        <f>IF(M62="","",ROUND(M62*RESUMEN!$B$4,0))</f>
        <v/>
      </c>
      <c r="P62" s="18">
        <f>COUNT(E62:L62)</f>
        <v/>
      </c>
      <c r="Q62" s="19">
        <f>IF(COUNT(J62:L62)=0,"",MIN(J62:L62))</f>
        <v/>
      </c>
    </row>
    <row r="63">
      <c r="A63" s="13" t="inlineStr">
        <is>
          <t>6617867e8acd0</t>
        </is>
      </c>
      <c r="B63" s="13" t="inlineStr">
        <is>
          <t>ARETES LOVE GOLD CON ZIRCONIA</t>
        </is>
      </c>
      <c r="C63" s="13" t="inlineStr">
        <is>
          <t>Default Title</t>
        </is>
      </c>
      <c r="D63" s="14" t="inlineStr">
        <is>
          <t>stainless steel</t>
        </is>
      </c>
      <c r="E63" s="15" t="n">
        <v>2.6</v>
      </c>
      <c r="F63" s="13" t="n"/>
      <c r="G63" s="15" t="n">
        <v>2.6</v>
      </c>
      <c r="H63" s="13" t="n"/>
      <c r="I63" s="13" t="n"/>
      <c r="J63" s="15" t="n">
        <v>2.6</v>
      </c>
      <c r="K63" s="13" t="n"/>
      <c r="L63" s="13" t="n"/>
      <c r="M63" s="16">
        <f>IF(COUNT(E63:L63)=0,"",MIN(E63:L63))</f>
        <v/>
      </c>
      <c r="N63" s="15">
        <f>IF(COUNT(E63:L63)=0,"",LOOKUP(2,1/(E63:L63&lt;&gt;""),E63:L63))</f>
        <v/>
      </c>
      <c r="O63" s="17">
        <f>IF(M63="","",ROUND(M63*RESUMEN!$B$4,0))</f>
        <v/>
      </c>
      <c r="P63" s="18">
        <f>COUNT(E63:L63)</f>
        <v/>
      </c>
      <c r="Q63" s="19">
        <f>IF(COUNT(J63:L63)=0,"",MIN(J63:L63))</f>
        <v/>
      </c>
    </row>
    <row r="64">
      <c r="A64" s="13" t="inlineStr">
        <is>
          <t>665bb51ee66d3</t>
        </is>
      </c>
      <c r="B64" s="13" t="inlineStr">
        <is>
          <t>ARETES LOVE ROSE GOLD</t>
        </is>
      </c>
      <c r="C64" s="13" t="inlineStr">
        <is>
          <t>Default Title</t>
        </is>
      </c>
      <c r="D64" s="14" t="inlineStr"/>
      <c r="E64" s="15" t="n">
        <v>2.6</v>
      </c>
      <c r="F64" s="13" t="n"/>
      <c r="G64" s="13" t="n"/>
      <c r="H64" s="13" t="n"/>
      <c r="I64" s="13" t="n"/>
      <c r="J64" s="13" t="n"/>
      <c r="K64" s="13" t="n"/>
      <c r="L64" s="13" t="n"/>
      <c r="M64" s="16">
        <f>IF(COUNT(E64:L64)=0,"",MIN(E64:L64))</f>
        <v/>
      </c>
      <c r="N64" s="15">
        <f>IF(COUNT(E64:L64)=0,"",LOOKUP(2,1/(E64:L64&lt;&gt;""),E64:L64))</f>
        <v/>
      </c>
      <c r="O64" s="17">
        <f>IF(M64="","",ROUND(M64*RESUMEN!$B$4,0))</f>
        <v/>
      </c>
      <c r="P64" s="18">
        <f>COUNT(E64:L64)</f>
        <v/>
      </c>
      <c r="Q64" s="19">
        <f>IF(COUNT(J64:L64)=0,"",MIN(J64:L64))</f>
        <v/>
      </c>
    </row>
    <row r="65">
      <c r="A65" s="13" t="inlineStr">
        <is>
          <t>6617867767475</t>
        </is>
      </c>
      <c r="B65" s="13" t="inlineStr">
        <is>
          <t>ARETES LOVE ROSEGOLD CON ZIRCONIA</t>
        </is>
      </c>
      <c r="C65" s="13" t="inlineStr">
        <is>
          <t>Regular</t>
        </is>
      </c>
      <c r="D65" s="14" t="inlineStr"/>
      <c r="E65" s="15" t="n">
        <v>2.6</v>
      </c>
      <c r="F65" s="13" t="n"/>
      <c r="G65" s="13" t="n"/>
      <c r="H65" s="13" t="n"/>
      <c r="I65" s="13" t="n"/>
      <c r="J65" s="13" t="n"/>
      <c r="K65" s="13" t="n"/>
      <c r="L65" s="13" t="n"/>
      <c r="M65" s="16">
        <f>IF(COUNT(E65:L65)=0,"",MIN(E65:L65))</f>
        <v/>
      </c>
      <c r="N65" s="15">
        <f>IF(COUNT(E65:L65)=0,"",LOOKUP(2,1/(E65:L65&lt;&gt;""),E65:L65))</f>
        <v/>
      </c>
      <c r="O65" s="17">
        <f>IF(M65="","",ROUND(M65*RESUMEN!$B$4,0))</f>
        <v/>
      </c>
      <c r="P65" s="18">
        <f>COUNT(E65:L65)</f>
        <v/>
      </c>
      <c r="Q65" s="19">
        <f>IF(COUNT(J65:L65)=0,"",MIN(J65:L65))</f>
        <v/>
      </c>
    </row>
    <row r="66">
      <c r="A66" s="13" t="inlineStr">
        <is>
          <t>661786775a1bb</t>
        </is>
      </c>
      <c r="B66" s="13" t="inlineStr">
        <is>
          <t>ARETES LOVE SILVER</t>
        </is>
      </c>
      <c r="C66" s="13" t="inlineStr">
        <is>
          <t>XGYL0002-without</t>
        </is>
      </c>
      <c r="D66" s="14" t="inlineStr">
        <is>
          <t>stainless steel</t>
        </is>
      </c>
      <c r="E66" s="13" t="n"/>
      <c r="F66" s="15" t="n">
        <v>2.6</v>
      </c>
      <c r="G66" s="13" t="n"/>
      <c r="H66" s="13" t="n"/>
      <c r="I66" s="13" t="n"/>
      <c r="J66" s="15" t="n">
        <v>2.6</v>
      </c>
      <c r="K66" s="13" t="n"/>
      <c r="L66" s="15" t="n">
        <v>2.6</v>
      </c>
      <c r="M66" s="16">
        <f>IF(COUNT(E66:L66)=0,"",MIN(E66:L66))</f>
        <v/>
      </c>
      <c r="N66" s="15">
        <f>IF(COUNT(E66:L66)=0,"",LOOKUP(2,1/(E66:L66&lt;&gt;""),E66:L66))</f>
        <v/>
      </c>
      <c r="O66" s="17">
        <f>IF(M66="","",ROUND(M66*RESUMEN!$B$4,0))</f>
        <v/>
      </c>
      <c r="P66" s="18">
        <f>COUNT(E66:L66)</f>
        <v/>
      </c>
      <c r="Q66" s="19">
        <f>IF(COUNT(J66:L66)=0,"",MIN(J66:L66))</f>
        <v/>
      </c>
    </row>
    <row r="67">
      <c r="A67" s="13" t="inlineStr">
        <is>
          <t>6617867765c65</t>
        </is>
      </c>
      <c r="B67" s="13" t="inlineStr">
        <is>
          <t>ARETES LOVE SILVER CON ZIRCONIA</t>
        </is>
      </c>
      <c r="C67" s="13" t="inlineStr">
        <is>
          <t>Default Title</t>
        </is>
      </c>
      <c r="D67" s="14" t="inlineStr">
        <is>
          <t>stainless steel,zi</t>
        </is>
      </c>
      <c r="E67" s="13" t="n"/>
      <c r="F67" s="15" t="n">
        <v>2.6</v>
      </c>
      <c r="G67" s="13" t="n"/>
      <c r="H67" s="13" t="n"/>
      <c r="I67" s="13" t="n"/>
      <c r="J67" s="15" t="n">
        <v>2.6</v>
      </c>
      <c r="K67" s="13" t="n"/>
      <c r="L67" s="13" t="n"/>
      <c r="M67" s="16">
        <f>IF(COUNT(E67:L67)=0,"",MIN(E67:L67))</f>
        <v/>
      </c>
      <c r="N67" s="15">
        <f>IF(COUNT(E67:L67)=0,"",LOOKUP(2,1/(E67:L67&lt;&gt;""),E67:L67))</f>
        <v/>
      </c>
      <c r="O67" s="17">
        <f>IF(M67="","",ROUND(M67*RESUMEN!$B$4,0))</f>
        <v/>
      </c>
      <c r="P67" s="18">
        <f>COUNT(E67:L67)</f>
        <v/>
      </c>
      <c r="Q67" s="19">
        <f>IF(COUNT(J67:L67)=0,"",MIN(J67:L67))</f>
        <v/>
      </c>
    </row>
    <row r="68">
      <c r="A68" s="13" t="inlineStr">
        <is>
          <t>43071645614220</t>
        </is>
      </c>
      <c r="B68" s="13" t="inlineStr">
        <is>
          <t>ARETES LV CON ZIRCONIA</t>
        </is>
      </c>
      <c r="C68" s="13" t="inlineStr">
        <is>
          <t>Default Title</t>
        </is>
      </c>
      <c r="D68" s="14" t="inlineStr">
        <is>
          <t>copper</t>
        </is>
      </c>
      <c r="E68" s="15" t="n">
        <v>8.800000000000001</v>
      </c>
      <c r="F68" s="13" t="n"/>
      <c r="G68" s="15" t="n">
        <v>8.800000000000001</v>
      </c>
      <c r="H68" s="13" t="n"/>
      <c r="I68" s="13" t="n"/>
      <c r="J68" s="13" t="n"/>
      <c r="K68" s="15" t="n">
        <v>8.800000000000001</v>
      </c>
      <c r="L68" s="13" t="n"/>
      <c r="M68" s="16">
        <f>IF(COUNT(E68:L68)=0,"",MIN(E68:L68))</f>
        <v/>
      </c>
      <c r="N68" s="15">
        <f>IF(COUNT(E68:L68)=0,"",LOOKUP(2,1/(E68:L68&lt;&gt;""),E68:L68))</f>
        <v/>
      </c>
      <c r="O68" s="17">
        <f>IF(M68="","",ROUND(M68*RESUMEN!$B$4,0))</f>
        <v/>
      </c>
      <c r="P68" s="18">
        <f>COUNT(E68:L68)</f>
        <v/>
      </c>
      <c r="Q68" s="19">
        <f>IF(COUNT(J68:L68)=0,"",MIN(J68:L68))</f>
        <v/>
      </c>
    </row>
    <row r="69">
      <c r="A69" s="13" t="inlineStr">
        <is>
          <t>63e0bd172995f-1</t>
        </is>
      </c>
      <c r="B69" s="13" t="inlineStr">
        <is>
          <t>ARETES LV GOLD</t>
        </is>
      </c>
      <c r="C69" s="13" t="inlineStr">
        <is>
          <t>XGJSA767 gold</t>
        </is>
      </c>
      <c r="D69" s="14" t="inlineStr">
        <is>
          <t>stainless steel</t>
        </is>
      </c>
      <c r="E69" s="15" t="n">
        <v>5.18</v>
      </c>
      <c r="F69" s="13" t="n"/>
      <c r="G69" s="15" t="n">
        <v>5.18</v>
      </c>
      <c r="H69" s="15" t="n">
        <v>5.18</v>
      </c>
      <c r="I69" s="15" t="n">
        <v>5.18</v>
      </c>
      <c r="J69" s="13" t="n"/>
      <c r="K69" s="13" t="n"/>
      <c r="L69" s="15" t="n">
        <v>5.18</v>
      </c>
      <c r="M69" s="16">
        <f>IF(COUNT(E69:L69)=0,"",MIN(E69:L69))</f>
        <v/>
      </c>
      <c r="N69" s="15">
        <f>IF(COUNT(E69:L69)=0,"",LOOKUP(2,1/(E69:L69&lt;&gt;""),E69:L69))</f>
        <v/>
      </c>
      <c r="O69" s="17">
        <f>IF(M69="","",ROUND(M69*RESUMEN!$B$4,0))</f>
        <v/>
      </c>
      <c r="P69" s="18">
        <f>COUNT(E69:L69)</f>
        <v/>
      </c>
      <c r="Q69" s="19">
        <f>IF(COUNT(J69:L69)=0,"",MIN(J69:L69))</f>
        <v/>
      </c>
    </row>
    <row r="70">
      <c r="A70" s="13" t="inlineStr">
        <is>
          <t>64e78e740ecaf-1</t>
        </is>
      </c>
      <c r="B70" s="13" t="inlineStr">
        <is>
          <t>ARETES LV LOGO GOLD</t>
        </is>
      </c>
      <c r="C70" s="13" t="inlineStr">
        <is>
          <t>XGXKY gold</t>
        </is>
      </c>
      <c r="D70" s="14" t="inlineStr">
        <is>
          <t>copper</t>
        </is>
      </c>
      <c r="E70" s="15" t="n">
        <v>6</v>
      </c>
      <c r="F70" s="15" t="n">
        <v>6</v>
      </c>
      <c r="G70" s="13" t="n"/>
      <c r="H70" s="13" t="n"/>
      <c r="I70" s="15" t="n">
        <v>6.8</v>
      </c>
      <c r="J70" s="15" t="n">
        <v>6.8</v>
      </c>
      <c r="K70" s="15" t="n">
        <v>6.8</v>
      </c>
      <c r="L70" s="15" t="n">
        <v>6</v>
      </c>
      <c r="M70" s="16">
        <f>IF(COUNT(E70:L70)=0,"",MIN(E70:L70))</f>
        <v/>
      </c>
      <c r="N70" s="15">
        <f>IF(COUNT(E70:L70)=0,"",LOOKUP(2,1/(E70:L70&lt;&gt;""),E70:L70))</f>
        <v/>
      </c>
      <c r="O70" s="17">
        <f>IF(M70="","",ROUND(M70*RESUMEN!$B$4,0))</f>
        <v/>
      </c>
      <c r="P70" s="18">
        <f>COUNT(E70:L70)</f>
        <v/>
      </c>
      <c r="Q70" s="19">
        <f>IF(COUNT(J70:L70)=0,"",MIN(J70:L70))</f>
        <v/>
      </c>
    </row>
    <row r="71">
      <c r="A71" s="13" t="inlineStr">
        <is>
          <t>43728113631628</t>
        </is>
      </c>
      <c r="B71" s="13" t="inlineStr">
        <is>
          <t>ARETES LV LOGO ROUND GOLD</t>
        </is>
      </c>
      <c r="C71" s="13" t="inlineStr">
        <is>
          <t>Regular</t>
        </is>
      </c>
      <c r="D71" s="14" t="inlineStr">
        <is>
          <t>stainless steel</t>
        </is>
      </c>
      <c r="E71" s="13" t="n"/>
      <c r="F71" s="13" t="n"/>
      <c r="G71" s="13" t="n"/>
      <c r="H71" s="13" t="n"/>
      <c r="I71" s="15" t="n">
        <v>3.8</v>
      </c>
      <c r="J71" s="15" t="n">
        <v>3.8</v>
      </c>
      <c r="K71" s="13" t="n"/>
      <c r="L71" s="13" t="n"/>
      <c r="M71" s="16">
        <f>IF(COUNT(E71:L71)=0,"",MIN(E71:L71))</f>
        <v/>
      </c>
      <c r="N71" s="15">
        <f>IF(COUNT(E71:L71)=0,"",LOOKUP(2,1/(E71:L71&lt;&gt;""),E71:L71))</f>
        <v/>
      </c>
      <c r="O71" s="17">
        <f>IF(M71="","",ROUND(M71*RESUMEN!$B$4,0))</f>
        <v/>
      </c>
      <c r="P71" s="18">
        <f>COUNT(E71:L71)</f>
        <v/>
      </c>
      <c r="Q71" s="19">
        <f>IF(COUNT(J71:L71)=0,"",MIN(J71:L71))</f>
        <v/>
      </c>
    </row>
    <row r="72">
      <c r="A72" s="13" t="inlineStr">
        <is>
          <t>654bdb81039f7</t>
        </is>
      </c>
      <c r="B72" s="13" t="inlineStr">
        <is>
          <t>ARETES LV LOGO SILVER</t>
        </is>
      </c>
      <c r="C72" s="13" t="inlineStr">
        <is>
          <t>Stainless steel</t>
        </is>
      </c>
      <c r="D72" s="14" t="inlineStr">
        <is>
          <t>copper</t>
        </is>
      </c>
      <c r="E72" s="15" t="n">
        <v>6</v>
      </c>
      <c r="F72" s="13" t="n"/>
      <c r="G72" s="13" t="n"/>
      <c r="H72" s="13" t="n"/>
      <c r="I72" s="13" t="n"/>
      <c r="J72" s="13" t="n"/>
      <c r="K72" s="15" t="n">
        <v>6.8</v>
      </c>
      <c r="L72" s="13" t="n"/>
      <c r="M72" s="16">
        <f>IF(COUNT(E72:L72)=0,"",MIN(E72:L72))</f>
        <v/>
      </c>
      <c r="N72" s="15">
        <f>IF(COUNT(E72:L72)=0,"",LOOKUP(2,1/(E72:L72&lt;&gt;""),E72:L72))</f>
        <v/>
      </c>
      <c r="O72" s="17">
        <f>IF(M72="","",ROUND(M72*RESUMEN!$B$4,0))</f>
        <v/>
      </c>
      <c r="P72" s="18">
        <f>COUNT(E72:L72)</f>
        <v/>
      </c>
      <c r="Q72" s="19">
        <f>IF(COUNT(J72:L72)=0,"",MIN(J72:L72))</f>
        <v/>
      </c>
    </row>
    <row r="73">
      <c r="A73" s="13" t="inlineStr">
        <is>
          <t>43071661277324</t>
        </is>
      </c>
      <c r="B73" s="13" t="inlineStr">
        <is>
          <t>ARETES LV ROUND CON ZIRCONIA</t>
        </is>
      </c>
      <c r="C73" s="13" t="inlineStr">
        <is>
          <t>Default Title</t>
        </is>
      </c>
      <c r="D73" s="14" t="inlineStr">
        <is>
          <t>copper,zircon</t>
        </is>
      </c>
      <c r="E73" s="13" t="n"/>
      <c r="F73" s="15" t="n">
        <v>8.800000000000001</v>
      </c>
      <c r="G73" s="13" t="n"/>
      <c r="H73" s="13" t="n"/>
      <c r="I73" s="13" t="n"/>
      <c r="J73" s="15" t="n">
        <v>8.800000000000001</v>
      </c>
      <c r="K73" s="13" t="n"/>
      <c r="L73" s="13" t="n"/>
      <c r="M73" s="16">
        <f>IF(COUNT(E73:L73)=0,"",MIN(E73:L73))</f>
        <v/>
      </c>
      <c r="N73" s="15">
        <f>IF(COUNT(E73:L73)=0,"",LOOKUP(2,1/(E73:L73&lt;&gt;""),E73:L73))</f>
        <v/>
      </c>
      <c r="O73" s="17">
        <f>IF(M73="","",ROUND(M73*RESUMEN!$B$4,0))</f>
        <v/>
      </c>
      <c r="P73" s="18">
        <f>COUNT(E73:L73)</f>
        <v/>
      </c>
      <c r="Q73" s="19">
        <f>IF(COUNT(J73:L73)=0,"",MIN(J73:L73))</f>
        <v/>
      </c>
    </row>
    <row r="74">
      <c r="A74" s="13" t="inlineStr">
        <is>
          <t>63e0bd1a27e4e</t>
        </is>
      </c>
      <c r="B74" s="13" t="inlineStr">
        <is>
          <t>ARETES LV SILVER</t>
        </is>
      </c>
      <c r="C74" s="13" t="inlineStr">
        <is>
          <t>Default Title</t>
        </is>
      </c>
      <c r="D74" s="14" t="inlineStr">
        <is>
          <t>stainless steel</t>
        </is>
      </c>
      <c r="E74" s="13" t="n"/>
      <c r="F74" s="13" t="n"/>
      <c r="G74" s="13" t="n"/>
      <c r="H74" s="15" t="n">
        <v>5.18</v>
      </c>
      <c r="I74" s="13" t="n"/>
      <c r="J74" s="13" t="n"/>
      <c r="K74" s="13" t="n"/>
      <c r="L74" s="13" t="n"/>
      <c r="M74" s="16">
        <f>IF(COUNT(E74:L74)=0,"",MIN(E74:L74))</f>
        <v/>
      </c>
      <c r="N74" s="15">
        <f>IF(COUNT(E74:L74)=0,"",LOOKUP(2,1/(E74:L74&lt;&gt;""),E74:L74))</f>
        <v/>
      </c>
      <c r="O74" s="17">
        <f>IF(M74="","",ROUND(M74*RESUMEN!$B$4,0))</f>
        <v/>
      </c>
      <c r="P74" s="18">
        <f>COUNT(E74:L74)</f>
        <v/>
      </c>
      <c r="Q74" s="19">
        <f>IF(COUNT(J74:L74)=0,"",MIN(J74:L74))</f>
        <v/>
      </c>
    </row>
    <row r="75">
      <c r="A75" s="13" t="inlineStr">
        <is>
          <t>38332091841901</t>
        </is>
      </c>
      <c r="B75" s="13" t="inlineStr">
        <is>
          <t>ARETES LW ANAGRAM GOLD</t>
        </is>
      </c>
      <c r="C75" s="13" t="inlineStr">
        <is>
          <t>XGZG1689 gold</t>
        </is>
      </c>
      <c r="D75" s="14" t="inlineStr">
        <is>
          <t>stainless steel</t>
        </is>
      </c>
      <c r="E75" s="13" t="n"/>
      <c r="F75" s="15" t="n">
        <v>3.5</v>
      </c>
      <c r="G75" s="15" t="n">
        <v>3.5</v>
      </c>
      <c r="H75" s="13" t="n"/>
      <c r="I75" s="15" t="n">
        <v>4</v>
      </c>
      <c r="J75" s="13" t="n"/>
      <c r="K75" s="15" t="n">
        <v>4</v>
      </c>
      <c r="L75" s="15" t="n">
        <v>3.5</v>
      </c>
      <c r="M75" s="16">
        <f>IF(COUNT(E75:L75)=0,"",MIN(E75:L75))</f>
        <v/>
      </c>
      <c r="N75" s="15">
        <f>IF(COUNT(E75:L75)=0,"",LOOKUP(2,1/(E75:L75&lt;&gt;""),E75:L75))</f>
        <v/>
      </c>
      <c r="O75" s="17">
        <f>IF(M75="","",ROUND(M75*RESUMEN!$B$4,0))</f>
        <v/>
      </c>
      <c r="P75" s="18">
        <f>COUNT(E75:L75)</f>
        <v/>
      </c>
      <c r="Q75" s="19">
        <f>IF(COUNT(J75:L75)=0,"",MIN(J75:L75))</f>
        <v/>
      </c>
    </row>
    <row r="76">
      <c r="A76" s="13" t="inlineStr">
        <is>
          <t>665bd4b01f958</t>
        </is>
      </c>
      <c r="B76" s="13" t="inlineStr">
        <is>
          <t>ARETES PR SILVER</t>
        </is>
      </c>
      <c r="C76" s="13" t="inlineStr">
        <is>
          <t>Default Title</t>
        </is>
      </c>
      <c r="D76" s="14" t="inlineStr">
        <is>
          <t>copper</t>
        </is>
      </c>
      <c r="E76" s="13" t="n"/>
      <c r="F76" s="13" t="n"/>
      <c r="G76" s="13" t="n"/>
      <c r="H76" s="13" t="n"/>
      <c r="I76" s="15" t="n">
        <v>6.8</v>
      </c>
      <c r="J76" s="13" t="n"/>
      <c r="K76" s="15" t="n">
        <v>6.8</v>
      </c>
      <c r="L76" s="13" t="n"/>
      <c r="M76" s="16">
        <f>IF(COUNT(E76:L76)=0,"",MIN(E76:L76))</f>
        <v/>
      </c>
      <c r="N76" s="15">
        <f>IF(COUNT(E76:L76)=0,"",LOOKUP(2,1/(E76:L76&lt;&gt;""),E76:L76))</f>
        <v/>
      </c>
      <c r="O76" s="17">
        <f>IF(M76="","",ROUND(M76*RESUMEN!$B$4,0))</f>
        <v/>
      </c>
      <c r="P76" s="18">
        <f>COUNT(E76:L76)</f>
        <v/>
      </c>
      <c r="Q76" s="19">
        <f>IF(COUNT(J76:L76)=0,"",MIN(J76:L76))</f>
        <v/>
      </c>
    </row>
    <row r="77">
      <c r="A77" s="13" t="inlineStr">
        <is>
          <t>43047214612620</t>
        </is>
      </c>
      <c r="B77" s="13" t="inlineStr">
        <is>
          <t>ARETES SIXTEEN STONE</t>
        </is>
      </c>
      <c r="C77" s="13" t="inlineStr">
        <is>
          <t>Default Title</t>
        </is>
      </c>
      <c r="D77" s="14" t="inlineStr">
        <is>
          <t>copper</t>
        </is>
      </c>
      <c r="E77" s="15" t="n">
        <v>12.8</v>
      </c>
      <c r="F77" s="13" t="n"/>
      <c r="G77" s="15" t="n">
        <v>12.8</v>
      </c>
      <c r="H77" s="15" t="n">
        <v>12.8</v>
      </c>
      <c r="I77" s="13" t="n"/>
      <c r="J77" s="15" t="n">
        <v>12.8</v>
      </c>
      <c r="K77" s="13" t="n"/>
      <c r="L77" s="13" t="n"/>
      <c r="M77" s="16">
        <f>IF(COUNT(E77:L77)=0,"",MIN(E77:L77))</f>
        <v/>
      </c>
      <c r="N77" s="15">
        <f>IF(COUNT(E77:L77)=0,"",LOOKUP(2,1/(E77:L77&lt;&gt;""),E77:L77))</f>
        <v/>
      </c>
      <c r="O77" s="17">
        <f>IF(M77="","",ROUND(M77*RESUMEN!$B$4,0))</f>
        <v/>
      </c>
      <c r="P77" s="18">
        <f>COUNT(E77:L77)</f>
        <v/>
      </c>
      <c r="Q77" s="19">
        <f>IF(COUNT(J77:L77)=0,"",MIN(J77:L77))</f>
        <v/>
      </c>
    </row>
    <row r="78">
      <c r="A78" s="13" t="inlineStr">
        <is>
          <t>34876761251373</t>
        </is>
      </c>
      <c r="B78" s="13" t="inlineStr">
        <is>
          <t>ARETES T SQUARE SIXTEEN STONE</t>
        </is>
      </c>
      <c r="C78" s="13" t="inlineStr">
        <is>
          <t>XGNT6-004</t>
        </is>
      </c>
      <c r="D78" s="14" t="inlineStr">
        <is>
          <t>copper,zircon</t>
        </is>
      </c>
      <c r="E78" s="13" t="n"/>
      <c r="F78" s="15" t="n">
        <v>7</v>
      </c>
      <c r="G78" s="15" t="n">
        <v>7</v>
      </c>
      <c r="H78" s="15" t="n">
        <v>7</v>
      </c>
      <c r="I78" s="13" t="n"/>
      <c r="J78" s="15" t="n">
        <v>7</v>
      </c>
      <c r="K78" s="15" t="n">
        <v>7</v>
      </c>
      <c r="L78" s="15" t="n">
        <v>7</v>
      </c>
      <c r="M78" s="16">
        <f>IF(COUNT(E78:L78)=0,"",MIN(E78:L78))</f>
        <v/>
      </c>
      <c r="N78" s="15">
        <f>IF(COUNT(E78:L78)=0,"",LOOKUP(2,1/(E78:L78&lt;&gt;""),E78:L78))</f>
        <v/>
      </c>
      <c r="O78" s="17">
        <f>IF(M78="","",ROUND(M78*RESUMEN!$B$4,0))</f>
        <v/>
      </c>
      <c r="P78" s="18">
        <f>COUNT(E78:L78)</f>
        <v/>
      </c>
      <c r="Q78" s="19">
        <f>IF(COUNT(J78:L78)=0,"",MIN(J78:L78))</f>
        <v/>
      </c>
    </row>
    <row r="79">
      <c r="A79" s="13" t="inlineStr">
        <is>
          <t>63e0bd204f826</t>
        </is>
      </c>
      <c r="B79" s="13" t="inlineStr">
        <is>
          <t>ARETES T-SMILE GOLD</t>
        </is>
      </c>
      <c r="C79" s="13" t="inlineStr">
        <is>
          <t>XGJSA684 gold</t>
        </is>
      </c>
      <c r="D79" s="14" t="inlineStr">
        <is>
          <t>stainless steel</t>
        </is>
      </c>
      <c r="E79" s="13" t="n"/>
      <c r="F79" s="13" t="n"/>
      <c r="G79" s="15" t="n">
        <v>3.3</v>
      </c>
      <c r="H79" s="13" t="n"/>
      <c r="I79" s="15" t="n">
        <v>3.88</v>
      </c>
      <c r="J79" s="15" t="n">
        <v>3.88</v>
      </c>
      <c r="K79" s="13" t="n"/>
      <c r="L79" s="15" t="n">
        <v>3.3</v>
      </c>
      <c r="M79" s="16">
        <f>IF(COUNT(E79:L79)=0,"",MIN(E79:L79))</f>
        <v/>
      </c>
      <c r="N79" s="15">
        <f>IF(COUNT(E79:L79)=0,"",LOOKUP(2,1/(E79:L79&lt;&gt;""),E79:L79))</f>
        <v/>
      </c>
      <c r="O79" s="17">
        <f>IF(M79="","",ROUND(M79*RESUMEN!$B$4,0))</f>
        <v/>
      </c>
      <c r="P79" s="18">
        <f>COUNT(E79:L79)</f>
        <v/>
      </c>
      <c r="Q79" s="19">
        <f>IF(COUNT(J79:L79)=0,"",MIN(J79:L79))</f>
        <v/>
      </c>
    </row>
    <row r="80">
      <c r="A80" s="13" t="inlineStr">
        <is>
          <t>63529311036333</t>
        </is>
      </c>
      <c r="B80" s="13" t="inlineStr">
        <is>
          <t>ARETES T-SMILE GOLD CON ZIRCONIAS</t>
        </is>
      </c>
      <c r="C80" s="13" t="inlineStr">
        <is>
          <t>Default Title</t>
        </is>
      </c>
      <c r="D80" s="14" t="inlineStr">
        <is>
          <t>copper</t>
        </is>
      </c>
      <c r="E80" s="13" t="n"/>
      <c r="F80" s="13" t="n"/>
      <c r="G80" s="15" t="n">
        <v>6.8</v>
      </c>
      <c r="H80" s="15" t="n">
        <v>6.8</v>
      </c>
      <c r="I80" s="13" t="n"/>
      <c r="J80" s="13" t="n"/>
      <c r="K80" s="13" t="n"/>
      <c r="L80" s="13" t="n"/>
      <c r="M80" s="16">
        <f>IF(COUNT(E80:L80)=0,"",MIN(E80:L80))</f>
        <v/>
      </c>
      <c r="N80" s="15">
        <f>IF(COUNT(E80:L80)=0,"",LOOKUP(2,1/(E80:L80&lt;&gt;""),E80:L80))</f>
        <v/>
      </c>
      <c r="O80" s="17">
        <f>IF(M80="","",ROUND(M80*RESUMEN!$B$4,0))</f>
        <v/>
      </c>
      <c r="P80" s="18">
        <f>COUNT(E80:L80)</f>
        <v/>
      </c>
      <c r="Q80" s="19">
        <f>IF(COUNT(J80:L80)=0,"",MIN(J80:L80))</f>
        <v/>
      </c>
    </row>
    <row r="81">
      <c r="A81" s="13" t="inlineStr">
        <is>
          <t>63e0bd2165d38</t>
        </is>
      </c>
      <c r="B81" s="13" t="inlineStr">
        <is>
          <t>ARETES T-SMILE ROSE GOLD</t>
        </is>
      </c>
      <c r="C81" s="13" t="inlineStr">
        <is>
          <t>1cm</t>
        </is>
      </c>
      <c r="D81" s="14" t="inlineStr">
        <is>
          <t>stainless steel</t>
        </is>
      </c>
      <c r="E81" s="13" t="n"/>
      <c r="F81" s="13" t="n"/>
      <c r="G81" s="15" t="n">
        <v>3.3</v>
      </c>
      <c r="H81" s="15" t="n">
        <v>3.88</v>
      </c>
      <c r="I81" s="13" t="n"/>
      <c r="J81" s="13" t="n"/>
      <c r="K81" s="13" t="n"/>
      <c r="L81" s="15" t="n">
        <v>3.3</v>
      </c>
      <c r="M81" s="16">
        <f>IF(COUNT(E81:L81)=0,"",MIN(E81:L81))</f>
        <v/>
      </c>
      <c r="N81" s="15">
        <f>IF(COUNT(E81:L81)=0,"",LOOKUP(2,1/(E81:L81&lt;&gt;""),E81:L81))</f>
        <v/>
      </c>
      <c r="O81" s="17">
        <f>IF(M81="","",ROUND(M81*RESUMEN!$B$4,0))</f>
        <v/>
      </c>
      <c r="P81" s="18">
        <f>COUNT(E81:L81)</f>
        <v/>
      </c>
      <c r="Q81" s="19">
        <f>IF(COUNT(J81:L81)=0,"",MIN(J81:L81))</f>
        <v/>
      </c>
    </row>
    <row r="82">
      <c r="A82" s="13" t="inlineStr">
        <is>
          <t>641b376c85b37</t>
        </is>
      </c>
      <c r="B82" s="13" t="inlineStr">
        <is>
          <t>ARETES T-SMILE ROSE GOLD CON ZIRCONIA</t>
        </is>
      </c>
      <c r="C82" s="13" t="inlineStr">
        <is>
          <t>rose gold</t>
        </is>
      </c>
      <c r="D82" s="14" t="inlineStr">
        <is>
          <t>copper</t>
        </is>
      </c>
      <c r="E82" s="13" t="n"/>
      <c r="F82" s="13" t="n"/>
      <c r="G82" s="13" t="n"/>
      <c r="H82" s="13" t="n"/>
      <c r="I82" s="15" t="n">
        <v>6.8</v>
      </c>
      <c r="J82" s="13" t="n"/>
      <c r="K82" s="13" t="n"/>
      <c r="L82" s="15" t="n">
        <v>6.8</v>
      </c>
      <c r="M82" s="16">
        <f>IF(COUNT(E82:L82)=0,"",MIN(E82:L82))</f>
        <v/>
      </c>
      <c r="N82" s="15">
        <f>IF(COUNT(E82:L82)=0,"",LOOKUP(2,1/(E82:L82&lt;&gt;""),E82:L82))</f>
        <v/>
      </c>
      <c r="O82" s="17">
        <f>IF(M82="","",ROUND(M82*RESUMEN!$B$4,0))</f>
        <v/>
      </c>
      <c r="P82" s="18">
        <f>COUNT(E82:L82)</f>
        <v/>
      </c>
      <c r="Q82" s="19">
        <f>IF(COUNT(J82:L82)=0,"",MIN(J82:L82))</f>
        <v/>
      </c>
    </row>
    <row r="83">
      <c r="A83" s="13" t="inlineStr">
        <is>
          <t>63e0bd216689b-1</t>
        </is>
      </c>
      <c r="B83" s="13" t="inlineStr">
        <is>
          <t>ARETES T-SMILE SILVER</t>
        </is>
      </c>
      <c r="C83" s="13" t="inlineStr">
        <is>
          <t>1.5cm</t>
        </is>
      </c>
      <c r="D83" s="14" t="inlineStr">
        <is>
          <t>stainless steel</t>
        </is>
      </c>
      <c r="E83" s="13" t="n"/>
      <c r="F83" s="13" t="n"/>
      <c r="G83" s="15" t="n">
        <v>3.3</v>
      </c>
      <c r="H83" s="13" t="n"/>
      <c r="I83" s="13" t="n"/>
      <c r="J83" s="13" t="n"/>
      <c r="K83" s="13" t="n"/>
      <c r="L83" s="13" t="n"/>
      <c r="M83" s="16">
        <f>IF(COUNT(E83:L83)=0,"",MIN(E83:L83))</f>
        <v/>
      </c>
      <c r="N83" s="15">
        <f>IF(COUNT(E83:L83)=0,"",LOOKUP(2,1/(E83:L83&lt;&gt;""),E83:L83))</f>
        <v/>
      </c>
      <c r="O83" s="17">
        <f>IF(M83="","",ROUND(M83*RESUMEN!$B$4,0))</f>
        <v/>
      </c>
      <c r="P83" s="18">
        <f>COUNT(E83:L83)</f>
        <v/>
      </c>
      <c r="Q83" s="19">
        <f>IF(COUNT(J83:L83)=0,"",MIN(J83:L83))</f>
        <v/>
      </c>
    </row>
    <row r="84">
      <c r="A84" s="13" t="inlineStr">
        <is>
          <t>63e0bd216689b-2</t>
        </is>
      </c>
      <c r="B84" s="13" t="inlineStr">
        <is>
          <t>ARETES T-SMILE SILVER</t>
        </is>
      </c>
      <c r="C84" s="13" t="inlineStr">
        <is>
          <t>1cm</t>
        </is>
      </c>
      <c r="D84" s="14" t="inlineStr">
        <is>
          <t>stainless steel</t>
        </is>
      </c>
      <c r="E84" s="15" t="n">
        <v>3.88</v>
      </c>
      <c r="F84" s="13" t="n"/>
      <c r="G84" s="13" t="n"/>
      <c r="H84" s="13" t="n"/>
      <c r="I84" s="13" t="n"/>
      <c r="J84" s="13" t="n"/>
      <c r="K84" s="13" t="n"/>
      <c r="L84" s="15" t="n">
        <v>3.88</v>
      </c>
      <c r="M84" s="16">
        <f>IF(COUNT(E84:L84)=0,"",MIN(E84:L84))</f>
        <v/>
      </c>
      <c r="N84" s="15">
        <f>IF(COUNT(E84:L84)=0,"",LOOKUP(2,1/(E84:L84&lt;&gt;""),E84:L84))</f>
        <v/>
      </c>
      <c r="O84" s="17">
        <f>IF(M84="","",ROUND(M84*RESUMEN!$B$4,0))</f>
        <v/>
      </c>
      <c r="P84" s="18">
        <f>COUNT(E84:L84)</f>
        <v/>
      </c>
      <c r="Q84" s="19">
        <f>IF(COUNT(J84:L84)=0,"",MIN(J84:L84))</f>
        <v/>
      </c>
    </row>
    <row r="85">
      <c r="A85" s="13" t="inlineStr">
        <is>
          <t>63ebd921017f7</t>
        </is>
      </c>
      <c r="B85" s="13" t="inlineStr">
        <is>
          <t>ARETES T-SMILE SILVER CON ZIRCONIA</t>
        </is>
      </c>
      <c r="C85" s="13" t="inlineStr">
        <is>
          <t>Default Title</t>
        </is>
      </c>
      <c r="D85" s="14" t="inlineStr">
        <is>
          <t>copper</t>
        </is>
      </c>
      <c r="E85" s="15" t="n">
        <v>6.8</v>
      </c>
      <c r="F85" s="13" t="n"/>
      <c r="G85" s="15" t="n">
        <v>6.8</v>
      </c>
      <c r="H85" s="13" t="n"/>
      <c r="I85" s="15" t="n">
        <v>6.8</v>
      </c>
      <c r="J85" s="13" t="n"/>
      <c r="K85" s="15" t="n">
        <v>6.8</v>
      </c>
      <c r="L85" s="13" t="n"/>
      <c r="M85" s="16">
        <f>IF(COUNT(E85:L85)=0,"",MIN(E85:L85))</f>
        <v/>
      </c>
      <c r="N85" s="15">
        <f>IF(COUNT(E85:L85)=0,"",LOOKUP(2,1/(E85:L85&lt;&gt;""),E85:L85))</f>
        <v/>
      </c>
      <c r="O85" s="17">
        <f>IF(M85="","",ROUND(M85*RESUMEN!$B$4,0))</f>
        <v/>
      </c>
      <c r="P85" s="18">
        <f>COUNT(E85:L85)</f>
        <v/>
      </c>
      <c r="Q85" s="19">
        <f>IF(COUNT(J85:L85)=0,"",MIN(J85:L85))</f>
        <v/>
      </c>
    </row>
    <row r="86">
      <c r="A86" s="13" t="inlineStr">
        <is>
          <t>94530225617804</t>
        </is>
      </c>
      <c r="B86" s="13" t="inlineStr">
        <is>
          <t>ARETES TRIBALES CD</t>
        </is>
      </c>
      <c r="C86" s="13" t="inlineStr">
        <is>
          <t>Default Title</t>
        </is>
      </c>
      <c r="D86" s="14" t="inlineStr"/>
      <c r="E86" s="15" t="n">
        <v>8.800000000000001</v>
      </c>
      <c r="F86" s="13" t="n"/>
      <c r="G86" s="13" t="n"/>
      <c r="H86" s="13" t="n"/>
      <c r="I86" s="13" t="n"/>
      <c r="J86" s="13" t="n"/>
      <c r="K86" s="13" t="n"/>
      <c r="L86" s="13" t="n"/>
      <c r="M86" s="16">
        <f>IF(COUNT(E86:L86)=0,"",MIN(E86:L86))</f>
        <v/>
      </c>
      <c r="N86" s="15">
        <f>IF(COUNT(E86:L86)=0,"",LOOKUP(2,1/(E86:L86&lt;&gt;""),E86:L86))</f>
        <v/>
      </c>
      <c r="O86" s="17">
        <f>IF(M86="","",ROUND(M86*RESUMEN!$B$4,0))</f>
        <v/>
      </c>
      <c r="P86" s="18">
        <f>COUNT(E86:L86)</f>
        <v/>
      </c>
      <c r="Q86" s="19">
        <f>IF(COUNT(J86:L86)=0,"",MIN(J86:L86))</f>
        <v/>
      </c>
    </row>
    <row r="87">
      <c r="A87" s="13" t="inlineStr">
        <is>
          <t>677c26b82bccf</t>
        </is>
      </c>
      <c r="B87" s="13" t="inlineStr">
        <is>
          <t>ARETES TRÉBOL GOLD CON ZIRCONIA</t>
        </is>
      </c>
      <c r="C87" s="13" t="inlineStr"/>
      <c r="D87" s="14" t="inlineStr">
        <is>
          <t>copper</t>
        </is>
      </c>
      <c r="E87" s="15" t="n">
        <v>8.800000000000001</v>
      </c>
      <c r="F87" s="13" t="n"/>
      <c r="G87" s="15" t="n">
        <v>8.800000000000001</v>
      </c>
      <c r="H87" s="13" t="n"/>
      <c r="I87" s="13" t="n"/>
      <c r="J87" s="13" t="n"/>
      <c r="K87" s="13" t="n"/>
      <c r="L87" s="13" t="n"/>
      <c r="M87" s="16">
        <f>IF(COUNT(E87:L87)=0,"",MIN(E87:L87))</f>
        <v/>
      </c>
      <c r="N87" s="15">
        <f>IF(COUNT(E87:L87)=0,"",LOOKUP(2,1/(E87:L87&lt;&gt;""),E87:L87))</f>
        <v/>
      </c>
      <c r="O87" s="17">
        <f>IF(M87="","",ROUND(M87*RESUMEN!$B$4,0))</f>
        <v/>
      </c>
      <c r="P87" s="18">
        <f>COUNT(E87:L87)</f>
        <v/>
      </c>
      <c r="Q87" s="19">
        <f>IF(COUNT(J87:L87)=0,"",MIN(J87:L87))</f>
        <v/>
      </c>
    </row>
    <row r="88">
      <c r="A88" s="13" t="inlineStr">
        <is>
          <t>678a9af11a3e6</t>
        </is>
      </c>
      <c r="B88" s="13" t="inlineStr">
        <is>
          <t>ARETES TRÉBOL SILVER CON ZIRCONIA</t>
        </is>
      </c>
      <c r="C88" s="13" t="inlineStr">
        <is>
          <t>Default Title</t>
        </is>
      </c>
      <c r="D88" s="14" t="inlineStr">
        <is>
          <t>copper</t>
        </is>
      </c>
      <c r="E88" s="15" t="n">
        <v>8.800000000000001</v>
      </c>
      <c r="F88" s="13" t="n"/>
      <c r="G88" s="13" t="n"/>
      <c r="H88" s="13" t="n"/>
      <c r="I88" s="13" t="n"/>
      <c r="J88" s="15" t="n">
        <v>8.800000000000001</v>
      </c>
      <c r="K88" s="13" t="n"/>
      <c r="L88" s="13" t="n"/>
      <c r="M88" s="16">
        <f>IF(COUNT(E88:L88)=0,"",MIN(E88:L88))</f>
        <v/>
      </c>
      <c r="N88" s="15">
        <f>IF(COUNT(E88:L88)=0,"",LOOKUP(2,1/(E88:L88&lt;&gt;""),E88:L88))</f>
        <v/>
      </c>
      <c r="O88" s="17">
        <f>IF(M88="","",ROUND(M88*RESUMEN!$B$4,0))</f>
        <v/>
      </c>
      <c r="P88" s="18">
        <f>COUNT(E88:L88)</f>
        <v/>
      </c>
      <c r="Q88" s="19">
        <f>IF(COUNT(J88:L88)=0,"",MIN(J88:L88))</f>
        <v/>
      </c>
    </row>
    <row r="89">
      <c r="A89" s="13" t="inlineStr">
        <is>
          <t>43071749587084</t>
        </is>
      </c>
      <c r="B89" s="13" t="inlineStr">
        <is>
          <t>ARETES V CON PERLA</t>
        </is>
      </c>
      <c r="C89" s="13" t="inlineStr">
        <is>
          <t>XGN5-026</t>
        </is>
      </c>
      <c r="D89" s="14" t="inlineStr">
        <is>
          <t>copper</t>
        </is>
      </c>
      <c r="E89" s="13" t="n"/>
      <c r="F89" s="13" t="n"/>
      <c r="G89" s="15" t="n">
        <v>8.800000000000001</v>
      </c>
      <c r="H89" s="13" t="n"/>
      <c r="I89" s="15" t="n">
        <v>8.800000000000001</v>
      </c>
      <c r="J89" s="15" t="n">
        <v>8.800000000000001</v>
      </c>
      <c r="K89" s="13" t="n"/>
      <c r="L89" s="15" t="n">
        <v>8.800000000000001</v>
      </c>
      <c r="M89" s="16">
        <f>IF(COUNT(E89:L89)=0,"",MIN(E89:L89))</f>
        <v/>
      </c>
      <c r="N89" s="15">
        <f>IF(COUNT(E89:L89)=0,"",LOOKUP(2,1/(E89:L89&lt;&gt;""),E89:L89))</f>
        <v/>
      </c>
      <c r="O89" s="17">
        <f>IF(M89="","",ROUND(M89*RESUMEN!$B$4,0))</f>
        <v/>
      </c>
      <c r="P89" s="18">
        <f>COUNT(E89:L89)</f>
        <v/>
      </c>
      <c r="Q89" s="19">
        <f>IF(COUNT(J89:L89)=0,"",MIN(J89:L89))</f>
        <v/>
      </c>
    </row>
    <row r="90">
      <c r="A90" s="13" t="inlineStr">
        <is>
          <t>64e78ed3b6948</t>
        </is>
      </c>
      <c r="B90" s="13" t="inlineStr">
        <is>
          <t>ARETES YSL</t>
        </is>
      </c>
      <c r="C90" s="13" t="inlineStr">
        <is>
          <t>Default Title</t>
        </is>
      </c>
      <c r="D90" s="14" t="inlineStr">
        <is>
          <t>copper</t>
        </is>
      </c>
      <c r="E90" s="15" t="n">
        <v>9.800000000000001</v>
      </c>
      <c r="F90" s="15" t="n">
        <v>9.800000000000001</v>
      </c>
      <c r="G90" s="15" t="n">
        <v>9.800000000000001</v>
      </c>
      <c r="H90" s="13" t="n"/>
      <c r="I90" s="13" t="n"/>
      <c r="J90" s="13" t="n"/>
      <c r="K90" s="15" t="n">
        <v>9.800000000000001</v>
      </c>
      <c r="L90" s="13" t="n"/>
      <c r="M90" s="16">
        <f>IF(COUNT(E90:L90)=0,"",MIN(E90:L90))</f>
        <v/>
      </c>
      <c r="N90" s="15">
        <f>IF(COUNT(E90:L90)=0,"",LOOKUP(2,1/(E90:L90&lt;&gt;""),E90:L90))</f>
        <v/>
      </c>
      <c r="O90" s="17">
        <f>IF(M90="","",ROUND(M90*RESUMEN!$B$4,0))</f>
        <v/>
      </c>
      <c r="P90" s="18">
        <f>COUNT(E90:L90)</f>
        <v/>
      </c>
      <c r="Q90" s="19">
        <f>IF(COUNT(J90:L90)=0,"",MIN(J90:L90))</f>
        <v/>
      </c>
    </row>
    <row r="91">
      <c r="A91" s="13" t="inlineStr">
        <is>
          <t>665bd4b033012</t>
        </is>
      </c>
      <c r="B91" s="13" t="inlineStr">
        <is>
          <t>ARETES YSL SILVER</t>
        </is>
      </c>
      <c r="C91" s="13" t="inlineStr">
        <is>
          <t>XG</t>
        </is>
      </c>
      <c r="D91" s="14" t="inlineStr">
        <is>
          <t>copper</t>
        </is>
      </c>
      <c r="E91" s="13" t="n"/>
      <c r="F91" s="13" t="n"/>
      <c r="G91" s="15" t="n">
        <v>4.6</v>
      </c>
      <c r="H91" s="13" t="n"/>
      <c r="I91" s="15" t="n">
        <v>4.6</v>
      </c>
      <c r="J91" s="15" t="n">
        <v>4.6</v>
      </c>
      <c r="K91" s="13" t="n"/>
      <c r="L91" s="15" t="n">
        <v>4.6</v>
      </c>
      <c r="M91" s="16">
        <f>IF(COUNT(E91:L91)=0,"",MIN(E91:L91))</f>
        <v/>
      </c>
      <c r="N91" s="15">
        <f>IF(COUNT(E91:L91)=0,"",LOOKUP(2,1/(E91:L91&lt;&gt;""),E91:L91))</f>
        <v/>
      </c>
      <c r="O91" s="17">
        <f>IF(M91="","",ROUND(M91*RESUMEN!$B$4,0))</f>
        <v/>
      </c>
      <c r="P91" s="18">
        <f>COUNT(E91:L91)</f>
        <v/>
      </c>
      <c r="Q91" s="19">
        <f>IF(COUNT(J91:L91)=0,"",MIN(J91:L91))</f>
        <v/>
      </c>
    </row>
    <row r="92">
      <c r="A92" s="13" t="inlineStr">
        <is>
          <t>39252672178381</t>
        </is>
      </c>
      <c r="B92" s="13" t="inlineStr">
        <is>
          <t>ARRACADAS BLOSSOM GOLD ZIRCONIAS</t>
        </is>
      </c>
      <c r="C92" s="13" t="inlineStr">
        <is>
          <t>Default Title</t>
        </is>
      </c>
      <c r="D92" s="14" t="inlineStr">
        <is>
          <t>copper,zircon</t>
        </is>
      </c>
      <c r="E92" s="13" t="n"/>
      <c r="F92" s="15" t="n">
        <v>9.800000000000001</v>
      </c>
      <c r="G92" s="13" t="n"/>
      <c r="H92" s="13" t="n"/>
      <c r="I92" s="15" t="n">
        <v>9.800000000000001</v>
      </c>
      <c r="J92" s="13" t="n"/>
      <c r="K92" s="13" t="n"/>
      <c r="L92" s="13" t="n"/>
      <c r="M92" s="16">
        <f>IF(COUNT(E92:L92)=0,"",MIN(E92:L92))</f>
        <v/>
      </c>
      <c r="N92" s="15">
        <f>IF(COUNT(E92:L92)=0,"",LOOKUP(2,1/(E92:L92&lt;&gt;""),E92:L92))</f>
        <v/>
      </c>
      <c r="O92" s="17">
        <f>IF(M92="","",ROUND(M92*RESUMEN!$B$4,0))</f>
        <v/>
      </c>
      <c r="P92" s="18">
        <f>COUNT(E92:L92)</f>
        <v/>
      </c>
      <c r="Q92" s="19">
        <f>IF(COUNT(J92:L92)=0,"",MIN(J92:L92))</f>
        <v/>
      </c>
    </row>
    <row r="93">
      <c r="A93" s="13" t="inlineStr">
        <is>
          <t>43728071088236</t>
        </is>
      </c>
      <c r="B93" s="13" t="inlineStr">
        <is>
          <t>ARRACADAS BV SERPENTI</t>
        </is>
      </c>
      <c r="C93" s="13" t="inlineStr">
        <is>
          <t>Default Title</t>
        </is>
      </c>
      <c r="D93" s="14" t="inlineStr">
        <is>
          <t>copper</t>
        </is>
      </c>
      <c r="E93" s="13" t="n"/>
      <c r="F93" s="13" t="n"/>
      <c r="G93" s="15" t="n">
        <v>8.800000000000001</v>
      </c>
      <c r="H93" s="13" t="n"/>
      <c r="I93" s="15" t="n">
        <v>8.800000000000001</v>
      </c>
      <c r="J93" s="15" t="n">
        <v>8.800000000000001</v>
      </c>
      <c r="K93" s="13" t="n"/>
      <c r="L93" s="13" t="n"/>
      <c r="M93" s="16">
        <f>IF(COUNT(E93:L93)=0,"",MIN(E93:L93))</f>
        <v/>
      </c>
      <c r="N93" s="15">
        <f>IF(COUNT(E93:L93)=0,"",LOOKUP(2,1/(E93:L93&lt;&gt;""),E93:L93))</f>
        <v/>
      </c>
      <c r="O93" s="17">
        <f>IF(M93="","",ROUND(M93*RESUMEN!$B$4,0))</f>
        <v/>
      </c>
      <c r="P93" s="18">
        <f>COUNT(E93:L93)</f>
        <v/>
      </c>
      <c r="Q93" s="19">
        <f>IF(COUNT(J93:L93)=0,"",MIN(J93:L93))</f>
        <v/>
      </c>
    </row>
    <row r="94">
      <c r="A94" s="13" t="inlineStr">
        <is>
          <t>41889241805933</t>
        </is>
      </c>
      <c r="B94" s="13" t="inlineStr">
        <is>
          <t>ARRACADAS BV ZIRCONIAS ROSEGOLD</t>
        </is>
      </c>
      <c r="C94" s="13" t="inlineStr">
        <is>
          <t>Default Title</t>
        </is>
      </c>
      <c r="D94" s="14" t="inlineStr"/>
      <c r="E94" s="13" t="n"/>
      <c r="F94" s="15" t="n">
        <v>14</v>
      </c>
      <c r="G94" s="13" t="n"/>
      <c r="H94" s="13" t="n"/>
      <c r="I94" s="13" t="n"/>
      <c r="J94" s="13" t="n"/>
      <c r="K94" s="13" t="n"/>
      <c r="L94" s="13" t="n"/>
      <c r="M94" s="16">
        <f>IF(COUNT(E94:L94)=0,"",MIN(E94:L94))</f>
        <v/>
      </c>
      <c r="N94" s="15">
        <f>IF(COUNT(E94:L94)=0,"",LOOKUP(2,1/(E94:L94&lt;&gt;""),E94:L94))</f>
        <v/>
      </c>
      <c r="O94" s="17">
        <f>IF(M94="","",ROUND(M94*RESUMEN!$B$4,0))</f>
        <v/>
      </c>
      <c r="P94" s="18">
        <f>COUNT(E94:L94)</f>
        <v/>
      </c>
      <c r="Q94" s="19">
        <f>IF(COUNT(J94:L94)=0,"",MIN(J94:L94))</f>
        <v/>
      </c>
    </row>
    <row r="95">
      <c r="A95" s="13" t="inlineStr">
        <is>
          <t>29603521001805</t>
        </is>
      </c>
      <c r="B95" s="13" t="inlineStr">
        <is>
          <t>ARRACADAS CD LOGO CON ZIRCONIAS</t>
        </is>
      </c>
      <c r="C95" s="13" t="inlineStr">
        <is>
          <t>XGYY210103</t>
        </is>
      </c>
      <c r="D95" s="14" t="inlineStr">
        <is>
          <t>copper,zircon</t>
        </is>
      </c>
      <c r="E95" s="13" t="n"/>
      <c r="F95" s="15" t="n">
        <v>8.800000000000001</v>
      </c>
      <c r="G95" s="13" t="n"/>
      <c r="H95" s="13" t="n"/>
      <c r="I95" s="13" t="n"/>
      <c r="J95" s="15" t="n">
        <v>8.800000000000001</v>
      </c>
      <c r="K95" s="13" t="n"/>
      <c r="L95" s="15" t="n">
        <v>8.800000000000001</v>
      </c>
      <c r="M95" s="16">
        <f>IF(COUNT(E95:L95)=0,"",MIN(E95:L95))</f>
        <v/>
      </c>
      <c r="N95" s="15">
        <f>IF(COUNT(E95:L95)=0,"",LOOKUP(2,1/(E95:L95&lt;&gt;""),E95:L95))</f>
        <v/>
      </c>
      <c r="O95" s="17">
        <f>IF(M95="","",ROUND(M95*RESUMEN!$B$4,0))</f>
        <v/>
      </c>
      <c r="P95" s="18">
        <f>COUNT(E95:L95)</f>
        <v/>
      </c>
      <c r="Q95" s="19">
        <f>IF(COUNT(J95:L95)=0,"",MIN(J95:L95))</f>
        <v/>
      </c>
    </row>
    <row r="96">
      <c r="A96" s="13" t="inlineStr">
        <is>
          <t>39252671787533</t>
        </is>
      </c>
      <c r="B96" s="13" t="inlineStr">
        <is>
          <t>ARRACADAS F GOLD</t>
        </is>
      </c>
      <c r="C96" s="13" t="inlineStr">
        <is>
          <t>Default Title</t>
        </is>
      </c>
      <c r="D96" s="14" t="inlineStr">
        <is>
          <t>copper</t>
        </is>
      </c>
      <c r="E96" s="13" t="n"/>
      <c r="F96" s="15" t="n">
        <v>9.800000000000001</v>
      </c>
      <c r="G96" s="13" t="n"/>
      <c r="H96" s="13" t="n"/>
      <c r="I96" s="13" t="n"/>
      <c r="J96" s="13" t="n"/>
      <c r="K96" s="15" t="n">
        <v>9.800000000000001</v>
      </c>
      <c r="L96" s="13" t="n"/>
      <c r="M96" s="16">
        <f>IF(COUNT(E96:L96)=0,"",MIN(E96:L96))</f>
        <v/>
      </c>
      <c r="N96" s="15">
        <f>IF(COUNT(E96:L96)=0,"",LOOKUP(2,1/(E96:L96&lt;&gt;""),E96:L96))</f>
        <v/>
      </c>
      <c r="O96" s="17">
        <f>IF(M96="","",ROUND(M96*RESUMEN!$B$4,0))</f>
        <v/>
      </c>
      <c r="P96" s="18">
        <f>COUNT(E96:L96)</f>
        <v/>
      </c>
      <c r="Q96" s="19">
        <f>IF(COUNT(J96:L96)=0,"",MIN(J96:L96))</f>
        <v/>
      </c>
    </row>
    <row r="97">
      <c r="A97" s="13" t="inlineStr">
        <is>
          <t>43071764562060</t>
        </is>
      </c>
      <c r="B97" s="13" t="inlineStr">
        <is>
          <t>ARRACADAS V GOLD</t>
        </is>
      </c>
      <c r="C97" s="13" t="inlineStr">
        <is>
          <t>Regular</t>
        </is>
      </c>
      <c r="D97" s="14" t="inlineStr"/>
      <c r="E97" s="13" t="n"/>
      <c r="F97" s="13" t="n"/>
      <c r="G97" s="13" t="n"/>
      <c r="H97" s="13" t="n"/>
      <c r="I97" s="13" t="n"/>
      <c r="J97" s="15" t="n">
        <v>8.800000000000001</v>
      </c>
      <c r="K97" s="13" t="n"/>
      <c r="L97" s="13" t="n"/>
      <c r="M97" s="16">
        <f>IF(COUNT(E97:L97)=0,"",MIN(E97:L97))</f>
        <v/>
      </c>
      <c r="N97" s="15">
        <f>IF(COUNT(E97:L97)=0,"",LOOKUP(2,1/(E97:L97&lt;&gt;""),E97:L97))</f>
        <v/>
      </c>
      <c r="O97" s="17">
        <f>IF(M97="","",ROUND(M97*RESUMEN!$B$4,0))</f>
        <v/>
      </c>
      <c r="P97" s="18">
        <f>COUNT(E97:L97)</f>
        <v/>
      </c>
      <c r="Q97" s="19">
        <f>IF(COUNT(J97:L97)=0,"",MIN(J97:L97))</f>
        <v/>
      </c>
    </row>
    <row r="98">
      <c r="A98" s="13" t="inlineStr">
        <is>
          <t>42101481043501</t>
        </is>
      </c>
      <c r="B98" s="13" t="inlineStr">
        <is>
          <t>BOLSA CC Nº25</t>
        </is>
      </c>
      <c r="C98" s="13" t="inlineStr">
        <is>
          <t>XGHD244869 26*19</t>
        </is>
      </c>
      <c r="D98" s="14" t="inlineStr">
        <is>
          <t>microfiber leather</t>
        </is>
      </c>
      <c r="E98" s="15" t="n">
        <v>66</v>
      </c>
      <c r="F98" s="15" t="n">
        <v>66</v>
      </c>
      <c r="G98" s="15" t="n">
        <v>66</v>
      </c>
      <c r="H98" s="15" t="n">
        <v>66</v>
      </c>
      <c r="I98" s="13" t="n"/>
      <c r="J98" s="15" t="n">
        <v>66</v>
      </c>
      <c r="K98" s="13" t="n"/>
      <c r="L98" s="15" t="n">
        <v>66</v>
      </c>
      <c r="M98" s="16">
        <f>IF(COUNT(E98:L98)=0,"",MIN(E98:L98))</f>
        <v/>
      </c>
      <c r="N98" s="15">
        <f>IF(COUNT(E98:L98)=0,"",LOOKUP(2,1/(E98:L98&lt;&gt;""),E98:L98))</f>
        <v/>
      </c>
      <c r="O98" s="17">
        <f>IF(M98="","",ROUND(M98*RESUMEN!$B$4,0))</f>
        <v/>
      </c>
      <c r="P98" s="18">
        <f>COUNT(E98:L98)</f>
        <v/>
      </c>
      <c r="Q98" s="19">
        <f>IF(COUNT(J98:L98)=0,"",MIN(J98:L98))</f>
        <v/>
      </c>
    </row>
    <row r="99">
      <c r="A99" s="13" t="inlineStr">
        <is>
          <t>43897301164429</t>
        </is>
      </c>
      <c r="B99" s="13" t="inlineStr">
        <is>
          <t>BOLSA CC Nº25 BABY BLUE</t>
        </is>
      </c>
      <c r="C99" s="13" t="inlineStr">
        <is>
          <t>XGH493116 26cm b</t>
        </is>
      </c>
      <c r="D99" s="14" t="inlineStr">
        <is>
          <t>Genuine leather mi</t>
        </is>
      </c>
      <c r="E99" s="13" t="n"/>
      <c r="F99" s="13" t="n"/>
      <c r="G99" s="15" t="n">
        <v>63</v>
      </c>
      <c r="H99" s="13" t="n"/>
      <c r="I99" s="15" t="n">
        <v>65</v>
      </c>
      <c r="J99" s="15" t="n">
        <v>65</v>
      </c>
      <c r="K99" s="13" t="n"/>
      <c r="L99" s="15" t="n">
        <v>63</v>
      </c>
      <c r="M99" s="16">
        <f>IF(COUNT(E99:L99)=0,"",MIN(E99:L99))</f>
        <v/>
      </c>
      <c r="N99" s="15">
        <f>IF(COUNT(E99:L99)=0,"",LOOKUP(2,1/(E99:L99&lt;&gt;""),E99:L99))</f>
        <v/>
      </c>
      <c r="O99" s="17">
        <f>IF(M99="","",ROUND(M99*RESUMEN!$B$4,0))</f>
        <v/>
      </c>
      <c r="P99" s="18">
        <f>COUNT(E99:L99)</f>
        <v/>
      </c>
      <c r="Q99" s="19">
        <f>IF(COUNT(J99:L99)=0,"",MIN(J99:L99))</f>
        <v/>
      </c>
    </row>
    <row r="100">
      <c r="A100" s="13" t="inlineStr">
        <is>
          <t>98269341115213</t>
        </is>
      </c>
      <c r="B100" s="13" t="inlineStr">
        <is>
          <t>BOLSA CC Nº25 BURDEOS</t>
        </is>
      </c>
      <c r="C100" s="13" t="inlineStr">
        <is>
          <t>Default Title</t>
        </is>
      </c>
      <c r="D100" s="14" t="inlineStr">
        <is>
          <t>Genuine leather mi</t>
        </is>
      </c>
      <c r="E100" s="13" t="n"/>
      <c r="F100" s="15" t="n">
        <v>66</v>
      </c>
      <c r="G100" s="15" t="n">
        <v>66</v>
      </c>
      <c r="H100" s="15" t="n">
        <v>66</v>
      </c>
      <c r="I100" s="13" t="n"/>
      <c r="J100" s="13" t="n"/>
      <c r="K100" s="15" t="n">
        <v>66</v>
      </c>
      <c r="L100" s="13" t="n"/>
      <c r="M100" s="16">
        <f>IF(COUNT(E100:L100)=0,"",MIN(E100:L100))</f>
        <v/>
      </c>
      <c r="N100" s="15">
        <f>IF(COUNT(E100:L100)=0,"",LOOKUP(2,1/(E100:L100&lt;&gt;""),E100:L100))</f>
        <v/>
      </c>
      <c r="O100" s="17">
        <f>IF(M100="","",ROUND(M100*RESUMEN!$B$4,0))</f>
        <v/>
      </c>
      <c r="P100" s="18">
        <f>COUNT(E100:L100)</f>
        <v/>
      </c>
      <c r="Q100" s="19">
        <f>IF(COUNT(J100:L100)=0,"",MIN(J100:L100))</f>
        <v/>
      </c>
    </row>
    <row r="101">
      <c r="A101" s="13" t="inlineStr">
        <is>
          <t>438973010904</t>
        </is>
      </c>
      <c r="B101" s="13" t="inlineStr">
        <is>
          <t>BOLSA CC Nº25 YELLOW</t>
        </is>
      </c>
      <c r="C101" s="13" t="inlineStr"/>
      <c r="D101" s="14" t="inlineStr">
        <is>
          <t>Genuine leather mi</t>
        </is>
      </c>
      <c r="E101" s="13" t="n"/>
      <c r="F101" s="13" t="n"/>
      <c r="G101" s="13" t="n"/>
      <c r="H101" s="13" t="n"/>
      <c r="I101" s="15" t="n">
        <v>65</v>
      </c>
      <c r="J101" s="13" t="n"/>
      <c r="K101" s="13" t="n"/>
      <c r="L101" s="13" t="n"/>
      <c r="M101" s="16">
        <f>IF(COUNT(E101:L101)=0,"",MIN(E101:L101))</f>
        <v/>
      </c>
      <c r="N101" s="15">
        <f>IF(COUNT(E101:L101)=0,"",LOOKUP(2,1/(E101:L101&lt;&gt;""),E101:L101))</f>
        <v/>
      </c>
      <c r="O101" s="17">
        <f>IF(M101="","",ROUND(M101*RESUMEN!$B$4,0))</f>
        <v/>
      </c>
      <c r="P101" s="18">
        <f>COUNT(E101:L101)</f>
        <v/>
      </c>
      <c r="Q101" s="19">
        <f>IF(COUNT(J101:L101)=0,"",MIN(J101:L101))</f>
        <v/>
      </c>
    </row>
    <row r="102">
      <c r="A102" s="13" t="inlineStr">
        <is>
          <t>43897301090413</t>
        </is>
      </c>
      <c r="B102" s="13" t="inlineStr">
        <is>
          <t>BOLSA CC Nº25 YELLOW</t>
        </is>
      </c>
      <c r="C102" s="13" t="inlineStr">
        <is>
          <t>Default Title</t>
        </is>
      </c>
      <c r="D102" s="14" t="inlineStr">
        <is>
          <t>Genuine leather mi</t>
        </is>
      </c>
      <c r="E102" s="13" t="n"/>
      <c r="F102" s="13" t="n"/>
      <c r="G102" s="15" t="n">
        <v>63</v>
      </c>
      <c r="H102" s="13" t="n"/>
      <c r="I102" s="13" t="n"/>
      <c r="J102" s="13" t="n"/>
      <c r="K102" s="15" t="n">
        <v>65</v>
      </c>
      <c r="L102" s="15" t="n">
        <v>63</v>
      </c>
      <c r="M102" s="16">
        <f>IF(COUNT(E102:L102)=0,"",MIN(E102:L102))</f>
        <v/>
      </c>
      <c r="N102" s="15">
        <f>IF(COUNT(E102:L102)=0,"",LOOKUP(2,1/(E102:L102&lt;&gt;""),E102:L102))</f>
        <v/>
      </c>
      <c r="O102" s="17">
        <f>IF(M102="","",ROUND(M102*RESUMEN!$B$4,0))</f>
        <v/>
      </c>
      <c r="P102" s="18">
        <f>COUNT(E102:L102)</f>
        <v/>
      </c>
      <c r="Q102" s="19">
        <f>IF(COUNT(J102:L102)=0,"",MIN(J102:L102))</f>
        <v/>
      </c>
    </row>
    <row r="103">
      <c r="A103" s="13" t="inlineStr">
        <is>
          <t>66581e33ea15d</t>
        </is>
      </c>
      <c r="B103" s="13" t="inlineStr">
        <is>
          <t>BOLSA G GREEN</t>
        </is>
      </c>
      <c r="C103" s="13" t="inlineStr">
        <is>
          <t>34cm largo x 27cm ancho</t>
        </is>
      </c>
      <c r="D103" s="14" t="inlineStr">
        <is>
          <t>Microfiber leather</t>
        </is>
      </c>
      <c r="E103" s="13" t="n"/>
      <c r="F103" s="13" t="n"/>
      <c r="G103" s="15" t="n">
        <v>40</v>
      </c>
      <c r="H103" s="15" t="n">
        <v>40</v>
      </c>
      <c r="I103" s="15" t="n">
        <v>40</v>
      </c>
      <c r="J103" s="13" t="n"/>
      <c r="K103" s="15" t="n">
        <v>40</v>
      </c>
      <c r="L103" s="13" t="n"/>
      <c r="M103" s="16">
        <f>IF(COUNT(E103:L103)=0,"",MIN(E103:L103))</f>
        <v/>
      </c>
      <c r="N103" s="15">
        <f>IF(COUNT(E103:L103)=0,"",LOOKUP(2,1/(E103:L103&lt;&gt;""),E103:L103))</f>
        <v/>
      </c>
      <c r="O103" s="17">
        <f>IF(M103="","",ROUND(M103*RESUMEN!$B$4,0))</f>
        <v/>
      </c>
      <c r="P103" s="18">
        <f>COUNT(E103:L103)</f>
        <v/>
      </c>
      <c r="Q103" s="19">
        <f>IF(COUNT(J103:L103)=0,"",MIN(J103:L103))</f>
        <v/>
      </c>
    </row>
    <row r="104">
      <c r="A104" s="13" t="inlineStr">
        <is>
          <t>66581e37d7ef3</t>
        </is>
      </c>
      <c r="B104" s="13" t="inlineStr">
        <is>
          <t>BOLSA LV BROWN</t>
        </is>
      </c>
      <c r="C104" s="13" t="inlineStr">
        <is>
          <t>21.5cm de largo x 12cm de alto x 5cm de ancho</t>
        </is>
      </c>
      <c r="D104" s="14" t="inlineStr">
        <is>
          <t>Genuine leather mi</t>
        </is>
      </c>
      <c r="E104" s="13" t="n"/>
      <c r="F104" s="13" t="n"/>
      <c r="G104" s="13" t="n"/>
      <c r="H104" s="15" t="n">
        <v>55</v>
      </c>
      <c r="I104" s="13" t="n"/>
      <c r="J104" s="13" t="n"/>
      <c r="K104" s="15" t="n">
        <v>57</v>
      </c>
      <c r="L104" s="13" t="n"/>
      <c r="M104" s="16">
        <f>IF(COUNT(E104:L104)=0,"",MIN(E104:L104))</f>
        <v/>
      </c>
      <c r="N104" s="15">
        <f>IF(COUNT(E104:L104)=0,"",LOOKUP(2,1/(E104:L104&lt;&gt;""),E104:L104))</f>
        <v/>
      </c>
      <c r="O104" s="17">
        <f>IF(M104="","",ROUND(M104*RESUMEN!$B$4,0))</f>
        <v/>
      </c>
      <c r="P104" s="18">
        <f>COUNT(E104:L104)</f>
        <v/>
      </c>
      <c r="Q104" s="19">
        <f>IF(COUNT(J104:L104)=0,"",MIN(J104:L104))</f>
        <v/>
      </c>
    </row>
    <row r="105">
      <c r="A105" s="13" t="inlineStr">
        <is>
          <t>6701d27b47f9e</t>
        </is>
      </c>
      <c r="B105" s="13" t="inlineStr">
        <is>
          <t>BOLSO C AVA TRIOMPHE BLACK</t>
        </is>
      </c>
      <c r="C105" s="13" t="inlineStr">
        <is>
          <t>22cm de largo x 12cm de alto x 6cm de ancho</t>
        </is>
      </c>
      <c r="D105" s="14" t="inlineStr">
        <is>
          <t>Genuine leather mi</t>
        </is>
      </c>
      <c r="E105" s="13" t="n"/>
      <c r="F105" s="13" t="n"/>
      <c r="G105" s="13" t="n"/>
      <c r="H105" s="15" t="n">
        <v>46</v>
      </c>
      <c r="I105" s="13" t="n"/>
      <c r="J105" s="13" t="n"/>
      <c r="K105" s="13" t="n"/>
      <c r="L105" s="13" t="n"/>
      <c r="M105" s="16">
        <f>IF(COUNT(E105:L105)=0,"",MIN(E105:L105))</f>
        <v/>
      </c>
      <c r="N105" s="15">
        <f>IF(COUNT(E105:L105)=0,"",LOOKUP(2,1/(E105:L105&lt;&gt;""),E105:L105))</f>
        <v/>
      </c>
      <c r="O105" s="17">
        <f>IF(M105="","",ROUND(M105*RESUMEN!$B$4,0))</f>
        <v/>
      </c>
      <c r="P105" s="18">
        <f>COUNT(E105:L105)</f>
        <v/>
      </c>
      <c r="Q105" s="19">
        <f>IF(COUNT(J105:L105)=0,"",MIN(J105:L105))</f>
        <v/>
      </c>
    </row>
    <row r="106">
      <c r="A106" s="13" t="inlineStr">
        <is>
          <t>43728071845836</t>
        </is>
      </c>
      <c r="B106" s="13" t="inlineStr">
        <is>
          <t>BOLSO C AVA TRIOMPHE BROWN</t>
        </is>
      </c>
      <c r="C106" s="13" t="inlineStr">
        <is>
          <t>22cm de largo x 12cm de alto x 6cm de ancho</t>
        </is>
      </c>
      <c r="D106" s="14" t="inlineStr">
        <is>
          <t>Microfiber leather</t>
        </is>
      </c>
      <c r="E106" s="13" t="n"/>
      <c r="F106" s="13" t="n"/>
      <c r="G106" s="13" t="n"/>
      <c r="H106" s="13" t="n"/>
      <c r="I106" s="15" t="n">
        <v>46</v>
      </c>
      <c r="J106" s="13" t="n"/>
      <c r="K106" s="13" t="n"/>
      <c r="L106" s="13" t="n"/>
      <c r="M106" s="16">
        <f>IF(COUNT(E106:L106)=0,"",MIN(E106:L106))</f>
        <v/>
      </c>
      <c r="N106" s="15">
        <f>IF(COUNT(E106:L106)=0,"",LOOKUP(2,1/(E106:L106&lt;&gt;""),E106:L106))</f>
        <v/>
      </c>
      <c r="O106" s="17">
        <f>IF(M106="","",ROUND(M106*RESUMEN!$B$4,0))</f>
        <v/>
      </c>
      <c r="P106" s="18">
        <f>COUNT(E106:L106)</f>
        <v/>
      </c>
      <c r="Q106" s="19">
        <f>IF(COUNT(J106:L106)=0,"",MIN(J106:L106))</f>
        <v/>
      </c>
    </row>
    <row r="107">
      <c r="A107" s="13" t="inlineStr">
        <is>
          <t>6701d26c9c67e</t>
        </is>
      </c>
      <c r="B107" s="13" t="inlineStr">
        <is>
          <t>BOLSO C CABAS</t>
        </is>
      </c>
      <c r="C107" s="13" t="inlineStr">
        <is>
          <t>30cm de largo x 22cm de alto x 13cm de ancho</t>
        </is>
      </c>
      <c r="D107" s="14" t="inlineStr"/>
      <c r="E107" s="13" t="n"/>
      <c r="F107" s="13" t="n"/>
      <c r="G107" s="13" t="n"/>
      <c r="H107" s="13" t="n"/>
      <c r="I107" s="13" t="n"/>
      <c r="J107" s="15" t="n">
        <v>48</v>
      </c>
      <c r="K107" s="13" t="n"/>
      <c r="L107" s="13" t="n"/>
      <c r="M107" s="16">
        <f>IF(COUNT(E107:L107)=0,"",MIN(E107:L107))</f>
        <v/>
      </c>
      <c r="N107" s="15">
        <f>IF(COUNT(E107:L107)=0,"",LOOKUP(2,1/(E107:L107&lt;&gt;""),E107:L107))</f>
        <v/>
      </c>
      <c r="O107" s="17">
        <f>IF(M107="","",ROUND(M107*RESUMEN!$B$4,0))</f>
        <v/>
      </c>
      <c r="P107" s="18">
        <f>COUNT(E107:L107)</f>
        <v/>
      </c>
      <c r="Q107" s="19">
        <f>IF(COUNT(J107:L107)=0,"",MIN(J107:L107))</f>
        <v/>
      </c>
    </row>
    <row r="108">
      <c r="A108" s="13" t="inlineStr">
        <is>
          <t>14401521547373</t>
        </is>
      </c>
      <c r="B108" s="13" t="inlineStr">
        <is>
          <t>BOLSO C CABAS PANIER BLACK16cm</t>
        </is>
      </c>
      <c r="C108" s="13" t="inlineStr">
        <is>
          <t>Default Title</t>
        </is>
      </c>
      <c r="D108" s="14" t="inlineStr">
        <is>
          <t>Weaving</t>
        </is>
      </c>
      <c r="E108" s="13" t="n"/>
      <c r="F108" s="13" t="n"/>
      <c r="G108" s="13" t="n"/>
      <c r="H108" s="15" t="n">
        <v>43</v>
      </c>
      <c r="I108" s="13" t="n"/>
      <c r="J108" s="15" t="n">
        <v>43</v>
      </c>
      <c r="K108" s="13" t="n"/>
      <c r="L108" s="13" t="n"/>
      <c r="M108" s="16">
        <f>IF(COUNT(E108:L108)=0,"",MIN(E108:L108))</f>
        <v/>
      </c>
      <c r="N108" s="15">
        <f>IF(COUNT(E108:L108)=0,"",LOOKUP(2,1/(E108:L108&lt;&gt;""),E108:L108))</f>
        <v/>
      </c>
      <c r="O108" s="17">
        <f>IF(M108="","",ROUND(M108*RESUMEN!$B$4,0))</f>
        <v/>
      </c>
      <c r="P108" s="18">
        <f>COUNT(E108:L108)</f>
        <v/>
      </c>
      <c r="Q108" s="19">
        <f>IF(COUNT(J108:L108)=0,"",MIN(J108:L108))</f>
        <v/>
      </c>
    </row>
    <row r="109">
      <c r="A109" s="13" t="inlineStr">
        <is>
          <t>14401521745677</t>
        </is>
      </c>
      <c r="B109" s="13" t="inlineStr">
        <is>
          <t>BOLSO C CABAS PANIER BROWN</t>
        </is>
      </c>
      <c r="C109" s="13" t="inlineStr">
        <is>
          <t>XGH728338 16cm</t>
        </is>
      </c>
      <c r="D109" s="14" t="inlineStr">
        <is>
          <t>Weaving</t>
        </is>
      </c>
      <c r="E109" s="13" t="n"/>
      <c r="F109" s="13" t="n"/>
      <c r="G109" s="13" t="n"/>
      <c r="H109" s="15" t="n">
        <v>43</v>
      </c>
      <c r="I109" s="13" t="n"/>
      <c r="J109" s="15" t="n">
        <v>43</v>
      </c>
      <c r="K109" s="13" t="n"/>
      <c r="L109" s="15" t="n">
        <v>43</v>
      </c>
      <c r="M109" s="16">
        <f>IF(COUNT(E109:L109)=0,"",MIN(E109:L109))</f>
        <v/>
      </c>
      <c r="N109" s="15">
        <f>IF(COUNT(E109:L109)=0,"",LOOKUP(2,1/(E109:L109&lt;&gt;""),E109:L109))</f>
        <v/>
      </c>
      <c r="O109" s="17">
        <f>IF(M109="","",ROUND(M109*RESUMEN!$B$4,0))</f>
        <v/>
      </c>
      <c r="P109" s="18">
        <f>COUNT(E109:L109)</f>
        <v/>
      </c>
      <c r="Q109" s="19">
        <f>IF(COUNT(J109:L109)=0,"",MIN(J109:L109))</f>
        <v/>
      </c>
    </row>
    <row r="110">
      <c r="A110" s="13" t="inlineStr">
        <is>
          <t>96676174592652</t>
        </is>
      </c>
      <c r="B110" s="13" t="inlineStr">
        <is>
          <t>BOLSO C CLAUDE BLACK</t>
        </is>
      </c>
      <c r="C110" s="13" t="inlineStr"/>
      <c r="D110" s="14" t="inlineStr"/>
      <c r="E110" s="13" t="n"/>
      <c r="F110" s="13" t="n"/>
      <c r="G110" s="13" t="n"/>
      <c r="H110" s="13" t="n"/>
      <c r="I110" s="13" t="n"/>
      <c r="J110" s="15" t="n">
        <v>48</v>
      </c>
      <c r="K110" s="13" t="n"/>
      <c r="L110" s="13" t="n"/>
      <c r="M110" s="16">
        <f>IF(COUNT(E110:L110)=0,"",MIN(E110:L110))</f>
        <v/>
      </c>
      <c r="N110" s="15">
        <f>IF(COUNT(E110:L110)=0,"",LOOKUP(2,1/(E110:L110&lt;&gt;""),E110:L110))</f>
        <v/>
      </c>
      <c r="O110" s="17">
        <f>IF(M110="","",ROUND(M110*RESUMEN!$B$4,0))</f>
        <v/>
      </c>
      <c r="P110" s="18">
        <f>COUNT(E110:L110)</f>
        <v/>
      </c>
      <c r="Q110" s="19">
        <f>IF(COUNT(J110:L110)=0,"",MIN(J110:L110))</f>
        <v/>
      </c>
    </row>
    <row r="111">
      <c r="A111" s="13" t="inlineStr">
        <is>
          <t>68374516907020</t>
        </is>
      </c>
      <c r="B111" s="13" t="inlineStr">
        <is>
          <t>BOLSO C CLAUDE BLACK</t>
        </is>
      </c>
      <c r="C111" s="13" t="inlineStr">
        <is>
          <t>21.5cm de largo</t>
        </is>
      </c>
      <c r="D111" s="14" t="inlineStr">
        <is>
          <t>Microfiber leather</t>
        </is>
      </c>
      <c r="E111" s="13" t="n"/>
      <c r="F111" s="13" t="n"/>
      <c r="G111" s="15" t="n">
        <v>46</v>
      </c>
      <c r="H111" s="13" t="n"/>
      <c r="I111" s="13" t="n"/>
      <c r="J111" s="13" t="n"/>
      <c r="K111" s="15" t="n">
        <v>48</v>
      </c>
      <c r="L111" s="15" t="n">
        <v>46</v>
      </c>
      <c r="M111" s="16">
        <f>IF(COUNT(E111:L111)=0,"",MIN(E111:L111))</f>
        <v/>
      </c>
      <c r="N111" s="15">
        <f>IF(COUNT(E111:L111)=0,"",LOOKUP(2,1/(E111:L111&lt;&gt;""),E111:L111))</f>
        <v/>
      </c>
      <c r="O111" s="17">
        <f>IF(M111="","",ROUND(M111*RESUMEN!$B$4,0))</f>
        <v/>
      </c>
      <c r="P111" s="18">
        <f>COUNT(E111:L111)</f>
        <v/>
      </c>
      <c r="Q111" s="19">
        <f>IF(COUNT(J111:L111)=0,"",MIN(J111:L111))</f>
        <v/>
      </c>
    </row>
    <row r="112">
      <c r="A112" s="13" t="inlineStr">
        <is>
          <t>98269351492173</t>
        </is>
      </c>
      <c r="B112" s="13" t="inlineStr">
        <is>
          <t>BOLSO C CLAUDE BURDEOS</t>
        </is>
      </c>
      <c r="C112" s="13" t="inlineStr">
        <is>
          <t>Default Title</t>
        </is>
      </c>
      <c r="D112" s="14" t="inlineStr">
        <is>
          <t>Genuine leather mi</t>
        </is>
      </c>
      <c r="E112" s="13" t="n"/>
      <c r="F112" s="15" t="n">
        <v>49</v>
      </c>
      <c r="G112" s="13" t="n"/>
      <c r="H112" s="13" t="n"/>
      <c r="I112" s="13" t="n"/>
      <c r="J112" s="13" t="n"/>
      <c r="K112" s="15" t="n">
        <v>49</v>
      </c>
      <c r="L112" s="13" t="n"/>
      <c r="M112" s="16">
        <f>IF(COUNT(E112:L112)=0,"",MIN(E112:L112))</f>
        <v/>
      </c>
      <c r="N112" s="15">
        <f>IF(COUNT(E112:L112)=0,"",LOOKUP(2,1/(E112:L112&lt;&gt;""),E112:L112))</f>
        <v/>
      </c>
      <c r="O112" s="17">
        <f>IF(M112="","",ROUND(M112*RESUMEN!$B$4,0))</f>
        <v/>
      </c>
      <c r="P112" s="18">
        <f>COUNT(E112:L112)</f>
        <v/>
      </c>
      <c r="Q112" s="19">
        <f>IF(COUNT(J112:L112)=0,"",MIN(J112:L112))</f>
        <v/>
      </c>
    </row>
    <row r="113">
      <c r="A113" s="13" t="inlineStr">
        <is>
          <t>81712809885196</t>
        </is>
      </c>
      <c r="B113" s="13" t="inlineStr">
        <is>
          <t>BOLSO C CLAUDE SILVER BLACK</t>
        </is>
      </c>
      <c r="C113" s="13" t="inlineStr">
        <is>
          <t>20.5cm de largo</t>
        </is>
      </c>
      <c r="D113" s="14" t="inlineStr">
        <is>
          <t>Microfiber leather</t>
        </is>
      </c>
      <c r="E113" s="13" t="n"/>
      <c r="F113" s="15" t="n">
        <v>48</v>
      </c>
      <c r="G113" s="15" t="n">
        <v>46</v>
      </c>
      <c r="H113" s="13" t="n"/>
      <c r="I113" s="13" t="n"/>
      <c r="J113" s="13" t="n"/>
      <c r="K113" s="15" t="n">
        <v>48</v>
      </c>
      <c r="L113" s="15" t="n">
        <v>46</v>
      </c>
      <c r="M113" s="16">
        <f>IF(COUNT(E113:L113)=0,"",MIN(E113:L113))</f>
        <v/>
      </c>
      <c r="N113" s="15">
        <f>IF(COUNT(E113:L113)=0,"",LOOKUP(2,1/(E113:L113&lt;&gt;""),E113:L113))</f>
        <v/>
      </c>
      <c r="O113" s="17">
        <f>IF(M113="","",ROUND(M113*RESUMEN!$B$4,0))</f>
        <v/>
      </c>
      <c r="P113" s="18">
        <f>COUNT(E113:L113)</f>
        <v/>
      </c>
      <c r="Q113" s="19">
        <f>IF(COUNT(J113:L113)=0,"",MIN(J113:L113))</f>
        <v/>
      </c>
    </row>
    <row r="114">
      <c r="A114" s="13" t="inlineStr">
        <is>
          <t>DANAHE, CELESTE</t>
        </is>
      </c>
      <c r="B114" s="13" t="inlineStr">
        <is>
          <t>BOLSO C CLAUDE SILVER BLACK</t>
        </is>
      </c>
      <c r="C114" s="13" t="inlineStr">
        <is>
          <t>DANAHE, CELESTE</t>
        </is>
      </c>
      <c r="D114" s="14" t="inlineStr"/>
      <c r="E114" s="13" t="n"/>
      <c r="F114" s="13" t="n"/>
      <c r="G114" s="13" t="n"/>
      <c r="H114" s="13" t="n"/>
      <c r="I114" s="13" t="n"/>
      <c r="J114" s="13" t="n"/>
      <c r="K114" s="15" t="n">
        <v>48</v>
      </c>
      <c r="L114" s="13" t="n"/>
      <c r="M114" s="16">
        <f>IF(COUNT(E114:L114)=0,"",MIN(E114:L114))</f>
        <v/>
      </c>
      <c r="N114" s="15">
        <f>IF(COUNT(E114:L114)=0,"",LOOKUP(2,1/(E114:L114&lt;&gt;""),E114:L114))</f>
        <v/>
      </c>
      <c r="O114" s="17">
        <f>IF(M114="","",ROUND(M114*RESUMEN!$B$4,0))</f>
        <v/>
      </c>
      <c r="P114" s="18">
        <f>COUNT(E114:L114)</f>
        <v/>
      </c>
      <c r="Q114" s="19">
        <f>IF(COUNT(J114:L114)=0,"",MIN(J114:L114))</f>
        <v/>
      </c>
    </row>
    <row r="115">
      <c r="A115" s="13" t="inlineStr">
        <is>
          <t>14401521878445</t>
        </is>
      </c>
      <c r="B115" s="13" t="inlineStr">
        <is>
          <t>BOLSO C HALFMOON BLACK</t>
        </is>
      </c>
      <c r="C115" s="13" t="inlineStr">
        <is>
          <t>XGH514937 47cm</t>
        </is>
      </c>
      <c r="D115" s="14" t="inlineStr">
        <is>
          <t>Cowhide</t>
        </is>
      </c>
      <c r="E115" s="13" t="n"/>
      <c r="F115" s="13" t="n"/>
      <c r="G115" s="13" t="n"/>
      <c r="H115" s="15" t="n">
        <v>65</v>
      </c>
      <c r="I115" s="13" t="n"/>
      <c r="J115" s="15" t="n">
        <v>65</v>
      </c>
      <c r="K115" s="13" t="n"/>
      <c r="L115" s="15" t="n">
        <v>65</v>
      </c>
      <c r="M115" s="16">
        <f>IF(COUNT(E115:L115)=0,"",MIN(E115:L115))</f>
        <v/>
      </c>
      <c r="N115" s="15">
        <f>IF(COUNT(E115:L115)=0,"",LOOKUP(2,1/(E115:L115&lt;&gt;""),E115:L115))</f>
        <v/>
      </c>
      <c r="O115" s="17">
        <f>IF(M115="","",ROUND(M115*RESUMEN!$B$4,0))</f>
        <v/>
      </c>
      <c r="P115" s="18">
        <f>COUNT(E115:L115)</f>
        <v/>
      </c>
      <c r="Q115" s="19">
        <f>IF(COUNT(J115:L115)=0,"",MIN(J115:L115))</f>
        <v/>
      </c>
    </row>
    <row r="116">
      <c r="A116" s="13" t="inlineStr">
        <is>
          <t>14401521612909</t>
        </is>
      </c>
      <c r="B116" s="13" t="inlineStr">
        <is>
          <t>BOLSO C PANIER HOBO</t>
        </is>
      </c>
      <c r="C116" s="13" t="inlineStr">
        <is>
          <t>Default Title</t>
        </is>
      </c>
      <c r="D116" s="14" t="inlineStr">
        <is>
          <t>Weaving</t>
        </is>
      </c>
      <c r="E116" s="13" t="n"/>
      <c r="F116" s="13" t="n"/>
      <c r="G116" s="13" t="n"/>
      <c r="H116" s="15" t="n">
        <v>42</v>
      </c>
      <c r="I116" s="13" t="n"/>
      <c r="J116" s="13" t="n"/>
      <c r="K116" s="15" t="n">
        <v>42</v>
      </c>
      <c r="L116" s="13" t="n"/>
      <c r="M116" s="16">
        <f>IF(COUNT(E116:L116)=0,"",MIN(E116:L116))</f>
        <v/>
      </c>
      <c r="N116" s="15">
        <f>IF(COUNT(E116:L116)=0,"",LOOKUP(2,1/(E116:L116&lt;&gt;""),E116:L116))</f>
        <v/>
      </c>
      <c r="O116" s="17">
        <f>IF(M116="","",ROUND(M116*RESUMEN!$B$4,0))</f>
        <v/>
      </c>
      <c r="P116" s="18">
        <f>COUNT(E116:L116)</f>
        <v/>
      </c>
      <c r="Q116" s="19">
        <f>IF(COUNT(J116:L116)=0,"",MIN(J116:L116))</f>
        <v/>
      </c>
    </row>
    <row r="117">
      <c r="A117" s="13" t="inlineStr">
        <is>
          <t>71092951532237</t>
        </is>
      </c>
      <c r="B117" s="13" t="inlineStr">
        <is>
          <t>BOLSO C TRIOMPHE TEEN</t>
        </is>
      </c>
      <c r="C117" s="13" t="inlineStr">
        <is>
          <t>Default Title</t>
        </is>
      </c>
      <c r="D117" s="14" t="inlineStr">
        <is>
          <t>Genuine leather mi</t>
        </is>
      </c>
      <c r="E117" s="13" t="n"/>
      <c r="F117" s="13" t="n"/>
      <c r="G117" s="13" t="n"/>
      <c r="H117" s="15" t="n">
        <v>59</v>
      </c>
      <c r="I117" s="13" t="n"/>
      <c r="J117" s="13" t="n"/>
      <c r="K117" s="15" t="n">
        <v>59</v>
      </c>
      <c r="L117" s="13" t="n"/>
      <c r="M117" s="16">
        <f>IF(COUNT(E117:L117)=0,"",MIN(E117:L117))</f>
        <v/>
      </c>
      <c r="N117" s="15">
        <f>IF(COUNT(E117:L117)=0,"",LOOKUP(2,1/(E117:L117&lt;&gt;""),E117:L117))</f>
        <v/>
      </c>
      <c r="O117" s="17">
        <f>IF(M117="","",ROUND(M117*RESUMEN!$B$4,0))</f>
        <v/>
      </c>
      <c r="P117" s="18">
        <f>COUNT(E117:L117)</f>
        <v/>
      </c>
      <c r="Q117" s="19">
        <f>IF(COUNT(J117:L117)=0,"",MIN(J117:L117))</f>
        <v/>
      </c>
    </row>
    <row r="118">
      <c r="A118" s="13" t="inlineStr">
        <is>
          <t>654bdc4810167</t>
        </is>
      </c>
      <c r="B118" s="13" t="inlineStr">
        <is>
          <t>BOLSO CC BLACK SILVER</t>
        </is>
      </c>
      <c r="C118" s="13" t="inlineStr">
        <is>
          <t>16cm de alto x 25cm de largo x 7cm de ancho</t>
        </is>
      </c>
      <c r="D118" s="14" t="inlineStr">
        <is>
          <t>Microfiber leather</t>
        </is>
      </c>
      <c r="E118" s="13" t="n"/>
      <c r="F118" s="15" t="n">
        <v>54</v>
      </c>
      <c r="G118" s="15" t="n">
        <v>54</v>
      </c>
      <c r="H118" s="13" t="n"/>
      <c r="I118" s="15" t="n">
        <v>54</v>
      </c>
      <c r="J118" s="13" t="n"/>
      <c r="K118" s="15" t="n">
        <v>54</v>
      </c>
      <c r="L118" s="13" t="n"/>
      <c r="M118" s="16">
        <f>IF(COUNT(E118:L118)=0,"",MIN(E118:L118))</f>
        <v/>
      </c>
      <c r="N118" s="15">
        <f>IF(COUNT(E118:L118)=0,"",LOOKUP(2,1/(E118:L118&lt;&gt;""),E118:L118))</f>
        <v/>
      </c>
      <c r="O118" s="17">
        <f>IF(M118="","",ROUND(M118*RESUMEN!$B$4,0))</f>
        <v/>
      </c>
      <c r="P118" s="18">
        <f>COUNT(E118:L118)</f>
        <v/>
      </c>
      <c r="Q118" s="19">
        <f>IF(COUNT(J118:L118)=0,"",MIN(J118:L118))</f>
        <v/>
      </c>
    </row>
    <row r="119">
      <c r="A119" s="13" t="inlineStr">
        <is>
          <t>DANAHE</t>
        </is>
      </c>
      <c r="B119" s="13" t="inlineStr">
        <is>
          <t>BOLSO CC BLACK SILVER</t>
        </is>
      </c>
      <c r="C119" s="13" t="inlineStr">
        <is>
          <t>DANAHE</t>
        </is>
      </c>
      <c r="D119" s="14" t="inlineStr"/>
      <c r="E119" s="13" t="n"/>
      <c r="F119" s="13" t="n"/>
      <c r="G119" s="13" t="n"/>
      <c r="H119" s="13" t="n"/>
      <c r="I119" s="13" t="n"/>
      <c r="J119" s="13" t="n"/>
      <c r="K119" s="15" t="n">
        <v>54</v>
      </c>
      <c r="L119" s="13" t="n"/>
      <c r="M119" s="16">
        <f>IF(COUNT(E119:L119)=0,"",MIN(E119:L119))</f>
        <v/>
      </c>
      <c r="N119" s="15">
        <f>IF(COUNT(E119:L119)=0,"",LOOKUP(2,1/(E119:L119&lt;&gt;""),E119:L119))</f>
        <v/>
      </c>
      <c r="O119" s="17">
        <f>IF(M119="","",ROUND(M119*RESUMEN!$B$4,0))</f>
        <v/>
      </c>
      <c r="P119" s="18">
        <f>COUNT(E119:L119)</f>
        <v/>
      </c>
      <c r="Q119" s="19">
        <f>IF(COUNT(J119:L119)=0,"",MIN(J119:L119))</f>
        <v/>
      </c>
    </row>
    <row r="120">
      <c r="A120" s="13" t="inlineStr">
        <is>
          <t>24469411472813</t>
        </is>
      </c>
      <c r="B120" s="13" t="inlineStr">
        <is>
          <t>BOLSO CC CLASIC BROWN</t>
        </is>
      </c>
      <c r="C120" s="13" t="inlineStr">
        <is>
          <t>Default Title</t>
        </is>
      </c>
      <c r="D120" s="14" t="inlineStr">
        <is>
          <t>Microfiber leather</t>
        </is>
      </c>
      <c r="E120" s="13" t="n"/>
      <c r="F120" s="15" t="n">
        <v>54</v>
      </c>
      <c r="G120" s="15" t="n">
        <v>54</v>
      </c>
      <c r="H120" s="15" t="n">
        <v>54</v>
      </c>
      <c r="I120" s="13" t="n"/>
      <c r="J120" s="15" t="n">
        <v>54</v>
      </c>
      <c r="K120" s="13" t="n"/>
      <c r="L120" s="13" t="n"/>
      <c r="M120" s="16">
        <f>IF(COUNT(E120:L120)=0,"",MIN(E120:L120))</f>
        <v/>
      </c>
      <c r="N120" s="15">
        <f>IF(COUNT(E120:L120)=0,"",LOOKUP(2,1/(E120:L120&lt;&gt;""),E120:L120))</f>
        <v/>
      </c>
      <c r="O120" s="17">
        <f>IF(M120="","",ROUND(M120*RESUMEN!$B$4,0))</f>
        <v/>
      </c>
      <c r="P120" s="18">
        <f>COUNT(E120:L120)</f>
        <v/>
      </c>
      <c r="Q120" s="19">
        <f>IF(COUNT(J120:L120)=0,"",MIN(J120:L120))</f>
        <v/>
      </c>
    </row>
    <row r="121">
      <c r="A121" s="13" t="inlineStr">
        <is>
          <t>24469411303885</t>
        </is>
      </c>
      <c r="B121" s="13" t="inlineStr">
        <is>
          <t>BOLSO CC CLASIC NUDE</t>
        </is>
      </c>
      <c r="C121" s="13" t="inlineStr">
        <is>
          <t>Default Title</t>
        </is>
      </c>
      <c r="D121" s="14" t="inlineStr"/>
      <c r="E121" s="13" t="n"/>
      <c r="F121" s="15" t="n">
        <v>54</v>
      </c>
      <c r="G121" s="13" t="n"/>
      <c r="H121" s="13" t="n"/>
      <c r="I121" s="13" t="n"/>
      <c r="J121" s="13" t="n"/>
      <c r="K121" s="13" t="n"/>
      <c r="L121" s="13" t="n"/>
      <c r="M121" s="16">
        <f>IF(COUNT(E121:L121)=0,"",MIN(E121:L121))</f>
        <v/>
      </c>
      <c r="N121" s="15">
        <f>IF(COUNT(E121:L121)=0,"",LOOKUP(2,1/(E121:L121&lt;&gt;""),E121:L121))</f>
        <v/>
      </c>
      <c r="O121" s="17">
        <f>IF(M121="","",ROUND(M121*RESUMEN!$B$4,0))</f>
        <v/>
      </c>
      <c r="P121" s="18">
        <f>COUNT(E121:L121)</f>
        <v/>
      </c>
      <c r="Q121" s="19">
        <f>IF(COUNT(J121:L121)=0,"",MIN(J121:L121))</f>
        <v/>
      </c>
    </row>
    <row r="122">
      <c r="A122" s="13" t="inlineStr">
        <is>
          <t>14401522920237</t>
        </is>
      </c>
      <c r="B122" s="13" t="inlineStr">
        <is>
          <t>BOLSO CC DOUBLE FLAP</t>
        </is>
      </c>
      <c r="C122" s="13" t="inlineStr">
        <is>
          <t>Default Title</t>
        </is>
      </c>
      <c r="D122" s="14" t="inlineStr">
        <is>
          <t>Microfiber leather</t>
        </is>
      </c>
      <c r="E122" s="13" t="n"/>
      <c r="F122" s="13" t="n"/>
      <c r="G122" s="13" t="n"/>
      <c r="H122" s="15" t="n">
        <v>72</v>
      </c>
      <c r="I122" s="13" t="n"/>
      <c r="J122" s="15" t="n">
        <v>72</v>
      </c>
      <c r="K122" s="13" t="n"/>
      <c r="L122" s="13" t="n"/>
      <c r="M122" s="16">
        <f>IF(COUNT(E122:L122)=0,"",MIN(E122:L122))</f>
        <v/>
      </c>
      <c r="N122" s="15">
        <f>IF(COUNT(E122:L122)=0,"",LOOKUP(2,1/(E122:L122&lt;&gt;""),E122:L122))</f>
        <v/>
      </c>
      <c r="O122" s="17">
        <f>IF(M122="","",ROUND(M122*RESUMEN!$B$4,0))</f>
        <v/>
      </c>
      <c r="P122" s="18">
        <f>COUNT(E122:L122)</f>
        <v/>
      </c>
      <c r="Q122" s="19">
        <f>IF(COUNT(J122:L122)=0,"",MIN(J122:L122))</f>
        <v/>
      </c>
    </row>
    <row r="123">
      <c r="A123" s="13" t="inlineStr">
        <is>
          <t>24072851105773</t>
        </is>
      </c>
      <c r="B123" s="13" t="inlineStr">
        <is>
          <t>BOLSO CC MINI KELLY BLACK</t>
        </is>
      </c>
      <c r="C123" s="13" t="inlineStr">
        <is>
          <t>Default Title</t>
        </is>
      </c>
      <c r="D123" s="14" t="inlineStr">
        <is>
          <t>Microfiber leather</t>
        </is>
      </c>
      <c r="E123" s="13" t="n"/>
      <c r="F123" s="13" t="n"/>
      <c r="G123" s="15" t="n">
        <v>51</v>
      </c>
      <c r="H123" s="13" t="n"/>
      <c r="I123" s="13" t="n"/>
      <c r="J123" s="15" t="n">
        <v>53</v>
      </c>
      <c r="K123" s="13" t="n"/>
      <c r="L123" s="13" t="n"/>
      <c r="M123" s="16">
        <f>IF(COUNT(E123:L123)=0,"",MIN(E123:L123))</f>
        <v/>
      </c>
      <c r="N123" s="15">
        <f>IF(COUNT(E123:L123)=0,"",LOOKUP(2,1/(E123:L123&lt;&gt;""),E123:L123))</f>
        <v/>
      </c>
      <c r="O123" s="17">
        <f>IF(M123="","",ROUND(M123*RESUMEN!$B$4,0))</f>
        <v/>
      </c>
      <c r="P123" s="18">
        <f>COUNT(E123:L123)</f>
        <v/>
      </c>
      <c r="Q123" s="19">
        <f>IF(COUNT(J123:L123)=0,"",MIN(J123:L123))</f>
        <v/>
      </c>
    </row>
    <row r="124">
      <c r="A124" s="13" t="inlineStr">
        <is>
          <t>98269351344877</t>
        </is>
      </c>
      <c r="B124" s="13" t="inlineStr">
        <is>
          <t>BOLSO CC MINI KELLY BURDEOS</t>
        </is>
      </c>
      <c r="C124" s="13" t="inlineStr">
        <is>
          <t>Default Title</t>
        </is>
      </c>
      <c r="D124" s="14" t="inlineStr">
        <is>
          <t>Microfiber leather</t>
        </is>
      </c>
      <c r="E124" s="13" t="n"/>
      <c r="F124" s="15" t="n">
        <v>53</v>
      </c>
      <c r="G124" s="15" t="n">
        <v>51</v>
      </c>
      <c r="H124" s="15" t="n">
        <v>53</v>
      </c>
      <c r="I124" s="15" t="n">
        <v>53</v>
      </c>
      <c r="J124" s="13" t="n"/>
      <c r="K124" s="15" t="n">
        <v>53</v>
      </c>
      <c r="L124" s="13" t="n"/>
      <c r="M124" s="16">
        <f>IF(COUNT(E124:L124)=0,"",MIN(E124:L124))</f>
        <v/>
      </c>
      <c r="N124" s="15">
        <f>IF(COUNT(E124:L124)=0,"",LOOKUP(2,1/(E124:L124&lt;&gt;""),E124:L124))</f>
        <v/>
      </c>
      <c r="O124" s="17">
        <f>IF(M124="","",ROUND(M124*RESUMEN!$B$4,0))</f>
        <v/>
      </c>
      <c r="P124" s="18">
        <f>COUNT(E124:L124)</f>
        <v/>
      </c>
      <c r="Q124" s="19">
        <f>IF(COUNT(J124:L124)=0,"",MIN(J124:L124))</f>
        <v/>
      </c>
    </row>
    <row r="125">
      <c r="A125" s="13" t="inlineStr">
        <is>
          <t>24072851084557</t>
        </is>
      </c>
      <c r="B125" s="13" t="inlineStr">
        <is>
          <t>BOLSO CC MINI KELLY WHITE</t>
        </is>
      </c>
      <c r="C125" s="13" t="inlineStr">
        <is>
          <t>Default Title</t>
        </is>
      </c>
      <c r="D125" s="14" t="inlineStr">
        <is>
          <t>Microfiber leather</t>
        </is>
      </c>
      <c r="E125" s="13" t="n"/>
      <c r="F125" s="13" t="n"/>
      <c r="G125" s="15" t="n">
        <v>51</v>
      </c>
      <c r="H125" s="13" t="n"/>
      <c r="I125" s="13" t="n"/>
      <c r="J125" s="13" t="n"/>
      <c r="K125" s="15" t="n">
        <v>53</v>
      </c>
      <c r="L125" s="13" t="n"/>
      <c r="M125" s="16">
        <f>IF(COUNT(E125:L125)=0,"",MIN(E125:L125))</f>
        <v/>
      </c>
      <c r="N125" s="15">
        <f>IF(COUNT(E125:L125)=0,"",LOOKUP(2,1/(E125:L125&lt;&gt;""),E125:L125))</f>
        <v/>
      </c>
      <c r="O125" s="17">
        <f>IF(M125="","",ROUND(M125*RESUMEN!$B$4,0))</f>
        <v/>
      </c>
      <c r="P125" s="18">
        <f>COUNT(E125:L125)</f>
        <v/>
      </c>
      <c r="Q125" s="19">
        <f>IF(COUNT(J125:L125)=0,"",MIN(J125:L125))</f>
        <v/>
      </c>
    </row>
    <row r="126">
      <c r="A126" s="13" t="inlineStr">
        <is>
          <t>71092951310861</t>
        </is>
      </c>
      <c r="B126" s="13" t="inlineStr">
        <is>
          <t>BOLSO CC VANITY WHITE</t>
        </is>
      </c>
      <c r="C126" s="13" t="inlineStr">
        <is>
          <t>XGH551743 white</t>
        </is>
      </c>
      <c r="D126" s="14" t="inlineStr">
        <is>
          <t>Genuine leather mi</t>
        </is>
      </c>
      <c r="E126" s="13" t="n"/>
      <c r="F126" s="13" t="n"/>
      <c r="G126" s="13" t="n"/>
      <c r="H126" s="15" t="n">
        <v>52</v>
      </c>
      <c r="I126" s="13" t="n"/>
      <c r="J126" s="15" t="n">
        <v>52</v>
      </c>
      <c r="K126" s="13" t="n"/>
      <c r="L126" s="15" t="n">
        <v>52</v>
      </c>
      <c r="M126" s="16">
        <f>IF(COUNT(E126:L126)=0,"",MIN(E126:L126))</f>
        <v/>
      </c>
      <c r="N126" s="15">
        <f>IF(COUNT(E126:L126)=0,"",LOOKUP(2,1/(E126:L126&lt;&gt;""),E126:L126))</f>
        <v/>
      </c>
      <c r="O126" s="17">
        <f>IF(M126="","",ROUND(M126*RESUMEN!$B$4,0))</f>
        <v/>
      </c>
      <c r="P126" s="18">
        <f>COUNT(E126:L126)</f>
        <v/>
      </c>
      <c r="Q126" s="19">
        <f>IF(COUNT(J126:L126)=0,"",MIN(J126:L126))</f>
        <v/>
      </c>
    </row>
    <row r="127">
      <c r="A127" s="13" t="inlineStr">
        <is>
          <t>14401523449613</t>
        </is>
      </c>
      <c r="B127" s="13" t="inlineStr">
        <is>
          <t>BOLSO CD CON CREMALLERA</t>
        </is>
      </c>
      <c r="C127" s="13" t="inlineStr">
        <is>
          <t>Default Title</t>
        </is>
      </c>
      <c r="D127" s="14" t="inlineStr">
        <is>
          <t>Microfiber leather</t>
        </is>
      </c>
      <c r="E127" s="13" t="n"/>
      <c r="F127" s="13" t="n"/>
      <c r="G127" s="13" t="n"/>
      <c r="H127" s="15" t="n">
        <v>48</v>
      </c>
      <c r="I127" s="13" t="n"/>
      <c r="J127" s="15" t="n">
        <v>48</v>
      </c>
      <c r="K127" s="15" t="n">
        <v>48</v>
      </c>
      <c r="L127" s="13" t="n"/>
      <c r="M127" s="16">
        <f>IF(COUNT(E127:L127)=0,"",MIN(E127:L127))</f>
        <v/>
      </c>
      <c r="N127" s="15">
        <f>IF(COUNT(E127:L127)=0,"",LOOKUP(2,1/(E127:L127&lt;&gt;""),E127:L127))</f>
        <v/>
      </c>
      <c r="O127" s="17">
        <f>IF(M127="","",ROUND(M127*RESUMEN!$B$4,0))</f>
        <v/>
      </c>
      <c r="P127" s="18">
        <f>COUNT(E127:L127)</f>
        <v/>
      </c>
      <c r="Q127" s="19">
        <f>IF(COUNT(J127:L127)=0,"",MIN(J127:L127))</f>
        <v/>
      </c>
    </row>
    <row r="128">
      <c r="A128" s="13" t="inlineStr">
        <is>
          <t>98043701458157</t>
        </is>
      </c>
      <c r="B128" s="13" t="inlineStr">
        <is>
          <t>BOLSO CD HOBO DIORSTAR</t>
        </is>
      </c>
      <c r="C128" s="13" t="inlineStr">
        <is>
          <t>Default Title</t>
        </is>
      </c>
      <c r="D128" s="14" t="inlineStr">
        <is>
          <t>Genuine leather mi</t>
        </is>
      </c>
      <c r="E128" s="13" t="n"/>
      <c r="F128" s="13" t="n"/>
      <c r="G128" s="13" t="n"/>
      <c r="H128" s="13" t="n"/>
      <c r="I128" s="15" t="n">
        <v>67</v>
      </c>
      <c r="J128" s="13" t="n"/>
      <c r="K128" s="15" t="n">
        <v>67</v>
      </c>
      <c r="L128" s="13" t="n"/>
      <c r="M128" s="16">
        <f>IF(COUNT(E128:L128)=0,"",MIN(E128:L128))</f>
        <v/>
      </c>
      <c r="N128" s="15">
        <f>IF(COUNT(E128:L128)=0,"",LOOKUP(2,1/(E128:L128&lt;&gt;""),E128:L128))</f>
        <v/>
      </c>
      <c r="O128" s="17">
        <f>IF(M128="","",ROUND(M128*RESUMEN!$B$4,0))</f>
        <v/>
      </c>
      <c r="P128" s="18">
        <f>COUNT(E128:L128)</f>
        <v/>
      </c>
      <c r="Q128" s="19">
        <f>IF(COUNT(J128:L128)=0,"",MIN(J128:L128))</f>
        <v/>
      </c>
    </row>
    <row r="129">
      <c r="A129" s="13" t="inlineStr">
        <is>
          <t>13863311065325</t>
        </is>
      </c>
      <c r="B129" s="13" t="inlineStr">
        <is>
          <t>BOLSO CD MESSENGER SADDLE BLACK</t>
        </is>
      </c>
      <c r="C129" s="13" t="inlineStr">
        <is>
          <t>Default Title</t>
        </is>
      </c>
      <c r="D129" s="14" t="inlineStr">
        <is>
          <t>Microfiber leather</t>
        </is>
      </c>
      <c r="E129" s="13" t="n"/>
      <c r="F129" s="13" t="n"/>
      <c r="G129" s="15" t="n">
        <v>49</v>
      </c>
      <c r="H129" s="13" t="n"/>
      <c r="I129" s="15" t="n">
        <v>49</v>
      </c>
      <c r="J129" s="13" t="n"/>
      <c r="K129" s="13" t="n"/>
      <c r="L129" s="13" t="n"/>
      <c r="M129" s="16">
        <f>IF(COUNT(E129:L129)=0,"",MIN(E129:L129))</f>
        <v/>
      </c>
      <c r="N129" s="15">
        <f>IF(COUNT(E129:L129)=0,"",LOOKUP(2,1/(E129:L129&lt;&gt;""),E129:L129))</f>
        <v/>
      </c>
      <c r="O129" s="17">
        <f>IF(M129="","",ROUND(M129*RESUMEN!$B$4,0))</f>
        <v/>
      </c>
      <c r="P129" s="18">
        <f>COUNT(E129:L129)</f>
        <v/>
      </c>
      <c r="Q129" s="19">
        <f>IF(COUNT(J129:L129)=0,"",MIN(J129:L129))</f>
        <v/>
      </c>
    </row>
    <row r="130">
      <c r="A130" s="13" t="inlineStr">
        <is>
          <t>62809482933772</t>
        </is>
      </c>
      <c r="B130" s="13" t="inlineStr">
        <is>
          <t>BOLSO CD MESSENGER SADDLE BLUE</t>
        </is>
      </c>
      <c r="C130" s="13" t="inlineStr">
        <is>
          <t>20cm de largo x 14cm de alto x 5cm de ancho</t>
        </is>
      </c>
      <c r="D130" s="14" t="inlineStr">
        <is>
          <t>Microfiber leather</t>
        </is>
      </c>
      <c r="E130" s="13" t="n"/>
      <c r="F130" s="15" t="n">
        <v>50</v>
      </c>
      <c r="G130" s="13" t="n"/>
      <c r="H130" s="15" t="n">
        <v>49</v>
      </c>
      <c r="I130" s="15" t="n">
        <v>50</v>
      </c>
      <c r="J130" s="13" t="n"/>
      <c r="K130" s="13" t="n"/>
      <c r="L130" s="13" t="n"/>
      <c r="M130" s="16">
        <f>IF(COUNT(E130:L130)=0,"",MIN(E130:L130))</f>
        <v/>
      </c>
      <c r="N130" s="15">
        <f>IF(COUNT(E130:L130)=0,"",LOOKUP(2,1/(E130:L130&lt;&gt;""),E130:L130))</f>
        <v/>
      </c>
      <c r="O130" s="17">
        <f>IF(M130="","",ROUND(M130*RESUMEN!$B$4,0))</f>
        <v/>
      </c>
      <c r="P130" s="18">
        <f>COUNT(E130:L130)</f>
        <v/>
      </c>
      <c r="Q130" s="19">
        <f>IF(COUNT(J130:L130)=0,"",MIN(J130:L130))</f>
        <v/>
      </c>
    </row>
    <row r="131">
      <c r="A131" s="13" t="inlineStr">
        <is>
          <t>654bdc4220c7b</t>
        </is>
      </c>
      <c r="B131" s="13" t="inlineStr">
        <is>
          <t>BOLSO DE VIAJE BLACK PÉGASE LV</t>
        </is>
      </c>
      <c r="C131" s="13" t="inlineStr">
        <is>
          <t>54cm de largo x 37cm de alto x 26cm de ancho</t>
        </is>
      </c>
      <c r="D131" s="14" t="inlineStr">
        <is>
          <t>Genuine leather mi</t>
        </is>
      </c>
      <c r="E131" s="13" t="n"/>
      <c r="F131" s="13" t="n"/>
      <c r="G131" s="13" t="n"/>
      <c r="H131" s="13" t="n"/>
      <c r="I131" s="13" t="n"/>
      <c r="J131" s="13" t="n"/>
      <c r="K131" s="15" t="n">
        <v>54</v>
      </c>
      <c r="L131" s="13" t="n"/>
      <c r="M131" s="16">
        <f>IF(COUNT(E131:L131)=0,"",MIN(E131:L131))</f>
        <v/>
      </c>
      <c r="N131" s="15">
        <f>IF(COUNT(E131:L131)=0,"",LOOKUP(2,1/(E131:L131&lt;&gt;""),E131:L131))</f>
        <v/>
      </c>
      <c r="O131" s="17">
        <f>IF(M131="","",ROUND(M131*RESUMEN!$B$4,0))</f>
        <v/>
      </c>
      <c r="P131" s="18">
        <f>COUNT(E131:L131)</f>
        <v/>
      </c>
      <c r="Q131" s="19">
        <f>IF(COUNT(J131:L131)=0,"",MIN(J131:L131))</f>
        <v/>
      </c>
    </row>
    <row r="132">
      <c r="A132" s="13" t="inlineStr">
        <is>
          <t>19976221521036</t>
        </is>
      </c>
      <c r="B132" s="13" t="inlineStr">
        <is>
          <t>BOLSO DE VIAJE BLACK PÉGASE LV</t>
        </is>
      </c>
      <c r="C132" s="13" t="inlineStr">
        <is>
          <t>HIGH QUALITY</t>
        </is>
      </c>
      <c r="D132" s="14" t="inlineStr">
        <is>
          <t>Microfiber leather</t>
        </is>
      </c>
      <c r="E132" s="13" t="n"/>
      <c r="F132" s="13" t="n"/>
      <c r="G132" s="15" t="n">
        <v>54</v>
      </c>
      <c r="H132" s="15" t="n">
        <v>54</v>
      </c>
      <c r="I132" s="15" t="n">
        <v>54</v>
      </c>
      <c r="J132" s="15" t="n">
        <v>54</v>
      </c>
      <c r="K132" s="13" t="n"/>
      <c r="L132" s="13" t="n"/>
      <c r="M132" s="16">
        <f>IF(COUNT(E132:L132)=0,"",MIN(E132:L132))</f>
        <v/>
      </c>
      <c r="N132" s="15">
        <f>IF(COUNT(E132:L132)=0,"",LOOKUP(2,1/(E132:L132&lt;&gt;""),E132:L132))</f>
        <v/>
      </c>
      <c r="O132" s="17">
        <f>IF(M132="","",ROUND(M132*RESUMEN!$B$4,0))</f>
        <v/>
      </c>
      <c r="P132" s="18">
        <f>COUNT(E132:L132)</f>
        <v/>
      </c>
      <c r="Q132" s="19">
        <f>IF(COUNT(J132:L132)=0,"",MIN(J132:L132))</f>
        <v/>
      </c>
    </row>
    <row r="133">
      <c r="A133" s="13" t="inlineStr">
        <is>
          <t>6701d26d1f472</t>
        </is>
      </c>
      <c r="B133" s="13" t="inlineStr">
        <is>
          <t>BOLSO DE VIAJE G BLACK</t>
        </is>
      </c>
      <c r="C133" s="13" t="inlineStr">
        <is>
          <t>49cm de largo x 28cm de alto x 22.5cm de ancho</t>
        </is>
      </c>
      <c r="D133" s="14" t="inlineStr">
        <is>
          <t>Genuine leather mi</t>
        </is>
      </c>
      <c r="E133" s="15" t="n">
        <v>58</v>
      </c>
      <c r="F133" s="13" t="n"/>
      <c r="G133" s="13" t="n"/>
      <c r="H133" s="13" t="n"/>
      <c r="I133" s="13" t="n"/>
      <c r="J133" s="13" t="n"/>
      <c r="K133" s="15" t="n">
        <v>93</v>
      </c>
      <c r="L133" s="13" t="n"/>
      <c r="M133" s="16">
        <f>IF(COUNT(E133:L133)=0,"",MIN(E133:L133))</f>
        <v/>
      </c>
      <c r="N133" s="15">
        <f>IF(COUNT(E133:L133)=0,"",LOOKUP(2,1/(E133:L133&lt;&gt;""),E133:L133))</f>
        <v/>
      </c>
      <c r="O133" s="17">
        <f>IF(M133="","",ROUND(M133*RESUMEN!$B$4,0))</f>
        <v/>
      </c>
      <c r="P133" s="18">
        <f>COUNT(E133:L133)</f>
        <v/>
      </c>
      <c r="Q133" s="19">
        <f>IF(COUNT(J133:L133)=0,"",MIN(J133:L133))</f>
        <v/>
      </c>
    </row>
    <row r="134">
      <c r="A134" s="13" t="inlineStr">
        <is>
          <t>11915828032299</t>
        </is>
      </c>
      <c r="B134" s="13" t="inlineStr">
        <is>
          <t>BOLSO DE VIAJE G BOWLING 55 GREEN</t>
        </is>
      </c>
      <c r="C134" s="13" t="inlineStr">
        <is>
          <t>Default Title</t>
        </is>
      </c>
      <c r="D134" s="14" t="inlineStr">
        <is>
          <t>Genuine leather mi</t>
        </is>
      </c>
      <c r="E134" s="13" t="n"/>
      <c r="F134" s="13" t="n"/>
      <c r="G134" s="13" t="n"/>
      <c r="H134" s="13" t="n"/>
      <c r="I134" s="13" t="n"/>
      <c r="J134" s="13" t="n"/>
      <c r="K134" s="15" t="n">
        <v>75</v>
      </c>
      <c r="L134" s="13" t="n"/>
      <c r="M134" s="16">
        <f>IF(COUNT(E134:L134)=0,"",MIN(E134:L134))</f>
        <v/>
      </c>
      <c r="N134" s="15">
        <f>IF(COUNT(E134:L134)=0,"",LOOKUP(2,1/(E134:L134&lt;&gt;""),E134:L134))</f>
        <v/>
      </c>
      <c r="O134" s="17">
        <f>IF(M134="","",ROUND(M134*RESUMEN!$B$4,0))</f>
        <v/>
      </c>
      <c r="P134" s="18">
        <f>COUNT(E134:L134)</f>
        <v/>
      </c>
      <c r="Q134" s="19">
        <f>IF(COUNT(J134:L134)=0,"",MIN(J134:L134))</f>
        <v/>
      </c>
    </row>
    <row r="135">
      <c r="A135" s="13" t="inlineStr">
        <is>
          <t>6701d26ca0522</t>
        </is>
      </c>
      <c r="B135" s="13" t="inlineStr">
        <is>
          <t>BOLSO DE VIAJE G GREEN</t>
        </is>
      </c>
      <c r="C135" s="13" t="inlineStr">
        <is>
          <t>49cm de largo x 28cm de alto x 22.5cm de ancho</t>
        </is>
      </c>
      <c r="D135" s="14" t="inlineStr">
        <is>
          <t>Genuine leather mi</t>
        </is>
      </c>
      <c r="E135" s="15" t="n">
        <v>58</v>
      </c>
      <c r="F135" s="13" t="n"/>
      <c r="G135" s="13" t="n"/>
      <c r="H135" s="13" t="n"/>
      <c r="I135" s="13" t="n"/>
      <c r="J135" s="13" t="n"/>
      <c r="K135" s="15" t="n">
        <v>93</v>
      </c>
      <c r="L135" s="13" t="n"/>
      <c r="M135" s="16">
        <f>IF(COUNT(E135:L135)=0,"",MIN(E135:L135))</f>
        <v/>
      </c>
      <c r="N135" s="15">
        <f>IF(COUNT(E135:L135)=0,"",LOOKUP(2,1/(E135:L135&lt;&gt;""),E135:L135))</f>
        <v/>
      </c>
      <c r="O135" s="17">
        <f>IF(M135="","",ROUND(M135*RESUMEN!$B$4,0))</f>
        <v/>
      </c>
      <c r="P135" s="18">
        <f>COUNT(E135:L135)</f>
        <v/>
      </c>
      <c r="Q135" s="19">
        <f>IF(COUNT(J135:L135)=0,"",MIN(J135:L135))</f>
        <v/>
      </c>
    </row>
    <row r="136">
      <c r="A136" s="13" t="inlineStr">
        <is>
          <t>33644561183053</t>
        </is>
      </c>
      <c r="B136" s="13" t="inlineStr">
        <is>
          <t>BOLSO F CHAIN LOGOS</t>
        </is>
      </c>
      <c r="C136" s="13" t="inlineStr">
        <is>
          <t>Default Title</t>
        </is>
      </c>
      <c r="D136" s="14" t="inlineStr"/>
      <c r="E136" s="13" t="n"/>
      <c r="F136" s="13" t="n"/>
      <c r="G136" s="13" t="n"/>
      <c r="H136" s="13" t="n"/>
      <c r="I136" s="13" t="n"/>
      <c r="J136" s="15" t="n">
        <v>46</v>
      </c>
      <c r="K136" s="13" t="n"/>
      <c r="L136" s="13" t="n"/>
      <c r="M136" s="16">
        <f>IF(COUNT(E136:L136)=0,"",MIN(E136:L136))</f>
        <v/>
      </c>
      <c r="N136" s="15">
        <f>IF(COUNT(E136:L136)=0,"",LOOKUP(2,1/(E136:L136&lt;&gt;""),E136:L136))</f>
        <v/>
      </c>
      <c r="O136" s="17">
        <f>IF(M136="","",ROUND(M136*RESUMEN!$B$4,0))</f>
        <v/>
      </c>
      <c r="P136" s="18">
        <f>COUNT(E136:L136)</f>
        <v/>
      </c>
      <c r="Q136" s="19">
        <f>IF(COUNT(J136:L136)=0,"",MIN(J136:L136))</f>
        <v/>
      </c>
    </row>
    <row r="137">
      <c r="A137" s="13" t="inlineStr">
        <is>
          <t>33644561048589</t>
        </is>
      </c>
      <c r="B137" s="13" t="inlineStr">
        <is>
          <t>BOLSO F FENDIGRAPHY WHITE</t>
        </is>
      </c>
      <c r="C137" s="13" t="inlineStr">
        <is>
          <t>Default Title</t>
        </is>
      </c>
      <c r="D137" s="14" t="inlineStr"/>
      <c r="E137" s="13" t="n"/>
      <c r="F137" s="13" t="n"/>
      <c r="G137" s="13" t="n"/>
      <c r="H137" s="13" t="n"/>
      <c r="I137" s="13" t="n"/>
      <c r="J137" s="15" t="n">
        <v>52</v>
      </c>
      <c r="K137" s="13" t="n"/>
      <c r="L137" s="13" t="n"/>
      <c r="M137" s="16">
        <f>IF(COUNT(E137:L137)=0,"",MIN(E137:L137))</f>
        <v/>
      </c>
      <c r="N137" s="15">
        <f>IF(COUNT(E137:L137)=0,"",LOOKUP(2,1/(E137:L137&lt;&gt;""),E137:L137))</f>
        <v/>
      </c>
      <c r="O137" s="17">
        <f>IF(M137="","",ROUND(M137*RESUMEN!$B$4,0))</f>
        <v/>
      </c>
      <c r="P137" s="18">
        <f>COUNT(E137:L137)</f>
        <v/>
      </c>
      <c r="Q137" s="19">
        <f>IF(COUNT(J137:L137)=0,"",MIN(J137:L137))</f>
        <v/>
      </c>
    </row>
    <row r="138">
      <c r="A138" s="13" t="inlineStr">
        <is>
          <t>43026605146252</t>
        </is>
      </c>
      <c r="B138" s="13" t="inlineStr">
        <is>
          <t>BOLSO G BLACK</t>
        </is>
      </c>
      <c r="C138" s="13" t="inlineStr">
        <is>
          <t>Default Title</t>
        </is>
      </c>
      <c r="D138" s="14" t="inlineStr">
        <is>
          <t>Microfiber leather</t>
        </is>
      </c>
      <c r="E138" s="15" t="n">
        <v>40</v>
      </c>
      <c r="F138" s="13" t="n"/>
      <c r="G138" s="15" t="n">
        <v>49</v>
      </c>
      <c r="H138" s="13" t="n"/>
      <c r="I138" s="15" t="n">
        <v>49</v>
      </c>
      <c r="J138" s="13" t="n"/>
      <c r="K138" s="15" t="n">
        <v>49</v>
      </c>
      <c r="L138" s="13" t="n"/>
      <c r="M138" s="16">
        <f>IF(COUNT(E138:L138)=0,"",MIN(E138:L138))</f>
        <v/>
      </c>
      <c r="N138" s="15">
        <f>IF(COUNT(E138:L138)=0,"",LOOKUP(2,1/(E138:L138&lt;&gt;""),E138:L138))</f>
        <v/>
      </c>
      <c r="O138" s="17">
        <f>IF(M138="","",ROUND(M138*RESUMEN!$B$4,0))</f>
        <v/>
      </c>
      <c r="P138" s="18">
        <f>COUNT(E138:L138)</f>
        <v/>
      </c>
      <c r="Q138" s="19">
        <f>IF(COUNT(J138:L138)=0,"",MIN(J138:L138))</f>
        <v/>
      </c>
    </row>
    <row r="139">
      <c r="A139" s="13" t="inlineStr">
        <is>
          <t>6701d2610aff8</t>
        </is>
      </c>
      <c r="B139" s="13" t="inlineStr">
        <is>
          <t>BOLSO G BROWN</t>
        </is>
      </c>
      <c r="C139" s="13" t="inlineStr">
        <is>
          <t>54cm de largo x 29.8cm de alto</t>
        </is>
      </c>
      <c r="D139" s="14" t="inlineStr">
        <is>
          <t>Microfiber leather</t>
        </is>
      </c>
      <c r="E139" s="13" t="n"/>
      <c r="F139" s="13" t="n"/>
      <c r="G139" s="15" t="n">
        <v>49</v>
      </c>
      <c r="H139" s="15" t="n">
        <v>49</v>
      </c>
      <c r="I139" s="15" t="n">
        <v>49</v>
      </c>
      <c r="J139" s="13" t="n"/>
      <c r="K139" s="15" t="n">
        <v>49</v>
      </c>
      <c r="L139" s="13" t="n"/>
      <c r="M139" s="16">
        <f>IF(COUNT(E139:L139)=0,"",MIN(E139:L139))</f>
        <v/>
      </c>
      <c r="N139" s="15">
        <f>IF(COUNT(E139:L139)=0,"",LOOKUP(2,1/(E139:L139&lt;&gt;""),E139:L139))</f>
        <v/>
      </c>
      <c r="O139" s="17">
        <f>IF(M139="","",ROUND(M139*RESUMEN!$B$4,0))</f>
        <v/>
      </c>
      <c r="P139" s="18">
        <f>COUNT(E139:L139)</f>
        <v/>
      </c>
      <c r="Q139" s="19">
        <f>IF(COUNT(J139:L139)=0,"",MIN(J139:L139))</f>
        <v/>
      </c>
    </row>
    <row r="140">
      <c r="A140" s="13" t="inlineStr">
        <is>
          <t>6701d2613fe66</t>
        </is>
      </c>
      <c r="B140" s="13" t="inlineStr">
        <is>
          <t>BOLSO G DARK BLUE</t>
        </is>
      </c>
      <c r="C140" s="13" t="inlineStr">
        <is>
          <t>54cm de largo x</t>
        </is>
      </c>
      <c r="D140" s="14" t="inlineStr">
        <is>
          <t>Genuine leather mi</t>
        </is>
      </c>
      <c r="E140" s="13" t="n"/>
      <c r="F140" s="15" t="n">
        <v>49</v>
      </c>
      <c r="G140" s="13" t="n"/>
      <c r="H140" s="15" t="n">
        <v>48</v>
      </c>
      <c r="I140" s="13" t="n"/>
      <c r="J140" s="13" t="n"/>
      <c r="K140" s="13" t="n"/>
      <c r="L140" s="15" t="n">
        <v>48</v>
      </c>
      <c r="M140" s="16">
        <f>IF(COUNT(E140:L140)=0,"",MIN(E140:L140))</f>
        <v/>
      </c>
      <c r="N140" s="15">
        <f>IF(COUNT(E140:L140)=0,"",LOOKUP(2,1/(E140:L140&lt;&gt;""),E140:L140))</f>
        <v/>
      </c>
      <c r="O140" s="17">
        <f>IF(M140="","",ROUND(M140*RESUMEN!$B$4,0))</f>
        <v/>
      </c>
      <c r="P140" s="18">
        <f>COUNT(E140:L140)</f>
        <v/>
      </c>
      <c r="Q140" s="19">
        <f>IF(COUNT(J140:L140)=0,"",MIN(J140:L140))</f>
        <v/>
      </c>
    </row>
    <row r="141">
      <c r="A141" s="13" t="inlineStr">
        <is>
          <t>98269341208877</t>
        </is>
      </c>
      <c r="B141" s="13" t="inlineStr">
        <is>
          <t>BOLSO GC APHRODITE BROWN</t>
        </is>
      </c>
      <c r="C141" s="13" t="inlineStr">
        <is>
          <t>Default Title</t>
        </is>
      </c>
      <c r="D141" s="14" t="inlineStr">
        <is>
          <t>Genuine leather mi</t>
        </is>
      </c>
      <c r="E141" s="13" t="n"/>
      <c r="F141" s="15" t="n">
        <v>69</v>
      </c>
      <c r="G141" s="13" t="n"/>
      <c r="H141" s="13" t="n"/>
      <c r="I141" s="13" t="n"/>
      <c r="J141" s="13" t="n"/>
      <c r="K141" s="15" t="n">
        <v>69</v>
      </c>
      <c r="L141" s="13" t="n"/>
      <c r="M141" s="16">
        <f>IF(COUNT(E141:L141)=0,"",MIN(E141:L141))</f>
        <v/>
      </c>
      <c r="N141" s="15">
        <f>IF(COUNT(E141:L141)=0,"",LOOKUP(2,1/(E141:L141&lt;&gt;""),E141:L141))</f>
        <v/>
      </c>
      <c r="O141" s="17">
        <f>IF(M141="","",ROUND(M141*RESUMEN!$B$4,0))</f>
        <v/>
      </c>
      <c r="P141" s="18">
        <f>COUNT(E141:L141)</f>
        <v/>
      </c>
      <c r="Q141" s="19">
        <f>IF(COUNT(J141:L141)=0,"",MIN(J141:L141))</f>
        <v/>
      </c>
    </row>
    <row r="142">
      <c r="A142" s="13" t="inlineStr">
        <is>
          <t>71092951414253</t>
        </is>
      </c>
      <c r="B142" s="13" t="inlineStr">
        <is>
          <t>BOLSO GC MARMONT ALL WHITE</t>
        </is>
      </c>
      <c r="C142" s="13" t="inlineStr">
        <is>
          <t>Default Title</t>
        </is>
      </c>
      <c r="D142" s="14" t="inlineStr">
        <is>
          <t>Cowhide</t>
        </is>
      </c>
      <c r="E142" s="13" t="n"/>
      <c r="F142" s="13" t="n"/>
      <c r="G142" s="13" t="n"/>
      <c r="H142" s="15" t="n">
        <v>52</v>
      </c>
      <c r="I142" s="13" t="n"/>
      <c r="J142" s="13" t="n"/>
      <c r="K142" s="15" t="n">
        <v>52</v>
      </c>
      <c r="L142" s="13" t="n"/>
      <c r="M142" s="16">
        <f>IF(COUNT(E142:L142)=0,"",MIN(E142:L142))</f>
        <v/>
      </c>
      <c r="N142" s="15">
        <f>IF(COUNT(E142:L142)=0,"",LOOKUP(2,1/(E142:L142&lt;&gt;""),E142:L142))</f>
        <v/>
      </c>
      <c r="O142" s="17">
        <f>IF(M142="","",ROUND(M142*RESUMEN!$B$4,0))</f>
        <v/>
      </c>
      <c r="P142" s="18">
        <f>COUNT(E142:L142)</f>
        <v/>
      </c>
      <c r="Q142" s="19">
        <f>IF(COUNT(J142:L142)=0,"",MIN(J142:L142))</f>
        <v/>
      </c>
    </row>
    <row r="143">
      <c r="A143" s="13" t="inlineStr">
        <is>
          <t>14401521907821</t>
        </is>
      </c>
      <c r="B143" s="13" t="inlineStr">
        <is>
          <t>BOLSO GC SHOULDER BLACK</t>
        </is>
      </c>
      <c r="C143" s="13" t="inlineStr">
        <is>
          <t>XGH222343 black</t>
        </is>
      </c>
      <c r="D143" s="14" t="inlineStr">
        <is>
          <t>Cowhide</t>
        </is>
      </c>
      <c r="E143" s="13" t="n"/>
      <c r="F143" s="13" t="n"/>
      <c r="G143" s="13" t="n"/>
      <c r="H143" s="15" t="n">
        <v>56</v>
      </c>
      <c r="I143" s="13" t="n"/>
      <c r="J143" s="15" t="n">
        <v>56</v>
      </c>
      <c r="K143" s="13" t="n"/>
      <c r="L143" s="15" t="n">
        <v>56</v>
      </c>
      <c r="M143" s="16">
        <f>IF(COUNT(E143:L143)=0,"",MIN(E143:L143))</f>
        <v/>
      </c>
      <c r="N143" s="15">
        <f>IF(COUNT(E143:L143)=0,"",LOOKUP(2,1/(E143:L143&lt;&gt;""),E143:L143))</f>
        <v/>
      </c>
      <c r="O143" s="17">
        <f>IF(M143="","",ROUND(M143*RESUMEN!$B$4,0))</f>
        <v/>
      </c>
      <c r="P143" s="18">
        <f>COUNT(E143:L143)</f>
        <v/>
      </c>
      <c r="Q143" s="19">
        <f>IF(COUNT(J143:L143)=0,"",MIN(J143:L143))</f>
        <v/>
      </c>
    </row>
    <row r="144">
      <c r="A144" s="13" t="inlineStr">
        <is>
          <t>14401522499341</t>
        </is>
      </c>
      <c r="B144" s="13" t="inlineStr">
        <is>
          <t>BOLSO GC SHOULDER SUPREME</t>
        </is>
      </c>
      <c r="C144" s="13" t="inlineStr">
        <is>
          <t>Default Title</t>
        </is>
      </c>
      <c r="D144" s="14" t="inlineStr">
        <is>
          <t>Genuine leather mi</t>
        </is>
      </c>
      <c r="E144" s="13" t="n"/>
      <c r="F144" s="13" t="n"/>
      <c r="G144" s="13" t="n"/>
      <c r="H144" s="15" t="n">
        <v>49</v>
      </c>
      <c r="I144" s="13" t="n"/>
      <c r="J144" s="13" t="n"/>
      <c r="K144" s="13" t="n"/>
      <c r="L144" s="13" t="n"/>
      <c r="M144" s="16">
        <f>IF(COUNT(E144:L144)=0,"",MIN(E144:L144))</f>
        <v/>
      </c>
      <c r="N144" s="15">
        <f>IF(COUNT(E144:L144)=0,"",LOOKUP(2,1/(E144:L144&lt;&gt;""),E144:L144))</f>
        <v/>
      </c>
      <c r="O144" s="17">
        <f>IF(M144="","",ROUND(M144*RESUMEN!$B$4,0))</f>
        <v/>
      </c>
      <c r="P144" s="18">
        <f>COUNT(E144:L144)</f>
        <v/>
      </c>
      <c r="Q144" s="19">
        <f>IF(COUNT(J144:L144)=0,"",MIN(J144:L144))</f>
        <v/>
      </c>
    </row>
    <row r="145">
      <c r="A145" s="13" t="inlineStr">
        <is>
          <t>14401522038893</t>
        </is>
      </c>
      <c r="B145" s="13" t="inlineStr">
        <is>
          <t>BOLSO GC TOTE BEATRIX BROWN</t>
        </is>
      </c>
      <c r="C145" s="13" t="inlineStr">
        <is>
          <t>XGH435494 dark c</t>
        </is>
      </c>
      <c r="D145" s="14" t="inlineStr">
        <is>
          <t>GG Canvas</t>
        </is>
      </c>
      <c r="E145" s="13" t="n"/>
      <c r="F145" s="13" t="n"/>
      <c r="G145" s="13" t="n"/>
      <c r="H145" s="15" t="n">
        <v>53</v>
      </c>
      <c r="I145" s="13" t="n"/>
      <c r="J145" s="15" t="n">
        <v>53</v>
      </c>
      <c r="K145" s="13" t="n"/>
      <c r="L145" s="15" t="n">
        <v>53</v>
      </c>
      <c r="M145" s="16">
        <f>IF(COUNT(E145:L145)=0,"",MIN(E145:L145))</f>
        <v/>
      </c>
      <c r="N145" s="15">
        <f>IF(COUNT(E145:L145)=0,"",LOOKUP(2,1/(E145:L145&lt;&gt;""),E145:L145))</f>
        <v/>
      </c>
      <c r="O145" s="17">
        <f>IF(M145="","",ROUND(M145*RESUMEN!$B$4,0))</f>
        <v/>
      </c>
      <c r="P145" s="18">
        <f>COUNT(E145:L145)</f>
        <v/>
      </c>
      <c r="Q145" s="19">
        <f>IF(COUNT(J145:L145)=0,"",MIN(J145:L145))</f>
        <v/>
      </c>
    </row>
    <row r="146">
      <c r="A146" s="13" t="inlineStr">
        <is>
          <t>6701d26e04890</t>
        </is>
      </c>
      <c r="B146" s="13" t="inlineStr">
        <is>
          <t>BOLSO H BIRKIN 30 GRIS TOURTERELLE</t>
        </is>
      </c>
      <c r="C146" s="13" t="inlineStr">
        <is>
          <t>20.5cm de alto x 25cm de largo x 13cm ancho</t>
        </is>
      </c>
      <c r="D146" s="14" t="inlineStr">
        <is>
          <t>Cowhide,metal</t>
        </is>
      </c>
      <c r="E146" s="13" t="n"/>
      <c r="F146" s="13" t="n"/>
      <c r="G146" s="15" t="n">
        <v>65</v>
      </c>
      <c r="H146" s="13" t="n"/>
      <c r="I146" s="13" t="n"/>
      <c r="J146" s="15" t="n">
        <v>65</v>
      </c>
      <c r="K146" s="15" t="n">
        <v>65</v>
      </c>
      <c r="L146" s="13" t="n"/>
      <c r="M146" s="16">
        <f>IF(COUNT(E146:L146)=0,"",MIN(E146:L146))</f>
        <v/>
      </c>
      <c r="N146" s="15">
        <f>IF(COUNT(E146:L146)=0,"",LOOKUP(2,1/(E146:L146&lt;&gt;""),E146:L146))</f>
        <v/>
      </c>
      <c r="O146" s="17">
        <f>IF(M146="","",ROUND(M146*RESUMEN!$B$4,0))</f>
        <v/>
      </c>
      <c r="P146" s="18">
        <f>COUNT(E146:L146)</f>
        <v/>
      </c>
      <c r="Q146" s="19">
        <f>IF(COUNT(J146:L146)=0,"",MIN(J146:L146))</f>
        <v/>
      </c>
    </row>
    <row r="147">
      <c r="A147" s="13" t="inlineStr">
        <is>
          <t>6701d26e72186</t>
        </is>
      </c>
      <c r="B147" s="13" t="inlineStr">
        <is>
          <t>BOLSO H BIRKIN 30 WHITE</t>
        </is>
      </c>
      <c r="C147" s="13" t="inlineStr">
        <is>
          <t>20.5cm de alto x 25cm de largo x 13cm ancho</t>
        </is>
      </c>
      <c r="D147" s="14" t="inlineStr">
        <is>
          <t>Genuine leather mi</t>
        </is>
      </c>
      <c r="E147" s="13" t="n"/>
      <c r="F147" s="13" t="n"/>
      <c r="G147" s="13" t="n"/>
      <c r="H147" s="13" t="n"/>
      <c r="I147" s="15" t="n">
        <v>65</v>
      </c>
      <c r="J147" s="13" t="n"/>
      <c r="K147" s="13" t="n"/>
      <c r="L147" s="13" t="n"/>
      <c r="M147" s="16">
        <f>IF(COUNT(E147:L147)=0,"",MIN(E147:L147))</f>
        <v/>
      </c>
      <c r="N147" s="15">
        <f>IF(COUNT(E147:L147)=0,"",LOOKUP(2,1/(E147:L147&lt;&gt;""),E147:L147))</f>
        <v/>
      </c>
      <c r="O147" s="17">
        <f>IF(M147="","",ROUND(M147*RESUMEN!$B$4,0))</f>
        <v/>
      </c>
      <c r="P147" s="18">
        <f>COUNT(E147:L147)</f>
        <v/>
      </c>
      <c r="Q147" s="19">
        <f>IF(COUNT(J147:L147)=0,"",MIN(J147:L147))</f>
        <v/>
      </c>
    </row>
    <row r="148">
      <c r="A148" s="13" t="inlineStr">
        <is>
          <t>17872087535244</t>
        </is>
      </c>
      <c r="B148" s="13" t="inlineStr">
        <is>
          <t>BOLSO LW ANAGRAM</t>
        </is>
      </c>
      <c r="C148" s="13" t="inlineStr">
        <is>
          <t>50cm x 26cm x 15cm</t>
        </is>
      </c>
      <c r="D148" s="14" t="inlineStr"/>
      <c r="E148" s="13" t="n"/>
      <c r="F148" s="13" t="n"/>
      <c r="G148" s="13" t="n"/>
      <c r="H148" s="13" t="n"/>
      <c r="I148" s="13" t="n"/>
      <c r="J148" s="13" t="n"/>
      <c r="K148" s="15" t="n">
        <v>0</v>
      </c>
      <c r="L148" s="13" t="n"/>
      <c r="M148" s="16">
        <f>IF(COUNT(E148:L148)=0,"",MIN(E148:L148))</f>
        <v/>
      </c>
      <c r="N148" s="15">
        <f>IF(COUNT(E148:L148)=0,"",LOOKUP(2,1/(E148:L148&lt;&gt;""),E148:L148))</f>
        <v/>
      </c>
      <c r="O148" s="17">
        <f>IF(M148="","",ROUND(M148*RESUMEN!$B$4,0))</f>
        <v/>
      </c>
      <c r="P148" s="18">
        <f>COUNT(E148:L148)</f>
        <v/>
      </c>
      <c r="Q148" s="19">
        <f>IF(COUNT(J148:L148)=0,"",MIN(J148:L148))</f>
        <v/>
      </c>
    </row>
    <row r="149">
      <c r="A149" s="13" t="inlineStr">
        <is>
          <t>43728071990540</t>
        </is>
      </c>
      <c r="B149" s="13" t="inlineStr">
        <is>
          <t>BOLSO LW BLACK</t>
        </is>
      </c>
      <c r="C149" s="13" t="inlineStr">
        <is>
          <t>28cm x 20cm</t>
        </is>
      </c>
      <c r="D149" s="14" t="inlineStr">
        <is>
          <t>Cowhide,metal</t>
        </is>
      </c>
      <c r="E149" s="13" t="n"/>
      <c r="F149" s="13" t="n"/>
      <c r="G149" s="15" t="n">
        <v>74</v>
      </c>
      <c r="H149" s="15" t="n">
        <v>74</v>
      </c>
      <c r="I149" s="13" t="n"/>
      <c r="J149" s="13" t="n"/>
      <c r="K149" s="13" t="n"/>
      <c r="L149" s="13" t="n"/>
      <c r="M149" s="16">
        <f>IF(COUNT(E149:L149)=0,"",MIN(E149:L149))</f>
        <v/>
      </c>
      <c r="N149" s="15">
        <f>IF(COUNT(E149:L149)=0,"",LOOKUP(2,1/(E149:L149&lt;&gt;""),E149:L149))</f>
        <v/>
      </c>
      <c r="O149" s="17">
        <f>IF(M149="","",ROUND(M149*RESUMEN!$B$4,0))</f>
        <v/>
      </c>
      <c r="P149" s="18">
        <f>COUNT(E149:L149)</f>
        <v/>
      </c>
      <c r="Q149" s="19">
        <f>IF(COUNT(J149:L149)=0,"",MIN(J149:L149))</f>
        <v/>
      </c>
    </row>
    <row r="150">
      <c r="A150" s="13" t="inlineStr">
        <is>
          <t>43728082064620</t>
        </is>
      </c>
      <c r="B150" s="13" t="inlineStr">
        <is>
          <t>BOLSO LW CHERRY</t>
        </is>
      </c>
      <c r="C150" s="13" t="inlineStr">
        <is>
          <t>28cmx20cm</t>
        </is>
      </c>
      <c r="D150" s="14" t="inlineStr">
        <is>
          <t>Cowhide,metal</t>
        </is>
      </c>
      <c r="E150" s="13" t="n"/>
      <c r="F150" s="15" t="n">
        <v>75</v>
      </c>
      <c r="G150" s="15" t="n">
        <v>74</v>
      </c>
      <c r="H150" s="15" t="n">
        <v>74</v>
      </c>
      <c r="I150" s="13" t="n"/>
      <c r="J150" s="13" t="n"/>
      <c r="K150" s="13" t="n"/>
      <c r="L150" s="13" t="n"/>
      <c r="M150" s="16">
        <f>IF(COUNT(E150:L150)=0,"",MIN(E150:L150))</f>
        <v/>
      </c>
      <c r="N150" s="15">
        <f>IF(COUNT(E150:L150)=0,"",LOOKUP(2,1/(E150:L150&lt;&gt;""),E150:L150))</f>
        <v/>
      </c>
      <c r="O150" s="17">
        <f>IF(M150="","",ROUND(M150*RESUMEN!$B$4,0))</f>
        <v/>
      </c>
      <c r="P150" s="18">
        <f>COUNT(E150:L150)</f>
        <v/>
      </c>
      <c r="Q150" s="19">
        <f>IF(COUNT(J150:L150)=0,"",MIN(J150:L150))</f>
        <v/>
      </c>
    </row>
    <row r="151">
      <c r="A151" s="13" t="inlineStr">
        <is>
          <t>677c26b31023a</t>
        </is>
      </c>
      <c r="B151" s="13" t="inlineStr">
        <is>
          <t>BOLSO LW GREEN</t>
        </is>
      </c>
      <c r="C151" s="13" t="inlineStr">
        <is>
          <t>28cmx20cm</t>
        </is>
      </c>
      <c r="D151" s="14" t="inlineStr">
        <is>
          <t>Cowhide,metal</t>
        </is>
      </c>
      <c r="E151" s="15" t="n">
        <v>76</v>
      </c>
      <c r="F151" s="15" t="n">
        <v>75</v>
      </c>
      <c r="G151" s="15" t="n">
        <v>74</v>
      </c>
      <c r="H151" s="15" t="n">
        <v>74</v>
      </c>
      <c r="I151" s="13" t="n"/>
      <c r="J151" s="13" t="n"/>
      <c r="K151" s="15" t="n">
        <v>76</v>
      </c>
      <c r="L151" s="13" t="n"/>
      <c r="M151" s="16">
        <f>IF(COUNT(E151:L151)=0,"",MIN(E151:L151))</f>
        <v/>
      </c>
      <c r="N151" s="15">
        <f>IF(COUNT(E151:L151)=0,"",LOOKUP(2,1/(E151:L151&lt;&gt;""),E151:L151))</f>
        <v/>
      </c>
      <c r="O151" s="17">
        <f>IF(M151="","",ROUND(M151*RESUMEN!$B$4,0))</f>
        <v/>
      </c>
      <c r="P151" s="18">
        <f>COUNT(E151:L151)</f>
        <v/>
      </c>
      <c r="Q151" s="19">
        <f>IF(COUNT(J151:L151)=0,"",MIN(J151:L151))</f>
        <v/>
      </c>
    </row>
    <row r="152">
      <c r="A152" s="13" t="inlineStr">
        <is>
          <t>24469411243981</t>
        </is>
      </c>
      <c r="B152" s="13" t="inlineStr">
        <is>
          <t>BOLSO MM AVENTURE BROWN</t>
        </is>
      </c>
      <c r="C152" s="13" t="inlineStr">
        <is>
          <t>Café</t>
        </is>
      </c>
      <c r="D152" s="14" t="inlineStr">
        <is>
          <t>Genuine leather mi</t>
        </is>
      </c>
      <c r="E152" s="13" t="n"/>
      <c r="F152" s="15" t="n">
        <v>69</v>
      </c>
      <c r="G152" s="13" t="n"/>
      <c r="H152" s="15" t="n">
        <v>69</v>
      </c>
      <c r="I152" s="13" t="n"/>
      <c r="J152" s="13" t="n"/>
      <c r="K152" s="13" t="n"/>
      <c r="L152" s="13" t="n"/>
      <c r="M152" s="16">
        <f>IF(COUNT(E152:L152)=0,"",MIN(E152:L152))</f>
        <v/>
      </c>
      <c r="N152" s="15">
        <f>IF(COUNT(E152:L152)=0,"",LOOKUP(2,1/(E152:L152&lt;&gt;""),E152:L152))</f>
        <v/>
      </c>
      <c r="O152" s="17">
        <f>IF(M152="","",ROUND(M152*RESUMEN!$B$4,0))</f>
        <v/>
      </c>
      <c r="P152" s="18">
        <f>COUNT(E152:L152)</f>
        <v/>
      </c>
      <c r="Q152" s="19">
        <f>IF(COUNT(J152:L152)=0,"",MIN(J152:L152))</f>
        <v/>
      </c>
    </row>
    <row r="153">
      <c r="A153" s="13" t="inlineStr">
        <is>
          <t>71092951207469</t>
        </is>
      </c>
      <c r="B153" s="13" t="inlineStr">
        <is>
          <t>BOLSO MM BEAU COÑAC</t>
        </is>
      </c>
      <c r="C153" s="13" t="inlineStr">
        <is>
          <t>Default Title</t>
        </is>
      </c>
      <c r="D153" s="14" t="inlineStr">
        <is>
          <t>Cowhide</t>
        </is>
      </c>
      <c r="E153" s="13" t="n"/>
      <c r="F153" s="13" t="n"/>
      <c r="G153" s="13" t="n"/>
      <c r="H153" s="15" t="n">
        <v>63</v>
      </c>
      <c r="I153" s="13" t="n"/>
      <c r="J153" s="15" t="n">
        <v>63</v>
      </c>
      <c r="K153" s="13" t="n"/>
      <c r="L153" s="13" t="n"/>
      <c r="M153" s="16">
        <f>IF(COUNT(E153:L153)=0,"",MIN(E153:L153))</f>
        <v/>
      </c>
      <c r="N153" s="15">
        <f>IF(COUNT(E153:L153)=0,"",LOOKUP(2,1/(E153:L153&lt;&gt;""),E153:L153))</f>
        <v/>
      </c>
      <c r="O153" s="17">
        <f>IF(M153="","",ROUND(M153*RESUMEN!$B$4,0))</f>
        <v/>
      </c>
      <c r="P153" s="18">
        <f>COUNT(E153:L153)</f>
        <v/>
      </c>
      <c r="Q153" s="19">
        <f>IF(COUNT(J153:L153)=0,"",MIN(J153:L153))</f>
        <v/>
      </c>
    </row>
    <row r="154">
      <c r="A154" s="13" t="inlineStr">
        <is>
          <t>33644561954829</t>
        </is>
      </c>
      <c r="B154" s="13" t="inlineStr">
        <is>
          <t>BOLSO MM DENIM BLUE</t>
        </is>
      </c>
      <c r="C154" s="13" t="inlineStr">
        <is>
          <t>Default Title</t>
        </is>
      </c>
      <c r="D154" s="14" t="inlineStr"/>
      <c r="E154" s="13" t="n"/>
      <c r="F154" s="13" t="n"/>
      <c r="G154" s="13" t="n"/>
      <c r="H154" s="13" t="n"/>
      <c r="I154" s="13" t="n"/>
      <c r="J154" s="15" t="n">
        <v>65</v>
      </c>
      <c r="K154" s="13" t="n"/>
      <c r="L154" s="13" t="n"/>
      <c r="M154" s="16">
        <f>IF(COUNT(E154:L154)=0,"",MIN(E154:L154))</f>
        <v/>
      </c>
      <c r="N154" s="15">
        <f>IF(COUNT(E154:L154)=0,"",LOOKUP(2,1/(E154:L154&lt;&gt;""),E154:L154))</f>
        <v/>
      </c>
      <c r="O154" s="17">
        <f>IF(M154="","",ROUND(M154*RESUMEN!$B$4,0))</f>
        <v/>
      </c>
      <c r="P154" s="18">
        <f>COUNT(E154:L154)</f>
        <v/>
      </c>
      <c r="Q154" s="19">
        <f>IF(COUNT(J154:L154)=0,"",MIN(J154:L154))</f>
        <v/>
      </c>
    </row>
    <row r="155">
      <c r="A155" s="13" t="inlineStr">
        <is>
          <t>71092951161133</t>
        </is>
      </c>
      <c r="B155" s="13" t="inlineStr">
        <is>
          <t>BOLSO MM TOTE ARCADIE DARK BROWN</t>
        </is>
      </c>
      <c r="C155" s="13" t="inlineStr">
        <is>
          <t>Default Title</t>
        </is>
      </c>
      <c r="D155" s="14" t="inlineStr">
        <is>
          <t>Cowhide</t>
        </is>
      </c>
      <c r="E155" s="13" t="n"/>
      <c r="F155" s="13" t="n"/>
      <c r="G155" s="13" t="n"/>
      <c r="H155" s="15" t="n">
        <v>55</v>
      </c>
      <c r="I155" s="13" t="n"/>
      <c r="J155" s="15" t="n">
        <v>55</v>
      </c>
      <c r="K155" s="13" t="n"/>
      <c r="L155" s="13" t="n"/>
      <c r="M155" s="16">
        <f>IF(COUNT(E155:L155)=0,"",MIN(E155:L155))</f>
        <v/>
      </c>
      <c r="N155" s="15">
        <f>IF(COUNT(E155:L155)=0,"",LOOKUP(2,1/(E155:L155&lt;&gt;""),E155:L155))</f>
        <v/>
      </c>
      <c r="O155" s="17">
        <f>IF(M155="","",ROUND(M155*RESUMEN!$B$4,0))</f>
        <v/>
      </c>
      <c r="P155" s="18">
        <f>COUNT(E155:L155)</f>
        <v/>
      </c>
      <c r="Q155" s="19">
        <f>IF(COUNT(J155:L155)=0,"",MIN(J155:L155))</f>
        <v/>
      </c>
    </row>
    <row r="156">
      <c r="A156" s="13" t="inlineStr">
        <is>
          <t>33644561253677</t>
        </is>
      </c>
      <c r="B156" s="13" t="inlineStr">
        <is>
          <t>BOLSO MM TOTE DE TELA</t>
        </is>
      </c>
      <c r="C156" s="13" t="inlineStr">
        <is>
          <t>Default Title</t>
        </is>
      </c>
      <c r="D156" s="14" t="inlineStr"/>
      <c r="E156" s="13" t="n"/>
      <c r="F156" s="13" t="n"/>
      <c r="G156" s="13" t="n"/>
      <c r="H156" s="13" t="n"/>
      <c r="I156" s="13" t="n"/>
      <c r="J156" s="15" t="n">
        <v>43</v>
      </c>
      <c r="K156" s="13" t="n"/>
      <c r="L156" s="13" t="n"/>
      <c r="M156" s="16">
        <f>IF(COUNT(E156:L156)=0,"",MIN(E156:L156))</f>
        <v/>
      </c>
      <c r="N156" s="15">
        <f>IF(COUNT(E156:L156)=0,"",LOOKUP(2,1/(E156:L156&lt;&gt;""),E156:L156))</f>
        <v/>
      </c>
      <c r="O156" s="17">
        <f>IF(M156="","",ROUND(M156*RESUMEN!$B$4,0))</f>
        <v/>
      </c>
      <c r="P156" s="18">
        <f>COUNT(E156:L156)</f>
        <v/>
      </c>
      <c r="Q156" s="19">
        <f>IF(COUNT(J156:L156)=0,"",MIN(J156:L156))</f>
        <v/>
      </c>
    </row>
    <row r="157">
      <c r="A157" s="13" t="inlineStr">
        <is>
          <t>33644561853133</t>
        </is>
      </c>
      <c r="B157" s="13" t="inlineStr">
        <is>
          <t>BOLSO MM TOTE RAFFIA</t>
        </is>
      </c>
      <c r="C157" s="13" t="inlineStr">
        <is>
          <t>Default Title</t>
        </is>
      </c>
      <c r="D157" s="14" t="inlineStr"/>
      <c r="E157" s="13" t="n"/>
      <c r="F157" s="13" t="n"/>
      <c r="G157" s="13" t="n"/>
      <c r="H157" s="13" t="n"/>
      <c r="I157" s="13" t="n"/>
      <c r="J157" s="15" t="n">
        <v>55</v>
      </c>
      <c r="K157" s="13" t="n"/>
      <c r="L157" s="13" t="n"/>
      <c r="M157" s="16">
        <f>IF(COUNT(E157:L157)=0,"",MIN(E157:L157))</f>
        <v/>
      </c>
      <c r="N157" s="15">
        <f>IF(COUNT(E157:L157)=0,"",LOOKUP(2,1/(E157:L157&lt;&gt;""),E157:L157))</f>
        <v/>
      </c>
      <c r="O157" s="17">
        <f>IF(M157="","",ROUND(M157*RESUMEN!$B$4,0))</f>
        <v/>
      </c>
      <c r="P157" s="18">
        <f>COUNT(E157:L157)</f>
        <v/>
      </c>
      <c r="Q157" s="19">
        <f>IF(COUNT(J157:L157)=0,"",MIN(J157:L157))</f>
        <v/>
      </c>
    </row>
    <row r="158">
      <c r="A158" s="13" t="inlineStr">
        <is>
          <t>34313011061229</t>
        </is>
      </c>
      <c r="B158" s="13" t="inlineStr">
        <is>
          <t>BOLSO PR HANDBAG BROWN</t>
        </is>
      </c>
      <c r="C158" s="13" t="inlineStr">
        <is>
          <t>BIG</t>
        </is>
      </c>
      <c r="D158" s="14" t="inlineStr">
        <is>
          <t>Deerskin velvet,me</t>
        </is>
      </c>
      <c r="E158" s="13" t="n"/>
      <c r="F158" s="13" t="n"/>
      <c r="G158" s="15" t="n">
        <v>52</v>
      </c>
      <c r="H158" s="13" t="n"/>
      <c r="I158" s="15" t="n">
        <v>50</v>
      </c>
      <c r="J158" s="13" t="n"/>
      <c r="K158" s="15" t="n">
        <v>52</v>
      </c>
      <c r="L158" s="13" t="n"/>
      <c r="M158" s="16">
        <f>IF(COUNT(E158:L158)=0,"",MIN(E158:L158))</f>
        <v/>
      </c>
      <c r="N158" s="15">
        <f>IF(COUNT(E158:L158)=0,"",LOOKUP(2,1/(E158:L158&lt;&gt;""),E158:L158))</f>
        <v/>
      </c>
      <c r="O158" s="17">
        <f>IF(M158="","",ROUND(M158*RESUMEN!$B$4,0))</f>
        <v/>
      </c>
      <c r="P158" s="18">
        <f>COUNT(E158:L158)</f>
        <v/>
      </c>
      <c r="Q158" s="19">
        <f>IF(COUNT(J158:L158)=0,"",MIN(J158:L158))</f>
        <v/>
      </c>
    </row>
    <row r="159">
      <c r="A159" s="13" t="inlineStr">
        <is>
          <t>35127151093997</t>
        </is>
      </c>
      <c r="B159" s="13" t="inlineStr">
        <is>
          <t>BOLSO PR HANDBAG BROWN</t>
        </is>
      </c>
      <c r="C159" s="13" t="inlineStr">
        <is>
          <t>MEDIUM</t>
        </is>
      </c>
      <c r="D159" s="14" t="inlineStr">
        <is>
          <t>Deerskin velvet,me</t>
        </is>
      </c>
      <c r="E159" s="13" t="n"/>
      <c r="F159" s="15" t="n">
        <v>48</v>
      </c>
      <c r="G159" s="15" t="n">
        <v>48</v>
      </c>
      <c r="H159" s="13" t="n"/>
      <c r="I159" s="13" t="n"/>
      <c r="J159" s="13" t="n"/>
      <c r="K159" s="15" t="n">
        <v>48</v>
      </c>
      <c r="L159" s="13" t="n"/>
      <c r="M159" s="16">
        <f>IF(COUNT(E159:L159)=0,"",MIN(E159:L159))</f>
        <v/>
      </c>
      <c r="N159" s="15">
        <f>IF(COUNT(E159:L159)=0,"",LOOKUP(2,1/(E159:L159&lt;&gt;""),E159:L159))</f>
        <v/>
      </c>
      <c r="O159" s="17">
        <f>IF(M159="","",ROUND(M159*RESUMEN!$B$4,0))</f>
        <v/>
      </c>
      <c r="P159" s="18">
        <f>COUNT(E159:L159)</f>
        <v/>
      </c>
      <c r="Q159" s="19">
        <f>IF(COUNT(J159:L159)=0,"",MIN(J159:L159))</f>
        <v/>
      </c>
    </row>
    <row r="160">
      <c r="A160" s="13" t="inlineStr">
        <is>
          <t>14401523218541</t>
        </is>
      </c>
      <c r="B160" s="13" t="inlineStr">
        <is>
          <t>BOLSO PR RE-NYLON</t>
        </is>
      </c>
      <c r="C160" s="13" t="inlineStr">
        <is>
          <t>Default Title</t>
        </is>
      </c>
      <c r="D160" s="14" t="inlineStr">
        <is>
          <t>Cowhide</t>
        </is>
      </c>
      <c r="E160" s="13" t="n"/>
      <c r="F160" s="13" t="n"/>
      <c r="G160" s="13" t="n"/>
      <c r="H160" s="15" t="n">
        <v>49</v>
      </c>
      <c r="I160" s="13" t="n"/>
      <c r="J160" s="13" t="n"/>
      <c r="K160" s="13" t="n"/>
      <c r="L160" s="13" t="n"/>
      <c r="M160" s="16">
        <f>IF(COUNT(E160:L160)=0,"",MIN(E160:L160))</f>
        <v/>
      </c>
      <c r="N160" s="15">
        <f>IF(COUNT(E160:L160)=0,"",LOOKUP(2,1/(E160:L160&lt;&gt;""),E160:L160))</f>
        <v/>
      </c>
      <c r="O160" s="17">
        <f>IF(M160="","",ROUND(M160*RESUMEN!$B$4,0))</f>
        <v/>
      </c>
      <c r="P160" s="18">
        <f>COUNT(E160:L160)</f>
        <v/>
      </c>
      <c r="Q160" s="19">
        <f>IF(COUNT(J160:L160)=0,"",MIN(J160:L160))</f>
        <v/>
      </c>
    </row>
    <row r="161">
      <c r="A161" s="13" t="inlineStr">
        <is>
          <t>58120951042445</t>
        </is>
      </c>
      <c r="B161" s="13" t="inlineStr">
        <is>
          <t>BOLSO SADDLE CD BLACK</t>
        </is>
      </c>
      <c r="C161" s="13" t="inlineStr">
        <is>
          <t>18cm de largo x 15cm de alto x 6cm de ancho</t>
        </is>
      </c>
      <c r="D161" s="14" t="inlineStr">
        <is>
          <t>Microfiber leather</t>
        </is>
      </c>
      <c r="E161" s="13" t="n"/>
      <c r="F161" s="15" t="n">
        <v>57</v>
      </c>
      <c r="G161" s="15" t="n">
        <v>57</v>
      </c>
      <c r="H161" s="13" t="n"/>
      <c r="I161" s="13" t="n"/>
      <c r="J161" s="13" t="n"/>
      <c r="K161" s="13" t="n"/>
      <c r="L161" s="13" t="n"/>
      <c r="M161" s="16">
        <f>IF(COUNT(E161:L161)=0,"",MIN(E161:L161))</f>
        <v/>
      </c>
      <c r="N161" s="15">
        <f>IF(COUNT(E161:L161)=0,"",LOOKUP(2,1/(E161:L161&lt;&gt;""),E161:L161))</f>
        <v/>
      </c>
      <c r="O161" s="17">
        <f>IF(M161="","",ROUND(M161*RESUMEN!$B$4,0))</f>
        <v/>
      </c>
      <c r="P161" s="18">
        <f>COUNT(E161:L161)</f>
        <v/>
      </c>
      <c r="Q161" s="19">
        <f>IF(COUNT(J161:L161)=0,"",MIN(J161:L161))</f>
        <v/>
      </c>
    </row>
    <row r="162">
      <c r="A162" s="13" t="inlineStr">
        <is>
          <t>668eeef9cf7b1</t>
        </is>
      </c>
      <c r="B162" s="13" t="inlineStr">
        <is>
          <t>BOLSO SADDLE CD JACQUARD BLUE</t>
        </is>
      </c>
      <c r="C162" s="13" t="inlineStr">
        <is>
          <t>18cm de largo x</t>
        </is>
      </c>
      <c r="D162" s="14" t="inlineStr">
        <is>
          <t>Microfiber leather</t>
        </is>
      </c>
      <c r="E162" s="15" t="n">
        <v>54</v>
      </c>
      <c r="F162" s="13" t="n"/>
      <c r="G162" s="15" t="n">
        <v>55</v>
      </c>
      <c r="H162" s="13" t="n"/>
      <c r="I162" s="13" t="n"/>
      <c r="J162" s="13" t="n"/>
      <c r="K162" s="13" t="n"/>
      <c r="L162" s="15" t="n">
        <v>54</v>
      </c>
      <c r="M162" s="16">
        <f>IF(COUNT(E162:L162)=0,"",MIN(E162:L162))</f>
        <v/>
      </c>
      <c r="N162" s="15">
        <f>IF(COUNT(E162:L162)=0,"",LOOKUP(2,1/(E162:L162&lt;&gt;""),E162:L162))</f>
        <v/>
      </c>
      <c r="O162" s="17">
        <f>IF(M162="","",ROUND(M162*RESUMEN!$B$4,0))</f>
        <v/>
      </c>
      <c r="P162" s="18">
        <f>COUNT(E162:L162)</f>
        <v/>
      </c>
      <c r="Q162" s="19">
        <f>IF(COUNT(J162:L162)=0,"",MIN(J162:L162))</f>
        <v/>
      </c>
    </row>
    <row r="163">
      <c r="A163" s="13" t="inlineStr">
        <is>
          <t>90820181028909</t>
        </is>
      </c>
      <c r="B163" s="13" t="inlineStr">
        <is>
          <t>BOLSO SADDLE CD JACQUARD BLUE</t>
        </is>
      </c>
      <c r="C163" s="13" t="inlineStr">
        <is>
          <t>24cm de largo x 15 cm de alto</t>
        </is>
      </c>
      <c r="D163" s="14" t="inlineStr">
        <is>
          <t>Microfiber leather</t>
        </is>
      </c>
      <c r="E163" s="13" t="n"/>
      <c r="F163" s="13" t="n"/>
      <c r="G163" s="13" t="n"/>
      <c r="H163" s="13" t="n"/>
      <c r="I163" s="15" t="n">
        <v>42</v>
      </c>
      <c r="J163" s="13" t="n"/>
      <c r="K163" s="15" t="n">
        <v>63</v>
      </c>
      <c r="L163" s="13" t="n"/>
      <c r="M163" s="16">
        <f>IF(COUNT(E163:L163)=0,"",MIN(E163:L163))</f>
        <v/>
      </c>
      <c r="N163" s="15">
        <f>IF(COUNT(E163:L163)=0,"",LOOKUP(2,1/(E163:L163&lt;&gt;""),E163:L163))</f>
        <v/>
      </c>
      <c r="O163" s="17">
        <f>IF(M163="","",ROUND(M163*RESUMEN!$B$4,0))</f>
        <v/>
      </c>
      <c r="P163" s="18">
        <f>COUNT(E163:L163)</f>
        <v/>
      </c>
      <c r="Q163" s="19">
        <f>IF(COUNT(J163:L163)=0,"",MIN(J163:L163))</f>
        <v/>
      </c>
    </row>
    <row r="164">
      <c r="A164" s="13" t="inlineStr">
        <is>
          <t>GISEL</t>
        </is>
      </c>
      <c r="B164" s="13" t="inlineStr">
        <is>
          <t>BOLSO SADDLE CD JACQUARD BLUE</t>
        </is>
      </c>
      <c r="C164" s="13" t="inlineStr">
        <is>
          <t>GISEL</t>
        </is>
      </c>
      <c r="D164" s="14" t="inlineStr"/>
      <c r="E164" s="13" t="n"/>
      <c r="F164" s="13" t="n"/>
      <c r="G164" s="13" t="n"/>
      <c r="H164" s="13" t="n"/>
      <c r="I164" s="13" t="n"/>
      <c r="J164" s="13" t="n"/>
      <c r="K164" s="15" t="n">
        <v>20</v>
      </c>
      <c r="L164" s="13" t="n"/>
      <c r="M164" s="16">
        <f>IF(COUNT(E164:L164)=0,"",MIN(E164:L164))</f>
        <v/>
      </c>
      <c r="N164" s="15">
        <f>IF(COUNT(E164:L164)=0,"",LOOKUP(2,1/(E164:L164&lt;&gt;""),E164:L164))</f>
        <v/>
      </c>
      <c r="O164" s="17">
        <f>IF(M164="","",ROUND(M164*RESUMEN!$B$4,0))</f>
        <v/>
      </c>
      <c r="P164" s="18">
        <f>COUNT(E164:L164)</f>
        <v/>
      </c>
      <c r="Q164" s="19">
        <f>IF(COUNT(J164:L164)=0,"",MIN(J164:L164))</f>
        <v/>
      </c>
    </row>
    <row r="165">
      <c r="A165" s="13" t="inlineStr">
        <is>
          <t>648cc614da168</t>
        </is>
      </c>
      <c r="B165" s="13" t="inlineStr">
        <is>
          <t>BOLSO YSL BLACK</t>
        </is>
      </c>
      <c r="C165" s="13" t="inlineStr">
        <is>
          <t>24cm x 15cm</t>
        </is>
      </c>
      <c r="D165" s="14" t="inlineStr"/>
      <c r="E165" s="15" t="n">
        <v>54</v>
      </c>
      <c r="F165" s="13" t="n"/>
      <c r="G165" s="13" t="n"/>
      <c r="H165" s="13" t="n"/>
      <c r="I165" s="13" t="n"/>
      <c r="J165" s="13" t="n"/>
      <c r="K165" s="13" t="n"/>
      <c r="L165" s="13" t="n"/>
      <c r="M165" s="16">
        <f>IF(COUNT(E165:L165)=0,"",MIN(E165:L165))</f>
        <v/>
      </c>
      <c r="N165" s="15">
        <f>IF(COUNT(E165:L165)=0,"",LOOKUP(2,1/(E165:L165&lt;&gt;""),E165:L165))</f>
        <v/>
      </c>
      <c r="O165" s="17">
        <f>IF(M165="","",ROUND(M165*RESUMEN!$B$4,0))</f>
        <v/>
      </c>
      <c r="P165" s="18">
        <f>COUNT(E165:L165)</f>
        <v/>
      </c>
      <c r="Q165" s="19">
        <f>IF(COUNT(J165:L165)=0,"",MIN(J165:L165))</f>
        <v/>
      </c>
    </row>
    <row r="166">
      <c r="A166" s="13" t="inlineStr">
        <is>
          <t>43728071530988</t>
        </is>
      </c>
      <c r="B166" s="13" t="inlineStr">
        <is>
          <t>BOLSO YSL CHAROL BLACK</t>
        </is>
      </c>
      <c r="C166" s="13" t="inlineStr">
        <is>
          <t>24cmx15cm</t>
        </is>
      </c>
      <c r="D166" s="14" t="inlineStr">
        <is>
          <t>Lacquer leather</t>
        </is>
      </c>
      <c r="E166" s="13" t="n"/>
      <c r="F166" s="15" t="n">
        <v>54</v>
      </c>
      <c r="G166" s="13" t="n"/>
      <c r="H166" s="13" t="n"/>
      <c r="I166" s="13" t="n"/>
      <c r="J166" s="13" t="n"/>
      <c r="K166" s="15" t="n">
        <v>55</v>
      </c>
      <c r="L166" s="13" t="n"/>
      <c r="M166" s="16">
        <f>IF(COUNT(E166:L166)=0,"",MIN(E166:L166))</f>
        <v/>
      </c>
      <c r="N166" s="15">
        <f>IF(COUNT(E166:L166)=0,"",LOOKUP(2,1/(E166:L166&lt;&gt;""),E166:L166))</f>
        <v/>
      </c>
      <c r="O166" s="17">
        <f>IF(M166="","",ROUND(M166*RESUMEN!$B$4,0))</f>
        <v/>
      </c>
      <c r="P166" s="18">
        <f>COUNT(E166:L166)</f>
        <v/>
      </c>
      <c r="Q166" s="19">
        <f>IF(COUNT(J166:L166)=0,"",MIN(J166:L166))</f>
        <v/>
      </c>
    </row>
    <row r="167">
      <c r="A167" s="13" t="inlineStr">
        <is>
          <t>43728135714860</t>
        </is>
      </c>
      <c r="B167" s="13" t="inlineStr">
        <is>
          <t>BOLSO YSL CHAROL CROCODILE</t>
        </is>
      </c>
      <c r="C167" s="13" t="inlineStr">
        <is>
          <t>20 cm de largo x 13 cm de alto x 6 de ancho</t>
        </is>
      </c>
      <c r="D167" s="14" t="inlineStr">
        <is>
          <t>Genuine leather mi</t>
        </is>
      </c>
      <c r="E167" s="13" t="n"/>
      <c r="F167" s="13" t="n"/>
      <c r="G167" s="13" t="n"/>
      <c r="H167" s="15" t="n">
        <v>41</v>
      </c>
      <c r="I167" s="13" t="n"/>
      <c r="J167" s="13" t="n"/>
      <c r="K167" s="15" t="n">
        <v>41</v>
      </c>
      <c r="L167" s="13" t="n"/>
      <c r="M167" s="16">
        <f>IF(COUNT(E167:L167)=0,"",MIN(E167:L167))</f>
        <v/>
      </c>
      <c r="N167" s="15">
        <f>IF(COUNT(E167:L167)=0,"",LOOKUP(2,1/(E167:L167&lt;&gt;""),E167:L167))</f>
        <v/>
      </c>
      <c r="O167" s="17">
        <f>IF(M167="","",ROUND(M167*RESUMEN!$B$4,0))</f>
        <v/>
      </c>
      <c r="P167" s="18">
        <f>COUNT(E167:L167)</f>
        <v/>
      </c>
      <c r="Q167" s="19">
        <f>IF(COUNT(J167:L167)=0,"",MIN(J167:L167))</f>
        <v/>
      </c>
    </row>
    <row r="168">
      <c r="A168" s="13" t="inlineStr">
        <is>
          <t>94350543859468</t>
        </is>
      </c>
      <c r="B168" s="13" t="inlineStr">
        <is>
          <t>BOLSO YSL CHAROL WHITE</t>
        </is>
      </c>
      <c r="C168" s="13" t="inlineStr">
        <is>
          <t>24cm x 15cm</t>
        </is>
      </c>
      <c r="D168" s="14" t="inlineStr">
        <is>
          <t>Lacquer leather,me</t>
        </is>
      </c>
      <c r="E168" s="15" t="n">
        <v>54</v>
      </c>
      <c r="F168" s="13" t="n"/>
      <c r="G168" s="13" t="n"/>
      <c r="H168" s="15" t="n">
        <v>55</v>
      </c>
      <c r="I168" s="13" t="n"/>
      <c r="J168" s="13" t="n"/>
      <c r="K168" s="13" t="n"/>
      <c r="L168" s="13" t="n"/>
      <c r="M168" s="16">
        <f>IF(COUNT(E168:L168)=0,"",MIN(E168:L168))</f>
        <v/>
      </c>
      <c r="N168" s="15">
        <f>IF(COUNT(E168:L168)=0,"",LOOKUP(2,1/(E168:L168&lt;&gt;""),E168:L168))</f>
        <v/>
      </c>
      <c r="O168" s="17">
        <f>IF(M168="","",ROUND(M168*RESUMEN!$B$4,0))</f>
        <v/>
      </c>
      <c r="P168" s="18">
        <f>COUNT(E168:L168)</f>
        <v/>
      </c>
      <c r="Q168" s="19">
        <f>IF(COUNT(J168:L168)=0,"",MIN(J168:L168))</f>
        <v/>
      </c>
    </row>
    <row r="169">
      <c r="A169" s="13" t="inlineStr">
        <is>
          <t>67572c78e34a0</t>
        </is>
      </c>
      <c r="B169" s="13" t="inlineStr">
        <is>
          <t>BOLSO YSL CHERRY CHAROL</t>
        </is>
      </c>
      <c r="C169" s="13" t="inlineStr">
        <is>
          <t>24.3cm de largo x 15cm de alto x 6cm de ancho</t>
        </is>
      </c>
      <c r="D169" s="14" t="inlineStr">
        <is>
          <t>Lacquer leather,me</t>
        </is>
      </c>
      <c r="E169" s="13" t="n"/>
      <c r="F169" s="15" t="n">
        <v>54</v>
      </c>
      <c r="G169" s="13" t="n"/>
      <c r="H169" s="15" t="n">
        <v>55</v>
      </c>
      <c r="I169" s="13" t="n"/>
      <c r="J169" s="15" t="n">
        <v>55</v>
      </c>
      <c r="K169" s="15" t="n">
        <v>55</v>
      </c>
      <c r="L169" s="13" t="n"/>
      <c r="M169" s="16">
        <f>IF(COUNT(E169:L169)=0,"",MIN(E169:L169))</f>
        <v/>
      </c>
      <c r="N169" s="15">
        <f>IF(COUNT(E169:L169)=0,"",LOOKUP(2,1/(E169:L169&lt;&gt;""),E169:L169))</f>
        <v/>
      </c>
      <c r="O169" s="17">
        <f>IF(M169="","",ROUND(M169*RESUMEN!$B$4,0))</f>
        <v/>
      </c>
      <c r="P169" s="18">
        <f>COUNT(E169:L169)</f>
        <v/>
      </c>
      <c r="Q169" s="19">
        <f>IF(COUNT(J169:L169)=0,"",MIN(J169:L169))</f>
        <v/>
      </c>
    </row>
    <row r="170">
      <c r="A170" s="13" t="inlineStr">
        <is>
          <t>668eeefb6a924</t>
        </is>
      </c>
      <c r="B170" s="13" t="inlineStr">
        <is>
          <t>BOLSO YSL KATE</t>
        </is>
      </c>
      <c r="C170" s="13" t="inlineStr">
        <is>
          <t>27cm de largo x 18 cm de alto</t>
        </is>
      </c>
      <c r="D170" s="14" t="inlineStr">
        <is>
          <t>Grass weaving</t>
        </is>
      </c>
      <c r="E170" s="15" t="n">
        <v>34</v>
      </c>
      <c r="F170" s="13" t="n"/>
      <c r="G170" s="15" t="n">
        <v>34</v>
      </c>
      <c r="H170" s="13" t="n"/>
      <c r="I170" s="15" t="n">
        <v>34</v>
      </c>
      <c r="J170" s="13" t="n"/>
      <c r="K170" s="15" t="n">
        <v>34</v>
      </c>
      <c r="L170" s="13" t="n"/>
      <c r="M170" s="16">
        <f>IF(COUNT(E170:L170)=0,"",MIN(E170:L170))</f>
        <v/>
      </c>
      <c r="N170" s="15">
        <f>IF(COUNT(E170:L170)=0,"",LOOKUP(2,1/(E170:L170&lt;&gt;""),E170:L170))</f>
        <v/>
      </c>
      <c r="O170" s="17">
        <f>IF(M170="","",ROUND(M170*RESUMEN!$B$4,0))</f>
        <v/>
      </c>
      <c r="P170" s="18">
        <f>COUNT(E170:L170)</f>
        <v/>
      </c>
      <c r="Q170" s="19">
        <f>IF(COUNT(J170:L170)=0,"",MIN(J170:L170))</f>
        <v/>
      </c>
    </row>
    <row r="171">
      <c r="A171" s="13" t="inlineStr">
        <is>
          <t>35245867974284</t>
        </is>
      </c>
      <c r="B171" s="13" t="inlineStr">
        <is>
          <t>BOLSO YSL SHOPER ICARE</t>
        </is>
      </c>
      <c r="C171" s="13" t="inlineStr">
        <is>
          <t>42cm x 42cm</t>
        </is>
      </c>
      <c r="D171" s="14" t="inlineStr">
        <is>
          <t>Grass weaving</t>
        </is>
      </c>
      <c r="E171" s="13" t="n"/>
      <c r="F171" s="13" t="n"/>
      <c r="G171" s="15" t="n">
        <v>55</v>
      </c>
      <c r="H171" s="13" t="n"/>
      <c r="I171" s="15" t="n">
        <v>55</v>
      </c>
      <c r="J171" s="13" t="n"/>
      <c r="K171" s="15" t="n">
        <v>55</v>
      </c>
      <c r="L171" s="13" t="n"/>
      <c r="M171" s="16">
        <f>IF(COUNT(E171:L171)=0,"",MIN(E171:L171))</f>
        <v/>
      </c>
      <c r="N171" s="15">
        <f>IF(COUNT(E171:L171)=0,"",LOOKUP(2,1/(E171:L171&lt;&gt;""),E171:L171))</f>
        <v/>
      </c>
      <c r="O171" s="17">
        <f>IF(M171="","",ROUND(M171*RESUMEN!$B$4,0))</f>
        <v/>
      </c>
      <c r="P171" s="18">
        <f>COUNT(E171:L171)</f>
        <v/>
      </c>
      <c r="Q171" s="19">
        <f>IF(COUNT(J171:L171)=0,"",MIN(J171:L171))</f>
        <v/>
      </c>
    </row>
    <row r="172">
      <c r="A172" s="13" t="inlineStr">
        <is>
          <t>79775011055341</t>
        </is>
      </c>
      <c r="B172" s="13" t="inlineStr">
        <is>
          <t>BOLSO YSL SHOPER ICARE</t>
        </is>
      </c>
      <c r="C172" s="13" t="inlineStr">
        <is>
          <t>42cm x 42cm</t>
        </is>
      </c>
      <c r="D172" s="14" t="inlineStr"/>
      <c r="E172" s="13" t="n"/>
      <c r="F172" s="13" t="n"/>
      <c r="G172" s="13" t="n"/>
      <c r="H172" s="13" t="n"/>
      <c r="I172" s="13" t="n"/>
      <c r="J172" s="15" t="n">
        <v>59</v>
      </c>
      <c r="K172" s="13" t="n"/>
      <c r="L172" s="13" t="n"/>
      <c r="M172" s="16">
        <f>IF(COUNT(E172:L172)=0,"",MIN(E172:L172))</f>
        <v/>
      </c>
      <c r="N172" s="15">
        <f>IF(COUNT(E172:L172)=0,"",LOOKUP(2,1/(E172:L172&lt;&gt;""),E172:L172))</f>
        <v/>
      </c>
      <c r="O172" s="17">
        <f>IF(M172="","",ROUND(M172*RESUMEN!$B$4,0))</f>
        <v/>
      </c>
      <c r="P172" s="18">
        <f>COUNT(E172:L172)</f>
        <v/>
      </c>
      <c r="Q172" s="19">
        <f>IF(COUNT(J172:L172)=0,"",MIN(J172:L172))</f>
        <v/>
      </c>
    </row>
    <row r="173">
      <c r="A173" s="13" t="inlineStr">
        <is>
          <t>24469411540045</t>
        </is>
      </c>
      <c r="B173" s="13" t="inlineStr">
        <is>
          <t>BOLSO ZV BLACK</t>
        </is>
      </c>
      <c r="C173" s="13" t="inlineStr">
        <is>
          <t>Default Title</t>
        </is>
      </c>
      <c r="D173" s="14" t="inlineStr">
        <is>
          <t>Microfiber leather</t>
        </is>
      </c>
      <c r="E173" s="13" t="n"/>
      <c r="F173" s="15" t="n">
        <v>30</v>
      </c>
      <c r="G173" s="13" t="n"/>
      <c r="H173" s="15" t="n">
        <v>30</v>
      </c>
      <c r="I173" s="13" t="n"/>
      <c r="J173" s="13" t="n"/>
      <c r="K173" s="15" t="n">
        <v>30</v>
      </c>
      <c r="L173" s="13" t="n"/>
      <c r="M173" s="16">
        <f>IF(COUNT(E173:L173)=0,"",MIN(E173:L173))</f>
        <v/>
      </c>
      <c r="N173" s="15">
        <f>IF(COUNT(E173:L173)=0,"",LOOKUP(2,1/(E173:L173&lt;&gt;""),E173:L173))</f>
        <v/>
      </c>
      <c r="O173" s="17">
        <f>IF(M173="","",ROUND(M173*RESUMEN!$B$4,0))</f>
        <v/>
      </c>
      <c r="P173" s="18">
        <f>COUNT(E173:L173)</f>
        <v/>
      </c>
      <c r="Q173" s="19">
        <f>IF(COUNT(J173:L173)=0,"",MIN(J173:L173))</f>
        <v/>
      </c>
    </row>
    <row r="174">
      <c r="A174" s="13" t="inlineStr">
        <is>
          <t>39252672009453</t>
        </is>
      </c>
      <c r="B174" s="13" t="inlineStr">
        <is>
          <t>BRAZALETE BLOSSOM GOLD ZIRCONIA</t>
        </is>
      </c>
      <c r="C174" s="13" t="inlineStr">
        <is>
          <t>Default Title</t>
        </is>
      </c>
      <c r="D174" s="14" t="inlineStr">
        <is>
          <t>copper,zircon</t>
        </is>
      </c>
      <c r="E174" s="13" t="n"/>
      <c r="F174" s="13" t="n"/>
      <c r="G174" s="13" t="n"/>
      <c r="H174" s="15" t="n">
        <v>8.800000000000001</v>
      </c>
      <c r="I174" s="13" t="n"/>
      <c r="J174" s="13" t="n"/>
      <c r="K174" s="13" t="n"/>
      <c r="L174" s="15" t="n">
        <v>8.800000000000001</v>
      </c>
      <c r="M174" s="16">
        <f>IF(COUNT(E174:L174)=0,"",MIN(E174:L174))</f>
        <v/>
      </c>
      <c r="N174" s="15">
        <f>IF(COUNT(E174:L174)=0,"",LOOKUP(2,1/(E174:L174&lt;&gt;""),E174:L174))</f>
        <v/>
      </c>
      <c r="O174" s="17">
        <f>IF(M174="","",ROUND(M174*RESUMEN!$B$4,0))</f>
        <v/>
      </c>
      <c r="P174" s="18">
        <f>COUNT(E174:L174)</f>
        <v/>
      </c>
      <c r="Q174" s="19">
        <f>IF(COUNT(J174:L174)=0,"",MIN(J174:L174))</f>
        <v/>
      </c>
    </row>
    <row r="175">
      <c r="A175" s="13" t="inlineStr">
        <is>
          <t>39252671973293</t>
        </is>
      </c>
      <c r="B175" s="13" t="inlineStr">
        <is>
          <t>BRAZALETE BLOSSOM ROSEGOLD ZIRCONIA</t>
        </is>
      </c>
      <c r="C175" s="13" t="inlineStr">
        <is>
          <t>XGYY rose gold</t>
        </is>
      </c>
      <c r="D175" s="14" t="inlineStr">
        <is>
          <t>copper,zircon</t>
        </is>
      </c>
      <c r="E175" s="13" t="n"/>
      <c r="F175" s="15" t="n">
        <v>8.800000000000001</v>
      </c>
      <c r="G175" s="13" t="n"/>
      <c r="H175" s="15" t="n">
        <v>8.800000000000001</v>
      </c>
      <c r="I175" s="15" t="n">
        <v>8.800000000000001</v>
      </c>
      <c r="J175" s="13" t="n"/>
      <c r="K175" s="13" t="n"/>
      <c r="L175" s="15" t="n">
        <v>8.800000000000001</v>
      </c>
      <c r="M175" s="16">
        <f>IF(COUNT(E175:L175)=0,"",MIN(E175:L175))</f>
        <v/>
      </c>
      <c r="N175" s="15">
        <f>IF(COUNT(E175:L175)=0,"",LOOKUP(2,1/(E175:L175&lt;&gt;""),E175:L175))</f>
        <v/>
      </c>
      <c r="O175" s="17">
        <f>IF(M175="","",ROUND(M175*RESUMEN!$B$4,0))</f>
        <v/>
      </c>
      <c r="P175" s="18">
        <f>COUNT(E175:L175)</f>
        <v/>
      </c>
      <c r="Q175" s="19">
        <f>IF(COUNT(J175:L175)=0,"",MIN(J175:L175))</f>
        <v/>
      </c>
    </row>
    <row r="176">
      <c r="A176" s="13" t="inlineStr">
        <is>
          <t>41889241773165</t>
        </is>
      </c>
      <c r="B176" s="13" t="inlineStr">
        <is>
          <t>BRAZALETE CD GOLD-WHITE ZIRCONIAS</t>
        </is>
      </c>
      <c r="C176" s="13" t="inlineStr">
        <is>
          <t>ALL WHITE</t>
        </is>
      </c>
      <c r="D176" s="14" t="inlineStr">
        <is>
          <t>copper,zircon</t>
        </is>
      </c>
      <c r="E176" s="13" t="n"/>
      <c r="F176" s="15" t="n">
        <v>10.8</v>
      </c>
      <c r="G176" s="13" t="n"/>
      <c r="H176" s="15" t="n">
        <v>10.8</v>
      </c>
      <c r="I176" s="13" t="n"/>
      <c r="J176" s="13" t="n"/>
      <c r="K176" s="13" t="n"/>
      <c r="L176" s="13" t="n"/>
      <c r="M176" s="16">
        <f>IF(COUNT(E176:L176)=0,"",MIN(E176:L176))</f>
        <v/>
      </c>
      <c r="N176" s="15">
        <f>IF(COUNT(E176:L176)=0,"",LOOKUP(2,1/(E176:L176&lt;&gt;""),E176:L176))</f>
        <v/>
      </c>
      <c r="O176" s="17">
        <f>IF(M176="","",ROUND(M176*RESUMEN!$B$4,0))</f>
        <v/>
      </c>
      <c r="P176" s="18">
        <f>COUNT(E176:L176)</f>
        <v/>
      </c>
      <c r="Q176" s="19">
        <f>IF(COUNT(J176:L176)=0,"",MIN(J176:L176))</f>
        <v/>
      </c>
    </row>
    <row r="177">
      <c r="A177" s="13" t="inlineStr">
        <is>
          <t>41889241578253</t>
        </is>
      </c>
      <c r="B177" s="13" t="inlineStr">
        <is>
          <t>BRAZALETE CD ZIRCONIAS GOLD-BLACK</t>
        </is>
      </c>
      <c r="C177" s="13" t="inlineStr">
        <is>
          <t>High quality</t>
        </is>
      </c>
      <c r="D177" s="14" t="inlineStr">
        <is>
          <t>copper,zircon</t>
        </is>
      </c>
      <c r="E177" s="13" t="n"/>
      <c r="F177" s="15" t="n">
        <v>10.8</v>
      </c>
      <c r="G177" s="13" t="n"/>
      <c r="H177" s="15" t="n">
        <v>10.8</v>
      </c>
      <c r="I177" s="15" t="n">
        <v>10.8</v>
      </c>
      <c r="J177" s="13" t="n"/>
      <c r="K177" s="13" t="n"/>
      <c r="L177" s="13" t="n"/>
      <c r="M177" s="16">
        <f>IF(COUNT(E177:L177)=0,"",MIN(E177:L177))</f>
        <v/>
      </c>
      <c r="N177" s="15">
        <f>IF(COUNT(E177:L177)=0,"",LOOKUP(2,1/(E177:L177&lt;&gt;""),E177:L177))</f>
        <v/>
      </c>
      <c r="O177" s="17">
        <f>IF(M177="","",ROUND(M177*RESUMEN!$B$4,0))</f>
        <v/>
      </c>
      <c r="P177" s="18">
        <f>COUNT(E177:L177)</f>
        <v/>
      </c>
      <c r="Q177" s="19">
        <f>IF(COUNT(J177:L177)=0,"",MIN(J177:L177))</f>
        <v/>
      </c>
    </row>
    <row r="178">
      <c r="A178" s="13" t="inlineStr">
        <is>
          <t>41889241103149</t>
        </is>
      </c>
      <c r="B178" s="13" t="inlineStr">
        <is>
          <t>BRAZALETE T VICTORIA SILVER</t>
        </is>
      </c>
      <c r="C178" s="13" t="inlineStr">
        <is>
          <t>Default Title</t>
        </is>
      </c>
      <c r="D178" s="14" t="inlineStr"/>
      <c r="E178" s="13" t="n"/>
      <c r="F178" s="15" t="n">
        <v>24.8</v>
      </c>
      <c r="G178" s="13" t="n"/>
      <c r="H178" s="13" t="n"/>
      <c r="I178" s="13" t="n"/>
      <c r="J178" s="15" t="n">
        <v>24.8</v>
      </c>
      <c r="K178" s="13" t="n"/>
      <c r="L178" s="13" t="n"/>
      <c r="M178" s="16">
        <f>IF(COUNT(E178:L178)=0,"",MIN(E178:L178))</f>
        <v/>
      </c>
      <c r="N178" s="15">
        <f>IF(COUNT(E178:L178)=0,"",LOOKUP(2,1/(E178:L178&lt;&gt;""),E178:L178))</f>
        <v/>
      </c>
      <c r="O178" s="17">
        <f>IF(M178="","",ROUND(M178*RESUMEN!$B$4,0))</f>
        <v/>
      </c>
      <c r="P178" s="18">
        <f>COUNT(E178:L178)</f>
        <v/>
      </c>
      <c r="Q178" s="19">
        <f>IF(COUNT(J178:L178)=0,"",MIN(J178:L178))</f>
        <v/>
      </c>
    </row>
    <row r="179">
      <c r="A179" s="13" t="inlineStr">
        <is>
          <t>64e78e722fe81</t>
        </is>
      </c>
      <c r="B179" s="13" t="inlineStr">
        <is>
          <t>BROCHE CD GOLD CON PERLA</t>
        </is>
      </c>
      <c r="C179" s="13" t="inlineStr">
        <is>
          <t>2.5cmx4cm</t>
        </is>
      </c>
      <c r="D179" s="14" t="inlineStr">
        <is>
          <t>copper</t>
        </is>
      </c>
      <c r="E179" s="15" t="n">
        <v>8.800000000000001</v>
      </c>
      <c r="F179" s="13" t="n"/>
      <c r="G179" s="13" t="n"/>
      <c r="H179" s="13" t="n"/>
      <c r="I179" s="13" t="n"/>
      <c r="J179" s="15" t="n">
        <v>8.800000000000001</v>
      </c>
      <c r="K179" s="13" t="n"/>
      <c r="L179" s="13" t="n"/>
      <c r="M179" s="16">
        <f>IF(COUNT(E179:L179)=0,"",MIN(E179:L179))</f>
        <v/>
      </c>
      <c r="N179" s="15">
        <f>IF(COUNT(E179:L179)=0,"",LOOKUP(2,1/(E179:L179&lt;&gt;""),E179:L179))</f>
        <v/>
      </c>
      <c r="O179" s="17">
        <f>IF(M179="","",ROUND(M179*RESUMEN!$B$4,0))</f>
        <v/>
      </c>
      <c r="P179" s="18">
        <f>COUNT(E179:L179)</f>
        <v/>
      </c>
      <c r="Q179" s="19">
        <f>IF(COUNT(J179:L179)=0,"",MIN(J179:L179))</f>
        <v/>
      </c>
    </row>
    <row r="180">
      <c r="A180" s="13" t="inlineStr">
        <is>
          <t>66f1ed26445d0</t>
        </is>
      </c>
      <c r="B180" s="13" t="inlineStr">
        <is>
          <t>CARTERA G VICTORIE BLACK</t>
        </is>
      </c>
      <c r="C180" s="13" t="inlineStr">
        <is>
          <t>12cm de largo x</t>
        </is>
      </c>
      <c r="D180" s="14" t="inlineStr">
        <is>
          <t>Genuine leather mi</t>
        </is>
      </c>
      <c r="E180" s="13" t="n"/>
      <c r="F180" s="13" t="n"/>
      <c r="G180" s="15" t="n">
        <v>19</v>
      </c>
      <c r="H180" s="13" t="n"/>
      <c r="I180" s="13" t="n"/>
      <c r="J180" s="13" t="n"/>
      <c r="K180" s="13" t="n"/>
      <c r="L180" s="15" t="n">
        <v>19</v>
      </c>
      <c r="M180" s="16">
        <f>IF(COUNT(E180:L180)=0,"",MIN(E180:L180))</f>
        <v/>
      </c>
      <c r="N180" s="15">
        <f>IF(COUNT(E180:L180)=0,"",LOOKUP(2,1/(E180:L180&lt;&gt;""),E180:L180))</f>
        <v/>
      </c>
      <c r="O180" s="17">
        <f>IF(M180="","",ROUND(M180*RESUMEN!$B$4,0))</f>
        <v/>
      </c>
      <c r="P180" s="18">
        <f>COUNT(E180:L180)</f>
        <v/>
      </c>
      <c r="Q180" s="19">
        <f>IF(COUNT(J180:L180)=0,"",MIN(J180:L180))</f>
        <v/>
      </c>
    </row>
    <row r="181">
      <c r="A181" s="13" t="inlineStr">
        <is>
          <t>66f1ed264fc77</t>
        </is>
      </c>
      <c r="B181" s="13" t="inlineStr">
        <is>
          <t>CARTERA G VICTORIE GREEN</t>
        </is>
      </c>
      <c r="C181" s="13" t="inlineStr">
        <is>
          <t>12cm de largo x 9.5cm de alto</t>
        </is>
      </c>
      <c r="D181" s="14" t="inlineStr">
        <is>
          <t>Genuine leather mi</t>
        </is>
      </c>
      <c r="E181" s="13" t="n"/>
      <c r="F181" s="13" t="n"/>
      <c r="G181" s="15" t="n">
        <v>19</v>
      </c>
      <c r="H181" s="13" t="n"/>
      <c r="I181" s="15" t="n">
        <v>20</v>
      </c>
      <c r="J181" s="13" t="n"/>
      <c r="K181" s="15" t="n">
        <v>20</v>
      </c>
      <c r="L181" s="13" t="n"/>
      <c r="M181" s="16">
        <f>IF(COUNT(E181:L181)=0,"",MIN(E181:L181))</f>
        <v/>
      </c>
      <c r="N181" s="15">
        <f>IF(COUNT(E181:L181)=0,"",LOOKUP(2,1/(E181:L181&lt;&gt;""),E181:L181))</f>
        <v/>
      </c>
      <c r="O181" s="17">
        <f>IF(M181="","",ROUND(M181*RESUMEN!$B$4,0))</f>
        <v/>
      </c>
      <c r="P181" s="18">
        <f>COUNT(E181:L181)</f>
        <v/>
      </c>
      <c r="Q181" s="19">
        <f>IF(COUNT(J181:L181)=0,"",MIN(J181:L181))</f>
        <v/>
      </c>
    </row>
    <row r="182">
      <c r="A182" s="13" t="inlineStr">
        <is>
          <t>14401522171661</t>
        </is>
      </c>
      <c r="B182" s="13" t="inlineStr">
        <is>
          <t>CARTERA GC PLEGABLE ALL BLACK</t>
        </is>
      </c>
      <c r="C182" s="13" t="inlineStr">
        <is>
          <t>Default Title</t>
        </is>
      </c>
      <c r="D182" s="14" t="inlineStr">
        <is>
          <t>Cowhide</t>
        </is>
      </c>
      <c r="E182" s="13" t="n"/>
      <c r="F182" s="13" t="n"/>
      <c r="G182" s="13" t="n"/>
      <c r="H182" s="15" t="n">
        <v>22</v>
      </c>
      <c r="I182" s="13" t="n"/>
      <c r="J182" s="13" t="n"/>
      <c r="K182" s="13" t="n"/>
      <c r="L182" s="15" t="n">
        <v>22</v>
      </c>
      <c r="M182" s="16">
        <f>IF(COUNT(E182:L182)=0,"",MIN(E182:L182))</f>
        <v/>
      </c>
      <c r="N182" s="15">
        <f>IF(COUNT(E182:L182)=0,"",LOOKUP(2,1/(E182:L182&lt;&gt;""),E182:L182))</f>
        <v/>
      </c>
      <c r="O182" s="17">
        <f>IF(M182="","",ROUND(M182*RESUMEN!$B$4,0))</f>
        <v/>
      </c>
      <c r="P182" s="18">
        <f>COUNT(E182:L182)</f>
        <v/>
      </c>
      <c r="Q182" s="19">
        <f>IF(COUNT(J182:L182)=0,"",MIN(J182:L182))</f>
        <v/>
      </c>
    </row>
    <row r="183">
      <c r="A183" s="13" t="inlineStr">
        <is>
          <t>14401522525325</t>
        </is>
      </c>
      <c r="B183" s="13" t="inlineStr">
        <is>
          <t>CARTERA GC PLEGABLE LOGOS</t>
        </is>
      </c>
      <c r="C183" s="13" t="inlineStr">
        <is>
          <t>Default Title</t>
        </is>
      </c>
      <c r="D183" s="14" t="inlineStr">
        <is>
          <t>Genuine leather mi</t>
        </is>
      </c>
      <c r="E183" s="13" t="n"/>
      <c r="F183" s="13" t="n"/>
      <c r="G183" s="13" t="n"/>
      <c r="H183" s="15" t="n">
        <v>25</v>
      </c>
      <c r="I183" s="13" t="n"/>
      <c r="J183" s="13" t="n"/>
      <c r="K183" s="13" t="n"/>
      <c r="L183" s="13" t="n"/>
      <c r="M183" s="16">
        <f>IF(COUNT(E183:L183)=0,"",MIN(E183:L183))</f>
        <v/>
      </c>
      <c r="N183" s="15">
        <f>IF(COUNT(E183:L183)=0,"",LOOKUP(2,1/(E183:L183&lt;&gt;""),E183:L183))</f>
        <v/>
      </c>
      <c r="O183" s="17">
        <f>IF(M183="","",ROUND(M183*RESUMEN!$B$4,0))</f>
        <v/>
      </c>
      <c r="P183" s="18">
        <f>COUNT(E183:L183)</f>
        <v/>
      </c>
      <c r="Q183" s="19">
        <f>IF(COUNT(J183:L183)=0,"",MIN(J183:L183))</f>
        <v/>
      </c>
    </row>
    <row r="184">
      <c r="A184" s="13" t="inlineStr">
        <is>
          <t>14401522366573</t>
        </is>
      </c>
      <c r="B184" s="13" t="inlineStr">
        <is>
          <t>CARTERA GC ZIP MARMONT BLACK</t>
        </is>
      </c>
      <c r="C184" s="13" t="inlineStr">
        <is>
          <t>Default Title</t>
        </is>
      </c>
      <c r="D184" s="14" t="inlineStr">
        <is>
          <t>Cowhide Genuine le</t>
        </is>
      </c>
      <c r="E184" s="13" t="n"/>
      <c r="F184" s="13" t="n"/>
      <c r="G184" s="13" t="n"/>
      <c r="H184" s="15" t="n">
        <v>29</v>
      </c>
      <c r="I184" s="13" t="n"/>
      <c r="J184" s="13" t="n"/>
      <c r="K184" s="15" t="n">
        <v>29</v>
      </c>
      <c r="L184" s="13" t="n"/>
      <c r="M184" s="16">
        <f>IF(COUNT(E184:L184)=0,"",MIN(E184:L184))</f>
        <v/>
      </c>
      <c r="N184" s="15">
        <f>IF(COUNT(E184:L184)=0,"",LOOKUP(2,1/(E184:L184&lt;&gt;""),E184:L184))</f>
        <v/>
      </c>
      <c r="O184" s="17">
        <f>IF(M184="","",ROUND(M184*RESUMEN!$B$4,0))</f>
        <v/>
      </c>
      <c r="P184" s="18">
        <f>COUNT(E184:L184)</f>
        <v/>
      </c>
      <c r="Q184" s="19">
        <f>IF(COUNT(J184:L184)=0,"",MIN(J184:L184))</f>
        <v/>
      </c>
    </row>
    <row r="185">
      <c r="A185" s="13" t="inlineStr">
        <is>
          <t>14401521186925</t>
        </is>
      </c>
      <c r="B185" s="13" t="inlineStr">
        <is>
          <t>CARTERA LV STREAMER MOCASIN</t>
        </is>
      </c>
      <c r="C185" s="13" t="inlineStr">
        <is>
          <t>Default Title</t>
        </is>
      </c>
      <c r="D185" s="14" t="inlineStr">
        <is>
          <t>Genuine leather mi</t>
        </is>
      </c>
      <c r="E185" s="13" t="n"/>
      <c r="F185" s="13" t="n"/>
      <c r="G185" s="13" t="n"/>
      <c r="H185" s="15" t="n">
        <v>39</v>
      </c>
      <c r="I185" s="13" t="n"/>
      <c r="J185" s="13" t="n"/>
      <c r="K185" s="15" t="n">
        <v>39</v>
      </c>
      <c r="L185" s="13" t="n"/>
      <c r="M185" s="16">
        <f>IF(COUNT(E185:L185)=0,"",MIN(E185:L185))</f>
        <v/>
      </c>
      <c r="N185" s="15">
        <f>IF(COUNT(E185:L185)=0,"",LOOKUP(2,1/(E185:L185&lt;&gt;""),E185:L185))</f>
        <v/>
      </c>
      <c r="O185" s="17">
        <f>IF(M185="","",ROUND(M185*RESUMEN!$B$4,0))</f>
        <v/>
      </c>
      <c r="P185" s="18">
        <f>COUNT(E185:L185)</f>
        <v/>
      </c>
      <c r="Q185" s="19">
        <f>IF(COUNT(J185:L185)=0,"",MIN(J185:L185))</f>
        <v/>
      </c>
    </row>
    <row r="186">
      <c r="A186" s="13" t="inlineStr">
        <is>
          <t>14401523053005</t>
        </is>
      </c>
      <c r="B186" s="13" t="inlineStr">
        <is>
          <t>CARTERA MM BLACK</t>
        </is>
      </c>
      <c r="C186" s="13" t="inlineStr">
        <is>
          <t>Default Title</t>
        </is>
      </c>
      <c r="D186" s="14" t="inlineStr">
        <is>
          <t>Original leather</t>
        </is>
      </c>
      <c r="E186" s="13" t="n"/>
      <c r="F186" s="13" t="n"/>
      <c r="G186" s="13" t="n"/>
      <c r="H186" s="15" t="n">
        <v>33</v>
      </c>
      <c r="I186" s="13" t="n"/>
      <c r="J186" s="13" t="n"/>
      <c r="K186" s="13" t="n"/>
      <c r="L186" s="15" t="n">
        <v>33</v>
      </c>
      <c r="M186" s="16">
        <f>IF(COUNT(E186:L186)=0,"",MIN(E186:L186))</f>
        <v/>
      </c>
      <c r="N186" s="15">
        <f>IF(COUNT(E186:L186)=0,"",LOOKUP(2,1/(E186:L186&lt;&gt;""),E186:L186))</f>
        <v/>
      </c>
      <c r="O186" s="17">
        <f>IF(M186="","",ROUND(M186*RESUMEN!$B$4,0))</f>
        <v/>
      </c>
      <c r="P186" s="18">
        <f>COUNT(E186:L186)</f>
        <v/>
      </c>
      <c r="Q186" s="19">
        <f>IF(COUNT(J186:L186)=0,"",MIN(J186:L186))</f>
        <v/>
      </c>
    </row>
    <row r="187">
      <c r="A187" s="13" t="inlineStr">
        <is>
          <t>41889241004845</t>
        </is>
      </c>
      <c r="B187" s="13" t="inlineStr">
        <is>
          <t>CHOKER KNOT ZIRCONIAS GOLD</t>
        </is>
      </c>
      <c r="C187" s="13" t="inlineStr">
        <is>
          <t>Default Title</t>
        </is>
      </c>
      <c r="D187" s="14" t="inlineStr"/>
      <c r="E187" s="13" t="n"/>
      <c r="F187" s="15" t="n">
        <v>19.8</v>
      </c>
      <c r="G187" s="13" t="n"/>
      <c r="H187" s="13" t="n"/>
      <c r="I187" s="13" t="n"/>
      <c r="J187" s="13" t="n"/>
      <c r="K187" s="13" t="n"/>
      <c r="L187" s="13" t="n"/>
      <c r="M187" s="16">
        <f>IF(COUNT(E187:L187)=0,"",MIN(E187:L187))</f>
        <v/>
      </c>
      <c r="N187" s="15">
        <f>IF(COUNT(E187:L187)=0,"",LOOKUP(2,1/(E187:L187&lt;&gt;""),E187:L187))</f>
        <v/>
      </c>
      <c r="O187" s="17">
        <f>IF(M187="","",ROUND(M187*RESUMEN!$B$4,0))</f>
        <v/>
      </c>
      <c r="P187" s="18">
        <f>COUNT(E187:L187)</f>
        <v/>
      </c>
      <c r="Q187" s="19">
        <f>IF(COUNT(J187:L187)=0,"",MIN(J187:L187))</f>
        <v/>
      </c>
    </row>
    <row r="188">
      <c r="A188" s="13" t="inlineStr">
        <is>
          <t>41353991048077</t>
        </is>
      </c>
      <c r="B188" s="13" t="inlineStr">
        <is>
          <t>CINTO C TRIOMPHE BLACK</t>
        </is>
      </c>
      <c r="C188" s="13" t="inlineStr">
        <is>
          <t>XGQC 4#black</t>
        </is>
      </c>
      <c r="D188" s="14" t="inlineStr">
        <is>
          <t>Cowhide</t>
        </is>
      </c>
      <c r="E188" s="13" t="n"/>
      <c r="F188" s="13" t="n"/>
      <c r="G188" s="15" t="n">
        <v>7.5</v>
      </c>
      <c r="H188" s="13" t="n"/>
      <c r="I188" s="15" t="n">
        <v>8</v>
      </c>
      <c r="J188" s="13" t="n"/>
      <c r="K188" s="15" t="n">
        <v>8</v>
      </c>
      <c r="L188" s="15" t="n">
        <v>7.5</v>
      </c>
      <c r="M188" s="16">
        <f>IF(COUNT(E188:L188)=0,"",MIN(E188:L188))</f>
        <v/>
      </c>
      <c r="N188" s="15">
        <f>IF(COUNT(E188:L188)=0,"",LOOKUP(2,1/(E188:L188&lt;&gt;""),E188:L188))</f>
        <v/>
      </c>
      <c r="O188" s="17">
        <f>IF(M188="","",ROUND(M188*RESUMEN!$B$4,0))</f>
        <v/>
      </c>
      <c r="P188" s="18">
        <f>COUNT(E188:L188)</f>
        <v/>
      </c>
      <c r="Q188" s="19">
        <f>IF(COUNT(J188:L188)=0,"",MIN(J188:L188))</f>
        <v/>
      </c>
    </row>
    <row r="189">
      <c r="A189" s="13" t="inlineStr">
        <is>
          <t>98269341086957</t>
        </is>
      </c>
      <c r="B189" s="13" t="inlineStr">
        <is>
          <t>CINTO C TRIOMPHE BROWN</t>
        </is>
      </c>
      <c r="C189" s="13" t="inlineStr">
        <is>
          <t>Default Title</t>
        </is>
      </c>
      <c r="D189" s="14" t="inlineStr">
        <is>
          <t>Cowhide</t>
        </is>
      </c>
      <c r="E189" s="13" t="n"/>
      <c r="F189" s="15" t="n">
        <v>8</v>
      </c>
      <c r="G189" s="15" t="n">
        <v>7.5</v>
      </c>
      <c r="H189" s="13" t="n"/>
      <c r="I189" s="15" t="n">
        <v>8</v>
      </c>
      <c r="J189" s="13" t="n"/>
      <c r="K189" s="15" t="n">
        <v>8</v>
      </c>
      <c r="L189" s="13" t="n"/>
      <c r="M189" s="16">
        <f>IF(COUNT(E189:L189)=0,"",MIN(E189:L189))</f>
        <v/>
      </c>
      <c r="N189" s="15">
        <f>IF(COUNT(E189:L189)=0,"",LOOKUP(2,1/(E189:L189&lt;&gt;""),E189:L189))</f>
        <v/>
      </c>
      <c r="O189" s="17">
        <f>IF(M189="","",ROUND(M189*RESUMEN!$B$4,0))</f>
        <v/>
      </c>
      <c r="P189" s="18">
        <f>COUNT(E189:L189)</f>
        <v/>
      </c>
      <c r="Q189" s="19">
        <f>IF(COUNT(J189:L189)=0,"",MIN(J189:L189))</f>
        <v/>
      </c>
    </row>
    <row r="190">
      <c r="A190" s="13" t="inlineStr">
        <is>
          <t>41353991156557</t>
        </is>
      </c>
      <c r="B190" s="13" t="inlineStr">
        <is>
          <t>CINTO C TRIOMPHE BURDEOS</t>
        </is>
      </c>
      <c r="C190" s="13" t="inlineStr">
        <is>
          <t>1#burdeos</t>
        </is>
      </c>
      <c r="D190" s="14" t="inlineStr">
        <is>
          <t>Cowhide</t>
        </is>
      </c>
      <c r="E190" s="13" t="n"/>
      <c r="F190" s="13" t="n"/>
      <c r="G190" s="15" t="n">
        <v>7.5</v>
      </c>
      <c r="H190" s="13" t="n"/>
      <c r="I190" s="15" t="n">
        <v>8</v>
      </c>
      <c r="J190" s="13" t="n"/>
      <c r="K190" s="15" t="n">
        <v>8</v>
      </c>
      <c r="L190" s="15" t="n">
        <v>7.5</v>
      </c>
      <c r="M190" s="16">
        <f>IF(COUNT(E190:L190)=0,"",MIN(E190:L190))</f>
        <v/>
      </c>
      <c r="N190" s="15">
        <f>IF(COUNT(E190:L190)=0,"",LOOKUP(2,1/(E190:L190&lt;&gt;""),E190:L190))</f>
        <v/>
      </c>
      <c r="O190" s="17">
        <f>IF(M190="","",ROUND(M190*RESUMEN!$B$4,0))</f>
        <v/>
      </c>
      <c r="P190" s="18">
        <f>COUNT(E190:L190)</f>
        <v/>
      </c>
      <c r="Q190" s="19">
        <f>IF(COUNT(J190:L190)=0,"",MIN(J190:L190))</f>
        <v/>
      </c>
    </row>
    <row r="191">
      <c r="A191" s="13" t="inlineStr">
        <is>
          <t>14401521483533</t>
        </is>
      </c>
      <c r="B191" s="13" t="inlineStr">
        <is>
          <t>CINTO C TRIOMPHE LOGOS</t>
        </is>
      </c>
      <c r="C191" s="13" t="inlineStr">
        <is>
          <t>XGQC</t>
        </is>
      </c>
      <c r="D191" s="14" t="inlineStr">
        <is>
          <t>Genuine leather mi</t>
        </is>
      </c>
      <c r="E191" s="13" t="n"/>
      <c r="F191" s="13" t="n"/>
      <c r="G191" s="13" t="n"/>
      <c r="H191" s="15" t="n">
        <v>8.800000000000001</v>
      </c>
      <c r="I191" s="13" t="n"/>
      <c r="J191" s="15" t="n">
        <v>8.800000000000001</v>
      </c>
      <c r="K191" s="13" t="n"/>
      <c r="L191" s="15" t="n">
        <v>8.800000000000001</v>
      </c>
      <c r="M191" s="16">
        <f>IF(COUNT(E191:L191)=0,"",MIN(E191:L191))</f>
        <v/>
      </c>
      <c r="N191" s="15">
        <f>IF(COUNT(E191:L191)=0,"",LOOKUP(2,1/(E191:L191&lt;&gt;""),E191:L191))</f>
        <v/>
      </c>
      <c r="O191" s="17">
        <f>IF(M191="","",ROUND(M191*RESUMEN!$B$4,0))</f>
        <v/>
      </c>
      <c r="P191" s="18">
        <f>COUNT(E191:L191)</f>
        <v/>
      </c>
      <c r="Q191" s="19">
        <f>IF(COUNT(J191:L191)=0,"",MIN(J191:L191))</f>
        <v/>
      </c>
    </row>
    <row r="192">
      <c r="A192" s="13" t="inlineStr">
        <is>
          <t>77137551049901</t>
        </is>
      </c>
      <c r="B192" s="13" t="inlineStr">
        <is>
          <t>CINTO FR</t>
        </is>
      </c>
      <c r="C192" s="13" t="inlineStr">
        <is>
          <t>105CM</t>
        </is>
      </c>
      <c r="D192" s="14" t="inlineStr">
        <is>
          <t>Cowhide,metal</t>
        </is>
      </c>
      <c r="E192" s="13" t="n"/>
      <c r="F192" s="13" t="n"/>
      <c r="G192" s="13" t="n"/>
      <c r="H192" s="13" t="n"/>
      <c r="I192" s="13" t="n"/>
      <c r="J192" s="13" t="n"/>
      <c r="K192" s="15" t="n">
        <v>9</v>
      </c>
      <c r="L192" s="13" t="n"/>
      <c r="M192" s="16">
        <f>IF(COUNT(E192:L192)=0,"",MIN(E192:L192))</f>
        <v/>
      </c>
      <c r="N192" s="15">
        <f>IF(COUNT(E192:L192)=0,"",LOOKUP(2,1/(E192:L192&lt;&gt;""),E192:L192))</f>
        <v/>
      </c>
      <c r="O192" s="17">
        <f>IF(M192="","",ROUND(M192*RESUMEN!$B$4,0))</f>
        <v/>
      </c>
      <c r="P192" s="18">
        <f>COUNT(E192:L192)</f>
        <v/>
      </c>
      <c r="Q192" s="19">
        <f>IF(COUNT(J192:L192)=0,"",MIN(J192:L192))</f>
        <v/>
      </c>
    </row>
    <row r="193">
      <c r="A193" s="13" t="inlineStr">
        <is>
          <t>14401522887469</t>
        </is>
      </c>
      <c r="B193" s="13" t="inlineStr">
        <is>
          <t>CINTO GC WHITE</t>
        </is>
      </c>
      <c r="C193" s="13" t="inlineStr">
        <is>
          <t>Default Title</t>
        </is>
      </c>
      <c r="D193" s="14" t="inlineStr">
        <is>
          <t>Cowhide</t>
        </is>
      </c>
      <c r="E193" s="13" t="n"/>
      <c r="F193" s="13" t="n"/>
      <c r="G193" s="13" t="n"/>
      <c r="H193" s="15" t="n">
        <v>8</v>
      </c>
      <c r="I193" s="13" t="n"/>
      <c r="J193" s="15" t="n">
        <v>8</v>
      </c>
      <c r="K193" s="15" t="n">
        <v>8</v>
      </c>
      <c r="L193" s="13" t="n"/>
      <c r="M193" s="16">
        <f>IF(COUNT(E193:L193)=0,"",MIN(E193:L193))</f>
        <v/>
      </c>
      <c r="N193" s="15">
        <f>IF(COUNT(E193:L193)=0,"",LOOKUP(2,1/(E193:L193&lt;&gt;""),E193:L193))</f>
        <v/>
      </c>
      <c r="O193" s="17">
        <f>IF(M193="","",ROUND(M193*RESUMEN!$B$4,0))</f>
        <v/>
      </c>
      <c r="P193" s="18">
        <f>COUNT(E193:L193)</f>
        <v/>
      </c>
      <c r="Q193" s="19">
        <f>IF(COUNT(J193:L193)=0,"",MIN(J193:L193))</f>
        <v/>
      </c>
    </row>
    <row r="194">
      <c r="A194" s="13" t="inlineStr">
        <is>
          <t>43728071667212</t>
        </is>
      </c>
      <c r="B194" s="13" t="inlineStr">
        <is>
          <t>CINTO H KELLY BLACK</t>
        </is>
      </c>
      <c r="C194" s="13" t="inlineStr">
        <is>
          <t>XGQC180 black</t>
        </is>
      </c>
      <c r="D194" s="14" t="inlineStr">
        <is>
          <t>Microfiber leather</t>
        </is>
      </c>
      <c r="E194" s="13" t="n"/>
      <c r="F194" s="13" t="n"/>
      <c r="G194" s="15" t="n">
        <v>5.8</v>
      </c>
      <c r="H194" s="15" t="n">
        <v>5.8</v>
      </c>
      <c r="I194" s="15" t="n">
        <v>6.5</v>
      </c>
      <c r="J194" s="15" t="n">
        <v>6.5</v>
      </c>
      <c r="K194" s="13" t="n"/>
      <c r="L194" s="15" t="n">
        <v>5.8</v>
      </c>
      <c r="M194" s="16">
        <f>IF(COUNT(E194:L194)=0,"",MIN(E194:L194))</f>
        <v/>
      </c>
      <c r="N194" s="15">
        <f>IF(COUNT(E194:L194)=0,"",LOOKUP(2,1/(E194:L194&lt;&gt;""),E194:L194))</f>
        <v/>
      </c>
      <c r="O194" s="17">
        <f>IF(M194="","",ROUND(M194*RESUMEN!$B$4,0))</f>
        <v/>
      </c>
      <c r="P194" s="18">
        <f>COUNT(E194:L194)</f>
        <v/>
      </c>
      <c r="Q194" s="19">
        <f>IF(COUNT(J194:L194)=0,"",MIN(J194:L194))</f>
        <v/>
      </c>
    </row>
    <row r="195">
      <c r="A195" s="13" t="inlineStr">
        <is>
          <t>43728071764972</t>
        </is>
      </c>
      <c r="B195" s="13" t="inlineStr">
        <is>
          <t>CINTO H KELLY BROWN</t>
        </is>
      </c>
      <c r="C195" s="13" t="inlineStr">
        <is>
          <t>XGQC180 brown</t>
        </is>
      </c>
      <c r="D195" s="14" t="inlineStr">
        <is>
          <t>Genuine leather mi</t>
        </is>
      </c>
      <c r="E195" s="13" t="n"/>
      <c r="F195" s="13" t="n"/>
      <c r="G195" s="13" t="n"/>
      <c r="H195" s="15" t="n">
        <v>5.8</v>
      </c>
      <c r="I195" s="15" t="n">
        <v>6.5</v>
      </c>
      <c r="J195" s="15" t="n">
        <v>6.5</v>
      </c>
      <c r="K195" s="15" t="n">
        <v>6.5</v>
      </c>
      <c r="L195" s="15" t="n">
        <v>5.8</v>
      </c>
      <c r="M195" s="16">
        <f>IF(COUNT(E195:L195)=0,"",MIN(E195:L195))</f>
        <v/>
      </c>
      <c r="N195" s="15">
        <f>IF(COUNT(E195:L195)=0,"",LOOKUP(2,1/(E195:L195&lt;&gt;""),E195:L195))</f>
        <v/>
      </c>
      <c r="O195" s="17">
        <f>IF(M195="","",ROUND(M195*RESUMEN!$B$4,0))</f>
        <v/>
      </c>
      <c r="P195" s="18">
        <f>COUNT(E195:L195)</f>
        <v/>
      </c>
      <c r="Q195" s="19">
        <f>IF(COUNT(J195:L195)=0,"",MIN(J195:L195))</f>
        <v/>
      </c>
    </row>
    <row r="196">
      <c r="A196" s="13" t="inlineStr">
        <is>
          <t>16483891088621</t>
        </is>
      </c>
      <c r="B196" s="13" t="inlineStr">
        <is>
          <t>CINTO LV HERITAGE LOGO SILVER</t>
        </is>
      </c>
      <c r="C196" s="13" t="inlineStr">
        <is>
          <t>XGQC black/silve</t>
        </is>
      </c>
      <c r="D196" s="14" t="inlineStr">
        <is>
          <t>Cowhide</t>
        </is>
      </c>
      <c r="E196" s="13" t="n"/>
      <c r="F196" s="13" t="n"/>
      <c r="G196" s="13" t="n"/>
      <c r="H196" s="15" t="n">
        <v>8.800000000000001</v>
      </c>
      <c r="I196" s="13" t="n"/>
      <c r="J196" s="15" t="n">
        <v>8.800000000000001</v>
      </c>
      <c r="K196" s="13" t="n"/>
      <c r="L196" s="15" t="n">
        <v>8.800000000000001</v>
      </c>
      <c r="M196" s="16">
        <f>IF(COUNT(E196:L196)=0,"",MIN(E196:L196))</f>
        <v/>
      </c>
      <c r="N196" s="15">
        <f>IF(COUNT(E196:L196)=0,"",LOOKUP(2,1/(E196:L196&lt;&gt;""),E196:L196))</f>
        <v/>
      </c>
      <c r="O196" s="17">
        <f>IF(M196="","",ROUND(M196*RESUMEN!$B$4,0))</f>
        <v/>
      </c>
      <c r="P196" s="18">
        <f>COUNT(E196:L196)</f>
        <v/>
      </c>
      <c r="Q196" s="19">
        <f>IF(COUNT(J196:L196)=0,"",MIN(J196:L196))</f>
        <v/>
      </c>
    </row>
    <row r="197">
      <c r="A197" s="13" t="inlineStr">
        <is>
          <t>14401521021389</t>
        </is>
      </c>
      <c r="B197" s="13" t="inlineStr">
        <is>
          <t>CINTO LV REVERSIBLE HERITAGE</t>
        </is>
      </c>
      <c r="C197" s="13" t="inlineStr">
        <is>
          <t>XGQC black/gold</t>
        </is>
      </c>
      <c r="D197" s="14" t="inlineStr">
        <is>
          <t>Cowhide</t>
        </is>
      </c>
      <c r="E197" s="13" t="n"/>
      <c r="F197" s="13" t="n"/>
      <c r="G197" s="13" t="n"/>
      <c r="H197" s="15" t="n">
        <v>8.800000000000001</v>
      </c>
      <c r="I197" s="13" t="n"/>
      <c r="J197" s="15" t="n">
        <v>8.800000000000001</v>
      </c>
      <c r="K197" s="13" t="n"/>
      <c r="L197" s="15" t="n">
        <v>8.800000000000001</v>
      </c>
      <c r="M197" s="16">
        <f>IF(COUNT(E197:L197)=0,"",MIN(E197:L197))</f>
        <v/>
      </c>
      <c r="N197" s="15">
        <f>IF(COUNT(E197:L197)=0,"",LOOKUP(2,1/(E197:L197&lt;&gt;""),E197:L197))</f>
        <v/>
      </c>
      <c r="O197" s="17">
        <f>IF(M197="","",ROUND(M197*RESUMEN!$B$4,0))</f>
        <v/>
      </c>
      <c r="P197" s="18">
        <f>COUNT(E197:L197)</f>
        <v/>
      </c>
      <c r="Q197" s="19">
        <f>IF(COUNT(J197:L197)=0,"",MIN(J197:L197))</f>
        <v/>
      </c>
    </row>
    <row r="198">
      <c r="A198" s="13" t="inlineStr">
        <is>
          <t>56481484584844</t>
        </is>
      </c>
      <c r="B198" s="13" t="inlineStr">
        <is>
          <t>COLLAR BEAN GOLD</t>
        </is>
      </c>
      <c r="C198" s="13" t="inlineStr">
        <is>
          <t>41cm con 5cm de extensión</t>
        </is>
      </c>
      <c r="D198" s="14" t="inlineStr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6">
        <f>IF(COUNT(E198:L198)=0,"",MIN(E198:L198))</f>
        <v/>
      </c>
      <c r="N198" s="15">
        <f>IF(COUNT(E198:L198)=0,"",LOOKUP(2,1/(E198:L198&lt;&gt;""),E198:L198))</f>
        <v/>
      </c>
      <c r="O198" s="17">
        <f>IF(M198="","",ROUND(M198*RESUMEN!$B$4,0))</f>
        <v/>
      </c>
      <c r="P198" s="18">
        <f>COUNT(E198:L198)</f>
        <v/>
      </c>
      <c r="Q198" s="19">
        <f>IF(COUNT(J198:L198)=0,"",MIN(J198:L198))</f>
        <v/>
      </c>
    </row>
    <row r="199">
      <c r="A199" s="13" t="inlineStr">
        <is>
          <t>648cc32b9ef2d</t>
        </is>
      </c>
      <c r="B199" s="13" t="inlineStr">
        <is>
          <t>COLLAR CC DORADO</t>
        </is>
      </c>
      <c r="C199" s="13" t="inlineStr">
        <is>
          <t>Largo de cadena 41.5 cm  Extensión 6 cm  Dije 1.5 cm</t>
        </is>
      </c>
      <c r="D199" s="14" t="inlineStr">
        <is>
          <t>stainless steel</t>
        </is>
      </c>
      <c r="E199" s="13" t="n"/>
      <c r="F199" s="15" t="n">
        <v>2.25</v>
      </c>
      <c r="G199" s="15" t="n">
        <v>2.25</v>
      </c>
      <c r="H199" s="13" t="n"/>
      <c r="I199" s="13" t="n"/>
      <c r="J199" s="13" t="n"/>
      <c r="K199" s="15" t="n">
        <v>2.25</v>
      </c>
      <c r="L199" s="13" t="n"/>
      <c r="M199" s="16">
        <f>IF(COUNT(E199:L199)=0,"",MIN(E199:L199))</f>
        <v/>
      </c>
      <c r="N199" s="15">
        <f>IF(COUNT(E199:L199)=0,"",LOOKUP(2,1/(E199:L199&lt;&gt;""),E199:L199))</f>
        <v/>
      </c>
      <c r="O199" s="17">
        <f>IF(M199="","",ROUND(M199*RESUMEN!$B$4,0))</f>
        <v/>
      </c>
      <c r="P199" s="18">
        <f>COUNT(E199:L199)</f>
        <v/>
      </c>
      <c r="Q199" s="19">
        <f>IF(COUNT(J199:L199)=0,"",MIN(J199:L199))</f>
        <v/>
      </c>
    </row>
    <row r="200">
      <c r="A200" s="13" t="inlineStr">
        <is>
          <t>665bbd3eee796</t>
        </is>
      </c>
      <c r="B200" s="13" t="inlineStr">
        <is>
          <t>COLLAR CC SILVER</t>
        </is>
      </c>
      <c r="C200" s="13" t="inlineStr">
        <is>
          <t>49cm x 6cm de extensión</t>
        </is>
      </c>
      <c r="D200" s="14" t="inlineStr">
        <is>
          <t>stainless steel</t>
        </is>
      </c>
      <c r="E200" s="13" t="n"/>
      <c r="F200" s="15" t="n">
        <v>2.25</v>
      </c>
      <c r="G200" s="15" t="n">
        <v>2.25</v>
      </c>
      <c r="H200" s="13" t="n"/>
      <c r="I200" s="13" t="n"/>
      <c r="J200" s="13" t="n"/>
      <c r="K200" s="13" t="n"/>
      <c r="L200" s="13" t="n"/>
      <c r="M200" s="16">
        <f>IF(COUNT(E200:L200)=0,"",MIN(E200:L200))</f>
        <v/>
      </c>
      <c r="N200" s="15">
        <f>IF(COUNT(E200:L200)=0,"",LOOKUP(2,1/(E200:L200&lt;&gt;""),E200:L200))</f>
        <v/>
      </c>
      <c r="O200" s="17">
        <f>IF(M200="","",ROUND(M200*RESUMEN!$B$4,0))</f>
        <v/>
      </c>
      <c r="P200" s="18">
        <f>COUNT(E200:L200)</f>
        <v/>
      </c>
      <c r="Q200" s="19">
        <f>IF(COUNT(J200:L200)=0,"",MIN(J200:L200))</f>
        <v/>
      </c>
    </row>
    <row r="201">
      <c r="A201" s="13" t="inlineStr">
        <is>
          <t>34876761034381</t>
        </is>
      </c>
      <c r="B201" s="13" t="inlineStr">
        <is>
          <t>COLLAR DE CUENTAS BLUE T</t>
        </is>
      </c>
      <c r="C201" s="13" t="inlineStr">
        <is>
          <t>Default Title</t>
        </is>
      </c>
      <c r="D201" s="14" t="inlineStr">
        <is>
          <t>copper,drip oil</t>
        </is>
      </c>
      <c r="E201" s="13" t="n"/>
      <c r="F201" s="15" t="n">
        <v>9.800000000000001</v>
      </c>
      <c r="G201" s="13" t="n"/>
      <c r="H201" s="15" t="n">
        <v>9.800000000000001</v>
      </c>
      <c r="I201" s="13" t="n"/>
      <c r="J201" s="13" t="n"/>
      <c r="K201" s="15" t="n">
        <v>9.800000000000001</v>
      </c>
      <c r="L201" s="13" t="n"/>
      <c r="M201" s="16">
        <f>IF(COUNT(E201:L201)=0,"",MIN(E201:L201))</f>
        <v/>
      </c>
      <c r="N201" s="15">
        <f>IF(COUNT(E201:L201)=0,"",LOOKUP(2,1/(E201:L201&lt;&gt;""),E201:L201))</f>
        <v/>
      </c>
      <c r="O201" s="17">
        <f>IF(M201="","",ROUND(M201*RESUMEN!$B$4,0))</f>
        <v/>
      </c>
      <c r="P201" s="18">
        <f>COUNT(E201:L201)</f>
        <v/>
      </c>
      <c r="Q201" s="19">
        <f>IF(COUNT(J201:L201)=0,"",MIN(J201:L201))</f>
        <v/>
      </c>
    </row>
    <row r="202">
      <c r="A202" s="13" t="inlineStr">
        <is>
          <t>34876761146797</t>
        </is>
      </c>
      <c r="B202" s="13" t="inlineStr">
        <is>
          <t>COLLAR DE CUENTAS PINK T</t>
        </is>
      </c>
      <c r="C202" s="13" t="inlineStr">
        <is>
          <t>Default Title</t>
        </is>
      </c>
      <c r="D202" s="14" t="inlineStr">
        <is>
          <t>925 silver</t>
        </is>
      </c>
      <c r="E202" s="13" t="n"/>
      <c r="F202" s="13" t="n"/>
      <c r="G202" s="13" t="n"/>
      <c r="H202" s="13" t="n"/>
      <c r="I202" s="15" t="n">
        <v>9.800000000000001</v>
      </c>
      <c r="J202" s="13" t="n"/>
      <c r="K202" s="15" t="n">
        <v>9.800000000000001</v>
      </c>
      <c r="L202" s="13" t="n"/>
      <c r="M202" s="16">
        <f>IF(COUNT(E202:L202)=0,"",MIN(E202:L202))</f>
        <v/>
      </c>
      <c r="N202" s="15">
        <f>IF(COUNT(E202:L202)=0,"",LOOKUP(2,1/(E202:L202&lt;&gt;""),E202:L202))</f>
        <v/>
      </c>
      <c r="O202" s="17">
        <f>IF(M202="","",ROUND(M202*RESUMEN!$B$4,0))</f>
        <v/>
      </c>
      <c r="P202" s="18">
        <f>COUNT(E202:L202)</f>
        <v/>
      </c>
      <c r="Q202" s="19">
        <f>IF(COUNT(J202:L202)=0,"",MIN(J202:L202))</f>
        <v/>
      </c>
    </row>
    <row r="203">
      <c r="A203" s="13" t="inlineStr">
        <is>
          <t>64e78f24a8521</t>
        </is>
      </c>
      <c r="B203" s="13" t="inlineStr">
        <is>
          <t>COLLAR DE INSIGNIAS LV GOLD</t>
        </is>
      </c>
      <c r="C203" s="13" t="inlineStr">
        <is>
          <t>41cm con extension de 6cm</t>
        </is>
      </c>
      <c r="D203" s="14" t="inlineStr">
        <is>
          <t>copper</t>
        </is>
      </c>
      <c r="E203" s="13" t="n"/>
      <c r="F203" s="13" t="n"/>
      <c r="G203" s="15" t="n">
        <v>10.8</v>
      </c>
      <c r="H203" s="13" t="n"/>
      <c r="I203" s="13" t="n"/>
      <c r="J203" s="13" t="n"/>
      <c r="K203" s="15" t="n">
        <v>10.8</v>
      </c>
      <c r="L203" s="13" t="n"/>
      <c r="M203" s="16">
        <f>IF(COUNT(E203:L203)=0,"",MIN(E203:L203))</f>
        <v/>
      </c>
      <c r="N203" s="15">
        <f>IF(COUNT(E203:L203)=0,"",LOOKUP(2,1/(E203:L203&lt;&gt;""),E203:L203))</f>
        <v/>
      </c>
      <c r="O203" s="17">
        <f>IF(M203="","",ROUND(M203*RESUMEN!$B$4,0))</f>
        <v/>
      </c>
      <c r="P203" s="18">
        <f>COUNT(E203:L203)</f>
        <v/>
      </c>
      <c r="Q203" s="19">
        <f>IF(COUNT(J203:L203)=0,"",MIN(J203:L203))</f>
        <v/>
      </c>
    </row>
    <row r="204">
      <c r="A204" s="13" t="inlineStr">
        <is>
          <t>668eee3eadc59</t>
        </is>
      </c>
      <c r="B204" s="13" t="inlineStr">
        <is>
          <t>COLLAR DOBLE PLACA CORAZÓN ROSA-PLATA</t>
        </is>
      </c>
      <c r="C204" s="13" t="inlineStr">
        <is>
          <t>XGX101167 silver</t>
        </is>
      </c>
      <c r="D204" s="14" t="inlineStr">
        <is>
          <t>925 silver,drip oi</t>
        </is>
      </c>
      <c r="E204" s="13" t="n"/>
      <c r="F204" s="15" t="n">
        <v>11.6</v>
      </c>
      <c r="G204" s="13" t="n"/>
      <c r="H204" s="13" t="n"/>
      <c r="I204" s="15" t="n">
        <v>8.800000000000001</v>
      </c>
      <c r="J204" s="13" t="n"/>
      <c r="K204" s="13" t="n"/>
      <c r="L204" s="15" t="n">
        <v>11.6</v>
      </c>
      <c r="M204" s="16">
        <f>IF(COUNT(E204:L204)=0,"",MIN(E204:L204))</f>
        <v/>
      </c>
      <c r="N204" s="15">
        <f>IF(COUNT(E204:L204)=0,"",LOOKUP(2,1/(E204:L204&lt;&gt;""),E204:L204))</f>
        <v/>
      </c>
      <c r="O204" s="17">
        <f>IF(M204="","",ROUND(M204*RESUMEN!$B$4,0))</f>
        <v/>
      </c>
      <c r="P204" s="18">
        <f>COUNT(E204:L204)</f>
        <v/>
      </c>
      <c r="Q204" s="19">
        <f>IF(COUNT(J204:L204)=0,"",MIN(J204:L204))</f>
        <v/>
      </c>
    </row>
    <row r="205">
      <c r="A205" s="13" t="inlineStr">
        <is>
          <t>43728085170668</t>
        </is>
      </c>
      <c r="B205" s="13" t="inlineStr">
        <is>
          <t>COLLAR ESLABON DOBLE CADENA GOLD</t>
        </is>
      </c>
      <c r="C205" s="13" t="inlineStr">
        <is>
          <t>47cm HIGH QUALITY</t>
        </is>
      </c>
      <c r="D205" s="14" t="inlineStr">
        <is>
          <t>copper</t>
        </is>
      </c>
      <c r="E205" s="15" t="n">
        <v>9.800000000000001</v>
      </c>
      <c r="F205" s="13" t="n"/>
      <c r="G205" s="15" t="n">
        <v>11.8</v>
      </c>
      <c r="H205" s="13" t="n"/>
      <c r="I205" s="15" t="n">
        <v>10.8</v>
      </c>
      <c r="J205" s="13" t="n"/>
      <c r="K205" s="15" t="n">
        <v>10.8</v>
      </c>
      <c r="L205" s="13" t="n"/>
      <c r="M205" s="16">
        <f>IF(COUNT(E205:L205)=0,"",MIN(E205:L205))</f>
        <v/>
      </c>
      <c r="N205" s="15">
        <f>IF(COUNT(E205:L205)=0,"",LOOKUP(2,1/(E205:L205&lt;&gt;""),E205:L205))</f>
        <v/>
      </c>
      <c r="O205" s="17">
        <f>IF(M205="","",ROUND(M205*RESUMEN!$B$4,0))</f>
        <v/>
      </c>
      <c r="P205" s="18">
        <f>COUNT(E205:L205)</f>
        <v/>
      </c>
      <c r="Q205" s="19">
        <f>IF(COUNT(J205:L205)=0,"",MIN(J205:L205))</f>
        <v/>
      </c>
    </row>
    <row r="206">
      <c r="A206" s="13" t="inlineStr">
        <is>
          <t>43047247904908</t>
        </is>
      </c>
      <c r="B206" s="13" t="inlineStr">
        <is>
          <t>COLLAR ESLABON DOBLE CADENA SILVER</t>
        </is>
      </c>
      <c r="C206" s="13" t="inlineStr">
        <is>
          <t>40cm</t>
        </is>
      </c>
      <c r="D206" s="14" t="inlineStr">
        <is>
          <t>copper</t>
        </is>
      </c>
      <c r="E206" s="13" t="n"/>
      <c r="F206" s="15" t="n">
        <v>9.800000000000001</v>
      </c>
      <c r="G206" s="13" t="n"/>
      <c r="H206" s="15" t="n">
        <v>9.800000000000001</v>
      </c>
      <c r="I206" s="13" t="n"/>
      <c r="J206" s="13" t="n"/>
      <c r="K206" s="13" t="n"/>
      <c r="L206" s="15" t="n">
        <v>9.800000000000001</v>
      </c>
      <c r="M206" s="16">
        <f>IF(COUNT(E206:L206)=0,"",MIN(E206:L206))</f>
        <v/>
      </c>
      <c r="N206" s="15">
        <f>IF(COUNT(E206:L206)=0,"",LOOKUP(2,1/(E206:L206&lt;&gt;""),E206:L206))</f>
        <v/>
      </c>
      <c r="O206" s="17">
        <f>IF(M206="","",ROUND(M206*RESUMEN!$B$4,0))</f>
        <v/>
      </c>
      <c r="P206" s="18">
        <f>COUNT(E206:L206)</f>
        <v/>
      </c>
      <c r="Q206" s="19">
        <f>IF(COUNT(J206:L206)=0,"",MIN(J206:L206))</f>
        <v/>
      </c>
    </row>
    <row r="207">
      <c r="A207" s="13" t="inlineStr">
        <is>
          <t>668eee4037675</t>
        </is>
      </c>
      <c r="B207" s="13" t="inlineStr">
        <is>
          <t>COLLAR ESLABONES GOLD</t>
        </is>
      </c>
      <c r="C207" s="13" t="inlineStr">
        <is>
          <t>46cm</t>
        </is>
      </c>
      <c r="D207" s="14" t="inlineStr">
        <is>
          <t>copper</t>
        </is>
      </c>
      <c r="E207" s="15" t="n">
        <v>13.8</v>
      </c>
      <c r="F207" s="13" t="n"/>
      <c r="G207" s="15" t="n">
        <v>13.8</v>
      </c>
      <c r="H207" s="13" t="n"/>
      <c r="I207" s="15" t="n">
        <v>13.8</v>
      </c>
      <c r="J207" s="15" t="n">
        <v>13.8</v>
      </c>
      <c r="K207" s="15" t="n">
        <v>13.8</v>
      </c>
      <c r="L207" s="13" t="n"/>
      <c r="M207" s="16">
        <f>IF(COUNT(E207:L207)=0,"",MIN(E207:L207))</f>
        <v/>
      </c>
      <c r="N207" s="15">
        <f>IF(COUNT(E207:L207)=0,"",LOOKUP(2,1/(E207:L207&lt;&gt;""),E207:L207))</f>
        <v/>
      </c>
      <c r="O207" s="17">
        <f>IF(M207="","",ROUND(M207*RESUMEN!$B$4,0))</f>
        <v/>
      </c>
      <c r="P207" s="18">
        <f>COUNT(E207:L207)</f>
        <v/>
      </c>
      <c r="Q207" s="19">
        <f>IF(COUNT(J207:L207)=0,"",MIN(J207:L207))</f>
        <v/>
      </c>
    </row>
    <row r="208">
      <c r="A208" s="13" t="inlineStr">
        <is>
          <t>668eee3870a7d</t>
        </is>
      </c>
      <c r="B208" s="13" t="inlineStr">
        <is>
          <t>COLLAR ESLABONES SILVER</t>
        </is>
      </c>
      <c r="C208" s="13" t="inlineStr">
        <is>
          <t>47.5 cm</t>
        </is>
      </c>
      <c r="D208" s="14" t="inlineStr">
        <is>
          <t>copper</t>
        </is>
      </c>
      <c r="E208" s="13" t="n"/>
      <c r="F208" s="13" t="n"/>
      <c r="G208" s="13" t="n"/>
      <c r="H208" s="13" t="n"/>
      <c r="I208" s="15" t="n">
        <v>13.8</v>
      </c>
      <c r="J208" s="13" t="n"/>
      <c r="K208" s="13" t="n"/>
      <c r="L208" s="13" t="n"/>
      <c r="M208" s="16">
        <f>IF(COUNT(E208:L208)=0,"",MIN(E208:L208))</f>
        <v/>
      </c>
      <c r="N208" s="15">
        <f>IF(COUNT(E208:L208)=0,"",LOOKUP(2,1/(E208:L208&lt;&gt;""),E208:L208))</f>
        <v/>
      </c>
      <c r="O208" s="17">
        <f>IF(M208="","",ROUND(M208*RESUMEN!$B$4,0))</f>
        <v/>
      </c>
      <c r="P208" s="18">
        <f>COUNT(E208:L208)</f>
        <v/>
      </c>
      <c r="Q208" s="19">
        <f>IF(COUNT(J208:L208)=0,"",MIN(J208:L208))</f>
        <v/>
      </c>
    </row>
    <row r="209">
      <c r="A209" s="13" t="inlineStr">
        <is>
          <t>668eee3921529</t>
        </is>
      </c>
      <c r="B209" s="13" t="inlineStr">
        <is>
          <t>COLLAR ESLABONES SILVER</t>
        </is>
      </c>
      <c r="C209" s="13" t="inlineStr">
        <is>
          <t>HIGH QUALITY 46cm</t>
        </is>
      </c>
      <c r="D209" s="14" t="inlineStr">
        <is>
          <t>copper</t>
        </is>
      </c>
      <c r="E209" s="15" t="n">
        <v>13.8</v>
      </c>
      <c r="F209" s="13" t="n"/>
      <c r="G209" s="15" t="n">
        <v>13.8</v>
      </c>
      <c r="H209" s="13" t="n"/>
      <c r="I209" s="13" t="n"/>
      <c r="J209" s="15" t="n">
        <v>13.8</v>
      </c>
      <c r="K209" s="15" t="n">
        <v>13.8</v>
      </c>
      <c r="L209" s="13" t="n"/>
      <c r="M209" s="16">
        <f>IF(COUNT(E209:L209)=0,"",MIN(E209:L209))</f>
        <v/>
      </c>
      <c r="N209" s="15">
        <f>IF(COUNT(E209:L209)=0,"",LOOKUP(2,1/(E209:L209&lt;&gt;""),E209:L209))</f>
        <v/>
      </c>
      <c r="O209" s="17">
        <f>IF(M209="","",ROUND(M209*RESUMEN!$B$4,0))</f>
        <v/>
      </c>
      <c r="P209" s="18">
        <f>COUNT(E209:L209)</f>
        <v/>
      </c>
      <c r="Q209" s="19">
        <f>IF(COUNT(J209:L209)=0,"",MIN(J209:L209))</f>
        <v/>
      </c>
    </row>
    <row r="210">
      <c r="A210" s="13" t="inlineStr">
        <is>
          <t>43047208517772</t>
        </is>
      </c>
      <c r="B210" s="13" t="inlineStr">
        <is>
          <t>COLLAR ESLABÓN DOBLE CADENA ROSEGOLD</t>
        </is>
      </c>
      <c r="C210" s="13" t="inlineStr">
        <is>
          <t>47cm</t>
        </is>
      </c>
      <c r="D210" s="14" t="inlineStr">
        <is>
          <t>copper</t>
        </is>
      </c>
      <c r="E210" s="13" t="n"/>
      <c r="F210" s="15" t="n">
        <v>10.8</v>
      </c>
      <c r="G210" s="13" t="n"/>
      <c r="H210" s="15" t="n">
        <v>10.8</v>
      </c>
      <c r="I210" s="13" t="n"/>
      <c r="J210" s="13" t="n"/>
      <c r="K210" s="13" t="n"/>
      <c r="L210" s="13" t="n"/>
      <c r="M210" s="16">
        <f>IF(COUNT(E210:L210)=0,"",MIN(E210:L210))</f>
        <v/>
      </c>
      <c r="N210" s="15">
        <f>IF(COUNT(E210:L210)=0,"",LOOKUP(2,1/(E210:L210&lt;&gt;""),E210:L210))</f>
        <v/>
      </c>
      <c r="O210" s="17">
        <f>IF(M210="","",ROUND(M210*RESUMEN!$B$4,0))</f>
        <v/>
      </c>
      <c r="P210" s="18">
        <f>COUNT(E210:L210)</f>
        <v/>
      </c>
      <c r="Q210" s="19">
        <f>IF(COUNT(J210:L210)=0,"",MIN(J210:L210))</f>
        <v/>
      </c>
    </row>
    <row r="211">
      <c r="A211" s="13" t="inlineStr">
        <is>
          <t>39252671833741</t>
        </is>
      </c>
      <c r="B211" s="13" t="inlineStr">
        <is>
          <t>COLLAR F GOLD</t>
        </is>
      </c>
      <c r="C211" s="13" t="inlineStr">
        <is>
          <t>Default Title</t>
        </is>
      </c>
      <c r="D211" s="14" t="inlineStr"/>
      <c r="E211" s="13" t="n"/>
      <c r="F211" s="15" t="n">
        <v>7</v>
      </c>
      <c r="G211" s="13" t="n"/>
      <c r="H211" s="13" t="n"/>
      <c r="I211" s="13" t="n"/>
      <c r="J211" s="15" t="n">
        <v>8.800000000000001</v>
      </c>
      <c r="K211" s="13" t="n"/>
      <c r="L211" s="13" t="n"/>
      <c r="M211" s="16">
        <f>IF(COUNT(E211:L211)=0,"",MIN(E211:L211))</f>
        <v/>
      </c>
      <c r="N211" s="15">
        <f>IF(COUNT(E211:L211)=0,"",LOOKUP(2,1/(E211:L211&lt;&gt;""),E211:L211))</f>
        <v/>
      </c>
      <c r="O211" s="17">
        <f>IF(M211="","",ROUND(M211*RESUMEN!$B$4,0))</f>
        <v/>
      </c>
      <c r="P211" s="18">
        <f>COUNT(E211:L211)</f>
        <v/>
      </c>
      <c r="Q211" s="19">
        <f>IF(COUNT(J211:L211)=0,"",MIN(J211:L211))</f>
        <v/>
      </c>
    </row>
    <row r="212">
      <c r="A212" s="13" t="inlineStr">
        <is>
          <t>71036878066828</t>
        </is>
      </c>
      <c r="B212" s="13" t="inlineStr">
        <is>
          <t>COLLAR GC INTERLOCKING</t>
        </is>
      </c>
      <c r="C212" s="13" t="inlineStr">
        <is>
          <t>59cm</t>
        </is>
      </c>
      <c r="D212" s="14" t="inlineStr"/>
      <c r="E212" s="15" t="n">
        <v>15.8</v>
      </c>
      <c r="F212" s="13" t="n"/>
      <c r="G212" s="13" t="n"/>
      <c r="H212" s="13" t="n"/>
      <c r="I212" s="13" t="n"/>
      <c r="J212" s="13" t="n"/>
      <c r="K212" s="13" t="n"/>
      <c r="L212" s="13" t="n"/>
      <c r="M212" s="16">
        <f>IF(COUNT(E212:L212)=0,"",MIN(E212:L212))</f>
        <v/>
      </c>
      <c r="N212" s="15">
        <f>IF(COUNT(E212:L212)=0,"",LOOKUP(2,1/(E212:L212&lt;&gt;""),E212:L212))</f>
        <v/>
      </c>
      <c r="O212" s="17">
        <f>IF(M212="","",ROUND(M212*RESUMEN!$B$4,0))</f>
        <v/>
      </c>
      <c r="P212" s="18">
        <f>COUNT(E212:L212)</f>
        <v/>
      </c>
      <c r="Q212" s="19">
        <f>IF(COUNT(J212:L212)=0,"",MIN(J212:L212))</f>
        <v/>
      </c>
    </row>
    <row r="213">
      <c r="A213" s="13" t="inlineStr">
        <is>
          <t>15711172573869</t>
        </is>
      </c>
      <c r="B213" s="13" t="inlineStr">
        <is>
          <t>COLLAR JOLIE CD GOLD</t>
        </is>
      </c>
      <c r="C213" s="13" t="inlineStr">
        <is>
          <t>Default Title</t>
        </is>
      </c>
      <c r="D213" s="14" t="inlineStr">
        <is>
          <t>copper</t>
        </is>
      </c>
      <c r="E213" s="15" t="n">
        <v>8.800000000000001</v>
      </c>
      <c r="F213" s="13" t="n"/>
      <c r="G213" s="15" t="n">
        <v>8.800000000000001</v>
      </c>
      <c r="H213" s="13" t="n"/>
      <c r="I213" s="13" t="n"/>
      <c r="J213" s="13" t="n"/>
      <c r="K213" s="13" t="n"/>
      <c r="L213" s="13" t="n"/>
      <c r="M213" s="16">
        <f>IF(COUNT(E213:L213)=0,"",MIN(E213:L213))</f>
        <v/>
      </c>
      <c r="N213" s="15">
        <f>IF(COUNT(E213:L213)=0,"",LOOKUP(2,1/(E213:L213&lt;&gt;""),E213:L213))</f>
        <v/>
      </c>
      <c r="O213" s="17">
        <f>IF(M213="","",ROUND(M213*RESUMEN!$B$4,0))</f>
        <v/>
      </c>
      <c r="P213" s="18">
        <f>COUNT(E213:L213)</f>
        <v/>
      </c>
      <c r="Q213" s="19">
        <f>IF(COUNT(J213:L213)=0,"",MIN(J213:L213))</f>
        <v/>
      </c>
    </row>
    <row r="214">
      <c r="A214" s="13" t="inlineStr">
        <is>
          <t>15711172684525</t>
        </is>
      </c>
      <c r="B214" s="13" t="inlineStr">
        <is>
          <t>COLLAR LOGO CD CON ZIRCONIA SILVER</t>
        </is>
      </c>
      <c r="C214" s="13" t="inlineStr">
        <is>
          <t>Default Title</t>
        </is>
      </c>
      <c r="D214" s="14" t="inlineStr">
        <is>
          <t>copper</t>
        </is>
      </c>
      <c r="E214" s="15" t="n">
        <v>8.800000000000001</v>
      </c>
      <c r="F214" s="13" t="n"/>
      <c r="G214" s="13" t="n"/>
      <c r="H214" s="13" t="n"/>
      <c r="I214" s="13" t="n"/>
      <c r="J214" s="13" t="n"/>
      <c r="K214" s="13" t="n"/>
      <c r="L214" s="15" t="n">
        <v>8.800000000000001</v>
      </c>
      <c r="M214" s="16">
        <f>IF(COUNT(E214:L214)=0,"",MIN(E214:L214))</f>
        <v/>
      </c>
      <c r="N214" s="15">
        <f>IF(COUNT(E214:L214)=0,"",LOOKUP(2,1/(E214:L214&lt;&gt;""),E214:L214))</f>
        <v/>
      </c>
      <c r="O214" s="17">
        <f>IF(M214="","",ROUND(M214*RESUMEN!$B$4,0))</f>
        <v/>
      </c>
      <c r="P214" s="18">
        <f>COUNT(E214:L214)</f>
        <v/>
      </c>
      <c r="Q214" s="19">
        <f>IF(COUNT(J214:L214)=0,"",MIN(J214:L214))</f>
        <v/>
      </c>
    </row>
    <row r="215">
      <c r="A215" s="13" t="inlineStr">
        <is>
          <t>646f84bdcd369</t>
        </is>
      </c>
      <c r="B215" s="13" t="inlineStr">
        <is>
          <t>COLLAR SMILE CON ZIRCONIA SILVER</t>
        </is>
      </c>
      <c r="C215" s="13" t="inlineStr">
        <is>
          <t>GISEL</t>
        </is>
      </c>
      <c r="D215" s="14" t="inlineStr"/>
      <c r="E215" s="13" t="n"/>
      <c r="F215" s="15" t="n">
        <v>12.8</v>
      </c>
      <c r="G215" s="13" t="n"/>
      <c r="H215" s="13" t="n"/>
      <c r="I215" s="13" t="n"/>
      <c r="J215" s="13" t="n"/>
      <c r="K215" s="15" t="n">
        <v>12.8</v>
      </c>
      <c r="L215" s="13" t="n"/>
      <c r="M215" s="16">
        <f>IF(COUNT(E215:L215)=0,"",MIN(E215:L215))</f>
        <v/>
      </c>
      <c r="N215" s="15">
        <f>IF(COUNT(E215:L215)=0,"",LOOKUP(2,1/(E215:L215&lt;&gt;""),E215:L215))</f>
        <v/>
      </c>
      <c r="O215" s="17">
        <f>IF(M215="","",ROUND(M215*RESUMEN!$B$4,0))</f>
        <v/>
      </c>
      <c r="P215" s="18">
        <f>COUNT(E215:L215)</f>
        <v/>
      </c>
      <c r="Q215" s="19">
        <f>IF(COUNT(J215:L215)=0,"",MIN(J215:L215))</f>
        <v/>
      </c>
    </row>
    <row r="216">
      <c r="A216" s="13" t="inlineStr">
        <is>
          <t>64e78f2d04b05</t>
        </is>
      </c>
      <c r="B216" s="13" t="inlineStr">
        <is>
          <t>COLLAR SMILE GOLD CON ZIRCONIA SMALL</t>
        </is>
      </c>
      <c r="C216" s="13" t="inlineStr">
        <is>
          <t>Largo 44.5cm con extension de 5cm</t>
        </is>
      </c>
      <c r="D216" s="14" t="inlineStr"/>
      <c r="E216" s="13" t="n"/>
      <c r="F216" s="13" t="n"/>
      <c r="G216" s="13" t="n"/>
      <c r="H216" s="13" t="n"/>
      <c r="I216" s="13" t="n"/>
      <c r="J216" s="15" t="n">
        <v>9.800000000000001</v>
      </c>
      <c r="K216" s="13" t="n"/>
      <c r="L216" s="13" t="n"/>
      <c r="M216" s="16">
        <f>IF(COUNT(E216:L216)=0,"",MIN(E216:L216))</f>
        <v/>
      </c>
      <c r="N216" s="15">
        <f>IF(COUNT(E216:L216)=0,"",LOOKUP(2,1/(E216:L216&lt;&gt;""),E216:L216))</f>
        <v/>
      </c>
      <c r="O216" s="17">
        <f>IF(M216="","",ROUND(M216*RESUMEN!$B$4,0))</f>
        <v/>
      </c>
      <c r="P216" s="18">
        <f>COUNT(E216:L216)</f>
        <v/>
      </c>
      <c r="Q216" s="19">
        <f>IF(COUNT(J216:L216)=0,"",MIN(J216:L216))</f>
        <v/>
      </c>
    </row>
    <row r="217">
      <c r="A217" s="13" t="inlineStr">
        <is>
          <t>43047222083724</t>
        </is>
      </c>
      <c r="B217" s="13" t="inlineStr">
        <is>
          <t>COLLAR SMILE ROSE GOLD CON ZIRCONIA</t>
        </is>
      </c>
      <c r="C217" s="13" t="inlineStr">
        <is>
          <t>Ajustable</t>
        </is>
      </c>
      <c r="D217" s="14" t="inlineStr">
        <is>
          <t>925 silver</t>
        </is>
      </c>
      <c r="E217" s="15" t="n">
        <v>12.8</v>
      </c>
      <c r="F217" s="13" t="n"/>
      <c r="G217" s="13" t="n"/>
      <c r="H217" s="15" t="n">
        <v>13.8</v>
      </c>
      <c r="I217" s="15" t="n">
        <v>13.8</v>
      </c>
      <c r="J217" s="13" t="n"/>
      <c r="K217" s="13" t="n"/>
      <c r="L217" s="13" t="n"/>
      <c r="M217" s="16">
        <f>IF(COUNT(E217:L217)=0,"",MIN(E217:L217))</f>
        <v/>
      </c>
      <c r="N217" s="15">
        <f>IF(COUNT(E217:L217)=0,"",LOOKUP(2,1/(E217:L217&lt;&gt;""),E217:L217))</f>
        <v/>
      </c>
      <c r="O217" s="17">
        <f>IF(M217="","",ROUND(M217*RESUMEN!$B$4,0))</f>
        <v/>
      </c>
      <c r="P217" s="18">
        <f>COUNT(E217:L217)</f>
        <v/>
      </c>
      <c r="Q217" s="19">
        <f>IF(COUNT(J217:L217)=0,"",MIN(J217:L217))</f>
        <v/>
      </c>
    </row>
    <row r="218">
      <c r="A218" s="13" t="inlineStr">
        <is>
          <t>87904131075277</t>
        </is>
      </c>
      <c r="B218" s="13" t="inlineStr">
        <is>
          <t>GORRA A BLACK</t>
        </is>
      </c>
      <c r="C218" s="13" t="inlineStr">
        <is>
          <t>Default Title</t>
        </is>
      </c>
      <c r="D218" s="14" t="inlineStr"/>
      <c r="E218" s="13" t="n"/>
      <c r="F218" s="15" t="n">
        <v>7.8</v>
      </c>
      <c r="G218" s="13" t="n"/>
      <c r="H218" s="13" t="n"/>
      <c r="I218" s="13" t="n"/>
      <c r="J218" s="13" t="n"/>
      <c r="K218" s="13" t="n"/>
      <c r="L218" s="13" t="n"/>
      <c r="M218" s="16">
        <f>IF(COUNT(E218:L218)=0,"",MIN(E218:L218))</f>
        <v/>
      </c>
      <c r="N218" s="15">
        <f>IF(COUNT(E218:L218)=0,"",LOOKUP(2,1/(E218:L218&lt;&gt;""),E218:L218))</f>
        <v/>
      </c>
      <c r="O218" s="17">
        <f>IF(M218="","",ROUND(M218*RESUMEN!$B$4,0))</f>
        <v/>
      </c>
      <c r="P218" s="18">
        <f>COUNT(E218:L218)</f>
        <v/>
      </c>
      <c r="Q218" s="19">
        <f>IF(COUNT(J218:L218)=0,"",MIN(J218:L218))</f>
        <v/>
      </c>
    </row>
    <row r="219">
      <c r="A219" s="13" t="inlineStr">
        <is>
          <t>3382860722828</t>
        </is>
      </c>
      <c r="B219" s="13" t="inlineStr">
        <is>
          <t>GORRA C LOGO BLACK</t>
        </is>
      </c>
      <c r="C219" s="13" t="inlineStr">
        <is>
          <t>AJUSTABLE</t>
        </is>
      </c>
      <c r="D219" s="14" t="inlineStr">
        <is>
          <t>cotton</t>
        </is>
      </c>
      <c r="E219" s="13" t="n"/>
      <c r="F219" s="13" t="n"/>
      <c r="G219" s="15" t="n">
        <v>8.300000000000001</v>
      </c>
      <c r="H219" s="15" t="n">
        <v>8.300000000000001</v>
      </c>
      <c r="I219" s="15" t="n">
        <v>8.300000000000001</v>
      </c>
      <c r="J219" s="13" t="n"/>
      <c r="K219" s="13" t="n"/>
      <c r="L219" s="13" t="n"/>
      <c r="M219" s="16">
        <f>IF(COUNT(E219:L219)=0,"",MIN(E219:L219))</f>
        <v/>
      </c>
      <c r="N219" s="15">
        <f>IF(COUNT(E219:L219)=0,"",LOOKUP(2,1/(E219:L219&lt;&gt;""),E219:L219))</f>
        <v/>
      </c>
      <c r="O219" s="17">
        <f>IF(M219="","",ROUND(M219*RESUMEN!$B$4,0))</f>
        <v/>
      </c>
      <c r="P219" s="18">
        <f>COUNT(E219:L219)</f>
        <v/>
      </c>
      <c r="Q219" s="19">
        <f>IF(COUNT(J219:L219)=0,"",MIN(J219:L219))</f>
        <v/>
      </c>
    </row>
    <row r="220">
      <c r="A220" s="13" t="inlineStr">
        <is>
          <t>77216894110092</t>
        </is>
      </c>
      <c r="B220" s="13" t="inlineStr">
        <is>
          <t>GORRA C LOGO WHITE</t>
        </is>
      </c>
      <c r="C220" s="13" t="inlineStr">
        <is>
          <t>AJUSTABLE</t>
        </is>
      </c>
      <c r="D220" s="14" t="inlineStr">
        <is>
          <t>cotton</t>
        </is>
      </c>
      <c r="E220" s="13" t="n"/>
      <c r="F220" s="13" t="n"/>
      <c r="G220" s="15" t="n">
        <v>8.300000000000001</v>
      </c>
      <c r="H220" s="15" t="n">
        <v>8.300000000000001</v>
      </c>
      <c r="I220" s="13" t="n"/>
      <c r="J220" s="15" t="n">
        <v>8.300000000000001</v>
      </c>
      <c r="K220" s="13" t="n"/>
      <c r="L220" s="13" t="n"/>
      <c r="M220" s="16">
        <f>IF(COUNT(E220:L220)=0,"",MIN(E220:L220))</f>
        <v/>
      </c>
      <c r="N220" s="15">
        <f>IF(COUNT(E220:L220)=0,"",LOOKUP(2,1/(E220:L220&lt;&gt;""),E220:L220))</f>
        <v/>
      </c>
      <c r="O220" s="17">
        <f>IF(M220="","",ROUND(M220*RESUMEN!$B$4,0))</f>
        <v/>
      </c>
      <c r="P220" s="18">
        <f>COUNT(E220:L220)</f>
        <v/>
      </c>
      <c r="Q220" s="19">
        <f>IF(COUNT(J220:L220)=0,"",MIN(J220:L220))</f>
        <v/>
      </c>
    </row>
    <row r="221">
      <c r="A221" s="13" t="inlineStr">
        <is>
          <t>39252671591341</t>
        </is>
      </c>
      <c r="B221" s="13" t="inlineStr">
        <is>
          <t>GORRA LULU WHITE</t>
        </is>
      </c>
      <c r="C221" s="13" t="inlineStr">
        <is>
          <t>Default Title</t>
        </is>
      </c>
      <c r="D221" s="14" t="inlineStr"/>
      <c r="E221" s="13" t="n"/>
      <c r="F221" s="15" t="n">
        <v>10.8</v>
      </c>
      <c r="G221" s="13" t="n"/>
      <c r="H221" s="13" t="n"/>
      <c r="I221" s="13" t="n"/>
      <c r="J221" s="13" t="n"/>
      <c r="K221" s="13" t="n"/>
      <c r="L221" s="13" t="n"/>
      <c r="M221" s="16">
        <f>IF(COUNT(E221:L221)=0,"",MIN(E221:L221))</f>
        <v/>
      </c>
      <c r="N221" s="15">
        <f>IF(COUNT(E221:L221)=0,"",LOOKUP(2,1/(E221:L221&lt;&gt;""),E221:L221))</f>
        <v/>
      </c>
      <c r="O221" s="17">
        <f>IF(M221="","",ROUND(M221*RESUMEN!$B$4,0))</f>
        <v/>
      </c>
      <c r="P221" s="18">
        <f>COUNT(E221:L221)</f>
        <v/>
      </c>
      <c r="Q221" s="19">
        <f>IF(COUNT(J221:L221)=0,"",MIN(J221:L221))</f>
        <v/>
      </c>
    </row>
    <row r="222">
      <c r="A222" s="13" t="inlineStr">
        <is>
          <t>33644562259373</t>
        </is>
      </c>
      <c r="B222" s="13" t="inlineStr">
        <is>
          <t>GORRA MM BROWN</t>
        </is>
      </c>
      <c r="C222" s="13" t="inlineStr">
        <is>
          <t>Default Title</t>
        </is>
      </c>
      <c r="D222" s="14" t="inlineStr"/>
      <c r="E222" s="13" t="n"/>
      <c r="F222" s="13" t="n"/>
      <c r="G222" s="13" t="n"/>
      <c r="H222" s="13" t="n"/>
      <c r="I222" s="13" t="n"/>
      <c r="J222" s="15" t="n">
        <v>9</v>
      </c>
      <c r="K222" s="13" t="n"/>
      <c r="L222" s="13" t="n"/>
      <c r="M222" s="16">
        <f>IF(COUNT(E222:L222)=0,"",MIN(E222:L222))</f>
        <v/>
      </c>
      <c r="N222" s="15">
        <f>IF(COUNT(E222:L222)=0,"",LOOKUP(2,1/(E222:L222&lt;&gt;""),E222:L222))</f>
        <v/>
      </c>
      <c r="O222" s="17">
        <f>IF(M222="","",ROUND(M222*RESUMEN!$B$4,0))</f>
        <v/>
      </c>
      <c r="P222" s="18">
        <f>COUNT(E222:L222)</f>
        <v/>
      </c>
      <c r="Q222" s="19">
        <f>IF(COUNT(J222:L222)=0,"",MIN(J222:L222))</f>
        <v/>
      </c>
    </row>
    <row r="223">
      <c r="A223" s="13" t="inlineStr">
        <is>
          <t>664fc85ecbb14</t>
        </is>
      </c>
      <c r="B223" s="13" t="inlineStr">
        <is>
          <t>LENTES C BROWN</t>
        </is>
      </c>
      <c r="C223" s="13" t="inlineStr">
        <is>
          <t>Regular</t>
        </is>
      </c>
      <c r="D223" s="14" t="inlineStr">
        <is>
          <t>Resin, metal</t>
        </is>
      </c>
      <c r="E223" s="13" t="n"/>
      <c r="F223" s="15" t="n">
        <v>9.5</v>
      </c>
      <c r="G223" s="15" t="n">
        <v>8.5</v>
      </c>
      <c r="H223" s="13" t="n"/>
      <c r="I223" s="13" t="n"/>
      <c r="J223" s="13" t="n"/>
      <c r="K223" s="15" t="n">
        <v>8.5</v>
      </c>
      <c r="L223" s="15" t="n">
        <v>8.5</v>
      </c>
      <c r="M223" s="16">
        <f>IF(COUNT(E223:L223)=0,"",MIN(E223:L223))</f>
        <v/>
      </c>
      <c r="N223" s="15">
        <f>IF(COUNT(E223:L223)=0,"",LOOKUP(2,1/(E223:L223&lt;&gt;""),E223:L223))</f>
        <v/>
      </c>
      <c r="O223" s="17">
        <f>IF(M223="","",ROUND(M223*RESUMEN!$B$4,0))</f>
        <v/>
      </c>
      <c r="P223" s="18">
        <f>COUNT(E223:L223)</f>
        <v/>
      </c>
      <c r="Q223" s="19">
        <f>IF(COUNT(J223:L223)=0,"",MIN(J223:L223))</f>
        <v/>
      </c>
    </row>
    <row r="224">
      <c r="A224" s="13" t="inlineStr">
        <is>
          <t>665bc0b8d1cab-2</t>
        </is>
      </c>
      <c r="B224" s="13" t="inlineStr">
        <is>
          <t>LENTES C GOLD SLIM BLACK</t>
        </is>
      </c>
      <c r="C224" s="13" t="inlineStr">
        <is>
          <t>XGZN2301 2#gold/</t>
        </is>
      </c>
      <c r="D224" s="14" t="inlineStr">
        <is>
          <t>Resin, metal</t>
        </is>
      </c>
      <c r="E224" s="13" t="n"/>
      <c r="F224" s="13" t="n"/>
      <c r="G224" s="13" t="n"/>
      <c r="H224" s="15" t="n">
        <v>8.5</v>
      </c>
      <c r="I224" s="15" t="n">
        <v>8.5</v>
      </c>
      <c r="J224" s="13" t="n"/>
      <c r="K224" s="13" t="n"/>
      <c r="L224" s="15" t="n">
        <v>8.5</v>
      </c>
      <c r="M224" s="16">
        <f>IF(COUNT(E224:L224)=0,"",MIN(E224:L224))</f>
        <v/>
      </c>
      <c r="N224" s="15">
        <f>IF(COUNT(E224:L224)=0,"",LOOKUP(2,1/(E224:L224&lt;&gt;""),E224:L224))</f>
        <v/>
      </c>
      <c r="O224" s="17">
        <f>IF(M224="","",ROUND(M224*RESUMEN!$B$4,0))</f>
        <v/>
      </c>
      <c r="P224" s="18">
        <f>COUNT(E224:L224)</f>
        <v/>
      </c>
      <c r="Q224" s="19">
        <f>IF(COUNT(J224:L224)=0,"",MIN(J224:L224))</f>
        <v/>
      </c>
    </row>
    <row r="225">
      <c r="A225" s="13" t="inlineStr">
        <is>
          <t>665818c705471</t>
        </is>
      </c>
      <c r="B225" s="13" t="inlineStr">
        <is>
          <t>LENTES C GREEN</t>
        </is>
      </c>
      <c r="C225" s="13" t="inlineStr">
        <is>
          <t>LOGO</t>
        </is>
      </c>
      <c r="D225" s="14" t="inlineStr">
        <is>
          <t>Resin, metal</t>
        </is>
      </c>
      <c r="E225" s="13" t="n"/>
      <c r="F225" s="15" t="n">
        <v>9.5</v>
      </c>
      <c r="G225" s="13" t="n"/>
      <c r="H225" s="13" t="n"/>
      <c r="I225" s="13" t="n"/>
      <c r="J225" s="15" t="n">
        <v>9.5</v>
      </c>
      <c r="K225" s="15" t="n">
        <v>9.5</v>
      </c>
      <c r="L225" s="13" t="n"/>
      <c r="M225" s="16">
        <f>IF(COUNT(E225:L225)=0,"",MIN(E225:L225))</f>
        <v/>
      </c>
      <c r="N225" s="15">
        <f>IF(COUNT(E225:L225)=0,"",LOOKUP(2,1/(E225:L225&lt;&gt;""),E225:L225))</f>
        <v/>
      </c>
      <c r="O225" s="17">
        <f>IF(M225="","",ROUND(M225*RESUMEN!$B$4,0))</f>
        <v/>
      </c>
      <c r="P225" s="18">
        <f>COUNT(E225:L225)</f>
        <v/>
      </c>
      <c r="Q225" s="19">
        <f>IF(COUNT(J225:L225)=0,"",MIN(J225:L225))</f>
        <v/>
      </c>
    </row>
    <row r="226">
      <c r="A226" s="13" t="inlineStr">
        <is>
          <t>66581907ee9cb-1</t>
        </is>
      </c>
      <c r="B226" s="13" t="inlineStr">
        <is>
          <t>LENTES C OVAL BROWN</t>
        </is>
      </c>
      <c r="C226" s="13" t="inlineStr">
        <is>
          <t>REGULAR</t>
        </is>
      </c>
      <c r="D226" s="14" t="inlineStr">
        <is>
          <t>Resin, sheet metal</t>
        </is>
      </c>
      <c r="E226" s="15" t="n">
        <v>29.5</v>
      </c>
      <c r="F226" s="13" t="n"/>
      <c r="G226" s="13" t="n"/>
      <c r="H226" s="15" t="n">
        <v>29.5</v>
      </c>
      <c r="I226" s="15" t="n">
        <v>29.5</v>
      </c>
      <c r="J226" s="13" t="n"/>
      <c r="K226" s="13" t="n"/>
      <c r="L226" s="13" t="n"/>
      <c r="M226" s="16">
        <f>IF(COUNT(E226:L226)=0,"",MIN(E226:L226))</f>
        <v/>
      </c>
      <c r="N226" s="15">
        <f>IF(COUNT(E226:L226)=0,"",LOOKUP(2,1/(E226:L226&lt;&gt;""),E226:L226))</f>
        <v/>
      </c>
      <c r="O226" s="17">
        <f>IF(M226="","",ROUND(M226*RESUMEN!$B$4,0))</f>
        <v/>
      </c>
      <c r="P226" s="18">
        <f>COUNT(E226:L226)</f>
        <v/>
      </c>
      <c r="Q226" s="19">
        <f>IF(COUNT(J226:L226)=0,"",MIN(J226:L226))</f>
        <v/>
      </c>
    </row>
    <row r="227">
      <c r="A227" s="13" t="inlineStr">
        <is>
          <t>665bc0bb805f5</t>
        </is>
      </c>
      <c r="B227" s="13" t="inlineStr">
        <is>
          <t>LENTES C OVAL GOLD BLACK</t>
        </is>
      </c>
      <c r="C227" s="13" t="inlineStr">
        <is>
          <t>REGULAR</t>
        </is>
      </c>
      <c r="D227" s="14" t="inlineStr">
        <is>
          <t>Resin, metal</t>
        </is>
      </c>
      <c r="E227" s="15" t="n">
        <v>29.5</v>
      </c>
      <c r="F227" s="13" t="n"/>
      <c r="G227" s="15" t="n">
        <v>29.5</v>
      </c>
      <c r="H227" s="15" t="n">
        <v>29.5</v>
      </c>
      <c r="I227" s="13" t="n"/>
      <c r="J227" s="13" t="n"/>
      <c r="K227" s="13" t="n"/>
      <c r="L227" s="13" t="n"/>
      <c r="M227" s="16">
        <f>IF(COUNT(E227:L227)=0,"",MIN(E227:L227))</f>
        <v/>
      </c>
      <c r="N227" s="15">
        <f>IF(COUNT(E227:L227)=0,"",LOOKUP(2,1/(E227:L227&lt;&gt;""),E227:L227))</f>
        <v/>
      </c>
      <c r="O227" s="17">
        <f>IF(M227="","",ROUND(M227*RESUMEN!$B$4,0))</f>
        <v/>
      </c>
      <c r="P227" s="18">
        <f>COUNT(E227:L227)</f>
        <v/>
      </c>
      <c r="Q227" s="19">
        <f>IF(COUNT(J227:L227)=0,"",MIN(J227:L227))</f>
        <v/>
      </c>
    </row>
    <row r="228">
      <c r="A228" s="13" t="inlineStr">
        <is>
          <t>664fc858469b1</t>
        </is>
      </c>
      <c r="B228" s="13" t="inlineStr">
        <is>
          <t>LENTES C OVAL GREEN</t>
        </is>
      </c>
      <c r="C228" s="13" t="inlineStr">
        <is>
          <t>REGULAR</t>
        </is>
      </c>
      <c r="D228" s="14" t="inlineStr">
        <is>
          <t>Resin, metal</t>
        </is>
      </c>
      <c r="E228" s="13" t="n"/>
      <c r="F228" s="15" t="n">
        <v>29.5</v>
      </c>
      <c r="G228" s="13" t="n"/>
      <c r="H228" s="15" t="n">
        <v>29.5</v>
      </c>
      <c r="I228" s="13" t="n"/>
      <c r="J228" s="13" t="n"/>
      <c r="K228" s="15" t="n">
        <v>29.5</v>
      </c>
      <c r="L228" s="15" t="n">
        <v>29.5</v>
      </c>
      <c r="M228" s="16">
        <f>IF(COUNT(E228:L228)=0,"",MIN(E228:L228))</f>
        <v/>
      </c>
      <c r="N228" s="15">
        <f>IF(COUNT(E228:L228)=0,"",LOOKUP(2,1/(E228:L228&lt;&gt;""),E228:L228))</f>
        <v/>
      </c>
      <c r="O228" s="17">
        <f>IF(M228="","",ROUND(M228*RESUMEN!$B$4,0))</f>
        <v/>
      </c>
      <c r="P228" s="18">
        <f>COUNT(E228:L228)</f>
        <v/>
      </c>
      <c r="Q228" s="19">
        <f>IF(COUNT(J228:L228)=0,"",MIN(J228:L228))</f>
        <v/>
      </c>
    </row>
    <row r="229">
      <c r="A229" s="13" t="inlineStr">
        <is>
          <t>664fc854d5243</t>
        </is>
      </c>
      <c r="B229" s="13" t="inlineStr">
        <is>
          <t>LENTES C OVAL SILVER BLACK</t>
        </is>
      </c>
      <c r="C229" s="13" t="inlineStr">
        <is>
          <t>Default Title</t>
        </is>
      </c>
      <c r="D229" s="14" t="inlineStr">
        <is>
          <t>Resin, metal</t>
        </is>
      </c>
      <c r="E229" s="13" t="n"/>
      <c r="F229" s="15" t="n">
        <v>29.5</v>
      </c>
      <c r="G229" s="13" t="n"/>
      <c r="H229" s="13" t="n"/>
      <c r="I229" s="13" t="n"/>
      <c r="J229" s="15" t="n">
        <v>29.5</v>
      </c>
      <c r="K229" s="13" t="n"/>
      <c r="L229" s="13" t="n"/>
      <c r="M229" s="16">
        <f>IF(COUNT(E229:L229)=0,"",MIN(E229:L229))</f>
        <v/>
      </c>
      <c r="N229" s="15">
        <f>IF(COUNT(E229:L229)=0,"",LOOKUP(2,1/(E229:L229&lt;&gt;""),E229:L229))</f>
        <v/>
      </c>
      <c r="O229" s="17">
        <f>IF(M229="","",ROUND(M229*RESUMEN!$B$4,0))</f>
        <v/>
      </c>
      <c r="P229" s="18">
        <f>COUNT(E229:L229)</f>
        <v/>
      </c>
      <c r="Q229" s="19">
        <f>IF(COUNT(J229:L229)=0,"",MIN(J229:L229))</f>
        <v/>
      </c>
    </row>
    <row r="230">
      <c r="A230" s="13" t="inlineStr">
        <is>
          <t>14401521219693</t>
        </is>
      </c>
      <c r="B230" s="13" t="inlineStr">
        <is>
          <t>LENTES C SANTOS</t>
        </is>
      </c>
      <c r="C230" s="13" t="inlineStr">
        <is>
          <t>Default Title</t>
        </is>
      </c>
      <c r="D230" s="14" t="inlineStr">
        <is>
          <t>Resin, metal</t>
        </is>
      </c>
      <c r="E230" s="13" t="n"/>
      <c r="F230" s="13" t="n"/>
      <c r="G230" s="13" t="n"/>
      <c r="H230" s="15" t="n">
        <v>32.5</v>
      </c>
      <c r="I230" s="13" t="n"/>
      <c r="J230" s="13" t="n"/>
      <c r="K230" s="13" t="n"/>
      <c r="L230" s="15" t="n">
        <v>32.5</v>
      </c>
      <c r="M230" s="16">
        <f>IF(COUNT(E230:L230)=0,"",MIN(E230:L230))</f>
        <v/>
      </c>
      <c r="N230" s="15">
        <f>IF(COUNT(E230:L230)=0,"",LOOKUP(2,1/(E230:L230&lt;&gt;""),E230:L230))</f>
        <v/>
      </c>
      <c r="O230" s="17">
        <f>IF(M230="","",ROUND(M230*RESUMEN!$B$4,0))</f>
        <v/>
      </c>
      <c r="P230" s="18">
        <f>COUNT(E230:L230)</f>
        <v/>
      </c>
      <c r="Q230" s="19">
        <f>IF(COUNT(J230:L230)=0,"",MIN(J230:L230))</f>
        <v/>
      </c>
    </row>
    <row r="231">
      <c r="A231" s="13" t="inlineStr">
        <is>
          <t>664fc85011676</t>
        </is>
      </c>
      <c r="B231" s="13" t="inlineStr">
        <is>
          <t>LENTES C THICK GOLD</t>
        </is>
      </c>
      <c r="C231" s="13" t="inlineStr">
        <is>
          <t>Default Title</t>
        </is>
      </c>
      <c r="D231" s="14" t="inlineStr">
        <is>
          <t>Resin, metal</t>
        </is>
      </c>
      <c r="E231" s="15" t="n">
        <v>9</v>
      </c>
      <c r="F231" s="13" t="n"/>
      <c r="G231" s="15" t="n">
        <v>9</v>
      </c>
      <c r="H231" s="13" t="n"/>
      <c r="I231" s="13" t="n"/>
      <c r="J231" s="13" t="n"/>
      <c r="K231" s="13" t="n"/>
      <c r="L231" s="13" t="n"/>
      <c r="M231" s="16">
        <f>IF(COUNT(E231:L231)=0,"",MIN(E231:L231))</f>
        <v/>
      </c>
      <c r="N231" s="15">
        <f>IF(COUNT(E231:L231)=0,"",LOOKUP(2,1/(E231:L231&lt;&gt;""),E231:L231))</f>
        <v/>
      </c>
      <c r="O231" s="17">
        <f>IF(M231="","",ROUND(M231*RESUMEN!$B$4,0))</f>
        <v/>
      </c>
      <c r="P231" s="18">
        <f>COUNT(E231:L231)</f>
        <v/>
      </c>
      <c r="Q231" s="19">
        <f>IF(COUNT(J231:L231)=0,"",MIN(J231:L231))</f>
        <v/>
      </c>
    </row>
    <row r="232">
      <c r="A232" s="13" t="inlineStr">
        <is>
          <t>14401521352461</t>
        </is>
      </c>
      <c r="B232" s="13" t="inlineStr">
        <is>
          <t>LENTES C TRIOMPHE GOLD CAT</t>
        </is>
      </c>
      <c r="C232" s="13" t="inlineStr">
        <is>
          <t>Default Title</t>
        </is>
      </c>
      <c r="D232" s="14" t="inlineStr">
        <is>
          <t>Resin, metal</t>
        </is>
      </c>
      <c r="E232" s="13" t="n"/>
      <c r="F232" s="13" t="n"/>
      <c r="G232" s="13" t="n"/>
      <c r="H232" s="15" t="n">
        <v>29.5</v>
      </c>
      <c r="I232" s="13" t="n"/>
      <c r="J232" s="13" t="n"/>
      <c r="K232" s="13" t="n"/>
      <c r="L232" s="13" t="n"/>
      <c r="M232" s="16">
        <f>IF(COUNT(E232:L232)=0,"",MIN(E232:L232))</f>
        <v/>
      </c>
      <c r="N232" s="15">
        <f>IF(COUNT(E232:L232)=0,"",LOOKUP(2,1/(E232:L232&lt;&gt;""),E232:L232))</f>
        <v/>
      </c>
      <c r="O232" s="17">
        <f>IF(M232="","",ROUND(M232*RESUMEN!$B$4,0))</f>
        <v/>
      </c>
      <c r="P232" s="18">
        <f>COUNT(E232:L232)</f>
        <v/>
      </c>
      <c r="Q232" s="19">
        <f>IF(COUNT(J232:L232)=0,"",MIN(J232:L232))</f>
        <v/>
      </c>
    </row>
    <row r="233">
      <c r="A233" s="13" t="inlineStr">
        <is>
          <t>90487929592844</t>
        </is>
      </c>
      <c r="B233" s="13" t="inlineStr">
        <is>
          <t>LENTES CD B23</t>
        </is>
      </c>
      <c r="C233" s="13" t="inlineStr">
        <is>
          <t>Default Title</t>
        </is>
      </c>
      <c r="D233" s="14" t="inlineStr">
        <is>
          <t>Injection molding,</t>
        </is>
      </c>
      <c r="E233" s="13" t="n"/>
      <c r="F233" s="15" t="n">
        <v>30</v>
      </c>
      <c r="G233" s="15" t="n">
        <v>30</v>
      </c>
      <c r="H233" s="13" t="n"/>
      <c r="I233" s="13" t="n"/>
      <c r="J233" s="13" t="n"/>
      <c r="K233" s="13" t="n"/>
      <c r="L233" s="13" t="n"/>
      <c r="M233" s="16">
        <f>IF(COUNT(E233:L233)=0,"",MIN(E233:L233))</f>
        <v/>
      </c>
      <c r="N233" s="15">
        <f>IF(COUNT(E233:L233)=0,"",LOOKUP(2,1/(E233:L233&lt;&gt;""),E233:L233))</f>
        <v/>
      </c>
      <c r="O233" s="17">
        <f>IF(M233="","",ROUND(M233*RESUMEN!$B$4,0))</f>
        <v/>
      </c>
      <c r="P233" s="18">
        <f>COUNT(E233:L233)</f>
        <v/>
      </c>
      <c r="Q233" s="19">
        <f>IF(COUNT(J233:L233)=0,"",MIN(J233:L233))</f>
        <v/>
      </c>
    </row>
    <row r="234">
      <c r="A234" s="13" t="inlineStr">
        <is>
          <t>11915813184811</t>
        </is>
      </c>
      <c r="B234" s="13" t="inlineStr">
        <is>
          <t>LENTES DE SOL MM BROWN</t>
        </is>
      </c>
      <c r="C234" s="13" t="inlineStr">
        <is>
          <t>Default Title</t>
        </is>
      </c>
      <c r="D234" s="14" t="inlineStr">
        <is>
          <t>Resin, metal</t>
        </is>
      </c>
      <c r="E234" s="15" t="n">
        <v>28</v>
      </c>
      <c r="F234" s="13" t="n"/>
      <c r="G234" s="13" t="n"/>
      <c r="H234" s="13" t="n"/>
      <c r="I234" s="15" t="n">
        <v>29</v>
      </c>
      <c r="J234" s="13" t="n"/>
      <c r="K234" s="13" t="n"/>
      <c r="L234" s="13" t="n"/>
      <c r="M234" s="16">
        <f>IF(COUNT(E234:L234)=0,"",MIN(E234:L234))</f>
        <v/>
      </c>
      <c r="N234" s="15">
        <f>IF(COUNT(E234:L234)=0,"",LOOKUP(2,1/(E234:L234&lt;&gt;""),E234:L234))</f>
        <v/>
      </c>
      <c r="O234" s="17">
        <f>IF(M234="","",ROUND(M234*RESUMEN!$B$4,0))</f>
        <v/>
      </c>
      <c r="P234" s="18">
        <f>COUNT(E234:L234)</f>
        <v/>
      </c>
      <c r="Q234" s="19">
        <f>IF(COUNT(J234:L234)=0,"",MIN(J234:L234))</f>
        <v/>
      </c>
    </row>
    <row r="235">
      <c r="A235" s="13" t="inlineStr">
        <is>
          <t>43728090185228</t>
        </is>
      </c>
      <c r="B235" s="13" t="inlineStr">
        <is>
          <t>LENTES DE SOL MM GLIMPSE BLACK</t>
        </is>
      </c>
      <c r="C235" s="13" t="inlineStr">
        <is>
          <t>REGULAR</t>
        </is>
      </c>
      <c r="D235" s="14" t="inlineStr">
        <is>
          <t>Resin, metal</t>
        </is>
      </c>
      <c r="E235" s="15" t="n">
        <v>32</v>
      </c>
      <c r="F235" s="13" t="n"/>
      <c r="G235" s="13" t="n"/>
      <c r="H235" s="15" t="n">
        <v>32</v>
      </c>
      <c r="I235" s="13" t="n"/>
      <c r="J235" s="13" t="n"/>
      <c r="K235" s="15" t="n">
        <v>32</v>
      </c>
      <c r="L235" s="13" t="n"/>
      <c r="M235" s="16">
        <f>IF(COUNT(E235:L235)=0,"",MIN(E235:L235))</f>
        <v/>
      </c>
      <c r="N235" s="15">
        <f>IF(COUNT(E235:L235)=0,"",LOOKUP(2,1/(E235:L235&lt;&gt;""),E235:L235))</f>
        <v/>
      </c>
      <c r="O235" s="17">
        <f>IF(M235="","",ROUND(M235*RESUMEN!$B$4,0))</f>
        <v/>
      </c>
      <c r="P235" s="18">
        <f>COUNT(E235:L235)</f>
        <v/>
      </c>
      <c r="Q235" s="19">
        <f>IF(COUNT(J235:L235)=0,"",MIN(J235:L235))</f>
        <v/>
      </c>
    </row>
    <row r="236">
      <c r="A236" s="13" t="inlineStr">
        <is>
          <t>81003591072449</t>
        </is>
      </c>
      <c r="B236" s="13" t="inlineStr">
        <is>
          <t>LENTES FIRST CRYSTALF F</t>
        </is>
      </c>
      <c r="C236" s="13" t="inlineStr">
        <is>
          <t>Default Title</t>
        </is>
      </c>
      <c r="D236" s="14" t="inlineStr"/>
      <c r="E236" s="13" t="n"/>
      <c r="F236" s="13" t="n"/>
      <c r="G236" s="13" t="n"/>
      <c r="H236" s="13" t="n"/>
      <c r="I236" s="13" t="n"/>
      <c r="J236" s="15" t="n">
        <v>11</v>
      </c>
      <c r="K236" s="13" t="n"/>
      <c r="L236" s="13" t="n"/>
      <c r="M236" s="16">
        <f>IF(COUNT(E236:L236)=0,"",MIN(E236:L236))</f>
        <v/>
      </c>
      <c r="N236" s="15">
        <f>IF(COUNT(E236:L236)=0,"",LOOKUP(2,1/(E236:L236&lt;&gt;""),E236:L236))</f>
        <v/>
      </c>
      <c r="O236" s="17">
        <f>IF(M236="","",ROUND(M236*RESUMEN!$B$4,0))</f>
        <v/>
      </c>
      <c r="P236" s="18">
        <f>COUNT(E236:L236)</f>
        <v/>
      </c>
      <c r="Q236" s="19">
        <f>IF(COUNT(J236:L236)=0,"",MIN(J236:L236))</f>
        <v/>
      </c>
    </row>
    <row r="237">
      <c r="A237" s="13" t="inlineStr">
        <is>
          <t>39252671462093</t>
        </is>
      </c>
      <c r="B237" s="13" t="inlineStr">
        <is>
          <t>LENTES GC 1SN BLACK</t>
        </is>
      </c>
      <c r="C237" s="13" t="inlineStr">
        <is>
          <t>Default Title</t>
        </is>
      </c>
      <c r="D237" s="14" t="inlineStr"/>
      <c r="E237" s="13" t="n"/>
      <c r="F237" s="15" t="n">
        <v>36</v>
      </c>
      <c r="G237" s="13" t="n"/>
      <c r="H237" s="13" t="n"/>
      <c r="I237" s="13" t="n"/>
      <c r="J237" s="13" t="n"/>
      <c r="K237" s="13" t="n"/>
      <c r="L237" s="13" t="n"/>
      <c r="M237" s="16">
        <f>IF(COUNT(E237:L237)=0,"",MIN(E237:L237))</f>
        <v/>
      </c>
      <c r="N237" s="15">
        <f>IF(COUNT(E237:L237)=0,"",LOOKUP(2,1/(E237:L237&lt;&gt;""),E237:L237))</f>
        <v/>
      </c>
      <c r="O237" s="17">
        <f>IF(M237="","",ROUND(M237*RESUMEN!$B$4,0))</f>
        <v/>
      </c>
      <c r="P237" s="18">
        <f>COUNT(E237:L237)</f>
        <v/>
      </c>
      <c r="Q237" s="19">
        <f>IF(COUNT(J237:L237)=0,"",MIN(J237:L237))</f>
        <v/>
      </c>
    </row>
    <row r="238">
      <c r="A238" s="13" t="inlineStr">
        <is>
          <t>14401522754701</t>
        </is>
      </c>
      <c r="B238" s="13" t="inlineStr">
        <is>
          <t>LENTES GC ALL BLACK</t>
        </is>
      </c>
      <c r="C238" s="13" t="inlineStr">
        <is>
          <t>Default Title</t>
        </is>
      </c>
      <c r="D238" s="14" t="inlineStr">
        <is>
          <t>Resin, metal</t>
        </is>
      </c>
      <c r="E238" s="13" t="n"/>
      <c r="F238" s="13" t="n"/>
      <c r="G238" s="13" t="n"/>
      <c r="H238" s="15" t="n">
        <v>42</v>
      </c>
      <c r="I238" s="13" t="n"/>
      <c r="J238" s="13" t="n"/>
      <c r="K238" s="13" t="n"/>
      <c r="L238" s="13" t="n"/>
      <c r="M238" s="16">
        <f>IF(COUNT(E238:L238)=0,"",MIN(E238:L238))</f>
        <v/>
      </c>
      <c r="N238" s="15">
        <f>IF(COUNT(E238:L238)=0,"",LOOKUP(2,1/(E238:L238&lt;&gt;""),E238:L238))</f>
        <v/>
      </c>
      <c r="O238" s="17">
        <f>IF(M238="","",ROUND(M238*RESUMEN!$B$4,0))</f>
        <v/>
      </c>
      <c r="P238" s="18">
        <f>COUNT(E238:L238)</f>
        <v/>
      </c>
      <c r="Q238" s="19">
        <f>IF(COUNT(J238:L238)=0,"",MIN(J238:L238))</f>
        <v/>
      </c>
    </row>
    <row r="239">
      <c r="A239" s="13" t="inlineStr">
        <is>
          <t>14401522621933</t>
        </is>
      </c>
      <c r="B239" s="13" t="inlineStr">
        <is>
          <t>LENTES GC EYEWEAR NEW POP</t>
        </is>
      </c>
      <c r="C239" s="13" t="inlineStr">
        <is>
          <t>Default Title</t>
        </is>
      </c>
      <c r="D239" s="14" t="inlineStr">
        <is>
          <t>Resin, metal</t>
        </is>
      </c>
      <c r="E239" s="13" t="n"/>
      <c r="F239" s="13" t="n"/>
      <c r="G239" s="13" t="n"/>
      <c r="H239" s="15" t="n">
        <v>33</v>
      </c>
      <c r="I239" s="13" t="n"/>
      <c r="J239" s="13" t="n"/>
      <c r="K239" s="13" t="n"/>
      <c r="L239" s="13" t="n"/>
      <c r="M239" s="16">
        <f>IF(COUNT(E239:L239)=0,"",MIN(E239:L239))</f>
        <v/>
      </c>
      <c r="N239" s="15">
        <f>IF(COUNT(E239:L239)=0,"",LOOKUP(2,1/(E239:L239&lt;&gt;""),E239:L239))</f>
        <v/>
      </c>
      <c r="O239" s="17">
        <f>IF(M239="","",ROUND(M239*RESUMEN!$B$4,0))</f>
        <v/>
      </c>
      <c r="P239" s="18">
        <f>COUNT(E239:L239)</f>
        <v/>
      </c>
      <c r="Q239" s="19">
        <f>IF(COUNT(J239:L239)=0,"",MIN(J239:L239))</f>
        <v/>
      </c>
    </row>
    <row r="240">
      <c r="A240" s="13" t="inlineStr">
        <is>
          <t>11915826071979</t>
        </is>
      </c>
      <c r="B240" s="13" t="inlineStr">
        <is>
          <t>LENTES LV EVIDENCE</t>
        </is>
      </c>
      <c r="C240" s="13" t="inlineStr">
        <is>
          <t>HIGH QUALITY</t>
        </is>
      </c>
      <c r="D240" s="14" t="inlineStr">
        <is>
          <t>Injection molding,</t>
        </is>
      </c>
      <c r="E240" s="15" t="n">
        <v>9</v>
      </c>
      <c r="F240" s="13" t="n"/>
      <c r="G240" s="15" t="n">
        <v>9</v>
      </c>
      <c r="H240" s="13" t="n"/>
      <c r="I240" s="15" t="n">
        <v>9</v>
      </c>
      <c r="J240" s="13" t="n"/>
      <c r="K240" s="15" t="n">
        <v>9</v>
      </c>
      <c r="L240" s="13" t="n"/>
      <c r="M240" s="16">
        <f>IF(COUNT(E240:L240)=0,"",MIN(E240:L240))</f>
        <v/>
      </c>
      <c r="N240" s="15">
        <f>IF(COUNT(E240:L240)=0,"",LOOKUP(2,1/(E240:L240&lt;&gt;""),E240:L240))</f>
        <v/>
      </c>
      <c r="O240" s="17">
        <f>IF(M240="","",ROUND(M240*RESUMEN!$B$4,0))</f>
        <v/>
      </c>
      <c r="P240" s="18">
        <f>COUNT(E240:L240)</f>
        <v/>
      </c>
      <c r="Q240" s="19">
        <f>IF(COUNT(J240:L240)=0,"",MIN(J240:L240))</f>
        <v/>
      </c>
    </row>
    <row r="241">
      <c r="A241" s="13" t="inlineStr">
        <is>
          <t>38332092017357</t>
        </is>
      </c>
      <c r="B241" s="13" t="inlineStr">
        <is>
          <t>LENTES LV MILIONAIRES SQUARE</t>
        </is>
      </c>
      <c r="C241" s="13" t="inlineStr">
        <is>
          <t>Default Title</t>
        </is>
      </c>
      <c r="D241" s="14" t="inlineStr">
        <is>
          <t>Injection molding,</t>
        </is>
      </c>
      <c r="E241" s="13" t="n"/>
      <c r="F241" s="13" t="n"/>
      <c r="G241" s="15" t="n">
        <v>30</v>
      </c>
      <c r="H241" s="15" t="n">
        <v>30</v>
      </c>
      <c r="I241" s="13" t="n"/>
      <c r="J241" s="15" t="n">
        <v>30</v>
      </c>
      <c r="K241" s="13" t="n"/>
      <c r="L241" s="13" t="n"/>
      <c r="M241" s="16">
        <f>IF(COUNT(E241:L241)=0,"",MIN(E241:L241))</f>
        <v/>
      </c>
      <c r="N241" s="15">
        <f>IF(COUNT(E241:L241)=0,"",LOOKUP(2,1/(E241:L241&lt;&gt;""),E241:L241))</f>
        <v/>
      </c>
      <c r="O241" s="17">
        <f>IF(M241="","",ROUND(M241*RESUMEN!$B$4,0))</f>
        <v/>
      </c>
      <c r="P241" s="18">
        <f>COUNT(E241:L241)</f>
        <v/>
      </c>
      <c r="Q241" s="19">
        <f>IF(COUNT(J241:L241)=0,"",MIN(J241:L241))</f>
        <v/>
      </c>
    </row>
    <row r="242">
      <c r="A242" s="13" t="inlineStr">
        <is>
          <t>43728084018412</t>
        </is>
      </c>
      <c r="B242" s="13" t="inlineStr">
        <is>
          <t>LENTES MM</t>
        </is>
      </c>
      <c r="C242" s="13" t="inlineStr">
        <is>
          <t>Negro</t>
        </is>
      </c>
      <c r="D242" s="14" t="inlineStr">
        <is>
          <t>Resin, sheet,metal</t>
        </is>
      </c>
      <c r="E242" s="13" t="n"/>
      <c r="F242" s="15" t="n">
        <v>39</v>
      </c>
      <c r="G242" s="15" t="n">
        <v>39</v>
      </c>
      <c r="H242" s="13" t="n"/>
      <c r="I242" s="13" t="n"/>
      <c r="J242" s="13" t="n"/>
      <c r="K242" s="13" t="n"/>
      <c r="L242" s="13" t="n"/>
      <c r="M242" s="16">
        <f>IF(COUNT(E242:L242)=0,"",MIN(E242:L242))</f>
        <v/>
      </c>
      <c r="N242" s="15">
        <f>IF(COUNT(E242:L242)=0,"",LOOKUP(2,1/(E242:L242&lt;&gt;""),E242:L242))</f>
        <v/>
      </c>
      <c r="O242" s="17">
        <f>IF(M242="","",ROUND(M242*RESUMEN!$B$4,0))</f>
        <v/>
      </c>
      <c r="P242" s="18">
        <f>COUNT(E242:L242)</f>
        <v/>
      </c>
      <c r="Q242" s="19">
        <f>IF(COUNT(J242:L242)=0,"",MIN(J242:L242))</f>
        <v/>
      </c>
    </row>
    <row r="243">
      <c r="A243" s="13" t="inlineStr">
        <is>
          <t>11915820343339</t>
        </is>
      </c>
      <c r="B243" s="13" t="inlineStr">
        <is>
          <t>LENTES MM HAVANA</t>
        </is>
      </c>
      <c r="C243" s="13" t="inlineStr">
        <is>
          <t>Default Title</t>
        </is>
      </c>
      <c r="D243" s="14" t="inlineStr">
        <is>
          <t>Injection molding,</t>
        </is>
      </c>
      <c r="E243" s="15" t="n">
        <v>27</v>
      </c>
      <c r="F243" s="15" t="n">
        <v>27</v>
      </c>
      <c r="G243" s="15" t="n">
        <v>27</v>
      </c>
      <c r="H243" s="13" t="n"/>
      <c r="I243" s="13" t="n"/>
      <c r="J243" s="13" t="n"/>
      <c r="K243" s="15" t="n">
        <v>27</v>
      </c>
      <c r="L243" s="13" t="n"/>
      <c r="M243" s="16">
        <f>IF(COUNT(E243:L243)=0,"",MIN(E243:L243))</f>
        <v/>
      </c>
      <c r="N243" s="15">
        <f>IF(COUNT(E243:L243)=0,"",LOOKUP(2,1/(E243:L243&lt;&gt;""),E243:L243))</f>
        <v/>
      </c>
      <c r="O243" s="17">
        <f>IF(M243="","",ROUND(M243*RESUMEN!$B$4,0))</f>
        <v/>
      </c>
      <c r="P243" s="18">
        <f>COUNT(E243:L243)</f>
        <v/>
      </c>
      <c r="Q243" s="19">
        <f>IF(COUNT(J243:L243)=0,"",MIN(J243:L243))</f>
        <v/>
      </c>
    </row>
    <row r="244">
      <c r="A244" s="13" t="inlineStr">
        <is>
          <t>33644562004557</t>
        </is>
      </c>
      <c r="B244" s="13" t="inlineStr">
        <is>
          <t>LENTES MM OVAL BLACK</t>
        </is>
      </c>
      <c r="C244" s="13" t="inlineStr">
        <is>
          <t>Default Title</t>
        </is>
      </c>
      <c r="D244" s="14" t="inlineStr"/>
      <c r="E244" s="13" t="n"/>
      <c r="F244" s="13" t="n"/>
      <c r="G244" s="13" t="n"/>
      <c r="H244" s="13" t="n"/>
      <c r="I244" s="13" t="n"/>
      <c r="J244" s="15" t="n">
        <v>28</v>
      </c>
      <c r="K244" s="13" t="n"/>
      <c r="L244" s="13" t="n"/>
      <c r="M244" s="16">
        <f>IF(COUNT(E244:L244)=0,"",MIN(E244:L244))</f>
        <v/>
      </c>
      <c r="N244" s="15">
        <f>IF(COUNT(E244:L244)=0,"",LOOKUP(2,1/(E244:L244&lt;&gt;""),E244:L244))</f>
        <v/>
      </c>
      <c r="O244" s="17">
        <f>IF(M244="","",ROUND(M244*RESUMEN!$B$4,0))</f>
        <v/>
      </c>
      <c r="P244" s="18">
        <f>COUNT(E244:L244)</f>
        <v/>
      </c>
      <c r="Q244" s="19">
        <f>IF(COUNT(J244:L244)=0,"",MIN(J244:L244))</f>
        <v/>
      </c>
    </row>
    <row r="245">
      <c r="A245" s="13" t="inlineStr">
        <is>
          <t>64e78dfc1baee</t>
        </is>
      </c>
      <c r="B245" s="13" t="inlineStr">
        <is>
          <t>LENTES PR MEN</t>
        </is>
      </c>
      <c r="C245" s="13" t="inlineStr">
        <is>
          <t>Default Title</t>
        </is>
      </c>
      <c r="D245" s="14" t="inlineStr">
        <is>
          <t>Resin, metal</t>
        </is>
      </c>
      <c r="E245" s="15" t="n">
        <v>11.5</v>
      </c>
      <c r="F245" s="13" t="n"/>
      <c r="G245" s="15" t="n">
        <v>11.5</v>
      </c>
      <c r="H245" s="13" t="n"/>
      <c r="I245" s="15" t="n">
        <v>11.5</v>
      </c>
      <c r="J245" s="13" t="n"/>
      <c r="K245" s="13" t="n"/>
      <c r="L245" s="13" t="n"/>
      <c r="M245" s="16">
        <f>IF(COUNT(E245:L245)=0,"",MIN(E245:L245))</f>
        <v/>
      </c>
      <c r="N245" s="15">
        <f>IF(COUNT(E245:L245)=0,"",LOOKUP(2,1/(E245:L245&lt;&gt;""),E245:L245))</f>
        <v/>
      </c>
      <c r="O245" s="17">
        <f>IF(M245="","",ROUND(M245*RESUMEN!$B$4,0))</f>
        <v/>
      </c>
      <c r="P245" s="18">
        <f>COUNT(E245:L245)</f>
        <v/>
      </c>
      <c r="Q245" s="19">
        <f>IF(COUNT(J245:L245)=0,"",MIN(J245:L245))</f>
        <v/>
      </c>
    </row>
    <row r="246">
      <c r="A246" s="13" t="inlineStr">
        <is>
          <t>6701d26f13b86</t>
        </is>
      </c>
      <c r="B246" s="13" t="inlineStr">
        <is>
          <t>LENTES PR OVAL BLACK</t>
        </is>
      </c>
      <c r="C246" s="13" t="inlineStr">
        <is>
          <t>HIGH QUALITY</t>
        </is>
      </c>
      <c r="D246" s="14" t="inlineStr">
        <is>
          <t>Injection molding,</t>
        </is>
      </c>
      <c r="E246" s="13" t="n"/>
      <c r="F246" s="15" t="n">
        <v>28</v>
      </c>
      <c r="G246" s="13" t="n"/>
      <c r="H246" s="15" t="n">
        <v>28</v>
      </c>
      <c r="I246" s="15" t="n">
        <v>28</v>
      </c>
      <c r="J246" s="13" t="n"/>
      <c r="K246" s="13" t="n"/>
      <c r="L246" s="13" t="n"/>
      <c r="M246" s="16">
        <f>IF(COUNT(E246:L246)=0,"",MIN(E246:L246))</f>
        <v/>
      </c>
      <c r="N246" s="15">
        <f>IF(COUNT(E246:L246)=0,"",LOOKUP(2,1/(E246:L246&lt;&gt;""),E246:L246))</f>
        <v/>
      </c>
      <c r="O246" s="17">
        <f>IF(M246="","",ROUND(M246*RESUMEN!$B$4,0))</f>
        <v/>
      </c>
      <c r="P246" s="18">
        <f>COUNT(E246:L246)</f>
        <v/>
      </c>
      <c r="Q246" s="19">
        <f>IF(COUNT(J246:L246)=0,"",MIN(J246:L246))</f>
        <v/>
      </c>
    </row>
    <row r="247">
      <c r="A247" s="13" t="inlineStr">
        <is>
          <t>43026599575692</t>
        </is>
      </c>
      <c r="B247" s="13" t="inlineStr">
        <is>
          <t>LENTES YSL</t>
        </is>
      </c>
      <c r="C247" s="13" t="inlineStr">
        <is>
          <t>XGQL3016</t>
        </is>
      </c>
      <c r="D247" s="14" t="inlineStr">
        <is>
          <t>Injection molding,</t>
        </is>
      </c>
      <c r="E247" s="13" t="n"/>
      <c r="F247" s="13" t="n"/>
      <c r="G247" s="15" t="n">
        <v>8</v>
      </c>
      <c r="H247" s="15" t="n">
        <v>8</v>
      </c>
      <c r="I247" s="15" t="n">
        <v>8</v>
      </c>
      <c r="J247" s="13" t="n"/>
      <c r="K247" s="13" t="n"/>
      <c r="L247" s="15" t="n">
        <v>8</v>
      </c>
      <c r="M247" s="16">
        <f>IF(COUNT(E247:L247)=0,"",MIN(E247:L247))</f>
        <v/>
      </c>
      <c r="N247" s="15">
        <f>IF(COUNT(E247:L247)=0,"",LOOKUP(2,1/(E247:L247&lt;&gt;""),E247:L247))</f>
        <v/>
      </c>
      <c r="O247" s="17">
        <f>IF(M247="","",ROUND(M247*RESUMEN!$B$4,0))</f>
        <v/>
      </c>
      <c r="P247" s="18">
        <f>COUNT(E247:L247)</f>
        <v/>
      </c>
      <c r="Q247" s="19">
        <f>IF(COUNT(J247:L247)=0,"",MIN(J247:L247))</f>
        <v/>
      </c>
    </row>
    <row r="248">
      <c r="A248" s="13" t="inlineStr">
        <is>
          <t>43026586435724</t>
        </is>
      </c>
      <c r="B248" s="13" t="inlineStr">
        <is>
          <t>LENTES YSL SQUARE</t>
        </is>
      </c>
      <c r="C248" s="13" t="inlineStr">
        <is>
          <t>XGQL119 black</t>
        </is>
      </c>
      <c r="D248" s="14" t="inlineStr">
        <is>
          <t>Injection molding,</t>
        </is>
      </c>
      <c r="E248" s="13" t="n"/>
      <c r="F248" s="13" t="n"/>
      <c r="G248" s="15" t="n">
        <v>8</v>
      </c>
      <c r="H248" s="15" t="n">
        <v>8</v>
      </c>
      <c r="I248" s="15" t="n">
        <v>8</v>
      </c>
      <c r="J248" s="15" t="n">
        <v>8</v>
      </c>
      <c r="K248" s="15" t="n">
        <v>8</v>
      </c>
      <c r="L248" s="15" t="n">
        <v>8</v>
      </c>
      <c r="M248" s="16">
        <f>IF(COUNT(E248:L248)=0,"",MIN(E248:L248))</f>
        <v/>
      </c>
      <c r="N248" s="15">
        <f>IF(COUNT(E248:L248)=0,"",LOOKUP(2,1/(E248:L248&lt;&gt;""),E248:L248))</f>
        <v/>
      </c>
      <c r="O248" s="17">
        <f>IF(M248="","",ROUND(M248*RESUMEN!$B$4,0))</f>
        <v/>
      </c>
      <c r="P248" s="18">
        <f>COUNT(E248:L248)</f>
        <v/>
      </c>
      <c r="Q248" s="19">
        <f>IF(COUNT(J248:L248)=0,"",MIN(J248:L248))</f>
        <v/>
      </c>
    </row>
    <row r="249">
      <c r="A249" s="13" t="inlineStr">
        <is>
          <t>71092951015341</t>
        </is>
      </c>
      <c r="B249" s="13" t="inlineStr">
        <is>
          <t>MOCHILA MM CANVAS</t>
        </is>
      </c>
      <c r="C249" s="13" t="inlineStr">
        <is>
          <t>XGH505713 21cm</t>
        </is>
      </c>
      <c r="D249" s="14" t="inlineStr">
        <is>
          <t>Microfiber leather</t>
        </is>
      </c>
      <c r="E249" s="13" t="n"/>
      <c r="F249" s="13" t="n"/>
      <c r="G249" s="13" t="n"/>
      <c r="H249" s="15" t="n">
        <v>68</v>
      </c>
      <c r="I249" s="13" t="n"/>
      <c r="J249" s="15" t="n">
        <v>68</v>
      </c>
      <c r="K249" s="13" t="n"/>
      <c r="L249" s="15" t="n">
        <v>68</v>
      </c>
      <c r="M249" s="16">
        <f>IF(COUNT(E249:L249)=0,"",MIN(E249:L249))</f>
        <v/>
      </c>
      <c r="N249" s="15">
        <f>IF(COUNT(E249:L249)=0,"",LOOKUP(2,1/(E249:L249&lt;&gt;""),E249:L249))</f>
        <v/>
      </c>
      <c r="O249" s="17">
        <f>IF(M249="","",ROUND(M249*RESUMEN!$B$4,0))</f>
        <v/>
      </c>
      <c r="P249" s="18">
        <f>COUNT(E249:L249)</f>
        <v/>
      </c>
      <c r="Q249" s="19">
        <f>IF(COUNT(J249:L249)=0,"",MIN(J249:L249))</f>
        <v/>
      </c>
    </row>
    <row r="250">
      <c r="A250" s="13" t="inlineStr">
        <is>
          <t>14401523316845</t>
        </is>
      </c>
      <c r="B250" s="13" t="inlineStr">
        <is>
          <t>MOCHILA PR RE-NYLON</t>
        </is>
      </c>
      <c r="C250" s="13" t="inlineStr">
        <is>
          <t>Default Title</t>
        </is>
      </c>
      <c r="D250" s="14" t="inlineStr">
        <is>
          <t>Nylon fabric</t>
        </is>
      </c>
      <c r="E250" s="13" t="n"/>
      <c r="F250" s="13" t="n"/>
      <c r="G250" s="13" t="n"/>
      <c r="H250" s="15" t="n">
        <v>53</v>
      </c>
      <c r="I250" s="13" t="n"/>
      <c r="J250" s="13" t="n"/>
      <c r="K250" s="13" t="n"/>
      <c r="L250" s="13" t="n"/>
      <c r="M250" s="16">
        <f>IF(COUNT(E250:L250)=0,"",MIN(E250:L250))</f>
        <v/>
      </c>
      <c r="N250" s="15">
        <f>IF(COUNT(E250:L250)=0,"",LOOKUP(2,1/(E250:L250&lt;&gt;""),E250:L250))</f>
        <v/>
      </c>
      <c r="O250" s="17">
        <f>IF(M250="","",ROUND(M250*RESUMEN!$B$4,0))</f>
        <v/>
      </c>
      <c r="P250" s="18">
        <f>COUNT(E250:L250)</f>
        <v/>
      </c>
      <c r="Q250" s="19">
        <f>IF(COUNT(J250:L250)=0,"",MIN(J250:L250))</f>
        <v/>
      </c>
    </row>
    <row r="251">
      <c r="A251" s="13" t="inlineStr">
        <is>
          <t>64e78ed47e099</t>
        </is>
      </c>
      <c r="B251" s="13" t="inlineStr">
        <is>
          <t>PULSERA BLOSSOM STAR ROSEGOLD</t>
        </is>
      </c>
      <c r="C251" s="13" t="inlineStr">
        <is>
          <t>16cm con extensi</t>
        </is>
      </c>
      <c r="D251" s="14" t="inlineStr">
        <is>
          <t>stainless steel</t>
        </is>
      </c>
      <c r="E251" s="15" t="n">
        <v>3.98</v>
      </c>
      <c r="F251" s="13" t="n"/>
      <c r="G251" s="15" t="n">
        <v>3.98</v>
      </c>
      <c r="H251" s="13" t="n"/>
      <c r="I251" s="13" t="n"/>
      <c r="J251" s="13" t="n"/>
      <c r="K251" s="13" t="n"/>
      <c r="L251" s="15" t="n">
        <v>3.98</v>
      </c>
      <c r="M251" s="16">
        <f>IF(COUNT(E251:L251)=0,"",MIN(E251:L251))</f>
        <v/>
      </c>
      <c r="N251" s="15">
        <f>IF(COUNT(E251:L251)=0,"",LOOKUP(2,1/(E251:L251&lt;&gt;""),E251:L251))</f>
        <v/>
      </c>
      <c r="O251" s="17">
        <f>IF(M251="","",ROUND(M251*RESUMEN!$B$4,0))</f>
        <v/>
      </c>
      <c r="P251" s="18">
        <f>COUNT(E251:L251)</f>
        <v/>
      </c>
      <c r="Q251" s="19">
        <f>IF(COUNT(J251:L251)=0,"",MIN(J251:L251))</f>
        <v/>
      </c>
    </row>
    <row r="252">
      <c r="A252" s="13" t="inlineStr">
        <is>
          <t>15711172766221</t>
        </is>
      </c>
      <c r="B252" s="13" t="inlineStr">
        <is>
          <t>PULSERA C GOLD</t>
        </is>
      </c>
      <c r="C252" s="13" t="inlineStr">
        <is>
          <t>Default Title</t>
        </is>
      </c>
      <c r="D252" s="14" t="inlineStr">
        <is>
          <t>copper</t>
        </is>
      </c>
      <c r="E252" s="13" t="n"/>
      <c r="F252" s="15" t="n">
        <v>8.800000000000001</v>
      </c>
      <c r="G252" s="13" t="n"/>
      <c r="H252" s="15" t="n">
        <v>8.800000000000001</v>
      </c>
      <c r="I252" s="13" t="n"/>
      <c r="J252" s="13" t="n"/>
      <c r="K252" s="15" t="n">
        <v>8.800000000000001</v>
      </c>
      <c r="L252" s="13" t="n"/>
      <c r="M252" s="16">
        <f>IF(COUNT(E252:L252)=0,"",MIN(E252:L252))</f>
        <v/>
      </c>
      <c r="N252" s="15">
        <f>IF(COUNT(E252:L252)=0,"",LOOKUP(2,1/(E252:L252&lt;&gt;""),E252:L252))</f>
        <v/>
      </c>
      <c r="O252" s="17">
        <f>IF(M252="","",ROUND(M252*RESUMEN!$B$4,0))</f>
        <v/>
      </c>
      <c r="P252" s="18">
        <f>COUNT(E252:L252)</f>
        <v/>
      </c>
      <c r="Q252" s="19">
        <f>IF(COUNT(J252:L252)=0,"",MIN(J252:L252))</f>
        <v/>
      </c>
    </row>
    <row r="253">
      <c r="A253" s="13" t="inlineStr">
        <is>
          <t>665bc135c2aa8</t>
        </is>
      </c>
      <c r="B253" s="13" t="inlineStr">
        <is>
          <t>PULSERA C KNOT SILVER</t>
        </is>
      </c>
      <c r="C253" s="13" t="inlineStr">
        <is>
          <t>AJUSTABLE</t>
        </is>
      </c>
      <c r="D253" s="14" t="inlineStr">
        <is>
          <t>copper</t>
        </is>
      </c>
      <c r="E253" s="13" t="n"/>
      <c r="F253" s="13" t="n"/>
      <c r="G253" s="13" t="n"/>
      <c r="H253" s="13" t="n"/>
      <c r="I253" s="13" t="n"/>
      <c r="J253" s="13" t="n"/>
      <c r="K253" s="15" t="n">
        <v>10.8</v>
      </c>
      <c r="L253" s="13" t="n"/>
      <c r="M253" s="16">
        <f>IF(COUNT(E253:L253)=0,"",MIN(E253:L253))</f>
        <v/>
      </c>
      <c r="N253" s="15">
        <f>IF(COUNT(E253:L253)=0,"",LOOKUP(2,1/(E253:L253&lt;&gt;""),E253:L253))</f>
        <v/>
      </c>
      <c r="O253" s="17">
        <f>IF(M253="","",ROUND(M253*RESUMEN!$B$4,0))</f>
        <v/>
      </c>
      <c r="P253" s="18">
        <f>COUNT(E253:L253)</f>
        <v/>
      </c>
      <c r="Q253" s="19">
        <f>IF(COUNT(J253:L253)=0,"",MIN(J253:L253))</f>
        <v/>
      </c>
    </row>
    <row r="254">
      <c r="A254" s="13" t="inlineStr">
        <is>
          <t>15711172845805</t>
        </is>
      </c>
      <c r="B254" s="13" t="inlineStr">
        <is>
          <t>PULSERA C SILVER</t>
        </is>
      </c>
      <c r="C254" s="13" t="inlineStr">
        <is>
          <t>16 cm</t>
        </is>
      </c>
      <c r="D254" s="14" t="inlineStr">
        <is>
          <t>copper</t>
        </is>
      </c>
      <c r="E254" s="13" t="n"/>
      <c r="F254" s="13" t="n"/>
      <c r="G254" s="15" t="n">
        <v>8.800000000000001</v>
      </c>
      <c r="H254" s="13" t="n"/>
      <c r="I254" s="13" t="n"/>
      <c r="J254" s="13" t="n"/>
      <c r="K254" s="13" t="n"/>
      <c r="L254" s="13" t="n"/>
      <c r="M254" s="16">
        <f>IF(COUNT(E254:L254)=0,"",MIN(E254:L254))</f>
        <v/>
      </c>
      <c r="N254" s="15">
        <f>IF(COUNT(E254:L254)=0,"",LOOKUP(2,1/(E254:L254&lt;&gt;""),E254:L254))</f>
        <v/>
      </c>
      <c r="O254" s="17">
        <f>IF(M254="","",ROUND(M254*RESUMEN!$B$4,0))</f>
        <v/>
      </c>
      <c r="P254" s="18">
        <f>COUNT(E254:L254)</f>
        <v/>
      </c>
      <c r="Q254" s="19">
        <f>IF(COUNT(J254:L254)=0,"",MIN(J254:L254))</f>
        <v/>
      </c>
    </row>
    <row r="255">
      <c r="A255" s="13" t="inlineStr">
        <is>
          <t>71036870763532</t>
        </is>
      </c>
      <c r="B255" s="13" t="inlineStr">
        <is>
          <t>PULSERA CC COMETE</t>
        </is>
      </c>
      <c r="C255" s="13" t="inlineStr">
        <is>
          <t>16cm</t>
        </is>
      </c>
      <c r="D255" s="14" t="inlineStr">
        <is>
          <t>copper</t>
        </is>
      </c>
      <c r="E255" s="15" t="n">
        <v>9.800000000000001</v>
      </c>
      <c r="F255" s="13" t="n"/>
      <c r="G255" s="13" t="n"/>
      <c r="H255" s="13" t="n"/>
      <c r="I255" s="15" t="n">
        <v>9.800000000000001</v>
      </c>
      <c r="J255" s="13" t="n"/>
      <c r="K255" s="15" t="n">
        <v>9.800000000000001</v>
      </c>
      <c r="L255" s="13" t="n"/>
      <c r="M255" s="16">
        <f>IF(COUNT(E255:L255)=0,"",MIN(E255:L255))</f>
        <v/>
      </c>
      <c r="N255" s="15">
        <f>IF(COUNT(E255:L255)=0,"",LOOKUP(2,1/(E255:L255&lt;&gt;""),E255:L255))</f>
        <v/>
      </c>
      <c r="O255" s="17">
        <f>IF(M255="","",ROUND(M255*RESUMEN!$B$4,0))</f>
        <v/>
      </c>
      <c r="P255" s="18">
        <f>COUNT(E255:L255)</f>
        <v/>
      </c>
      <c r="Q255" s="19">
        <f>IF(COUNT(J255:L255)=0,"",MIN(J255:L255))</f>
        <v/>
      </c>
    </row>
    <row r="256">
      <c r="A256" s="13" t="inlineStr">
        <is>
          <t>646f84740b09f</t>
        </is>
      </c>
      <c r="B256" s="13" t="inlineStr">
        <is>
          <t>PULSERA COCO GOLD</t>
        </is>
      </c>
      <c r="C256" s="13" t="inlineStr">
        <is>
          <t>17cm</t>
        </is>
      </c>
      <c r="D256" s="14" t="inlineStr">
        <is>
          <t>stainless steel</t>
        </is>
      </c>
      <c r="E256" s="13" t="n"/>
      <c r="F256" s="13" t="n"/>
      <c r="G256" s="13" t="n"/>
      <c r="H256" s="13" t="n"/>
      <c r="I256" s="13" t="n"/>
      <c r="J256" s="13" t="n"/>
      <c r="K256" s="15" t="n">
        <v>14</v>
      </c>
      <c r="L256" s="13" t="n"/>
      <c r="M256" s="16">
        <f>IF(COUNT(E256:L256)=0,"",MIN(E256:L256))</f>
        <v/>
      </c>
      <c r="N256" s="15">
        <f>IF(COUNT(E256:L256)=0,"",LOOKUP(2,1/(E256:L256&lt;&gt;""),E256:L256))</f>
        <v/>
      </c>
      <c r="O256" s="17">
        <f>IF(M256="","",ROUND(M256*RESUMEN!$B$4,0))</f>
        <v/>
      </c>
      <c r="P256" s="18">
        <f>COUNT(E256:L256)</f>
        <v/>
      </c>
      <c r="Q256" s="19">
        <f>IF(COUNT(J256:L256)=0,"",MIN(J256:L256))</f>
        <v/>
      </c>
    </row>
    <row r="257">
      <c r="A257" s="13" t="inlineStr">
        <is>
          <t>646f846abc38f</t>
        </is>
      </c>
      <c r="B257" s="13" t="inlineStr">
        <is>
          <t>PULSERA COCO ROSEGOLD</t>
        </is>
      </c>
      <c r="C257" s="13" t="inlineStr">
        <is>
          <t>17cm</t>
        </is>
      </c>
      <c r="D257" s="14" t="inlineStr">
        <is>
          <t>stainless steel</t>
        </is>
      </c>
      <c r="E257" s="13" t="n"/>
      <c r="F257" s="13" t="n"/>
      <c r="G257" s="13" t="n"/>
      <c r="H257" s="15" t="n">
        <v>14</v>
      </c>
      <c r="I257" s="13" t="n"/>
      <c r="J257" s="13" t="n"/>
      <c r="K257" s="15" t="n">
        <v>14</v>
      </c>
      <c r="L257" s="13" t="n"/>
      <c r="M257" s="16">
        <f>IF(COUNT(E257:L257)=0,"",MIN(E257:L257))</f>
        <v/>
      </c>
      <c r="N257" s="15">
        <f>IF(COUNT(E257:L257)=0,"",LOOKUP(2,1/(E257:L257&lt;&gt;""),E257:L257))</f>
        <v/>
      </c>
      <c r="O257" s="17">
        <f>IF(M257="","",ROUND(M257*RESUMEN!$B$4,0))</f>
        <v/>
      </c>
      <c r="P257" s="18">
        <f>COUNT(E257:L257)</f>
        <v/>
      </c>
      <c r="Q257" s="19">
        <f>IF(COUNT(J257:L257)=0,"",MIN(J257:L257))</f>
        <v/>
      </c>
    </row>
    <row r="258">
      <c r="A258" s="13" t="inlineStr">
        <is>
          <t>646f850714a60</t>
        </is>
      </c>
      <c r="B258" s="13" t="inlineStr">
        <is>
          <t>PULSERA COCO SILVER</t>
        </is>
      </c>
      <c r="C258" s="13" t="inlineStr">
        <is>
          <t>17cm</t>
        </is>
      </c>
      <c r="D258" s="14" t="inlineStr">
        <is>
          <t>stainless steel</t>
        </is>
      </c>
      <c r="E258" s="13" t="n"/>
      <c r="F258" s="13" t="n"/>
      <c r="G258" s="15" t="n">
        <v>14</v>
      </c>
      <c r="H258" s="13" t="n"/>
      <c r="I258" s="13" t="n"/>
      <c r="J258" s="13" t="n"/>
      <c r="K258" s="13" t="n"/>
      <c r="L258" s="13" t="n"/>
      <c r="M258" s="16">
        <f>IF(COUNT(E258:L258)=0,"",MIN(E258:L258))</f>
        <v/>
      </c>
      <c r="N258" s="15">
        <f>IF(COUNT(E258:L258)=0,"",LOOKUP(2,1/(E258:L258&lt;&gt;""),E258:L258))</f>
        <v/>
      </c>
      <c r="O258" s="17">
        <f>IF(M258="","",ROUND(M258*RESUMEN!$B$4,0))</f>
        <v/>
      </c>
      <c r="P258" s="18">
        <f>COUNT(E258:L258)</f>
        <v/>
      </c>
      <c r="Q258" s="19">
        <f>IF(COUNT(J258:L258)=0,"",MIN(J258:L258))</f>
        <v/>
      </c>
    </row>
    <row r="259">
      <c r="A259" s="13" t="inlineStr">
        <is>
          <t>98043701041197</t>
        </is>
      </c>
      <c r="B259" s="13" t="inlineStr">
        <is>
          <t>PULSERA DE TENNIS ESSENTIAL GOLD</t>
        </is>
      </c>
      <c r="C259" s="13" t="inlineStr">
        <is>
          <t>16.5</t>
        </is>
      </c>
      <c r="D259" s="14" t="inlineStr"/>
      <c r="E259" s="13" t="n"/>
      <c r="F259" s="13" t="n"/>
      <c r="G259" s="13" t="n"/>
      <c r="H259" s="13" t="n"/>
      <c r="I259" s="15" t="n">
        <v>4.98</v>
      </c>
      <c r="J259" s="13" t="n"/>
      <c r="K259" s="13" t="n"/>
      <c r="L259" s="13" t="n"/>
      <c r="M259" s="16">
        <f>IF(COUNT(E259:L259)=0,"",MIN(E259:L259))</f>
        <v/>
      </c>
      <c r="N259" s="15">
        <f>IF(COUNT(E259:L259)=0,"",LOOKUP(2,1/(E259:L259&lt;&gt;""),E259:L259))</f>
        <v/>
      </c>
      <c r="O259" s="17">
        <f>IF(M259="","",ROUND(M259*RESUMEN!$B$4,0))</f>
        <v/>
      </c>
      <c r="P259" s="18">
        <f>COUNT(E259:L259)</f>
        <v/>
      </c>
      <c r="Q259" s="19">
        <f>IF(COUNT(J259:L259)=0,"",MIN(J259:L259))</f>
        <v/>
      </c>
    </row>
    <row r="260">
      <c r="A260" s="13" t="inlineStr">
        <is>
          <t>98043701173965</t>
        </is>
      </c>
      <c r="B260" s="13" t="inlineStr">
        <is>
          <t>PULSERA DE TENNIS ESSENTIAL GOLD</t>
        </is>
      </c>
      <c r="C260" s="13" t="inlineStr">
        <is>
          <t>17.5</t>
        </is>
      </c>
      <c r="D260" s="14" t="inlineStr"/>
      <c r="E260" s="13" t="n"/>
      <c r="F260" s="13" t="n"/>
      <c r="G260" s="13" t="n"/>
      <c r="H260" s="13" t="n"/>
      <c r="I260" s="15" t="n">
        <v>4.98</v>
      </c>
      <c r="J260" s="13" t="n"/>
      <c r="K260" s="13" t="n"/>
      <c r="L260" s="13" t="n"/>
      <c r="M260" s="16">
        <f>IF(COUNT(E260:L260)=0,"",MIN(E260:L260))</f>
        <v/>
      </c>
      <c r="N260" s="15">
        <f>IF(COUNT(E260:L260)=0,"",LOOKUP(2,1/(E260:L260&lt;&gt;""),E260:L260))</f>
        <v/>
      </c>
      <c r="O260" s="17">
        <f>IF(M260="","",ROUND(M260*RESUMEN!$B$4,0))</f>
        <v/>
      </c>
      <c r="P260" s="18">
        <f>COUNT(E260:L260)</f>
        <v/>
      </c>
      <c r="Q260" s="19">
        <f>IF(COUNT(J260:L260)=0,"",MIN(J260:L260))</f>
        <v/>
      </c>
    </row>
    <row r="261">
      <c r="A261" s="13" t="inlineStr">
        <is>
          <t>98043701215213</t>
        </is>
      </c>
      <c r="B261" s="13" t="inlineStr">
        <is>
          <t>PULSERA DE TENNIS ESSENTIAL SILVER</t>
        </is>
      </c>
      <c r="C261" s="13" t="inlineStr">
        <is>
          <t>16.5</t>
        </is>
      </c>
      <c r="D261" s="14" t="inlineStr"/>
      <c r="E261" s="13" t="n"/>
      <c r="F261" s="13" t="n"/>
      <c r="G261" s="13" t="n"/>
      <c r="H261" s="13" t="n"/>
      <c r="I261" s="15" t="n">
        <v>4.9</v>
      </c>
      <c r="J261" s="13" t="n"/>
      <c r="K261" s="13" t="n"/>
      <c r="L261" s="13" t="n"/>
      <c r="M261" s="16">
        <f>IF(COUNT(E261:L261)=0,"",MIN(E261:L261))</f>
        <v/>
      </c>
      <c r="N261" s="15">
        <f>IF(COUNT(E261:L261)=0,"",LOOKUP(2,1/(E261:L261&lt;&gt;""),E261:L261))</f>
        <v/>
      </c>
      <c r="O261" s="17">
        <f>IF(M261="","",ROUND(M261*RESUMEN!$B$4,0))</f>
        <v/>
      </c>
      <c r="P261" s="18">
        <f>COUNT(E261:L261)</f>
        <v/>
      </c>
      <c r="Q261" s="19">
        <f>IF(COUNT(J261:L261)=0,"",MIN(J261:L261))</f>
        <v/>
      </c>
    </row>
    <row r="262">
      <c r="A262" s="13" t="inlineStr">
        <is>
          <t>98043701347981</t>
        </is>
      </c>
      <c r="B262" s="13" t="inlineStr">
        <is>
          <t>PULSERA DE TENNIS ESSENTIAL SILVER</t>
        </is>
      </c>
      <c r="C262" s="13" t="inlineStr">
        <is>
          <t>17.5</t>
        </is>
      </c>
      <c r="D262" s="14" t="inlineStr"/>
      <c r="E262" s="13" t="n"/>
      <c r="F262" s="13" t="n"/>
      <c r="G262" s="13" t="n"/>
      <c r="H262" s="13" t="n"/>
      <c r="I262" s="15" t="n">
        <v>4.98</v>
      </c>
      <c r="J262" s="13" t="n"/>
      <c r="K262" s="13" t="n"/>
      <c r="L262" s="13" t="n"/>
      <c r="M262" s="16">
        <f>IF(COUNT(E262:L262)=0,"",MIN(E262:L262))</f>
        <v/>
      </c>
      <c r="N262" s="15">
        <f>IF(COUNT(E262:L262)=0,"",LOOKUP(2,1/(E262:L262&lt;&gt;""),E262:L262))</f>
        <v/>
      </c>
      <c r="O262" s="17">
        <f>IF(M262="","",ROUND(M262*RESUMEN!$B$4,0))</f>
        <v/>
      </c>
      <c r="P262" s="18">
        <f>COUNT(E262:L262)</f>
        <v/>
      </c>
      <c r="Q262" s="19">
        <f>IF(COUNT(J262:L262)=0,"",MIN(J262:L262))</f>
        <v/>
      </c>
    </row>
    <row r="263">
      <c r="A263" s="13" t="inlineStr">
        <is>
          <t>665bcd30f2870</t>
        </is>
      </c>
      <c r="B263" s="13" t="inlineStr">
        <is>
          <t>PULSERA DY ESCLAVA</t>
        </is>
      </c>
      <c r="C263" s="13" t="inlineStr">
        <is>
          <t>17cm</t>
        </is>
      </c>
      <c r="D263" s="14" t="inlineStr">
        <is>
          <t>copper</t>
        </is>
      </c>
      <c r="E263" s="13" t="n"/>
      <c r="F263" s="15" t="n">
        <v>13.3</v>
      </c>
      <c r="G263" s="13" t="n"/>
      <c r="H263" s="15" t="n">
        <v>13.3</v>
      </c>
      <c r="I263" s="13" t="n"/>
      <c r="J263" s="13" t="n"/>
      <c r="K263" s="15" t="n">
        <v>13.3</v>
      </c>
      <c r="L263" s="15" t="n">
        <v>13.3</v>
      </c>
      <c r="M263" s="16">
        <f>IF(COUNT(E263:L263)=0,"",MIN(E263:L263))</f>
        <v/>
      </c>
      <c r="N263" s="15">
        <f>IF(COUNT(E263:L263)=0,"",LOOKUP(2,1/(E263:L263&lt;&gt;""),E263:L263))</f>
        <v/>
      </c>
      <c r="O263" s="17">
        <f>IF(M263="","",ROUND(M263*RESUMEN!$B$4,0))</f>
        <v/>
      </c>
      <c r="P263" s="18">
        <f>COUNT(E263:L263)</f>
        <v/>
      </c>
      <c r="Q263" s="19">
        <f>IF(COUNT(J263:L263)=0,"",MIN(J263:L263))</f>
        <v/>
      </c>
    </row>
    <row r="264">
      <c r="A264" s="13" t="inlineStr">
        <is>
          <t>64e78e112a71e</t>
        </is>
      </c>
      <c r="B264" s="13" t="inlineStr">
        <is>
          <t>PULSERA DY SILVER</t>
        </is>
      </c>
      <c r="C264" s="13" t="inlineStr">
        <is>
          <t>18cm</t>
        </is>
      </c>
      <c r="D264" s="14" t="inlineStr"/>
      <c r="E264" s="13" t="n"/>
      <c r="F264" s="13" t="n"/>
      <c r="G264" s="13" t="n"/>
      <c r="H264" s="13" t="n"/>
      <c r="I264" s="13" t="n"/>
      <c r="J264" s="15" t="n">
        <v>14.8</v>
      </c>
      <c r="K264" s="13" t="n"/>
      <c r="L264" s="13" t="n"/>
      <c r="M264" s="16">
        <f>IF(COUNT(E264:L264)=0,"",MIN(E264:L264))</f>
        <v/>
      </c>
      <c r="N264" s="15">
        <f>IF(COUNT(E264:L264)=0,"",LOOKUP(2,1/(E264:L264&lt;&gt;""),E264:L264))</f>
        <v/>
      </c>
      <c r="O264" s="17">
        <f>IF(M264="","",ROUND(M264*RESUMEN!$B$4,0))</f>
        <v/>
      </c>
      <c r="P264" s="18">
        <f>COUNT(E264:L264)</f>
        <v/>
      </c>
      <c r="Q264" s="19">
        <f>IF(COUNT(J264:L264)=0,"",MIN(J264:L264))</f>
        <v/>
      </c>
    </row>
    <row r="265">
      <c r="A265" s="13" t="inlineStr">
        <is>
          <t>668eee41bab7a</t>
        </is>
      </c>
      <c r="B265" s="13" t="inlineStr">
        <is>
          <t>PULSERA ESLABONES GOLD</t>
        </is>
      </c>
      <c r="C265" s="13" t="inlineStr">
        <is>
          <t>XGX101307 18cm g</t>
        </is>
      </c>
      <c r="D265" s="14" t="inlineStr">
        <is>
          <t>copper</t>
        </is>
      </c>
      <c r="E265" s="15" t="n">
        <v>12.8</v>
      </c>
      <c r="F265" s="13" t="n"/>
      <c r="G265" s="15" t="n">
        <v>12.8</v>
      </c>
      <c r="H265" s="13" t="n"/>
      <c r="I265" s="15" t="n">
        <v>13.8</v>
      </c>
      <c r="J265" s="13" t="n"/>
      <c r="K265" s="15" t="n">
        <v>13.8</v>
      </c>
      <c r="L265" s="15" t="n">
        <v>12.8</v>
      </c>
      <c r="M265" s="16">
        <f>IF(COUNT(E265:L265)=0,"",MIN(E265:L265))</f>
        <v/>
      </c>
      <c r="N265" s="15">
        <f>IF(COUNT(E265:L265)=0,"",LOOKUP(2,1/(E265:L265&lt;&gt;""),E265:L265))</f>
        <v/>
      </c>
      <c r="O265" s="17">
        <f>IF(M265="","",ROUND(M265*RESUMEN!$B$4,0))</f>
        <v/>
      </c>
      <c r="P265" s="18">
        <f>COUNT(E265:L265)</f>
        <v/>
      </c>
      <c r="Q265" s="19">
        <f>IF(COUNT(J265:L265)=0,"",MIN(J265:L265))</f>
        <v/>
      </c>
    </row>
    <row r="266">
      <c r="A266" s="13" t="inlineStr">
        <is>
          <t>668eee4272e66</t>
        </is>
      </c>
      <c r="B266" s="13" t="inlineStr">
        <is>
          <t>PULSERA ESLABONES GOLD</t>
        </is>
      </c>
      <c r="C266" s="13" t="inlineStr">
        <is>
          <t>XGYLB 20cm gold</t>
        </is>
      </c>
      <c r="D266" s="14" t="inlineStr">
        <is>
          <t>copper</t>
        </is>
      </c>
      <c r="E266" s="15" t="n">
        <v>15</v>
      </c>
      <c r="F266" s="13" t="n"/>
      <c r="G266" s="15" t="n">
        <v>15</v>
      </c>
      <c r="H266" s="13" t="n"/>
      <c r="I266" s="15" t="n">
        <v>15.8</v>
      </c>
      <c r="J266" s="15" t="n">
        <v>15.8</v>
      </c>
      <c r="K266" s="13" t="n"/>
      <c r="L266" s="15" t="n">
        <v>15</v>
      </c>
      <c r="M266" s="16">
        <f>IF(COUNT(E266:L266)=0,"",MIN(E266:L266))</f>
        <v/>
      </c>
      <c r="N266" s="15">
        <f>IF(COUNT(E266:L266)=0,"",LOOKUP(2,1/(E266:L266&lt;&gt;""),E266:L266))</f>
        <v/>
      </c>
      <c r="O266" s="17">
        <f>IF(M266="","",ROUND(M266*RESUMEN!$B$4,0))</f>
        <v/>
      </c>
      <c r="P266" s="18">
        <f>COUNT(E266:L266)</f>
        <v/>
      </c>
      <c r="Q266" s="19">
        <f>IF(COUNT(J266:L266)=0,"",MIN(J266:L266))</f>
        <v/>
      </c>
    </row>
    <row r="267">
      <c r="A267" s="13" t="inlineStr">
        <is>
          <t>43047195607180</t>
        </is>
      </c>
      <c r="B267" s="13" t="inlineStr">
        <is>
          <t>PULSERA ESLABONES ROSE GOLD</t>
        </is>
      </c>
      <c r="C267" s="13" t="inlineStr">
        <is>
          <t>20.5cm</t>
        </is>
      </c>
      <c r="D267" s="14" t="inlineStr">
        <is>
          <t>copper</t>
        </is>
      </c>
      <c r="E267" s="13" t="n"/>
      <c r="F267" s="15" t="n">
        <v>15.8</v>
      </c>
      <c r="G267" s="13" t="n"/>
      <c r="H267" s="13" t="n"/>
      <c r="I267" s="13" t="n"/>
      <c r="J267" s="15" t="n">
        <v>15.8</v>
      </c>
      <c r="K267" s="13" t="n"/>
      <c r="L267" s="13" t="n"/>
      <c r="M267" s="16">
        <f>IF(COUNT(E267:L267)=0,"",MIN(E267:L267))</f>
        <v/>
      </c>
      <c r="N267" s="15">
        <f>IF(COUNT(E267:L267)=0,"",LOOKUP(2,1/(E267:L267&lt;&gt;""),E267:L267))</f>
        <v/>
      </c>
      <c r="O267" s="17">
        <f>IF(M267="","",ROUND(M267*RESUMEN!$B$4,0))</f>
        <v/>
      </c>
      <c r="P267" s="18">
        <f>COUNT(E267:L267)</f>
        <v/>
      </c>
      <c r="Q267" s="19">
        <f>IF(COUNT(J267:L267)=0,"",MIN(J267:L267))</f>
        <v/>
      </c>
    </row>
    <row r="268">
      <c r="A268" s="13" t="inlineStr">
        <is>
          <t>43047195574412</t>
        </is>
      </c>
      <c r="B268" s="13" t="inlineStr">
        <is>
          <t>PULSERA ESLABONES ROSE GOLD</t>
        </is>
      </c>
      <c r="C268" s="13" t="inlineStr">
        <is>
          <t>XGX101307 18cm r</t>
        </is>
      </c>
      <c r="D268" s="14" t="inlineStr">
        <is>
          <t>copper</t>
        </is>
      </c>
      <c r="E268" s="15" t="n">
        <v>12.8</v>
      </c>
      <c r="F268" s="13" t="n"/>
      <c r="G268" s="15" t="n">
        <v>12.8</v>
      </c>
      <c r="H268" s="13" t="n"/>
      <c r="I268" s="13" t="n"/>
      <c r="J268" s="15" t="n">
        <v>13.8</v>
      </c>
      <c r="K268" s="13" t="n"/>
      <c r="L268" s="15" t="n">
        <v>12.8</v>
      </c>
      <c r="M268" s="16">
        <f>IF(COUNT(E268:L268)=0,"",MIN(E268:L268))</f>
        <v/>
      </c>
      <c r="N268" s="15">
        <f>IF(COUNT(E268:L268)=0,"",LOOKUP(2,1/(E268:L268&lt;&gt;""),E268:L268))</f>
        <v/>
      </c>
      <c r="O268" s="17">
        <f>IF(M268="","",ROUND(M268*RESUMEN!$B$4,0))</f>
        <v/>
      </c>
      <c r="P268" s="18">
        <f>COUNT(E268:L268)</f>
        <v/>
      </c>
      <c r="Q268" s="19">
        <f>IF(COUNT(J268:L268)=0,"",MIN(J268:L268))</f>
        <v/>
      </c>
    </row>
    <row r="269">
      <c r="A269" s="13" t="inlineStr">
        <is>
          <t>668eee4e0326c</t>
        </is>
      </c>
      <c r="B269" s="13" t="inlineStr">
        <is>
          <t>PULSERA ESLABONES SILVER</t>
        </is>
      </c>
      <c r="C269" s="13" t="inlineStr">
        <is>
          <t>XG 18cm silver</t>
        </is>
      </c>
      <c r="D269" s="14" t="inlineStr">
        <is>
          <t>copper</t>
        </is>
      </c>
      <c r="E269" s="15" t="n">
        <v>12.8</v>
      </c>
      <c r="F269" s="13" t="n"/>
      <c r="G269" s="15" t="n">
        <v>12.8</v>
      </c>
      <c r="H269" s="15" t="n">
        <v>13.8</v>
      </c>
      <c r="I269" s="15" t="n">
        <v>13.8</v>
      </c>
      <c r="J269" s="13" t="n"/>
      <c r="K269" s="15" t="n">
        <v>13.8</v>
      </c>
      <c r="L269" s="15" t="n">
        <v>12.8</v>
      </c>
      <c r="M269" s="16">
        <f>IF(COUNT(E269:L269)=0,"",MIN(E269:L269))</f>
        <v/>
      </c>
      <c r="N269" s="15">
        <f>IF(COUNT(E269:L269)=0,"",LOOKUP(2,1/(E269:L269&lt;&gt;""),E269:L269))</f>
        <v/>
      </c>
      <c r="O269" s="17">
        <f>IF(M269="","",ROUND(M269*RESUMEN!$B$4,0))</f>
        <v/>
      </c>
      <c r="P269" s="18">
        <f>COUNT(E269:L269)</f>
        <v/>
      </c>
      <c r="Q269" s="19">
        <f>IF(COUNT(J269:L269)=0,"",MIN(J269:L269))</f>
        <v/>
      </c>
    </row>
    <row r="270">
      <c r="A270" s="13" t="inlineStr">
        <is>
          <t>668eee4ea136d</t>
        </is>
      </c>
      <c r="B270" s="13" t="inlineStr">
        <is>
          <t>PULSERA ESLABONES SILVER</t>
        </is>
      </c>
      <c r="C270" s="13" t="inlineStr">
        <is>
          <t>XGYLB 20cm silve</t>
        </is>
      </c>
      <c r="D270" s="14" t="inlineStr">
        <is>
          <t>copper</t>
        </is>
      </c>
      <c r="E270" s="15" t="n">
        <v>15</v>
      </c>
      <c r="F270" s="13" t="n"/>
      <c r="G270" s="15" t="n">
        <v>15</v>
      </c>
      <c r="H270" s="13" t="n"/>
      <c r="I270" s="15" t="n">
        <v>15.8</v>
      </c>
      <c r="J270" s="13" t="n"/>
      <c r="K270" s="13" t="n"/>
      <c r="L270" s="15" t="n">
        <v>15</v>
      </c>
      <c r="M270" s="16">
        <f>IF(COUNT(E270:L270)=0,"",MIN(E270:L270))</f>
        <v/>
      </c>
      <c r="N270" s="15">
        <f>IF(COUNT(E270:L270)=0,"",LOOKUP(2,1/(E270:L270&lt;&gt;""),E270:L270))</f>
        <v/>
      </c>
      <c r="O270" s="17">
        <f>IF(M270="","",ROUND(M270*RESUMEN!$B$4,0))</f>
        <v/>
      </c>
      <c r="P270" s="18">
        <f>COUNT(E270:L270)</f>
        <v/>
      </c>
      <c r="Q270" s="19">
        <f>IF(COUNT(J270:L270)=0,"",MIN(J270:L270))</f>
        <v/>
      </c>
    </row>
    <row r="271">
      <c r="A271" s="13" t="inlineStr">
        <is>
          <t>71036872850956</t>
        </is>
      </c>
      <c r="B271" s="13" t="inlineStr">
        <is>
          <t>PULSERA GC INTERLOCKING</t>
        </is>
      </c>
      <c r="C271" s="13" t="inlineStr">
        <is>
          <t>18cm</t>
        </is>
      </c>
      <c r="D271" s="14" t="inlineStr">
        <is>
          <t>copper</t>
        </is>
      </c>
      <c r="E271" s="15" t="n">
        <v>12.8</v>
      </c>
      <c r="F271" s="13" t="n"/>
      <c r="G271" s="15" t="n">
        <v>12.8</v>
      </c>
      <c r="H271" s="13" t="n"/>
      <c r="I271" s="13" t="n"/>
      <c r="J271" s="13" t="n"/>
      <c r="K271" s="13" t="n"/>
      <c r="L271" s="13" t="n"/>
      <c r="M271" s="16">
        <f>IF(COUNT(E271:L271)=0,"",MIN(E271:L271))</f>
        <v/>
      </c>
      <c r="N271" s="15">
        <f>IF(COUNT(E271:L271)=0,"",LOOKUP(2,1/(E271:L271&lt;&gt;""),E271:L271))</f>
        <v/>
      </c>
      <c r="O271" s="17">
        <f>IF(M271="","",ROUND(M271*RESUMEN!$B$4,0))</f>
        <v/>
      </c>
      <c r="P271" s="18">
        <f>COUNT(E271:L271)</f>
        <v/>
      </c>
      <c r="Q271" s="19">
        <f>IF(COUNT(J271:L271)=0,"",MIN(J271:L271))</f>
        <v/>
      </c>
    </row>
    <row r="272">
      <c r="A272" s="13" t="inlineStr">
        <is>
          <t>71036872883724</t>
        </is>
      </c>
      <c r="B272" s="13" t="inlineStr">
        <is>
          <t>PULSERA GC INTERLOCKING</t>
        </is>
      </c>
      <c r="C272" s="13" t="inlineStr">
        <is>
          <t>20cm</t>
        </is>
      </c>
      <c r="D272" s="14" t="inlineStr">
        <is>
          <t>copper</t>
        </is>
      </c>
      <c r="E272" s="15" t="n">
        <v>12.8</v>
      </c>
      <c r="F272" s="15" t="n">
        <v>12.8</v>
      </c>
      <c r="G272" s="15" t="n">
        <v>12.8</v>
      </c>
      <c r="H272" s="13" t="n"/>
      <c r="I272" s="15" t="n">
        <v>12.8</v>
      </c>
      <c r="J272" s="13" t="n"/>
      <c r="K272" s="13" t="n"/>
      <c r="L272" s="13" t="n"/>
      <c r="M272" s="16">
        <f>IF(COUNT(E272:L272)=0,"",MIN(E272:L272))</f>
        <v/>
      </c>
      <c r="N272" s="15">
        <f>IF(COUNT(E272:L272)=0,"",LOOKUP(2,1/(E272:L272&lt;&gt;""),E272:L272))</f>
        <v/>
      </c>
      <c r="O272" s="17">
        <f>IF(M272="","",ROUND(M272*RESUMEN!$B$4,0))</f>
        <v/>
      </c>
      <c r="P272" s="18">
        <f>COUNT(E272:L272)</f>
        <v/>
      </c>
      <c r="Q272" s="19">
        <f>IF(COUNT(J272:L272)=0,"",MIN(J272:L272))</f>
        <v/>
      </c>
    </row>
    <row r="273">
      <c r="A273" s="13" t="inlineStr">
        <is>
          <t>82932047388428</t>
        </is>
      </c>
      <c r="B273" s="13" t="inlineStr">
        <is>
          <t>PULSERA GC LOGO</t>
        </is>
      </c>
      <c r="C273" s="13" t="inlineStr">
        <is>
          <t>20cm</t>
        </is>
      </c>
      <c r="D273" s="14" t="inlineStr">
        <is>
          <t>copper</t>
        </is>
      </c>
      <c r="E273" s="13" t="n"/>
      <c r="F273" s="13" t="n"/>
      <c r="G273" s="13" t="n"/>
      <c r="H273" s="13" t="n"/>
      <c r="I273" s="15" t="n">
        <v>12.8</v>
      </c>
      <c r="J273" s="13" t="n"/>
      <c r="K273" s="13" t="n"/>
      <c r="L273" s="13" t="n"/>
      <c r="M273" s="16">
        <f>IF(COUNT(E273:L273)=0,"",MIN(E273:L273))</f>
        <v/>
      </c>
      <c r="N273" s="15">
        <f>IF(COUNT(E273:L273)=0,"",LOOKUP(2,1/(E273:L273&lt;&gt;""),E273:L273))</f>
        <v/>
      </c>
      <c r="O273" s="17">
        <f>IF(M273="","",ROUND(M273*RESUMEN!$B$4,0))</f>
        <v/>
      </c>
      <c r="P273" s="18">
        <f>COUNT(E273:L273)</f>
        <v/>
      </c>
      <c r="Q273" s="19">
        <f>IF(COUNT(J273:L273)=0,"",MIN(J273:L273))</f>
        <v/>
      </c>
    </row>
    <row r="274">
      <c r="A274" s="13" t="inlineStr">
        <is>
          <t>43267331015245</t>
        </is>
      </c>
      <c r="B274" s="13" t="inlineStr">
        <is>
          <t>PULSERA KNOT GOLD</t>
        </is>
      </c>
      <c r="C274" s="13" t="inlineStr">
        <is>
          <t>16CM</t>
        </is>
      </c>
      <c r="D274" s="14" t="inlineStr"/>
      <c r="E274" s="13" t="n"/>
      <c r="F274" s="13" t="n"/>
      <c r="G274" s="13" t="n"/>
      <c r="H274" s="13" t="n"/>
      <c r="I274" s="13" t="n"/>
      <c r="J274" s="15" t="n">
        <v>16</v>
      </c>
      <c r="K274" s="13" t="n"/>
      <c r="L274" s="13" t="n"/>
      <c r="M274" s="16">
        <f>IF(COUNT(E274:L274)=0,"",MIN(E274:L274))</f>
        <v/>
      </c>
      <c r="N274" s="15">
        <f>IF(COUNT(E274:L274)=0,"",LOOKUP(2,1/(E274:L274&lt;&gt;""),E274:L274))</f>
        <v/>
      </c>
      <c r="O274" s="17">
        <f>IF(M274="","",ROUND(M274*RESUMEN!$B$4,0))</f>
        <v/>
      </c>
      <c r="P274" s="18">
        <f>COUNT(E274:L274)</f>
        <v/>
      </c>
      <c r="Q274" s="19">
        <f>IF(COUNT(J274:L274)=0,"",MIN(J274:L274))</f>
        <v/>
      </c>
    </row>
    <row r="275">
      <c r="A275" s="13" t="inlineStr">
        <is>
          <t>43047213301900</t>
        </is>
      </c>
      <c r="B275" s="13" t="inlineStr">
        <is>
          <t>PULSERA KNOT GOLD</t>
        </is>
      </c>
      <c r="C275" s="13" t="inlineStr">
        <is>
          <t>17cm</t>
        </is>
      </c>
      <c r="D275" s="14" t="inlineStr">
        <is>
          <t>copper</t>
        </is>
      </c>
      <c r="E275" s="15" t="n">
        <v>9.5</v>
      </c>
      <c r="F275" s="13" t="n"/>
      <c r="G275" s="15" t="n">
        <v>16</v>
      </c>
      <c r="H275" s="13" t="n"/>
      <c r="I275" s="15" t="n">
        <v>16</v>
      </c>
      <c r="J275" s="13" t="n"/>
      <c r="K275" s="15" t="n">
        <v>16</v>
      </c>
      <c r="L275" s="13" t="n"/>
      <c r="M275" s="16">
        <f>IF(COUNT(E275:L275)=0,"",MIN(E275:L275))</f>
        <v/>
      </c>
      <c r="N275" s="15">
        <f>IF(COUNT(E275:L275)=0,"",LOOKUP(2,1/(E275:L275&lt;&gt;""),E275:L275))</f>
        <v/>
      </c>
      <c r="O275" s="17">
        <f>IF(M275="","",ROUND(M275*RESUMEN!$B$4,0))</f>
        <v/>
      </c>
      <c r="P275" s="18">
        <f>COUNT(E275:L275)</f>
        <v/>
      </c>
      <c r="Q275" s="19">
        <f>IF(COUNT(J275:L275)=0,"",MIN(J275:L275))</f>
        <v/>
      </c>
    </row>
    <row r="276">
      <c r="A276" s="13" t="inlineStr">
        <is>
          <t>43047248920716</t>
        </is>
      </c>
      <c r="B276" s="13" t="inlineStr">
        <is>
          <t>PULSERA KNOT ROSE GOLD</t>
        </is>
      </c>
      <c r="C276" s="13" t="inlineStr">
        <is>
          <t>16cm</t>
        </is>
      </c>
      <c r="D276" s="14" t="inlineStr">
        <is>
          <t>copper</t>
        </is>
      </c>
      <c r="E276" s="15" t="n">
        <v>9.5</v>
      </c>
      <c r="F276" s="13" t="n"/>
      <c r="G276" s="15" t="n">
        <v>16</v>
      </c>
      <c r="H276" s="13" t="n"/>
      <c r="I276" s="15" t="n">
        <v>16</v>
      </c>
      <c r="J276" s="13" t="n"/>
      <c r="K276" s="13" t="n"/>
      <c r="L276" s="13" t="n"/>
      <c r="M276" s="16">
        <f>IF(COUNT(E276:L276)=0,"",MIN(E276:L276))</f>
        <v/>
      </c>
      <c r="N276" s="15">
        <f>IF(COUNT(E276:L276)=0,"",LOOKUP(2,1/(E276:L276&lt;&gt;""),E276:L276))</f>
        <v/>
      </c>
      <c r="O276" s="17">
        <f>IF(M276="","",ROUND(M276*RESUMEN!$B$4,0))</f>
        <v/>
      </c>
      <c r="P276" s="18">
        <f>COUNT(E276:L276)</f>
        <v/>
      </c>
      <c r="Q276" s="19">
        <f>IF(COUNT(J276:L276)=0,"",MIN(J276:L276))</f>
        <v/>
      </c>
    </row>
    <row r="277">
      <c r="A277" s="13" t="inlineStr">
        <is>
          <t>43047216218252</t>
        </is>
      </c>
      <c r="B277" s="13" t="inlineStr">
        <is>
          <t>PULSERA LOCK GOLD GOLD</t>
        </is>
      </c>
      <c r="C277" s="13" t="inlineStr">
        <is>
          <t>17.5cm</t>
        </is>
      </c>
      <c r="D277" s="14" t="inlineStr">
        <is>
          <t>stainless steel</t>
        </is>
      </c>
      <c r="E277" s="13" t="n"/>
      <c r="F277" s="13" t="n"/>
      <c r="G277" s="15" t="n">
        <v>16.5</v>
      </c>
      <c r="H277" s="13" t="n"/>
      <c r="I277" s="13" t="n"/>
      <c r="J277" s="13" t="n"/>
      <c r="K277" s="13" t="n"/>
      <c r="L277" s="15" t="n">
        <v>16.5</v>
      </c>
      <c r="M277" s="16">
        <f>IF(COUNT(E277:L277)=0,"",MIN(E277:L277))</f>
        <v/>
      </c>
      <c r="N277" s="15">
        <f>IF(COUNT(E277:L277)=0,"",LOOKUP(2,1/(E277:L277&lt;&gt;""),E277:L277))</f>
        <v/>
      </c>
      <c r="O277" s="17">
        <f>IF(M277="","",ROUND(M277*RESUMEN!$B$4,0))</f>
        <v/>
      </c>
      <c r="P277" s="18">
        <f>COUNT(E277:L277)</f>
        <v/>
      </c>
      <c r="Q277" s="19">
        <f>IF(COUNT(J277:L277)=0,"",MIN(J277:L277))</f>
        <v/>
      </c>
    </row>
    <row r="278">
      <c r="A278" s="13" t="inlineStr">
        <is>
          <t>43047215530124</t>
        </is>
      </c>
      <c r="B278" s="13" t="inlineStr">
        <is>
          <t>PULSERA LOCK GOLD-SILVER</t>
        </is>
      </c>
      <c r="C278" s="13" t="inlineStr">
        <is>
          <t>17.5cm</t>
        </is>
      </c>
      <c r="D278" s="14" t="inlineStr">
        <is>
          <t>stainless steel</t>
        </is>
      </c>
      <c r="E278" s="13" t="n"/>
      <c r="F278" s="13" t="n"/>
      <c r="G278" s="15" t="n">
        <v>16.5</v>
      </c>
      <c r="H278" s="13" t="n"/>
      <c r="I278" s="13" t="n"/>
      <c r="J278" s="15" t="n">
        <v>16.5</v>
      </c>
      <c r="K278" s="15" t="n">
        <v>16.5</v>
      </c>
      <c r="L278" s="13" t="n"/>
      <c r="M278" s="16">
        <f>IF(COUNT(E278:L278)=0,"",MIN(E278:L278))</f>
        <v/>
      </c>
      <c r="N278" s="15">
        <f>IF(COUNT(E278:L278)=0,"",LOOKUP(2,1/(E278:L278&lt;&gt;""),E278:L278))</f>
        <v/>
      </c>
      <c r="O278" s="17">
        <f>IF(M278="","",ROUND(M278*RESUMEN!$B$4,0))</f>
        <v/>
      </c>
      <c r="P278" s="18">
        <f>COUNT(E278:L278)</f>
        <v/>
      </c>
      <c r="Q278" s="19">
        <f>IF(COUNT(J278:L278)=0,"",MIN(J278:L278))</f>
        <v/>
      </c>
    </row>
    <row r="279">
      <c r="A279" s="13" t="inlineStr">
        <is>
          <t>43047215333516</t>
        </is>
      </c>
      <c r="B279" s="13" t="inlineStr">
        <is>
          <t>PULSERA LOCK ROSEGOLD-SILVER</t>
        </is>
      </c>
      <c r="C279" s="13" t="inlineStr">
        <is>
          <t>17.5cm</t>
        </is>
      </c>
      <c r="D279" s="14" t="inlineStr">
        <is>
          <t>stainless steel</t>
        </is>
      </c>
      <c r="E279" s="13" t="n"/>
      <c r="F279" s="15" t="n">
        <v>16.5</v>
      </c>
      <c r="G279" s="13" t="n"/>
      <c r="H279" s="13" t="n"/>
      <c r="I279" s="15" t="n">
        <v>16.5</v>
      </c>
      <c r="J279" s="13" t="n"/>
      <c r="K279" s="13" t="n"/>
      <c r="L279" s="13" t="n"/>
      <c r="M279" s="16">
        <f>IF(COUNT(E279:L279)=0,"",MIN(E279:L279))</f>
        <v/>
      </c>
      <c r="N279" s="15">
        <f>IF(COUNT(E279:L279)=0,"",LOOKUP(2,1/(E279:L279&lt;&gt;""),E279:L279))</f>
        <v/>
      </c>
      <c r="O279" s="17">
        <f>IF(M279="","",ROUND(M279*RESUMEN!$B$4,0))</f>
        <v/>
      </c>
      <c r="P279" s="18">
        <f>COUNT(E279:L279)</f>
        <v/>
      </c>
      <c r="Q279" s="19">
        <f>IF(COUNT(J279:L279)=0,"",MIN(J279:L279))</f>
        <v/>
      </c>
    </row>
    <row r="280">
      <c r="A280" s="13" t="inlineStr">
        <is>
          <t>43047212384396</t>
        </is>
      </c>
      <c r="B280" s="13" t="inlineStr">
        <is>
          <t>PULSERA LOCK SILVER</t>
        </is>
      </c>
      <c r="C280" s="13" t="inlineStr">
        <is>
          <t>17.5cm</t>
        </is>
      </c>
      <c r="D280" s="14" t="inlineStr">
        <is>
          <t>stainless steel</t>
        </is>
      </c>
      <c r="E280" s="13" t="n"/>
      <c r="F280" s="15" t="n">
        <v>15.8</v>
      </c>
      <c r="G280" s="15" t="n">
        <v>15.8</v>
      </c>
      <c r="H280" s="13" t="n"/>
      <c r="I280" s="13" t="n"/>
      <c r="J280" s="13" t="n"/>
      <c r="K280" s="15" t="n">
        <v>15.8</v>
      </c>
      <c r="L280" s="13" t="n"/>
      <c r="M280" s="16">
        <f>IF(COUNT(E280:L280)=0,"",MIN(E280:L280))</f>
        <v/>
      </c>
      <c r="N280" s="15">
        <f>IF(COUNT(E280:L280)=0,"",LOOKUP(2,1/(E280:L280&lt;&gt;""),E280:L280))</f>
        <v/>
      </c>
      <c r="O280" s="17">
        <f>IF(M280="","",ROUND(M280*RESUMEN!$B$4,0))</f>
        <v/>
      </c>
      <c r="P280" s="18">
        <f>COUNT(E280:L280)</f>
        <v/>
      </c>
      <c r="Q280" s="19">
        <f>IF(COUNT(J280:L280)=0,"",MIN(J280:L280))</f>
        <v/>
      </c>
    </row>
    <row r="281">
      <c r="A281" s="13" t="inlineStr">
        <is>
          <t>8275735417996</t>
        </is>
      </c>
      <c r="B281" s="13" t="inlineStr">
        <is>
          <t>PULSERA LV BLOSSOM GOLD</t>
        </is>
      </c>
      <c r="C281" s="13" t="inlineStr">
        <is>
          <t>17cm</t>
        </is>
      </c>
      <c r="D281" s="14" t="inlineStr">
        <is>
          <t>copper</t>
        </is>
      </c>
      <c r="E281" s="15" t="n">
        <v>12.8</v>
      </c>
      <c r="F281" s="15" t="n">
        <v>12.8</v>
      </c>
      <c r="G281" s="15" t="n">
        <v>12.8</v>
      </c>
      <c r="H281" s="13" t="n"/>
      <c r="I281" s="13" t="n"/>
      <c r="J281" s="13" t="n"/>
      <c r="K281" s="15" t="n">
        <v>12.8</v>
      </c>
      <c r="L281" s="13" t="n"/>
      <c r="M281" s="16">
        <f>IF(COUNT(E281:L281)=0,"",MIN(E281:L281))</f>
        <v/>
      </c>
      <c r="N281" s="15">
        <f>IF(COUNT(E281:L281)=0,"",LOOKUP(2,1/(E281:L281&lt;&gt;""),E281:L281))</f>
        <v/>
      </c>
      <c r="O281" s="17">
        <f>IF(M281="","",ROUND(M281*RESUMEN!$B$4,0))</f>
        <v/>
      </c>
      <c r="P281" s="18">
        <f>COUNT(E281:L281)</f>
        <v/>
      </c>
      <c r="Q281" s="19">
        <f>IF(COUNT(J281:L281)=0,"",MIN(J281:L281))</f>
        <v/>
      </c>
    </row>
    <row r="282">
      <c r="A282" s="13" t="inlineStr">
        <is>
          <t>87045211023629</t>
        </is>
      </c>
      <c r="B282" s="13" t="inlineStr">
        <is>
          <t>PULSERA LV BLOSSOM TWIST GOLD</t>
        </is>
      </c>
      <c r="C282" s="13" t="inlineStr">
        <is>
          <t>Default Title</t>
        </is>
      </c>
      <c r="D282" s="14" t="inlineStr"/>
      <c r="E282" s="13" t="n"/>
      <c r="F282" s="15" t="n">
        <v>8.800000000000001</v>
      </c>
      <c r="G282" s="13" t="n"/>
      <c r="H282" s="13" t="n"/>
      <c r="I282" s="13" t="n"/>
      <c r="J282" s="13" t="n"/>
      <c r="K282" s="13" t="n"/>
      <c r="L282" s="13" t="n"/>
      <c r="M282" s="16">
        <f>IF(COUNT(E282:L282)=0,"",MIN(E282:L282))</f>
        <v/>
      </c>
      <c r="N282" s="15">
        <f>IF(COUNT(E282:L282)=0,"",LOOKUP(2,1/(E282:L282&lt;&gt;""),E282:L282))</f>
        <v/>
      </c>
      <c r="O282" s="17">
        <f>IF(M282="","",ROUND(M282*RESUMEN!$B$4,0))</f>
        <v/>
      </c>
      <c r="P282" s="18">
        <f>COUNT(E282:L282)</f>
        <v/>
      </c>
      <c r="Q282" s="19">
        <f>IF(COUNT(J282:L282)=0,"",MIN(J282:L282))</f>
        <v/>
      </c>
    </row>
    <row r="283">
      <c r="A283" s="13" t="inlineStr">
        <is>
          <t>77978447716236</t>
        </is>
      </c>
      <c r="B283" s="13" t="inlineStr">
        <is>
          <t>PULSERA LV CON INSIGNIA</t>
        </is>
      </c>
      <c r="C283" s="13" t="inlineStr">
        <is>
          <t>16cm high quality</t>
        </is>
      </c>
      <c r="D283" s="14" t="inlineStr">
        <is>
          <t>copper</t>
        </is>
      </c>
      <c r="E283" s="15" t="n">
        <v>8.800000000000001</v>
      </c>
      <c r="F283" s="13" t="n"/>
      <c r="G283" s="13" t="n"/>
      <c r="H283" s="13" t="n"/>
      <c r="I283" s="13" t="n"/>
      <c r="J283" s="13" t="n"/>
      <c r="K283" s="15" t="n">
        <v>8.800000000000001</v>
      </c>
      <c r="L283" s="13" t="n"/>
      <c r="M283" s="16">
        <f>IF(COUNT(E283:L283)=0,"",MIN(E283:L283))</f>
        <v/>
      </c>
      <c r="N283" s="15">
        <f>IF(COUNT(E283:L283)=0,"",LOOKUP(2,1/(E283:L283&lt;&gt;""),E283:L283))</f>
        <v/>
      </c>
      <c r="O283" s="17">
        <f>IF(M283="","",ROUND(M283*RESUMEN!$B$4,0))</f>
        <v/>
      </c>
      <c r="P283" s="18">
        <f>COUNT(E283:L283)</f>
        <v/>
      </c>
      <c r="Q283" s="19">
        <f>IF(COUNT(J283:L283)=0,"",MIN(J283:L283))</f>
        <v/>
      </c>
    </row>
    <row r="284">
      <c r="A284" s="13" t="inlineStr">
        <is>
          <t>665bce15b9cc7</t>
        </is>
      </c>
      <c r="B284" s="13" t="inlineStr">
        <is>
          <t>PULSERA LV DE CUERO LOGO</t>
        </is>
      </c>
      <c r="C284" s="13" t="inlineStr">
        <is>
          <t>16cm ajustable a 18cm</t>
        </is>
      </c>
      <c r="D284" s="14" t="inlineStr">
        <is>
          <t>copper,Genuine lea</t>
        </is>
      </c>
      <c r="E284" s="13" t="n"/>
      <c r="F284" s="13" t="n"/>
      <c r="G284" s="13" t="n"/>
      <c r="H284" s="13" t="n"/>
      <c r="I284" s="13" t="n"/>
      <c r="J284" s="13" t="n"/>
      <c r="K284" s="15" t="n">
        <v>10.8</v>
      </c>
      <c r="L284" s="13" t="n"/>
      <c r="M284" s="16">
        <f>IF(COUNT(E284:L284)=0,"",MIN(E284:L284))</f>
        <v/>
      </c>
      <c r="N284" s="15">
        <f>IF(COUNT(E284:L284)=0,"",LOOKUP(2,1/(E284:L284&lt;&gt;""),E284:L284))</f>
        <v/>
      </c>
      <c r="O284" s="17">
        <f>IF(M284="","",ROUND(M284*RESUMEN!$B$4,0))</f>
        <v/>
      </c>
      <c r="P284" s="18">
        <f>COUNT(E284:L284)</f>
        <v/>
      </c>
      <c r="Q284" s="19">
        <f>IF(COUNT(J284:L284)=0,"",MIN(J284:L284))</f>
        <v/>
      </c>
    </row>
    <row r="285">
      <c r="A285" s="13" t="inlineStr">
        <is>
          <t>38332091487821</t>
        </is>
      </c>
      <c r="B285" s="13" t="inlineStr">
        <is>
          <t>PULSERA LV DOUBLE HEART GOLD-SILVER</t>
        </is>
      </c>
      <c r="C285" s="13" t="inlineStr">
        <is>
          <t>Default Title</t>
        </is>
      </c>
      <c r="D285" s="14" t="inlineStr">
        <is>
          <t>stainless steel</t>
        </is>
      </c>
      <c r="E285" s="13" t="n"/>
      <c r="F285" s="13" t="n"/>
      <c r="G285" s="15" t="n">
        <v>4.5</v>
      </c>
      <c r="H285" s="13" t="n"/>
      <c r="I285" s="13" t="n"/>
      <c r="J285" s="13" t="n"/>
      <c r="K285" s="13" t="n"/>
      <c r="L285" s="13" t="n"/>
      <c r="M285" s="16">
        <f>IF(COUNT(E285:L285)=0,"",MIN(E285:L285))</f>
        <v/>
      </c>
      <c r="N285" s="15">
        <f>IF(COUNT(E285:L285)=0,"",LOOKUP(2,1/(E285:L285&lt;&gt;""),E285:L285))</f>
        <v/>
      </c>
      <c r="O285" s="17">
        <f>IF(M285="","",ROUND(M285*RESUMEN!$B$4,0))</f>
        <v/>
      </c>
      <c r="P285" s="18">
        <f>COUNT(E285:L285)</f>
        <v/>
      </c>
      <c r="Q285" s="19">
        <f>IF(COUNT(J285:L285)=0,"",MIN(J285:L285))</f>
        <v/>
      </c>
    </row>
    <row r="286">
      <c r="A286" s="13" t="inlineStr">
        <is>
          <t>43047220412556</t>
        </is>
      </c>
      <c r="B286" s="13" t="inlineStr">
        <is>
          <t>PULSERA ONE T DOBLE ZIRCONIA GOLD</t>
        </is>
      </c>
      <c r="C286" s="13" t="inlineStr">
        <is>
          <t>16.58cm</t>
        </is>
      </c>
      <c r="D286" s="14" t="inlineStr">
        <is>
          <t>stainless steel</t>
        </is>
      </c>
      <c r="E286" s="15" t="n">
        <v>14.8</v>
      </c>
      <c r="F286" s="13" t="n"/>
      <c r="G286" s="13" t="n"/>
      <c r="H286" s="15" t="n">
        <v>14.8</v>
      </c>
      <c r="I286" s="13" t="n"/>
      <c r="J286" s="13" t="n"/>
      <c r="K286" s="13" t="n"/>
      <c r="L286" s="15" t="n">
        <v>14.8</v>
      </c>
      <c r="M286" s="16">
        <f>IF(COUNT(E286:L286)=0,"",MIN(E286:L286))</f>
        <v/>
      </c>
      <c r="N286" s="15">
        <f>IF(COUNT(E286:L286)=0,"",LOOKUP(2,1/(E286:L286&lt;&gt;""),E286:L286))</f>
        <v/>
      </c>
      <c r="O286" s="17">
        <f>IF(M286="","",ROUND(M286*RESUMEN!$B$4,0))</f>
        <v/>
      </c>
      <c r="P286" s="18">
        <f>COUNT(E286:L286)</f>
        <v/>
      </c>
      <c r="Q286" s="19">
        <f>IF(COUNT(J286:L286)=0,"",MIN(J286:L286))</f>
        <v/>
      </c>
    </row>
    <row r="287">
      <c r="A287" s="13" t="inlineStr">
        <is>
          <t>43047219560588</t>
        </is>
      </c>
      <c r="B287" s="13" t="inlineStr">
        <is>
          <t>PULSERA ONE T DOBLE ZIRCONIA ROSE GOLD</t>
        </is>
      </c>
      <c r="C287" s="13" t="inlineStr">
        <is>
          <t>16.58cm</t>
        </is>
      </c>
      <c r="D287" s="14" t="inlineStr">
        <is>
          <t>stainless steel</t>
        </is>
      </c>
      <c r="E287" s="13" t="n"/>
      <c r="F287" s="13" t="n"/>
      <c r="G287" s="13" t="n"/>
      <c r="H287" s="15" t="n">
        <v>14.8</v>
      </c>
      <c r="I287" s="13" t="n"/>
      <c r="J287" s="13" t="n"/>
      <c r="K287" s="13" t="n"/>
      <c r="L287" s="13" t="n"/>
      <c r="M287" s="16">
        <f>IF(COUNT(E287:L287)=0,"",MIN(E287:L287))</f>
        <v/>
      </c>
      <c r="N287" s="15">
        <f>IF(COUNT(E287:L287)=0,"",LOOKUP(2,1/(E287:L287&lt;&gt;""),E287:L287))</f>
        <v/>
      </c>
      <c r="O287" s="17">
        <f>IF(M287="","",ROUND(M287*RESUMEN!$B$4,0))</f>
        <v/>
      </c>
      <c r="P287" s="18">
        <f>COUNT(E287:L287)</f>
        <v/>
      </c>
      <c r="Q287" s="19">
        <f>IF(COUNT(J287:L287)=0,"",MIN(J287:L287))</f>
        <v/>
      </c>
    </row>
    <row r="288">
      <c r="A288" s="13" t="inlineStr">
        <is>
          <t>43047219789964</t>
        </is>
      </c>
      <c r="B288" s="13" t="inlineStr">
        <is>
          <t>PULSERA ONE T DOBLE ZIRCONIA SILVER</t>
        </is>
      </c>
      <c r="C288" s="13" t="inlineStr">
        <is>
          <t>16.58cm</t>
        </is>
      </c>
      <c r="D288" s="14" t="inlineStr"/>
      <c r="E288" s="15" t="n">
        <v>14.8</v>
      </c>
      <c r="F288" s="13" t="n"/>
      <c r="G288" s="13" t="n"/>
      <c r="H288" s="13" t="n"/>
      <c r="I288" s="13" t="n"/>
      <c r="J288" s="13" t="n"/>
      <c r="K288" s="13" t="n"/>
      <c r="L288" s="13" t="n"/>
      <c r="M288" s="16">
        <f>IF(COUNT(E288:L288)=0,"",MIN(E288:L288))</f>
        <v/>
      </c>
      <c r="N288" s="15">
        <f>IF(COUNT(E288:L288)=0,"",LOOKUP(2,1/(E288:L288&lt;&gt;""),E288:L288))</f>
        <v/>
      </c>
      <c r="O288" s="17">
        <f>IF(M288="","",ROUND(M288*RESUMEN!$B$4,0))</f>
        <v/>
      </c>
      <c r="P288" s="18">
        <f>COUNT(E288:L288)</f>
        <v/>
      </c>
      <c r="Q288" s="19">
        <f>IF(COUNT(J288:L288)=0,"",MIN(J288:L288))</f>
        <v/>
      </c>
    </row>
    <row r="289">
      <c r="A289" s="13" t="inlineStr">
        <is>
          <t>6701d2626ff26</t>
        </is>
      </c>
      <c r="B289" s="13" t="inlineStr">
        <is>
          <t>PULSERA P DIAMOND</t>
        </is>
      </c>
      <c r="C289" s="13" t="inlineStr">
        <is>
          <t>16cm</t>
        </is>
      </c>
      <c r="D289" s="14" t="inlineStr">
        <is>
          <t>copper</t>
        </is>
      </c>
      <c r="E289" s="15" t="n">
        <v>6</v>
      </c>
      <c r="F289" s="13" t="n"/>
      <c r="G289" s="13" t="n"/>
      <c r="H289" s="13" t="n"/>
      <c r="I289" s="15" t="n">
        <v>6</v>
      </c>
      <c r="J289" s="13" t="n"/>
      <c r="K289" s="13" t="n"/>
      <c r="L289" s="13" t="n"/>
      <c r="M289" s="16">
        <f>IF(COUNT(E289:L289)=0,"",MIN(E289:L289))</f>
        <v/>
      </c>
      <c r="N289" s="15">
        <f>IF(COUNT(E289:L289)=0,"",LOOKUP(2,1/(E289:L289&lt;&gt;""),E289:L289))</f>
        <v/>
      </c>
      <c r="O289" s="17">
        <f>IF(M289="","",ROUND(M289*RESUMEN!$B$4,0))</f>
        <v/>
      </c>
      <c r="P289" s="18">
        <f>COUNT(E289:L289)</f>
        <v/>
      </c>
      <c r="Q289" s="19">
        <f>IF(COUNT(J289:L289)=0,"",MIN(J289:L289))</f>
        <v/>
      </c>
    </row>
    <row r="290">
      <c r="A290" s="13" t="inlineStr">
        <is>
          <t>679aa28b5f6b1</t>
        </is>
      </c>
      <c r="B290" s="13" t="inlineStr">
        <is>
          <t>PULSERA P DIAMOND BLUE</t>
        </is>
      </c>
      <c r="C290" s="13" t="inlineStr">
        <is>
          <t>16cm de largo con 3cm de extensión</t>
        </is>
      </c>
      <c r="D290" s="14" t="inlineStr">
        <is>
          <t>copper,zircon</t>
        </is>
      </c>
      <c r="E290" s="13" t="n"/>
      <c r="F290" s="13" t="n"/>
      <c r="G290" s="15" t="n">
        <v>6</v>
      </c>
      <c r="H290" s="13" t="n"/>
      <c r="I290" s="13" t="n"/>
      <c r="J290" s="15" t="n">
        <v>6</v>
      </c>
      <c r="K290" s="13" t="n"/>
      <c r="L290" s="13" t="n"/>
      <c r="M290" s="16">
        <f>IF(COUNT(E290:L290)=0,"",MIN(E290:L290))</f>
        <v/>
      </c>
      <c r="N290" s="15">
        <f>IF(COUNT(E290:L290)=0,"",LOOKUP(2,1/(E290:L290&lt;&gt;""),E290:L290))</f>
        <v/>
      </c>
      <c r="O290" s="17">
        <f>IF(M290="","",ROUND(M290*RESUMEN!$B$4,0))</f>
        <v/>
      </c>
      <c r="P290" s="18">
        <f>COUNT(E290:L290)</f>
        <v/>
      </c>
      <c r="Q290" s="19">
        <f>IF(COUNT(J290:L290)=0,"",MIN(J290:L290))</f>
        <v/>
      </c>
    </row>
    <row r="291">
      <c r="A291" s="13" t="inlineStr">
        <is>
          <t>665bce42479e9</t>
        </is>
      </c>
      <c r="B291" s="13" t="inlineStr">
        <is>
          <t>PULSERA P STARS</t>
        </is>
      </c>
      <c r="C291" s="13" t="inlineStr">
        <is>
          <t>YY361-1 bracelet</t>
        </is>
      </c>
      <c r="D291" s="14" t="inlineStr">
        <is>
          <t>copper</t>
        </is>
      </c>
      <c r="E291" s="15" t="n">
        <v>6</v>
      </c>
      <c r="F291" s="13" t="n"/>
      <c r="G291" s="15" t="n">
        <v>6</v>
      </c>
      <c r="H291" s="13" t="n"/>
      <c r="I291" s="13" t="n"/>
      <c r="J291" s="15" t="n">
        <v>6</v>
      </c>
      <c r="K291" s="13" t="n"/>
      <c r="L291" s="15" t="n">
        <v>6</v>
      </c>
      <c r="M291" s="16">
        <f>IF(COUNT(E291:L291)=0,"",MIN(E291:L291))</f>
        <v/>
      </c>
      <c r="N291" s="15">
        <f>IF(COUNT(E291:L291)=0,"",LOOKUP(2,1/(E291:L291&lt;&gt;""),E291:L291))</f>
        <v/>
      </c>
      <c r="O291" s="17">
        <f>IF(M291="","",ROUND(M291*RESUMEN!$B$4,0))</f>
        <v/>
      </c>
      <c r="P291" s="18">
        <f>COUNT(E291:L291)</f>
        <v/>
      </c>
      <c r="Q291" s="19">
        <f>IF(COUNT(J291:L291)=0,"",MIN(J291:L291))</f>
        <v/>
      </c>
    </row>
    <row r="292">
      <c r="A292" s="13" t="inlineStr">
        <is>
          <t>15711172404461</t>
        </is>
      </c>
      <c r="B292" s="13" t="inlineStr">
        <is>
          <t>PULSERA PETIT CD JOLIE GOLD</t>
        </is>
      </c>
      <c r="C292" s="13" t="inlineStr">
        <is>
          <t>20 cm</t>
        </is>
      </c>
      <c r="D292" s="14" t="inlineStr">
        <is>
          <t>copper</t>
        </is>
      </c>
      <c r="E292" s="15" t="n">
        <v>8.800000000000001</v>
      </c>
      <c r="F292" s="13" t="n"/>
      <c r="G292" s="15" t="n">
        <v>8.800000000000001</v>
      </c>
      <c r="H292" s="13" t="n"/>
      <c r="I292" s="13" t="n"/>
      <c r="J292" s="13" t="n"/>
      <c r="K292" s="13" t="n"/>
      <c r="L292" s="13" t="n"/>
      <c r="M292" s="16">
        <f>IF(COUNT(E292:L292)=0,"",MIN(E292:L292))</f>
        <v/>
      </c>
      <c r="N292" s="15">
        <f>IF(COUNT(E292:L292)=0,"",LOOKUP(2,1/(E292:L292&lt;&gt;""),E292:L292))</f>
        <v/>
      </c>
      <c r="O292" s="17">
        <f>IF(M292="","",ROUND(M292*RESUMEN!$B$4,0))</f>
        <v/>
      </c>
      <c r="P292" s="18">
        <f>COUNT(E292:L292)</f>
        <v/>
      </c>
      <c r="Q292" s="19">
        <f>IF(COUNT(J292:L292)=0,"",MIN(J292:L292))</f>
        <v/>
      </c>
    </row>
    <row r="293">
      <c r="A293" s="13" t="inlineStr">
        <is>
          <t>63ebe022e73ea</t>
        </is>
      </c>
      <c r="B293" s="13" t="inlineStr">
        <is>
          <t>PULSERA SERPENTI ROSE GOLD CON ZIRCONIA</t>
        </is>
      </c>
      <c r="C293" s="13" t="inlineStr">
        <is>
          <t>18 cm</t>
        </is>
      </c>
      <c r="D293" s="14" t="inlineStr">
        <is>
          <t>copper</t>
        </is>
      </c>
      <c r="E293" s="13" t="n"/>
      <c r="F293" s="13" t="n"/>
      <c r="G293" s="13" t="n"/>
      <c r="H293" s="15" t="n">
        <v>13.8</v>
      </c>
      <c r="I293" s="13" t="n"/>
      <c r="J293" s="13" t="n"/>
      <c r="K293" s="13" t="n"/>
      <c r="L293" s="15" t="n">
        <v>13.8</v>
      </c>
      <c r="M293" s="16">
        <f>IF(COUNT(E293:L293)=0,"",MIN(E293:L293))</f>
        <v/>
      </c>
      <c r="N293" s="15">
        <f>IF(COUNT(E293:L293)=0,"",LOOKUP(2,1/(E293:L293&lt;&gt;""),E293:L293))</f>
        <v/>
      </c>
      <c r="O293" s="17">
        <f>IF(M293="","",ROUND(M293*RESUMEN!$B$4,0))</f>
        <v/>
      </c>
      <c r="P293" s="18">
        <f>COUNT(E293:L293)</f>
        <v/>
      </c>
      <c r="Q293" s="19">
        <f>IF(COUNT(J293:L293)=0,"",MIN(J293:L293))</f>
        <v/>
      </c>
    </row>
    <row r="294">
      <c r="A294" s="13" t="inlineStr">
        <is>
          <t>63ebe0260e034</t>
        </is>
      </c>
      <c r="B294" s="13" t="inlineStr">
        <is>
          <t>PULSERA SERPENTI SILVER CON ZIRCONIA</t>
        </is>
      </c>
      <c r="C294" s="13" t="inlineStr">
        <is>
          <t>XKY silver</t>
        </is>
      </c>
      <c r="D294" s="14" t="inlineStr">
        <is>
          <t>copper</t>
        </is>
      </c>
      <c r="E294" s="13" t="n"/>
      <c r="F294" s="13" t="n"/>
      <c r="G294" s="15" t="n">
        <v>13.8</v>
      </c>
      <c r="H294" s="13" t="n"/>
      <c r="I294" s="13" t="n"/>
      <c r="J294" s="15" t="n">
        <v>13.8</v>
      </c>
      <c r="K294" s="13" t="n"/>
      <c r="L294" s="15" t="n">
        <v>13.8</v>
      </c>
      <c r="M294" s="16">
        <f>IF(COUNT(E294:L294)=0,"",MIN(E294:L294))</f>
        <v/>
      </c>
      <c r="N294" s="15">
        <f>IF(COUNT(E294:L294)=0,"",LOOKUP(2,1/(E294:L294&lt;&gt;""),E294:L294))</f>
        <v/>
      </c>
      <c r="O294" s="17">
        <f>IF(M294="","",ROUND(M294*RESUMEN!$B$4,0))</f>
        <v/>
      </c>
      <c r="P294" s="18">
        <f>COUNT(E294:L294)</f>
        <v/>
      </c>
      <c r="Q294" s="19">
        <f>IF(COUNT(J294:L294)=0,"",MIN(J294:L294))</f>
        <v/>
      </c>
    </row>
    <row r="295">
      <c r="A295" s="13" t="inlineStr">
        <is>
          <t>43047214907532</t>
        </is>
      </c>
      <c r="B295" s="13" t="inlineStr">
        <is>
          <t>PULSERA SIXTEEN STONES</t>
        </is>
      </c>
      <c r="C295" s="13" t="inlineStr">
        <is>
          <t>XGDF80350-1</t>
        </is>
      </c>
      <c r="D295" s="14" t="inlineStr">
        <is>
          <t>copper</t>
        </is>
      </c>
      <c r="E295" s="15" t="n">
        <v>20</v>
      </c>
      <c r="F295" s="13" t="n"/>
      <c r="G295" s="15" t="n">
        <v>20</v>
      </c>
      <c r="H295" s="13" t="n"/>
      <c r="I295" s="13" t="n"/>
      <c r="J295" s="15" t="n">
        <v>20</v>
      </c>
      <c r="K295" s="13" t="n"/>
      <c r="L295" s="15" t="n">
        <v>20</v>
      </c>
      <c r="M295" s="16">
        <f>IF(COUNT(E295:L295)=0,"",MIN(E295:L295))</f>
        <v/>
      </c>
      <c r="N295" s="15">
        <f>IF(COUNT(E295:L295)=0,"",LOOKUP(2,1/(E295:L295&lt;&gt;""),E295:L295))</f>
        <v/>
      </c>
      <c r="O295" s="17">
        <f>IF(M295="","",ROUND(M295*RESUMEN!$B$4,0))</f>
        <v/>
      </c>
      <c r="P295" s="18">
        <f>COUNT(E295:L295)</f>
        <v/>
      </c>
      <c r="Q295" s="19">
        <f>IF(COUNT(J295:L295)=0,"",MIN(J295:L295))</f>
        <v/>
      </c>
    </row>
    <row r="296">
      <c r="A296" s="13" t="inlineStr">
        <is>
          <t>67201535928013</t>
        </is>
      </c>
      <c r="B296" s="13" t="inlineStr">
        <is>
          <t>PULSERA SNAKE GOLD T</t>
        </is>
      </c>
      <c r="C296" s="13" t="inlineStr">
        <is>
          <t>Default Title</t>
        </is>
      </c>
      <c r="D296" s="14" t="inlineStr">
        <is>
          <t>copper</t>
        </is>
      </c>
      <c r="E296" s="13" t="n"/>
      <c r="F296" s="13" t="n"/>
      <c r="G296" s="15" t="n">
        <v>14</v>
      </c>
      <c r="H296" s="13" t="n"/>
      <c r="I296" s="13" t="n"/>
      <c r="J296" s="13" t="n"/>
      <c r="K296" s="13" t="n"/>
      <c r="L296" s="13" t="n"/>
      <c r="M296" s="16">
        <f>IF(COUNT(E296:L296)=0,"",MIN(E296:L296))</f>
        <v/>
      </c>
      <c r="N296" s="15">
        <f>IF(COUNT(E296:L296)=0,"",LOOKUP(2,1/(E296:L296&lt;&gt;""),E296:L296))</f>
        <v/>
      </c>
      <c r="O296" s="17">
        <f>IF(M296="","",ROUND(M296*RESUMEN!$B$4,0))</f>
        <v/>
      </c>
      <c r="P296" s="18">
        <f>COUNT(E296:L296)</f>
        <v/>
      </c>
      <c r="Q296" s="19">
        <f>IF(COUNT(J296:L296)=0,"",MIN(J296:L296))</f>
        <v/>
      </c>
    </row>
    <row r="297">
      <c r="A297" s="13" t="inlineStr">
        <is>
          <t>668eee4d3cd9f</t>
        </is>
      </c>
      <c r="B297" s="13" t="inlineStr">
        <is>
          <t>PULSERA T ANGOSTA GOLD</t>
        </is>
      </c>
      <c r="C297" s="13" t="inlineStr">
        <is>
          <t>XGX142274  17cm</t>
        </is>
      </c>
      <c r="D297" s="14" t="inlineStr">
        <is>
          <t>STainless steel</t>
        </is>
      </c>
      <c r="E297" s="15" t="n">
        <v>14</v>
      </c>
      <c r="F297" s="13" t="n"/>
      <c r="G297" s="13" t="n"/>
      <c r="H297" s="13" t="n"/>
      <c r="I297" s="15" t="n">
        <v>14</v>
      </c>
      <c r="J297" s="13" t="n"/>
      <c r="K297" s="13" t="n"/>
      <c r="L297" s="15" t="n">
        <v>14</v>
      </c>
      <c r="M297" s="16">
        <f>IF(COUNT(E297:L297)=0,"",MIN(E297:L297))</f>
        <v/>
      </c>
      <c r="N297" s="15">
        <f>IF(COUNT(E297:L297)=0,"",LOOKUP(2,1/(E297:L297&lt;&gt;""),E297:L297))</f>
        <v/>
      </c>
      <c r="O297" s="17">
        <f>IF(M297="","",ROUND(M297*RESUMEN!$B$4,0))</f>
        <v/>
      </c>
      <c r="P297" s="18">
        <f>COUNT(E297:L297)</f>
        <v/>
      </c>
      <c r="Q297" s="19">
        <f>IF(COUNT(J297:L297)=0,"",MIN(J297:L297))</f>
        <v/>
      </c>
    </row>
    <row r="298">
      <c r="A298" s="13" t="inlineStr">
        <is>
          <t>43047203897484</t>
        </is>
      </c>
      <c r="B298" s="13" t="inlineStr">
        <is>
          <t>PULSERA T ANGOSTA ROSE GOLD</t>
        </is>
      </c>
      <c r="C298" s="13" t="inlineStr">
        <is>
          <t>16cm</t>
        </is>
      </c>
      <c r="D298" s="14" t="inlineStr">
        <is>
          <t>stainless steel</t>
        </is>
      </c>
      <c r="E298" s="13" t="n"/>
      <c r="F298" s="15" t="n">
        <v>14</v>
      </c>
      <c r="G298" s="15" t="n">
        <v>14</v>
      </c>
      <c r="H298" s="13" t="n"/>
      <c r="I298" s="13" t="n"/>
      <c r="J298" s="13" t="n"/>
      <c r="K298" s="13" t="n"/>
      <c r="L298" s="13" t="n"/>
      <c r="M298" s="16">
        <f>IF(COUNT(E298:L298)=0,"",MIN(E298:L298))</f>
        <v/>
      </c>
      <c r="N298" s="15">
        <f>IF(COUNT(E298:L298)=0,"",LOOKUP(2,1/(E298:L298&lt;&gt;""),E298:L298))</f>
        <v/>
      </c>
      <c r="O298" s="17">
        <f>IF(M298="","",ROUND(M298*RESUMEN!$B$4,0))</f>
        <v/>
      </c>
      <c r="P298" s="18">
        <f>COUNT(E298:L298)</f>
        <v/>
      </c>
      <c r="Q298" s="19">
        <f>IF(COUNT(J298:L298)=0,"",MIN(J298:L298))</f>
        <v/>
      </c>
    </row>
    <row r="299">
      <c r="A299" s="13" t="inlineStr">
        <is>
          <t>43047207010444</t>
        </is>
      </c>
      <c r="B299" s="13" t="inlineStr">
        <is>
          <t>PULSERA T ANGOSTA SILVER</t>
        </is>
      </c>
      <c r="C299" s="13" t="inlineStr">
        <is>
          <t>16cm</t>
        </is>
      </c>
      <c r="D299" s="14" t="inlineStr">
        <is>
          <t>STainless steel</t>
        </is>
      </c>
      <c r="E299" s="15" t="n">
        <v>14</v>
      </c>
      <c r="F299" s="13" t="n"/>
      <c r="G299" s="13" t="n"/>
      <c r="H299" s="15" t="n">
        <v>14</v>
      </c>
      <c r="I299" s="13" t="n"/>
      <c r="J299" s="13" t="n"/>
      <c r="K299" s="13" t="n"/>
      <c r="L299" s="15" t="n">
        <v>14</v>
      </c>
      <c r="M299" s="16">
        <f>IF(COUNT(E299:L299)=0,"",MIN(E299:L299))</f>
        <v/>
      </c>
      <c r="N299" s="15">
        <f>IF(COUNT(E299:L299)=0,"",LOOKUP(2,1/(E299:L299&lt;&gt;""),E299:L299))</f>
        <v/>
      </c>
      <c r="O299" s="17">
        <f>IF(M299="","",ROUND(M299*RESUMEN!$B$4,0))</f>
        <v/>
      </c>
      <c r="P299" s="18">
        <f>COUNT(E299:L299)</f>
        <v/>
      </c>
      <c r="Q299" s="19">
        <f>IF(COUNT(J299:L299)=0,"",MIN(J299:L299))</f>
        <v/>
      </c>
    </row>
    <row r="300">
      <c r="A300" s="13" t="inlineStr">
        <is>
          <t>668eee3b4af12</t>
        </is>
      </c>
      <c r="B300" s="13" t="inlineStr">
        <is>
          <t>PULSERA T CON ZIRCONIA Y COLOR TURQUESA</t>
        </is>
      </c>
      <c r="C300" s="13" t="inlineStr">
        <is>
          <t>16 cm</t>
        </is>
      </c>
      <c r="D300" s="14" t="inlineStr">
        <is>
          <t>Stainless steel</t>
        </is>
      </c>
      <c r="E300" s="13" t="n"/>
      <c r="F300" s="13" t="n"/>
      <c r="G300" s="15" t="n">
        <v>6</v>
      </c>
      <c r="H300" s="13" t="n"/>
      <c r="I300" s="13" t="n"/>
      <c r="J300" s="13" t="n"/>
      <c r="K300" s="15" t="n">
        <v>6</v>
      </c>
      <c r="L300" s="13" t="n"/>
      <c r="M300" s="16">
        <f>IF(COUNT(E300:L300)=0,"",MIN(E300:L300))</f>
        <v/>
      </c>
      <c r="N300" s="15">
        <f>IF(COUNT(E300:L300)=0,"",LOOKUP(2,1/(E300:L300&lt;&gt;""),E300:L300))</f>
        <v/>
      </c>
      <c r="O300" s="17">
        <f>IF(M300="","",ROUND(M300*RESUMEN!$B$4,0))</f>
        <v/>
      </c>
      <c r="P300" s="18">
        <f>COUNT(E300:L300)</f>
        <v/>
      </c>
      <c r="Q300" s="19">
        <f>IF(COUNT(J300:L300)=0,"",MIN(J300:L300))</f>
        <v/>
      </c>
    </row>
    <row r="301">
      <c r="A301" s="13" t="inlineStr">
        <is>
          <t>668eecb8df0eb</t>
        </is>
      </c>
      <c r="B301" s="13" t="inlineStr">
        <is>
          <t>PULSERA T GOLD</t>
        </is>
      </c>
      <c r="C301" s="13" t="inlineStr">
        <is>
          <t>16 cm</t>
        </is>
      </c>
      <c r="D301" s="14" t="inlineStr">
        <is>
          <t>STainless steel</t>
        </is>
      </c>
      <c r="E301" s="15" t="n">
        <v>9</v>
      </c>
      <c r="F301" s="13" t="n"/>
      <c r="G301" s="15" t="n">
        <v>9.5</v>
      </c>
      <c r="H301" s="15" t="n">
        <v>9.5</v>
      </c>
      <c r="I301" s="15" t="n">
        <v>9.5</v>
      </c>
      <c r="J301" s="13" t="n"/>
      <c r="K301" s="15" t="n">
        <v>9.5</v>
      </c>
      <c r="L301" s="13" t="n"/>
      <c r="M301" s="16">
        <f>IF(COUNT(E301:L301)=0,"",MIN(E301:L301))</f>
        <v/>
      </c>
      <c r="N301" s="15">
        <f>IF(COUNT(E301:L301)=0,"",LOOKUP(2,1/(E301:L301&lt;&gt;""),E301:L301))</f>
        <v/>
      </c>
      <c r="O301" s="17">
        <f>IF(M301="","",ROUND(M301*RESUMEN!$B$4,0))</f>
        <v/>
      </c>
      <c r="P301" s="18">
        <f>COUNT(E301:L301)</f>
        <v/>
      </c>
      <c r="Q301" s="19">
        <f>IF(COUNT(J301:L301)=0,"",MIN(J301:L301))</f>
        <v/>
      </c>
    </row>
    <row r="302">
      <c r="A302" s="13" t="inlineStr">
        <is>
          <t>668eeccb35ffc</t>
        </is>
      </c>
      <c r="B302" s="13" t="inlineStr">
        <is>
          <t>PULSERA T PLATA</t>
        </is>
      </c>
      <c r="C302" s="13" t="inlineStr">
        <is>
          <t>XGX101626 16cm s</t>
        </is>
      </c>
      <c r="D302" s="14" t="inlineStr">
        <is>
          <t>STainless steel</t>
        </is>
      </c>
      <c r="E302" s="15" t="n">
        <v>9</v>
      </c>
      <c r="F302" s="13" t="n"/>
      <c r="G302" s="13" t="n"/>
      <c r="H302" s="13" t="n"/>
      <c r="I302" s="15" t="n">
        <v>9.5</v>
      </c>
      <c r="J302" s="13" t="n"/>
      <c r="K302" s="15" t="n">
        <v>9.5</v>
      </c>
      <c r="L302" s="15" t="n">
        <v>9</v>
      </c>
      <c r="M302" s="16">
        <f>IF(COUNT(E302:L302)=0,"",MIN(E302:L302))</f>
        <v/>
      </c>
      <c r="N302" s="15">
        <f>IF(COUNT(E302:L302)=0,"",LOOKUP(2,1/(E302:L302&lt;&gt;""),E302:L302))</f>
        <v/>
      </c>
      <c r="O302" s="17">
        <f>IF(M302="","",ROUND(M302*RESUMEN!$B$4,0))</f>
        <v/>
      </c>
      <c r="P302" s="18">
        <f>COUNT(E302:L302)</f>
        <v/>
      </c>
      <c r="Q302" s="19">
        <f>IF(COUNT(J302:L302)=0,"",MIN(J302:L302))</f>
        <v/>
      </c>
    </row>
    <row r="303">
      <c r="A303" s="13" t="inlineStr">
        <is>
          <t>668eecc4d784e</t>
        </is>
      </c>
      <c r="B303" s="13" t="inlineStr">
        <is>
          <t>PULSERA T ROSE GOLD</t>
        </is>
      </c>
      <c r="C303" s="13" t="inlineStr">
        <is>
          <t>16 cm</t>
        </is>
      </c>
      <c r="D303" s="14" t="inlineStr">
        <is>
          <t>STainless steel</t>
        </is>
      </c>
      <c r="E303" s="15" t="n">
        <v>9</v>
      </c>
      <c r="F303" s="13" t="n"/>
      <c r="G303" s="13" t="n"/>
      <c r="H303" s="13" t="n"/>
      <c r="I303" s="15" t="n">
        <v>9.5</v>
      </c>
      <c r="J303" s="13" t="n"/>
      <c r="K303" s="13" t="n"/>
      <c r="L303" s="13" t="n"/>
      <c r="M303" s="16">
        <f>IF(COUNT(E303:L303)=0,"",MIN(E303:L303))</f>
        <v/>
      </c>
      <c r="N303" s="15">
        <f>IF(COUNT(E303:L303)=0,"",LOOKUP(2,1/(E303:L303&lt;&gt;""),E303:L303))</f>
        <v/>
      </c>
      <c r="O303" s="17">
        <f>IF(M303="","",ROUND(M303*RESUMEN!$B$4,0))</f>
        <v/>
      </c>
      <c r="P303" s="18">
        <f>COUNT(E303:L303)</f>
        <v/>
      </c>
      <c r="Q303" s="19">
        <f>IF(COUNT(J303:L303)=0,"",MIN(J303:L303))</f>
        <v/>
      </c>
    </row>
    <row r="304">
      <c r="A304" s="13" t="inlineStr">
        <is>
          <t>43047196098700</t>
        </is>
      </c>
      <c r="B304" s="13" t="inlineStr">
        <is>
          <t>PULSERA TRUE GOLD</t>
        </is>
      </c>
      <c r="C304" s="13" t="inlineStr">
        <is>
          <t>20cm</t>
        </is>
      </c>
      <c r="D304" s="14" t="inlineStr">
        <is>
          <t>Microfiber leather</t>
        </is>
      </c>
      <c r="E304" s="13" t="n"/>
      <c r="F304" s="13" t="n"/>
      <c r="G304" s="13" t="n"/>
      <c r="H304" s="13" t="n"/>
      <c r="I304" s="15" t="n">
        <v>25.8</v>
      </c>
      <c r="J304" s="13" t="n"/>
      <c r="K304" s="15" t="n">
        <v>25.8</v>
      </c>
      <c r="L304" s="13" t="n"/>
      <c r="M304" s="16">
        <f>IF(COUNT(E304:L304)=0,"",MIN(E304:L304))</f>
        <v/>
      </c>
      <c r="N304" s="15">
        <f>IF(COUNT(E304:L304)=0,"",LOOKUP(2,1/(E304:L304&lt;&gt;""),E304:L304))</f>
        <v/>
      </c>
      <c r="O304" s="17">
        <f>IF(M304="","",ROUND(M304*RESUMEN!$B$4,0))</f>
        <v/>
      </c>
      <c r="P304" s="18">
        <f>COUNT(E304:L304)</f>
        <v/>
      </c>
      <c r="Q304" s="19">
        <f>IF(COUNT(J304:L304)=0,"",MIN(J304:L304))</f>
        <v/>
      </c>
    </row>
    <row r="305">
      <c r="A305" s="13" t="inlineStr">
        <is>
          <t>6478f2edc6631</t>
        </is>
      </c>
      <c r="B305" s="13" t="inlineStr">
        <is>
          <t>PULSERA V LISA GOLD</t>
        </is>
      </c>
      <c r="C305" s="13" t="inlineStr">
        <is>
          <t>16cm</t>
        </is>
      </c>
      <c r="D305" s="14" t="inlineStr">
        <is>
          <t>copper</t>
        </is>
      </c>
      <c r="E305" s="13" t="n"/>
      <c r="F305" s="15" t="n">
        <v>6.8</v>
      </c>
      <c r="G305" s="13" t="n"/>
      <c r="H305" s="13" t="n"/>
      <c r="I305" s="13" t="n"/>
      <c r="J305" s="13" t="n"/>
      <c r="K305" s="15" t="n">
        <v>8.800000000000001</v>
      </c>
      <c r="L305" s="13" t="n"/>
      <c r="M305" s="16">
        <f>IF(COUNT(E305:L305)=0,"",MIN(E305:L305))</f>
        <v/>
      </c>
      <c r="N305" s="15">
        <f>IF(COUNT(E305:L305)=0,"",LOOKUP(2,1/(E305:L305&lt;&gt;""),E305:L305))</f>
        <v/>
      </c>
      <c r="O305" s="17">
        <f>IF(M305="","",ROUND(M305*RESUMEN!$B$4,0))</f>
        <v/>
      </c>
      <c r="P305" s="18">
        <f>COUNT(E305:L305)</f>
        <v/>
      </c>
      <c r="Q305" s="19">
        <f>IF(COUNT(J305:L305)=0,"",MIN(J305:L305))</f>
        <v/>
      </c>
    </row>
    <row r="306">
      <c r="A306" s="13" t="inlineStr">
        <is>
          <t>668eecae452bf</t>
        </is>
      </c>
      <c r="B306" s="13" t="inlineStr">
        <is>
          <t>PULSERA WRAP ESLABONES SILVER</t>
        </is>
      </c>
      <c r="C306" s="13" t="inlineStr">
        <is>
          <t>AJUSTABLE</t>
        </is>
      </c>
      <c r="D306" s="14" t="inlineStr">
        <is>
          <t>copper</t>
        </is>
      </c>
      <c r="E306" s="13" t="n"/>
      <c r="F306" s="13" t="n"/>
      <c r="G306" s="13" t="n"/>
      <c r="H306" s="13" t="n"/>
      <c r="I306" s="13" t="n"/>
      <c r="J306" s="13" t="n"/>
      <c r="K306" s="15" t="n">
        <v>25</v>
      </c>
      <c r="L306" s="13" t="n"/>
      <c r="M306" s="16">
        <f>IF(COUNT(E306:L306)=0,"",MIN(E306:L306))</f>
        <v/>
      </c>
      <c r="N306" s="15">
        <f>IF(COUNT(E306:L306)=0,"",LOOKUP(2,1/(E306:L306&lt;&gt;""),E306:L306))</f>
        <v/>
      </c>
      <c r="O306" s="17">
        <f>IF(M306="","",ROUND(M306*RESUMEN!$B$4,0))</f>
        <v/>
      </c>
      <c r="P306" s="18">
        <f>COUNT(E306:L306)</f>
        <v/>
      </c>
      <c r="Q306" s="19">
        <f>IF(COUNT(J306:L306)=0,"",MIN(J306:L306))</f>
        <v/>
      </c>
    </row>
    <row r="307">
      <c r="A307" s="13" t="inlineStr">
        <is>
          <t>77137551158381</t>
        </is>
      </c>
      <c r="B307" s="13" t="inlineStr">
        <is>
          <t>SANDALIAS CC TONGS WHITE</t>
        </is>
      </c>
      <c r="C307" s="13" t="inlineStr">
        <is>
          <t>40(25MX)</t>
        </is>
      </c>
      <c r="D307" s="14" t="inlineStr">
        <is>
          <t>Microfiber leather</t>
        </is>
      </c>
      <c r="E307" s="13" t="n"/>
      <c r="F307" s="13" t="n"/>
      <c r="G307" s="13" t="n"/>
      <c r="H307" s="13" t="n"/>
      <c r="I307" s="13" t="n"/>
      <c r="J307" s="13" t="n"/>
      <c r="K307" s="15" t="n">
        <v>39</v>
      </c>
      <c r="L307" s="13" t="n"/>
      <c r="M307" s="16">
        <f>IF(COUNT(E307:L307)=0,"",MIN(E307:L307))</f>
        <v/>
      </c>
      <c r="N307" s="15">
        <f>IF(COUNT(E307:L307)=0,"",LOOKUP(2,1/(E307:L307&lt;&gt;""),E307:L307))</f>
        <v/>
      </c>
      <c r="O307" s="17">
        <f>IF(M307="","",ROUND(M307*RESUMEN!$B$4,0))</f>
        <v/>
      </c>
      <c r="P307" s="18">
        <f>COUNT(E307:L307)</f>
        <v/>
      </c>
      <c r="Q307" s="19">
        <f>IF(COUNT(J307:L307)=0,"",MIN(J307:L307))</f>
        <v/>
      </c>
    </row>
    <row r="308">
      <c r="A308" s="13" t="inlineStr">
        <is>
          <t>81712804295948</t>
        </is>
      </c>
      <c r="B308" s="13" t="inlineStr">
        <is>
          <t>SANDALIAS DG BIANCA</t>
        </is>
      </c>
      <c r="C308" s="13" t="inlineStr">
        <is>
          <t>36/ 23cm</t>
        </is>
      </c>
      <c r="D308" s="14" t="inlineStr">
        <is>
          <t>Microfiber leather</t>
        </is>
      </c>
      <c r="E308" s="13" t="n"/>
      <c r="F308" s="13" t="n"/>
      <c r="G308" s="13" t="n"/>
      <c r="H308" s="15" t="n">
        <v>28</v>
      </c>
      <c r="I308" s="13" t="n"/>
      <c r="J308" s="13" t="n"/>
      <c r="K308" s="13" t="n"/>
      <c r="L308" s="15" t="n">
        <v>28</v>
      </c>
      <c r="M308" s="16">
        <f>IF(COUNT(E308:L308)=0,"",MIN(E308:L308))</f>
        <v/>
      </c>
      <c r="N308" s="15">
        <f>IF(COUNT(E308:L308)=0,"",LOOKUP(2,1/(E308:L308&lt;&gt;""),E308:L308))</f>
        <v/>
      </c>
      <c r="O308" s="17">
        <f>IF(M308="","",ROUND(M308*RESUMEN!$B$4,0))</f>
        <v/>
      </c>
      <c r="P308" s="18">
        <f>COUNT(E308:L308)</f>
        <v/>
      </c>
      <c r="Q308" s="19">
        <f>IF(COUNT(J308:L308)=0,"",MIN(J308:L308))</f>
        <v/>
      </c>
    </row>
    <row r="309">
      <c r="A309" s="13" t="inlineStr">
        <is>
          <t>81712814328716</t>
        </is>
      </c>
      <c r="B309" s="13" t="inlineStr">
        <is>
          <t>SANDALIAS DG BIANCA</t>
        </is>
      </c>
      <c r="C309" s="13" t="inlineStr">
        <is>
          <t>38/24cm</t>
        </is>
      </c>
      <c r="D309" s="14" t="inlineStr">
        <is>
          <t>Microfiber leather</t>
        </is>
      </c>
      <c r="E309" s="13" t="n"/>
      <c r="F309" s="13" t="n"/>
      <c r="G309" s="13" t="n"/>
      <c r="H309" s="15" t="n">
        <v>28</v>
      </c>
      <c r="I309" s="13" t="n"/>
      <c r="J309" s="13" t="n"/>
      <c r="K309" s="13" t="n"/>
      <c r="L309" s="15" t="n">
        <v>28</v>
      </c>
      <c r="M309" s="16">
        <f>IF(COUNT(E309:L309)=0,"",MIN(E309:L309))</f>
        <v/>
      </c>
      <c r="N309" s="15">
        <f>IF(COUNT(E309:L309)=0,"",LOOKUP(2,1/(E309:L309&lt;&gt;""),E309:L309))</f>
        <v/>
      </c>
      <c r="O309" s="17">
        <f>IF(M309="","",ROUND(M309*RESUMEN!$B$4,0))</f>
        <v/>
      </c>
      <c r="P309" s="18">
        <f>COUNT(E309:L309)</f>
        <v/>
      </c>
      <c r="Q309" s="19">
        <f>IF(COUNT(J309:L309)=0,"",MIN(J309:L309))</f>
        <v/>
      </c>
    </row>
    <row r="310">
      <c r="A310" s="13" t="inlineStr">
        <is>
          <t>71628204959884</t>
        </is>
      </c>
      <c r="B310" s="13" t="inlineStr">
        <is>
          <t>SANDALIAS H BLACK</t>
        </is>
      </c>
      <c r="C310" s="13" t="inlineStr">
        <is>
          <t>38 (24cm)</t>
        </is>
      </c>
      <c r="D310" s="14" t="inlineStr">
        <is>
          <t>Sheepskin</t>
        </is>
      </c>
      <c r="E310" s="15" t="n">
        <v>34</v>
      </c>
      <c r="F310" s="13" t="n"/>
      <c r="G310" s="15" t="n">
        <v>34</v>
      </c>
      <c r="H310" s="15" t="n">
        <v>34</v>
      </c>
      <c r="I310" s="13" t="n"/>
      <c r="J310" s="13" t="n"/>
      <c r="K310" s="13" t="n"/>
      <c r="L310" s="15" t="n">
        <v>34</v>
      </c>
      <c r="M310" s="16">
        <f>IF(COUNT(E310:L310)=0,"",MIN(E310:L310))</f>
        <v/>
      </c>
      <c r="N310" s="15">
        <f>IF(COUNT(E310:L310)=0,"",LOOKUP(2,1/(E310:L310&lt;&gt;""),E310:L310))</f>
        <v/>
      </c>
      <c r="O310" s="17">
        <f>IF(M310="","",ROUND(M310*RESUMEN!$B$4,0))</f>
        <v/>
      </c>
      <c r="P310" s="18">
        <f>COUNT(E310:L310)</f>
        <v/>
      </c>
      <c r="Q310" s="19">
        <f>IF(COUNT(J310:L310)=0,"",MIN(J310:L310))</f>
        <v/>
      </c>
    </row>
    <row r="311">
      <c r="A311" s="13" t="inlineStr">
        <is>
          <t>6701d26098e78</t>
        </is>
      </c>
      <c r="B311" s="13" t="inlineStr">
        <is>
          <t>SANDALIAS H BLACK</t>
        </is>
      </c>
      <c r="C311" s="13" t="inlineStr">
        <is>
          <t>40 (25cm)</t>
        </is>
      </c>
      <c r="D311" s="14" t="inlineStr">
        <is>
          <t>Sheepskin</t>
        </is>
      </c>
      <c r="E311" s="15" t="n">
        <v>34</v>
      </c>
      <c r="F311" s="13" t="n"/>
      <c r="G311" s="15" t="n">
        <v>34</v>
      </c>
      <c r="H311" s="15" t="n">
        <v>34</v>
      </c>
      <c r="I311" s="13" t="n"/>
      <c r="J311" s="13" t="n"/>
      <c r="K311" s="15" t="n">
        <v>34</v>
      </c>
      <c r="L311" s="13" t="n"/>
      <c r="M311" s="16">
        <f>IF(COUNT(E311:L311)=0,"",MIN(E311:L311))</f>
        <v/>
      </c>
      <c r="N311" s="15">
        <f>IF(COUNT(E311:L311)=0,"",LOOKUP(2,1/(E311:L311&lt;&gt;""),E311:L311))</f>
        <v/>
      </c>
      <c r="O311" s="17">
        <f>IF(M311="","",ROUND(M311*RESUMEN!$B$4,0))</f>
        <v/>
      </c>
      <c r="P311" s="18">
        <f>COUNT(E311:L311)</f>
        <v/>
      </c>
      <c r="Q311" s="19">
        <f>IF(COUNT(J311:L311)=0,"",MIN(J311:L311))</f>
        <v/>
      </c>
    </row>
    <row r="312">
      <c r="A312" s="13" t="inlineStr">
        <is>
          <t>71628204927116</t>
        </is>
      </c>
      <c r="B312" s="13" t="inlineStr">
        <is>
          <t>SANDALIAS H BLACK</t>
        </is>
      </c>
      <c r="C312" s="13" t="inlineStr">
        <is>
          <t>XGDWS black 23cm</t>
        </is>
      </c>
      <c r="D312" s="14" t="inlineStr">
        <is>
          <t>Sheepskin</t>
        </is>
      </c>
      <c r="E312" s="15" t="n">
        <v>34</v>
      </c>
      <c r="F312" s="13" t="n"/>
      <c r="G312" s="13" t="n"/>
      <c r="H312" s="15" t="n">
        <v>34</v>
      </c>
      <c r="I312" s="15" t="n">
        <v>34</v>
      </c>
      <c r="J312" s="13" t="n"/>
      <c r="K312" s="13" t="n"/>
      <c r="L312" s="15" t="n">
        <v>34</v>
      </c>
      <c r="M312" s="16">
        <f>IF(COUNT(E312:L312)=0,"",MIN(E312:L312))</f>
        <v/>
      </c>
      <c r="N312" s="15">
        <f>IF(COUNT(E312:L312)=0,"",LOOKUP(2,1/(E312:L312&lt;&gt;""),E312:L312))</f>
        <v/>
      </c>
      <c r="O312" s="17">
        <f>IF(M312="","",ROUND(M312*RESUMEN!$B$4,0))</f>
        <v/>
      </c>
      <c r="P312" s="18">
        <f>COUNT(E312:L312)</f>
        <v/>
      </c>
      <c r="Q312" s="19">
        <f>IF(COUNT(J312:L312)=0,"",MIN(J312:L312))</f>
        <v/>
      </c>
    </row>
    <row r="313">
      <c r="A313" s="13" t="inlineStr">
        <is>
          <t>71628204107916</t>
        </is>
      </c>
      <c r="B313" s="13" t="inlineStr">
        <is>
          <t>SANDALIAS H BLUE</t>
        </is>
      </c>
      <c r="C313" s="13" t="inlineStr">
        <is>
          <t>37 (23cm)</t>
        </is>
      </c>
      <c r="D313" s="14" t="inlineStr">
        <is>
          <t>Cowhide</t>
        </is>
      </c>
      <c r="E313" s="13" t="n"/>
      <c r="F313" s="13" t="n"/>
      <c r="G313" s="13" t="n"/>
      <c r="H313" s="15" t="n">
        <v>30</v>
      </c>
      <c r="I313" s="13" t="n"/>
      <c r="J313" s="13" t="n"/>
      <c r="K313" s="13" t="n"/>
      <c r="L313" s="15" t="n">
        <v>30</v>
      </c>
      <c r="M313" s="16">
        <f>IF(COUNT(E313:L313)=0,"",MIN(E313:L313))</f>
        <v/>
      </c>
      <c r="N313" s="15">
        <f>IF(COUNT(E313:L313)=0,"",LOOKUP(2,1/(E313:L313&lt;&gt;""),E313:L313))</f>
        <v/>
      </c>
      <c r="O313" s="17">
        <f>IF(M313="","",ROUND(M313*RESUMEN!$B$4,0))</f>
        <v/>
      </c>
      <c r="P313" s="18">
        <f>COUNT(E313:L313)</f>
        <v/>
      </c>
      <c r="Q313" s="19">
        <f>IF(COUNT(J313:L313)=0,"",MIN(J313:L313))</f>
        <v/>
      </c>
    </row>
    <row r="314">
      <c r="A314" s="13" t="inlineStr">
        <is>
          <t>6701d25f548f5</t>
        </is>
      </c>
      <c r="B314" s="13" t="inlineStr">
        <is>
          <t>SANDALIAS H BLUE</t>
        </is>
      </c>
      <c r="C314" s="13" t="inlineStr">
        <is>
          <t>38 (24cm)</t>
        </is>
      </c>
      <c r="D314" s="14" t="inlineStr">
        <is>
          <t>sheepskin</t>
        </is>
      </c>
      <c r="E314" s="13" t="n"/>
      <c r="F314" s="13" t="n"/>
      <c r="G314" s="13" t="n"/>
      <c r="H314" s="13" t="n"/>
      <c r="I314" s="15" t="n">
        <v>30</v>
      </c>
      <c r="J314" s="13" t="n"/>
      <c r="K314" s="15" t="n">
        <v>30</v>
      </c>
      <c r="L314" s="13" t="n"/>
      <c r="M314" s="16">
        <f>IF(COUNT(E314:L314)=0,"",MIN(E314:L314))</f>
        <v/>
      </c>
      <c r="N314" s="15">
        <f>IF(COUNT(E314:L314)=0,"",LOOKUP(2,1/(E314:L314&lt;&gt;""),E314:L314))</f>
        <v/>
      </c>
      <c r="O314" s="17">
        <f>IF(M314="","",ROUND(M314*RESUMEN!$B$4,0))</f>
        <v/>
      </c>
      <c r="P314" s="18">
        <f>COUNT(E314:L314)</f>
        <v/>
      </c>
      <c r="Q314" s="19">
        <f>IF(COUNT(J314:L314)=0,"",MIN(J314:L314))</f>
        <v/>
      </c>
    </row>
    <row r="315">
      <c r="A315" s="13" t="inlineStr">
        <is>
          <t>68339221065441</t>
        </is>
      </c>
      <c r="B315" s="13" t="inlineStr">
        <is>
          <t>SANDALIAS H BLUE</t>
        </is>
      </c>
      <c r="C315" s="13" t="inlineStr">
        <is>
          <t>42 (26cm)</t>
        </is>
      </c>
      <c r="D315" s="14" t="inlineStr">
        <is>
          <t>Cowhide</t>
        </is>
      </c>
      <c r="E315" s="13" t="n"/>
      <c r="F315" s="13" t="n"/>
      <c r="G315" s="13" t="n"/>
      <c r="H315" s="15" t="n">
        <v>30</v>
      </c>
      <c r="I315" s="13" t="n"/>
      <c r="J315" s="13" t="n"/>
      <c r="K315" s="15" t="n">
        <v>30</v>
      </c>
      <c r="L315" s="13" t="n"/>
      <c r="M315" s="16">
        <f>IF(COUNT(E315:L315)=0,"",MIN(E315:L315))</f>
        <v/>
      </c>
      <c r="N315" s="15">
        <f>IF(COUNT(E315:L315)=0,"",LOOKUP(2,1/(E315:L315&lt;&gt;""),E315:L315))</f>
        <v/>
      </c>
      <c r="O315" s="17">
        <f>IF(M315="","",ROUND(M315*RESUMEN!$B$4,0))</f>
        <v/>
      </c>
      <c r="P315" s="18">
        <f>COUNT(E315:L315)</f>
        <v/>
      </c>
      <c r="Q315" s="19">
        <f>IF(COUNT(J315:L315)=0,"",MIN(J315:L315))</f>
        <v/>
      </c>
    </row>
    <row r="316">
      <c r="A316" s="13" t="inlineStr">
        <is>
          <t>71628205615244</t>
        </is>
      </c>
      <c r="B316" s="13" t="inlineStr">
        <is>
          <t>SANDALIAS H BROWN</t>
        </is>
      </c>
      <c r="C316" s="13" t="inlineStr">
        <is>
          <t>37 (23cm)</t>
        </is>
      </c>
      <c r="D316" s="14" t="inlineStr">
        <is>
          <t>Sheepskin</t>
        </is>
      </c>
      <c r="E316" s="15" t="n">
        <v>30</v>
      </c>
      <c r="F316" s="13" t="n"/>
      <c r="G316" s="13" t="n"/>
      <c r="H316" s="15" t="n">
        <v>30</v>
      </c>
      <c r="I316" s="13" t="n"/>
      <c r="J316" s="13" t="n"/>
      <c r="K316" s="15" t="n">
        <v>30</v>
      </c>
      <c r="L316" s="13" t="n"/>
      <c r="M316" s="16">
        <f>IF(COUNT(E316:L316)=0,"",MIN(E316:L316))</f>
        <v/>
      </c>
      <c r="N316" s="15">
        <f>IF(COUNT(E316:L316)=0,"",LOOKUP(2,1/(E316:L316&lt;&gt;""),E316:L316))</f>
        <v/>
      </c>
      <c r="O316" s="17">
        <f>IF(M316="","",ROUND(M316*RESUMEN!$B$4,0))</f>
        <v/>
      </c>
      <c r="P316" s="18">
        <f>COUNT(E316:L316)</f>
        <v/>
      </c>
      <c r="Q316" s="19">
        <f>IF(COUNT(J316:L316)=0,"",MIN(J316:L316))</f>
        <v/>
      </c>
    </row>
    <row r="317">
      <c r="A317" s="13" t="inlineStr">
        <is>
          <t>71628205648012</t>
        </is>
      </c>
      <c r="B317" s="13" t="inlineStr">
        <is>
          <t>SANDALIAS H BROWN</t>
        </is>
      </c>
      <c r="C317" s="13" t="inlineStr">
        <is>
          <t>38 (24cm)</t>
        </is>
      </c>
      <c r="D317" s="14" t="inlineStr">
        <is>
          <t>sheepskin</t>
        </is>
      </c>
      <c r="E317" s="13" t="n"/>
      <c r="F317" s="13" t="n"/>
      <c r="G317" s="13" t="n"/>
      <c r="H317" s="15" t="n">
        <v>30</v>
      </c>
      <c r="I317" s="15" t="n">
        <v>30</v>
      </c>
      <c r="J317" s="13" t="n"/>
      <c r="K317" s="15" t="n">
        <v>30</v>
      </c>
      <c r="L317" s="13" t="n"/>
      <c r="M317" s="16">
        <f>IF(COUNT(E317:L317)=0,"",MIN(E317:L317))</f>
        <v/>
      </c>
      <c r="N317" s="15">
        <f>IF(COUNT(E317:L317)=0,"",LOOKUP(2,1/(E317:L317&lt;&gt;""),E317:L317))</f>
        <v/>
      </c>
      <c r="O317" s="17">
        <f>IF(M317="","",ROUND(M317*RESUMEN!$B$4,0))</f>
        <v/>
      </c>
      <c r="P317" s="18">
        <f>COUNT(E317:L317)</f>
        <v/>
      </c>
      <c r="Q317" s="19">
        <f>IF(COUNT(J317:L317)=0,"",MIN(J317:L317))</f>
        <v/>
      </c>
    </row>
    <row r="318">
      <c r="A318" s="13" t="inlineStr">
        <is>
          <t>6701d25e998f7</t>
        </is>
      </c>
      <c r="B318" s="13" t="inlineStr">
        <is>
          <t>SANDALIAS H BROWN</t>
        </is>
      </c>
      <c r="C318" s="13" t="inlineStr">
        <is>
          <t>40 (25cm)</t>
        </is>
      </c>
      <c r="D318" s="14" t="inlineStr">
        <is>
          <t>sheepskin</t>
        </is>
      </c>
      <c r="E318" s="13" t="n"/>
      <c r="F318" s="15" t="n">
        <v>30</v>
      </c>
      <c r="G318" s="15" t="n">
        <v>30</v>
      </c>
      <c r="H318" s="13" t="n"/>
      <c r="I318" s="15" t="n">
        <v>30</v>
      </c>
      <c r="J318" s="13" t="n"/>
      <c r="K318" s="15" t="n">
        <v>30</v>
      </c>
      <c r="L318" s="13" t="n"/>
      <c r="M318" s="16">
        <f>IF(COUNT(E318:L318)=0,"",MIN(E318:L318))</f>
        <v/>
      </c>
      <c r="N318" s="15">
        <f>IF(COUNT(E318:L318)=0,"",LOOKUP(2,1/(E318:L318&lt;&gt;""),E318:L318))</f>
        <v/>
      </c>
      <c r="O318" s="17">
        <f>IF(M318="","",ROUND(M318*RESUMEN!$B$4,0))</f>
        <v/>
      </c>
      <c r="P318" s="18">
        <f>COUNT(E318:L318)</f>
        <v/>
      </c>
      <c r="Q318" s="19">
        <f>IF(COUNT(J318:L318)=0,"",MIN(J318:L318))</f>
        <v/>
      </c>
    </row>
    <row r="319">
      <c r="A319" s="13" t="inlineStr">
        <is>
          <t>6701d26083b55</t>
        </is>
      </c>
      <c r="B319" s="13" t="inlineStr">
        <is>
          <t>SANDALIAS H WHITE</t>
        </is>
      </c>
      <c r="C319" s="13" t="inlineStr">
        <is>
          <t>37 (23 cm)</t>
        </is>
      </c>
      <c r="D319" s="14" t="inlineStr">
        <is>
          <t>sheepskin</t>
        </is>
      </c>
      <c r="E319" s="13" t="n"/>
      <c r="F319" s="13" t="n"/>
      <c r="G319" s="13" t="n"/>
      <c r="H319" s="15" t="n">
        <v>30</v>
      </c>
      <c r="I319" s="15" t="n">
        <v>30</v>
      </c>
      <c r="J319" s="13" t="n"/>
      <c r="K319" s="15" t="n">
        <v>30</v>
      </c>
      <c r="L319" s="13" t="n"/>
      <c r="M319" s="16">
        <f>IF(COUNT(E319:L319)=0,"",MIN(E319:L319))</f>
        <v/>
      </c>
      <c r="N319" s="15">
        <f>IF(COUNT(E319:L319)=0,"",LOOKUP(2,1/(E319:L319&lt;&gt;""),E319:L319))</f>
        <v/>
      </c>
      <c r="O319" s="17">
        <f>IF(M319="","",ROUND(M319*RESUMEN!$B$4,0))</f>
        <v/>
      </c>
      <c r="P319" s="18">
        <f>COUNT(E319:L319)</f>
        <v/>
      </c>
      <c r="Q319" s="19">
        <f>IF(COUNT(J319:L319)=0,"",MIN(J319:L319))</f>
        <v/>
      </c>
    </row>
    <row r="320">
      <c r="A320" s="13" t="inlineStr">
        <is>
          <t>6701d26146e52</t>
        </is>
      </c>
      <c r="B320" s="13" t="inlineStr">
        <is>
          <t>SANDALIAS H WHITE</t>
        </is>
      </c>
      <c r="C320" s="13" t="inlineStr">
        <is>
          <t>38 (24cm)</t>
        </is>
      </c>
      <c r="D320" s="14" t="inlineStr">
        <is>
          <t>Sheepskin</t>
        </is>
      </c>
      <c r="E320" s="15" t="n">
        <v>30</v>
      </c>
      <c r="F320" s="13" t="n"/>
      <c r="G320" s="13" t="n"/>
      <c r="H320" s="13" t="n"/>
      <c r="I320" s="15" t="n">
        <v>30</v>
      </c>
      <c r="J320" s="13" t="n"/>
      <c r="K320" s="15" t="n">
        <v>30</v>
      </c>
      <c r="L320" s="13" t="n"/>
      <c r="M320" s="16">
        <f>IF(COUNT(E320:L320)=0,"",MIN(E320:L320))</f>
        <v/>
      </c>
      <c r="N320" s="15">
        <f>IF(COUNT(E320:L320)=0,"",LOOKUP(2,1/(E320:L320&lt;&gt;""),E320:L320))</f>
        <v/>
      </c>
      <c r="O320" s="17">
        <f>IF(M320="","",ROUND(M320*RESUMEN!$B$4,0))</f>
        <v/>
      </c>
      <c r="P320" s="18">
        <f>COUNT(E320:L320)</f>
        <v/>
      </c>
      <c r="Q320" s="19">
        <f>IF(COUNT(J320:L320)=0,"",MIN(J320:L320))</f>
        <v/>
      </c>
    </row>
    <row r="321">
      <c r="A321" s="13" t="inlineStr">
        <is>
          <t>82224431124141</t>
        </is>
      </c>
      <c r="B321" s="13" t="inlineStr">
        <is>
          <t>SANDALIAS H WHITE</t>
        </is>
      </c>
      <c r="C321" s="13" t="inlineStr">
        <is>
          <t>40 (25 cm)</t>
        </is>
      </c>
      <c r="D321" s="14" t="inlineStr">
        <is>
          <t>sheepskin</t>
        </is>
      </c>
      <c r="E321" s="13" t="n"/>
      <c r="F321" s="13" t="n"/>
      <c r="G321" s="13" t="n"/>
      <c r="H321" s="15" t="n">
        <v>30</v>
      </c>
      <c r="I321" s="15" t="n">
        <v>30</v>
      </c>
      <c r="J321" s="13" t="n"/>
      <c r="K321" s="15" t="n">
        <v>30</v>
      </c>
      <c r="L321" s="13" t="n"/>
      <c r="M321" s="16">
        <f>IF(COUNT(E321:L321)=0,"",MIN(E321:L321))</f>
        <v/>
      </c>
      <c r="N321" s="15">
        <f>IF(COUNT(E321:L321)=0,"",LOOKUP(2,1/(E321:L321&lt;&gt;""),E321:L321))</f>
        <v/>
      </c>
      <c r="O321" s="17">
        <f>IF(M321="","",ROUND(M321*RESUMEN!$B$4,0))</f>
        <v/>
      </c>
      <c r="P321" s="18">
        <f>COUNT(E321:L321)</f>
        <v/>
      </c>
      <c r="Q321" s="19">
        <f>IF(COUNT(J321:L321)=0,"",MIN(J321:L321))</f>
        <v/>
      </c>
    </row>
    <row r="322">
      <c r="A322" s="13" t="inlineStr">
        <is>
          <t>81712806088460</t>
        </is>
      </c>
      <c r="B322" s="13" t="inlineStr">
        <is>
          <t>SANDALIAS MM</t>
        </is>
      </c>
      <c r="C322" s="13" t="inlineStr">
        <is>
          <t>37/ 23cm</t>
        </is>
      </c>
      <c r="D322" s="14" t="inlineStr">
        <is>
          <t>Microfiber leather</t>
        </is>
      </c>
      <c r="E322" s="13" t="n"/>
      <c r="F322" s="13" t="n"/>
      <c r="G322" s="13" t="n"/>
      <c r="H322" s="15" t="n">
        <v>28</v>
      </c>
      <c r="I322" s="15" t="n">
        <v>28</v>
      </c>
      <c r="J322" s="13" t="n"/>
      <c r="K322" s="15" t="n">
        <v>28</v>
      </c>
      <c r="L322" s="13" t="n"/>
      <c r="M322" s="16">
        <f>IF(COUNT(E322:L322)=0,"",MIN(E322:L322))</f>
        <v/>
      </c>
      <c r="N322" s="15">
        <f>IF(COUNT(E322:L322)=0,"",LOOKUP(2,1/(E322:L322&lt;&gt;""),E322:L322))</f>
        <v/>
      </c>
      <c r="O322" s="17">
        <f>IF(M322="","",ROUND(M322*RESUMEN!$B$4,0))</f>
        <v/>
      </c>
      <c r="P322" s="18">
        <f>COUNT(E322:L322)</f>
        <v/>
      </c>
      <c r="Q322" s="19">
        <f>IF(COUNT(J322:L322)=0,"",MIN(J322:L322))</f>
        <v/>
      </c>
    </row>
    <row r="323">
      <c r="A323" s="13" t="inlineStr">
        <is>
          <t>81712806153996</t>
        </is>
      </c>
      <c r="B323" s="13" t="inlineStr">
        <is>
          <t>SANDALIAS MM</t>
        </is>
      </c>
      <c r="C323" s="13" t="inlineStr">
        <is>
          <t>40/ 25cm</t>
        </is>
      </c>
      <c r="D323" s="14" t="inlineStr">
        <is>
          <t>Microfiber leather</t>
        </is>
      </c>
      <c r="E323" s="15" t="n">
        <v>28</v>
      </c>
      <c r="F323" s="13" t="n"/>
      <c r="G323" s="15" t="n">
        <v>28</v>
      </c>
      <c r="H323" s="13" t="n"/>
      <c r="I323" s="15" t="n">
        <v>28</v>
      </c>
      <c r="J323" s="13" t="n"/>
      <c r="K323" s="15" t="n">
        <v>28</v>
      </c>
      <c r="L323" s="13" t="n"/>
      <c r="M323" s="16">
        <f>IF(COUNT(E323:L323)=0,"",MIN(E323:L323))</f>
        <v/>
      </c>
      <c r="N323" s="15">
        <f>IF(COUNT(E323:L323)=0,"",LOOKUP(2,1/(E323:L323&lt;&gt;""),E323:L323))</f>
        <v/>
      </c>
      <c r="O323" s="17">
        <f>IF(M323="","",ROUND(M323*RESUMEN!$B$4,0))</f>
        <v/>
      </c>
      <c r="P323" s="18">
        <f>COUNT(E323:L323)</f>
        <v/>
      </c>
      <c r="Q323" s="19">
        <f>IF(COUNT(J323:L323)=0,"",MIN(J323:L323))</f>
        <v/>
      </c>
    </row>
    <row r="324">
      <c r="A324" s="13" t="inlineStr">
        <is>
          <t>81712806121228</t>
        </is>
      </c>
      <c r="B324" s="13" t="inlineStr">
        <is>
          <t>SANDALIAS MM</t>
        </is>
      </c>
      <c r="C324" s="13" t="inlineStr">
        <is>
          <t>XGDWS 24cm/38#</t>
        </is>
      </c>
      <c r="D324" s="14" t="inlineStr">
        <is>
          <t>Microfiber leather</t>
        </is>
      </c>
      <c r="E324" s="15" t="n">
        <v>28</v>
      </c>
      <c r="F324" s="13" t="n"/>
      <c r="G324" s="13" t="n"/>
      <c r="H324" s="15" t="n">
        <v>28</v>
      </c>
      <c r="I324" s="15" t="n">
        <v>28</v>
      </c>
      <c r="J324" s="13" t="n"/>
      <c r="K324" s="15" t="n">
        <v>28</v>
      </c>
      <c r="L324" s="15" t="n">
        <v>28</v>
      </c>
      <c r="M324" s="16">
        <f>IF(COUNT(E324:L324)=0,"",MIN(E324:L324))</f>
        <v/>
      </c>
      <c r="N324" s="15">
        <f>IF(COUNT(E324:L324)=0,"",LOOKUP(2,1/(E324:L324&lt;&gt;""),E324:L324))</f>
        <v/>
      </c>
      <c r="O324" s="17">
        <f>IF(M324="","",ROUND(M324*RESUMEN!$B$4,0))</f>
        <v/>
      </c>
      <c r="P324" s="18">
        <f>COUNT(E324:L324)</f>
        <v/>
      </c>
      <c r="Q324" s="19">
        <f>IF(COUNT(J324:L324)=0,"",MIN(J324:L324))</f>
        <v/>
      </c>
    </row>
    <row r="325">
      <c r="A325" s="13" t="inlineStr">
        <is>
          <t>33644561374637</t>
        </is>
      </c>
      <c r="B325" s="13" t="inlineStr">
        <is>
          <t>SOMBRERO MM BEACH RAFFIA</t>
        </is>
      </c>
      <c r="C325" s="13" t="inlineStr">
        <is>
          <t>33644561374637</t>
        </is>
      </c>
      <c r="D325" s="14" t="inlineStr"/>
      <c r="E325" s="13" t="n"/>
      <c r="F325" s="13" t="n"/>
      <c r="G325" s="13" t="n"/>
      <c r="H325" s="13" t="n"/>
      <c r="I325" s="13" t="n"/>
      <c r="J325" s="15" t="n">
        <v>16</v>
      </c>
      <c r="K325" s="15" t="n">
        <v>16</v>
      </c>
      <c r="L325" s="13" t="n"/>
      <c r="M325" s="16">
        <f>IF(COUNT(E325:L325)=0,"",MIN(E325:L325))</f>
        <v/>
      </c>
      <c r="N325" s="15">
        <f>IF(COUNT(E325:L325)=0,"",LOOKUP(2,1/(E325:L325&lt;&gt;""),E325:L325))</f>
        <v/>
      </c>
      <c r="O325" s="17">
        <f>IF(M325="","",ROUND(M325*RESUMEN!$B$4,0))</f>
        <v/>
      </c>
      <c r="P325" s="18">
        <f>COUNT(E325:L325)</f>
        <v/>
      </c>
      <c r="Q325" s="19">
        <f>IF(COUNT(J325:L325)=0,"",MIN(J325:L325))</f>
        <v/>
      </c>
    </row>
    <row r="326">
      <c r="A326" s="13" t="inlineStr">
        <is>
          <t>33644561498925</t>
        </is>
      </c>
      <c r="B326" s="13" t="inlineStr">
        <is>
          <t>SOMBRERO MM BEACH RAFFIA BROWN</t>
        </is>
      </c>
      <c r="C326" s="13" t="inlineStr">
        <is>
          <t>33644561498925</t>
        </is>
      </c>
      <c r="D326" s="14" t="inlineStr"/>
      <c r="E326" s="13" t="n"/>
      <c r="F326" s="13" t="n"/>
      <c r="G326" s="13" t="n"/>
      <c r="H326" s="13" t="n"/>
      <c r="I326" s="13" t="n"/>
      <c r="J326" s="15" t="n">
        <v>16</v>
      </c>
      <c r="K326" s="15" t="n">
        <v>16</v>
      </c>
      <c r="L326" s="13" t="n"/>
      <c r="M326" s="16">
        <f>IF(COUNT(E326:L326)=0,"",MIN(E326:L326))</f>
        <v/>
      </c>
      <c r="N326" s="15">
        <f>IF(COUNT(E326:L326)=0,"",LOOKUP(2,1/(E326:L326&lt;&gt;""),E326:L326))</f>
        <v/>
      </c>
      <c r="O326" s="17">
        <f>IF(M326="","",ROUND(M326*RESUMEN!$B$4,0))</f>
        <v/>
      </c>
      <c r="P326" s="18">
        <f>COUNT(E326:L326)</f>
        <v/>
      </c>
      <c r="Q326" s="19">
        <f>IF(COUNT(J326:L326)=0,"",MIN(J326:L326))</f>
        <v/>
      </c>
    </row>
    <row r="327">
      <c r="A327" s="13" t="inlineStr">
        <is>
          <t>79010371019917</t>
        </is>
      </c>
      <c r="B327" s="13" t="inlineStr">
        <is>
          <t>SOMBRERO MM BEACH RAFFIA CAQUI</t>
        </is>
      </c>
      <c r="C327" s="13" t="inlineStr">
        <is>
          <t>PRODUCTO NUEVO</t>
        </is>
      </c>
      <c r="D327" s="14" t="inlineStr"/>
      <c r="E327" s="13" t="n"/>
      <c r="F327" s="13" t="n"/>
      <c r="G327" s="13" t="n"/>
      <c r="H327" s="13" t="n"/>
      <c r="I327" s="13" t="n"/>
      <c r="J327" s="13" t="n"/>
      <c r="K327" s="15" t="n">
        <v>16</v>
      </c>
      <c r="L327" s="13" t="n"/>
      <c r="M327" s="16">
        <f>IF(COUNT(E327:L327)=0,"",MIN(E327:L327))</f>
        <v/>
      </c>
      <c r="N327" s="15">
        <f>IF(COUNT(E327:L327)=0,"",LOOKUP(2,1/(E327:L327&lt;&gt;""),E327:L327))</f>
        <v/>
      </c>
      <c r="O327" s="17">
        <f>IF(M327="","",ROUND(M327*RESUMEN!$B$4,0))</f>
        <v/>
      </c>
      <c r="P327" s="18">
        <f>COUNT(E327:L327)</f>
        <v/>
      </c>
      <c r="Q327" s="19">
        <f>IF(COUNT(J327:L327)=0,"",MIN(J327:L327))</f>
        <v/>
      </c>
    </row>
    <row r="328">
      <c r="A328" s="13" t="inlineStr">
        <is>
          <t>33644561748045</t>
        </is>
      </c>
      <c r="B328" s="13" t="inlineStr">
        <is>
          <t>SOMBRERO MM DENIM BLUE</t>
        </is>
      </c>
      <c r="C328" s="13" t="inlineStr">
        <is>
          <t>Default Title</t>
        </is>
      </c>
      <c r="D328" s="14" t="inlineStr"/>
      <c r="E328" s="13" t="n"/>
      <c r="F328" s="13" t="n"/>
      <c r="G328" s="13" t="n"/>
      <c r="H328" s="13" t="n"/>
      <c r="I328" s="13" t="n"/>
      <c r="J328" s="15" t="n">
        <v>9.800000000000001</v>
      </c>
      <c r="K328" s="13" t="n"/>
      <c r="L328" s="13" t="n"/>
      <c r="M328" s="16">
        <f>IF(COUNT(E328:L328)=0,"",MIN(E328:L328))</f>
        <v/>
      </c>
      <c r="N328" s="15">
        <f>IF(COUNT(E328:L328)=0,"",LOOKUP(2,1/(E328:L328&lt;&gt;""),E328:L328))</f>
        <v/>
      </c>
      <c r="O328" s="17">
        <f>IF(M328="","",ROUND(M328*RESUMEN!$B$4,0))</f>
        <v/>
      </c>
      <c r="P328" s="18">
        <f>COUNT(E328:L328)</f>
        <v/>
      </c>
      <c r="Q328" s="19">
        <f>IF(COUNT(J328:L328)=0,"",MIN(J328:L328))</f>
        <v/>
      </c>
    </row>
    <row r="329">
      <c r="A329" s="13" t="inlineStr">
        <is>
          <t>33644561555373</t>
        </is>
      </c>
      <c r="B329" s="13" t="inlineStr">
        <is>
          <t>SOMBRERO MM RAFFIA</t>
        </is>
      </c>
      <c r="C329" s="13" t="inlineStr">
        <is>
          <t>Default Title</t>
        </is>
      </c>
      <c r="D329" s="14" t="inlineStr"/>
      <c r="E329" s="13" t="n"/>
      <c r="F329" s="13" t="n"/>
      <c r="G329" s="13" t="n"/>
      <c r="H329" s="13" t="n"/>
      <c r="I329" s="13" t="n"/>
      <c r="J329" s="15" t="n">
        <v>10</v>
      </c>
      <c r="K329" s="13" t="n"/>
      <c r="L329" s="13" t="n"/>
      <c r="M329" s="16">
        <f>IF(COUNT(E329:L329)=0,"",MIN(E329:L329))</f>
        <v/>
      </c>
      <c r="N329" s="15">
        <f>IF(COUNT(E329:L329)=0,"",LOOKUP(2,1/(E329:L329&lt;&gt;""),E329:L329))</f>
        <v/>
      </c>
      <c r="O329" s="17">
        <f>IF(M329="","",ROUND(M329*RESUMEN!$B$4,0))</f>
        <v/>
      </c>
      <c r="P329" s="18">
        <f>COUNT(E329:L329)</f>
        <v/>
      </c>
      <c r="Q329" s="19">
        <f>IF(COUNT(J329:L329)=0,"",MIN(J329:L329))</f>
        <v/>
      </c>
    </row>
    <row r="330">
      <c r="A330" s="13" t="inlineStr">
        <is>
          <t>33644561619885</t>
        </is>
      </c>
      <c r="B330" s="13" t="inlineStr">
        <is>
          <t>SOMBRERO MM RAFFIA BEIGE/RED</t>
        </is>
      </c>
      <c r="C330" s="13" t="inlineStr">
        <is>
          <t>Default Title</t>
        </is>
      </c>
      <c r="D330" s="14" t="inlineStr"/>
      <c r="E330" s="13" t="n"/>
      <c r="F330" s="13" t="n"/>
      <c r="G330" s="13" t="n"/>
      <c r="H330" s="13" t="n"/>
      <c r="I330" s="13" t="n"/>
      <c r="J330" s="15" t="n">
        <v>41.8</v>
      </c>
      <c r="K330" s="13" t="n"/>
      <c r="L330" s="13" t="n"/>
      <c r="M330" s="16">
        <f>IF(COUNT(E330:L330)=0,"",MIN(E330:L330))</f>
        <v/>
      </c>
      <c r="N330" s="15">
        <f>IF(COUNT(E330:L330)=0,"",LOOKUP(2,1/(E330:L330&lt;&gt;""),E330:L330))</f>
        <v/>
      </c>
      <c r="O330" s="17">
        <f>IF(M330="","",ROUND(M330*RESUMEN!$B$4,0))</f>
        <v/>
      </c>
      <c r="P330" s="18">
        <f>COUNT(E330:L330)</f>
        <v/>
      </c>
      <c r="Q330" s="19">
        <f>IF(COUNT(J330:L330)=0,"",MIN(J330:L330))</f>
        <v/>
      </c>
    </row>
    <row r="331">
      <c r="A331" s="13" t="inlineStr">
        <is>
          <t>98269351593262</t>
        </is>
      </c>
      <c r="B331" s="13" t="inlineStr">
        <is>
          <t>SUETER PR BLACK CON PLACA DEL LOGO</t>
        </is>
      </c>
      <c r="C331" s="13" t="inlineStr">
        <is>
          <t>M</t>
        </is>
      </c>
      <c r="D331" s="14" t="inlineStr">
        <is>
          <t>Cotton, nylon, spa</t>
        </is>
      </c>
      <c r="E331" s="13" t="n"/>
      <c r="F331" s="13" t="n"/>
      <c r="G331" s="13" t="n"/>
      <c r="H331" s="13" t="n"/>
      <c r="I331" s="13" t="n"/>
      <c r="J331" s="13" t="n"/>
      <c r="K331" s="15" t="n">
        <v>22.8</v>
      </c>
      <c r="L331" s="13" t="n"/>
      <c r="M331" s="16">
        <f>IF(COUNT(E331:L331)=0,"",MIN(E331:L331))</f>
        <v/>
      </c>
      <c r="N331" s="15">
        <f>IF(COUNT(E331:L331)=0,"",LOOKUP(2,1/(E331:L331&lt;&gt;""),E331:L331))</f>
        <v/>
      </c>
      <c r="O331" s="17">
        <f>IF(M331="","",ROUND(M331*RESUMEN!$B$4,0))</f>
        <v/>
      </c>
      <c r="P331" s="18">
        <f>COUNT(E331:L331)</f>
        <v/>
      </c>
      <c r="Q331" s="19">
        <f>IF(COUNT(J331:L331)=0,"",MIN(J331:L331))</f>
        <v/>
      </c>
    </row>
    <row r="332">
      <c r="A332" s="13" t="inlineStr">
        <is>
          <t>98269351593261</t>
        </is>
      </c>
      <c r="B332" s="13" t="inlineStr">
        <is>
          <t>SUETER PR BLACK CON PLACA DEL LOGO</t>
        </is>
      </c>
      <c r="C332" s="13" t="inlineStr">
        <is>
          <t>S</t>
        </is>
      </c>
      <c r="D332" s="14" t="inlineStr">
        <is>
          <t>Cotton, nylon, spa</t>
        </is>
      </c>
      <c r="E332" s="13" t="n"/>
      <c r="F332" s="13" t="n"/>
      <c r="G332" s="13" t="n"/>
      <c r="H332" s="13" t="n"/>
      <c r="I332" s="15" t="n">
        <v>22.8</v>
      </c>
      <c r="J332" s="13" t="n"/>
      <c r="K332" s="15" t="n">
        <v>22.8</v>
      </c>
      <c r="L332" s="15" t="n">
        <v>22.8</v>
      </c>
      <c r="M332" s="16">
        <f>IF(COUNT(E332:L332)=0,"",MIN(E332:L332))</f>
        <v/>
      </c>
      <c r="N332" s="15">
        <f>IF(COUNT(E332:L332)=0,"",LOOKUP(2,1/(E332:L332&lt;&gt;""),E332:L332))</f>
        <v/>
      </c>
      <c r="O332" s="17">
        <f>IF(M332="","",ROUND(M332*RESUMEN!$B$4,0))</f>
        <v/>
      </c>
      <c r="P332" s="18">
        <f>COUNT(E332:L332)</f>
        <v/>
      </c>
      <c r="Q332" s="19">
        <f>IF(COUNT(J332:L332)=0,"",MIN(J332:L332))</f>
        <v/>
      </c>
    </row>
    <row r="333">
      <c r="A333" s="13" t="inlineStr">
        <is>
          <t>43728084634892</t>
        </is>
      </c>
      <c r="B333" s="13" t="inlineStr">
        <is>
          <t>SUÉTER PR MILANO BLACK</t>
        </is>
      </c>
      <c r="C333" s="13" t="inlineStr">
        <is>
          <t>M</t>
        </is>
      </c>
      <c r="D333" s="14" t="inlineStr"/>
      <c r="E333" s="13" t="n"/>
      <c r="F333" s="15" t="n">
        <v>22.8</v>
      </c>
      <c r="G333" s="13" t="n"/>
      <c r="H333" s="13" t="n"/>
      <c r="I333" s="13" t="n"/>
      <c r="J333" s="13" t="n"/>
      <c r="K333" s="13" t="n"/>
      <c r="L333" s="13" t="n"/>
      <c r="M333" s="16">
        <f>IF(COUNT(E333:L333)=0,"",MIN(E333:L333))</f>
        <v/>
      </c>
      <c r="N333" s="15">
        <f>IF(COUNT(E333:L333)=0,"",LOOKUP(2,1/(E333:L333&lt;&gt;""),E333:L333))</f>
        <v/>
      </c>
      <c r="O333" s="17">
        <f>IF(M333="","",ROUND(M333*RESUMEN!$B$4,0))</f>
        <v/>
      </c>
      <c r="P333" s="18">
        <f>COUNT(E333:L333)</f>
        <v/>
      </c>
      <c r="Q333" s="19">
        <f>IF(COUNT(J333:L333)=0,"",MIN(J333:L333))</f>
        <v/>
      </c>
    </row>
    <row r="334">
      <c r="A334" s="13" t="inlineStr">
        <is>
          <t>77137551286061</t>
        </is>
      </c>
      <c r="B334" s="13" t="inlineStr">
        <is>
          <t>TARJETERO CC CLASSIC</t>
        </is>
      </c>
      <c r="C334" s="13" t="inlineStr">
        <is>
          <t>PRODUCTO NUEVO</t>
        </is>
      </c>
      <c r="D334" s="14" t="inlineStr">
        <is>
          <t>Cowhide Genuine le</t>
        </is>
      </c>
      <c r="E334" s="13" t="n"/>
      <c r="F334" s="13" t="n"/>
      <c r="G334" s="13" t="n"/>
      <c r="H334" s="13" t="n"/>
      <c r="I334" s="13" t="n"/>
      <c r="J334" s="13" t="n"/>
      <c r="K334" s="15" t="n">
        <v>19</v>
      </c>
      <c r="L334" s="13" t="n"/>
      <c r="M334" s="16">
        <f>IF(COUNT(E334:L334)=0,"",MIN(E334:L334))</f>
        <v/>
      </c>
      <c r="N334" s="15">
        <f>IF(COUNT(E334:L334)=0,"",LOOKUP(2,1/(E334:L334&lt;&gt;""),E334:L334))</f>
        <v/>
      </c>
      <c r="O334" s="17">
        <f>IF(M334="","",ROUND(M334*RESUMEN!$B$4,0))</f>
        <v/>
      </c>
      <c r="P334" s="18">
        <f>COUNT(E334:L334)</f>
        <v/>
      </c>
      <c r="Q334" s="19">
        <f>IF(COUNT(J334:L334)=0,"",MIN(J334:L334))</f>
        <v/>
      </c>
    </row>
    <row r="335">
      <c r="A335" s="13" t="inlineStr">
        <is>
          <t>66e2425fcbc7e</t>
        </is>
      </c>
      <c r="B335" s="13" t="inlineStr">
        <is>
          <t>TARJETERO G BLACK</t>
        </is>
      </c>
      <c r="C335" s="13" t="inlineStr">
        <is>
          <t>10.5cm de largo</t>
        </is>
      </c>
      <c r="D335" s="14" t="inlineStr">
        <is>
          <t>Genuine leather mi</t>
        </is>
      </c>
      <c r="E335" s="13" t="n"/>
      <c r="F335" s="15" t="n">
        <v>26</v>
      </c>
      <c r="G335" s="15" t="n">
        <v>26</v>
      </c>
      <c r="H335" s="13" t="n"/>
      <c r="I335" s="13" t="n"/>
      <c r="J335" s="13" t="n"/>
      <c r="K335" s="13" t="n"/>
      <c r="L335" s="15" t="n">
        <v>26</v>
      </c>
      <c r="M335" s="16">
        <f>IF(COUNT(E335:L335)=0,"",MIN(E335:L335))</f>
        <v/>
      </c>
      <c r="N335" s="15">
        <f>IF(COUNT(E335:L335)=0,"",LOOKUP(2,1/(E335:L335&lt;&gt;""),E335:L335))</f>
        <v/>
      </c>
      <c r="O335" s="17">
        <f>IF(M335="","",ROUND(M335*RESUMEN!$B$4,0))</f>
        <v/>
      </c>
      <c r="P335" s="18">
        <f>COUNT(E335:L335)</f>
        <v/>
      </c>
      <c r="Q335" s="19">
        <f>IF(COUNT(J335:L335)=0,"",MIN(J335:L335))</f>
        <v/>
      </c>
    </row>
    <row r="336">
      <c r="A336" s="13" t="inlineStr">
        <is>
          <t>58825512266892</t>
        </is>
      </c>
      <c r="B336" s="13" t="inlineStr">
        <is>
          <t>TARJETERO G BROWN</t>
        </is>
      </c>
      <c r="C336" s="13" t="inlineStr">
        <is>
          <t>10.5cm de largo x 7.6cm de alto</t>
        </is>
      </c>
      <c r="D336" s="14" t="inlineStr"/>
      <c r="E336" s="13" t="n"/>
      <c r="F336" s="15" t="n">
        <v>25.3</v>
      </c>
      <c r="G336" s="13" t="n"/>
      <c r="H336" s="13" t="n"/>
      <c r="I336" s="13" t="n"/>
      <c r="J336" s="13" t="n"/>
      <c r="K336" s="13" t="n"/>
      <c r="L336" s="13" t="n"/>
      <c r="M336" s="16">
        <f>IF(COUNT(E336:L336)=0,"",MIN(E336:L336))</f>
        <v/>
      </c>
      <c r="N336" s="15">
        <f>IF(COUNT(E336:L336)=0,"",LOOKUP(2,1/(E336:L336&lt;&gt;""),E336:L336))</f>
        <v/>
      </c>
      <c r="O336" s="17">
        <f>IF(M336="","",ROUND(M336*RESUMEN!$B$4,0))</f>
        <v/>
      </c>
      <c r="P336" s="18">
        <f>COUNT(E336:L336)</f>
        <v/>
      </c>
      <c r="Q336" s="19">
        <f>IF(COUNT(J336:L336)=0,"",MIN(J336:L336))</f>
        <v/>
      </c>
    </row>
    <row r="337">
      <c r="A337" s="13" t="inlineStr">
        <is>
          <t>66f1ed2f6cfb6</t>
        </is>
      </c>
      <c r="B337" s="13" t="inlineStr">
        <is>
          <t>TARJETERO G GRAY</t>
        </is>
      </c>
      <c r="C337" s="13" t="inlineStr">
        <is>
          <t>10.5cm de largo x 7.6cm de alto</t>
        </is>
      </c>
      <c r="D337" s="14" t="inlineStr">
        <is>
          <t>Genuine leather mi</t>
        </is>
      </c>
      <c r="E337" s="15" t="n">
        <v>26</v>
      </c>
      <c r="F337" s="13" t="n"/>
      <c r="G337" s="15" t="n">
        <v>26</v>
      </c>
      <c r="H337" s="13" t="n"/>
      <c r="I337" s="13" t="n"/>
      <c r="J337" s="15" t="n">
        <v>26</v>
      </c>
      <c r="K337" s="13" t="n"/>
      <c r="L337" s="13" t="n"/>
      <c r="M337" s="16">
        <f>IF(COUNT(E337:L337)=0,"",MIN(E337:L337))</f>
        <v/>
      </c>
      <c r="N337" s="15">
        <f>IF(COUNT(E337:L337)=0,"",LOOKUP(2,1/(E337:L337&lt;&gt;""),E337:L337))</f>
        <v/>
      </c>
      <c r="O337" s="17">
        <f>IF(M337="","",ROUND(M337*RESUMEN!$B$4,0))</f>
        <v/>
      </c>
      <c r="P337" s="18">
        <f>COUNT(E337:L337)</f>
        <v/>
      </c>
      <c r="Q337" s="19">
        <f>IF(COUNT(J337:L337)=0,"",MIN(J337:L337))</f>
        <v/>
      </c>
    </row>
    <row r="338">
      <c r="A338" s="13" t="inlineStr">
        <is>
          <t>66f1ed306f6b4</t>
        </is>
      </c>
      <c r="B338" s="13" t="inlineStr">
        <is>
          <t>TARJETERO G GREEN</t>
        </is>
      </c>
      <c r="C338" s="13" t="inlineStr">
        <is>
          <t>10.5cm de largo x 7.6cm de alto</t>
        </is>
      </c>
      <c r="D338" s="14" t="inlineStr">
        <is>
          <t>Genuine leather mi</t>
        </is>
      </c>
      <c r="E338" s="13" t="n"/>
      <c r="F338" s="13" t="n"/>
      <c r="G338" s="13" t="n"/>
      <c r="H338" s="13" t="n"/>
      <c r="I338" s="15" t="n">
        <v>26</v>
      </c>
      <c r="J338" s="13" t="n"/>
      <c r="K338" s="13" t="n"/>
      <c r="L338" s="13" t="n"/>
      <c r="M338" s="16">
        <f>IF(COUNT(E338:L338)=0,"",MIN(E338:L338))</f>
        <v/>
      </c>
      <c r="N338" s="15">
        <f>IF(COUNT(E338:L338)=0,"",LOOKUP(2,1/(E338:L338&lt;&gt;""),E338:L338))</f>
        <v/>
      </c>
      <c r="O338" s="17">
        <f>IF(M338="","",ROUND(M338*RESUMEN!$B$4,0))</f>
        <v/>
      </c>
      <c r="P338" s="18">
        <f>COUNT(E338:L338)</f>
        <v/>
      </c>
      <c r="Q338" s="19">
        <f>IF(COUNT(J338:L338)=0,"",MIN(J338:L338))</f>
        <v/>
      </c>
    </row>
    <row r="339">
      <c r="A339" s="13" t="inlineStr">
        <is>
          <t>14401522235501</t>
        </is>
      </c>
      <c r="B339" s="13" t="inlineStr">
        <is>
          <t>TARJETERO GC HORSEBIT 1955</t>
        </is>
      </c>
      <c r="C339" s="13" t="inlineStr">
        <is>
          <t>Default Title</t>
        </is>
      </c>
      <c r="D339" s="14" t="inlineStr">
        <is>
          <t>Cowhide Genuine le</t>
        </is>
      </c>
      <c r="E339" s="13" t="n"/>
      <c r="F339" s="13" t="n"/>
      <c r="G339" s="13" t="n"/>
      <c r="H339" s="15" t="n">
        <v>33</v>
      </c>
      <c r="I339" s="13" t="n"/>
      <c r="J339" s="13" t="n"/>
      <c r="K339" s="15" t="n">
        <v>33</v>
      </c>
      <c r="L339" s="13" t="n"/>
      <c r="M339" s="16">
        <f>IF(COUNT(E339:L339)=0,"",MIN(E339:L339))</f>
        <v/>
      </c>
      <c r="N339" s="15">
        <f>IF(COUNT(E339:L339)=0,"",LOOKUP(2,1/(E339:L339&lt;&gt;""),E339:L339))</f>
        <v/>
      </c>
      <c r="O339" s="17">
        <f>IF(M339="","",ROUND(M339*RESUMEN!$B$4,0))</f>
        <v/>
      </c>
      <c r="P339" s="18">
        <f>COUNT(E339:L339)</f>
        <v/>
      </c>
      <c r="Q339" s="19">
        <f>IF(COUNT(J339:L339)=0,"",MIN(J339:L339))</f>
        <v/>
      </c>
    </row>
    <row r="340">
      <c r="A340" s="13" t="inlineStr">
        <is>
          <t>14401523185773</t>
        </is>
      </c>
      <c r="B340" s="13" t="inlineStr">
        <is>
          <t>TARJETERO MM BLACK</t>
        </is>
      </c>
      <c r="C340" s="13" t="inlineStr">
        <is>
          <t>Default Title</t>
        </is>
      </c>
      <c r="D340" s="14" t="inlineStr">
        <is>
          <t>Original leather</t>
        </is>
      </c>
      <c r="E340" s="13" t="n"/>
      <c r="F340" s="13" t="n"/>
      <c r="G340" s="13" t="n"/>
      <c r="H340" s="15" t="n">
        <v>25</v>
      </c>
      <c r="I340" s="13" t="n"/>
      <c r="J340" s="13" t="n"/>
      <c r="K340" s="13" t="n"/>
      <c r="L340" s="13" t="n"/>
      <c r="M340" s="16">
        <f>IF(COUNT(E340:L340)=0,"",MIN(E340:L340))</f>
        <v/>
      </c>
      <c r="N340" s="15">
        <f>IF(COUNT(E340:L340)=0,"",LOOKUP(2,1/(E340:L340&lt;&gt;""),E340:L340))</f>
        <v/>
      </c>
      <c r="O340" s="17">
        <f>IF(M340="","",ROUND(M340*RESUMEN!$B$4,0))</f>
        <v/>
      </c>
      <c r="P340" s="18">
        <f>COUNT(E340:L340)</f>
        <v/>
      </c>
      <c r="Q340" s="19">
        <f>IF(COUNT(J340:L340)=0,"",MIN(J340:L340))</f>
        <v/>
      </c>
    </row>
    <row r="341">
      <c r="A341" s="13" t="inlineStr">
        <is>
          <t>75333231061005</t>
        </is>
      </c>
      <c r="B341" s="13" t="inlineStr">
        <is>
          <t>TARJETERO YSL BURGUNDY</t>
        </is>
      </c>
      <c r="C341" s="13" t="inlineStr">
        <is>
          <t>Default Title</t>
        </is>
      </c>
      <c r="D341" s="14" t="inlineStr"/>
      <c r="E341" s="13" t="n"/>
      <c r="F341" s="13" t="n"/>
      <c r="G341" s="13" t="n"/>
      <c r="H341" s="13" t="n"/>
      <c r="I341" s="15" t="n">
        <v>20</v>
      </c>
      <c r="J341" s="13" t="n"/>
      <c r="K341" s="13" t="n"/>
      <c r="L341" s="13" t="n"/>
      <c r="M341" s="16">
        <f>IF(COUNT(E341:L341)=0,"",MIN(E341:L341))</f>
        <v/>
      </c>
      <c r="N341" s="15">
        <f>IF(COUNT(E341:L341)=0,"",LOOKUP(2,1/(E341:L341&lt;&gt;""),E341:L341))</f>
        <v/>
      </c>
      <c r="O341" s="17">
        <f>IF(M341="","",ROUND(M341*RESUMEN!$B$4,0))</f>
        <v/>
      </c>
      <c r="P341" s="18">
        <f>COUNT(E341:L341)</f>
        <v/>
      </c>
      <c r="Q341" s="19">
        <f>IF(COUNT(J341:L341)=0,"",MIN(J341:L341))</f>
        <v/>
      </c>
    </row>
    <row r="342">
      <c r="A342" s="13" t="inlineStr">
        <is>
          <t>665bd4aa5e311</t>
        </is>
      </c>
      <c r="B342" s="13" t="inlineStr">
        <is>
          <t>TARJETERO YSL LOGO BLACK</t>
        </is>
      </c>
      <c r="C342" s="13" t="inlineStr">
        <is>
          <t>10cm de largo x 7.5cm de alto</t>
        </is>
      </c>
      <c r="D342" s="14" t="inlineStr">
        <is>
          <t>Microfiber leather</t>
        </is>
      </c>
      <c r="E342" s="13" t="n"/>
      <c r="F342" s="13" t="n"/>
      <c r="G342" s="15" t="n">
        <v>24</v>
      </c>
      <c r="H342" s="15" t="n">
        <v>24</v>
      </c>
      <c r="I342" s="13" t="n"/>
      <c r="J342" s="13" t="n"/>
      <c r="K342" s="13" t="n"/>
      <c r="L342" s="13" t="n"/>
      <c r="M342" s="16">
        <f>IF(COUNT(E342:L342)=0,"",MIN(E342:L342))</f>
        <v/>
      </c>
      <c r="N342" s="15">
        <f>IF(COUNT(E342:L342)=0,"",LOOKUP(2,1/(E342:L342&lt;&gt;""),E342:L342))</f>
        <v/>
      </c>
      <c r="O342" s="17">
        <f>IF(M342="","",ROUND(M342*RESUMEN!$B$4,0))</f>
        <v/>
      </c>
      <c r="P342" s="18">
        <f>COUNT(E342:L342)</f>
        <v/>
      </c>
      <c r="Q342" s="19">
        <f>IF(COUNT(J342:L342)=0,"",MIN(J342:L342))</f>
        <v/>
      </c>
    </row>
    <row r="343">
      <c r="A343" s="13" t="inlineStr">
        <is>
          <t>43728071397708</t>
        </is>
      </c>
      <c r="B343" s="13" t="inlineStr">
        <is>
          <t>TARJETERO YSL RED</t>
        </is>
      </c>
      <c r="C343" s="13" t="inlineStr">
        <is>
          <t>10.5cmx7.5cm</t>
        </is>
      </c>
      <c r="D343" s="14" t="inlineStr">
        <is>
          <t>Microfiber leather</t>
        </is>
      </c>
      <c r="E343" s="13" t="n"/>
      <c r="F343" s="15" t="n">
        <v>20</v>
      </c>
      <c r="G343" s="15" t="n">
        <v>20</v>
      </c>
      <c r="H343" s="13" t="n"/>
      <c r="I343" s="13" t="n"/>
      <c r="J343" s="15" t="n">
        <v>20</v>
      </c>
      <c r="K343" s="13" t="n"/>
      <c r="L343" s="13" t="n"/>
      <c r="M343" s="16">
        <f>IF(COUNT(E343:L343)=0,"",MIN(E343:L343))</f>
        <v/>
      </c>
      <c r="N343" s="15">
        <f>IF(COUNT(E343:L343)=0,"",LOOKUP(2,1/(E343:L343&lt;&gt;""),E343:L343))</f>
        <v/>
      </c>
      <c r="O343" s="17">
        <f>IF(M343="","",ROUND(M343*RESUMEN!$B$4,0))</f>
        <v/>
      </c>
      <c r="P343" s="18">
        <f>COUNT(E343:L343)</f>
        <v/>
      </c>
      <c r="Q343" s="19">
        <f>IF(COUNT(J343:L343)=0,"",MIN(J343:L343))</f>
        <v/>
      </c>
    </row>
    <row r="344">
      <c r="A344" s="13" t="inlineStr">
        <is>
          <t>16572644603404</t>
        </is>
      </c>
      <c r="B344" s="13" t="inlineStr">
        <is>
          <t>TRAJE DE BANO GC</t>
        </is>
      </c>
      <c r="C344" s="13" t="inlineStr">
        <is>
          <t>XL</t>
        </is>
      </c>
      <c r="D344" s="14" t="inlineStr"/>
      <c r="E344" s="15" t="n">
        <v>10.8</v>
      </c>
      <c r="F344" s="13" t="n"/>
      <c r="G344" s="13" t="n"/>
      <c r="H344" s="13" t="n"/>
      <c r="I344" s="13" t="n"/>
      <c r="J344" s="13" t="n"/>
      <c r="K344" s="13" t="n"/>
      <c r="L344" s="13" t="n"/>
      <c r="M344" s="16">
        <f>IF(COUNT(E344:L344)=0,"",MIN(E344:L344))</f>
        <v/>
      </c>
      <c r="N344" s="15">
        <f>IF(COUNT(E344:L344)=0,"",LOOKUP(2,1/(E344:L344&lt;&gt;""),E344:L344))</f>
        <v/>
      </c>
      <c r="O344" s="17">
        <f>IF(M344="","",ROUND(M344*RESUMEN!$B$4,0))</f>
        <v/>
      </c>
      <c r="P344" s="18">
        <f>COUNT(E344:L344)</f>
        <v/>
      </c>
      <c r="Q344" s="19">
        <f>IF(COUNT(J344:L344)=0,"",MIN(J344:L344))</f>
        <v/>
      </c>
    </row>
    <row r="345">
      <c r="A345" s="13" t="inlineStr">
        <is>
          <t>11915825763755</t>
        </is>
      </c>
      <c r="B345" s="13" t="inlineStr">
        <is>
          <t>TRAJE DE BAÑO C</t>
        </is>
      </c>
      <c r="C345" s="13" t="inlineStr">
        <is>
          <t>L</t>
        </is>
      </c>
      <c r="D345" s="14" t="inlineStr"/>
      <c r="E345" s="13" t="n"/>
      <c r="F345" s="13" t="n"/>
      <c r="G345" s="13" t="n"/>
      <c r="H345" s="13" t="n"/>
      <c r="I345" s="13" t="n"/>
      <c r="J345" s="15" t="n">
        <v>32</v>
      </c>
      <c r="K345" s="13" t="n"/>
      <c r="L345" s="13" t="n"/>
      <c r="M345" s="16">
        <f>IF(COUNT(E345:L345)=0,"",MIN(E345:L345))</f>
        <v/>
      </c>
      <c r="N345" s="15">
        <f>IF(COUNT(E345:L345)=0,"",LOOKUP(2,1/(E345:L345&lt;&gt;""),E345:L345))</f>
        <v/>
      </c>
      <c r="O345" s="17">
        <f>IF(M345="","",ROUND(M345*RESUMEN!$B$4,0))</f>
        <v/>
      </c>
      <c r="P345" s="18">
        <f>COUNT(E345:L345)</f>
        <v/>
      </c>
      <c r="Q345" s="19">
        <f>IF(COUNT(J345:L345)=0,"",MIN(J345:L345))</f>
        <v/>
      </c>
    </row>
    <row r="346">
      <c r="A346" s="13" t="inlineStr">
        <is>
          <t>11915825730987</t>
        </is>
      </c>
      <c r="B346" s="13" t="inlineStr">
        <is>
          <t>TRAJE DE BAÑO C</t>
        </is>
      </c>
      <c r="C346" s="13" t="inlineStr">
        <is>
          <t>M</t>
        </is>
      </c>
      <c r="D346" s="14" t="inlineStr">
        <is>
          <t>Polyester fiber, s</t>
        </is>
      </c>
      <c r="E346" s="13" t="n"/>
      <c r="F346" s="13" t="n"/>
      <c r="G346" s="13" t="n"/>
      <c r="H346" s="13" t="n"/>
      <c r="I346" s="15" t="n">
        <v>32</v>
      </c>
      <c r="J346" s="13" t="n"/>
      <c r="K346" s="13" t="n"/>
      <c r="L346" s="13" t="n"/>
      <c r="M346" s="16">
        <f>IF(COUNT(E346:L346)=0,"",MIN(E346:L346))</f>
        <v/>
      </c>
      <c r="N346" s="15">
        <f>IF(COUNT(E346:L346)=0,"",LOOKUP(2,1/(E346:L346&lt;&gt;""),E346:L346))</f>
        <v/>
      </c>
      <c r="O346" s="17">
        <f>IF(M346="","",ROUND(M346*RESUMEN!$B$4,0))</f>
        <v/>
      </c>
      <c r="P346" s="18">
        <f>COUNT(E346:L346)</f>
        <v/>
      </c>
      <c r="Q346" s="19">
        <f>IF(COUNT(J346:L346)=0,"",MIN(J346:L346))</f>
        <v/>
      </c>
    </row>
    <row r="347">
      <c r="A347" s="13" t="inlineStr">
        <is>
          <t>16572647978508</t>
        </is>
      </c>
      <c r="B347" s="13" t="inlineStr">
        <is>
          <t>TRAJE DE BAÑO COMPLETO VC</t>
        </is>
      </c>
      <c r="C347" s="13" t="inlineStr">
        <is>
          <t>L</t>
        </is>
      </c>
      <c r="D347" s="14" t="inlineStr"/>
      <c r="E347" s="15" t="n">
        <v>12.8</v>
      </c>
      <c r="F347" s="13" t="n"/>
      <c r="G347" s="13" t="n"/>
      <c r="H347" s="13" t="n"/>
      <c r="I347" s="13" t="n"/>
      <c r="J347" s="15" t="n">
        <v>12.8</v>
      </c>
      <c r="K347" s="13" t="n"/>
      <c r="L347" s="13" t="n"/>
      <c r="M347" s="16">
        <f>IF(COUNT(E347:L347)=0,"",MIN(E347:L347))</f>
        <v/>
      </c>
      <c r="N347" s="15">
        <f>IF(COUNT(E347:L347)=0,"",LOOKUP(2,1/(E347:L347&lt;&gt;""),E347:L347))</f>
        <v/>
      </c>
      <c r="O347" s="17">
        <f>IF(M347="","",ROUND(M347*RESUMEN!$B$4,0))</f>
        <v/>
      </c>
      <c r="P347" s="18">
        <f>COUNT(E347:L347)</f>
        <v/>
      </c>
      <c r="Q347" s="19">
        <f>IF(COUNT(J347:L347)=0,"",MIN(J347:L347))</f>
        <v/>
      </c>
    </row>
    <row r="348">
      <c r="A348" s="13" t="inlineStr">
        <is>
          <t>43026765774988</t>
        </is>
      </c>
      <c r="B348" s="13" t="inlineStr">
        <is>
          <t>TRAJE DE BAÑO COMPLETO VC</t>
        </is>
      </c>
      <c r="C348" s="13" t="inlineStr">
        <is>
          <t>M</t>
        </is>
      </c>
      <c r="D348" s="14" t="inlineStr"/>
      <c r="E348" s="13" t="n"/>
      <c r="F348" s="13" t="n"/>
      <c r="G348" s="13" t="n"/>
      <c r="H348" s="13" t="n"/>
      <c r="I348" s="13" t="n"/>
      <c r="J348" s="15" t="n">
        <v>12.8</v>
      </c>
      <c r="K348" s="13" t="n"/>
      <c r="L348" s="13" t="n"/>
      <c r="M348" s="16">
        <f>IF(COUNT(E348:L348)=0,"",MIN(E348:L348))</f>
        <v/>
      </c>
      <c r="N348" s="15">
        <f>IF(COUNT(E348:L348)=0,"",LOOKUP(2,1/(E348:L348&lt;&gt;""),E348:L348))</f>
        <v/>
      </c>
      <c r="O348" s="17">
        <f>IF(M348="","",ROUND(M348*RESUMEN!$B$4,0))</f>
        <v/>
      </c>
      <c r="P348" s="18">
        <f>COUNT(E348:L348)</f>
        <v/>
      </c>
      <c r="Q348" s="19">
        <f>IF(COUNT(J348:L348)=0,"",MIN(J348:L348))</f>
        <v/>
      </c>
    </row>
    <row r="349">
      <c r="A349" s="13" t="inlineStr">
        <is>
          <t>16572648011276</t>
        </is>
      </c>
      <c r="B349" s="13" t="inlineStr">
        <is>
          <t>TRAJE DE BAÑO COMPLETO VC</t>
        </is>
      </c>
      <c r="C349" s="13" t="inlineStr">
        <is>
          <t>XL</t>
        </is>
      </c>
      <c r="D349" s="14" t="inlineStr">
        <is>
          <t>Polyester fiber, s</t>
        </is>
      </c>
      <c r="E349" s="15" t="n">
        <v>12.8</v>
      </c>
      <c r="F349" s="13" t="n"/>
      <c r="G349" s="13" t="n"/>
      <c r="H349" s="13" t="n"/>
      <c r="I349" s="13" t="n"/>
      <c r="J349" s="13" t="n"/>
      <c r="K349" s="15" t="n">
        <v>12.8</v>
      </c>
      <c r="L349" s="13" t="n"/>
      <c r="M349" s="16">
        <f>IF(COUNT(E349:L349)=0,"",MIN(E349:L349))</f>
        <v/>
      </c>
      <c r="N349" s="15">
        <f>IF(COUNT(E349:L349)=0,"",LOOKUP(2,1/(E349:L349&lt;&gt;""),E349:L349))</f>
        <v/>
      </c>
      <c r="O349" s="17">
        <f>IF(M349="","",ROUND(M349*RESUMEN!$B$4,0))</f>
        <v/>
      </c>
      <c r="P349" s="18">
        <f>COUNT(E349:L349)</f>
        <v/>
      </c>
      <c r="Q349" s="19">
        <f>IF(COUNT(J349:L349)=0,"",MIN(J349:L349))</f>
        <v/>
      </c>
    </row>
    <row r="350">
      <c r="A350" s="13" t="inlineStr">
        <is>
          <t>83342111044589</t>
        </is>
      </c>
      <c r="B350" s="13" t="inlineStr">
        <is>
          <t>TRAJE DE BAÑO DG BLACK</t>
        </is>
      </c>
      <c r="C350" s="13" t="inlineStr">
        <is>
          <t>m</t>
        </is>
      </c>
      <c r="D350" s="14" t="inlineStr">
        <is>
          <t>Polyester fiber, s</t>
        </is>
      </c>
      <c r="E350" s="13" t="n"/>
      <c r="F350" s="13" t="n"/>
      <c r="G350" s="13" t="n"/>
      <c r="H350" s="13" t="n"/>
      <c r="I350" s="15" t="n">
        <v>10.8</v>
      </c>
      <c r="J350" s="13" t="n"/>
      <c r="K350" s="13" t="n"/>
      <c r="L350" s="13" t="n"/>
      <c r="M350" s="16">
        <f>IF(COUNT(E350:L350)=0,"",MIN(E350:L350))</f>
        <v/>
      </c>
      <c r="N350" s="15">
        <f>IF(COUNT(E350:L350)=0,"",LOOKUP(2,1/(E350:L350&lt;&gt;""),E350:L350))</f>
        <v/>
      </c>
      <c r="O350" s="17">
        <f>IF(M350="","",ROUND(M350*RESUMEN!$B$4,0))</f>
        <v/>
      </c>
      <c r="P350" s="18">
        <f>COUNT(E350:L350)</f>
        <v/>
      </c>
      <c r="Q350" s="19">
        <f>IF(COUNT(J350:L350)=0,"",MIN(J350:L350))</f>
        <v/>
      </c>
    </row>
    <row r="351">
      <c r="A351" s="13" t="inlineStr">
        <is>
          <t>43026767806604</t>
        </is>
      </c>
      <c r="B351" s="13" t="inlineStr">
        <is>
          <t>TRAJE DE BAÑO GC</t>
        </is>
      </c>
      <c r="C351" s="13" t="inlineStr">
        <is>
          <t>M</t>
        </is>
      </c>
      <c r="D351" s="14" t="inlineStr">
        <is>
          <t>Polyester fiber, s</t>
        </is>
      </c>
      <c r="E351" s="13" t="n"/>
      <c r="F351" s="13" t="n"/>
      <c r="G351" s="13" t="n"/>
      <c r="H351" s="13" t="n"/>
      <c r="I351" s="15" t="n">
        <v>10.8</v>
      </c>
      <c r="J351" s="13" t="n"/>
      <c r="K351" s="13" t="n"/>
      <c r="L351" s="13" t="n"/>
      <c r="M351" s="16">
        <f>IF(COUNT(E351:L351)=0,"",MIN(E351:L351))</f>
        <v/>
      </c>
      <c r="N351" s="15">
        <f>IF(COUNT(E351:L351)=0,"",LOOKUP(2,1/(E351:L351&lt;&gt;""),E351:L351))</f>
        <v/>
      </c>
      <c r="O351" s="17">
        <f>IF(M351="","",ROUND(M351*RESUMEN!$B$4,0))</f>
        <v/>
      </c>
      <c r="P351" s="18">
        <f>COUNT(E351:L351)</f>
        <v/>
      </c>
      <c r="Q351" s="19">
        <f>IF(COUNT(J351:L351)=0,"",MIN(J351:L351))</f>
        <v/>
      </c>
    </row>
    <row r="352">
      <c r="A352" s="13" t="inlineStr">
        <is>
          <t>16572644570636</t>
        </is>
      </c>
      <c r="B352" s="13" t="inlineStr">
        <is>
          <t>TRAJE DE BAÑO GC</t>
        </is>
      </c>
      <c r="C352" s="13" t="inlineStr">
        <is>
          <t>XGCP24248 L</t>
        </is>
      </c>
      <c r="D352" s="14" t="inlineStr">
        <is>
          <t>Polyester fiber</t>
        </is>
      </c>
      <c r="E352" s="13" t="n"/>
      <c r="F352" s="13" t="n"/>
      <c r="G352" s="15" t="n">
        <v>10.8</v>
      </c>
      <c r="H352" s="15" t="n">
        <v>10.8</v>
      </c>
      <c r="I352" s="13" t="n"/>
      <c r="J352" s="15" t="n">
        <v>10.8</v>
      </c>
      <c r="K352" s="13" t="n"/>
      <c r="L352" s="15" t="n">
        <v>10.8</v>
      </c>
      <c r="M352" s="16">
        <f>IF(COUNT(E352:L352)=0,"",MIN(E352:L352))</f>
        <v/>
      </c>
      <c r="N352" s="15">
        <f>IF(COUNT(E352:L352)=0,"",LOOKUP(2,1/(E352:L352&lt;&gt;""),E352:L352))</f>
        <v/>
      </c>
      <c r="O352" s="17">
        <f>IF(M352="","",ROUND(M352*RESUMEN!$B$4,0))</f>
        <v/>
      </c>
      <c r="P352" s="18">
        <f>COUNT(E352:L352)</f>
        <v/>
      </c>
      <c r="Q352" s="19">
        <f>IF(COUNT(J352:L352)=0,"",MIN(J352:L352))</f>
        <v/>
      </c>
    </row>
    <row r="353">
      <c r="A353" s="13" t="inlineStr">
        <is>
          <t>16572648568332</t>
        </is>
      </c>
      <c r="B353" s="13" t="inlineStr">
        <is>
          <t>TRAJE DE BAÑO PR BLACK</t>
        </is>
      </c>
      <c r="C353" s="13" t="inlineStr">
        <is>
          <t>L</t>
        </is>
      </c>
      <c r="D353" s="14" t="inlineStr"/>
      <c r="E353" s="13" t="n"/>
      <c r="F353" s="13" t="n"/>
      <c r="G353" s="13" t="n"/>
      <c r="H353" s="13" t="n"/>
      <c r="I353" s="13" t="n"/>
      <c r="J353" s="15" t="n">
        <v>10.8</v>
      </c>
      <c r="K353" s="13" t="n"/>
      <c r="L353" s="13" t="n"/>
      <c r="M353" s="16">
        <f>IF(COUNT(E353:L353)=0,"",MIN(E353:L353))</f>
        <v/>
      </c>
      <c r="N353" s="15">
        <f>IF(COUNT(E353:L353)=0,"",LOOKUP(2,1/(E353:L353&lt;&gt;""),E353:L353))</f>
        <v/>
      </c>
      <c r="O353" s="17">
        <f>IF(M353="","",ROUND(M353*RESUMEN!$B$4,0))</f>
        <v/>
      </c>
      <c r="P353" s="18">
        <f>COUNT(E353:L353)</f>
        <v/>
      </c>
      <c r="Q353" s="19">
        <f>IF(COUNT(J353:L353)=0,"",MIN(J353:L353))</f>
        <v/>
      </c>
    </row>
    <row r="354">
      <c r="A354" s="13" t="inlineStr">
        <is>
          <t>43026762793100</t>
        </is>
      </c>
      <c r="B354" s="13" t="inlineStr">
        <is>
          <t>TRAJE DE BAÑO PR BLACK</t>
        </is>
      </c>
      <c r="C354" s="13" t="inlineStr">
        <is>
          <t>M</t>
        </is>
      </c>
      <c r="D354" s="14" t="inlineStr">
        <is>
          <t>Polyester fiber, s</t>
        </is>
      </c>
      <c r="E354" s="13" t="n"/>
      <c r="F354" s="13" t="n"/>
      <c r="G354" s="13" t="n"/>
      <c r="H354" s="13" t="n"/>
      <c r="I354" s="15" t="n">
        <v>10.8</v>
      </c>
      <c r="J354" s="13" t="n"/>
      <c r="K354" s="13" t="n"/>
      <c r="L354" s="13" t="n"/>
      <c r="M354" s="16">
        <f>IF(COUNT(E354:L354)=0,"",MIN(E354:L354))</f>
        <v/>
      </c>
      <c r="N354" s="15">
        <f>IF(COUNT(E354:L354)=0,"",LOOKUP(2,1/(E354:L354&lt;&gt;""),E354:L354))</f>
        <v/>
      </c>
      <c r="O354" s="17">
        <f>IF(M354="","",ROUND(M354*RESUMEN!$B$4,0))</f>
        <v/>
      </c>
      <c r="P354" s="18">
        <f>COUNT(E354:L354)</f>
        <v/>
      </c>
      <c r="Q354" s="19">
        <f>IF(COUNT(J354:L354)=0,"",MIN(J354:L354))</f>
        <v/>
      </c>
    </row>
    <row r="355">
      <c r="A355" s="13" t="inlineStr">
        <is>
          <t>16572648601100</t>
        </is>
      </c>
      <c r="B355" s="13" t="inlineStr">
        <is>
          <t>TRAJE DE BAÑO PR BLACK</t>
        </is>
      </c>
      <c r="C355" s="13" t="inlineStr">
        <is>
          <t>XL</t>
        </is>
      </c>
      <c r="D355" s="14" t="inlineStr">
        <is>
          <t>Polyester fiber, s</t>
        </is>
      </c>
      <c r="E355" s="13" t="n"/>
      <c r="F355" s="13" t="n"/>
      <c r="G355" s="13" t="n"/>
      <c r="H355" s="13" t="n"/>
      <c r="I355" s="13" t="n"/>
      <c r="J355" s="15" t="n">
        <v>10.8</v>
      </c>
      <c r="K355" s="15" t="n">
        <v>10.8</v>
      </c>
      <c r="L355" s="13" t="n"/>
      <c r="M355" s="16">
        <f>IF(COUNT(E355:L355)=0,"",MIN(E355:L355))</f>
        <v/>
      </c>
      <c r="N355" s="15">
        <f>IF(COUNT(E355:L355)=0,"",LOOKUP(2,1/(E355:L355&lt;&gt;""),E355:L355))</f>
        <v/>
      </c>
      <c r="O355" s="17">
        <f>IF(M355="","",ROUND(M355*RESUMEN!$B$4,0))</f>
        <v/>
      </c>
      <c r="P355" s="18">
        <f>COUNT(E355:L355)</f>
        <v/>
      </c>
      <c r="Q355" s="19">
        <f>IF(COUNT(J355:L355)=0,"",MIN(J355:L355))</f>
        <v/>
      </c>
    </row>
    <row r="356">
      <c r="A356" s="13" t="inlineStr">
        <is>
          <t>11915828138155</t>
        </is>
      </c>
      <c r="B356" s="13" t="inlineStr">
        <is>
          <t>TRAJE DE BAÑO V</t>
        </is>
      </c>
      <c r="C356" s="13" t="inlineStr">
        <is>
          <t>L</t>
        </is>
      </c>
      <c r="D356" s="14" t="inlineStr">
        <is>
          <t>Polyester fiber, s</t>
        </is>
      </c>
      <c r="E356" s="15" t="n">
        <v>9.800000000000001</v>
      </c>
      <c r="F356" s="13" t="n"/>
      <c r="G356" s="13" t="n"/>
      <c r="H356" s="13" t="n"/>
      <c r="I356" s="13" t="n"/>
      <c r="J356" s="13" t="n"/>
      <c r="K356" s="15" t="n">
        <v>10.8</v>
      </c>
      <c r="L356" s="13" t="n"/>
      <c r="M356" s="16">
        <f>IF(COUNT(E356:L356)=0,"",MIN(E356:L356))</f>
        <v/>
      </c>
      <c r="N356" s="15">
        <f>IF(COUNT(E356:L356)=0,"",LOOKUP(2,1/(E356:L356&lt;&gt;""),E356:L356))</f>
        <v/>
      </c>
      <c r="O356" s="17">
        <f>IF(M356="","",ROUND(M356*RESUMEN!$B$4,0))</f>
        <v/>
      </c>
      <c r="P356" s="18">
        <f>COUNT(E356:L356)</f>
        <v/>
      </c>
      <c r="Q356" s="19">
        <f>IF(COUNT(J356:L356)=0,"",MIN(J356:L356))</f>
        <v/>
      </c>
    </row>
    <row r="357">
      <c r="A357" s="13" t="inlineStr">
        <is>
          <t>11915828105387</t>
        </is>
      </c>
      <c r="B357" s="13" t="inlineStr">
        <is>
          <t>TRAJE DE BAÑO V</t>
        </is>
      </c>
      <c r="C357" s="13" t="inlineStr">
        <is>
          <t>XGCP24248 M</t>
        </is>
      </c>
      <c r="D357" s="14" t="inlineStr">
        <is>
          <t>Polyester fiber, s</t>
        </is>
      </c>
      <c r="E357" s="15" t="n">
        <v>9.800000000000001</v>
      </c>
      <c r="F357" s="13" t="n"/>
      <c r="G357" s="13" t="n"/>
      <c r="H357" s="13" t="n"/>
      <c r="I357" s="15" t="n">
        <v>10.8</v>
      </c>
      <c r="J357" s="15" t="n">
        <v>10.8</v>
      </c>
      <c r="K357" s="13" t="n"/>
      <c r="L357" s="15" t="n">
        <v>9.800000000000001</v>
      </c>
      <c r="M357" s="16">
        <f>IF(COUNT(E357:L357)=0,"",MIN(E357:L357))</f>
        <v/>
      </c>
      <c r="N357" s="15">
        <f>IF(COUNT(E357:L357)=0,"",LOOKUP(2,1/(E357:L357&lt;&gt;""),E357:L357))</f>
        <v/>
      </c>
      <c r="O357" s="17">
        <f>IF(M357="","",ROUND(M357*RESUMEN!$B$4,0))</f>
        <v/>
      </c>
      <c r="P357" s="18">
        <f>COUNT(E357:L357)</f>
        <v/>
      </c>
      <c r="Q357" s="19">
        <f>IF(COUNT(J357:L357)=0,"",MIN(J357:L357))</f>
        <v/>
      </c>
    </row>
    <row r="358">
      <c r="A358" s="13" t="inlineStr">
        <is>
          <t>24469401092557</t>
        </is>
      </c>
      <c r="B358" s="13" t="inlineStr">
        <is>
          <t>UGG PANTUFLAS TAZZ II</t>
        </is>
      </c>
      <c r="C358" s="13" t="inlineStr">
        <is>
          <t>24CM</t>
        </is>
      </c>
      <c r="D358" s="14" t="inlineStr"/>
      <c r="E358" s="13" t="n"/>
      <c r="F358" s="15" t="n">
        <v>32</v>
      </c>
      <c r="G358" s="13" t="n"/>
      <c r="H358" s="13" t="n"/>
      <c r="I358" s="13" t="n"/>
      <c r="J358" s="13" t="n"/>
      <c r="K358" s="13" t="n"/>
      <c r="L358" s="13" t="n"/>
      <c r="M358" s="16">
        <f>IF(COUNT(E358:L358)=0,"",MIN(E358:L358))</f>
        <v/>
      </c>
      <c r="N358" s="15">
        <f>IF(COUNT(E358:L358)=0,"",LOOKUP(2,1/(E358:L358&lt;&gt;""),E358:L358))</f>
        <v/>
      </c>
      <c r="O358" s="17">
        <f>IF(M358="","",ROUND(M358*RESUMEN!$B$4,0))</f>
        <v/>
      </c>
      <c r="P358" s="18">
        <f>COUNT(E358:L358)</f>
        <v/>
      </c>
      <c r="Q358" s="19">
        <f>IF(COUNT(J358:L358)=0,"",MIN(J358:L358))</f>
        <v/>
      </c>
    </row>
    <row r="359">
      <c r="A359" s="13" t="inlineStr">
        <is>
          <t>REGALO</t>
        </is>
      </c>
      <c r="B359" s="13" t="inlineStr"/>
      <c r="C359" s="13" t="inlineStr"/>
      <c r="D359" s="14" t="inlineStr"/>
      <c r="E359" s="13" t="n"/>
      <c r="F359" s="15" t="n">
        <v>8.800000000000001</v>
      </c>
      <c r="G359" s="13" t="n"/>
      <c r="H359" s="13" t="n"/>
      <c r="I359" s="13" t="n"/>
      <c r="J359" s="13" t="n"/>
      <c r="K359" s="13" t="n"/>
      <c r="L359" s="13" t="n"/>
      <c r="M359" s="16">
        <f>IF(COUNT(E359:L359)=0,"",MIN(E359:L359))</f>
        <v/>
      </c>
      <c r="N359" s="15">
        <f>IF(COUNT(E359:L359)=0,"",LOOKUP(2,1/(E359:L359&lt;&gt;""),E359:L359))</f>
        <v/>
      </c>
      <c r="O359" s="17">
        <f>IF(M359="","",ROUND(M359*RESUMEN!$B$4,0))</f>
        <v/>
      </c>
      <c r="P359" s="18">
        <f>COUNT(E359:L359)</f>
        <v/>
      </c>
      <c r="Q359" s="19">
        <f>IF(COUNT(J359:L359)=0,"",MIN(J359:L359))</f>
        <v/>
      </c>
    </row>
    <row r="360">
      <c r="A360" s="13" t="inlineStr">
        <is>
          <t>59416971022989</t>
        </is>
      </c>
      <c r="B360" s="13" t="inlineStr"/>
      <c r="C360" s="13" t="inlineStr">
        <is>
          <t>26cmX21cmX6cm</t>
        </is>
      </c>
      <c r="D360" s="14" t="inlineStr">
        <is>
          <t>Genuine leather mi</t>
        </is>
      </c>
      <c r="E360" s="13" t="n"/>
      <c r="F360" s="13" t="n"/>
      <c r="G360" s="13" t="n"/>
      <c r="H360" s="15" t="n">
        <v>51</v>
      </c>
      <c r="I360" s="13" t="n"/>
      <c r="J360" s="13" t="n"/>
      <c r="K360" s="13" t="n"/>
      <c r="L360" s="13" t="n"/>
      <c r="M360" s="16">
        <f>IF(COUNT(E360:L360)=0,"",MIN(E360:L360))</f>
        <v/>
      </c>
      <c r="N360" s="15">
        <f>IF(COUNT(E360:L360)=0,"",LOOKUP(2,1/(E360:L360&lt;&gt;""),E360:L360))</f>
        <v/>
      </c>
      <c r="O360" s="17">
        <f>IF(M360="","",ROUND(M360*RESUMEN!$B$4,0))</f>
        <v/>
      </c>
      <c r="P360" s="18">
        <f>COUNT(E360:L360)</f>
        <v/>
      </c>
      <c r="Q360" s="19">
        <f>IF(COUNT(J360:L360)=0,"",MIN(J360:L360))</f>
        <v/>
      </c>
    </row>
    <row r="361">
      <c r="A361" s="13" t="inlineStr">
        <is>
          <t>36002955634060</t>
        </is>
      </c>
      <c r="B361" s="13" t="inlineStr"/>
      <c r="C361" s="13" t="inlineStr">
        <is>
          <t>45cm</t>
        </is>
      </c>
      <c r="D361" s="14" t="inlineStr">
        <is>
          <t>925 silver,zircon</t>
        </is>
      </c>
      <c r="E361" s="13" t="n"/>
      <c r="F361" s="13" t="n"/>
      <c r="G361" s="15" t="n">
        <v>12.8</v>
      </c>
      <c r="H361" s="13" t="n"/>
      <c r="I361" s="13" t="n"/>
      <c r="J361" s="13" t="n"/>
      <c r="K361" s="13" t="n"/>
      <c r="L361" s="13" t="n"/>
      <c r="M361" s="16">
        <f>IF(COUNT(E361:L361)=0,"",MIN(E361:L361))</f>
        <v/>
      </c>
      <c r="N361" s="15">
        <f>IF(COUNT(E361:L361)=0,"",LOOKUP(2,1/(E361:L361&lt;&gt;""),E361:L361))</f>
        <v/>
      </c>
      <c r="O361" s="17">
        <f>IF(M361="","",ROUND(M361*RESUMEN!$B$4,0))</f>
        <v/>
      </c>
      <c r="P361" s="18">
        <f>COUNT(E361:L361)</f>
        <v/>
      </c>
      <c r="Q361" s="19">
        <f>IF(COUNT(J361:L361)=0,"",MIN(J361:L361))</f>
        <v/>
      </c>
    </row>
    <row r="362">
      <c r="A362" s="13" t="inlineStr">
        <is>
          <t>43047206715532</t>
        </is>
      </c>
      <c r="B362" s="13" t="inlineStr"/>
      <c r="C362" s="13" t="inlineStr">
        <is>
          <t>7</t>
        </is>
      </c>
      <c r="D362" s="14" t="inlineStr">
        <is>
          <t>copper,zircon</t>
        </is>
      </c>
      <c r="E362" s="13" t="n"/>
      <c r="F362" s="13" t="n"/>
      <c r="G362" s="15" t="n">
        <v>11.8</v>
      </c>
      <c r="H362" s="13" t="n"/>
      <c r="I362" s="13" t="n"/>
      <c r="J362" s="13" t="n"/>
      <c r="K362" s="13" t="n"/>
      <c r="L362" s="13" t="n"/>
      <c r="M362" s="16">
        <f>IF(COUNT(E362:L362)=0,"",MIN(E362:L362))</f>
        <v/>
      </c>
      <c r="N362" s="15">
        <f>IF(COUNT(E362:L362)=0,"",LOOKUP(2,1/(E362:L362&lt;&gt;""),E362:L362))</f>
        <v/>
      </c>
      <c r="O362" s="17">
        <f>IF(M362="","",ROUND(M362*RESUMEN!$B$4,0))</f>
        <v/>
      </c>
      <c r="P362" s="18">
        <f>COUNT(E362:L362)</f>
        <v/>
      </c>
      <c r="Q362" s="19">
        <f>IF(COUNT(J362:L362)=0,"",MIN(J362:L362))</f>
        <v/>
      </c>
    </row>
    <row r="363">
      <c r="A363" s="13" t="inlineStr">
        <is>
          <t>43047206322316</t>
        </is>
      </c>
      <c r="B363" s="13" t="inlineStr"/>
      <c r="C363" s="13" t="inlineStr">
        <is>
          <t>8</t>
        </is>
      </c>
      <c r="D363" s="14" t="inlineStr">
        <is>
          <t>copper,zircon</t>
        </is>
      </c>
      <c r="E363" s="13" t="n"/>
      <c r="F363" s="13" t="n"/>
      <c r="G363" s="15" t="n">
        <v>11.8</v>
      </c>
      <c r="H363" s="13" t="n"/>
      <c r="I363" s="13" t="n"/>
      <c r="J363" s="13" t="n"/>
      <c r="K363" s="13" t="n"/>
      <c r="L363" s="13" t="n"/>
      <c r="M363" s="16">
        <f>IF(COUNT(E363:L363)=0,"",MIN(E363:L363))</f>
        <v/>
      </c>
      <c r="N363" s="15">
        <f>IF(COUNT(E363:L363)=0,"",LOOKUP(2,1/(E363:L363&lt;&gt;""),E363:L363))</f>
        <v/>
      </c>
      <c r="O363" s="17">
        <f>IF(M363="","",ROUND(M363*RESUMEN!$B$4,0))</f>
        <v/>
      </c>
      <c r="P363" s="18">
        <f>COUNT(E363:L363)</f>
        <v/>
      </c>
      <c r="Q363" s="19">
        <f>IF(COUNT(J363:L363)=0,"",MIN(J363:L363))</f>
        <v/>
      </c>
    </row>
    <row r="364">
      <c r="A364" s="13" t="inlineStr">
        <is>
          <t>43047228080268</t>
        </is>
      </c>
      <c r="B364" s="13" t="inlineStr"/>
      <c r="C364" s="13" t="inlineStr">
        <is>
          <t>8</t>
        </is>
      </c>
      <c r="D364" s="14" t="inlineStr">
        <is>
          <t>copper,zircon</t>
        </is>
      </c>
      <c r="E364" s="13" t="n"/>
      <c r="F364" s="13" t="n"/>
      <c r="G364" s="15" t="n">
        <v>9.800000000000001</v>
      </c>
      <c r="H364" s="13" t="n"/>
      <c r="I364" s="13" t="n"/>
      <c r="J364" s="13" t="n"/>
      <c r="K364" s="13" t="n"/>
      <c r="L364" s="13" t="n"/>
      <c r="M364" s="16">
        <f>IF(COUNT(E364:L364)=0,"",MIN(E364:L364))</f>
        <v/>
      </c>
      <c r="N364" s="15">
        <f>IF(COUNT(E364:L364)=0,"",LOOKUP(2,1/(E364:L364&lt;&gt;""),E364:L364))</f>
        <v/>
      </c>
      <c r="O364" s="17">
        <f>IF(M364="","",ROUND(M364*RESUMEN!$B$4,0))</f>
        <v/>
      </c>
      <c r="P364" s="18">
        <f>COUNT(E364:L364)</f>
        <v/>
      </c>
      <c r="Q364" s="19">
        <f>IF(COUNT(J364:L364)=0,"",MIN(J364:L364))</f>
        <v/>
      </c>
    </row>
    <row r="365">
      <c r="A365" s="13" t="inlineStr">
        <is>
          <t>81712814361484</t>
        </is>
      </c>
      <c r="B365" s="13" t="inlineStr"/>
      <c r="C365" s="13" t="inlineStr">
        <is>
          <t>MEDIUM QUALITY 40/ 25cm</t>
        </is>
      </c>
      <c r="D365" s="14" t="inlineStr">
        <is>
          <t>Microfiber leather</t>
        </is>
      </c>
      <c r="E365" s="13" t="n"/>
      <c r="F365" s="13" t="n"/>
      <c r="G365" s="15" t="n">
        <v>28</v>
      </c>
      <c r="H365" s="13" t="n"/>
      <c r="I365" s="13" t="n"/>
      <c r="J365" s="13" t="n"/>
      <c r="K365" s="13" t="n"/>
      <c r="L365" s="13" t="n"/>
      <c r="M365" s="16">
        <f>IF(COUNT(E365:L365)=0,"",MIN(E365:L365))</f>
        <v/>
      </c>
      <c r="N365" s="15">
        <f>IF(COUNT(E365:L365)=0,"",LOOKUP(2,1/(E365:L365&lt;&gt;""),E365:L365))</f>
        <v/>
      </c>
      <c r="O365" s="17">
        <f>IF(M365="","",ROUND(M365*RESUMEN!$B$4,0))</f>
        <v/>
      </c>
      <c r="P365" s="18">
        <f>COUNT(E365:L365)</f>
        <v/>
      </c>
      <c r="Q365" s="19">
        <f>IF(COUNT(J365:L365)=0,"",MIN(J365:L365))</f>
        <v/>
      </c>
    </row>
  </sheetData>
  <autoFilter ref="A4:P3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0" t="inlineStr">
        <is>
          <t>HISTORIAL DE PRECIOS — NANCY VIP</t>
        </is>
      </c>
    </row>
    <row r="2">
      <c r="A2" s="11" t="inlineStr">
        <is>
          <t>7 orden(es) · costo unitario en USD · MXN = MEJOR × RESUMEN!B4 · * = dato del historial previo</t>
        </is>
      </c>
    </row>
    <row r="4">
      <c r="A4" s="12" t="inlineStr">
        <is>
          <t>SKU</t>
        </is>
      </c>
      <c r="B4" s="12" t="inlineStr">
        <is>
          <t>PRODUCTO</t>
        </is>
      </c>
      <c r="C4" s="12" t="inlineStr">
        <is>
          <t>VARIANTE</t>
        </is>
      </c>
      <c r="D4" s="12" t="inlineStr">
        <is>
          <t>MATERIAL</t>
        </is>
      </c>
      <c r="E4" s="12" t="inlineStr">
        <is>
          <t>Sep 2025
06/09</t>
        </is>
      </c>
      <c r="F4" s="12" t="inlineStr">
        <is>
          <t>Dic 2025
03/12</t>
        </is>
      </c>
      <c r="G4" s="12" t="inlineStr">
        <is>
          <t>Mar 2026
01/03</t>
        </is>
      </c>
      <c r="H4" s="12" t="inlineStr">
        <is>
          <t>Abr 2026
01/04</t>
        </is>
      </c>
      <c r="I4" s="12" t="inlineStr">
        <is>
          <t>May 2026
08/05</t>
        </is>
      </c>
      <c r="J4" s="12" t="inlineStr">
        <is>
          <t>May 2026
31/05</t>
        </is>
      </c>
      <c r="K4" s="12" t="inlineStr">
        <is>
          <t>Jul 2026
09/07</t>
        </is>
      </c>
      <c r="L4" s="12" t="inlineStr">
        <is>
          <t>MEJOR
(US)</t>
        </is>
      </c>
      <c r="M4" s="12" t="inlineStr">
        <is>
          <t>ÚLTIMA
(US)</t>
        </is>
      </c>
      <c r="N4" s="12" t="inlineStr">
        <is>
          <t>MXN
(mejor×TC)</t>
        </is>
      </c>
      <c r="O4" s="12" t="inlineStr">
        <is>
          <t># ÓRD.</t>
        </is>
      </c>
    </row>
    <row r="5">
      <c r="A5" s="13" t="inlineStr">
        <is>
          <t>42981628018828</t>
        </is>
      </c>
      <c r="B5" s="13" t="inlineStr">
        <is>
          <t>ANILLO BLOSSOM STAR ROSEGOLD</t>
        </is>
      </c>
      <c r="C5" s="13" t="inlineStr">
        <is>
          <t>Regular</t>
        </is>
      </c>
      <c r="D5" s="14" t="inlineStr"/>
      <c r="E5" s="15" t="n">
        <v>4.99</v>
      </c>
      <c r="F5" s="13" t="n"/>
      <c r="G5" s="13" t="n"/>
      <c r="H5" s="15" t="n">
        <v>2.3</v>
      </c>
      <c r="I5" s="15" t="n">
        <v>5.59</v>
      </c>
      <c r="J5" s="13" t="n"/>
      <c r="K5" s="13" t="n"/>
      <c r="L5" s="16">
        <f>IF(COUNT(E5:K5)=0,"",MIN(E5:K5))</f>
        <v/>
      </c>
      <c r="M5" s="15">
        <f>IF(COUNT(E5:K5)=0,"",LOOKUP(2,1/(E5:K5&lt;&gt;""),E5:K5))</f>
        <v/>
      </c>
      <c r="N5" s="17">
        <f>IF(L5="","",ROUND(L5*RESUMEN!$B$4,0))</f>
        <v/>
      </c>
      <c r="O5" s="18">
        <f>COUNT(E5:K5)</f>
        <v/>
      </c>
    </row>
    <row r="6">
      <c r="A6" s="13" t="inlineStr">
        <is>
          <t>71036863389452</t>
        </is>
      </c>
      <c r="B6" s="13" t="inlineStr">
        <is>
          <t>ANILLO BV CON UNA ZIRCONIA GOLD</t>
        </is>
      </c>
      <c r="C6" s="13" t="inlineStr">
        <is>
          <t>7</t>
        </is>
      </c>
      <c r="D6" s="14" t="inlineStr">
        <is>
          <t>stainless steel</t>
        </is>
      </c>
      <c r="E6" s="13" t="n"/>
      <c r="F6" s="13" t="n"/>
      <c r="G6" s="13" t="n"/>
      <c r="H6" s="13" t="n"/>
      <c r="I6" s="13" t="n"/>
      <c r="J6" s="15" t="n">
        <v>3.99</v>
      </c>
      <c r="K6" s="13" t="n"/>
      <c r="L6" s="16">
        <f>IF(COUNT(E6:K6)=0,"",MIN(E6:K6))</f>
        <v/>
      </c>
      <c r="M6" s="15">
        <f>IF(COUNT(E6:K6)=0,"",LOOKUP(2,1/(E6:K6&lt;&gt;""),E6:K6))</f>
        <v/>
      </c>
      <c r="N6" s="17">
        <f>IF(L6="","",ROUND(L6*RESUMEN!$B$4,0))</f>
        <v/>
      </c>
      <c r="O6" s="18">
        <f>COUNT(E6:K6)</f>
        <v/>
      </c>
    </row>
    <row r="7">
      <c r="A7" s="13" t="inlineStr">
        <is>
          <t>71036863422220</t>
        </is>
      </c>
      <c r="B7" s="13" t="inlineStr">
        <is>
          <t>ANILLO BV CON UNA ZIRCONIA GOLD</t>
        </is>
      </c>
      <c r="C7" s="13" t="inlineStr">
        <is>
          <t>8</t>
        </is>
      </c>
      <c r="D7" s="14" t="inlineStr"/>
      <c r="E7" s="13" t="n"/>
      <c r="F7" s="13" t="n"/>
      <c r="G7" s="13" t="n"/>
      <c r="H7" s="13" t="n"/>
      <c r="I7" s="15" t="n">
        <v>3.99</v>
      </c>
      <c r="J7" s="13" t="n"/>
      <c r="K7" s="13" t="n"/>
      <c r="L7" s="16">
        <f>IF(COUNT(E7:K7)=0,"",MIN(E7:K7))</f>
        <v/>
      </c>
      <c r="M7" s="15">
        <f>IF(COUNT(E7:K7)=0,"",LOOKUP(2,1/(E7:K7&lt;&gt;""),E7:K7))</f>
        <v/>
      </c>
      <c r="N7" s="17">
        <f>IF(L7="","",ROUND(L7*RESUMEN!$B$4,0))</f>
        <v/>
      </c>
      <c r="O7" s="18">
        <f>COUNT(E7:K7)</f>
        <v/>
      </c>
    </row>
    <row r="8">
      <c r="A8" s="13" t="inlineStr">
        <is>
          <t>62745763277677</t>
        </is>
      </c>
      <c r="B8" s="13" t="inlineStr">
        <is>
          <t>ANILLO C CLASH ONYX</t>
        </is>
      </c>
      <c r="C8" s="13" t="inlineStr">
        <is>
          <t>6</t>
        </is>
      </c>
      <c r="D8" s="14" t="inlineStr">
        <is>
          <t>brass</t>
        </is>
      </c>
      <c r="E8" s="13" t="n"/>
      <c r="F8" s="13" t="n"/>
      <c r="G8" s="13" t="n"/>
      <c r="H8" s="13" t="n"/>
      <c r="I8" s="13" t="n"/>
      <c r="J8" s="15" t="n">
        <v>10.89</v>
      </c>
      <c r="K8" s="13" t="n"/>
      <c r="L8" s="16">
        <f>IF(COUNT(E8:K8)=0,"",MIN(E8:K8))</f>
        <v/>
      </c>
      <c r="M8" s="15">
        <f>IF(COUNT(E8:K8)=0,"",LOOKUP(2,1/(E8:K8&lt;&gt;""),E8:K8))</f>
        <v/>
      </c>
      <c r="N8" s="17">
        <f>IF(L8="","",ROUND(L8*RESUMEN!$B$4,0))</f>
        <v/>
      </c>
      <c r="O8" s="18">
        <f>COUNT(E8:K8)</f>
        <v/>
      </c>
    </row>
    <row r="9">
      <c r="A9" s="13" t="inlineStr">
        <is>
          <t>62745763310445</t>
        </is>
      </c>
      <c r="B9" s="13" t="inlineStr">
        <is>
          <t>ANILLO C CLASH ONYX</t>
        </is>
      </c>
      <c r="C9" s="13" t="inlineStr">
        <is>
          <t>7</t>
        </is>
      </c>
      <c r="D9" s="14" t="inlineStr">
        <is>
          <t>brass</t>
        </is>
      </c>
      <c r="E9" s="13" t="n"/>
      <c r="F9" s="13" t="n"/>
      <c r="G9" s="13" t="n"/>
      <c r="H9" s="13" t="n"/>
      <c r="I9" s="13" t="n"/>
      <c r="J9" s="15" t="n">
        <v>10.89</v>
      </c>
      <c r="K9" s="13" t="n"/>
      <c r="L9" s="16">
        <f>IF(COUNT(E9:K9)=0,"",MIN(E9:K9))</f>
        <v/>
      </c>
      <c r="M9" s="15">
        <f>IF(COUNT(E9:K9)=0,"",LOOKUP(2,1/(E9:K9&lt;&gt;""),E9:K9))</f>
        <v/>
      </c>
      <c r="N9" s="17">
        <f>IF(L9="","",ROUND(L9*RESUMEN!$B$4,0))</f>
        <v/>
      </c>
      <c r="O9" s="18">
        <f>COUNT(E9:K9)</f>
        <v/>
      </c>
    </row>
    <row r="10">
      <c r="A10" s="13" t="inlineStr">
        <is>
          <t>58980702033101</t>
        </is>
      </c>
      <c r="B10" s="13" t="inlineStr">
        <is>
          <t>ANILLO CC CAMELIA ROSE GOLD</t>
        </is>
      </c>
      <c r="C10" s="13" t="inlineStr">
        <is>
          <t>6</t>
        </is>
      </c>
      <c r="D10" s="14" t="inlineStr">
        <is>
          <t>brass</t>
        </is>
      </c>
      <c r="E10" s="13" t="n"/>
      <c r="F10" s="13" t="n"/>
      <c r="G10" s="13" t="n"/>
      <c r="H10" s="13" t="n"/>
      <c r="I10" s="13" t="n"/>
      <c r="J10" s="15" t="n">
        <v>10.59</v>
      </c>
      <c r="K10" s="13" t="n"/>
      <c r="L10" s="16">
        <f>IF(COUNT(E10:K10)=0,"",MIN(E10:K10))</f>
        <v/>
      </c>
      <c r="M10" s="15">
        <f>IF(COUNT(E10:K10)=0,"",LOOKUP(2,1/(E10:K10&lt;&gt;""),E10:K10))</f>
        <v/>
      </c>
      <c r="N10" s="17">
        <f>IF(L10="","",ROUND(L10*RESUMEN!$B$4,0))</f>
        <v/>
      </c>
      <c r="O10" s="18">
        <f>COUNT(E10:K10)</f>
        <v/>
      </c>
    </row>
    <row r="11">
      <c r="A11" s="13" t="inlineStr">
        <is>
          <t>58980702165869</t>
        </is>
      </c>
      <c r="B11" s="13" t="inlineStr">
        <is>
          <t>ANILLO CC CAMELIA ROSE GOLD</t>
        </is>
      </c>
      <c r="C11" s="13" t="inlineStr">
        <is>
          <t>7</t>
        </is>
      </c>
      <c r="D11" s="14" t="inlineStr">
        <is>
          <t>brass</t>
        </is>
      </c>
      <c r="E11" s="13" t="n"/>
      <c r="F11" s="13" t="n"/>
      <c r="G11" s="13" t="n"/>
      <c r="H11" s="13" t="n"/>
      <c r="I11" s="13" t="n"/>
      <c r="J11" s="15" t="n">
        <v>10.59</v>
      </c>
      <c r="K11" s="13" t="n"/>
      <c r="L11" s="16">
        <f>IF(COUNT(E11:K11)=0,"",MIN(E11:K11))</f>
        <v/>
      </c>
      <c r="M11" s="15">
        <f>IF(COUNT(E11:K11)=0,"",LOOKUP(2,1/(E11:K11&lt;&gt;""),E11:K11))</f>
        <v/>
      </c>
      <c r="N11" s="17">
        <f>IF(L11="","",ROUND(L11*RESUMEN!$B$4,0))</f>
        <v/>
      </c>
      <c r="O11" s="18">
        <f>COUNT(E11:K11)</f>
        <v/>
      </c>
    </row>
    <row r="12">
      <c r="A12" s="13" t="inlineStr">
        <is>
          <t>58980701834797</t>
        </is>
      </c>
      <c r="B12" s="13" t="inlineStr">
        <is>
          <t>ANILLO CC COCO SLIM SILVER</t>
        </is>
      </c>
      <c r="C12" s="13" t="inlineStr">
        <is>
          <t>6</t>
        </is>
      </c>
      <c r="D12" s="14" t="inlineStr">
        <is>
          <t>brass</t>
        </is>
      </c>
      <c r="E12" s="13" t="n"/>
      <c r="F12" s="13" t="n"/>
      <c r="G12" s="13" t="n"/>
      <c r="H12" s="13" t="n"/>
      <c r="I12" s="13" t="n"/>
      <c r="J12" s="15" t="n">
        <v>7.39</v>
      </c>
      <c r="K12" s="13" t="n"/>
      <c r="L12" s="16">
        <f>IF(COUNT(E12:K12)=0,"",MIN(E12:K12))</f>
        <v/>
      </c>
      <c r="M12" s="15">
        <f>IF(COUNT(E12:K12)=0,"",LOOKUP(2,1/(E12:K12&lt;&gt;""),E12:K12))</f>
        <v/>
      </c>
      <c r="N12" s="17">
        <f>IF(L12="","",ROUND(L12*RESUMEN!$B$4,0))</f>
        <v/>
      </c>
      <c r="O12" s="18">
        <f>COUNT(E12:K12)</f>
        <v/>
      </c>
    </row>
    <row r="13">
      <c r="A13" s="13" t="inlineStr">
        <is>
          <t>58980701967565</t>
        </is>
      </c>
      <c r="B13" s="13" t="inlineStr">
        <is>
          <t>ANILLO CC COCO SLIM SILVER</t>
        </is>
      </c>
      <c r="C13" s="13" t="inlineStr">
        <is>
          <t>7</t>
        </is>
      </c>
      <c r="D13" s="14" t="inlineStr">
        <is>
          <t>brass</t>
        </is>
      </c>
      <c r="E13" s="13" t="n"/>
      <c r="F13" s="13" t="n"/>
      <c r="G13" s="13" t="n"/>
      <c r="H13" s="13" t="n"/>
      <c r="I13" s="13" t="n"/>
      <c r="J13" s="15" t="n">
        <v>7.39</v>
      </c>
      <c r="K13" s="13" t="n"/>
      <c r="L13" s="16">
        <f>IF(COUNT(E13:K13)=0,"",MIN(E13:K13))</f>
        <v/>
      </c>
      <c r="M13" s="15">
        <f>IF(COUNT(E13:K13)=0,"",LOOKUP(2,1/(E13:K13&lt;&gt;""),E13:K13))</f>
        <v/>
      </c>
      <c r="N13" s="17">
        <f>IF(L13="","",ROUND(L13*RESUMEN!$B$4,0))</f>
        <v/>
      </c>
      <c r="O13" s="18">
        <f>COUNT(E13:K13)</f>
        <v/>
      </c>
    </row>
    <row r="14">
      <c r="A14" s="13" t="inlineStr">
        <is>
          <t>58980701641581</t>
        </is>
      </c>
      <c r="B14" s="13" t="inlineStr">
        <is>
          <t>ANILLO CC COCO ZIRCONIA GOLD</t>
        </is>
      </c>
      <c r="C14" s="13" t="inlineStr">
        <is>
          <t>Default Title</t>
        </is>
      </c>
      <c r="D14" s="14" t="inlineStr">
        <is>
          <t>brass</t>
        </is>
      </c>
      <c r="E14" s="13" t="n"/>
      <c r="F14" s="13" t="n"/>
      <c r="G14" s="13" t="n"/>
      <c r="H14" s="13" t="n"/>
      <c r="I14" s="13" t="n"/>
      <c r="J14" s="15" t="n">
        <v>6.69</v>
      </c>
      <c r="K14" s="13" t="n"/>
      <c r="L14" s="16">
        <f>IF(COUNT(E14:K14)=0,"",MIN(E14:K14))</f>
        <v/>
      </c>
      <c r="M14" s="15">
        <f>IF(COUNT(E14:K14)=0,"",LOOKUP(2,1/(E14:K14&lt;&gt;""),E14:K14))</f>
        <v/>
      </c>
      <c r="N14" s="17">
        <f>IF(L14="","",ROUND(L14*RESUMEN!$B$4,0))</f>
        <v/>
      </c>
      <c r="O14" s="18">
        <f>COUNT(E14:K14)</f>
        <v/>
      </c>
    </row>
    <row r="15">
      <c r="A15" s="13" t="inlineStr">
        <is>
          <t>58980701543277</t>
        </is>
      </c>
      <c r="B15" s="13" t="inlineStr">
        <is>
          <t>ANILLO CC COCO ZIRCONIA ROSE GOLD</t>
        </is>
      </c>
      <c r="C15" s="13" t="inlineStr">
        <is>
          <t>Default Title</t>
        </is>
      </c>
      <c r="D15" s="14" t="inlineStr">
        <is>
          <t>brass</t>
        </is>
      </c>
      <c r="E15" s="13" t="n"/>
      <c r="F15" s="13" t="n"/>
      <c r="G15" s="13" t="n"/>
      <c r="H15" s="13" t="n"/>
      <c r="I15" s="13" t="n"/>
      <c r="J15" s="15" t="n">
        <v>6.69</v>
      </c>
      <c r="K15" s="13" t="n"/>
      <c r="L15" s="16">
        <f>IF(COUNT(E15:K15)=0,"",MIN(E15:K15))</f>
        <v/>
      </c>
      <c r="M15" s="15">
        <f>IF(COUNT(E15:K15)=0,"",LOOKUP(2,1/(E15:K15&lt;&gt;""),E15:K15))</f>
        <v/>
      </c>
      <c r="N15" s="17">
        <f>IF(L15="","",ROUND(L15*RESUMEN!$B$4,0))</f>
        <v/>
      </c>
      <c r="O15" s="18">
        <f>COUNT(E15:K15)</f>
        <v/>
      </c>
    </row>
    <row r="16">
      <c r="A16" s="13" t="inlineStr">
        <is>
          <t>58980701738189</t>
        </is>
      </c>
      <c r="B16" s="13" t="inlineStr">
        <is>
          <t>ANILLO CC COCO ZIRCONIA SILVER</t>
        </is>
      </c>
      <c r="C16" s="13" t="inlineStr">
        <is>
          <t>Default Title</t>
        </is>
      </c>
      <c r="D16" s="14" t="inlineStr">
        <is>
          <t>brass</t>
        </is>
      </c>
      <c r="E16" s="13" t="n"/>
      <c r="F16" s="13" t="n"/>
      <c r="G16" s="13" t="n"/>
      <c r="H16" s="13" t="n"/>
      <c r="I16" s="13" t="n"/>
      <c r="J16" s="15" t="n">
        <v>6.69</v>
      </c>
      <c r="K16" s="13" t="n"/>
      <c r="L16" s="16">
        <f>IF(COUNT(E16:K16)=0,"",MIN(E16:K16))</f>
        <v/>
      </c>
      <c r="M16" s="15">
        <f>IF(COUNT(E16:K16)=0,"",LOOKUP(2,1/(E16:K16&lt;&gt;""),E16:K16))</f>
        <v/>
      </c>
      <c r="N16" s="17">
        <f>IF(L16="","",ROUND(L16*RESUMEN!$B$4,0))</f>
        <v/>
      </c>
      <c r="O16" s="18">
        <f>COUNT(E16:K16)</f>
        <v/>
      </c>
    </row>
    <row r="17">
      <c r="A17" s="13" t="inlineStr">
        <is>
          <t>58980702231405</t>
        </is>
      </c>
      <c r="B17" s="13" t="inlineStr">
        <is>
          <t>ANILLO CC ETERNAL N5</t>
        </is>
      </c>
      <c r="C17" s="13" t="inlineStr">
        <is>
          <t>6</t>
        </is>
      </c>
      <c r="D17" s="14" t="inlineStr">
        <is>
          <t>brass</t>
        </is>
      </c>
      <c r="E17" s="13" t="n"/>
      <c r="F17" s="13" t="n"/>
      <c r="G17" s="13" t="n"/>
      <c r="H17" s="13" t="n"/>
      <c r="I17" s="13" t="n"/>
      <c r="J17" s="15" t="n">
        <v>6.69</v>
      </c>
      <c r="K17" s="13" t="n"/>
      <c r="L17" s="16">
        <f>IF(COUNT(E17:K17)=0,"",MIN(E17:K17))</f>
        <v/>
      </c>
      <c r="M17" s="15">
        <f>IF(COUNT(E17:K17)=0,"",LOOKUP(2,1/(E17:K17&lt;&gt;""),E17:K17))</f>
        <v/>
      </c>
      <c r="N17" s="17">
        <f>IF(L17="","",ROUND(L17*RESUMEN!$B$4,0))</f>
        <v/>
      </c>
      <c r="O17" s="18">
        <f>COUNT(E17:K17)</f>
        <v/>
      </c>
    </row>
    <row r="18">
      <c r="A18" s="13" t="inlineStr">
        <is>
          <t>58980702364173</t>
        </is>
      </c>
      <c r="B18" s="13" t="inlineStr">
        <is>
          <t>ANILLO CC ETERNAL N5</t>
        </is>
      </c>
      <c r="C18" s="13" t="inlineStr">
        <is>
          <t>7</t>
        </is>
      </c>
      <c r="D18" s="14" t="inlineStr">
        <is>
          <t>brass</t>
        </is>
      </c>
      <c r="E18" s="13" t="n"/>
      <c r="F18" s="13" t="n"/>
      <c r="G18" s="13" t="n"/>
      <c r="H18" s="13" t="n"/>
      <c r="I18" s="13" t="n"/>
      <c r="J18" s="15" t="n">
        <v>6.69</v>
      </c>
      <c r="K18" s="13" t="n"/>
      <c r="L18" s="16">
        <f>IF(COUNT(E18:K18)=0,"",MIN(E18:K18))</f>
        <v/>
      </c>
      <c r="M18" s="15">
        <f>IF(COUNT(E18:K18)=0,"",LOOKUP(2,1/(E18:K18&lt;&gt;""),E18:K18))</f>
        <v/>
      </c>
      <c r="N18" s="17">
        <f>IF(L18="","",ROUND(L18*RESUMEN!$B$4,0))</f>
        <v/>
      </c>
      <c r="O18" s="18">
        <f>COUNT(E18:K18)</f>
        <v/>
      </c>
    </row>
    <row r="19">
      <c r="A19" s="13" t="inlineStr">
        <is>
          <t>80464311068525</t>
        </is>
      </c>
      <c r="B19" s="13" t="inlineStr">
        <is>
          <t>ANILLO CD REVOLUTION</t>
        </is>
      </c>
      <c r="C19" s="13" t="inlineStr">
        <is>
          <t>6</t>
        </is>
      </c>
      <c r="D19" s="14" t="inlineStr">
        <is>
          <t>brass</t>
        </is>
      </c>
      <c r="E19" s="13" t="n"/>
      <c r="F19" s="13" t="n"/>
      <c r="G19" s="13" t="n"/>
      <c r="H19" s="15" t="n">
        <v>2.8</v>
      </c>
      <c r="I19" s="13" t="n"/>
      <c r="J19" s="15" t="n">
        <v>4.99</v>
      </c>
      <c r="K19" s="13" t="n"/>
      <c r="L19" s="16">
        <f>IF(COUNT(E19:K19)=0,"",MIN(E19:K19))</f>
        <v/>
      </c>
      <c r="M19" s="15">
        <f>IF(COUNT(E19:K19)=0,"",LOOKUP(2,1/(E19:K19&lt;&gt;""),E19:K19))</f>
        <v/>
      </c>
      <c r="N19" s="17">
        <f>IF(L19="","",ROUND(L19*RESUMEN!$B$4,0))</f>
        <v/>
      </c>
      <c r="O19" s="18">
        <f>COUNT(E19:K19)</f>
        <v/>
      </c>
    </row>
    <row r="20">
      <c r="A20" s="13" t="inlineStr">
        <is>
          <t>42951547486348</t>
        </is>
      </c>
      <c r="B20" s="13" t="inlineStr">
        <is>
          <t>ANILLO CD REVOLUTION</t>
        </is>
      </c>
      <c r="C20" s="13" t="inlineStr">
        <is>
          <t>8</t>
        </is>
      </c>
      <c r="D20" s="14" t="inlineStr"/>
      <c r="E20" s="15" t="n">
        <v>3.49</v>
      </c>
      <c r="F20" s="13" t="n"/>
      <c r="G20" s="13" t="n"/>
      <c r="H20" s="13" t="n"/>
      <c r="I20" s="15" t="n">
        <v>5.59</v>
      </c>
      <c r="J20" s="13" t="n"/>
      <c r="K20" s="13" t="n"/>
      <c r="L20" s="16">
        <f>IF(COUNT(E20:K20)=0,"",MIN(E20:K20))</f>
        <v/>
      </c>
      <c r="M20" s="15">
        <f>IF(COUNT(E20:K20)=0,"",LOOKUP(2,1/(E20:K20&lt;&gt;""),E20:K20))</f>
        <v/>
      </c>
      <c r="N20" s="17">
        <f>IF(L20="","",ROUND(L20*RESUMEN!$B$4,0))</f>
        <v/>
      </c>
      <c r="O20" s="18">
        <f>COUNT(E20:K20)</f>
        <v/>
      </c>
    </row>
    <row r="21">
      <c r="A21" s="13" t="inlineStr">
        <is>
          <t>56481462558348</t>
        </is>
      </c>
      <c r="B21" s="13" t="inlineStr">
        <is>
          <t>ANILLO ECROU SILVER</t>
        </is>
      </c>
      <c r="C21" s="13" t="inlineStr">
        <is>
          <t>6</t>
        </is>
      </c>
      <c r="D21" s="14" t="inlineStr">
        <is>
          <t>brass</t>
        </is>
      </c>
      <c r="E21" s="13" t="n"/>
      <c r="F21" s="13" t="n"/>
      <c r="G21" s="13" t="n"/>
      <c r="H21" s="13" t="n"/>
      <c r="I21" s="13" t="n"/>
      <c r="J21" s="15" t="n">
        <v>3.29</v>
      </c>
      <c r="K21" s="13" t="n"/>
      <c r="L21" s="16">
        <f>IF(COUNT(E21:K21)=0,"",MIN(E21:K21))</f>
        <v/>
      </c>
      <c r="M21" s="15">
        <f>IF(COUNT(E21:K21)=0,"",LOOKUP(2,1/(E21:K21&lt;&gt;""),E21:K21))</f>
        <v/>
      </c>
      <c r="N21" s="17">
        <f>IF(L21="","",ROUND(L21*RESUMEN!$B$4,0))</f>
        <v/>
      </c>
      <c r="O21" s="18">
        <f>COUNT(E21:K21)</f>
        <v/>
      </c>
    </row>
    <row r="22">
      <c r="A22" s="13" t="inlineStr">
        <is>
          <t>56481462591116</t>
        </is>
      </c>
      <c r="B22" s="13" t="inlineStr">
        <is>
          <t>ANILLO ECROU SILVER</t>
        </is>
      </c>
      <c r="C22" s="13" t="inlineStr">
        <is>
          <t>7</t>
        </is>
      </c>
      <c r="D22" s="14" t="inlineStr">
        <is>
          <t>brass</t>
        </is>
      </c>
      <c r="E22" s="13" t="n"/>
      <c r="F22" s="13" t="n"/>
      <c r="G22" s="15" t="n">
        <v>3.29</v>
      </c>
      <c r="H22" s="15" t="n">
        <v>3.29</v>
      </c>
      <c r="I22" s="13" t="n"/>
      <c r="J22" s="13" t="n"/>
      <c r="K22" s="13" t="n"/>
      <c r="L22" s="16">
        <f>IF(COUNT(E22:K22)=0,"",MIN(E22:K22))</f>
        <v/>
      </c>
      <c r="M22" s="15">
        <f>IF(COUNT(E22:K22)=0,"",LOOKUP(2,1/(E22:K22&lt;&gt;""),E22:K22))</f>
        <v/>
      </c>
      <c r="N22" s="17">
        <f>IF(L22="","",ROUND(L22*RESUMEN!$B$4,0))</f>
        <v/>
      </c>
      <c r="O22" s="18">
        <f>COUNT(E22:K22)</f>
        <v/>
      </c>
    </row>
    <row r="23">
      <c r="A23" s="13" t="inlineStr">
        <is>
          <t>56481462623884</t>
        </is>
      </c>
      <c r="B23" s="13" t="inlineStr">
        <is>
          <t>ANILLO ECROU SILVER</t>
        </is>
      </c>
      <c r="C23" s="13" t="inlineStr">
        <is>
          <t>8</t>
        </is>
      </c>
      <c r="D23" s="14" t="inlineStr">
        <is>
          <t>brass</t>
        </is>
      </c>
      <c r="E23" s="13" t="n"/>
      <c r="F23" s="15" t="n">
        <v>3.29</v>
      </c>
      <c r="G23" s="13" t="n"/>
      <c r="H23" s="15" t="n">
        <v>3.29</v>
      </c>
      <c r="I23" s="13" t="n"/>
      <c r="J23" s="13" t="n"/>
      <c r="K23" s="13" t="n"/>
      <c r="L23" s="16">
        <f>IF(COUNT(E23:K23)=0,"",MIN(E23:K23))</f>
        <v/>
      </c>
      <c r="M23" s="15">
        <f>IF(COUNT(E23:K23)=0,"",LOOKUP(2,1/(E23:K23&lt;&gt;""),E23:K23))</f>
        <v/>
      </c>
      <c r="N23" s="17">
        <f>IF(L23="","",ROUND(L23*RESUMEN!$B$4,0))</f>
        <v/>
      </c>
      <c r="O23" s="18">
        <f>COUNT(E23:K23)</f>
        <v/>
      </c>
    </row>
    <row r="24">
      <c r="A24" s="13" t="inlineStr">
        <is>
          <t>42981601575052</t>
        </is>
      </c>
      <c r="B24" s="13" t="inlineStr">
        <is>
          <t>ANILLO ESSENTIAL V PERLE</t>
        </is>
      </c>
      <c r="C24" s="13" t="inlineStr">
        <is>
          <t>Default Title</t>
        </is>
      </c>
      <c r="D24" s="14" t="inlineStr"/>
      <c r="E24" s="15" t="n">
        <v>4.99</v>
      </c>
      <c r="F24" s="13" t="n"/>
      <c r="G24" s="13" t="n"/>
      <c r="H24" s="13" t="n"/>
      <c r="I24" s="13" t="n"/>
      <c r="J24" s="13" t="n"/>
      <c r="K24" s="15" t="n">
        <v>5.59</v>
      </c>
      <c r="L24" s="16">
        <f>IF(COUNT(E24:K24)=0,"",MIN(E24:K24))</f>
        <v/>
      </c>
      <c r="M24" s="15">
        <f>IF(COUNT(E24:K24)=0,"",LOOKUP(2,1/(E24:K24&lt;&gt;""),E24:K24))</f>
        <v/>
      </c>
      <c r="N24" s="17">
        <f>IF(L24="","",ROUND(L24*RESUMEN!$B$4,0))</f>
        <v/>
      </c>
      <c r="O24" s="18">
        <f>COUNT(E24:K24)</f>
        <v/>
      </c>
    </row>
    <row r="25">
      <c r="A25" s="13" t="inlineStr">
        <is>
          <t>66593a9c168cf</t>
        </is>
      </c>
      <c r="B25" s="13" t="inlineStr">
        <is>
          <t>ANILLO KNOT GOLD</t>
        </is>
      </c>
      <c r="C25" s="13" t="inlineStr">
        <is>
          <t>6</t>
        </is>
      </c>
      <c r="D25" s="14" t="inlineStr">
        <is>
          <t>brass</t>
        </is>
      </c>
      <c r="E25" s="13" t="n"/>
      <c r="F25" s="15" t="n">
        <v>5.99</v>
      </c>
      <c r="G25" s="15" t="n">
        <v>5.59</v>
      </c>
      <c r="H25" s="15" t="n">
        <v>5.59</v>
      </c>
      <c r="I25" s="15" t="n">
        <v>5.59</v>
      </c>
      <c r="J25" s="13" t="n"/>
      <c r="K25" s="15" t="n">
        <v>4.99</v>
      </c>
      <c r="L25" s="16">
        <f>IF(COUNT(E25:K25)=0,"",MIN(E25:K25))</f>
        <v/>
      </c>
      <c r="M25" s="15">
        <f>IF(COUNT(E25:K25)=0,"",LOOKUP(2,1/(E25:K25&lt;&gt;""),E25:K25))</f>
        <v/>
      </c>
      <c r="N25" s="17">
        <f>IF(L25="","",ROUND(L25*RESUMEN!$B$4,0))</f>
        <v/>
      </c>
      <c r="O25" s="18">
        <f>COUNT(E25:K25)</f>
        <v/>
      </c>
    </row>
    <row r="26">
      <c r="A26" s="13" t="inlineStr">
        <is>
          <t>66593a9cc1aaa</t>
        </is>
      </c>
      <c r="B26" s="13" t="inlineStr">
        <is>
          <t>ANILLO KNOT GOLD</t>
        </is>
      </c>
      <c r="C26" s="13" t="inlineStr">
        <is>
          <t>7</t>
        </is>
      </c>
      <c r="D26" s="14" t="inlineStr">
        <is>
          <t>brass</t>
        </is>
      </c>
      <c r="E26" s="13" t="n"/>
      <c r="F26" s="15" t="n">
        <v>0</v>
      </c>
      <c r="G26" s="15" t="n">
        <v>5.59</v>
      </c>
      <c r="H26" s="15" t="n">
        <v>5.59</v>
      </c>
      <c r="I26" s="15" t="n">
        <v>5.59</v>
      </c>
      <c r="J26" s="15" t="n">
        <v>5.59</v>
      </c>
      <c r="K26" s="13" t="n"/>
      <c r="L26" s="16">
        <f>IF(COUNT(E26:K26)=0,"",MIN(E26:K26))</f>
        <v/>
      </c>
      <c r="M26" s="15">
        <f>IF(COUNT(E26:K26)=0,"",LOOKUP(2,1/(E26:K26&lt;&gt;""),E26:K26))</f>
        <v/>
      </c>
      <c r="N26" s="17">
        <f>IF(L26="","",ROUND(L26*RESUMEN!$B$4,0))</f>
        <v/>
      </c>
      <c r="O26" s="18">
        <f>COUNT(E26:K26)</f>
        <v/>
      </c>
    </row>
    <row r="27">
      <c r="A27" s="13" t="inlineStr">
        <is>
          <t>2653027325964</t>
        </is>
      </c>
      <c r="B27" s="13" t="inlineStr">
        <is>
          <t>ANILLO KNOT GOLD</t>
        </is>
      </c>
      <c r="C27" s="13" t="inlineStr">
        <is>
          <t>8</t>
        </is>
      </c>
      <c r="D27" s="14" t="inlineStr"/>
      <c r="E27" s="13" t="n"/>
      <c r="F27" s="13" t="n"/>
      <c r="G27" s="15" t="n">
        <v>5.59</v>
      </c>
      <c r="H27" s="13" t="n"/>
      <c r="I27" s="15" t="n">
        <v>5.59</v>
      </c>
      <c r="J27" s="13" t="n"/>
      <c r="K27" s="15" t="n">
        <v>4.99</v>
      </c>
      <c r="L27" s="16">
        <f>IF(COUNT(E27:K27)=0,"",MIN(E27:K27))</f>
        <v/>
      </c>
      <c r="M27" s="15">
        <f>IF(COUNT(E27:K27)=0,"",LOOKUP(2,1/(E27:K27&lt;&gt;""),E27:K27))</f>
        <v/>
      </c>
      <c r="N27" s="17">
        <f>IF(L27="","",ROUND(L27*RESUMEN!$B$4,0))</f>
        <v/>
      </c>
      <c r="O27" s="18">
        <f>COUNT(E27:K27)</f>
        <v/>
      </c>
    </row>
    <row r="28">
      <c r="A28" s="13" t="inlineStr">
        <is>
          <t>62745761965261</t>
        </is>
      </c>
      <c r="B28" s="13" t="inlineStr">
        <is>
          <t>ANILLO LOVE GOLD CON MICROZIRCONIAS Y ZIRCONIAS</t>
        </is>
      </c>
      <c r="C28" s="13" t="inlineStr">
        <is>
          <t>6</t>
        </is>
      </c>
      <c r="D28" s="14" t="inlineStr">
        <is>
          <t>stainless steel</t>
        </is>
      </c>
      <c r="E28" s="13" t="n"/>
      <c r="F28" s="13" t="n"/>
      <c r="G28" s="13" t="n"/>
      <c r="H28" s="13" t="n"/>
      <c r="I28" s="13" t="n"/>
      <c r="J28" s="15" t="n">
        <v>5.99</v>
      </c>
      <c r="K28" s="13" t="n"/>
      <c r="L28" s="16">
        <f>IF(COUNT(E28:K28)=0,"",MIN(E28:K28))</f>
        <v/>
      </c>
      <c r="M28" s="15">
        <f>IF(COUNT(E28:K28)=0,"",LOOKUP(2,1/(E28:K28&lt;&gt;""),E28:K28))</f>
        <v/>
      </c>
      <c r="N28" s="17">
        <f>IF(L28="","",ROUND(L28*RESUMEN!$B$4,0))</f>
        <v/>
      </c>
      <c r="O28" s="18">
        <f>COUNT(E28:K28)</f>
        <v/>
      </c>
    </row>
    <row r="29">
      <c r="A29" s="13" t="inlineStr">
        <is>
          <t>62745762098029</t>
        </is>
      </c>
      <c r="B29" s="13" t="inlineStr">
        <is>
          <t>ANILLO LOVE GOLD CON MICROZIRCONIAS Y ZIRCONIAS</t>
        </is>
      </c>
      <c r="C29" s="13" t="inlineStr">
        <is>
          <t>7</t>
        </is>
      </c>
      <c r="D29" s="14" t="inlineStr">
        <is>
          <t>stainless steel</t>
        </is>
      </c>
      <c r="E29" s="13" t="n"/>
      <c r="F29" s="13" t="n"/>
      <c r="G29" s="13" t="n"/>
      <c r="H29" s="13" t="n"/>
      <c r="I29" s="13" t="n"/>
      <c r="J29" s="15" t="n">
        <v>5.99</v>
      </c>
      <c r="K29" s="13" t="n"/>
      <c r="L29" s="16">
        <f>IF(COUNT(E29:K29)=0,"",MIN(E29:K29))</f>
        <v/>
      </c>
      <c r="M29" s="15">
        <f>IF(COUNT(E29:K29)=0,"",LOOKUP(2,1/(E29:K29&lt;&gt;""),E29:K29))</f>
        <v/>
      </c>
      <c r="N29" s="17">
        <f>IF(L29="","",ROUND(L29*RESUMEN!$B$4,0))</f>
        <v/>
      </c>
      <c r="O29" s="18">
        <f>COUNT(E29:K29)</f>
        <v/>
      </c>
    </row>
    <row r="30">
      <c r="A30" s="13" t="inlineStr">
        <is>
          <t>62745762555085</t>
        </is>
      </c>
      <c r="B30" s="13" t="inlineStr">
        <is>
          <t>ANILLO LOVE ROSE GOLD CON MICROZIRCONIAS</t>
        </is>
      </c>
      <c r="C30" s="13" t="inlineStr">
        <is>
          <t>6</t>
        </is>
      </c>
      <c r="D30" s="14" t="inlineStr">
        <is>
          <t>stainless steel</t>
        </is>
      </c>
      <c r="E30" s="13" t="n"/>
      <c r="F30" s="13" t="n"/>
      <c r="G30" s="13" t="n"/>
      <c r="H30" s="13" t="n"/>
      <c r="I30" s="13" t="n"/>
      <c r="J30" s="15" t="n">
        <v>5.39</v>
      </c>
      <c r="K30" s="13" t="n"/>
      <c r="L30" s="16">
        <f>IF(COUNT(E30:K30)=0,"",MIN(E30:K30))</f>
        <v/>
      </c>
      <c r="M30" s="15">
        <f>IF(COUNT(E30:K30)=0,"",LOOKUP(2,1/(E30:K30&lt;&gt;""),E30:K30))</f>
        <v/>
      </c>
      <c r="N30" s="17">
        <f>IF(L30="","",ROUND(L30*RESUMEN!$B$4,0))</f>
        <v/>
      </c>
      <c r="O30" s="18">
        <f>COUNT(E30:K30)</f>
        <v/>
      </c>
    </row>
    <row r="31">
      <c r="A31" s="13" t="inlineStr">
        <is>
          <t>62745762687853</t>
        </is>
      </c>
      <c r="B31" s="13" t="inlineStr">
        <is>
          <t>ANILLO LOVE ROSE GOLD CON MICROZIRCONIAS</t>
        </is>
      </c>
      <c r="C31" s="13" t="inlineStr">
        <is>
          <t>7</t>
        </is>
      </c>
      <c r="D31" s="14" t="inlineStr">
        <is>
          <t>stainless steel</t>
        </is>
      </c>
      <c r="E31" s="13" t="n"/>
      <c r="F31" s="13" t="n"/>
      <c r="G31" s="13" t="n"/>
      <c r="H31" s="13" t="n"/>
      <c r="I31" s="13" t="n"/>
      <c r="J31" s="15" t="n">
        <v>5.39</v>
      </c>
      <c r="K31" s="13" t="n"/>
      <c r="L31" s="16">
        <f>IF(COUNT(E31:K31)=0,"",MIN(E31:K31))</f>
        <v/>
      </c>
      <c r="M31" s="15">
        <f>IF(COUNT(E31:K31)=0,"",LOOKUP(2,1/(E31:K31&lt;&gt;""),E31:K31))</f>
        <v/>
      </c>
      <c r="N31" s="17">
        <f>IF(L31="","",ROUND(L31*RESUMEN!$B$4,0))</f>
        <v/>
      </c>
      <c r="O31" s="18">
        <f>COUNT(E31:K31)</f>
        <v/>
      </c>
    </row>
    <row r="32">
      <c r="A32" s="13" t="inlineStr">
        <is>
          <t>62745762125709</t>
        </is>
      </c>
      <c r="B32" s="13" t="inlineStr">
        <is>
          <t>ANILLO LOVE ROSE GOLD CON MICROZIRCONIAS Y ZIRCONIAS</t>
        </is>
      </c>
      <c r="C32" s="13" t="inlineStr">
        <is>
          <t>6</t>
        </is>
      </c>
      <c r="D32" s="14" t="inlineStr">
        <is>
          <t>stainless steel</t>
        </is>
      </c>
      <c r="E32" s="13" t="n"/>
      <c r="F32" s="13" t="n"/>
      <c r="G32" s="13" t="n"/>
      <c r="H32" s="13" t="n"/>
      <c r="I32" s="13" t="n"/>
      <c r="J32" s="15" t="n">
        <v>5.99</v>
      </c>
      <c r="K32" s="13" t="n"/>
      <c r="L32" s="16">
        <f>IF(COUNT(E32:K32)=0,"",MIN(E32:K32))</f>
        <v/>
      </c>
      <c r="M32" s="15">
        <f>IF(COUNT(E32:K32)=0,"",LOOKUP(2,1/(E32:K32&lt;&gt;""),E32:K32))</f>
        <v/>
      </c>
      <c r="N32" s="17">
        <f>IF(L32="","",ROUND(L32*RESUMEN!$B$4,0))</f>
        <v/>
      </c>
      <c r="O32" s="18">
        <f>COUNT(E32:K32)</f>
        <v/>
      </c>
    </row>
    <row r="33">
      <c r="A33" s="13" t="inlineStr">
        <is>
          <t>62745762258477</t>
        </is>
      </c>
      <c r="B33" s="13" t="inlineStr">
        <is>
          <t>ANILLO LOVE ROSE GOLD CON MICROZIRCONIAS Y ZIRCONIAS</t>
        </is>
      </c>
      <c r="C33" s="13" t="inlineStr">
        <is>
          <t>7</t>
        </is>
      </c>
      <c r="D33" s="14" t="inlineStr">
        <is>
          <t>stainless steel</t>
        </is>
      </c>
      <c r="E33" s="13" t="n"/>
      <c r="F33" s="13" t="n"/>
      <c r="G33" s="13" t="n"/>
      <c r="H33" s="13" t="n"/>
      <c r="I33" s="13" t="n"/>
      <c r="J33" s="15" t="n">
        <v>5.99</v>
      </c>
      <c r="K33" s="13" t="n"/>
      <c r="L33" s="16">
        <f>IF(COUNT(E33:K33)=0,"",MIN(E33:K33))</f>
        <v/>
      </c>
      <c r="M33" s="15">
        <f>IF(COUNT(E33:K33)=0,"",LOOKUP(2,1/(E33:K33&lt;&gt;""),E33:K33))</f>
        <v/>
      </c>
      <c r="N33" s="17">
        <f>IF(L33="","",ROUND(L33*RESUMEN!$B$4,0))</f>
        <v/>
      </c>
      <c r="O33" s="18">
        <f>COUNT(E33:K33)</f>
        <v/>
      </c>
    </row>
    <row r="34">
      <c r="A34" s="13" t="inlineStr">
        <is>
          <t>62745762329101</t>
        </is>
      </c>
      <c r="B34" s="13" t="inlineStr">
        <is>
          <t>ANILLO LOVE SILVER CON MICROZIRCONIAS Y ZIRCONIAS</t>
        </is>
      </c>
      <c r="C34" s="13" t="inlineStr">
        <is>
          <t>6</t>
        </is>
      </c>
      <c r="D34" s="14" t="inlineStr">
        <is>
          <t>stainless steel</t>
        </is>
      </c>
      <c r="E34" s="13" t="n"/>
      <c r="F34" s="13" t="n"/>
      <c r="G34" s="13" t="n"/>
      <c r="H34" s="13" t="n"/>
      <c r="I34" s="13" t="n"/>
      <c r="J34" s="15" t="n">
        <v>5.99</v>
      </c>
      <c r="K34" s="13" t="n"/>
      <c r="L34" s="16">
        <f>IF(COUNT(E34:K34)=0,"",MIN(E34:K34))</f>
        <v/>
      </c>
      <c r="M34" s="15">
        <f>IF(COUNT(E34:K34)=0,"",LOOKUP(2,1/(E34:K34&lt;&gt;""),E34:K34))</f>
        <v/>
      </c>
      <c r="N34" s="17">
        <f>IF(L34="","",ROUND(L34*RESUMEN!$B$4,0))</f>
        <v/>
      </c>
      <c r="O34" s="18">
        <f>COUNT(E34:K34)</f>
        <v/>
      </c>
    </row>
    <row r="35">
      <c r="A35" s="13" t="inlineStr">
        <is>
          <t>62745762461869</t>
        </is>
      </c>
      <c r="B35" s="13" t="inlineStr">
        <is>
          <t>ANILLO LOVE SILVER CON MICROZIRCONIAS Y ZIRCONIAS</t>
        </is>
      </c>
      <c r="C35" s="13" t="inlineStr">
        <is>
          <t>7</t>
        </is>
      </c>
      <c r="D35" s="14" t="inlineStr">
        <is>
          <t>stainless steel</t>
        </is>
      </c>
      <c r="E35" s="13" t="n"/>
      <c r="F35" s="13" t="n"/>
      <c r="G35" s="13" t="n"/>
      <c r="H35" s="13" t="n"/>
      <c r="I35" s="13" t="n"/>
      <c r="J35" s="15" t="n">
        <v>5.99</v>
      </c>
      <c r="K35" s="13" t="n"/>
      <c r="L35" s="16">
        <f>IF(COUNT(E35:K35)=0,"",MIN(E35:K35))</f>
        <v/>
      </c>
      <c r="M35" s="15">
        <f>IF(COUNT(E35:K35)=0,"",LOOKUP(2,1/(E35:K35&lt;&gt;""),E35:K35))</f>
        <v/>
      </c>
      <c r="N35" s="17">
        <f>IF(L35="","",ROUND(L35*RESUMEN!$B$4,0))</f>
        <v/>
      </c>
      <c r="O35" s="18">
        <f>COUNT(E35:K35)</f>
        <v/>
      </c>
    </row>
    <row r="36">
      <c r="A36" s="13" t="inlineStr">
        <is>
          <t>42981580832908</t>
        </is>
      </c>
      <c r="B36" s="13" t="inlineStr">
        <is>
          <t>ANILLO LV VOLT MULTI</t>
        </is>
      </c>
      <c r="C36" s="13" t="inlineStr">
        <is>
          <t>Default Title</t>
        </is>
      </c>
      <c r="D36" s="14" t="inlineStr"/>
      <c r="E36" s="13" t="n"/>
      <c r="F36" s="13" t="n"/>
      <c r="G36" s="15" t="n">
        <v>5.59</v>
      </c>
      <c r="H36" s="13" t="n"/>
      <c r="I36" s="13" t="n"/>
      <c r="J36" s="13" t="n"/>
      <c r="K36" s="13" t="n"/>
      <c r="L36" s="16">
        <f>IF(COUNT(E36:K36)=0,"",MIN(E36:K36))</f>
        <v/>
      </c>
      <c r="M36" s="15">
        <f>IF(COUNT(E36:K36)=0,"",LOOKUP(2,1/(E36:K36&lt;&gt;""),E36:K36))</f>
        <v/>
      </c>
      <c r="N36" s="17">
        <f>IF(L36="","",ROUND(L36*RESUMEN!$B$4,0))</f>
        <v/>
      </c>
      <c r="O36" s="18">
        <f>COUNT(E36:K36)</f>
        <v/>
      </c>
    </row>
    <row r="37">
      <c r="A37" s="13" t="inlineStr">
        <is>
          <t>42981773246604</t>
        </is>
      </c>
      <c r="B37" s="13" t="inlineStr">
        <is>
          <t>ANILLO PANTHERE GOLD</t>
        </is>
      </c>
      <c r="C37" s="13" t="inlineStr">
        <is>
          <t>Regular</t>
        </is>
      </c>
      <c r="D37" s="14" t="inlineStr">
        <is>
          <t>brass</t>
        </is>
      </c>
      <c r="E37" s="13" t="n"/>
      <c r="F37" s="15" t="n">
        <v>5.59</v>
      </c>
      <c r="G37" s="15" t="n">
        <v>5.59</v>
      </c>
      <c r="H37" s="13" t="n"/>
      <c r="I37" s="13" t="n"/>
      <c r="J37" s="15" t="n">
        <v>5.59</v>
      </c>
      <c r="K37" s="15" t="n">
        <v>7.29</v>
      </c>
      <c r="L37" s="16">
        <f>IF(COUNT(E37:K37)=0,"",MIN(E37:K37))</f>
        <v/>
      </c>
      <c r="M37" s="15">
        <f>IF(COUNT(E37:K37)=0,"",LOOKUP(2,1/(E37:K37&lt;&gt;""),E37:K37))</f>
        <v/>
      </c>
      <c r="N37" s="17">
        <f>IF(L37="","",ROUND(L37*RESUMEN!$B$4,0))</f>
        <v/>
      </c>
      <c r="O37" s="18">
        <f>COUNT(E37:K37)</f>
        <v/>
      </c>
    </row>
    <row r="38">
      <c r="A38" s="13" t="inlineStr">
        <is>
          <t>42981806637196</t>
        </is>
      </c>
      <c r="B38" s="13" t="inlineStr">
        <is>
          <t>ANILLO PANTHERE SILVER</t>
        </is>
      </c>
      <c r="C38" s="13" t="inlineStr">
        <is>
          <t>Default Title</t>
        </is>
      </c>
      <c r="D38" s="14" t="inlineStr">
        <is>
          <t>brass</t>
        </is>
      </c>
      <c r="E38" s="13" t="n"/>
      <c r="F38" s="13" t="n"/>
      <c r="G38" s="13" t="n"/>
      <c r="H38" s="15" t="n">
        <v>5.59</v>
      </c>
      <c r="I38" s="15" t="n">
        <v>5.59</v>
      </c>
      <c r="J38" s="13" t="n"/>
      <c r="K38" s="13" t="n"/>
      <c r="L38" s="16">
        <f>IF(COUNT(E38:K38)=0,"",MIN(E38:K38))</f>
        <v/>
      </c>
      <c r="M38" s="15">
        <f>IF(COUNT(E38:K38)=0,"",LOOKUP(2,1/(E38:K38&lt;&gt;""),E38:K38))</f>
        <v/>
      </c>
      <c r="N38" s="17">
        <f>IF(L38="","",ROUND(L38*RESUMEN!$B$4,0))</f>
        <v/>
      </c>
      <c r="O38" s="18">
        <f>COUNT(E38:K38)</f>
        <v/>
      </c>
    </row>
    <row r="39">
      <c r="A39" s="13" t="inlineStr">
        <is>
          <t>66593bd6d7885</t>
        </is>
      </c>
      <c r="B39" s="13" t="inlineStr">
        <is>
          <t>ANILLO PERLEE GOLD</t>
        </is>
      </c>
      <c r="C39" s="13" t="inlineStr">
        <is>
          <t>6</t>
        </is>
      </c>
      <c r="D39" s="14" t="inlineStr"/>
      <c r="E39" s="13" t="n"/>
      <c r="F39" s="13" t="n"/>
      <c r="G39" s="13" t="n"/>
      <c r="H39" s="13" t="n"/>
      <c r="I39" s="15" t="n">
        <v>5.59</v>
      </c>
      <c r="J39" s="13" t="n"/>
      <c r="K39" s="13" t="n"/>
      <c r="L39" s="16">
        <f>IF(COUNT(E39:K39)=0,"",MIN(E39:K39))</f>
        <v/>
      </c>
      <c r="M39" s="15">
        <f>IF(COUNT(E39:K39)=0,"",LOOKUP(2,1/(E39:K39&lt;&gt;""),E39:K39))</f>
        <v/>
      </c>
      <c r="N39" s="17">
        <f>IF(L39="","",ROUND(L39*RESUMEN!$B$4,0))</f>
        <v/>
      </c>
      <c r="O39" s="18">
        <f>COUNT(E39:K39)</f>
        <v/>
      </c>
    </row>
    <row r="40">
      <c r="A40" s="13" t="inlineStr">
        <is>
          <t>66593bd77de70</t>
        </is>
      </c>
      <c r="B40" s="13" t="inlineStr">
        <is>
          <t>ANILLO PERLEE GOLD</t>
        </is>
      </c>
      <c r="C40" s="13" t="inlineStr">
        <is>
          <t>7</t>
        </is>
      </c>
      <c r="D40" s="14" t="inlineStr">
        <is>
          <t>brass</t>
        </is>
      </c>
      <c r="E40" s="13" t="n"/>
      <c r="F40" s="13" t="n"/>
      <c r="G40" s="15" t="n">
        <v>5.59</v>
      </c>
      <c r="H40" s="15" t="n">
        <v>5.59</v>
      </c>
      <c r="I40" s="13" t="n"/>
      <c r="J40" s="13" t="n"/>
      <c r="K40" s="13" t="n"/>
      <c r="L40" s="16">
        <f>IF(COUNT(E40:K40)=0,"",MIN(E40:K40))</f>
        <v/>
      </c>
      <c r="M40" s="15">
        <f>IF(COUNT(E40:K40)=0,"",LOOKUP(2,1/(E40:K40&lt;&gt;""),E40:K40))</f>
        <v/>
      </c>
      <c r="N40" s="17">
        <f>IF(L40="","",ROUND(L40*RESUMEN!$B$4,0))</f>
        <v/>
      </c>
      <c r="O40" s="18">
        <f>COUNT(E40:K40)</f>
        <v/>
      </c>
    </row>
    <row r="41">
      <c r="A41" s="13" t="inlineStr">
        <is>
          <t>66593be00cc70</t>
        </is>
      </c>
      <c r="B41" s="13" t="inlineStr">
        <is>
          <t>ANILLO PERLEE ROSEGOLD</t>
        </is>
      </c>
      <c r="C41" s="13" t="inlineStr">
        <is>
          <t>7</t>
        </is>
      </c>
      <c r="D41" s="14" t="inlineStr"/>
      <c r="E41" s="13" t="n"/>
      <c r="F41" s="15" t="n">
        <v>5.59</v>
      </c>
      <c r="G41" s="13" t="n"/>
      <c r="H41" s="13" t="n"/>
      <c r="I41" s="15" t="n">
        <v>5.59</v>
      </c>
      <c r="J41" s="13" t="n"/>
      <c r="K41" s="13" t="n"/>
      <c r="L41" s="16">
        <f>IF(COUNT(E41:K41)=0,"",MIN(E41:K41))</f>
        <v/>
      </c>
      <c r="M41" s="15">
        <f>IF(COUNT(E41:K41)=0,"",LOOKUP(2,1/(E41:K41&lt;&gt;""),E41:K41))</f>
        <v/>
      </c>
      <c r="N41" s="17">
        <f>IF(L41="","",ROUND(L41*RESUMEN!$B$4,0))</f>
        <v/>
      </c>
      <c r="O41" s="18">
        <f>COUNT(E41:K41)</f>
        <v/>
      </c>
    </row>
    <row r="42">
      <c r="A42" s="13" t="inlineStr">
        <is>
          <t>66593be0a0b51</t>
        </is>
      </c>
      <c r="B42" s="13" t="inlineStr">
        <is>
          <t>ANILLO PERLEE ROSEGOLD</t>
        </is>
      </c>
      <c r="C42" s="13" t="inlineStr">
        <is>
          <t>8</t>
        </is>
      </c>
      <c r="D42" s="14" t="inlineStr"/>
      <c r="E42" s="13" t="n"/>
      <c r="F42" s="15" t="n">
        <v>5.59</v>
      </c>
      <c r="G42" s="15" t="n">
        <v>5.59</v>
      </c>
      <c r="H42" s="13" t="n"/>
      <c r="I42" s="13" t="n"/>
      <c r="J42" s="13" t="n"/>
      <c r="K42" s="13" t="n"/>
      <c r="L42" s="16">
        <f>IF(COUNT(E42:K42)=0,"",MIN(E42:K42))</f>
        <v/>
      </c>
      <c r="M42" s="15">
        <f>IF(COUNT(E42:K42)=0,"",LOOKUP(2,1/(E42:K42&lt;&gt;""),E42:K42))</f>
        <v/>
      </c>
      <c r="N42" s="17">
        <f>IF(L42="","",ROUND(L42*RESUMEN!$B$4,0))</f>
        <v/>
      </c>
      <c r="O42" s="18">
        <f>COUNT(E42:K42)</f>
        <v/>
      </c>
    </row>
    <row r="43">
      <c r="A43" s="13" t="inlineStr">
        <is>
          <t>66593be14e8c5</t>
        </is>
      </c>
      <c r="B43" s="13" t="inlineStr">
        <is>
          <t>ANILLO PERLEE SILVER</t>
        </is>
      </c>
      <c r="C43" s="13" t="inlineStr">
        <is>
          <t>6</t>
        </is>
      </c>
      <c r="D43" s="14" t="inlineStr">
        <is>
          <t>brass</t>
        </is>
      </c>
      <c r="E43" s="13" t="n"/>
      <c r="F43" s="13" t="n"/>
      <c r="G43" s="15" t="n">
        <v>5.59</v>
      </c>
      <c r="H43" s="15" t="n">
        <v>5.59</v>
      </c>
      <c r="I43" s="13" t="n"/>
      <c r="J43" s="13" t="n"/>
      <c r="K43" s="13" t="n"/>
      <c r="L43" s="16">
        <f>IF(COUNT(E43:K43)=0,"",MIN(E43:K43))</f>
        <v/>
      </c>
      <c r="M43" s="15">
        <f>IF(COUNT(E43:K43)=0,"",LOOKUP(2,1/(E43:K43&lt;&gt;""),E43:K43))</f>
        <v/>
      </c>
      <c r="N43" s="17">
        <f>IF(L43="","",ROUND(L43*RESUMEN!$B$4,0))</f>
        <v/>
      </c>
      <c r="O43" s="18">
        <f>COUNT(E43:K43)</f>
        <v/>
      </c>
    </row>
    <row r="44">
      <c r="A44" s="13" t="inlineStr">
        <is>
          <t>66593be202d61</t>
        </is>
      </c>
      <c r="B44" s="13" t="inlineStr">
        <is>
          <t>ANILLO PERLEE SILVER</t>
        </is>
      </c>
      <c r="C44" s="13" t="inlineStr">
        <is>
          <t>7</t>
        </is>
      </c>
      <c r="D44" s="14" t="inlineStr"/>
      <c r="E44" s="13" t="n"/>
      <c r="F44" s="15" t="n">
        <v>5.59</v>
      </c>
      <c r="G44" s="13" t="n"/>
      <c r="H44" s="13" t="n"/>
      <c r="I44" s="13" t="n"/>
      <c r="J44" s="13" t="n"/>
      <c r="K44" s="15" t="n">
        <v>5.59</v>
      </c>
      <c r="L44" s="16">
        <f>IF(COUNT(E44:K44)=0,"",MIN(E44:K44))</f>
        <v/>
      </c>
      <c r="M44" s="15">
        <f>IF(COUNT(E44:K44)=0,"",LOOKUP(2,1/(E44:K44&lt;&gt;""),E44:K44))</f>
        <v/>
      </c>
      <c r="N44" s="17">
        <f>IF(L44="","",ROUND(L44*RESUMEN!$B$4,0))</f>
        <v/>
      </c>
      <c r="O44" s="18">
        <f>COUNT(E44:K44)</f>
        <v/>
      </c>
    </row>
    <row r="45">
      <c r="A45" s="13" t="inlineStr">
        <is>
          <t>66593be29b6a6</t>
        </is>
      </c>
      <c r="B45" s="13" t="inlineStr">
        <is>
          <t>ANILLO PERLEE SILVER</t>
        </is>
      </c>
      <c r="C45" s="13" t="inlineStr">
        <is>
          <t>8</t>
        </is>
      </c>
      <c r="D45" s="14" t="inlineStr"/>
      <c r="E45" s="13" t="n"/>
      <c r="F45" s="13" t="n"/>
      <c r="G45" s="15" t="n">
        <v>5.59</v>
      </c>
      <c r="H45" s="13" t="n"/>
      <c r="I45" s="13" t="n"/>
      <c r="J45" s="13" t="n"/>
      <c r="K45" s="13" t="n"/>
      <c r="L45" s="16">
        <f>IF(COUNT(E45:K45)=0,"",MIN(E45:K45))</f>
        <v/>
      </c>
      <c r="M45" s="15">
        <f>IF(COUNT(E45:K45)=0,"",LOOKUP(2,1/(E45:K45&lt;&gt;""),E45:K45))</f>
        <v/>
      </c>
      <c r="N45" s="17">
        <f>IF(L45="","",ROUND(L45*RESUMEN!$B$4,0))</f>
        <v/>
      </c>
      <c r="O45" s="18">
        <f>COUNT(E45:K45)</f>
        <v/>
      </c>
    </row>
    <row r="46">
      <c r="A46" s="13" t="inlineStr">
        <is>
          <t>50328871088397</t>
        </is>
      </c>
      <c r="B46" s="13" t="inlineStr">
        <is>
          <t>ANILLO PERLEE SILVER</t>
        </is>
      </c>
      <c r="C46" s="13" t="inlineStr">
        <is>
          <t>9</t>
        </is>
      </c>
      <c r="D46" s="14" t="inlineStr"/>
      <c r="E46" s="13" t="n"/>
      <c r="F46" s="13" t="n"/>
      <c r="G46" s="13" t="n"/>
      <c r="H46" s="13" t="n"/>
      <c r="I46" s="13" t="n"/>
      <c r="J46" s="13" t="n"/>
      <c r="K46" s="15" t="n">
        <v>5.59</v>
      </c>
      <c r="L46" s="16">
        <f>IF(COUNT(E46:K46)=0,"",MIN(E46:K46))</f>
        <v/>
      </c>
      <c r="M46" s="15">
        <f>IF(COUNT(E46:K46)=0,"",LOOKUP(2,1/(E46:K46&lt;&gt;""),E46:K46))</f>
        <v/>
      </c>
      <c r="N46" s="17">
        <f>IF(L46="","",ROUND(L46*RESUMEN!$B$4,0))</f>
        <v/>
      </c>
      <c r="O46" s="18">
        <f>COUNT(E46:K46)</f>
        <v/>
      </c>
    </row>
    <row r="47">
      <c r="A47" s="13" t="inlineStr">
        <is>
          <t>71288021336845</t>
        </is>
      </c>
      <c r="B47" s="13" t="inlineStr">
        <is>
          <t>ANILLO T SIXTEEN STONE ROSE GOLD</t>
        </is>
      </c>
      <c r="C47" s="13" t="inlineStr">
        <is>
          <t>6</t>
        </is>
      </c>
      <c r="D47" s="14" t="inlineStr">
        <is>
          <t>brass</t>
        </is>
      </c>
      <c r="E47" s="13" t="n"/>
      <c r="F47" s="13" t="n"/>
      <c r="G47" s="13" t="n"/>
      <c r="H47" s="13" t="n"/>
      <c r="I47" s="13" t="n"/>
      <c r="J47" s="15" t="n">
        <v>6.99</v>
      </c>
      <c r="K47" s="13" t="n"/>
      <c r="L47" s="16">
        <f>IF(COUNT(E47:K47)=0,"",MIN(E47:K47))</f>
        <v/>
      </c>
      <c r="M47" s="15">
        <f>IF(COUNT(E47:K47)=0,"",LOOKUP(2,1/(E47:K47&lt;&gt;""),E47:K47))</f>
        <v/>
      </c>
      <c r="N47" s="17">
        <f>IF(L47="","",ROUND(L47*RESUMEN!$B$4,0))</f>
        <v/>
      </c>
      <c r="O47" s="18">
        <f>COUNT(E47:K47)</f>
        <v/>
      </c>
    </row>
    <row r="48">
      <c r="A48" s="13" t="inlineStr">
        <is>
          <t>71288021469613</t>
        </is>
      </c>
      <c r="B48" s="13" t="inlineStr">
        <is>
          <t>ANILLO T SIXTEEN STONE ROSE GOLD</t>
        </is>
      </c>
      <c r="C48" s="13" t="inlineStr">
        <is>
          <t>7</t>
        </is>
      </c>
      <c r="D48" s="14" t="inlineStr">
        <is>
          <t>brass</t>
        </is>
      </c>
      <c r="E48" s="13" t="n"/>
      <c r="F48" s="13" t="n"/>
      <c r="G48" s="13" t="n"/>
      <c r="H48" s="13" t="n"/>
      <c r="I48" s="13" t="n"/>
      <c r="J48" s="15" t="n">
        <v>6.99</v>
      </c>
      <c r="K48" s="13" t="n"/>
      <c r="L48" s="16">
        <f>IF(COUNT(E48:K48)=0,"",MIN(E48:K48))</f>
        <v/>
      </c>
      <c r="M48" s="15">
        <f>IF(COUNT(E48:K48)=0,"",LOOKUP(2,1/(E48:K48&lt;&gt;""),E48:K48))</f>
        <v/>
      </c>
      <c r="N48" s="17">
        <f>IF(L48="","",ROUND(L48*RESUMEN!$B$4,0))</f>
        <v/>
      </c>
      <c r="O48" s="18">
        <f>COUNT(E48:K48)</f>
        <v/>
      </c>
    </row>
    <row r="49">
      <c r="A49" s="13" t="inlineStr">
        <is>
          <t>97902501045901</t>
        </is>
      </c>
      <c r="B49" s="13" t="inlineStr">
        <is>
          <t>ANILLO TB GOLD</t>
        </is>
      </c>
      <c r="C49" s="13" t="inlineStr">
        <is>
          <t>6</t>
        </is>
      </c>
      <c r="D49" s="14" t="inlineStr"/>
      <c r="E49" s="15" t="n">
        <v>2.99</v>
      </c>
      <c r="F49" s="13" t="n"/>
      <c r="G49" s="13" t="n"/>
      <c r="H49" s="13" t="n"/>
      <c r="I49" s="13" t="n"/>
      <c r="J49" s="13" t="n"/>
      <c r="K49" s="13" t="n"/>
      <c r="L49" s="16">
        <f>IF(COUNT(E49:K49)=0,"",MIN(E49:K49))</f>
        <v/>
      </c>
      <c r="M49" s="15">
        <f>IF(COUNT(E49:K49)=0,"",LOOKUP(2,1/(E49:K49&lt;&gt;""),E49:K49))</f>
        <v/>
      </c>
      <c r="N49" s="17">
        <f>IF(L49="","",ROUND(L49*RESUMEN!$B$4,0))</f>
        <v/>
      </c>
      <c r="O49" s="18">
        <f>COUNT(E49:K49)</f>
        <v/>
      </c>
    </row>
    <row r="50">
      <c r="A50" s="13" t="inlineStr">
        <is>
          <t>42981951111308</t>
        </is>
      </c>
      <c r="B50" s="13" t="inlineStr">
        <is>
          <t>ANILLO TB GOLD</t>
        </is>
      </c>
      <c r="C50" s="13" t="inlineStr">
        <is>
          <t>7</t>
        </is>
      </c>
      <c r="D50" s="14" t="inlineStr"/>
      <c r="E50" s="15" t="n">
        <v>2.99</v>
      </c>
      <c r="F50" s="13" t="n"/>
      <c r="G50" s="13" t="n"/>
      <c r="H50" s="13" t="n"/>
      <c r="I50" s="13" t="n"/>
      <c r="J50" s="13" t="n"/>
      <c r="K50" s="15" t="n">
        <v>2.99</v>
      </c>
      <c r="L50" s="16">
        <f>IF(COUNT(E50:K50)=0,"",MIN(E50:K50))</f>
        <v/>
      </c>
      <c r="M50" s="15">
        <f>IF(COUNT(E50:K50)=0,"",LOOKUP(2,1/(E50:K50&lt;&gt;""),E50:K50))</f>
        <v/>
      </c>
      <c r="N50" s="17">
        <f>IF(L50="","",ROUND(L50*RESUMEN!$B$4,0))</f>
        <v/>
      </c>
      <c r="O50" s="18">
        <f>COUNT(E50:K50)</f>
        <v/>
      </c>
    </row>
    <row r="51">
      <c r="A51" s="13" t="inlineStr">
        <is>
          <t>42981951144076</t>
        </is>
      </c>
      <c r="B51" s="13" t="inlineStr">
        <is>
          <t>ANILLO TB GOLD</t>
        </is>
      </c>
      <c r="C51" s="13" t="inlineStr">
        <is>
          <t>8</t>
        </is>
      </c>
      <c r="D51" s="14" t="inlineStr"/>
      <c r="E51" s="15" t="n">
        <v>2.99</v>
      </c>
      <c r="F51" s="13" t="n"/>
      <c r="G51" s="13" t="n"/>
      <c r="H51" s="13" t="n"/>
      <c r="I51" s="13" t="n"/>
      <c r="J51" s="13" t="n"/>
      <c r="K51" s="13" t="n"/>
      <c r="L51" s="16">
        <f>IF(COUNT(E51:K51)=0,"",MIN(E51:K51))</f>
        <v/>
      </c>
      <c r="M51" s="15">
        <f>IF(COUNT(E51:K51)=0,"",LOOKUP(2,1/(E51:K51&lt;&gt;""),E51:K51))</f>
        <v/>
      </c>
      <c r="N51" s="17">
        <f>IF(L51="","",ROUND(L51*RESUMEN!$B$4,0))</f>
        <v/>
      </c>
      <c r="O51" s="18">
        <f>COUNT(E51:K51)</f>
        <v/>
      </c>
    </row>
    <row r="52">
      <c r="A52" s="13" t="inlineStr">
        <is>
          <t>42981955862668</t>
        </is>
      </c>
      <c r="B52" s="13" t="inlineStr">
        <is>
          <t>ANILLO TB SILVER</t>
        </is>
      </c>
      <c r="C52" s="13" t="inlineStr">
        <is>
          <t>6</t>
        </is>
      </c>
      <c r="D52" s="14" t="inlineStr">
        <is>
          <t>stainless steel</t>
        </is>
      </c>
      <c r="E52" s="15" t="n">
        <v>2.99</v>
      </c>
      <c r="F52" s="13" t="n"/>
      <c r="G52" s="13" t="n"/>
      <c r="H52" s="13" t="n"/>
      <c r="I52" s="15" t="n">
        <v>2.99</v>
      </c>
      <c r="J52" s="13" t="n"/>
      <c r="K52" s="13" t="n"/>
      <c r="L52" s="16">
        <f>IF(COUNT(E52:K52)=0,"",MIN(E52:K52))</f>
        <v/>
      </c>
      <c r="M52" s="15">
        <f>IF(COUNT(E52:K52)=0,"",LOOKUP(2,1/(E52:K52&lt;&gt;""),E52:K52))</f>
        <v/>
      </c>
      <c r="N52" s="17">
        <f>IF(L52="","",ROUND(L52*RESUMEN!$B$4,0))</f>
        <v/>
      </c>
      <c r="O52" s="18">
        <f>COUNT(E52:K52)</f>
        <v/>
      </c>
    </row>
    <row r="53">
      <c r="A53" s="13" t="inlineStr">
        <is>
          <t>42981955895436</t>
        </is>
      </c>
      <c r="B53" s="13" t="inlineStr">
        <is>
          <t>ANILLO TB SILVER</t>
        </is>
      </c>
      <c r="C53" s="13" t="inlineStr">
        <is>
          <t>7</t>
        </is>
      </c>
      <c r="D53" s="14" t="inlineStr">
        <is>
          <t>stainless steel</t>
        </is>
      </c>
      <c r="E53" s="15" t="n">
        <v>2.99</v>
      </c>
      <c r="F53" s="13" t="n"/>
      <c r="G53" s="13" t="n"/>
      <c r="H53" s="13" t="n"/>
      <c r="I53" s="15" t="n">
        <v>2.99</v>
      </c>
      <c r="J53" s="13" t="n"/>
      <c r="K53" s="13" t="n"/>
      <c r="L53" s="16">
        <f>IF(COUNT(E53:K53)=0,"",MIN(E53:K53))</f>
        <v/>
      </c>
      <c r="M53" s="15">
        <f>IF(COUNT(E53:K53)=0,"",LOOKUP(2,1/(E53:K53&lt;&gt;""),E53:K53))</f>
        <v/>
      </c>
      <c r="N53" s="17">
        <f>IF(L53="","",ROUND(L53*RESUMEN!$B$4,0))</f>
        <v/>
      </c>
      <c r="O53" s="18">
        <f>COUNT(E53:K53)</f>
        <v/>
      </c>
    </row>
    <row r="54">
      <c r="A54" s="13" t="inlineStr">
        <is>
          <t>42981955928204</t>
        </is>
      </c>
      <c r="B54" s="13" t="inlineStr">
        <is>
          <t>ANILLO TB SILVER</t>
        </is>
      </c>
      <c r="C54" s="13" t="inlineStr">
        <is>
          <t>8</t>
        </is>
      </c>
      <c r="D54" s="14" t="inlineStr">
        <is>
          <t>stainless steel</t>
        </is>
      </c>
      <c r="E54" s="15" t="n">
        <v>2.99</v>
      </c>
      <c r="F54" s="13" t="n"/>
      <c r="G54" s="13" t="n"/>
      <c r="H54" s="13" t="n"/>
      <c r="I54" s="15" t="n">
        <v>2.99</v>
      </c>
      <c r="J54" s="13" t="n"/>
      <c r="K54" s="13" t="n"/>
      <c r="L54" s="16">
        <f>IF(COUNT(E54:K54)=0,"",MIN(E54:K54))</f>
        <v/>
      </c>
      <c r="M54" s="15">
        <f>IF(COUNT(E54:K54)=0,"",LOOKUP(2,1/(E54:K54&lt;&gt;""),E54:K54))</f>
        <v/>
      </c>
      <c r="N54" s="17">
        <f>IF(L54="","",ROUND(L54*RESUMEN!$B$4,0))</f>
        <v/>
      </c>
      <c r="O54" s="18">
        <f>COUNT(E54:K54)</f>
        <v/>
      </c>
    </row>
    <row r="55">
      <c r="A55" s="13" t="inlineStr">
        <is>
          <t>2653028882316</t>
        </is>
      </c>
      <c r="B55" s="13" t="inlineStr">
        <is>
          <t>ANILLO TREBOL GOLD BLACK</t>
        </is>
      </c>
      <c r="C55" s="13" t="inlineStr">
        <is>
          <t>6</t>
        </is>
      </c>
      <c r="D55" s="14" t="inlineStr"/>
      <c r="E55" s="13" t="n"/>
      <c r="F55" s="13" t="n"/>
      <c r="G55" s="15" t="n">
        <v>5.59</v>
      </c>
      <c r="H55" s="13" t="n"/>
      <c r="I55" s="13" t="n"/>
      <c r="J55" s="13" t="n"/>
      <c r="K55" s="13" t="n"/>
      <c r="L55" s="16">
        <f>IF(COUNT(E55:K55)=0,"",MIN(E55:K55))</f>
        <v/>
      </c>
      <c r="M55" s="15">
        <f>IF(COUNT(E55:K55)=0,"",LOOKUP(2,1/(E55:K55&lt;&gt;""),E55:K55))</f>
        <v/>
      </c>
      <c r="N55" s="17">
        <f>IF(L55="","",ROUND(L55*RESUMEN!$B$4,0))</f>
        <v/>
      </c>
      <c r="O55" s="18">
        <f>COUNT(E55:K55)</f>
        <v/>
      </c>
    </row>
    <row r="56">
      <c r="A56" s="13" t="inlineStr">
        <is>
          <t>665bb4bf5d480</t>
        </is>
      </c>
      <c r="B56" s="13" t="inlineStr">
        <is>
          <t>ANILLO TREBOL GOLD BLACK</t>
        </is>
      </c>
      <c r="C56" s="13" t="inlineStr">
        <is>
          <t>7</t>
        </is>
      </c>
      <c r="D56" s="14" t="inlineStr"/>
      <c r="E56" s="13" t="n"/>
      <c r="F56" s="15" t="n">
        <v>5.59</v>
      </c>
      <c r="G56" s="15" t="n">
        <v>5.59</v>
      </c>
      <c r="H56" s="13" t="n"/>
      <c r="I56" s="13" t="n"/>
      <c r="J56" s="13" t="n"/>
      <c r="K56" s="13" t="n"/>
      <c r="L56" s="16">
        <f>IF(COUNT(E56:K56)=0,"",MIN(E56:K56))</f>
        <v/>
      </c>
      <c r="M56" s="15">
        <f>IF(COUNT(E56:K56)=0,"",LOOKUP(2,1/(E56:K56&lt;&gt;""),E56:K56))</f>
        <v/>
      </c>
      <c r="N56" s="17">
        <f>IF(L56="","",ROUND(L56*RESUMEN!$B$4,0))</f>
        <v/>
      </c>
      <c r="O56" s="18">
        <f>COUNT(E56:K56)</f>
        <v/>
      </c>
    </row>
    <row r="57">
      <c r="A57" s="13" t="inlineStr">
        <is>
          <t>2653020127500</t>
        </is>
      </c>
      <c r="B57" s="13" t="inlineStr">
        <is>
          <t>ANILLO TREBOL GOLD BLACK</t>
        </is>
      </c>
      <c r="C57" s="13" t="inlineStr">
        <is>
          <t>8</t>
        </is>
      </c>
      <c r="D57" s="14" t="inlineStr">
        <is>
          <t>brass</t>
        </is>
      </c>
      <c r="E57" s="13" t="n"/>
      <c r="F57" s="15" t="n">
        <v>5.59</v>
      </c>
      <c r="G57" s="13" t="n"/>
      <c r="H57" s="13" t="n"/>
      <c r="I57" s="15" t="n">
        <v>5.59</v>
      </c>
      <c r="J57" s="13" t="n"/>
      <c r="K57" s="13" t="n"/>
      <c r="L57" s="16">
        <f>IF(COUNT(E57:K57)=0,"",MIN(E57:K57))</f>
        <v/>
      </c>
      <c r="M57" s="15">
        <f>IF(COUNT(E57:K57)=0,"",LOOKUP(2,1/(E57:K57&lt;&gt;""),E57:K57))</f>
        <v/>
      </c>
      <c r="N57" s="17">
        <f>IF(L57="","",ROUND(L57*RESUMEN!$B$4,0))</f>
        <v/>
      </c>
      <c r="O57" s="18">
        <f>COUNT(E57:K57)</f>
        <v/>
      </c>
    </row>
    <row r="58">
      <c r="A58" s="13" t="inlineStr">
        <is>
          <t>665bb4c1438b1</t>
        </is>
      </c>
      <c r="B58" s="13" t="inlineStr">
        <is>
          <t>ANILLO TREBOL GOLD GREEN</t>
        </is>
      </c>
      <c r="C58" s="13" t="inlineStr">
        <is>
          <t>7</t>
        </is>
      </c>
      <c r="D58" s="14" t="inlineStr">
        <is>
          <t>brass</t>
        </is>
      </c>
      <c r="E58" s="13" t="n"/>
      <c r="F58" s="15" t="n">
        <v>5.59</v>
      </c>
      <c r="G58" s="15" t="n">
        <v>5.59</v>
      </c>
      <c r="H58" s="15" t="n">
        <v>5.59</v>
      </c>
      <c r="I58" s="13" t="n"/>
      <c r="J58" s="13" t="n"/>
      <c r="K58" s="13" t="n"/>
      <c r="L58" s="16">
        <f>IF(COUNT(E58:K58)=0,"",MIN(E58:K58))</f>
        <v/>
      </c>
      <c r="M58" s="15">
        <f>IF(COUNT(E58:K58)=0,"",LOOKUP(2,1/(E58:K58&lt;&gt;""),E58:K58))</f>
        <v/>
      </c>
      <c r="N58" s="17">
        <f>IF(L58="","",ROUND(L58*RESUMEN!$B$4,0))</f>
        <v/>
      </c>
      <c r="O58" s="18">
        <f>COUNT(E58:K58)</f>
        <v/>
      </c>
    </row>
    <row r="59">
      <c r="A59" s="13" t="inlineStr">
        <is>
          <t>02653025069708</t>
        </is>
      </c>
      <c r="B59" s="13" t="inlineStr">
        <is>
          <t>ANILLO TREBOL GOLD WHITE</t>
        </is>
      </c>
      <c r="C59" s="13" t="inlineStr"/>
      <c r="D59" s="14" t="inlineStr"/>
      <c r="E59" s="13" t="n"/>
      <c r="F59" s="13" t="n"/>
      <c r="G59" s="13" t="n"/>
      <c r="H59" s="13" t="n"/>
      <c r="I59" s="15" t="n">
        <v>5.59</v>
      </c>
      <c r="J59" s="13" t="n"/>
      <c r="K59" s="13" t="n"/>
      <c r="L59" s="16">
        <f>IF(COUNT(E59:K59)=0,"",MIN(E59:K59))</f>
        <v/>
      </c>
      <c r="M59" s="15">
        <f>IF(COUNT(E59:K59)=0,"",LOOKUP(2,1/(E59:K59&lt;&gt;""),E59:K59))</f>
        <v/>
      </c>
      <c r="N59" s="17">
        <f>IF(L59="","",ROUND(L59*RESUMEN!$B$4,0))</f>
        <v/>
      </c>
      <c r="O59" s="18">
        <f>COUNT(E59:K59)</f>
        <v/>
      </c>
    </row>
    <row r="60">
      <c r="A60" s="13" t="inlineStr">
        <is>
          <t>665bb4c25887b</t>
        </is>
      </c>
      <c r="B60" s="13" t="inlineStr">
        <is>
          <t>ANILLO TREBOL GOLD WHITE</t>
        </is>
      </c>
      <c r="C60" s="13" t="inlineStr">
        <is>
          <t>7</t>
        </is>
      </c>
      <c r="D60" s="14" t="inlineStr"/>
      <c r="E60" s="13" t="n"/>
      <c r="F60" s="13" t="n"/>
      <c r="G60" s="15" t="n">
        <v>5.59</v>
      </c>
      <c r="H60" s="13" t="n"/>
      <c r="I60" s="13" t="n"/>
      <c r="J60" s="13" t="n"/>
      <c r="K60" s="13" t="n"/>
      <c r="L60" s="16">
        <f>IF(COUNT(E60:K60)=0,"",MIN(E60:K60))</f>
        <v/>
      </c>
      <c r="M60" s="15">
        <f>IF(COUNT(E60:K60)=0,"",LOOKUP(2,1/(E60:K60&lt;&gt;""),E60:K60))</f>
        <v/>
      </c>
      <c r="N60" s="17">
        <f>IF(L60="","",ROUND(L60*RESUMEN!$B$4,0))</f>
        <v/>
      </c>
      <c r="O60" s="18">
        <f>COUNT(E60:K60)</f>
        <v/>
      </c>
    </row>
    <row r="61">
      <c r="A61" s="13" t="inlineStr">
        <is>
          <t>673cd5677aee7</t>
        </is>
      </c>
      <c r="B61" s="13" t="inlineStr">
        <is>
          <t>ANILLO TRUE GOLD</t>
        </is>
      </c>
      <c r="C61" s="13" t="inlineStr">
        <is>
          <t>6</t>
        </is>
      </c>
      <c r="D61" s="14" t="inlineStr"/>
      <c r="E61" s="13" t="n"/>
      <c r="F61" s="13" t="n"/>
      <c r="G61" s="15" t="n">
        <v>7.59</v>
      </c>
      <c r="H61" s="13" t="n"/>
      <c r="I61" s="13" t="n"/>
      <c r="J61" s="13" t="n"/>
      <c r="K61" s="13" t="n"/>
      <c r="L61" s="16">
        <f>IF(COUNT(E61:K61)=0,"",MIN(E61:K61))</f>
        <v/>
      </c>
      <c r="M61" s="15">
        <f>IF(COUNT(E61:K61)=0,"",LOOKUP(2,1/(E61:K61&lt;&gt;""),E61:K61))</f>
        <v/>
      </c>
      <c r="N61" s="17">
        <f>IF(L61="","",ROUND(L61*RESUMEN!$B$4,0))</f>
        <v/>
      </c>
      <c r="O61" s="18">
        <f>COUNT(E61:K61)</f>
        <v/>
      </c>
    </row>
    <row r="62">
      <c r="A62" s="13" t="inlineStr">
        <is>
          <t>673cd568aea80</t>
        </is>
      </c>
      <c r="B62" s="13" t="inlineStr">
        <is>
          <t>ANILLO TRUE GOLD</t>
        </is>
      </c>
      <c r="C62" s="13" t="inlineStr">
        <is>
          <t>8</t>
        </is>
      </c>
      <c r="D62" s="14" t="inlineStr">
        <is>
          <t>brass</t>
        </is>
      </c>
      <c r="E62" s="13" t="n"/>
      <c r="F62" s="13" t="n"/>
      <c r="G62" s="13" t="n"/>
      <c r="H62" s="13" t="n"/>
      <c r="I62" s="15" t="n">
        <v>5.59</v>
      </c>
      <c r="J62" s="13" t="n"/>
      <c r="K62" s="13" t="n"/>
      <c r="L62" s="16">
        <f>IF(COUNT(E62:K62)=0,"",MIN(E62:K62))</f>
        <v/>
      </c>
      <c r="M62" s="15">
        <f>IF(COUNT(E62:K62)=0,"",LOOKUP(2,1/(E62:K62&lt;&gt;""),E62:K62))</f>
        <v/>
      </c>
      <c r="N62" s="17">
        <f>IF(L62="","",ROUND(L62*RESUMEN!$B$4,0))</f>
        <v/>
      </c>
      <c r="O62" s="18">
        <f>COUNT(E62:K62)</f>
        <v/>
      </c>
    </row>
    <row r="63">
      <c r="A63" s="13" t="inlineStr">
        <is>
          <t>71288022047565</t>
        </is>
      </c>
      <c r="B63" s="13" t="inlineStr">
        <is>
          <t>ANILLO VF ALHAMBRA GOLD</t>
        </is>
      </c>
      <c r="C63" s="13" t="inlineStr">
        <is>
          <t>6</t>
        </is>
      </c>
      <c r="D63" s="14" t="inlineStr">
        <is>
          <t>brass</t>
        </is>
      </c>
      <c r="E63" s="13" t="n"/>
      <c r="F63" s="13" t="n"/>
      <c r="G63" s="13" t="n"/>
      <c r="H63" s="13" t="n"/>
      <c r="I63" s="13" t="n"/>
      <c r="J63" s="15" t="n">
        <v>5.59</v>
      </c>
      <c r="K63" s="13" t="n"/>
      <c r="L63" s="16">
        <f>IF(COUNT(E63:K63)=0,"",MIN(E63:K63))</f>
        <v/>
      </c>
      <c r="M63" s="15">
        <f>IF(COUNT(E63:K63)=0,"",LOOKUP(2,1/(E63:K63&lt;&gt;""),E63:K63))</f>
        <v/>
      </c>
      <c r="N63" s="17">
        <f>IF(L63="","",ROUND(L63*RESUMEN!$B$4,0))</f>
        <v/>
      </c>
      <c r="O63" s="18">
        <f>COUNT(E63:K63)</f>
        <v/>
      </c>
    </row>
    <row r="64">
      <c r="A64" s="13" t="inlineStr">
        <is>
          <t>71288022180333</t>
        </is>
      </c>
      <c r="B64" s="13" t="inlineStr">
        <is>
          <t>ANILLO VF ALHAMBRA GOLD</t>
        </is>
      </c>
      <c r="C64" s="13" t="inlineStr">
        <is>
          <t>7</t>
        </is>
      </c>
      <c r="D64" s="14" t="inlineStr">
        <is>
          <t>brass</t>
        </is>
      </c>
      <c r="E64" s="13" t="n"/>
      <c r="F64" s="13" t="n"/>
      <c r="G64" s="13" t="n"/>
      <c r="H64" s="13" t="n"/>
      <c r="I64" s="13" t="n"/>
      <c r="J64" s="15" t="n">
        <v>5.59</v>
      </c>
      <c r="K64" s="13" t="n"/>
      <c r="L64" s="16">
        <f>IF(COUNT(E64:K64)=0,"",MIN(E64:K64))</f>
        <v/>
      </c>
      <c r="M64" s="15">
        <f>IF(COUNT(E64:K64)=0,"",LOOKUP(2,1/(E64:K64&lt;&gt;""),E64:K64))</f>
        <v/>
      </c>
      <c r="N64" s="17">
        <f>IF(L64="","",ROUND(L64*RESUMEN!$B$4,0))</f>
        <v/>
      </c>
      <c r="O64" s="18">
        <f>COUNT(E64:K64)</f>
        <v/>
      </c>
    </row>
    <row r="65">
      <c r="A65" s="13" t="inlineStr">
        <is>
          <t>71288022239085</t>
        </is>
      </c>
      <c r="B65" s="13" t="inlineStr">
        <is>
          <t>ANILLO VF ALHAMBRA SILVER</t>
        </is>
      </c>
      <c r="C65" s="13" t="inlineStr">
        <is>
          <t>6</t>
        </is>
      </c>
      <c r="D65" s="14" t="inlineStr">
        <is>
          <t>brass</t>
        </is>
      </c>
      <c r="E65" s="13" t="n"/>
      <c r="F65" s="13" t="n"/>
      <c r="G65" s="13" t="n"/>
      <c r="H65" s="13" t="n"/>
      <c r="I65" s="13" t="n"/>
      <c r="J65" s="15" t="n">
        <v>5.59</v>
      </c>
      <c r="K65" s="13" t="n"/>
      <c r="L65" s="16">
        <f>IF(COUNT(E65:K65)=0,"",MIN(E65:K65))</f>
        <v/>
      </c>
      <c r="M65" s="15">
        <f>IF(COUNT(E65:K65)=0,"",LOOKUP(2,1/(E65:K65&lt;&gt;""),E65:K65))</f>
        <v/>
      </c>
      <c r="N65" s="17">
        <f>IF(L65="","",ROUND(L65*RESUMEN!$B$4,0))</f>
        <v/>
      </c>
      <c r="O65" s="18">
        <f>COUNT(E65:K65)</f>
        <v/>
      </c>
    </row>
    <row r="66">
      <c r="A66" s="13" t="inlineStr">
        <is>
          <t>71288022371853</t>
        </is>
      </c>
      <c r="B66" s="13" t="inlineStr">
        <is>
          <t>ANILLO VF ALHAMBRA SILVER</t>
        </is>
      </c>
      <c r="C66" s="13" t="inlineStr">
        <is>
          <t>7</t>
        </is>
      </c>
      <c r="D66" s="14" t="inlineStr">
        <is>
          <t>brass</t>
        </is>
      </c>
      <c r="E66" s="13" t="n"/>
      <c r="F66" s="13" t="n"/>
      <c r="G66" s="13" t="n"/>
      <c r="H66" s="13" t="n"/>
      <c r="I66" s="13" t="n"/>
      <c r="J66" s="15" t="n">
        <v>5.59</v>
      </c>
      <c r="K66" s="13" t="n"/>
      <c r="L66" s="16">
        <f>IF(COUNT(E66:K66)=0,"",MIN(E66:K66))</f>
        <v/>
      </c>
      <c r="M66" s="15">
        <f>IF(COUNT(E66:K66)=0,"",LOOKUP(2,1/(E66:K66&lt;&gt;""),E66:K66))</f>
        <v/>
      </c>
      <c r="N66" s="17">
        <f>IF(L66="","",ROUND(L66*RESUMEN!$B$4,0))</f>
        <v/>
      </c>
      <c r="O66" s="18">
        <f>COUNT(E66:K66)</f>
        <v/>
      </c>
    </row>
    <row r="67">
      <c r="A67" s="13" t="inlineStr">
        <is>
          <t>71288022725517</t>
        </is>
      </c>
      <c r="B67" s="13" t="inlineStr">
        <is>
          <t>ANILLO VF PERLÉE DUO GOLD</t>
        </is>
      </c>
      <c r="C67" s="13" t="inlineStr">
        <is>
          <t>6</t>
        </is>
      </c>
      <c r="D67" s="14" t="inlineStr">
        <is>
          <t>brass</t>
        </is>
      </c>
      <c r="E67" s="13" t="n"/>
      <c r="F67" s="13" t="n"/>
      <c r="G67" s="13" t="n"/>
      <c r="H67" s="13" t="n"/>
      <c r="I67" s="13" t="n"/>
      <c r="J67" s="15" t="n">
        <v>7.99</v>
      </c>
      <c r="K67" s="13" t="n"/>
      <c r="L67" s="16">
        <f>IF(COUNT(E67:K67)=0,"",MIN(E67:K67))</f>
        <v/>
      </c>
      <c r="M67" s="15">
        <f>IF(COUNT(E67:K67)=0,"",LOOKUP(2,1/(E67:K67&lt;&gt;""),E67:K67))</f>
        <v/>
      </c>
      <c r="N67" s="17">
        <f>IF(L67="","",ROUND(L67*RESUMEN!$B$4,0))</f>
        <v/>
      </c>
      <c r="O67" s="18">
        <f>COUNT(E67:K67)</f>
        <v/>
      </c>
    </row>
    <row r="68">
      <c r="A68" s="13" t="inlineStr">
        <is>
          <t>71288022858285</t>
        </is>
      </c>
      <c r="B68" s="13" t="inlineStr">
        <is>
          <t>ANILLO VF PERLÉE DUO GOLD</t>
        </is>
      </c>
      <c r="C68" s="13" t="inlineStr">
        <is>
          <t>7</t>
        </is>
      </c>
      <c r="D68" s="14" t="inlineStr">
        <is>
          <t>brass</t>
        </is>
      </c>
      <c r="E68" s="13" t="n"/>
      <c r="F68" s="13" t="n"/>
      <c r="G68" s="13" t="n"/>
      <c r="H68" s="13" t="n"/>
      <c r="I68" s="13" t="n"/>
      <c r="J68" s="15" t="n">
        <v>7.99</v>
      </c>
      <c r="K68" s="13" t="n"/>
      <c r="L68" s="16">
        <f>IF(COUNT(E68:K68)=0,"",MIN(E68:K68))</f>
        <v/>
      </c>
      <c r="M68" s="15">
        <f>IF(COUNT(E68:K68)=0,"",LOOKUP(2,1/(E68:K68&lt;&gt;""),E68:K68))</f>
        <v/>
      </c>
      <c r="N68" s="17">
        <f>IF(L68="","",ROUND(L68*RESUMEN!$B$4,0))</f>
        <v/>
      </c>
      <c r="O68" s="18">
        <f>COUNT(E68:K68)</f>
        <v/>
      </c>
    </row>
    <row r="69">
      <c r="A69" s="13" t="inlineStr">
        <is>
          <t>71288022597837</t>
        </is>
      </c>
      <c r="B69" s="13" t="inlineStr">
        <is>
          <t>ANILLO VF PERLÉE DUO ROSE GOLD</t>
        </is>
      </c>
      <c r="C69" s="13" t="inlineStr">
        <is>
          <t>6</t>
        </is>
      </c>
      <c r="D69" s="14" t="inlineStr">
        <is>
          <t>brass</t>
        </is>
      </c>
      <c r="E69" s="13" t="n"/>
      <c r="F69" s="13" t="n"/>
      <c r="G69" s="13" t="n"/>
      <c r="H69" s="13" t="n"/>
      <c r="I69" s="13" t="n"/>
      <c r="J69" s="15" t="n">
        <v>7.99</v>
      </c>
      <c r="K69" s="13" t="n"/>
      <c r="L69" s="16">
        <f>IF(COUNT(E69:K69)=0,"",MIN(E69:K69))</f>
        <v/>
      </c>
      <c r="M69" s="15">
        <f>IF(COUNT(E69:K69)=0,"",LOOKUP(2,1/(E69:K69&lt;&gt;""),E69:K69))</f>
        <v/>
      </c>
      <c r="N69" s="17">
        <f>IF(L69="","",ROUND(L69*RESUMEN!$B$4,0))</f>
        <v/>
      </c>
      <c r="O69" s="18">
        <f>COUNT(E69:K69)</f>
        <v/>
      </c>
    </row>
    <row r="70">
      <c r="A70" s="13" t="inlineStr">
        <is>
          <t>71288022630605</t>
        </is>
      </c>
      <c r="B70" s="13" t="inlineStr">
        <is>
          <t>ANILLO VF PERLÉE DUO ROSE GOLD</t>
        </is>
      </c>
      <c r="C70" s="13" t="inlineStr">
        <is>
          <t>7</t>
        </is>
      </c>
      <c r="D70" s="14" t="inlineStr">
        <is>
          <t>brass</t>
        </is>
      </c>
      <c r="E70" s="13" t="n"/>
      <c r="F70" s="13" t="n"/>
      <c r="G70" s="13" t="n"/>
      <c r="H70" s="13" t="n"/>
      <c r="I70" s="13" t="n"/>
      <c r="J70" s="15" t="n">
        <v>7.99</v>
      </c>
      <c r="K70" s="13" t="n"/>
      <c r="L70" s="16">
        <f>IF(COUNT(E70:K70)=0,"",MIN(E70:K70))</f>
        <v/>
      </c>
      <c r="M70" s="15">
        <f>IF(COUNT(E70:K70)=0,"",LOOKUP(2,1/(E70:K70&lt;&gt;""),E70:K70))</f>
        <v/>
      </c>
      <c r="N70" s="17">
        <f>IF(L70="","",ROUND(L70*RESUMEN!$B$4,0))</f>
        <v/>
      </c>
      <c r="O70" s="18">
        <f>COUNT(E70:K70)</f>
        <v/>
      </c>
    </row>
    <row r="71">
      <c r="A71" s="13" t="inlineStr">
        <is>
          <t>71288022951501</t>
        </is>
      </c>
      <c r="B71" s="13" t="inlineStr">
        <is>
          <t>ANILLO VF PERLÉE DUO SILVER</t>
        </is>
      </c>
      <c r="C71" s="13" t="inlineStr">
        <is>
          <t>6</t>
        </is>
      </c>
      <c r="D71" s="14" t="inlineStr">
        <is>
          <t>brass</t>
        </is>
      </c>
      <c r="E71" s="13" t="n"/>
      <c r="F71" s="13" t="n"/>
      <c r="G71" s="13" t="n"/>
      <c r="H71" s="13" t="n"/>
      <c r="I71" s="13" t="n"/>
      <c r="J71" s="15" t="n">
        <v>7.99</v>
      </c>
      <c r="K71" s="13" t="n"/>
      <c r="L71" s="16">
        <f>IF(COUNT(E71:K71)=0,"",MIN(E71:K71))</f>
        <v/>
      </c>
      <c r="M71" s="15">
        <f>IF(COUNT(E71:K71)=0,"",LOOKUP(2,1/(E71:K71&lt;&gt;""),E71:K71))</f>
        <v/>
      </c>
      <c r="N71" s="17">
        <f>IF(L71="","",ROUND(L71*RESUMEN!$B$4,0))</f>
        <v/>
      </c>
      <c r="O71" s="18">
        <f>COUNT(E71:K71)</f>
        <v/>
      </c>
    </row>
    <row r="72">
      <c r="A72" s="13" t="inlineStr">
        <is>
          <t>71288023084269</t>
        </is>
      </c>
      <c r="B72" s="13" t="inlineStr">
        <is>
          <t>ANILLO VF PERLÉE DUO SILVER</t>
        </is>
      </c>
      <c r="C72" s="13" t="inlineStr">
        <is>
          <t>7</t>
        </is>
      </c>
      <c r="D72" s="14" t="inlineStr">
        <is>
          <t>brass</t>
        </is>
      </c>
      <c r="E72" s="13" t="n"/>
      <c r="F72" s="13" t="n"/>
      <c r="G72" s="13" t="n"/>
      <c r="H72" s="13" t="n"/>
      <c r="I72" s="13" t="n"/>
      <c r="J72" s="15" t="n">
        <v>7.99</v>
      </c>
      <c r="K72" s="13" t="n"/>
      <c r="L72" s="16">
        <f>IF(COUNT(E72:K72)=0,"",MIN(E72:K72))</f>
        <v/>
      </c>
      <c r="M72" s="15">
        <f>IF(COUNT(E72:K72)=0,"",LOOKUP(2,1/(E72:K72&lt;&gt;""),E72:K72))</f>
        <v/>
      </c>
      <c r="N72" s="17">
        <f>IF(L72="","",ROUND(L72*RESUMEN!$B$4,0))</f>
        <v/>
      </c>
      <c r="O72" s="18">
        <f>COUNT(E72:K72)</f>
        <v/>
      </c>
    </row>
    <row r="73">
      <c r="A73" s="13" t="inlineStr">
        <is>
          <t>71288022468461</t>
        </is>
      </c>
      <c r="B73" s="13" t="inlineStr">
        <is>
          <t>ANILLO VF TWIN ALHAMBRA SILVER</t>
        </is>
      </c>
      <c r="C73" s="13" t="inlineStr">
        <is>
          <t>7</t>
        </is>
      </c>
      <c r="D73" s="14" t="inlineStr">
        <is>
          <t>brass</t>
        </is>
      </c>
      <c r="E73" s="13" t="n"/>
      <c r="F73" s="13" t="n"/>
      <c r="G73" s="13" t="n"/>
      <c r="H73" s="13" t="n"/>
      <c r="I73" s="13" t="n"/>
      <c r="J73" s="15" t="n">
        <v>7.99</v>
      </c>
      <c r="K73" s="13" t="n"/>
      <c r="L73" s="16">
        <f>IF(COUNT(E73:K73)=0,"",MIN(E73:K73))</f>
        <v/>
      </c>
      <c r="M73" s="15">
        <f>IF(COUNT(E73:K73)=0,"",LOOKUP(2,1/(E73:K73&lt;&gt;""),E73:K73))</f>
        <v/>
      </c>
      <c r="N73" s="17">
        <f>IF(L73="","",ROUND(L73*RESUMEN!$B$4,0))</f>
        <v/>
      </c>
      <c r="O73" s="18">
        <f>COUNT(E73:K73)</f>
        <v/>
      </c>
    </row>
    <row r="74">
      <c r="A74" s="13" t="inlineStr">
        <is>
          <t>646f84c300fa5</t>
        </is>
      </c>
      <c r="B74" s="13" t="inlineStr">
        <is>
          <t>ARETES BV GOLD-BLACK</t>
        </is>
      </c>
      <c r="C74" s="13" t="inlineStr">
        <is>
          <t>0.7cm</t>
        </is>
      </c>
      <c r="D74" s="14" t="inlineStr">
        <is>
          <t>stainless steel</t>
        </is>
      </c>
      <c r="E74" s="15" t="n">
        <v>3.69</v>
      </c>
      <c r="F74" s="13" t="n"/>
      <c r="G74" s="15" t="n">
        <v>3.69</v>
      </c>
      <c r="H74" s="15" t="n">
        <v>3.69</v>
      </c>
      <c r="I74" s="15" t="n">
        <v>3.69</v>
      </c>
      <c r="J74" s="13" t="n"/>
      <c r="K74" s="15" t="n">
        <v>5.59</v>
      </c>
      <c r="L74" s="16">
        <f>IF(COUNT(E74:K74)=0,"",MIN(E74:K74))</f>
        <v/>
      </c>
      <c r="M74" s="15">
        <f>IF(COUNT(E74:K74)=0,"",LOOKUP(2,1/(E74:K74&lt;&gt;""),E74:K74))</f>
        <v/>
      </c>
      <c r="N74" s="17">
        <f>IF(L74="","",ROUND(L74*RESUMEN!$B$4,0))</f>
        <v/>
      </c>
      <c r="O74" s="18">
        <f>COUNT(E74:K74)</f>
        <v/>
      </c>
    </row>
    <row r="75">
      <c r="A75" s="13" t="inlineStr">
        <is>
          <t>52064791097837</t>
        </is>
      </c>
      <c r="B75" s="13" t="inlineStr">
        <is>
          <t>ARETES BV GOLD-WHITE</t>
        </is>
      </c>
      <c r="C75" s="13" t="inlineStr">
        <is>
          <t>Default Title</t>
        </is>
      </c>
      <c r="D75" s="14" t="inlineStr">
        <is>
          <t>stainless steel</t>
        </is>
      </c>
      <c r="E75" s="15" t="n">
        <v>3.69</v>
      </c>
      <c r="F75" s="13" t="n"/>
      <c r="G75" s="15" t="n">
        <v>3.69</v>
      </c>
      <c r="H75" s="13" t="n"/>
      <c r="I75" s="15" t="n">
        <v>3.69</v>
      </c>
      <c r="J75" s="13" t="n"/>
      <c r="K75" s="13" t="n"/>
      <c r="L75" s="16">
        <f>IF(COUNT(E75:K75)=0,"",MIN(E75:K75))</f>
        <v/>
      </c>
      <c r="M75" s="15">
        <f>IF(COUNT(E75:K75)=0,"",LOOKUP(2,1/(E75:K75&lt;&gt;""),E75:K75))</f>
        <v/>
      </c>
      <c r="N75" s="17">
        <f>IF(L75="","",ROUND(L75*RESUMEN!$B$4,0))</f>
        <v/>
      </c>
      <c r="O75" s="18">
        <f>COUNT(E75:K75)</f>
        <v/>
      </c>
    </row>
    <row r="76">
      <c r="A76" s="13" t="inlineStr">
        <is>
          <t>63ebd619250f6</t>
        </is>
      </c>
      <c r="B76" s="13" t="inlineStr">
        <is>
          <t>ARETES BV ROSE GOLD CON ZIRCONIA</t>
        </is>
      </c>
      <c r="C76" s="13" t="inlineStr">
        <is>
          <t>Default Title</t>
        </is>
      </c>
      <c r="D76" s="14" t="inlineStr">
        <is>
          <t>brass</t>
        </is>
      </c>
      <c r="E76" s="13" t="n"/>
      <c r="F76" s="15" t="n">
        <v>5.59</v>
      </c>
      <c r="G76" s="13" t="n"/>
      <c r="H76" s="13" t="n"/>
      <c r="I76" s="15" t="n">
        <v>5.59</v>
      </c>
      <c r="J76" s="15" t="n">
        <v>5.59</v>
      </c>
      <c r="K76" s="13" t="n"/>
      <c r="L76" s="16">
        <f>IF(COUNT(E76:K76)=0,"",MIN(E76:K76))</f>
        <v/>
      </c>
      <c r="M76" s="15">
        <f>IF(COUNT(E76:K76)=0,"",LOOKUP(2,1/(E76:K76&lt;&gt;""),E76:K76))</f>
        <v/>
      </c>
      <c r="N76" s="17">
        <f>IF(L76="","",ROUND(L76*RESUMEN!$B$4,0))</f>
        <v/>
      </c>
      <c r="O76" s="18">
        <f>COUNT(E76:K76)</f>
        <v/>
      </c>
    </row>
    <row r="77">
      <c r="A77" s="13" t="inlineStr">
        <is>
          <t>63ebd61958890</t>
        </is>
      </c>
      <c r="B77" s="13" t="inlineStr">
        <is>
          <t>ARETES BV ROSE GOLD-BLACK</t>
        </is>
      </c>
      <c r="C77" s="13" t="inlineStr">
        <is>
          <t>1cm</t>
        </is>
      </c>
      <c r="D77" s="14" t="inlineStr">
        <is>
          <t>stainless steel</t>
        </is>
      </c>
      <c r="E77" s="13" t="n"/>
      <c r="F77" s="15" t="n">
        <v>3.69</v>
      </c>
      <c r="G77" s="15" t="n">
        <v>3.69</v>
      </c>
      <c r="H77" s="13" t="n"/>
      <c r="I77" s="15" t="n">
        <v>3.69</v>
      </c>
      <c r="J77" s="13" t="n"/>
      <c r="K77" s="13" t="n"/>
      <c r="L77" s="16">
        <f>IF(COUNT(E77:K77)=0,"",MIN(E77:K77))</f>
        <v/>
      </c>
      <c r="M77" s="15">
        <f>IF(COUNT(E77:K77)=0,"",LOOKUP(2,1/(E77:K77&lt;&gt;""),E77:K77))</f>
        <v/>
      </c>
      <c r="N77" s="17">
        <f>IF(L77="","",ROUND(L77*RESUMEN!$B$4,0))</f>
        <v/>
      </c>
      <c r="O77" s="18">
        <f>COUNT(E77:K77)</f>
        <v/>
      </c>
    </row>
    <row r="78">
      <c r="A78" s="13" t="inlineStr">
        <is>
          <t>64e78ca71edc7</t>
        </is>
      </c>
      <c r="B78" s="13" t="inlineStr">
        <is>
          <t>ARETES BV SILVER- WHITE</t>
        </is>
      </c>
      <c r="C78" s="13" t="inlineStr">
        <is>
          <t>Regular</t>
        </is>
      </c>
      <c r="D78" s="14" t="inlineStr">
        <is>
          <t>stainless steel</t>
        </is>
      </c>
      <c r="E78" s="13" t="n"/>
      <c r="F78" s="15" t="n">
        <v>3.69</v>
      </c>
      <c r="G78" s="15" t="n">
        <v>3.69</v>
      </c>
      <c r="H78" s="15" t="n">
        <v>3.69</v>
      </c>
      <c r="I78" s="13" t="n"/>
      <c r="J78" s="15" t="n">
        <v>3.69</v>
      </c>
      <c r="K78" s="13" t="n"/>
      <c r="L78" s="16">
        <f>IF(COUNT(E78:K78)=0,"",MIN(E78:K78))</f>
        <v/>
      </c>
      <c r="M78" s="15">
        <f>IF(COUNT(E78:K78)=0,"",LOOKUP(2,1/(E78:K78&lt;&gt;""),E78:K78))</f>
        <v/>
      </c>
      <c r="N78" s="17">
        <f>IF(L78="","",ROUND(L78*RESUMEN!$B$4,0))</f>
        <v/>
      </c>
      <c r="O78" s="18">
        <f>COUNT(E78:K78)</f>
        <v/>
      </c>
    </row>
    <row r="79">
      <c r="A79" s="13" t="inlineStr">
        <is>
          <t>64e78ca690d8e</t>
        </is>
      </c>
      <c r="B79" s="13" t="inlineStr">
        <is>
          <t>ARETES BV SILVER-BLACK</t>
        </is>
      </c>
      <c r="C79" s="13" t="inlineStr">
        <is>
          <t>0.7 cm</t>
        </is>
      </c>
      <c r="D79" s="14" t="inlineStr">
        <is>
          <t>stainless steel</t>
        </is>
      </c>
      <c r="E79" s="13" t="n"/>
      <c r="F79" s="15" t="n">
        <v>3.69</v>
      </c>
      <c r="G79" s="13" t="n"/>
      <c r="H79" s="13" t="n"/>
      <c r="I79" s="13" t="n"/>
      <c r="J79" s="13" t="n"/>
      <c r="K79" s="15" t="n">
        <v>5.59</v>
      </c>
      <c r="L79" s="16">
        <f>IF(COUNT(E79:K79)=0,"",MIN(E79:K79))</f>
        <v/>
      </c>
      <c r="M79" s="15">
        <f>IF(COUNT(E79:K79)=0,"",LOOKUP(2,1/(E79:K79&lt;&gt;""),E79:K79))</f>
        <v/>
      </c>
      <c r="N79" s="17">
        <f>IF(L79="","",ROUND(L79*RESUMEN!$B$4,0))</f>
        <v/>
      </c>
      <c r="O79" s="18">
        <f>COUNT(E79:K79)</f>
        <v/>
      </c>
    </row>
    <row r="80">
      <c r="A80" s="13" t="inlineStr">
        <is>
          <t>62745763441517</t>
        </is>
      </c>
      <c r="B80" s="13" t="inlineStr">
        <is>
          <t>ARETES C CLASH ONYX</t>
        </is>
      </c>
      <c r="C80" s="13" t="inlineStr">
        <is>
          <t>Default Title</t>
        </is>
      </c>
      <c r="D80" s="14" t="inlineStr">
        <is>
          <t>brass</t>
        </is>
      </c>
      <c r="E80" s="13" t="n"/>
      <c r="F80" s="13" t="n"/>
      <c r="G80" s="13" t="n"/>
      <c r="H80" s="13" t="n"/>
      <c r="I80" s="13" t="n"/>
      <c r="J80" s="15" t="n">
        <v>14.39</v>
      </c>
      <c r="K80" s="13" t="n"/>
      <c r="L80" s="16">
        <f>IF(COUNT(E80:K80)=0,"",MIN(E80:K80))</f>
        <v/>
      </c>
      <c r="M80" s="15">
        <f>IF(COUNT(E80:K80)=0,"",LOOKUP(2,1/(E80:K80&lt;&gt;""),E80:K80))</f>
        <v/>
      </c>
      <c r="N80" s="17">
        <f>IF(L80="","",ROUND(L80*RESUMEN!$B$4,0))</f>
        <v/>
      </c>
      <c r="O80" s="18">
        <f>COUNT(E80:K80)</f>
        <v/>
      </c>
    </row>
    <row r="81">
      <c r="A81" s="13" t="inlineStr">
        <is>
          <t>62745763507053</t>
        </is>
      </c>
      <c r="B81" s="13" t="inlineStr">
        <is>
          <t>ARETES C CLASH ROSEGOLD TRIPLE</t>
        </is>
      </c>
      <c r="C81" s="13" t="inlineStr">
        <is>
          <t>Default Title</t>
        </is>
      </c>
      <c r="D81" s="14" t="inlineStr">
        <is>
          <t>brass</t>
        </is>
      </c>
      <c r="E81" s="13" t="n"/>
      <c r="F81" s="13" t="n"/>
      <c r="G81" s="13" t="n"/>
      <c r="H81" s="13" t="n"/>
      <c r="I81" s="13" t="n"/>
      <c r="J81" s="15" t="n">
        <v>14.39</v>
      </c>
      <c r="K81" s="13" t="n"/>
      <c r="L81" s="16">
        <f>IF(COUNT(E81:K81)=0,"",MIN(E81:K81))</f>
        <v/>
      </c>
      <c r="M81" s="15">
        <f>IF(COUNT(E81:K81)=0,"",LOOKUP(2,1/(E81:K81&lt;&gt;""),E81:K81))</f>
        <v/>
      </c>
      <c r="N81" s="17">
        <f>IF(L81="","",ROUND(L81*RESUMEN!$B$4,0))</f>
        <v/>
      </c>
      <c r="O81" s="18">
        <f>COUNT(E81:K81)</f>
        <v/>
      </c>
    </row>
    <row r="82">
      <c r="A82" s="13" t="inlineStr">
        <is>
          <t>58980703081677</t>
        </is>
      </c>
      <c r="B82" s="13" t="inlineStr">
        <is>
          <t>ARETES CC BOUTON CAMELIA</t>
        </is>
      </c>
      <c r="C82" s="13" t="inlineStr">
        <is>
          <t>Default Title</t>
        </is>
      </c>
      <c r="D82" s="14" t="inlineStr">
        <is>
          <t>brass</t>
        </is>
      </c>
      <c r="E82" s="13" t="n"/>
      <c r="F82" s="13" t="n"/>
      <c r="G82" s="13" t="n"/>
      <c r="H82" s="13" t="n"/>
      <c r="I82" s="13" t="n"/>
      <c r="J82" s="15" t="n">
        <v>7.99</v>
      </c>
      <c r="K82" s="13" t="n"/>
      <c r="L82" s="16">
        <f>IF(COUNT(E82:K82)=0,"",MIN(E82:K82))</f>
        <v/>
      </c>
      <c r="M82" s="15">
        <f>IF(COUNT(E82:K82)=0,"",LOOKUP(2,1/(E82:K82&lt;&gt;""),E82:K82))</f>
        <v/>
      </c>
      <c r="N82" s="17">
        <f>IF(L82="","",ROUND(L82*RESUMEN!$B$4,0))</f>
        <v/>
      </c>
      <c r="O82" s="18">
        <f>COUNT(E82:K82)</f>
        <v/>
      </c>
    </row>
    <row r="83">
      <c r="A83" s="13" t="inlineStr">
        <is>
          <t>58980702817837</t>
        </is>
      </c>
      <c r="B83" s="13" t="inlineStr">
        <is>
          <t>ARETES CC ETOILE FILANTE SILVER</t>
        </is>
      </c>
      <c r="C83" s="13" t="inlineStr">
        <is>
          <t>Default Title</t>
        </is>
      </c>
      <c r="D83" s="14" t="inlineStr">
        <is>
          <t>brass</t>
        </is>
      </c>
      <c r="E83" s="13" t="n"/>
      <c r="F83" s="13" t="n"/>
      <c r="G83" s="13" t="n"/>
      <c r="H83" s="13" t="n"/>
      <c r="I83" s="13" t="n"/>
      <c r="J83" s="15" t="n">
        <v>7.59</v>
      </c>
      <c r="K83" s="13" t="n"/>
      <c r="L83" s="16">
        <f>IF(COUNT(E83:K83)=0,"",MIN(E83:K83))</f>
        <v/>
      </c>
      <c r="M83" s="15">
        <f>IF(COUNT(E83:K83)=0,"",LOOKUP(2,1/(E83:K83&lt;&gt;""),E83:K83))</f>
        <v/>
      </c>
      <c r="N83" s="17">
        <f>IF(L83="","",ROUND(L83*RESUMEN!$B$4,0))</f>
        <v/>
      </c>
      <c r="O83" s="18">
        <f>COUNT(E83:K83)</f>
        <v/>
      </c>
    </row>
    <row r="84">
      <c r="A84" s="13" t="inlineStr">
        <is>
          <t>22974392232621</t>
        </is>
      </c>
      <c r="B84" s="13" t="inlineStr">
        <is>
          <t>ARETES CC RESIN PEARL SILVER</t>
        </is>
      </c>
      <c r="C84" s="13" t="inlineStr">
        <is>
          <t>Default Title</t>
        </is>
      </c>
      <c r="D84" s="14" t="inlineStr">
        <is>
          <t>alloy</t>
        </is>
      </c>
      <c r="E84" s="13" t="n"/>
      <c r="F84" s="13" t="n"/>
      <c r="G84" s="13" t="n"/>
      <c r="H84" s="15" t="n">
        <v>2.99</v>
      </c>
      <c r="I84" s="13" t="n"/>
      <c r="J84" s="13" t="n"/>
      <c r="K84" s="13" t="n"/>
      <c r="L84" s="16">
        <f>IF(COUNT(E84:K84)=0,"",MIN(E84:K84))</f>
        <v/>
      </c>
      <c r="M84" s="15">
        <f>IF(COUNT(E84:K84)=0,"",LOOKUP(2,1/(E84:K84&lt;&gt;""),E84:K84))</f>
        <v/>
      </c>
      <c r="N84" s="17">
        <f>IF(L84="","",ROUND(L84*RESUMEN!$B$4,0))</f>
        <v/>
      </c>
      <c r="O84" s="18">
        <f>COUNT(E84:K84)</f>
        <v/>
      </c>
    </row>
    <row r="85">
      <c r="A85" s="13" t="inlineStr">
        <is>
          <t>665bb4e91bcaf</t>
        </is>
      </c>
      <c r="B85" s="13" t="inlineStr">
        <is>
          <t>ARETES CD GOLD BLACK</t>
        </is>
      </c>
      <c r="C85" s="13" t="inlineStr">
        <is>
          <t>Default Title</t>
        </is>
      </c>
      <c r="D85" s="14" t="inlineStr">
        <is>
          <t>brass</t>
        </is>
      </c>
      <c r="E85" s="13" t="n"/>
      <c r="F85" s="13" t="n"/>
      <c r="G85" s="15" t="n">
        <v>5.59</v>
      </c>
      <c r="H85" s="13" t="n"/>
      <c r="I85" s="15" t="n">
        <v>5.59</v>
      </c>
      <c r="J85" s="15" t="n">
        <v>5.59</v>
      </c>
      <c r="K85" s="15" t="n">
        <v>5.59</v>
      </c>
      <c r="L85" s="16">
        <f>IF(COUNT(E85:K85)=0,"",MIN(E85:K85))</f>
        <v/>
      </c>
      <c r="M85" s="15">
        <f>IF(COUNT(E85:K85)=0,"",LOOKUP(2,1/(E85:K85&lt;&gt;""),E85:K85))</f>
        <v/>
      </c>
      <c r="N85" s="17">
        <f>IF(L85="","",ROUND(L85*RESUMEN!$B$4,0))</f>
        <v/>
      </c>
      <c r="O85" s="18">
        <f>COUNT(E85:K85)</f>
        <v/>
      </c>
    </row>
    <row r="86">
      <c r="A86" s="13" t="inlineStr">
        <is>
          <t>42981640208524</t>
        </is>
      </c>
      <c r="B86" s="13" t="inlineStr">
        <is>
          <t>ARETES CD GOLD CON PERLA COLGANTE</t>
        </is>
      </c>
      <c r="C86" s="13" t="inlineStr">
        <is>
          <t>Default Title</t>
        </is>
      </c>
      <c r="D86" s="14" t="inlineStr">
        <is>
          <t>brass</t>
        </is>
      </c>
      <c r="E86" s="15" t="n">
        <v>4.49</v>
      </c>
      <c r="F86" s="15" t="n">
        <v>4.49</v>
      </c>
      <c r="G86" s="15" t="n">
        <v>5.59</v>
      </c>
      <c r="H86" s="15" t="n">
        <v>5.59</v>
      </c>
      <c r="I86" s="15" t="n">
        <v>4.49</v>
      </c>
      <c r="J86" s="13" t="n"/>
      <c r="K86" s="15" t="n">
        <v>5.59</v>
      </c>
      <c r="L86" s="16">
        <f>IF(COUNT(E86:K86)=0,"",MIN(E86:K86))</f>
        <v/>
      </c>
      <c r="M86" s="15">
        <f>IF(COUNT(E86:K86)=0,"",LOOKUP(2,1/(E86:K86&lt;&gt;""),E86:K86))</f>
        <v/>
      </c>
      <c r="N86" s="17">
        <f>IF(L86="","",ROUND(L86*RESUMEN!$B$4,0))</f>
        <v/>
      </c>
      <c r="O86" s="18">
        <f>COUNT(E86:K86)</f>
        <v/>
      </c>
    </row>
    <row r="87">
      <c r="A87" s="13" t="inlineStr">
        <is>
          <t>665bb4f54f46f</t>
        </is>
      </c>
      <c r="B87" s="13" t="inlineStr">
        <is>
          <t>ARETES CORAZÓN GC</t>
        </is>
      </c>
      <c r="C87" s="13" t="inlineStr">
        <is>
          <t>Default Title</t>
        </is>
      </c>
      <c r="D87" s="14" t="inlineStr"/>
      <c r="E87" s="13" t="n"/>
      <c r="F87" s="13" t="n"/>
      <c r="G87" s="15" t="n">
        <v>5.59</v>
      </c>
      <c r="H87" s="13" t="n"/>
      <c r="I87" s="13" t="n"/>
      <c r="J87" s="13" t="n"/>
      <c r="K87" s="15" t="n">
        <v>3.69</v>
      </c>
      <c r="L87" s="16">
        <f>IF(COUNT(E87:K87)=0,"",MIN(E87:K87))</f>
        <v/>
      </c>
      <c r="M87" s="15">
        <f>IF(COUNT(E87:K87)=0,"",LOOKUP(2,1/(E87:K87&lt;&gt;""),E87:K87))</f>
        <v/>
      </c>
      <c r="N87" s="17">
        <f>IF(L87="","",ROUND(L87*RESUMEN!$B$4,0))</f>
        <v/>
      </c>
      <c r="O87" s="18">
        <f>COUNT(E87:K87)</f>
        <v/>
      </c>
    </row>
    <row r="88">
      <c r="A88" s="13" t="inlineStr">
        <is>
          <t>43047196360844</t>
        </is>
      </c>
      <c r="B88" s="13" t="inlineStr">
        <is>
          <t>ARETES CORAZÓN GRABADO SILVER</t>
        </is>
      </c>
      <c r="C88" s="13" t="inlineStr">
        <is>
          <t>Default Title</t>
        </is>
      </c>
      <c r="D88" s="14" t="inlineStr"/>
      <c r="E88" s="15" t="n">
        <v>2.39</v>
      </c>
      <c r="F88" s="13" t="n"/>
      <c r="G88" s="13" t="n"/>
      <c r="H88" s="13" t="n"/>
      <c r="I88" s="13" t="n"/>
      <c r="J88" s="13" t="n"/>
      <c r="K88" s="13" t="n"/>
      <c r="L88" s="16">
        <f>IF(COUNT(E88:K88)=0,"",MIN(E88:K88))</f>
        <v/>
      </c>
      <c r="M88" s="15">
        <f>IF(COUNT(E88:K88)=0,"",LOOKUP(2,1/(E88:K88&lt;&gt;""),E88:K88))</f>
        <v/>
      </c>
      <c r="N88" s="17">
        <f>IF(L88="","",ROUND(L88*RESUMEN!$B$4,0))</f>
        <v/>
      </c>
      <c r="O88" s="18">
        <f>COUNT(E88:K88)</f>
        <v/>
      </c>
    </row>
    <row r="89">
      <c r="A89" s="13" t="inlineStr">
        <is>
          <t>68eee447fb3d</t>
        </is>
      </c>
      <c r="B89" s="13" t="inlineStr">
        <is>
          <t>ARETES DE ESLABONES GOLD MZ</t>
        </is>
      </c>
      <c r="C89" s="13" t="inlineStr"/>
      <c r="D89" s="14" t="inlineStr"/>
      <c r="E89" s="13" t="n"/>
      <c r="F89" s="15" t="n">
        <v>6.99</v>
      </c>
      <c r="G89" s="13" t="n"/>
      <c r="H89" s="13" t="n"/>
      <c r="I89" s="13" t="n"/>
      <c r="J89" s="13" t="n"/>
      <c r="K89" s="13" t="n"/>
      <c r="L89" s="16">
        <f>IF(COUNT(E89:K89)=0,"",MIN(E89:K89))</f>
        <v/>
      </c>
      <c r="M89" s="15">
        <f>IF(COUNT(E89:K89)=0,"",LOOKUP(2,1/(E89:K89&lt;&gt;""),E89:K89))</f>
        <v/>
      </c>
      <c r="N89" s="17">
        <f>IF(L89="","",ROUND(L89*RESUMEN!$B$4,0))</f>
        <v/>
      </c>
      <c r="O89" s="18">
        <f>COUNT(E89:K89)</f>
        <v/>
      </c>
    </row>
    <row r="90">
      <c r="A90" s="13" t="inlineStr">
        <is>
          <t>668eee447fb3d</t>
        </is>
      </c>
      <c r="B90" s="13" t="inlineStr">
        <is>
          <t>ARETES DE ESLABONES GOLD MZ</t>
        </is>
      </c>
      <c r="C90" s="13" t="inlineStr">
        <is>
          <t>High Quality</t>
        </is>
      </c>
      <c r="D90" s="14" t="inlineStr">
        <is>
          <t>brass</t>
        </is>
      </c>
      <c r="E90" s="13" t="n"/>
      <c r="F90" s="13" t="n"/>
      <c r="G90" s="13" t="n"/>
      <c r="H90" s="15" t="n">
        <v>5.79</v>
      </c>
      <c r="I90" s="15" t="n">
        <v>6.99</v>
      </c>
      <c r="J90" s="15" t="n">
        <v>6.99</v>
      </c>
      <c r="K90" s="15" t="n">
        <v>7.59</v>
      </c>
      <c r="L90" s="16">
        <f>IF(COUNT(E90:K90)=0,"",MIN(E90:K90))</f>
        <v/>
      </c>
      <c r="M90" s="15">
        <f>IF(COUNT(E90:K90)=0,"",LOOKUP(2,1/(E90:K90&lt;&gt;""),E90:K90))</f>
        <v/>
      </c>
      <c r="N90" s="17">
        <f>IF(L90="","",ROUND(L90*RESUMEN!$B$4,0))</f>
        <v/>
      </c>
      <c r="O90" s="18">
        <f>COUNT(E90:K90)</f>
        <v/>
      </c>
    </row>
    <row r="91">
      <c r="A91" s="13" t="inlineStr">
        <is>
          <t>43047216775308</t>
        </is>
      </c>
      <c r="B91" s="13" t="inlineStr">
        <is>
          <t>ARETES ESLABON LISO  GOLD</t>
        </is>
      </c>
      <c r="C91" s="13" t="inlineStr">
        <is>
          <t>Default Title</t>
        </is>
      </c>
      <c r="D91" s="14" t="inlineStr">
        <is>
          <t>brass</t>
        </is>
      </c>
      <c r="E91" s="13" t="n"/>
      <c r="F91" s="15" t="n">
        <v>5.79</v>
      </c>
      <c r="G91" s="13" t="n"/>
      <c r="H91" s="15" t="n">
        <v>5.79</v>
      </c>
      <c r="I91" s="15" t="n">
        <v>5.79</v>
      </c>
      <c r="J91" s="13" t="n"/>
      <c r="K91" s="13" t="n"/>
      <c r="L91" s="16">
        <f>IF(COUNT(E91:K91)=0,"",MIN(E91:K91))</f>
        <v/>
      </c>
      <c r="M91" s="15">
        <f>IF(COUNT(E91:K91)=0,"",LOOKUP(2,1/(E91:K91&lt;&gt;""),E91:K91))</f>
        <v/>
      </c>
      <c r="N91" s="17">
        <f>IF(L91="","",ROUND(L91*RESUMEN!$B$4,0))</f>
        <v/>
      </c>
      <c r="O91" s="18">
        <f>COUNT(E91:K91)</f>
        <v/>
      </c>
    </row>
    <row r="92">
      <c r="A92" s="13" t="inlineStr">
        <is>
          <t>43047216545932</t>
        </is>
      </c>
      <c r="B92" s="13" t="inlineStr">
        <is>
          <t>ARETES ESLABON LISO ROSEGOLD</t>
        </is>
      </c>
      <c r="C92" s="13" t="inlineStr">
        <is>
          <t>Small 3cm</t>
        </is>
      </c>
      <c r="D92" s="14" t="inlineStr">
        <is>
          <t>brass</t>
        </is>
      </c>
      <c r="E92" s="13" t="n"/>
      <c r="F92" s="13" t="n"/>
      <c r="G92" s="15" t="n">
        <v>5.79</v>
      </c>
      <c r="H92" s="13" t="n"/>
      <c r="I92" s="13" t="n"/>
      <c r="J92" s="15" t="n">
        <v>5.79</v>
      </c>
      <c r="K92" s="13" t="n"/>
      <c r="L92" s="16">
        <f>IF(COUNT(E92:K92)=0,"",MIN(E92:K92))</f>
        <v/>
      </c>
      <c r="M92" s="15">
        <f>IF(COUNT(E92:K92)=0,"",LOOKUP(2,1/(E92:K92&lt;&gt;""),E92:K92))</f>
        <v/>
      </c>
      <c r="N92" s="17">
        <f>IF(L92="","",ROUND(L92*RESUMEN!$B$4,0))</f>
        <v/>
      </c>
      <c r="O92" s="18">
        <f>COUNT(E92:K92)</f>
        <v/>
      </c>
    </row>
    <row r="93">
      <c r="A93" s="13" t="inlineStr">
        <is>
          <t>42981553012876</t>
        </is>
      </c>
      <c r="B93" s="13" t="inlineStr">
        <is>
          <t>ARETES ESSENTIAL LV GOLD</t>
        </is>
      </c>
      <c r="C93" s="13" t="inlineStr">
        <is>
          <t>Default Title</t>
        </is>
      </c>
      <c r="D93" s="14" t="inlineStr">
        <is>
          <t>brass</t>
        </is>
      </c>
      <c r="E93" s="15" t="n">
        <v>4.19</v>
      </c>
      <c r="F93" s="15" t="n">
        <v>5.59</v>
      </c>
      <c r="G93" s="15" t="n">
        <v>5.59</v>
      </c>
      <c r="H93" s="15" t="n">
        <v>5.59</v>
      </c>
      <c r="I93" s="15" t="n">
        <v>5.59</v>
      </c>
      <c r="J93" s="15" t="n">
        <v>5.59</v>
      </c>
      <c r="K93" s="13" t="n"/>
      <c r="L93" s="16">
        <f>IF(COUNT(E93:K93)=0,"",MIN(E93:K93))</f>
        <v/>
      </c>
      <c r="M93" s="15">
        <f>IF(COUNT(E93:K93)=0,"",LOOKUP(2,1/(E93:K93&lt;&gt;""),E93:K93))</f>
        <v/>
      </c>
      <c r="N93" s="17">
        <f>IF(L93="","",ROUND(L93*RESUMEN!$B$4,0))</f>
        <v/>
      </c>
      <c r="O93" s="18">
        <f>COUNT(E93:K93)</f>
        <v/>
      </c>
    </row>
    <row r="94">
      <c r="A94" s="13" t="inlineStr">
        <is>
          <t>42981569396876</t>
        </is>
      </c>
      <c r="B94" s="13" t="inlineStr">
        <is>
          <t>ARETES ESSENTIAL LV SILVER</t>
        </is>
      </c>
      <c r="C94" s="13" t="inlineStr">
        <is>
          <t>Default Title</t>
        </is>
      </c>
      <c r="D94" s="14" t="inlineStr">
        <is>
          <t>brass</t>
        </is>
      </c>
      <c r="E94" s="13" t="n"/>
      <c r="F94" s="13" t="n"/>
      <c r="G94" s="15" t="n">
        <v>5.59</v>
      </c>
      <c r="H94" s="15" t="n">
        <v>5.59</v>
      </c>
      <c r="I94" s="15" t="n">
        <v>5.59</v>
      </c>
      <c r="J94" s="13" t="n"/>
      <c r="K94" s="13" t="n"/>
      <c r="L94" s="16">
        <f>IF(COUNT(E94:K94)=0,"",MIN(E94:K94))</f>
        <v/>
      </c>
      <c r="M94" s="15">
        <f>IF(COUNT(E94:K94)=0,"",LOOKUP(2,1/(E94:K94&lt;&gt;""),E94:K94))</f>
        <v/>
      </c>
      <c r="N94" s="17">
        <f>IF(L94="","",ROUND(L94*RESUMEN!$B$4,0))</f>
        <v/>
      </c>
      <c r="O94" s="18">
        <f>COUNT(E94:K94)</f>
        <v/>
      </c>
    </row>
    <row r="95">
      <c r="A95" s="13" t="inlineStr">
        <is>
          <t>42981998657676</t>
        </is>
      </c>
      <c r="B95" s="13" t="inlineStr">
        <is>
          <t>ARETES FR GOLD</t>
        </is>
      </c>
      <c r="C95" s="13" t="inlineStr">
        <is>
          <t>Regular</t>
        </is>
      </c>
      <c r="D95" s="14" t="inlineStr">
        <is>
          <t>brass</t>
        </is>
      </c>
      <c r="E95" s="15" t="n">
        <v>4.49</v>
      </c>
      <c r="F95" s="15" t="n">
        <v>4.49</v>
      </c>
      <c r="G95" s="13" t="n"/>
      <c r="H95" s="15" t="n">
        <v>5.59</v>
      </c>
      <c r="I95" s="13" t="n"/>
      <c r="J95" s="15" t="n">
        <v>4.99</v>
      </c>
      <c r="K95" s="13" t="n"/>
      <c r="L95" s="16">
        <f>IF(COUNT(E95:K95)=0,"",MIN(E95:K95))</f>
        <v/>
      </c>
      <c r="M95" s="15">
        <f>IF(COUNT(E95:K95)=0,"",LOOKUP(2,1/(E95:K95&lt;&gt;""),E95:K95))</f>
        <v/>
      </c>
      <c r="N95" s="17">
        <f>IF(L95="","",ROUND(L95*RESUMEN!$B$4,0))</f>
        <v/>
      </c>
      <c r="O95" s="18">
        <f>COUNT(E95:K95)</f>
        <v/>
      </c>
    </row>
    <row r="96">
      <c r="A96" s="13" t="inlineStr">
        <is>
          <t>42982006882444</t>
        </is>
      </c>
      <c r="B96" s="13" t="inlineStr">
        <is>
          <t>ARETES FR GOLD CON PERLA</t>
        </is>
      </c>
      <c r="C96" s="13" t="inlineStr">
        <is>
          <t>Default Title</t>
        </is>
      </c>
      <c r="D96" s="14" t="inlineStr">
        <is>
          <t>brass</t>
        </is>
      </c>
      <c r="E96" s="15" t="n">
        <v>4.49</v>
      </c>
      <c r="F96" s="15" t="n">
        <v>4.49</v>
      </c>
      <c r="G96" s="13" t="n"/>
      <c r="H96" s="15" t="n">
        <v>5.59</v>
      </c>
      <c r="I96" s="15" t="n">
        <v>4.49</v>
      </c>
      <c r="J96" s="15" t="n">
        <v>4.99</v>
      </c>
      <c r="K96" s="15" t="n">
        <v>4.99</v>
      </c>
      <c r="L96" s="16">
        <f>IF(COUNT(E96:K96)=0,"",MIN(E96:K96))</f>
        <v/>
      </c>
      <c r="M96" s="15">
        <f>IF(COUNT(E96:K96)=0,"",LOOKUP(2,1/(E96:K96&lt;&gt;""),E96:K96))</f>
        <v/>
      </c>
      <c r="N96" s="17">
        <f>IF(L96="","",ROUND(L96*RESUMEN!$B$4,0))</f>
        <v/>
      </c>
      <c r="O96" s="18">
        <f>COUNT(E96:K96)</f>
        <v/>
      </c>
    </row>
    <row r="97">
      <c r="A97" s="13" t="inlineStr">
        <is>
          <t>665bd22d2f1c6</t>
        </is>
      </c>
      <c r="B97" s="13" t="inlineStr">
        <is>
          <t>ARETES FR GOLD CON ZIRCONIA</t>
        </is>
      </c>
      <c r="C97" s="13" t="inlineStr">
        <is>
          <t>Regular</t>
        </is>
      </c>
      <c r="D97" s="14" t="inlineStr">
        <is>
          <t>brass</t>
        </is>
      </c>
      <c r="E97" s="15" t="n">
        <v>4.99</v>
      </c>
      <c r="F97" s="13" t="n"/>
      <c r="G97" s="13" t="n"/>
      <c r="H97" s="15" t="n">
        <v>5.59</v>
      </c>
      <c r="I97" s="15" t="n">
        <v>5.59</v>
      </c>
      <c r="J97" s="13" t="n"/>
      <c r="K97" s="15" t="n">
        <v>4.99</v>
      </c>
      <c r="L97" s="16">
        <f>IF(COUNT(E97:K97)=0,"",MIN(E97:K97))</f>
        <v/>
      </c>
      <c r="M97" s="15">
        <f>IF(COUNT(E97:K97)=0,"",LOOKUP(2,1/(E97:K97&lt;&gt;""),E97:K97))</f>
        <v/>
      </c>
      <c r="N97" s="17">
        <f>IF(L97="","",ROUND(L97*RESUMEN!$B$4,0))</f>
        <v/>
      </c>
      <c r="O97" s="18">
        <f>COUNT(E97:K97)</f>
        <v/>
      </c>
    </row>
    <row r="98">
      <c r="A98" s="13" t="inlineStr">
        <is>
          <t>678a9af396518</t>
        </is>
      </c>
      <c r="B98" s="13" t="inlineStr">
        <is>
          <t>ARETES FR SILVER</t>
        </is>
      </c>
      <c r="C98" s="13" t="inlineStr">
        <is>
          <t>Regular</t>
        </is>
      </c>
      <c r="D98" s="14" t="inlineStr">
        <is>
          <t>brass</t>
        </is>
      </c>
      <c r="E98" s="13" t="n"/>
      <c r="F98" s="15" t="n">
        <v>4.49</v>
      </c>
      <c r="G98" s="13" t="n"/>
      <c r="H98" s="13" t="n"/>
      <c r="I98" s="13" t="n"/>
      <c r="J98" s="15" t="n">
        <v>4.99</v>
      </c>
      <c r="K98" s="15" t="n">
        <v>4.99</v>
      </c>
      <c r="L98" s="16">
        <f>IF(COUNT(E98:K98)=0,"",MIN(E98:K98))</f>
        <v/>
      </c>
      <c r="M98" s="15">
        <f>IF(COUNT(E98:K98)=0,"",LOOKUP(2,1/(E98:K98&lt;&gt;""),E98:K98))</f>
        <v/>
      </c>
      <c r="N98" s="17">
        <f>IF(L98="","",ROUND(L98*RESUMEN!$B$4,0))</f>
        <v/>
      </c>
      <c r="O98" s="18">
        <f>COUNT(E98:K98)</f>
        <v/>
      </c>
    </row>
    <row r="99">
      <c r="A99" s="13" t="inlineStr">
        <is>
          <t>68431135029516</t>
        </is>
      </c>
      <c r="B99" s="13" t="inlineStr">
        <is>
          <t>ARETES GC COLGANTES PERLA</t>
        </is>
      </c>
      <c r="C99" s="13" t="inlineStr">
        <is>
          <t>Default Title</t>
        </is>
      </c>
      <c r="D99" s="14" t="inlineStr"/>
      <c r="E99" s="15" t="n">
        <v>4.49</v>
      </c>
      <c r="F99" s="13" t="n"/>
      <c r="G99" s="13" t="n"/>
      <c r="H99" s="13" t="n"/>
      <c r="I99" s="13" t="n"/>
      <c r="J99" s="13" t="n"/>
      <c r="K99" s="13" t="n"/>
      <c r="L99" s="16">
        <f>IF(COUNT(E99:K99)=0,"",MIN(E99:K99))</f>
        <v/>
      </c>
      <c r="M99" s="15">
        <f>IF(COUNT(E99:K99)=0,"",LOOKUP(2,1/(E99:K99&lt;&gt;""),E99:K99))</f>
        <v/>
      </c>
      <c r="N99" s="17">
        <f>IF(L99="","",ROUND(L99*RESUMEN!$B$4,0))</f>
        <v/>
      </c>
      <c r="O99" s="18">
        <f>COUNT(E99:K99)</f>
        <v/>
      </c>
    </row>
    <row r="100">
      <c r="A100" s="13" t="inlineStr">
        <is>
          <t>64e78ca83b5da-1</t>
        </is>
      </c>
      <c r="B100" s="13" t="inlineStr">
        <is>
          <t>ARETES GC GOLD</t>
        </is>
      </c>
      <c r="C100" s="13" t="inlineStr">
        <is>
          <t>Regular</t>
        </is>
      </c>
      <c r="D100" s="14" t="inlineStr">
        <is>
          <t>brass</t>
        </is>
      </c>
      <c r="E100" s="13" t="n"/>
      <c r="F100" s="13" t="n"/>
      <c r="G100" s="15" t="n">
        <v>5.59</v>
      </c>
      <c r="H100" s="13" t="n"/>
      <c r="I100" s="15" t="n">
        <v>5.59</v>
      </c>
      <c r="J100" s="13" t="n"/>
      <c r="K100" s="15" t="n">
        <v>2.99</v>
      </c>
      <c r="L100" s="16">
        <f>IF(COUNT(E100:K100)=0,"",MIN(E100:K100))</f>
        <v/>
      </c>
      <c r="M100" s="15">
        <f>IF(COUNT(E100:K100)=0,"",LOOKUP(2,1/(E100:K100&lt;&gt;""),E100:K100))</f>
        <v/>
      </c>
      <c r="N100" s="17">
        <f>IF(L100="","",ROUND(L100*RESUMEN!$B$4,0))</f>
        <v/>
      </c>
      <c r="O100" s="18">
        <f>COUNT(E100:K100)</f>
        <v/>
      </c>
    </row>
    <row r="101">
      <c r="A101" s="13" t="inlineStr">
        <is>
          <t>654bdb23ce5c1</t>
        </is>
      </c>
      <c r="B101" s="13" t="inlineStr">
        <is>
          <t>ARETES GC ICE CREAM</t>
        </is>
      </c>
      <c r="C101" s="13" t="inlineStr">
        <is>
          <t>Regular</t>
        </is>
      </c>
      <c r="D101" s="14" t="inlineStr">
        <is>
          <t>brass</t>
        </is>
      </c>
      <c r="E101" s="13" t="n"/>
      <c r="F101" s="13" t="n"/>
      <c r="G101" s="13" t="n"/>
      <c r="H101" s="13" t="n"/>
      <c r="I101" s="13" t="n"/>
      <c r="J101" s="15" t="n">
        <v>6.29</v>
      </c>
      <c r="K101" s="13" t="n"/>
      <c r="L101" s="16">
        <f>IF(COUNT(E101:K101)=0,"",MIN(E101:K101))</f>
        <v/>
      </c>
      <c r="M101" s="15">
        <f>IF(COUNT(E101:K101)=0,"",LOOKUP(2,1/(E101:K101&lt;&gt;""),E101:K101))</f>
        <v/>
      </c>
      <c r="N101" s="17">
        <f>IF(L101="","",ROUND(L101*RESUMEN!$B$4,0))</f>
        <v/>
      </c>
      <c r="O101" s="18">
        <f>COUNT(E101:K101)</f>
        <v/>
      </c>
    </row>
    <row r="102">
      <c r="A102" s="13" t="inlineStr">
        <is>
          <t>665bb512aacaa</t>
        </is>
      </c>
      <c r="B102" s="13" t="inlineStr">
        <is>
          <t>ARETES GC LOGO GOLD</t>
        </is>
      </c>
      <c r="C102" s="13" t="inlineStr">
        <is>
          <t>Default Title</t>
        </is>
      </c>
      <c r="D102" s="14" t="inlineStr">
        <is>
          <t>brass</t>
        </is>
      </c>
      <c r="E102" s="15" t="n">
        <v>3.99</v>
      </c>
      <c r="F102" s="15" t="n">
        <v>3.99</v>
      </c>
      <c r="G102" s="15" t="n">
        <v>5.59</v>
      </c>
      <c r="H102" s="13" t="n"/>
      <c r="I102" s="13" t="n"/>
      <c r="J102" s="15" t="n">
        <v>5.59</v>
      </c>
      <c r="K102" s="15" t="n">
        <v>5.59</v>
      </c>
      <c r="L102" s="16">
        <f>IF(COUNT(E102:K102)=0,"",MIN(E102:K102))</f>
        <v/>
      </c>
      <c r="M102" s="15">
        <f>IF(COUNT(E102:K102)=0,"",LOOKUP(2,1/(E102:K102&lt;&gt;""),E102:K102))</f>
        <v/>
      </c>
      <c r="N102" s="17">
        <f>IF(L102="","",ROUND(L102*RESUMEN!$B$4,0))</f>
        <v/>
      </c>
      <c r="O102" s="18">
        <f>COUNT(E102:K102)</f>
        <v/>
      </c>
    </row>
    <row r="103">
      <c r="A103" s="13" t="inlineStr">
        <is>
          <t>665bb51372697</t>
        </is>
      </c>
      <c r="B103" s="13" t="inlineStr">
        <is>
          <t>ARETES GC LOGO SILVER</t>
        </is>
      </c>
      <c r="C103" s="13" t="inlineStr">
        <is>
          <t>Regular</t>
        </is>
      </c>
      <c r="D103" s="14" t="inlineStr">
        <is>
          <t>brass</t>
        </is>
      </c>
      <c r="E103" s="13" t="n"/>
      <c r="F103" s="13" t="n"/>
      <c r="G103" s="13" t="n"/>
      <c r="H103" s="13" t="n"/>
      <c r="I103" s="15" t="n">
        <v>5.59</v>
      </c>
      <c r="J103" s="13" t="n"/>
      <c r="K103" s="13" t="n"/>
      <c r="L103" s="16">
        <f>IF(COUNT(E103:K103)=0,"",MIN(E103:K103))</f>
        <v/>
      </c>
      <c r="M103" s="15">
        <f>IF(COUNT(E103:K103)=0,"",LOOKUP(2,1/(E103:K103&lt;&gt;""),E103:K103))</f>
        <v/>
      </c>
      <c r="N103" s="17">
        <f>IF(L103="","",ROUND(L103*RESUMEN!$B$4,0))</f>
        <v/>
      </c>
      <c r="O103" s="18">
        <f>COUNT(E103:K103)</f>
        <v/>
      </c>
    </row>
    <row r="104">
      <c r="A104" s="13" t="inlineStr">
        <is>
          <t>665bb5192cc3b</t>
        </is>
      </c>
      <c r="B104" s="13" t="inlineStr">
        <is>
          <t>ARETES LOCK GOLD</t>
        </is>
      </c>
      <c r="C104" s="13" t="inlineStr">
        <is>
          <t>Default Title</t>
        </is>
      </c>
      <c r="D104" s="14" t="inlineStr">
        <is>
          <t>brass</t>
        </is>
      </c>
      <c r="E104" s="13" t="n"/>
      <c r="F104" s="15" t="n">
        <v>7.59</v>
      </c>
      <c r="G104" s="13" t="n"/>
      <c r="H104" s="15" t="n">
        <v>7.59</v>
      </c>
      <c r="I104" s="15" t="n">
        <v>7.59</v>
      </c>
      <c r="J104" s="13" t="n"/>
      <c r="K104" s="13" t="n"/>
      <c r="L104" s="16">
        <f>IF(COUNT(E104:K104)=0,"",MIN(E104:K104))</f>
        <v/>
      </c>
      <c r="M104" s="15">
        <f>IF(COUNT(E104:K104)=0,"",LOOKUP(2,1/(E104:K104&lt;&gt;""),E104:K104))</f>
        <v/>
      </c>
      <c r="N104" s="17">
        <f>IF(L104="","",ROUND(L104*RESUMEN!$B$4,0))</f>
        <v/>
      </c>
      <c r="O104" s="18">
        <f>COUNT(E104:K104)</f>
        <v/>
      </c>
    </row>
    <row r="105">
      <c r="A105" s="13" t="inlineStr">
        <is>
          <t>64e78caddd8f1</t>
        </is>
      </c>
      <c r="B105" s="13" t="inlineStr">
        <is>
          <t>ARETES LV CORAZÓN GOLD</t>
        </is>
      </c>
      <c r="C105" s="13" t="inlineStr">
        <is>
          <t>Regular</t>
        </is>
      </c>
      <c r="D105" s="14" t="inlineStr">
        <is>
          <t>brass</t>
        </is>
      </c>
      <c r="E105" s="13" t="n"/>
      <c r="F105" s="13" t="n"/>
      <c r="G105" s="13" t="n"/>
      <c r="H105" s="13" t="n"/>
      <c r="I105" s="15" t="n">
        <v>5.59</v>
      </c>
      <c r="J105" s="13" t="n"/>
      <c r="K105" s="13" t="n"/>
      <c r="L105" s="16">
        <f>IF(COUNT(E105:K105)=0,"",MIN(E105:K105))</f>
        <v/>
      </c>
      <c r="M105" s="15">
        <f>IF(COUNT(E105:K105)=0,"",LOOKUP(2,1/(E105:K105&lt;&gt;""),E105:K105))</f>
        <v/>
      </c>
      <c r="N105" s="17">
        <f>IF(L105="","",ROUND(L105*RESUMEN!$B$4,0))</f>
        <v/>
      </c>
      <c r="O105" s="18">
        <f>COUNT(E105:K105)</f>
        <v/>
      </c>
    </row>
    <row r="106">
      <c r="A106" s="13" t="inlineStr">
        <is>
          <t>22974391600461</t>
        </is>
      </c>
      <c r="B106" s="13" t="inlineStr">
        <is>
          <t>ARETES LV LADY GOLD</t>
        </is>
      </c>
      <c r="C106" s="13" t="inlineStr">
        <is>
          <t>Default Title</t>
        </is>
      </c>
      <c r="D106" s="14" t="inlineStr">
        <is>
          <t>brass</t>
        </is>
      </c>
      <c r="E106" s="13" t="n"/>
      <c r="F106" s="13" t="n"/>
      <c r="G106" s="13" t="n"/>
      <c r="H106" s="15" t="n">
        <v>6.89</v>
      </c>
      <c r="I106" s="13" t="n"/>
      <c r="J106" s="13" t="n"/>
      <c r="K106" s="13" t="n"/>
      <c r="L106" s="16">
        <f>IF(COUNT(E106:K106)=0,"",MIN(E106:K106))</f>
        <v/>
      </c>
      <c r="M106" s="15">
        <f>IF(COUNT(E106:K106)=0,"",LOOKUP(2,1/(E106:K106&lt;&gt;""),E106:K106))</f>
        <v/>
      </c>
      <c r="N106" s="17">
        <f>IF(L106="","",ROUND(L106*RESUMEN!$B$4,0))</f>
        <v/>
      </c>
      <c r="O106" s="18">
        <f>COUNT(E106:K106)</f>
        <v/>
      </c>
    </row>
    <row r="107">
      <c r="A107" s="13" t="inlineStr">
        <is>
          <t>665bb75c10369</t>
        </is>
      </c>
      <c r="B107" s="13" t="inlineStr">
        <is>
          <t>ARETES LV MY GOLD</t>
        </is>
      </c>
      <c r="C107" s="13" t="inlineStr">
        <is>
          <t>Regular</t>
        </is>
      </c>
      <c r="D107" s="14" t="inlineStr">
        <is>
          <t>brass</t>
        </is>
      </c>
      <c r="E107" s="13" t="n"/>
      <c r="F107" s="15" t="n">
        <v>5.59</v>
      </c>
      <c r="G107" s="13" t="n"/>
      <c r="H107" s="13" t="n"/>
      <c r="I107" s="13" t="n"/>
      <c r="J107" s="15" t="n">
        <v>6.29</v>
      </c>
      <c r="K107" s="13" t="n"/>
      <c r="L107" s="16">
        <f>IF(COUNT(E107:K107)=0,"",MIN(E107:K107))</f>
        <v/>
      </c>
      <c r="M107" s="15">
        <f>IF(COUNT(E107:K107)=0,"",LOOKUP(2,1/(E107:K107&lt;&gt;""),E107:K107))</f>
        <v/>
      </c>
      <c r="N107" s="17">
        <f>IF(L107="","",ROUND(L107*RESUMEN!$B$4,0))</f>
        <v/>
      </c>
      <c r="O107" s="18">
        <f>COUNT(E107:K107)</f>
        <v/>
      </c>
    </row>
    <row r="108">
      <c r="A108" s="13" t="inlineStr">
        <is>
          <t>665bb75a563b8</t>
        </is>
      </c>
      <c r="B108" s="13" t="inlineStr">
        <is>
          <t>ARETES MY LV SILVER</t>
        </is>
      </c>
      <c r="C108" s="13" t="inlineStr">
        <is>
          <t>Default Title</t>
        </is>
      </c>
      <c r="D108" s="14" t="inlineStr"/>
      <c r="E108" s="13" t="n"/>
      <c r="F108" s="13" t="n"/>
      <c r="G108" s="15" t="n">
        <v>5.59</v>
      </c>
      <c r="H108" s="13" t="n"/>
      <c r="I108" s="13" t="n"/>
      <c r="J108" s="13" t="n"/>
      <c r="K108" s="15" t="n">
        <v>6.29</v>
      </c>
      <c r="L108" s="16">
        <f>IF(COUNT(E108:K108)=0,"",MIN(E108:K108))</f>
        <v/>
      </c>
      <c r="M108" s="15">
        <f>IF(COUNT(E108:K108)=0,"",LOOKUP(2,1/(E108:K108&lt;&gt;""),E108:K108))</f>
        <v/>
      </c>
      <c r="N108" s="17">
        <f>IF(L108="","",ROUND(L108*RESUMEN!$B$4,0))</f>
        <v/>
      </c>
      <c r="O108" s="18">
        <f>COUNT(E108:K108)</f>
        <v/>
      </c>
    </row>
    <row r="109">
      <c r="A109" s="13" t="inlineStr">
        <is>
          <t>665bb4fe45383</t>
        </is>
      </c>
      <c r="B109" s="13" t="inlineStr">
        <is>
          <t>ARETES PERLA YSL</t>
        </is>
      </c>
      <c r="C109" s="13" t="inlineStr">
        <is>
          <t>Regular</t>
        </is>
      </c>
      <c r="D109" s="14" t="inlineStr">
        <is>
          <t>brass</t>
        </is>
      </c>
      <c r="E109" s="13" t="n"/>
      <c r="F109" s="15" t="n">
        <v>4.19</v>
      </c>
      <c r="G109" s="15" t="n">
        <v>5.59</v>
      </c>
      <c r="H109" s="13" t="n"/>
      <c r="I109" s="15" t="n">
        <v>4.19</v>
      </c>
      <c r="J109" s="15" t="n">
        <v>4.19</v>
      </c>
      <c r="K109" s="13" t="n"/>
      <c r="L109" s="16">
        <f>IF(COUNT(E109:K109)=0,"",MIN(E109:K109))</f>
        <v/>
      </c>
      <c r="M109" s="15">
        <f>IF(COUNT(E109:K109)=0,"",LOOKUP(2,1/(E109:K109&lt;&gt;""),E109:K109))</f>
        <v/>
      </c>
      <c r="N109" s="17">
        <f>IF(L109="","",ROUND(L109*RESUMEN!$B$4,0))</f>
        <v/>
      </c>
      <c r="O109" s="18">
        <f>COUNT(E109:K109)</f>
        <v/>
      </c>
    </row>
    <row r="110">
      <c r="A110" s="13" t="inlineStr">
        <is>
          <t>68431126327692</t>
        </is>
      </c>
      <c r="B110" s="13" t="inlineStr">
        <is>
          <t>ARETES PERLEÉ GOLD</t>
        </is>
      </c>
      <c r="C110" s="13" t="inlineStr">
        <is>
          <t>Default Title</t>
        </is>
      </c>
      <c r="D110" s="14" t="inlineStr">
        <is>
          <t>brass</t>
        </is>
      </c>
      <c r="E110" s="13" t="n"/>
      <c r="F110" s="13" t="n"/>
      <c r="G110" s="15" t="n">
        <v>9.99</v>
      </c>
      <c r="H110" s="13" t="n"/>
      <c r="I110" s="15" t="n">
        <v>9.99</v>
      </c>
      <c r="J110" s="13" t="n"/>
      <c r="K110" s="13" t="n"/>
      <c r="L110" s="16">
        <f>IF(COUNT(E110:K110)=0,"",MIN(E110:K110))</f>
        <v/>
      </c>
      <c r="M110" s="15">
        <f>IF(COUNT(E110:K110)=0,"",LOOKUP(2,1/(E110:K110&lt;&gt;""),E110:K110))</f>
        <v/>
      </c>
      <c r="N110" s="17">
        <f>IF(L110="","",ROUND(L110*RESUMEN!$B$4,0))</f>
        <v/>
      </c>
      <c r="O110" s="18">
        <f>COUNT(E110:K110)</f>
        <v/>
      </c>
    </row>
    <row r="111">
      <c r="A111" s="13" t="inlineStr">
        <is>
          <t>68431131886732</t>
        </is>
      </c>
      <c r="B111" s="13" t="inlineStr">
        <is>
          <t>ARETES PERLEÉ ROSEGOLD</t>
        </is>
      </c>
      <c r="C111" s="13" t="inlineStr">
        <is>
          <t>Default Title</t>
        </is>
      </c>
      <c r="D111" s="14" t="inlineStr">
        <is>
          <t>brass</t>
        </is>
      </c>
      <c r="E111" s="13" t="n"/>
      <c r="F111" s="13" t="n"/>
      <c r="G111" s="13" t="n"/>
      <c r="H111" s="13" t="n"/>
      <c r="I111" s="13" t="n"/>
      <c r="J111" s="15" t="n">
        <v>9.99</v>
      </c>
      <c r="K111" s="13" t="n"/>
      <c r="L111" s="16">
        <f>IF(COUNT(E111:K111)=0,"",MIN(E111:K111))</f>
        <v/>
      </c>
      <c r="M111" s="15">
        <f>IF(COUNT(E111:K111)=0,"",LOOKUP(2,1/(E111:K111&lt;&gt;""),E111:K111))</f>
        <v/>
      </c>
      <c r="N111" s="17">
        <f>IF(L111="","",ROUND(L111*RESUMEN!$B$4,0))</f>
        <v/>
      </c>
      <c r="O111" s="18">
        <f>COUNT(E111:K111)</f>
        <v/>
      </c>
    </row>
    <row r="112">
      <c r="A112" s="13" t="inlineStr">
        <is>
          <t>68431129697036</t>
        </is>
      </c>
      <c r="B112" s="13" t="inlineStr">
        <is>
          <t>ARETES PERLEÉ SILVER</t>
        </is>
      </c>
      <c r="C112" s="13" t="inlineStr">
        <is>
          <t>Default Title</t>
        </is>
      </c>
      <c r="D112" s="14" t="inlineStr"/>
      <c r="E112" s="13" t="n"/>
      <c r="F112" s="13" t="n"/>
      <c r="G112" s="13" t="n"/>
      <c r="H112" s="13" t="n"/>
      <c r="I112" s="13" t="n"/>
      <c r="J112" s="13" t="n"/>
      <c r="K112" s="15" t="n">
        <v>9.59</v>
      </c>
      <c r="L112" s="16">
        <f>IF(COUNT(E112:K112)=0,"",MIN(E112:K112))</f>
        <v/>
      </c>
      <c r="M112" s="15">
        <f>IF(COUNT(E112:K112)=0,"",LOOKUP(2,1/(E112:K112&lt;&gt;""),E112:K112))</f>
        <v/>
      </c>
      <c r="N112" s="17">
        <f>IF(L112="","",ROUND(L112*RESUMEN!$B$4,0))</f>
        <v/>
      </c>
      <c r="O112" s="18">
        <f>COUNT(E112:K112)</f>
        <v/>
      </c>
    </row>
    <row r="113">
      <c r="A113" s="13" t="inlineStr">
        <is>
          <t>648cc5b33a8a2</t>
        </is>
      </c>
      <c r="B113" s="13" t="inlineStr">
        <is>
          <t>ARETES SQUARE V GOLD</t>
        </is>
      </c>
      <c r="C113" s="13" t="inlineStr">
        <is>
          <t>Small 4cm</t>
        </is>
      </c>
      <c r="D113" s="14" t="inlineStr">
        <is>
          <t>brass</t>
        </is>
      </c>
      <c r="E113" s="15" t="n">
        <v>5.99</v>
      </c>
      <c r="F113" s="13" t="n"/>
      <c r="G113" s="13" t="n"/>
      <c r="H113" s="15" t="n">
        <v>6.59</v>
      </c>
      <c r="I113" s="13" t="n"/>
      <c r="J113" s="13" t="n"/>
      <c r="K113" s="13" t="n"/>
      <c r="L113" s="16">
        <f>IF(COUNT(E113:K113)=0,"",MIN(E113:K113))</f>
        <v/>
      </c>
      <c r="M113" s="15">
        <f>IF(COUNT(E113:K113)=0,"",LOOKUP(2,1/(E113:K113&lt;&gt;""),E113:K113))</f>
        <v/>
      </c>
      <c r="N113" s="17">
        <f>IF(L113="","",ROUND(L113*RESUMEN!$B$4,0))</f>
        <v/>
      </c>
      <c r="O113" s="18">
        <f>COUNT(E113:K113)</f>
        <v/>
      </c>
    </row>
    <row r="114">
      <c r="A114" s="13" t="inlineStr">
        <is>
          <t>68089822523405</t>
        </is>
      </c>
      <c r="B114" s="13" t="inlineStr">
        <is>
          <t>ARETES T BEAN SILVER ZIRCONIAS</t>
        </is>
      </c>
      <c r="C114" s="13" t="inlineStr">
        <is>
          <t>Default Title</t>
        </is>
      </c>
      <c r="D114" s="14" t="inlineStr">
        <is>
          <t>brass</t>
        </is>
      </c>
      <c r="E114" s="13" t="n"/>
      <c r="F114" s="13" t="n"/>
      <c r="G114" s="13" t="n"/>
      <c r="H114" s="13" t="n"/>
      <c r="I114" s="13" t="n"/>
      <c r="J114" s="15" t="n">
        <v>7.99</v>
      </c>
      <c r="K114" s="13" t="n"/>
      <c r="L114" s="16">
        <f>IF(COUNT(E114:K114)=0,"",MIN(E114:K114))</f>
        <v/>
      </c>
      <c r="M114" s="15">
        <f>IF(COUNT(E114:K114)=0,"",LOOKUP(2,1/(E114:K114&lt;&gt;""),E114:K114))</f>
        <v/>
      </c>
      <c r="N114" s="17">
        <f>IF(L114="","",ROUND(L114*RESUMEN!$B$4,0))</f>
        <v/>
      </c>
      <c r="O114" s="18">
        <f>COUNT(E114:K114)</f>
        <v/>
      </c>
    </row>
    <row r="115">
      <c r="A115" s="13" t="inlineStr">
        <is>
          <t>68089821833581</t>
        </is>
      </c>
      <c r="B115" s="13" t="inlineStr">
        <is>
          <t>ARETES T LOCK ALL GOLD</t>
        </is>
      </c>
      <c r="C115" s="13" t="inlineStr">
        <is>
          <t>Default Title</t>
        </is>
      </c>
      <c r="D115" s="14" t="inlineStr">
        <is>
          <t>brass</t>
        </is>
      </c>
      <c r="E115" s="13" t="n"/>
      <c r="F115" s="13" t="n"/>
      <c r="G115" s="13" t="n"/>
      <c r="H115" s="13" t="n"/>
      <c r="I115" s="13" t="n"/>
      <c r="J115" s="15" t="n">
        <v>7.69</v>
      </c>
      <c r="K115" s="13" t="n"/>
      <c r="L115" s="16">
        <f>IF(COUNT(E115:K115)=0,"",MIN(E115:K115))</f>
        <v/>
      </c>
      <c r="M115" s="15">
        <f>IF(COUNT(E115:K115)=0,"",LOOKUP(2,1/(E115:K115&lt;&gt;""),E115:K115))</f>
        <v/>
      </c>
      <c r="N115" s="17">
        <f>IF(L115="","",ROUND(L115*RESUMEN!$B$4,0))</f>
        <v/>
      </c>
      <c r="O115" s="18">
        <f>COUNT(E115:K115)</f>
        <v/>
      </c>
    </row>
    <row r="116">
      <c r="A116" s="13" t="inlineStr">
        <is>
          <t>68089822457869</t>
        </is>
      </c>
      <c r="B116" s="13" t="inlineStr">
        <is>
          <t>ARETES T LOCK GOLD HALF ZIRCONIAS</t>
        </is>
      </c>
      <c r="C116" s="13" t="inlineStr">
        <is>
          <t>Default Title</t>
        </is>
      </c>
      <c r="D116" s="14" t="inlineStr">
        <is>
          <t>brass</t>
        </is>
      </c>
      <c r="E116" s="13" t="n"/>
      <c r="F116" s="13" t="n"/>
      <c r="G116" s="13" t="n"/>
      <c r="H116" s="13" t="n"/>
      <c r="I116" s="13" t="n"/>
      <c r="J116" s="15" t="n">
        <v>8.19</v>
      </c>
      <c r="K116" s="13" t="n"/>
      <c r="L116" s="16">
        <f>IF(COUNT(E116:K116)=0,"",MIN(E116:K116))</f>
        <v/>
      </c>
      <c r="M116" s="15">
        <f>IF(COUNT(E116:K116)=0,"",LOOKUP(2,1/(E116:K116&lt;&gt;""),E116:K116))</f>
        <v/>
      </c>
      <c r="N116" s="17">
        <f>IF(L116="","",ROUND(L116*RESUMEN!$B$4,0))</f>
        <v/>
      </c>
      <c r="O116" s="18">
        <f>COUNT(E116:K116)</f>
        <v/>
      </c>
    </row>
    <row r="117">
      <c r="A117" s="13" t="inlineStr">
        <is>
          <t>68089822030189</t>
        </is>
      </c>
      <c r="B117" s="13" t="inlineStr">
        <is>
          <t>ARETES T LOCK ROSE GOLD</t>
        </is>
      </c>
      <c r="C117" s="13" t="inlineStr">
        <is>
          <t>Default Title</t>
        </is>
      </c>
      <c r="D117" s="14" t="inlineStr">
        <is>
          <t>brass</t>
        </is>
      </c>
      <c r="E117" s="13" t="n"/>
      <c r="F117" s="13" t="n"/>
      <c r="G117" s="13" t="n"/>
      <c r="H117" s="13" t="n"/>
      <c r="I117" s="13" t="n"/>
      <c r="J117" s="15" t="n">
        <v>7.69</v>
      </c>
      <c r="K117" s="13" t="n"/>
      <c r="L117" s="16">
        <f>IF(COUNT(E117:K117)=0,"",MIN(E117:K117))</f>
        <v/>
      </c>
      <c r="M117" s="15">
        <f>IF(COUNT(E117:K117)=0,"",LOOKUP(2,1/(E117:K117&lt;&gt;""),E117:K117))</f>
        <v/>
      </c>
      <c r="N117" s="17">
        <f>IF(L117="","",ROUND(L117*RESUMEN!$B$4,0))</f>
        <v/>
      </c>
      <c r="O117" s="18">
        <f>COUNT(E117:K117)</f>
        <v/>
      </c>
    </row>
    <row r="118">
      <c r="A118" s="13" t="inlineStr">
        <is>
          <t>68089822125101</t>
        </is>
      </c>
      <c r="B118" s="13" t="inlineStr">
        <is>
          <t>ARETES T LOCK ROSE GOLD HALF ZIRCONIAS</t>
        </is>
      </c>
      <c r="C118" s="13" t="inlineStr">
        <is>
          <t>Default Title</t>
        </is>
      </c>
      <c r="D118" s="14" t="inlineStr">
        <is>
          <t>brass</t>
        </is>
      </c>
      <c r="E118" s="13" t="n"/>
      <c r="F118" s="13" t="n"/>
      <c r="G118" s="13" t="n"/>
      <c r="H118" s="13" t="n"/>
      <c r="I118" s="13" t="n"/>
      <c r="J118" s="15" t="n">
        <v>8.19</v>
      </c>
      <c r="K118" s="13" t="n"/>
      <c r="L118" s="16">
        <f>IF(COUNT(E118:K118)=0,"",MIN(E118:K118))</f>
        <v/>
      </c>
      <c r="M118" s="15">
        <f>IF(COUNT(E118:K118)=0,"",LOOKUP(2,1/(E118:K118&lt;&gt;""),E118:K118))</f>
        <v/>
      </c>
      <c r="N118" s="17">
        <f>IF(L118="","",ROUND(L118*RESUMEN!$B$4,0))</f>
        <v/>
      </c>
      <c r="O118" s="18">
        <f>COUNT(E118:K118)</f>
        <v/>
      </c>
    </row>
    <row r="119">
      <c r="A119" s="13" t="inlineStr">
        <is>
          <t>68089822295725</t>
        </is>
      </c>
      <c r="B119" s="13" t="inlineStr">
        <is>
          <t>ARETES T LOCK SILVER</t>
        </is>
      </c>
      <c r="C119" s="13" t="inlineStr">
        <is>
          <t>Default Title</t>
        </is>
      </c>
      <c r="D119" s="14" t="inlineStr">
        <is>
          <t>brass</t>
        </is>
      </c>
      <c r="E119" s="13" t="n"/>
      <c r="F119" s="13" t="n"/>
      <c r="G119" s="13" t="n"/>
      <c r="H119" s="13" t="n"/>
      <c r="I119" s="13" t="n"/>
      <c r="J119" s="15" t="n">
        <v>7.69</v>
      </c>
      <c r="K119" s="13" t="n"/>
      <c r="L119" s="16">
        <f>IF(COUNT(E119:K119)=0,"",MIN(E119:K119))</f>
        <v/>
      </c>
      <c r="M119" s="15">
        <f>IF(COUNT(E119:K119)=0,"",LOOKUP(2,1/(E119:K119&lt;&gt;""),E119:K119))</f>
        <v/>
      </c>
      <c r="N119" s="17">
        <f>IF(L119="","",ROUND(L119*RESUMEN!$B$4,0))</f>
        <v/>
      </c>
      <c r="O119" s="18">
        <f>COUNT(E119:K119)</f>
        <v/>
      </c>
    </row>
    <row r="120">
      <c r="A120" s="13" t="inlineStr">
        <is>
          <t>68089822361261</t>
        </is>
      </c>
      <c r="B120" s="13" t="inlineStr">
        <is>
          <t>ARETES T LOCK SILVER HALF ZIRCONIAS</t>
        </is>
      </c>
      <c r="C120" s="13" t="inlineStr">
        <is>
          <t>Default Title</t>
        </is>
      </c>
      <c r="D120" s="14" t="inlineStr">
        <is>
          <t>brass</t>
        </is>
      </c>
      <c r="E120" s="13" t="n"/>
      <c r="F120" s="13" t="n"/>
      <c r="G120" s="13" t="n"/>
      <c r="H120" s="13" t="n"/>
      <c r="I120" s="13" t="n"/>
      <c r="J120" s="15" t="n">
        <v>8.19</v>
      </c>
      <c r="K120" s="13" t="n"/>
      <c r="L120" s="16">
        <f>IF(COUNT(E120:K120)=0,"",MIN(E120:K120))</f>
        <v/>
      </c>
      <c r="M120" s="15">
        <f>IF(COUNT(E120:K120)=0,"",LOOKUP(2,1/(E120:K120&lt;&gt;""),E120:K120))</f>
        <v/>
      </c>
      <c r="N120" s="17">
        <f>IF(L120="","",ROUND(L120*RESUMEN!$B$4,0))</f>
        <v/>
      </c>
      <c r="O120" s="18">
        <f>COUNT(E120:K120)</f>
        <v/>
      </c>
    </row>
    <row r="121">
      <c r="A121" s="13" t="inlineStr">
        <is>
          <t>665bb76e6de16</t>
        </is>
      </c>
      <c r="B121" s="13" t="inlineStr">
        <is>
          <t>ARETES TB GOLD</t>
        </is>
      </c>
      <c r="C121" s="13" t="inlineStr">
        <is>
          <t>Regular</t>
        </is>
      </c>
      <c r="D121" s="14" t="inlineStr">
        <is>
          <t>stainless steel</t>
        </is>
      </c>
      <c r="E121" s="13" t="n"/>
      <c r="F121" s="15" t="n">
        <v>2.79</v>
      </c>
      <c r="G121" s="15" t="n">
        <v>2.79</v>
      </c>
      <c r="H121" s="13" t="n"/>
      <c r="I121" s="15" t="n">
        <v>2.79</v>
      </c>
      <c r="J121" s="13" t="n"/>
      <c r="K121" s="13" t="n"/>
      <c r="L121" s="16">
        <f>IF(COUNT(E121:K121)=0,"",MIN(E121:K121))</f>
        <v/>
      </c>
      <c r="M121" s="15">
        <f>IF(COUNT(E121:K121)=0,"",LOOKUP(2,1/(E121:K121&lt;&gt;""),E121:K121))</f>
        <v/>
      </c>
      <c r="N121" s="17">
        <f>IF(L121="","",ROUND(L121*RESUMEN!$B$4,0))</f>
        <v/>
      </c>
      <c r="O121" s="18">
        <f>COUNT(E121:K121)</f>
        <v/>
      </c>
    </row>
    <row r="122">
      <c r="A122" s="13" t="inlineStr">
        <is>
          <t>665bb76fc6270</t>
        </is>
      </c>
      <c r="B122" s="13" t="inlineStr">
        <is>
          <t>ARETES TB SILVER</t>
        </is>
      </c>
      <c r="C122" s="13" t="inlineStr">
        <is>
          <t>1.5 cm</t>
        </is>
      </c>
      <c r="D122" s="14" t="inlineStr">
        <is>
          <t>stainless steel</t>
        </is>
      </c>
      <c r="E122" s="13" t="n"/>
      <c r="F122" s="15" t="n">
        <v>2.79</v>
      </c>
      <c r="G122" s="13" t="n"/>
      <c r="H122" s="13" t="n"/>
      <c r="I122" s="13" t="n"/>
      <c r="J122" s="15" t="n">
        <v>2.99</v>
      </c>
      <c r="K122" s="13" t="n"/>
      <c r="L122" s="16">
        <f>IF(COUNT(E122:K122)=0,"",MIN(E122:K122))</f>
        <v/>
      </c>
      <c r="M122" s="15">
        <f>IF(COUNT(E122:K122)=0,"",LOOKUP(2,1/(E122:K122&lt;&gt;""),E122:K122))</f>
        <v/>
      </c>
      <c r="N122" s="17">
        <f>IF(L122="","",ROUND(L122*RESUMEN!$B$4,0))</f>
        <v/>
      </c>
      <c r="O122" s="18">
        <f>COUNT(E122:K122)</f>
        <v/>
      </c>
    </row>
    <row r="123">
      <c r="A123" s="13" t="inlineStr">
        <is>
          <t>26487151166497</t>
        </is>
      </c>
      <c r="B123" s="13" t="inlineStr">
        <is>
          <t>ARETES TRINITY</t>
        </is>
      </c>
      <c r="C123" s="13" t="inlineStr">
        <is>
          <t>1 cm</t>
        </is>
      </c>
      <c r="D123" s="14" t="inlineStr"/>
      <c r="E123" s="13" t="n"/>
      <c r="F123" s="15" t="n">
        <v>4.99</v>
      </c>
      <c r="G123" s="13" t="n"/>
      <c r="H123" s="13" t="n"/>
      <c r="I123" s="13" t="n"/>
      <c r="J123" s="13" t="n"/>
      <c r="K123" s="13" t="n"/>
      <c r="L123" s="16">
        <f>IF(COUNT(E123:K123)=0,"",MIN(E123:K123))</f>
        <v/>
      </c>
      <c r="M123" s="15">
        <f>IF(COUNT(E123:K123)=0,"",LOOKUP(2,1/(E123:K123&lt;&gt;""),E123:K123))</f>
        <v/>
      </c>
      <c r="N123" s="17">
        <f>IF(L123="","",ROUND(L123*RESUMEN!$B$4,0))</f>
        <v/>
      </c>
      <c r="O123" s="18">
        <f>COUNT(E123:K123)</f>
        <v/>
      </c>
    </row>
    <row r="124">
      <c r="A124" s="13" t="inlineStr">
        <is>
          <t>64e78c9c19fe7</t>
        </is>
      </c>
      <c r="B124" s="13" t="inlineStr">
        <is>
          <t>ARETES V CON PERLA COLGANTE</t>
        </is>
      </c>
      <c r="C124" s="13" t="inlineStr">
        <is>
          <t>Regular</t>
        </is>
      </c>
      <c r="D124" s="14" t="inlineStr">
        <is>
          <t>brass</t>
        </is>
      </c>
      <c r="E124" s="13" t="n"/>
      <c r="F124" s="15" t="n">
        <v>6.59</v>
      </c>
      <c r="G124" s="15" t="n">
        <v>7.29</v>
      </c>
      <c r="H124" s="15" t="n">
        <v>6.89</v>
      </c>
      <c r="I124" s="15" t="n">
        <v>6.59</v>
      </c>
      <c r="J124" s="13" t="n"/>
      <c r="K124" s="13" t="n"/>
      <c r="L124" s="16">
        <f>IF(COUNT(E124:K124)=0,"",MIN(E124:K124))</f>
        <v/>
      </c>
      <c r="M124" s="15">
        <f>IF(COUNT(E124:K124)=0,"",LOOKUP(2,1/(E124:K124&lt;&gt;""),E124:K124))</f>
        <v/>
      </c>
      <c r="N124" s="17">
        <f>IF(L124="","",ROUND(L124*RESUMEN!$B$4,0))</f>
        <v/>
      </c>
      <c r="O124" s="18">
        <f>COUNT(E124:K124)</f>
        <v/>
      </c>
    </row>
    <row r="125">
      <c r="A125" s="13" t="inlineStr">
        <is>
          <t>654bdb2332905</t>
        </is>
      </c>
      <c r="B125" s="13" t="inlineStr">
        <is>
          <t>ARETES V GOLD</t>
        </is>
      </c>
      <c r="C125" s="13" t="inlineStr">
        <is>
          <t>Regular</t>
        </is>
      </c>
      <c r="D125" s="14" t="inlineStr">
        <is>
          <t>brass</t>
        </is>
      </c>
      <c r="E125" s="13" t="n"/>
      <c r="F125" s="15" t="n">
        <v>5.59</v>
      </c>
      <c r="G125" s="13" t="n"/>
      <c r="H125" s="15" t="n">
        <v>5.59</v>
      </c>
      <c r="I125" s="15" t="n">
        <v>5.59</v>
      </c>
      <c r="J125" s="15" t="n">
        <v>5.59</v>
      </c>
      <c r="K125" s="15" t="n">
        <v>5.59</v>
      </c>
      <c r="L125" s="16">
        <f>IF(COUNT(E125:K125)=0,"",MIN(E125:K125))</f>
        <v/>
      </c>
      <c r="M125" s="15">
        <f>IF(COUNT(E125:K125)=0,"",LOOKUP(2,1/(E125:K125&lt;&gt;""),E125:K125))</f>
        <v/>
      </c>
      <c r="N125" s="17">
        <f>IF(L125="","",ROUND(L125*RESUMEN!$B$4,0))</f>
        <v/>
      </c>
      <c r="O125" s="18">
        <f>COUNT(E125:K125)</f>
        <v/>
      </c>
    </row>
    <row r="126">
      <c r="A126" s="13" t="inlineStr">
        <is>
          <t>22974393035949</t>
        </is>
      </c>
      <c r="B126" s="13" t="inlineStr">
        <is>
          <t>ARETES V MEDUSA GOLD</t>
        </is>
      </c>
      <c r="C126" s="13" t="inlineStr">
        <is>
          <t>Default Title</t>
        </is>
      </c>
      <c r="D126" s="14" t="inlineStr">
        <is>
          <t>brass</t>
        </is>
      </c>
      <c r="E126" s="13" t="n"/>
      <c r="F126" s="13" t="n"/>
      <c r="G126" s="13" t="n"/>
      <c r="H126" s="15" t="n">
        <v>5.58</v>
      </c>
      <c r="I126" s="13" t="n"/>
      <c r="J126" s="15" t="n">
        <v>5.58</v>
      </c>
      <c r="K126" s="13" t="n"/>
      <c r="L126" s="16">
        <f>IF(COUNT(E126:K126)=0,"",MIN(E126:K126))</f>
        <v/>
      </c>
      <c r="M126" s="15">
        <f>IF(COUNT(E126:K126)=0,"",LOOKUP(2,1/(E126:K126&lt;&gt;""),E126:K126))</f>
        <v/>
      </c>
      <c r="N126" s="17">
        <f>IF(L126="","",ROUND(L126*RESUMEN!$B$4,0))</f>
        <v/>
      </c>
      <c r="O126" s="18">
        <f>COUNT(E126:K126)</f>
        <v/>
      </c>
    </row>
    <row r="127">
      <c r="A127" s="13" t="inlineStr">
        <is>
          <t>42981986795660</t>
        </is>
      </c>
      <c r="B127" s="13" t="inlineStr">
        <is>
          <t>ARETES V ROUND GOLD</t>
        </is>
      </c>
      <c r="C127" s="13" t="inlineStr">
        <is>
          <t>Regular</t>
        </is>
      </c>
      <c r="D127" s="14" t="inlineStr">
        <is>
          <t>brass</t>
        </is>
      </c>
      <c r="E127" s="13" t="n"/>
      <c r="F127" s="13" t="n"/>
      <c r="G127" s="13" t="n"/>
      <c r="H127" s="15" t="n">
        <v>6.29</v>
      </c>
      <c r="I127" s="15" t="n">
        <v>5.59</v>
      </c>
      <c r="J127" s="13" t="n"/>
      <c r="K127" s="15" t="n">
        <v>6.29</v>
      </c>
      <c r="L127" s="16">
        <f>IF(COUNT(E127:K127)=0,"",MIN(E127:K127))</f>
        <v/>
      </c>
      <c r="M127" s="15">
        <f>IF(COUNT(E127:K127)=0,"",LOOKUP(2,1/(E127:K127&lt;&gt;""),E127:K127))</f>
        <v/>
      </c>
      <c r="N127" s="17">
        <f>IF(L127="","",ROUND(L127*RESUMEN!$B$4,0))</f>
        <v/>
      </c>
      <c r="O127" s="18">
        <f>COUNT(E127:K127)</f>
        <v/>
      </c>
    </row>
    <row r="128">
      <c r="A128" s="13" t="inlineStr">
        <is>
          <t>665bb78f1ae43</t>
        </is>
      </c>
      <c r="B128" s="13" t="inlineStr">
        <is>
          <t>ARETES YSL GOLD CON ZIRCONIA</t>
        </is>
      </c>
      <c r="C128" s="13" t="inlineStr">
        <is>
          <t>Regular</t>
        </is>
      </c>
      <c r="D128" s="14" t="inlineStr">
        <is>
          <t>brass</t>
        </is>
      </c>
      <c r="E128" s="13" t="n"/>
      <c r="F128" s="15" t="n">
        <v>6.99</v>
      </c>
      <c r="G128" s="13" t="n"/>
      <c r="H128" s="15" t="n">
        <v>6.99</v>
      </c>
      <c r="I128" s="15" t="n">
        <v>6.99</v>
      </c>
      <c r="J128" s="15" t="n">
        <v>6.99</v>
      </c>
      <c r="K128" s="13" t="n"/>
      <c r="L128" s="16">
        <f>IF(COUNT(E128:K128)=0,"",MIN(E128:K128))</f>
        <v/>
      </c>
      <c r="M128" s="15">
        <f>IF(COUNT(E128:K128)=0,"",LOOKUP(2,1/(E128:K128&lt;&gt;""),E128:K128))</f>
        <v/>
      </c>
      <c r="N128" s="17">
        <f>IF(L128="","",ROUND(L128*RESUMEN!$B$4,0))</f>
        <v/>
      </c>
      <c r="O128" s="18">
        <f>COUNT(E128:K128)</f>
        <v/>
      </c>
    </row>
    <row r="129">
      <c r="A129" s="13" t="inlineStr">
        <is>
          <t>58980702950605</t>
        </is>
      </c>
      <c r="B129" s="13" t="inlineStr">
        <is>
          <t>ARRACADAS CC COCO HOOPS</t>
        </is>
      </c>
      <c r="C129" s="13" t="inlineStr">
        <is>
          <t>Default Title</t>
        </is>
      </c>
      <c r="D129" s="14" t="inlineStr">
        <is>
          <t>brass</t>
        </is>
      </c>
      <c r="E129" s="13" t="n"/>
      <c r="F129" s="13" t="n"/>
      <c r="G129" s="13" t="n"/>
      <c r="H129" s="13" t="n"/>
      <c r="I129" s="13" t="n"/>
      <c r="J129" s="15" t="n">
        <v>8.19</v>
      </c>
      <c r="K129" s="13" t="n"/>
      <c r="L129" s="16">
        <f>IF(COUNT(E129:K129)=0,"",MIN(E129:K129))</f>
        <v/>
      </c>
      <c r="M129" s="15">
        <f>IF(COUNT(E129:K129)=0,"",LOOKUP(2,1/(E129:K129&lt;&gt;""),E129:K129))</f>
        <v/>
      </c>
      <c r="N129" s="17">
        <f>IF(L129="","",ROUND(L129*RESUMEN!$B$4,0))</f>
        <v/>
      </c>
      <c r="O129" s="18">
        <f>COUNT(E129:K129)</f>
        <v/>
      </c>
    </row>
    <row r="130">
      <c r="A130" s="13" t="inlineStr">
        <is>
          <t>665bb79224272</t>
        </is>
      </c>
      <c r="B130" s="13" t="inlineStr">
        <is>
          <t>ARRACADAS CD GOLD BLACK</t>
        </is>
      </c>
      <c r="C130" s="13" t="inlineStr">
        <is>
          <t>Default Title</t>
        </is>
      </c>
      <c r="D130" s="14" t="inlineStr">
        <is>
          <t>brass</t>
        </is>
      </c>
      <c r="E130" s="15" t="n">
        <v>5.59</v>
      </c>
      <c r="F130" s="15" t="n">
        <v>6.99</v>
      </c>
      <c r="G130" s="15" t="n">
        <v>7.59</v>
      </c>
      <c r="H130" s="13" t="n"/>
      <c r="I130" s="15" t="n">
        <v>5.59</v>
      </c>
      <c r="J130" s="13" t="n"/>
      <c r="K130" s="13" t="n"/>
      <c r="L130" s="16">
        <f>IF(COUNT(E130:K130)=0,"",MIN(E130:K130))</f>
        <v/>
      </c>
      <c r="M130" s="15">
        <f>IF(COUNT(E130:K130)=0,"",LOOKUP(2,1/(E130:K130&lt;&gt;""),E130:K130))</f>
        <v/>
      </c>
      <c r="N130" s="17">
        <f>IF(L130="","",ROUND(L130*RESUMEN!$B$4,0))</f>
        <v/>
      </c>
      <c r="O130" s="18">
        <f>COUNT(E130:K130)</f>
        <v/>
      </c>
    </row>
    <row r="131">
      <c r="A131" s="13" t="inlineStr">
        <is>
          <t>22974392766477</t>
        </is>
      </c>
      <c r="B131" s="13" t="inlineStr">
        <is>
          <t>ARRACADAS CD NEW LOOK GOLD</t>
        </is>
      </c>
      <c r="C131" s="13" t="inlineStr">
        <is>
          <t>HIGH QUALITY</t>
        </is>
      </c>
      <c r="D131" s="14" t="inlineStr">
        <is>
          <t>brass</t>
        </is>
      </c>
      <c r="E131" s="13" t="n"/>
      <c r="F131" s="13" t="n"/>
      <c r="G131" s="13" t="n"/>
      <c r="H131" s="15" t="n">
        <v>6.29</v>
      </c>
      <c r="I131" s="13" t="n"/>
      <c r="J131" s="13" t="n"/>
      <c r="K131" s="13" t="n"/>
      <c r="L131" s="16">
        <f>IF(COUNT(E131:K131)=0,"",MIN(E131:K131))</f>
        <v/>
      </c>
      <c r="M131" s="15">
        <f>IF(COUNT(E131:K131)=0,"",LOOKUP(2,1/(E131:K131&lt;&gt;""),E131:K131))</f>
        <v/>
      </c>
      <c r="N131" s="17">
        <f>IF(L131="","",ROUND(L131*RESUMEN!$B$4,0))</f>
        <v/>
      </c>
      <c r="O131" s="18">
        <f>COUNT(E131:K131)</f>
        <v/>
      </c>
    </row>
    <row r="132">
      <c r="A132" s="13" t="inlineStr">
        <is>
          <t>654bdb241005f</t>
        </is>
      </c>
      <c r="B132" s="13" t="inlineStr">
        <is>
          <t>ARRACADAS GC GOLD</t>
        </is>
      </c>
      <c r="C132" s="13" t="inlineStr">
        <is>
          <t>Default Title</t>
        </is>
      </c>
      <c r="D132" s="14" t="inlineStr">
        <is>
          <t>brass</t>
        </is>
      </c>
      <c r="E132" s="15" t="n">
        <v>6.39</v>
      </c>
      <c r="F132" s="13" t="n"/>
      <c r="G132" s="13" t="n"/>
      <c r="H132" s="13" t="n"/>
      <c r="I132" s="15" t="n">
        <v>6.29</v>
      </c>
      <c r="J132" s="13" t="n"/>
      <c r="K132" s="13" t="n"/>
      <c r="L132" s="16">
        <f>IF(COUNT(E132:K132)=0,"",MIN(E132:K132))</f>
        <v/>
      </c>
      <c r="M132" s="15">
        <f>IF(COUNT(E132:K132)=0,"",LOOKUP(2,1/(E132:K132&lt;&gt;""),E132:K132))</f>
        <v/>
      </c>
      <c r="N132" s="17">
        <f>IF(L132="","",ROUND(L132*RESUMEN!$B$4,0))</f>
        <v/>
      </c>
      <c r="O132" s="18">
        <f>COUNT(E132:K132)</f>
        <v/>
      </c>
    </row>
    <row r="133">
      <c r="A133" s="13" t="inlineStr">
        <is>
          <t>42951540310156</t>
        </is>
      </c>
      <c r="B133" s="13" t="inlineStr">
        <is>
          <t>ARRACADAS GC SILVER</t>
        </is>
      </c>
      <c r="C133" s="13" t="inlineStr">
        <is>
          <t>Default Title</t>
        </is>
      </c>
      <c r="D133" s="14" t="inlineStr">
        <is>
          <t>brass</t>
        </is>
      </c>
      <c r="E133" s="13" t="n"/>
      <c r="F133" s="15" t="n">
        <v>6.59</v>
      </c>
      <c r="G133" s="13" t="n"/>
      <c r="H133" s="13" t="n"/>
      <c r="I133" s="13" t="n"/>
      <c r="J133" s="15" t="n">
        <v>6.29</v>
      </c>
      <c r="K133" s="13" t="n"/>
      <c r="L133" s="16">
        <f>IF(COUNT(E133:K133)=0,"",MIN(E133:K133))</f>
        <v/>
      </c>
      <c r="M133" s="15">
        <f>IF(COUNT(E133:K133)=0,"",LOOKUP(2,1/(E133:K133&lt;&gt;""),E133:K133))</f>
        <v/>
      </c>
      <c r="N133" s="17">
        <f>IF(L133="","",ROUND(L133*RESUMEN!$B$4,0))</f>
        <v/>
      </c>
      <c r="O133" s="18">
        <f>COUNT(E133:K133)</f>
        <v/>
      </c>
    </row>
    <row r="134">
      <c r="A134" s="13" t="inlineStr">
        <is>
          <t>22974392487981</t>
        </is>
      </c>
      <c r="B134" s="13" t="inlineStr">
        <is>
          <t>ARRACADAS GG BLONDIE GOLD</t>
        </is>
      </c>
      <c r="C134" s="13" t="inlineStr">
        <is>
          <t>Default Title</t>
        </is>
      </c>
      <c r="D134" s="14" t="inlineStr">
        <is>
          <t>brass</t>
        </is>
      </c>
      <c r="E134" s="13" t="n"/>
      <c r="F134" s="13" t="n"/>
      <c r="G134" s="13" t="n"/>
      <c r="H134" s="15" t="n">
        <v>5.59</v>
      </c>
      <c r="I134" s="13" t="n"/>
      <c r="J134" s="15" t="n">
        <v>5.99</v>
      </c>
      <c r="K134" s="13" t="n"/>
      <c r="L134" s="16">
        <f>IF(COUNT(E134:K134)=0,"",MIN(E134:K134))</f>
        <v/>
      </c>
      <c r="M134" s="15">
        <f>IF(COUNT(E134:K134)=0,"",LOOKUP(2,1/(E134:K134&lt;&gt;""),E134:K134))</f>
        <v/>
      </c>
      <c r="N134" s="17">
        <f>IF(L134="","",ROUND(L134*RESUMEN!$B$4,0))</f>
        <v/>
      </c>
      <c r="O134" s="18">
        <f>COUNT(E134:K134)</f>
        <v/>
      </c>
    </row>
    <row r="135">
      <c r="A135" s="13" t="inlineStr">
        <is>
          <t>86072001212237</t>
        </is>
      </c>
      <c r="B135" s="13" t="inlineStr">
        <is>
          <t>ARRACADAS MM APPLE PEARL</t>
        </is>
      </c>
      <c r="C135" s="13" t="inlineStr"/>
      <c r="D135" s="14" t="inlineStr"/>
      <c r="E135" s="13" t="n"/>
      <c r="F135" s="13" t="n"/>
      <c r="G135" s="13" t="n"/>
      <c r="H135" s="13" t="n"/>
      <c r="I135" s="13" t="n"/>
      <c r="J135" s="13" t="n"/>
      <c r="K135" s="15" t="n">
        <v>7.29</v>
      </c>
      <c r="L135" s="16">
        <f>IF(COUNT(E135:K135)=0,"",MIN(E135:K135))</f>
        <v/>
      </c>
      <c r="M135" s="15">
        <f>IF(COUNT(E135:K135)=0,"",LOOKUP(2,1/(E135:K135&lt;&gt;""),E135:K135))</f>
        <v/>
      </c>
      <c r="N135" s="17">
        <f>IF(L135="","",ROUND(L135*RESUMEN!$B$4,0))</f>
        <v/>
      </c>
      <c r="O135" s="18">
        <f>COUNT(E135:K135)</f>
        <v/>
      </c>
    </row>
    <row r="136">
      <c r="A136" s="13" t="inlineStr">
        <is>
          <t>665bb79776b6f-1</t>
        </is>
      </c>
      <c r="B136" s="13" t="inlineStr">
        <is>
          <t>ARRACADAS NANOGRAMA LV</t>
        </is>
      </c>
      <c r="C136" s="13" t="inlineStr">
        <is>
          <t>Regular</t>
        </is>
      </c>
      <c r="D136" s="14" t="inlineStr">
        <is>
          <t>brass</t>
        </is>
      </c>
      <c r="E136" s="13" t="n"/>
      <c r="F136" s="15" t="n">
        <v>4.99</v>
      </c>
      <c r="G136" s="13" t="n"/>
      <c r="H136" s="15" t="n">
        <v>5.59</v>
      </c>
      <c r="I136" s="13" t="n"/>
      <c r="J136" s="15" t="n">
        <v>5.59</v>
      </c>
      <c r="K136" s="13" t="n"/>
      <c r="L136" s="16">
        <f>IF(COUNT(E136:K136)=0,"",MIN(E136:K136))</f>
        <v/>
      </c>
      <c r="M136" s="15">
        <f>IF(COUNT(E136:K136)=0,"",LOOKUP(2,1/(E136:K136&lt;&gt;""),E136:K136))</f>
        <v/>
      </c>
      <c r="N136" s="17">
        <f>IF(L136="","",ROUND(L136*RESUMEN!$B$4,0))</f>
        <v/>
      </c>
      <c r="O136" s="18">
        <f>COUNT(E136:K136)</f>
        <v/>
      </c>
    </row>
    <row r="137">
      <c r="A137" s="13" t="inlineStr">
        <is>
          <t>68089821931885</t>
        </is>
      </c>
      <c r="B137" s="13" t="inlineStr">
        <is>
          <t>ARRACADAS SIXTEEN STONE</t>
        </is>
      </c>
      <c r="C137" s="13" t="inlineStr">
        <is>
          <t>Default Title</t>
        </is>
      </c>
      <c r="D137" s="14" t="inlineStr">
        <is>
          <t>brass</t>
        </is>
      </c>
      <c r="E137" s="13" t="n"/>
      <c r="F137" s="13" t="n"/>
      <c r="G137" s="13" t="n"/>
      <c r="H137" s="13" t="n"/>
      <c r="I137" s="13" t="n"/>
      <c r="J137" s="15" t="n">
        <v>6.59</v>
      </c>
      <c r="K137" s="13" t="n"/>
      <c r="L137" s="16">
        <f>IF(COUNT(E137:K137)=0,"",MIN(E137:K137))</f>
        <v/>
      </c>
      <c r="M137" s="15">
        <f>IF(COUNT(E137:K137)=0,"",LOOKUP(2,1/(E137:K137&lt;&gt;""),E137:K137))</f>
        <v/>
      </c>
      <c r="N137" s="17">
        <f>IF(L137="","",ROUND(L137*RESUMEN!$B$4,0))</f>
        <v/>
      </c>
      <c r="O137" s="18">
        <f>COUNT(E137:K137)</f>
        <v/>
      </c>
    </row>
    <row r="138">
      <c r="A138" s="13" t="inlineStr">
        <is>
          <t>43047204749452</t>
        </is>
      </c>
      <c r="B138" s="13" t="inlineStr">
        <is>
          <t>ARRACADAS T CORAZÓN</t>
        </is>
      </c>
      <c r="C138" s="13" t="inlineStr">
        <is>
          <t>Regular</t>
        </is>
      </c>
      <c r="D138" s="14" t="inlineStr">
        <is>
          <t>brass</t>
        </is>
      </c>
      <c r="E138" s="15" t="n">
        <v>4.29</v>
      </c>
      <c r="F138" s="13" t="n"/>
      <c r="G138" s="15" t="n">
        <v>5.59</v>
      </c>
      <c r="H138" s="13" t="n"/>
      <c r="I138" s="15" t="n">
        <v>5.59</v>
      </c>
      <c r="J138" s="13" t="n"/>
      <c r="K138" s="13" t="n"/>
      <c r="L138" s="16">
        <f>IF(COUNT(E138:K138)=0,"",MIN(E138:K138))</f>
        <v/>
      </c>
      <c r="M138" s="15">
        <f>IF(COUNT(E138:K138)=0,"",LOOKUP(2,1/(E138:K138&lt;&gt;""),E138:K138))</f>
        <v/>
      </c>
      <c r="N138" s="17">
        <f>IF(L138="","",ROUND(L138*RESUMEN!$B$4,0))</f>
        <v/>
      </c>
      <c r="O138" s="18">
        <f>COUNT(E138:K138)</f>
        <v/>
      </c>
    </row>
    <row r="139">
      <c r="A139" s="13" t="inlineStr">
        <is>
          <t>665bb79d85c5b-1</t>
        </is>
      </c>
      <c r="B139" s="13" t="inlineStr">
        <is>
          <t>ARRACADAS VC</t>
        </is>
      </c>
      <c r="C139" s="13" t="inlineStr">
        <is>
          <t>Regular</t>
        </is>
      </c>
      <c r="D139" s="14" t="inlineStr">
        <is>
          <t>brass</t>
        </is>
      </c>
      <c r="E139" s="13" t="n"/>
      <c r="F139" s="13" t="n"/>
      <c r="G139" s="13" t="n"/>
      <c r="H139" s="13" t="n"/>
      <c r="I139" s="15" t="n">
        <v>5.59</v>
      </c>
      <c r="J139" s="13" t="n"/>
      <c r="K139" s="13" t="n"/>
      <c r="L139" s="16">
        <f>IF(COUNT(E139:K139)=0,"",MIN(E139:K139))</f>
        <v/>
      </c>
      <c r="M139" s="15">
        <f>IF(COUNT(E139:K139)=0,"",LOOKUP(2,1/(E139:K139&lt;&gt;""),E139:K139))</f>
        <v/>
      </c>
      <c r="N139" s="17">
        <f>IF(L139="","",ROUND(L139*RESUMEN!$B$4,0))</f>
        <v/>
      </c>
      <c r="O139" s="18">
        <f>COUNT(E139:K139)</f>
        <v/>
      </c>
    </row>
    <row r="140">
      <c r="A140" s="13" t="inlineStr">
        <is>
          <t>58980702753997</t>
        </is>
      </c>
      <c r="B140" s="13" t="inlineStr">
        <is>
          <t>BRAZALETE CC COCO CRUSH GOLD ZIRCONIAS</t>
        </is>
      </c>
      <c r="C140" s="13" t="inlineStr">
        <is>
          <t>Default Title</t>
        </is>
      </c>
      <c r="D140" s="14" t="inlineStr">
        <is>
          <t>brass</t>
        </is>
      </c>
      <c r="E140" s="13" t="n"/>
      <c r="F140" s="13" t="n"/>
      <c r="G140" s="13" t="n"/>
      <c r="H140" s="13" t="n"/>
      <c r="I140" s="13" t="n"/>
      <c r="J140" s="15" t="n">
        <v>21.99</v>
      </c>
      <c r="K140" s="13" t="n"/>
      <c r="L140" s="16">
        <f>IF(COUNT(E140:K140)=0,"",MIN(E140:K140))</f>
        <v/>
      </c>
      <c r="M140" s="15">
        <f>IF(COUNT(E140:K140)=0,"",LOOKUP(2,1/(E140:K140&lt;&gt;""),E140:K140))</f>
        <v/>
      </c>
      <c r="N140" s="17">
        <f>IF(L140="","",ROUND(L140*RESUMEN!$B$4,0))</f>
        <v/>
      </c>
      <c r="O140" s="18">
        <f>COUNT(E140:K140)</f>
        <v/>
      </c>
    </row>
    <row r="141">
      <c r="A141" s="13" t="inlineStr">
        <is>
          <t>58980702657389</t>
        </is>
      </c>
      <c r="B141" s="13" t="inlineStr">
        <is>
          <t>BRAZALETE CC COCO CRUSH SILVER</t>
        </is>
      </c>
      <c r="C141" s="13" t="inlineStr">
        <is>
          <t>Default Title</t>
        </is>
      </c>
      <c r="D141" s="14" t="inlineStr">
        <is>
          <t>brass</t>
        </is>
      </c>
      <c r="E141" s="13" t="n"/>
      <c r="F141" s="13" t="n"/>
      <c r="G141" s="13" t="n"/>
      <c r="H141" s="13" t="n"/>
      <c r="I141" s="13" t="n"/>
      <c r="J141" s="15" t="n">
        <v>12.59</v>
      </c>
      <c r="K141" s="13" t="n"/>
      <c r="L141" s="16">
        <f>IF(COUNT(E141:K141)=0,"",MIN(E141:K141))</f>
        <v/>
      </c>
      <c r="M141" s="15">
        <f>IF(COUNT(E141:K141)=0,"",LOOKUP(2,1/(E141:K141&lt;&gt;""),E141:K141))</f>
        <v/>
      </c>
      <c r="N141" s="17">
        <f>IF(L141="","",ROUND(L141*RESUMEN!$B$4,0))</f>
        <v/>
      </c>
      <c r="O141" s="18">
        <f>COUNT(E141:K141)</f>
        <v/>
      </c>
    </row>
    <row r="142">
      <c r="A142" s="13" t="inlineStr">
        <is>
          <t>22974392136013</t>
        </is>
      </c>
      <c r="B142" s="13" t="inlineStr">
        <is>
          <t>BRAZALETE CC WHITE LOGOS</t>
        </is>
      </c>
      <c r="C142" s="13" t="inlineStr">
        <is>
          <t>Default Title</t>
        </is>
      </c>
      <c r="D142" s="14" t="inlineStr">
        <is>
          <t>brass</t>
        </is>
      </c>
      <c r="E142" s="13" t="n"/>
      <c r="F142" s="13" t="n"/>
      <c r="G142" s="13" t="n"/>
      <c r="H142" s="15" t="n">
        <v>7.29</v>
      </c>
      <c r="I142" s="13" t="n"/>
      <c r="J142" s="13" t="n"/>
      <c r="K142" s="15" t="n">
        <v>6.99</v>
      </c>
      <c r="L142" s="16">
        <f>IF(COUNT(E142:K142)=0,"",MIN(E142:K142))</f>
        <v/>
      </c>
      <c r="M142" s="15">
        <f>IF(COUNT(E142:K142)=0,"",LOOKUP(2,1/(E142:K142&lt;&gt;""),E142:K142))</f>
        <v/>
      </c>
      <c r="N142" s="17">
        <f>IF(L142="","",ROUND(L142*RESUMEN!$B$4,0))</f>
        <v/>
      </c>
      <c r="O142" s="18">
        <f>COUNT(E142:K142)</f>
        <v/>
      </c>
    </row>
    <row r="143">
      <c r="A143" s="13" t="inlineStr">
        <is>
          <t>22974392600397</t>
        </is>
      </c>
      <c r="B143" s="13" t="inlineStr">
        <is>
          <t>BRAZALETE CD PETIT MULTI GOLD</t>
        </is>
      </c>
      <c r="C143" s="13" t="inlineStr">
        <is>
          <t>Default Title</t>
        </is>
      </c>
      <c r="D143" s="14" t="inlineStr">
        <is>
          <t>brass</t>
        </is>
      </c>
      <c r="E143" s="13" t="n"/>
      <c r="F143" s="13" t="n"/>
      <c r="G143" s="13" t="n"/>
      <c r="H143" s="15" t="n">
        <v>7.79</v>
      </c>
      <c r="I143" s="13" t="n"/>
      <c r="J143" s="13" t="n"/>
      <c r="K143" s="15" t="n">
        <v>7.99</v>
      </c>
      <c r="L143" s="16">
        <f>IF(COUNT(E143:K143)=0,"",MIN(E143:K143))</f>
        <v/>
      </c>
      <c r="M143" s="15">
        <f>IF(COUNT(E143:K143)=0,"",LOOKUP(2,1/(E143:K143&lt;&gt;""),E143:K143))</f>
        <v/>
      </c>
      <c r="N143" s="17">
        <f>IF(L143="","",ROUND(L143*RESUMEN!$B$4,0))</f>
        <v/>
      </c>
      <c r="O143" s="18">
        <f>COUNT(E143:K143)</f>
        <v/>
      </c>
    </row>
    <row r="144">
      <c r="A144" s="13" t="inlineStr">
        <is>
          <t>64e78ca1ee3ac</t>
        </is>
      </c>
      <c r="B144" s="13" t="inlineStr">
        <is>
          <t>BRAZALETE CD WHITE</t>
        </is>
      </c>
      <c r="C144" s="13" t="inlineStr">
        <is>
          <t>AJUSTABLE</t>
        </is>
      </c>
      <c r="D144" s="14" t="inlineStr">
        <is>
          <t>brass</t>
        </is>
      </c>
      <c r="E144" s="13" t="n"/>
      <c r="F144" s="15" t="n">
        <v>6.59</v>
      </c>
      <c r="G144" s="13" t="n"/>
      <c r="H144" s="13" t="n"/>
      <c r="I144" s="15" t="n">
        <v>6.59</v>
      </c>
      <c r="J144" s="15" t="n">
        <v>6.59</v>
      </c>
      <c r="K144" s="13" t="n"/>
      <c r="L144" s="16">
        <f>IF(COUNT(E144:K144)=0,"",MIN(E144:K144))</f>
        <v/>
      </c>
      <c r="M144" s="15">
        <f>IF(COUNT(E144:K144)=0,"",LOOKUP(2,1/(E144:K144&lt;&gt;""),E144:K144))</f>
        <v/>
      </c>
      <c r="N144" s="17">
        <f>IF(L144="","",ROUND(L144*RESUMEN!$B$4,0))</f>
        <v/>
      </c>
      <c r="O144" s="18">
        <f>COUNT(E144:K144)</f>
        <v/>
      </c>
    </row>
    <row r="145">
      <c r="A145" s="13" t="inlineStr">
        <is>
          <t>22974392394765</t>
        </is>
      </c>
      <c r="B145" s="13" t="inlineStr">
        <is>
          <t>BRAZALETE GG HORSEBIT GOLD</t>
        </is>
      </c>
      <c r="C145" s="13" t="inlineStr">
        <is>
          <t>Default Title</t>
        </is>
      </c>
      <c r="D145" s="14" t="inlineStr">
        <is>
          <t>brass</t>
        </is>
      </c>
      <c r="E145" s="13" t="n"/>
      <c r="F145" s="13" t="n"/>
      <c r="G145" s="13" t="n"/>
      <c r="H145" s="15" t="n">
        <v>5.59</v>
      </c>
      <c r="I145" s="13" t="n"/>
      <c r="J145" s="13" t="n"/>
      <c r="K145" s="13" t="n"/>
      <c r="L145" s="16">
        <f>IF(COUNT(E145:K145)=0,"",MIN(E145:K145))</f>
        <v/>
      </c>
      <c r="M145" s="15">
        <f>IF(COUNT(E145:K145)=0,"",LOOKUP(2,1/(E145:K145&lt;&gt;""),E145:K145))</f>
        <v/>
      </c>
      <c r="N145" s="17">
        <f>IF(L145="","",ROUND(L145*RESUMEN!$B$4,0))</f>
        <v/>
      </c>
      <c r="O145" s="18">
        <f>COUNT(E145:K145)</f>
        <v/>
      </c>
    </row>
    <row r="146">
      <c r="A146" s="13" t="inlineStr">
        <is>
          <t>22974391456973</t>
        </is>
      </c>
      <c r="B146" s="13" t="inlineStr">
        <is>
          <t>BRAZALETE LV EMPREINTE SILVER</t>
        </is>
      </c>
      <c r="C146" s="13" t="inlineStr">
        <is>
          <t>Default Title</t>
        </is>
      </c>
      <c r="D146" s="14" t="inlineStr">
        <is>
          <t>stainless steel</t>
        </is>
      </c>
      <c r="E146" s="13" t="n"/>
      <c r="F146" s="13" t="n"/>
      <c r="G146" s="13" t="n"/>
      <c r="H146" s="15" t="n">
        <v>5.99</v>
      </c>
      <c r="I146" s="13" t="n"/>
      <c r="J146" s="13" t="n"/>
      <c r="K146" s="15" t="n">
        <v>8.59</v>
      </c>
      <c r="L146" s="16">
        <f>IF(COUNT(E146:K146)=0,"",MIN(E146:K146))</f>
        <v/>
      </c>
      <c r="M146" s="15">
        <f>IF(COUNT(E146:K146)=0,"",LOOKUP(2,1/(E146:K146&lt;&gt;""),E146:K146))</f>
        <v/>
      </c>
      <c r="N146" s="17">
        <f>IF(L146="","",ROUND(L146*RESUMEN!$B$4,0))</f>
        <v/>
      </c>
      <c r="O146" s="18">
        <f>COUNT(E146:K146)</f>
        <v/>
      </c>
    </row>
    <row r="147">
      <c r="A147" s="13" t="inlineStr">
        <is>
          <t>68089822656173</t>
        </is>
      </c>
      <c r="B147" s="13" t="inlineStr">
        <is>
          <t>BRAZALETE T 1837</t>
        </is>
      </c>
      <c r="C147" s="13" t="inlineStr">
        <is>
          <t>Default Title</t>
        </is>
      </c>
      <c r="D147" s="14" t="inlineStr">
        <is>
          <t>stainless steel</t>
        </is>
      </c>
      <c r="E147" s="13" t="n"/>
      <c r="F147" s="13" t="n"/>
      <c r="G147" s="13" t="n"/>
      <c r="H147" s="13" t="n"/>
      <c r="I147" s="13" t="n"/>
      <c r="J147" s="15" t="n">
        <v>7.99</v>
      </c>
      <c r="K147" s="13" t="n"/>
      <c r="L147" s="16">
        <f>IF(COUNT(E147:K147)=0,"",MIN(E147:K147))</f>
        <v/>
      </c>
      <c r="M147" s="15">
        <f>IF(COUNT(E147:K147)=0,"",LOOKUP(2,1/(E147:K147&lt;&gt;""),E147:K147))</f>
        <v/>
      </c>
      <c r="N147" s="17">
        <f>IF(L147="","",ROUND(L147*RESUMEN!$B$4,0))</f>
        <v/>
      </c>
      <c r="O147" s="18">
        <f>COUNT(E147:K147)</f>
        <v/>
      </c>
    </row>
    <row r="148">
      <c r="A148" s="13" t="inlineStr">
        <is>
          <t>68089822787245</t>
        </is>
      </c>
      <c r="B148" s="13" t="inlineStr">
        <is>
          <t>BRAZALETE T ENTRELAZADOS</t>
        </is>
      </c>
      <c r="C148" s="13" t="inlineStr">
        <is>
          <t>Default Title</t>
        </is>
      </c>
      <c r="D148" s="14" t="inlineStr">
        <is>
          <t>brass</t>
        </is>
      </c>
      <c r="E148" s="13" t="n"/>
      <c r="F148" s="13" t="n"/>
      <c r="G148" s="13" t="n"/>
      <c r="H148" s="13" t="n"/>
      <c r="I148" s="13" t="n"/>
      <c r="J148" s="15" t="n">
        <v>7.99</v>
      </c>
      <c r="K148" s="13" t="n"/>
      <c r="L148" s="16">
        <f>IF(COUNT(E148:K148)=0,"",MIN(E148:K148))</f>
        <v/>
      </c>
      <c r="M148" s="15">
        <f>IF(COUNT(E148:K148)=0,"",LOOKUP(2,1/(E148:K148&lt;&gt;""),E148:K148))</f>
        <v/>
      </c>
      <c r="N148" s="17">
        <f>IF(L148="","",ROUND(L148*RESUMEN!$B$4,0))</f>
        <v/>
      </c>
      <c r="O148" s="18">
        <f>COUNT(E148:K148)</f>
        <v/>
      </c>
    </row>
    <row r="149">
      <c r="A149" s="13" t="inlineStr">
        <is>
          <t>68089822914925</t>
        </is>
      </c>
      <c r="B149" s="13" t="inlineStr">
        <is>
          <t>BRAZALETE T PERLAS TITAN</t>
        </is>
      </c>
      <c r="C149" s="13" t="inlineStr">
        <is>
          <t>Default Title</t>
        </is>
      </c>
      <c r="D149" s="14" t="inlineStr">
        <is>
          <t>brass</t>
        </is>
      </c>
      <c r="E149" s="13" t="n"/>
      <c r="F149" s="13" t="n"/>
      <c r="G149" s="13" t="n"/>
      <c r="H149" s="13" t="n"/>
      <c r="I149" s="13" t="n"/>
      <c r="J149" s="15" t="n">
        <v>8.59</v>
      </c>
      <c r="K149" s="13" t="n"/>
      <c r="L149" s="16">
        <f>IF(COUNT(E149:K149)=0,"",MIN(E149:K149))</f>
        <v/>
      </c>
      <c r="M149" s="15">
        <f>IF(COUNT(E149:K149)=0,"",LOOKUP(2,1/(E149:K149&lt;&gt;""),E149:K149))</f>
        <v/>
      </c>
      <c r="N149" s="17">
        <f>IF(L149="","",ROUND(L149*RESUMEN!$B$4,0))</f>
        <v/>
      </c>
      <c r="O149" s="18">
        <f>COUNT(E149:K149)</f>
        <v/>
      </c>
    </row>
    <row r="150">
      <c r="A150" s="13" t="inlineStr">
        <is>
          <t>22974393293549</t>
        </is>
      </c>
      <c r="B150" s="13" t="inlineStr">
        <is>
          <t>BRAZALETE V B.ZERO1 ALL GOLD</t>
        </is>
      </c>
      <c r="C150" s="13" t="inlineStr">
        <is>
          <t>Default Title</t>
        </is>
      </c>
      <c r="D150" s="14" t="inlineStr">
        <is>
          <t>stainless steel</t>
        </is>
      </c>
      <c r="E150" s="13" t="n"/>
      <c r="F150" s="13" t="n"/>
      <c r="G150" s="13" t="n"/>
      <c r="H150" s="15" t="n">
        <v>5.59</v>
      </c>
      <c r="I150" s="13" t="n"/>
      <c r="J150" s="13" t="n"/>
      <c r="K150" s="13" t="n"/>
      <c r="L150" s="16">
        <f>IF(COUNT(E150:K150)=0,"",MIN(E150:K150))</f>
        <v/>
      </c>
      <c r="M150" s="15">
        <f>IF(COUNT(E150:K150)=0,"",LOOKUP(2,1/(E150:K150&lt;&gt;""),E150:K150))</f>
        <v/>
      </c>
      <c r="N150" s="17">
        <f>IF(L150="","",ROUND(L150*RESUMEN!$B$4,0))</f>
        <v/>
      </c>
      <c r="O150" s="18">
        <f>COUNT(E150:K150)</f>
        <v/>
      </c>
    </row>
    <row r="151">
      <c r="A151" s="13" t="inlineStr">
        <is>
          <t>22974393134797</t>
        </is>
      </c>
      <c r="B151" s="13" t="inlineStr">
        <is>
          <t>BRAZALETE V B.ZERO1 ROSE GOLD</t>
        </is>
      </c>
      <c r="C151" s="13" t="inlineStr">
        <is>
          <t>Default Title</t>
        </is>
      </c>
      <c r="D151" s="14" t="inlineStr">
        <is>
          <t>stainless steel</t>
        </is>
      </c>
      <c r="E151" s="13" t="n"/>
      <c r="F151" s="13" t="n"/>
      <c r="G151" s="13" t="n"/>
      <c r="H151" s="15" t="n">
        <v>5.99</v>
      </c>
      <c r="I151" s="13" t="n"/>
      <c r="J151" s="13" t="n"/>
      <c r="K151" s="13" t="n"/>
      <c r="L151" s="16">
        <f>IF(COUNT(E151:K151)=0,"",MIN(E151:K151))</f>
        <v/>
      </c>
      <c r="M151" s="15">
        <f>IF(COUNT(E151:K151)=0,"",LOOKUP(2,1/(E151:K151&lt;&gt;""),E151:K151))</f>
        <v/>
      </c>
      <c r="N151" s="17">
        <f>IF(L151="","",ROUND(L151*RESUMEN!$B$4,0))</f>
        <v/>
      </c>
      <c r="O151" s="18">
        <f>COUNT(E151:K151)</f>
        <v/>
      </c>
    </row>
    <row r="152">
      <c r="A152" s="13" t="inlineStr">
        <is>
          <t>58980701413901</t>
        </is>
      </c>
      <c r="B152" s="13" t="inlineStr">
        <is>
          <t>BROCHE CC PEARLS BLACK</t>
        </is>
      </c>
      <c r="C152" s="13" t="inlineStr">
        <is>
          <t>Default Title</t>
        </is>
      </c>
      <c r="D152" s="14" t="inlineStr">
        <is>
          <t>brass</t>
        </is>
      </c>
      <c r="E152" s="13" t="n"/>
      <c r="F152" s="13" t="n"/>
      <c r="G152" s="13" t="n"/>
      <c r="H152" s="13" t="n"/>
      <c r="I152" s="13" t="n"/>
      <c r="J152" s="15" t="n">
        <v>6.89</v>
      </c>
      <c r="K152" s="13" t="n"/>
      <c r="L152" s="16">
        <f>IF(COUNT(E152:K152)=0,"",MIN(E152:K152))</f>
        <v/>
      </c>
      <c r="M152" s="15">
        <f>IF(COUNT(E152:K152)=0,"",LOOKUP(2,1/(E152:K152&lt;&gt;""),E152:K152))</f>
        <v/>
      </c>
      <c r="N152" s="17">
        <f>IF(L152="","",ROUND(L152*RESUMEN!$B$4,0))</f>
        <v/>
      </c>
      <c r="O152" s="18">
        <f>COUNT(E152:K152)</f>
        <v/>
      </c>
    </row>
    <row r="153">
      <c r="A153" s="13" t="inlineStr">
        <is>
          <t>58980703373197</t>
        </is>
      </c>
      <c r="B153" s="13" t="inlineStr">
        <is>
          <t>CARTERA CD ALARGADA GRAVITY</t>
        </is>
      </c>
      <c r="C153" s="13" t="inlineStr">
        <is>
          <t>Default Title</t>
        </is>
      </c>
      <c r="D153" s="14" t="inlineStr">
        <is>
          <t>Genuine leather/</t>
        </is>
      </c>
      <c r="E153" s="13" t="n"/>
      <c r="F153" s="13" t="n"/>
      <c r="G153" s="13" t="n"/>
      <c r="H153" s="13" t="n"/>
      <c r="I153" s="13" t="n"/>
      <c r="J153" s="15" t="n">
        <v>21.59</v>
      </c>
      <c r="K153" s="13" t="n"/>
      <c r="L153" s="16">
        <f>IF(COUNT(E153:K153)=0,"",MIN(E153:K153))</f>
        <v/>
      </c>
      <c r="M153" s="15">
        <f>IF(COUNT(E153:K153)=0,"",LOOKUP(2,1/(E153:K153&lt;&gt;""),E153:K153))</f>
        <v/>
      </c>
      <c r="N153" s="17">
        <f>IF(L153="","",ROUND(L153*RESUMEN!$B$4,0))</f>
        <v/>
      </c>
      <c r="O153" s="18">
        <f>COUNT(E153:K153)</f>
        <v/>
      </c>
    </row>
    <row r="154">
      <c r="A154" s="13" t="inlineStr">
        <is>
          <t>58980703502573</t>
        </is>
      </c>
      <c r="B154" s="13" t="inlineStr">
        <is>
          <t>CARTERA CD GRAVITY</t>
        </is>
      </c>
      <c r="C154" s="13" t="inlineStr">
        <is>
          <t>Default Title</t>
        </is>
      </c>
      <c r="D154" s="14" t="inlineStr">
        <is>
          <t>Genuine leather/</t>
        </is>
      </c>
      <c r="E154" s="13" t="n"/>
      <c r="F154" s="13" t="n"/>
      <c r="G154" s="13" t="n"/>
      <c r="H154" s="13" t="n"/>
      <c r="I154" s="13" t="n"/>
      <c r="J154" s="15" t="n">
        <v>19.59</v>
      </c>
      <c r="K154" s="13" t="n"/>
      <c r="L154" s="16">
        <f>IF(COUNT(E154:K154)=0,"",MIN(E154:K154))</f>
        <v/>
      </c>
      <c r="M154" s="15">
        <f>IF(COUNT(E154:K154)=0,"",LOOKUP(2,1/(E154:K154&lt;&gt;""),E154:K154))</f>
        <v/>
      </c>
      <c r="N154" s="17">
        <f>IF(L154="","",ROUND(L154*RESUMEN!$B$4,0))</f>
        <v/>
      </c>
      <c r="O154" s="18">
        <f>COUNT(E154:K154)</f>
        <v/>
      </c>
    </row>
    <row r="155">
      <c r="A155" s="13" t="inlineStr">
        <is>
          <t>58980703437037</t>
        </is>
      </c>
      <c r="B155" s="13" t="inlineStr">
        <is>
          <t>CARTERA CD LONG BIFOLD</t>
        </is>
      </c>
      <c r="C155" s="13" t="inlineStr">
        <is>
          <t>Default Title</t>
        </is>
      </c>
      <c r="D155" s="14" t="inlineStr">
        <is>
          <t>Genuine leather/</t>
        </is>
      </c>
      <c r="E155" s="13" t="n"/>
      <c r="F155" s="13" t="n"/>
      <c r="G155" s="13" t="n"/>
      <c r="H155" s="13" t="n"/>
      <c r="I155" s="13" t="n"/>
      <c r="J155" s="15" t="n">
        <v>21.59</v>
      </c>
      <c r="K155" s="13" t="n"/>
      <c r="L155" s="16">
        <f>IF(COUNT(E155:K155)=0,"",MIN(E155:K155))</f>
        <v/>
      </c>
      <c r="M155" s="15">
        <f>IF(COUNT(E155:K155)=0,"",LOOKUP(2,1/(E155:K155&lt;&gt;""),E155:K155))</f>
        <v/>
      </c>
      <c r="N155" s="17">
        <f>IF(L155="","",ROUND(L155*RESUMEN!$B$4,0))</f>
        <v/>
      </c>
      <c r="O155" s="18">
        <f>COUNT(E155:K155)</f>
        <v/>
      </c>
    </row>
    <row r="156">
      <c r="A156" s="13" t="inlineStr">
        <is>
          <t>58980703754541</t>
        </is>
      </c>
      <c r="B156" s="13" t="inlineStr">
        <is>
          <t>CARTERA CD SADDLE</t>
        </is>
      </c>
      <c r="C156" s="13" t="inlineStr">
        <is>
          <t>Default Title</t>
        </is>
      </c>
      <c r="D156" s="14" t="inlineStr">
        <is>
          <t>Genuine leather/</t>
        </is>
      </c>
      <c r="E156" s="13" t="n"/>
      <c r="F156" s="13" t="n"/>
      <c r="G156" s="13" t="n"/>
      <c r="H156" s="13" t="n"/>
      <c r="I156" s="13" t="n"/>
      <c r="J156" s="15" t="n">
        <v>19.59</v>
      </c>
      <c r="K156" s="13" t="n"/>
      <c r="L156" s="16">
        <f>IF(COUNT(E156:K156)=0,"",MIN(E156:K156))</f>
        <v/>
      </c>
      <c r="M156" s="15">
        <f>IF(COUNT(E156:K156)=0,"",LOOKUP(2,1/(E156:K156&lt;&gt;""),E156:K156))</f>
        <v/>
      </c>
      <c r="N156" s="17">
        <f>IF(L156="","",ROUND(L156*RESUMEN!$B$4,0))</f>
        <v/>
      </c>
      <c r="O156" s="18">
        <f>COUNT(E156:K156)</f>
        <v/>
      </c>
    </row>
    <row r="157">
      <c r="A157" s="13" t="inlineStr">
        <is>
          <t>58980703623469</t>
        </is>
      </c>
      <c r="B157" s="13" t="inlineStr">
        <is>
          <t>CARTERA CD SADDLE BLACK</t>
        </is>
      </c>
      <c r="C157" s="13" t="inlineStr">
        <is>
          <t>Default Title</t>
        </is>
      </c>
      <c r="D157" s="14" t="inlineStr">
        <is>
          <t>Genuine leather/</t>
        </is>
      </c>
      <c r="E157" s="13" t="n"/>
      <c r="F157" s="13" t="n"/>
      <c r="G157" s="13" t="n"/>
      <c r="H157" s="13" t="n"/>
      <c r="I157" s="13" t="n"/>
      <c r="J157" s="15" t="n">
        <v>19.59</v>
      </c>
      <c r="K157" s="13" t="n"/>
      <c r="L157" s="16">
        <f>IF(COUNT(E157:K157)=0,"",MIN(E157:K157))</f>
        <v/>
      </c>
      <c r="M157" s="15">
        <f>IF(COUNT(E157:K157)=0,"",LOOKUP(2,1/(E157:K157&lt;&gt;""),E157:K157))</f>
        <v/>
      </c>
      <c r="N157" s="17">
        <f>IF(L157="","",ROUND(L157*RESUMEN!$B$4,0))</f>
        <v/>
      </c>
      <c r="O157" s="18">
        <f>COUNT(E157:K157)</f>
        <v/>
      </c>
    </row>
    <row r="158">
      <c r="A158" s="13" t="inlineStr">
        <is>
          <t>62745761283917</t>
        </is>
      </c>
      <c r="B158" s="13" t="inlineStr">
        <is>
          <t>CARTERA G GABRIEL</t>
        </is>
      </c>
      <c r="C158" s="13" t="inlineStr">
        <is>
          <t>Default Title</t>
        </is>
      </c>
      <c r="D158" s="14" t="inlineStr">
        <is>
          <t>Genuine leather/</t>
        </is>
      </c>
      <c r="E158" s="13" t="n"/>
      <c r="F158" s="13" t="n"/>
      <c r="G158" s="13" t="n"/>
      <c r="H158" s="13" t="n"/>
      <c r="I158" s="13" t="n"/>
      <c r="J158" s="15" t="n">
        <v>13.19</v>
      </c>
      <c r="K158" s="13" t="n"/>
      <c r="L158" s="16">
        <f>IF(COUNT(E158:K158)=0,"",MIN(E158:K158))</f>
        <v/>
      </c>
      <c r="M158" s="15">
        <f>IF(COUNT(E158:K158)=0,"",LOOKUP(2,1/(E158:K158&lt;&gt;""),E158:K158))</f>
        <v/>
      </c>
      <c r="N158" s="17">
        <f>IF(L158="","",ROUND(L158*RESUMEN!$B$4,0))</f>
        <v/>
      </c>
      <c r="O158" s="18">
        <f>COUNT(E158:K158)</f>
        <v/>
      </c>
    </row>
    <row r="159">
      <c r="A159" s="13" t="inlineStr">
        <is>
          <t>62745761377133</t>
        </is>
      </c>
      <c r="B159" s="13" t="inlineStr">
        <is>
          <t>CARTERA G GABRIEL GREEN</t>
        </is>
      </c>
      <c r="C159" s="13" t="inlineStr">
        <is>
          <t>Default Title</t>
        </is>
      </c>
      <c r="D159" s="14" t="inlineStr">
        <is>
          <t>Genuine leather/</t>
        </is>
      </c>
      <c r="E159" s="13" t="n"/>
      <c r="F159" s="13" t="n"/>
      <c r="G159" s="13" t="n"/>
      <c r="H159" s="13" t="n"/>
      <c r="I159" s="13" t="n"/>
      <c r="J159" s="15" t="n">
        <v>13.19</v>
      </c>
      <c r="K159" s="13" t="n"/>
      <c r="L159" s="16">
        <f>IF(COUNT(E159:K159)=0,"",MIN(E159:K159))</f>
        <v/>
      </c>
      <c r="M159" s="15">
        <f>IF(COUNT(E159:K159)=0,"",LOOKUP(2,1/(E159:K159&lt;&gt;""),E159:K159))</f>
        <v/>
      </c>
      <c r="N159" s="17">
        <f>IF(L159="","",ROUND(L159*RESUMEN!$B$4,0))</f>
        <v/>
      </c>
      <c r="O159" s="18">
        <f>COUNT(E159:K159)</f>
        <v/>
      </c>
    </row>
    <row r="160">
      <c r="A160" s="13" t="inlineStr">
        <is>
          <t>62745761409901</t>
        </is>
      </c>
      <c r="B160" s="13" t="inlineStr">
        <is>
          <t>CARTERA G GABRIEL GREY</t>
        </is>
      </c>
      <c r="C160" s="13" t="inlineStr">
        <is>
          <t>Default Title</t>
        </is>
      </c>
      <c r="D160" s="14" t="inlineStr">
        <is>
          <t>Genuine leather/</t>
        </is>
      </c>
      <c r="E160" s="13" t="n"/>
      <c r="F160" s="13" t="n"/>
      <c r="G160" s="13" t="n"/>
      <c r="H160" s="13" t="n"/>
      <c r="I160" s="13" t="n"/>
      <c r="J160" s="15" t="n">
        <v>13.19</v>
      </c>
      <c r="K160" s="13" t="n"/>
      <c r="L160" s="16">
        <f>IF(COUNT(E160:K160)=0,"",MIN(E160:K160))</f>
        <v/>
      </c>
      <c r="M160" s="15">
        <f>IF(COUNT(E160:K160)=0,"",LOOKUP(2,1/(E160:K160&lt;&gt;""),E160:K160))</f>
        <v/>
      </c>
      <c r="N160" s="17">
        <f>IF(L160="","",ROUND(L160*RESUMEN!$B$4,0))</f>
        <v/>
      </c>
      <c r="O160" s="18">
        <f>COUNT(E160:K160)</f>
        <v/>
      </c>
    </row>
    <row r="161">
      <c r="A161" s="13" t="inlineStr">
        <is>
          <t>62745761513293</t>
        </is>
      </c>
      <c r="B161" s="13" t="inlineStr">
        <is>
          <t>CARTERA G GABRIEL WHITE</t>
        </is>
      </c>
      <c r="C161" s="13" t="inlineStr">
        <is>
          <t>Default Title</t>
        </is>
      </c>
      <c r="D161" s="14" t="inlineStr">
        <is>
          <t>Genuine leather/</t>
        </is>
      </c>
      <c r="E161" s="13" t="n"/>
      <c r="F161" s="13" t="n"/>
      <c r="G161" s="13" t="n"/>
      <c r="H161" s="13" t="n"/>
      <c r="I161" s="13" t="n"/>
      <c r="J161" s="15" t="n">
        <v>13.19</v>
      </c>
      <c r="K161" s="13" t="n"/>
      <c r="L161" s="16">
        <f>IF(COUNT(E161:K161)=0,"",MIN(E161:K161))</f>
        <v/>
      </c>
      <c r="M161" s="15">
        <f>IF(COUNT(E161:K161)=0,"",LOOKUP(2,1/(E161:K161&lt;&gt;""),E161:K161))</f>
        <v/>
      </c>
      <c r="N161" s="17">
        <f>IF(L161="","",ROUND(L161*RESUMEN!$B$4,0))</f>
        <v/>
      </c>
      <c r="O161" s="18">
        <f>COUNT(E161:K161)</f>
        <v/>
      </c>
    </row>
    <row r="162">
      <c r="A162" s="13" t="inlineStr">
        <is>
          <t>62745761639277</t>
        </is>
      </c>
      <c r="B162" s="13" t="inlineStr">
        <is>
          <t>CARTERA G MATIGNON</t>
        </is>
      </c>
      <c r="C162" s="13" t="inlineStr">
        <is>
          <t>Default Title</t>
        </is>
      </c>
      <c r="D162" s="14" t="inlineStr">
        <is>
          <t>Genuine leather/</t>
        </is>
      </c>
      <c r="E162" s="13" t="n"/>
      <c r="F162" s="13" t="n"/>
      <c r="G162" s="13" t="n"/>
      <c r="H162" s="13" t="n"/>
      <c r="I162" s="13" t="n"/>
      <c r="J162" s="15" t="n">
        <v>22.59</v>
      </c>
      <c r="K162" s="13" t="n"/>
      <c r="L162" s="16">
        <f>IF(COUNT(E162:K162)=0,"",MIN(E162:K162))</f>
        <v/>
      </c>
      <c r="M162" s="15">
        <f>IF(COUNT(E162:K162)=0,"",LOOKUP(2,1/(E162:K162&lt;&gt;""),E162:K162))</f>
        <v/>
      </c>
      <c r="N162" s="17">
        <f>IF(L162="","",ROUND(L162*RESUMEN!$B$4,0))</f>
        <v/>
      </c>
      <c r="O162" s="18">
        <f>COUNT(E162:K162)</f>
        <v/>
      </c>
    </row>
    <row r="163">
      <c r="A163" s="13" t="inlineStr">
        <is>
          <t>62745761737581</t>
        </is>
      </c>
      <c r="B163" s="13" t="inlineStr">
        <is>
          <t>CARTERA G MATIGNON GREEN</t>
        </is>
      </c>
      <c r="C163" s="13" t="inlineStr">
        <is>
          <t>Default Title</t>
        </is>
      </c>
      <c r="D163" s="14" t="inlineStr">
        <is>
          <t>Genuine leather/</t>
        </is>
      </c>
      <c r="E163" s="13" t="n"/>
      <c r="F163" s="13" t="n"/>
      <c r="G163" s="13" t="n"/>
      <c r="H163" s="13" t="n"/>
      <c r="I163" s="13" t="n"/>
      <c r="J163" s="15" t="n">
        <v>22.59</v>
      </c>
      <c r="K163" s="13" t="n"/>
      <c r="L163" s="16">
        <f>IF(COUNT(E163:K163)=0,"",MIN(E163:K163))</f>
        <v/>
      </c>
      <c r="M163" s="15">
        <f>IF(COUNT(E163:K163)=0,"",LOOKUP(2,1/(E163:K163&lt;&gt;""),E163:K163))</f>
        <v/>
      </c>
      <c r="N163" s="17">
        <f>IF(L163="","",ROUND(L163*RESUMEN!$B$4,0))</f>
        <v/>
      </c>
      <c r="O163" s="18">
        <f>COUNT(E163:K163)</f>
        <v/>
      </c>
    </row>
    <row r="164">
      <c r="A164" s="13" t="inlineStr">
        <is>
          <t>62745761872045</t>
        </is>
      </c>
      <c r="B164" s="13" t="inlineStr">
        <is>
          <t>CARTERA G MATIGNON WHITE</t>
        </is>
      </c>
      <c r="C164" s="13" t="inlineStr">
        <is>
          <t>Default Title</t>
        </is>
      </c>
      <c r="D164" s="14" t="inlineStr">
        <is>
          <t>Genuine leather/</t>
        </is>
      </c>
      <c r="E164" s="13" t="n"/>
      <c r="F164" s="13" t="n"/>
      <c r="G164" s="13" t="n"/>
      <c r="H164" s="13" t="n"/>
      <c r="I164" s="13" t="n"/>
      <c r="J164" s="15" t="n">
        <v>22.59</v>
      </c>
      <c r="K164" s="13" t="n"/>
      <c r="L164" s="16">
        <f>IF(COUNT(E164:K164)=0,"",MIN(E164:K164))</f>
        <v/>
      </c>
      <c r="M164" s="15">
        <f>IF(COUNT(E164:K164)=0,"",LOOKUP(2,1/(E164:K164&lt;&gt;""),E164:K164))</f>
        <v/>
      </c>
      <c r="N164" s="17">
        <f>IF(L164="","",ROUND(L164*RESUMEN!$B$4,0))</f>
        <v/>
      </c>
      <c r="O164" s="18">
        <f>COUNT(E164:K164)</f>
        <v/>
      </c>
    </row>
    <row r="165">
      <c r="A165" s="13" t="inlineStr">
        <is>
          <t>40049131275149</t>
        </is>
      </c>
      <c r="B165" s="13" t="inlineStr">
        <is>
          <t>CARTERA LV VICTOIRE BICOLOR</t>
        </is>
      </c>
      <c r="C165" s="13" t="inlineStr">
        <is>
          <t>Default Title</t>
        </is>
      </c>
      <c r="D165" s="14" t="inlineStr"/>
      <c r="E165" s="13" t="n"/>
      <c r="F165" s="13" t="n"/>
      <c r="G165" s="13" t="n"/>
      <c r="H165" s="13" t="n"/>
      <c r="I165" s="15" t="n">
        <v>16.79</v>
      </c>
      <c r="J165" s="13" t="n"/>
      <c r="K165" s="13" t="n"/>
      <c r="L165" s="16">
        <f>IF(COUNT(E165:K165)=0,"",MIN(E165:K165))</f>
        <v/>
      </c>
      <c r="M165" s="15">
        <f>IF(COUNT(E165:K165)=0,"",LOOKUP(2,1/(E165:K165&lt;&gt;""),E165:K165))</f>
        <v/>
      </c>
      <c r="N165" s="17">
        <f>IF(L165="","",ROUND(L165*RESUMEN!$B$4,0))</f>
        <v/>
      </c>
      <c r="O165" s="18">
        <f>COUNT(E165:K165)</f>
        <v/>
      </c>
    </row>
    <row r="166">
      <c r="A166" s="13" t="inlineStr">
        <is>
          <t>40049131140685</t>
        </is>
      </c>
      <c r="B166" s="13" t="inlineStr">
        <is>
          <t>CARTERA LV X MURKAMI</t>
        </is>
      </c>
      <c r="C166" s="13" t="inlineStr">
        <is>
          <t>Default Title</t>
        </is>
      </c>
      <c r="D166" s="14" t="inlineStr"/>
      <c r="E166" s="13" t="n"/>
      <c r="F166" s="13" t="n"/>
      <c r="G166" s="13" t="n"/>
      <c r="H166" s="13" t="n"/>
      <c r="I166" s="15" t="n">
        <v>15.79</v>
      </c>
      <c r="J166" s="13" t="n"/>
      <c r="K166" s="13" t="n"/>
      <c r="L166" s="16">
        <f>IF(COUNT(E166:K166)=0,"",MIN(E166:K166))</f>
        <v/>
      </c>
      <c r="M166" s="15">
        <f>IF(COUNT(E166:K166)=0,"",LOOKUP(2,1/(E166:K166&lt;&gt;""),E166:K166))</f>
        <v/>
      </c>
      <c r="N166" s="17">
        <f>IF(L166="","",ROUND(L166*RESUMEN!$B$4,0))</f>
        <v/>
      </c>
      <c r="O166" s="18">
        <f>COUNT(E166:K166)</f>
        <v/>
      </c>
    </row>
    <row r="167">
      <c r="A167" s="13" t="inlineStr">
        <is>
          <t>6674596a63af2</t>
        </is>
      </c>
      <c r="B167" s="13" t="inlineStr">
        <is>
          <t>COLLAR 20 TRÉBOLES GOLD BLACK</t>
        </is>
      </c>
      <c r="C167" s="13" t="inlineStr">
        <is>
          <t>Default Title</t>
        </is>
      </c>
      <c r="D167" s="14" t="inlineStr">
        <is>
          <t>brass</t>
        </is>
      </c>
      <c r="E167" s="13" t="n"/>
      <c r="F167" s="13" t="n"/>
      <c r="G167" s="13" t="n"/>
      <c r="H167" s="15" t="n">
        <v>35.59</v>
      </c>
      <c r="I167" s="13" t="n"/>
      <c r="J167" s="15" t="n">
        <v>35.59</v>
      </c>
      <c r="K167" s="13" t="n"/>
      <c r="L167" s="16">
        <f>IF(COUNT(E167:K167)=0,"",MIN(E167:K167))</f>
        <v/>
      </c>
      <c r="M167" s="15">
        <f>IF(COUNT(E167:K167)=0,"",LOOKUP(2,1/(E167:K167&lt;&gt;""),E167:K167))</f>
        <v/>
      </c>
      <c r="N167" s="17">
        <f>IF(L167="","",ROUND(L167*RESUMEN!$B$4,0))</f>
        <v/>
      </c>
      <c r="O167" s="18">
        <f>COUNT(E167:K167)</f>
        <v/>
      </c>
    </row>
    <row r="168">
      <c r="A168" s="13" t="inlineStr">
        <is>
          <t>66745969cb7d0</t>
        </is>
      </c>
      <c r="B168" s="13" t="inlineStr">
        <is>
          <t>COLLAR 20 TRÉBOLES GOLD GREEN</t>
        </is>
      </c>
      <c r="C168" s="13" t="inlineStr">
        <is>
          <t>Default Title</t>
        </is>
      </c>
      <c r="D168" s="14" t="inlineStr">
        <is>
          <t>brass</t>
        </is>
      </c>
      <c r="E168" s="13" t="n"/>
      <c r="F168" s="13" t="n"/>
      <c r="G168" s="13" t="n"/>
      <c r="H168" s="13" t="n"/>
      <c r="I168" s="15" t="n">
        <v>35.59</v>
      </c>
      <c r="J168" s="13" t="n"/>
      <c r="K168" s="13" t="n"/>
      <c r="L168" s="16">
        <f>IF(COUNT(E168:K168)=0,"",MIN(E168:K168))</f>
        <v/>
      </c>
      <c r="M168" s="15">
        <f>IF(COUNT(E168:K168)=0,"",LOOKUP(2,1/(E168:K168&lt;&gt;""),E168:K168))</f>
        <v/>
      </c>
      <c r="N168" s="17">
        <f>IF(L168="","",ROUND(L168*RESUMEN!$B$4,0))</f>
        <v/>
      </c>
      <c r="O168" s="18">
        <f>COUNT(E168:K168)</f>
        <v/>
      </c>
    </row>
    <row r="169">
      <c r="A169" s="13" t="inlineStr">
        <is>
          <t>66745973ed916</t>
        </is>
      </c>
      <c r="B169" s="13" t="inlineStr">
        <is>
          <t>COLLAR 20 TRÉBOLES GOLD RED</t>
        </is>
      </c>
      <c r="C169" s="13" t="inlineStr">
        <is>
          <t>Default Title</t>
        </is>
      </c>
      <c r="D169" s="14" t="inlineStr">
        <is>
          <t>brass</t>
        </is>
      </c>
      <c r="E169" s="13" t="n"/>
      <c r="F169" s="13" t="n"/>
      <c r="G169" s="13" t="n"/>
      <c r="H169" s="13" t="n"/>
      <c r="I169" s="15" t="n">
        <v>35.59</v>
      </c>
      <c r="J169" s="13" t="n"/>
      <c r="K169" s="13" t="n"/>
      <c r="L169" s="16">
        <f>IF(COUNT(E169:K169)=0,"",MIN(E169:K169))</f>
        <v/>
      </c>
      <c r="M169" s="15">
        <f>IF(COUNT(E169:K169)=0,"",LOOKUP(2,1/(E169:K169&lt;&gt;""),E169:K169))</f>
        <v/>
      </c>
      <c r="N169" s="17">
        <f>IF(L169="","",ROUND(L169*RESUMEN!$B$4,0))</f>
        <v/>
      </c>
      <c r="O169" s="18">
        <f>COUNT(E169:K169)</f>
        <v/>
      </c>
    </row>
    <row r="170">
      <c r="A170" s="13" t="inlineStr">
        <is>
          <t>66745971e789e</t>
        </is>
      </c>
      <c r="B170" s="13" t="inlineStr">
        <is>
          <t>COLLAR 20 TRÉBOLES GOLD WHITE</t>
        </is>
      </c>
      <c r="C170" s="13" t="inlineStr">
        <is>
          <t>Default Title</t>
        </is>
      </c>
      <c r="D170" s="14" t="inlineStr">
        <is>
          <t>brass</t>
        </is>
      </c>
      <c r="E170" s="13" t="n"/>
      <c r="F170" s="13" t="n"/>
      <c r="G170" s="13" t="n"/>
      <c r="H170" s="13" t="n"/>
      <c r="I170" s="13" t="n"/>
      <c r="J170" s="15" t="n">
        <v>35.59</v>
      </c>
      <c r="K170" s="13" t="n"/>
      <c r="L170" s="16">
        <f>IF(COUNT(E170:K170)=0,"",MIN(E170:K170))</f>
        <v/>
      </c>
      <c r="M170" s="15">
        <f>IF(COUNT(E170:K170)=0,"",LOOKUP(2,1/(E170:K170&lt;&gt;""),E170:K170))</f>
        <v/>
      </c>
      <c r="N170" s="17">
        <f>IF(L170="","",ROUND(L170*RESUMEN!$B$4,0))</f>
        <v/>
      </c>
      <c r="O170" s="18">
        <f>COUNT(E170:K170)</f>
        <v/>
      </c>
    </row>
    <row r="171">
      <c r="A171" s="13" t="inlineStr">
        <is>
          <t>66b5a7ced89a8</t>
        </is>
      </c>
      <c r="B171" s="13" t="inlineStr">
        <is>
          <t>COLLAR 20 TRÉBOLES SILVER BLACK</t>
        </is>
      </c>
      <c r="C171" s="13" t="inlineStr">
        <is>
          <t>Default Title</t>
        </is>
      </c>
      <c r="D171" s="14" t="inlineStr">
        <is>
          <t>brass</t>
        </is>
      </c>
      <c r="E171" s="13" t="n"/>
      <c r="F171" s="13" t="n"/>
      <c r="G171" s="13" t="n"/>
      <c r="H171" s="15" t="n">
        <v>35.59</v>
      </c>
      <c r="I171" s="15" t="n">
        <v>35.59</v>
      </c>
      <c r="J171" s="13" t="n"/>
      <c r="K171" s="13" t="n"/>
      <c r="L171" s="16">
        <f>IF(COUNT(E171:K171)=0,"",MIN(E171:K171))</f>
        <v/>
      </c>
      <c r="M171" s="15">
        <f>IF(COUNT(E171:K171)=0,"",LOOKUP(2,1/(E171:K171&lt;&gt;""),E171:K171))</f>
        <v/>
      </c>
      <c r="N171" s="17">
        <f>IF(L171="","",ROUND(L171*RESUMEN!$B$4,0))</f>
        <v/>
      </c>
      <c r="O171" s="18">
        <f>COUNT(E171:K171)</f>
        <v/>
      </c>
    </row>
    <row r="172">
      <c r="A172" s="13" t="inlineStr">
        <is>
          <t>22974391930381</t>
        </is>
      </c>
      <c r="B172" s="13" t="inlineStr">
        <is>
          <t>COLLAR CC CAMELIA ROSE GOLD</t>
        </is>
      </c>
      <c r="C172" s="13" t="inlineStr">
        <is>
          <t>Default Title</t>
        </is>
      </c>
      <c r="D172" s="14" t="inlineStr">
        <is>
          <t>brass</t>
        </is>
      </c>
      <c r="E172" s="13" t="n"/>
      <c r="F172" s="13" t="n"/>
      <c r="G172" s="13" t="n"/>
      <c r="H172" s="15" t="n">
        <v>8.49</v>
      </c>
      <c r="I172" s="13" t="n"/>
      <c r="J172" s="13" t="n"/>
      <c r="K172" s="13" t="n"/>
      <c r="L172" s="16">
        <f>IF(COUNT(E172:K172)=0,"",MIN(E172:K172))</f>
        <v/>
      </c>
      <c r="M172" s="15">
        <f>IF(COUNT(E172:K172)=0,"",LOOKUP(2,1/(E172:K172&lt;&gt;""),E172:K172))</f>
        <v/>
      </c>
      <c r="N172" s="17">
        <f>IF(L172="","",ROUND(L172*RESUMEN!$B$4,0))</f>
        <v/>
      </c>
      <c r="O172" s="18">
        <f>COUNT(E172:K172)</f>
        <v/>
      </c>
    </row>
    <row r="173">
      <c r="A173" s="13" t="inlineStr">
        <is>
          <t>58980703240429</t>
        </is>
      </c>
      <c r="B173" s="13" t="inlineStr">
        <is>
          <t>COLLAR CC ETOILE FILANTE</t>
        </is>
      </c>
      <c r="C173" s="13" t="inlineStr">
        <is>
          <t>Default Title</t>
        </is>
      </c>
      <c r="D173" s="14" t="inlineStr">
        <is>
          <t>brass</t>
        </is>
      </c>
      <c r="E173" s="13" t="n"/>
      <c r="F173" s="13" t="n"/>
      <c r="G173" s="13" t="n"/>
      <c r="H173" s="13" t="n"/>
      <c r="I173" s="13" t="n"/>
      <c r="J173" s="15" t="n">
        <v>8.19</v>
      </c>
      <c r="K173" s="13" t="n"/>
      <c r="L173" s="16">
        <f>IF(COUNT(E173:K173)=0,"",MIN(E173:K173))</f>
        <v/>
      </c>
      <c r="M173" s="15">
        <f>IF(COUNT(E173:K173)=0,"",LOOKUP(2,1/(E173:K173&lt;&gt;""),E173:K173))</f>
        <v/>
      </c>
      <c r="N173" s="17">
        <f>IF(L173="","",ROUND(L173*RESUMEN!$B$4,0))</f>
        <v/>
      </c>
      <c r="O173" s="18">
        <f>COUNT(E173:K173)</f>
        <v/>
      </c>
    </row>
    <row r="174">
      <c r="A174" s="13" t="inlineStr">
        <is>
          <t>66177be17fc51</t>
        </is>
      </c>
      <c r="B174" s="13" t="inlineStr">
        <is>
          <t>COLLAR CLAVO ROUND GOLD</t>
        </is>
      </c>
      <c r="C174" s="13" t="inlineStr">
        <is>
          <t>Regular</t>
        </is>
      </c>
      <c r="D174" s="14" t="inlineStr">
        <is>
          <t>stainless steel</t>
        </is>
      </c>
      <c r="E174" s="15" t="n">
        <v>7.59</v>
      </c>
      <c r="F174" s="15" t="n">
        <v>0</v>
      </c>
      <c r="G174" s="15" t="n">
        <v>7.59</v>
      </c>
      <c r="H174" s="15" t="n">
        <v>7.59</v>
      </c>
      <c r="I174" s="13" t="n"/>
      <c r="J174" s="13" t="n"/>
      <c r="K174" s="15" t="n">
        <v>7.59</v>
      </c>
      <c r="L174" s="16">
        <f>IF(COUNT(E174:K174)=0,"",MIN(E174:K174))</f>
        <v/>
      </c>
      <c r="M174" s="15">
        <f>IF(COUNT(E174:K174)=0,"",LOOKUP(2,1/(E174:K174&lt;&gt;""),E174:K174))</f>
        <v/>
      </c>
      <c r="N174" s="17">
        <f>IF(L174="","",ROUND(L174*RESUMEN!$B$4,0))</f>
        <v/>
      </c>
      <c r="O174" s="18">
        <f>COUNT(E174:K174)</f>
        <v/>
      </c>
    </row>
    <row r="175">
      <c r="A175" s="13" t="inlineStr">
        <is>
          <t>66177be046ec0-1</t>
        </is>
      </c>
      <c r="B175" s="13" t="inlineStr">
        <is>
          <t>COLLAR CLAVO ROUND ROSEGOLD</t>
        </is>
      </c>
      <c r="C175" s="13" t="inlineStr">
        <is>
          <t>Regular</t>
        </is>
      </c>
      <c r="D175" s="14" t="inlineStr">
        <is>
          <t>stainless steel</t>
        </is>
      </c>
      <c r="E175" s="15" t="n">
        <v>7.59</v>
      </c>
      <c r="F175" s="15" t="n">
        <v>0</v>
      </c>
      <c r="G175" s="15" t="n">
        <v>7.59</v>
      </c>
      <c r="H175" s="15" t="n">
        <v>7.59</v>
      </c>
      <c r="I175" s="13" t="n"/>
      <c r="J175" s="13" t="n"/>
      <c r="K175" s="13" t="n"/>
      <c r="L175" s="16">
        <f>IF(COUNT(E175:K175)=0,"",MIN(E175:K175))</f>
        <v/>
      </c>
      <c r="M175" s="15">
        <f>IF(COUNT(E175:K175)=0,"",LOOKUP(2,1/(E175:K175&lt;&gt;""),E175:K175))</f>
        <v/>
      </c>
      <c r="N175" s="17">
        <f>IF(L175="","",ROUND(L175*RESUMEN!$B$4,0))</f>
        <v/>
      </c>
      <c r="O175" s="18">
        <f>COUNT(E175:K175)</f>
        <v/>
      </c>
    </row>
    <row r="176">
      <c r="A176" s="13" t="inlineStr">
        <is>
          <t>42833577705612</t>
        </is>
      </c>
      <c r="B176" s="13" t="inlineStr">
        <is>
          <t>COLLAR CLAVO ROUND SILVER</t>
        </is>
      </c>
      <c r="C176" s="13" t="inlineStr">
        <is>
          <t>Stainless steel</t>
        </is>
      </c>
      <c r="D176" s="14" t="inlineStr"/>
      <c r="E176" s="15" t="n">
        <v>7.59</v>
      </c>
      <c r="F176" s="15" t="n">
        <v>0</v>
      </c>
      <c r="G176" s="13" t="n"/>
      <c r="H176" s="13" t="n"/>
      <c r="I176" s="13" t="n"/>
      <c r="J176" s="13" t="n"/>
      <c r="K176" s="13" t="n"/>
      <c r="L176" s="16">
        <f>IF(COUNT(E176:K176)=0,"",MIN(E176:K176))</f>
        <v/>
      </c>
      <c r="M176" s="15">
        <f>IF(COUNT(E176:K176)=0,"",LOOKUP(2,1/(E176:K176&lt;&gt;""),E176:K176))</f>
        <v/>
      </c>
      <c r="N176" s="17">
        <f>IF(L176="","",ROUND(L176*RESUMEN!$B$4,0))</f>
        <v/>
      </c>
      <c r="O176" s="18">
        <f>COUNT(E176:K176)</f>
        <v/>
      </c>
    </row>
    <row r="177">
      <c r="A177" s="13" t="inlineStr">
        <is>
          <t>9977461071949</t>
        </is>
      </c>
      <c r="B177" s="13" t="inlineStr">
        <is>
          <t>COLLAR DOBLE PLACA - GOLD PINK</t>
        </is>
      </c>
      <c r="C177" s="13" t="inlineStr"/>
      <c r="D177" s="14" t="inlineStr"/>
      <c r="E177" s="13" t="n"/>
      <c r="F177" s="15" t="n">
        <v>0</v>
      </c>
      <c r="G177" s="13" t="n"/>
      <c r="H177" s="13" t="n"/>
      <c r="I177" s="13" t="n"/>
      <c r="J177" s="13" t="n"/>
      <c r="K177" s="13" t="n"/>
      <c r="L177" s="16">
        <f>IF(COUNT(E177:K177)=0,"",MIN(E177:K177))</f>
        <v/>
      </c>
      <c r="M177" s="15">
        <f>IF(COUNT(E177:K177)=0,"",LOOKUP(2,1/(E177:K177&lt;&gt;""),E177:K177))</f>
        <v/>
      </c>
      <c r="N177" s="17">
        <f>IF(L177="","",ROUND(L177*RESUMEN!$B$4,0))</f>
        <v/>
      </c>
      <c r="O177" s="18">
        <f>COUNT(E177:K177)</f>
        <v/>
      </c>
    </row>
    <row r="178">
      <c r="A178" s="13" t="inlineStr">
        <is>
          <t>43728096383020</t>
        </is>
      </c>
      <c r="B178" s="13" t="inlineStr">
        <is>
          <t>COLLAR FR GOLD</t>
        </is>
      </c>
      <c r="C178" s="13" t="inlineStr">
        <is>
          <t>46cm de largo con 5 cm de Extension</t>
        </is>
      </c>
      <c r="D178" s="14" t="inlineStr">
        <is>
          <t>brass</t>
        </is>
      </c>
      <c r="E178" s="13" t="n"/>
      <c r="F178" s="15" t="n">
        <v>5.59</v>
      </c>
      <c r="G178" s="13" t="n"/>
      <c r="H178" s="13" t="n"/>
      <c r="I178" s="13" t="n"/>
      <c r="J178" s="15" t="n">
        <v>6.59</v>
      </c>
      <c r="K178" s="13" t="n"/>
      <c r="L178" s="16">
        <f>IF(COUNT(E178:K178)=0,"",MIN(E178:K178))</f>
        <v/>
      </c>
      <c r="M178" s="15">
        <f>IF(COUNT(E178:K178)=0,"",LOOKUP(2,1/(E178:K178&lt;&gt;""),E178:K178))</f>
        <v/>
      </c>
      <c r="N178" s="17">
        <f>IF(L178="","",ROUND(L178*RESUMEN!$B$4,0))</f>
        <v/>
      </c>
      <c r="O178" s="18">
        <f>COUNT(E178:K178)</f>
        <v/>
      </c>
    </row>
    <row r="179">
      <c r="A179" s="13" t="inlineStr">
        <is>
          <t>43728096469580</t>
        </is>
      </c>
      <c r="B179" s="13" t="inlineStr">
        <is>
          <t>COLLAR FR SILVER</t>
        </is>
      </c>
      <c r="C179" s="13" t="inlineStr">
        <is>
          <t>46cm de largo con 5 cm de Extension</t>
        </is>
      </c>
      <c r="D179" s="14" t="inlineStr"/>
      <c r="E179" s="15" t="n">
        <v>5.59</v>
      </c>
      <c r="F179" s="13" t="n"/>
      <c r="G179" s="13" t="n"/>
      <c r="H179" s="13" t="n"/>
      <c r="I179" s="13" t="n"/>
      <c r="J179" s="13" t="n"/>
      <c r="K179" s="13" t="n"/>
      <c r="L179" s="16">
        <f>IF(COUNT(E179:K179)=0,"",MIN(E179:K179))</f>
        <v/>
      </c>
      <c r="M179" s="15">
        <f>IF(COUNT(E179:K179)=0,"",LOOKUP(2,1/(E179:K179&lt;&gt;""),E179:K179))</f>
        <v/>
      </c>
      <c r="N179" s="17">
        <f>IF(L179="","",ROUND(L179*RESUMEN!$B$4,0))</f>
        <v/>
      </c>
      <c r="O179" s="18">
        <f>COUNT(E179:K179)</f>
        <v/>
      </c>
    </row>
    <row r="180">
      <c r="A180" s="13" t="inlineStr">
        <is>
          <t>43047205240972</t>
        </is>
      </c>
      <c r="B180" s="13" t="inlineStr">
        <is>
          <t>COLLAR KNOT GOLD</t>
        </is>
      </c>
      <c r="C180" s="13" t="inlineStr">
        <is>
          <t>Tamaño del dije: 4.5cm  40cm con extensión de 4cm</t>
        </is>
      </c>
      <c r="D180" s="14" t="inlineStr">
        <is>
          <t>brass</t>
        </is>
      </c>
      <c r="E180" s="13" t="n"/>
      <c r="F180" s="15" t="n">
        <v>0</v>
      </c>
      <c r="G180" s="13" t="n"/>
      <c r="H180" s="15" t="n">
        <v>5.59</v>
      </c>
      <c r="I180" s="15" t="n">
        <v>5.59</v>
      </c>
      <c r="J180" s="13" t="n"/>
      <c r="K180" s="15" t="n">
        <v>6.59</v>
      </c>
      <c r="L180" s="16">
        <f>IF(COUNT(E180:K180)=0,"",MIN(E180:K180))</f>
        <v/>
      </c>
      <c r="M180" s="15">
        <f>IF(COUNT(E180:K180)=0,"",LOOKUP(2,1/(E180:K180&lt;&gt;""),E180:K180))</f>
        <v/>
      </c>
      <c r="N180" s="17">
        <f>IF(L180="","",ROUND(L180*RESUMEN!$B$4,0))</f>
        <v/>
      </c>
      <c r="O180" s="18">
        <f>COUNT(E180:K180)</f>
        <v/>
      </c>
    </row>
    <row r="181">
      <c r="A181" s="13" t="inlineStr">
        <is>
          <t>43047205109900</t>
        </is>
      </c>
      <c r="B181" s="13" t="inlineStr">
        <is>
          <t>COLLAR KNOT ROSEGOLD</t>
        </is>
      </c>
      <c r="C181" s="13" t="inlineStr">
        <is>
          <t>Tamaño del dije: 4.5cm  40cm con extensión de 4cm</t>
        </is>
      </c>
      <c r="D181" s="14" t="inlineStr">
        <is>
          <t>brass</t>
        </is>
      </c>
      <c r="E181" s="13" t="n"/>
      <c r="F181" s="13" t="n"/>
      <c r="G181" s="13" t="n"/>
      <c r="H181" s="15" t="n">
        <v>5.59</v>
      </c>
      <c r="I181" s="13" t="n"/>
      <c r="J181" s="15" t="n">
        <v>5.59</v>
      </c>
      <c r="K181" s="13" t="n"/>
      <c r="L181" s="16">
        <f>IF(COUNT(E181:K181)=0,"",MIN(E181:K181))</f>
        <v/>
      </c>
      <c r="M181" s="15">
        <f>IF(COUNT(E181:K181)=0,"",LOOKUP(2,1/(E181:K181&lt;&gt;""),E181:K181))</f>
        <v/>
      </c>
      <c r="N181" s="17">
        <f>IF(L181="","",ROUND(L181*RESUMEN!$B$4,0))</f>
        <v/>
      </c>
      <c r="O181" s="18">
        <f>COUNT(E181:K181)</f>
        <v/>
      </c>
    </row>
    <row r="182">
      <c r="A182" s="13" t="inlineStr">
        <is>
          <t>42981825511564</t>
        </is>
      </c>
      <c r="B182" s="13" t="inlineStr">
        <is>
          <t>COLLAR LOCK CON ZIRCONIAS GOLD SILVER</t>
        </is>
      </c>
      <c r="C182" s="13" t="inlineStr">
        <is>
          <t>Default Title</t>
        </is>
      </c>
      <c r="D182" s="14" t="inlineStr">
        <is>
          <t>brass</t>
        </is>
      </c>
      <c r="E182" s="13" t="n"/>
      <c r="F182" s="13" t="n"/>
      <c r="G182" s="15" t="n">
        <v>8.59</v>
      </c>
      <c r="H182" s="15" t="n">
        <v>5.59</v>
      </c>
      <c r="I182" s="15" t="n">
        <v>8.59</v>
      </c>
      <c r="J182" s="13" t="n"/>
      <c r="K182" s="13" t="n"/>
      <c r="L182" s="16">
        <f>IF(COUNT(E182:K182)=0,"",MIN(E182:K182))</f>
        <v/>
      </c>
      <c r="M182" s="15">
        <f>IF(COUNT(E182:K182)=0,"",LOOKUP(2,1/(E182:K182&lt;&gt;""),E182:K182))</f>
        <v/>
      </c>
      <c r="N182" s="17">
        <f>IF(L182="","",ROUND(L182*RESUMEN!$B$4,0))</f>
        <v/>
      </c>
      <c r="O182" s="18">
        <f>COUNT(E182:K182)</f>
        <v/>
      </c>
    </row>
    <row r="183">
      <c r="A183" s="13" t="inlineStr">
        <is>
          <t>42981893177484</t>
        </is>
      </c>
      <c r="B183" s="13" t="inlineStr">
        <is>
          <t>COLLAR LOCK CON ZIRCONIAS ROSEGOLD SILVER</t>
        </is>
      </c>
      <c r="C183" s="13" t="inlineStr">
        <is>
          <t>Default Title</t>
        </is>
      </c>
      <c r="D183" s="14" t="inlineStr">
        <is>
          <t>brass</t>
        </is>
      </c>
      <c r="E183" s="13" t="n"/>
      <c r="F183" s="13" t="n"/>
      <c r="G183" s="15" t="n">
        <v>8.59</v>
      </c>
      <c r="H183" s="13" t="n"/>
      <c r="I183" s="15" t="n">
        <v>8.59</v>
      </c>
      <c r="J183" s="13" t="n"/>
      <c r="K183" s="13" t="n"/>
      <c r="L183" s="16">
        <f>IF(COUNT(E183:K183)=0,"",MIN(E183:K183))</f>
        <v/>
      </c>
      <c r="M183" s="15">
        <f>IF(COUNT(E183:K183)=0,"",LOOKUP(2,1/(E183:K183&lt;&gt;""),E183:K183))</f>
        <v/>
      </c>
      <c r="N183" s="17">
        <f>IF(L183="","",ROUND(L183*RESUMEN!$B$4,0))</f>
        <v/>
      </c>
      <c r="O183" s="18">
        <f>COUNT(E183:K183)</f>
        <v/>
      </c>
    </row>
    <row r="184">
      <c r="A184" s="13" t="inlineStr">
        <is>
          <t>42981877514380</t>
        </is>
      </c>
      <c r="B184" s="13" t="inlineStr">
        <is>
          <t>COLLAR LOCK CON ZIRCONIAS SILVER</t>
        </is>
      </c>
      <c r="C184" s="13" t="inlineStr">
        <is>
          <t>Default Title</t>
        </is>
      </c>
      <c r="D184" s="14" t="inlineStr">
        <is>
          <t>brass</t>
        </is>
      </c>
      <c r="E184" s="13" t="n"/>
      <c r="F184" s="13" t="n"/>
      <c r="G184" s="13" t="n"/>
      <c r="H184" s="13" t="n"/>
      <c r="I184" s="13" t="n"/>
      <c r="J184" s="15" t="n">
        <v>8.59</v>
      </c>
      <c r="K184" s="13" t="n"/>
      <c r="L184" s="16">
        <f>IF(COUNT(E184:K184)=0,"",MIN(E184:K184))</f>
        <v/>
      </c>
      <c r="M184" s="15">
        <f>IF(COUNT(E184:K184)=0,"",LOOKUP(2,1/(E184:K184&lt;&gt;""),E184:K184))</f>
        <v/>
      </c>
      <c r="N184" s="17">
        <f>IF(L184="","",ROUND(L184*RESUMEN!$B$4,0))</f>
        <v/>
      </c>
      <c r="O184" s="18">
        <f>COUNT(E184:K184)</f>
        <v/>
      </c>
    </row>
    <row r="185">
      <c r="A185" s="13" t="inlineStr">
        <is>
          <t>64e78d44e18fa</t>
        </is>
      </c>
      <c r="B185" s="13" t="inlineStr">
        <is>
          <t>COLLAR LV CON ZIRCONIA GOLD</t>
        </is>
      </c>
      <c r="C185" s="13" t="inlineStr">
        <is>
          <t>42cm</t>
        </is>
      </c>
      <c r="D185" s="14" t="inlineStr">
        <is>
          <t>brass</t>
        </is>
      </c>
      <c r="E185" s="13" t="n"/>
      <c r="F185" s="13" t="n"/>
      <c r="G185" s="15" t="n">
        <v>6.89</v>
      </c>
      <c r="H185" s="15" t="n">
        <v>6.89</v>
      </c>
      <c r="I185" s="13" t="n"/>
      <c r="J185" s="15" t="n">
        <v>6.89</v>
      </c>
      <c r="K185" s="13" t="n"/>
      <c r="L185" s="16">
        <f>IF(COUNT(E185:K185)=0,"",MIN(E185:K185))</f>
        <v/>
      </c>
      <c r="M185" s="15">
        <f>IF(COUNT(E185:K185)=0,"",LOOKUP(2,1/(E185:K185&lt;&gt;""),E185:K185))</f>
        <v/>
      </c>
      <c r="N185" s="17">
        <f>IF(L185="","",ROUND(L185*RESUMEN!$B$4,0))</f>
        <v/>
      </c>
      <c r="O185" s="18">
        <f>COUNT(E185:K185)</f>
        <v/>
      </c>
    </row>
    <row r="186">
      <c r="A186" s="13" t="inlineStr">
        <is>
          <t>64e78caf2dfa6</t>
        </is>
      </c>
      <c r="B186" s="13" t="inlineStr">
        <is>
          <t>COLLAR LV FLOWER GOLD</t>
        </is>
      </c>
      <c r="C186" s="13" t="inlineStr">
        <is>
          <t>Default Title</t>
        </is>
      </c>
      <c r="D186" s="14" t="inlineStr">
        <is>
          <t>brass</t>
        </is>
      </c>
      <c r="E186" s="13" t="n"/>
      <c r="F186" s="15" t="n">
        <v>5.59</v>
      </c>
      <c r="G186" s="15" t="n">
        <v>6.29</v>
      </c>
      <c r="H186" s="15" t="n">
        <v>7.29</v>
      </c>
      <c r="I186" s="13" t="n"/>
      <c r="J186" s="15" t="n">
        <v>6.49</v>
      </c>
      <c r="K186" s="15" t="n">
        <v>6.99</v>
      </c>
      <c r="L186" s="16">
        <f>IF(COUNT(E186:K186)=0,"",MIN(E186:K186))</f>
        <v/>
      </c>
      <c r="M186" s="15">
        <f>IF(COUNT(E186:K186)=0,"",LOOKUP(2,1/(E186:K186&lt;&gt;""),E186:K186))</f>
        <v/>
      </c>
      <c r="N186" s="17">
        <f>IF(L186="","",ROUND(L186*RESUMEN!$B$4,0))</f>
        <v/>
      </c>
      <c r="O186" s="18">
        <f>COUNT(E186:K186)</f>
        <v/>
      </c>
    </row>
    <row r="187">
      <c r="A187" s="13" t="inlineStr">
        <is>
          <t>64e78caeba151</t>
        </is>
      </c>
      <c r="B187" s="13" t="inlineStr">
        <is>
          <t>COLLAR LV FLOWER ROSE-GOLD</t>
        </is>
      </c>
      <c r="C187" s="13" t="inlineStr">
        <is>
          <t>Default Title</t>
        </is>
      </c>
      <c r="D187" s="14" t="inlineStr">
        <is>
          <t>brass</t>
        </is>
      </c>
      <c r="E187" s="15" t="n">
        <v>7.39</v>
      </c>
      <c r="F187" s="15" t="n">
        <v>5.59</v>
      </c>
      <c r="G187" s="15" t="n">
        <v>6.29</v>
      </c>
      <c r="H187" s="15" t="n">
        <v>7.29</v>
      </c>
      <c r="I187" s="13" t="n"/>
      <c r="J187" s="15" t="n">
        <v>6.49</v>
      </c>
      <c r="K187" s="13" t="n"/>
      <c r="L187" s="16">
        <f>IF(COUNT(E187:K187)=0,"",MIN(E187:K187))</f>
        <v/>
      </c>
      <c r="M187" s="15">
        <f>IF(COUNT(E187:K187)=0,"",LOOKUP(2,1/(E187:K187&lt;&gt;""),E187:K187))</f>
        <v/>
      </c>
      <c r="N187" s="17">
        <f>IF(L187="","",ROUND(L187*RESUMEN!$B$4,0))</f>
        <v/>
      </c>
      <c r="O187" s="18">
        <f>COUNT(E187:K187)</f>
        <v/>
      </c>
    </row>
    <row r="188">
      <c r="A188" s="13" t="inlineStr">
        <is>
          <t>64e78caddd20d</t>
        </is>
      </c>
      <c r="B188" s="13" t="inlineStr">
        <is>
          <t>COLLAR LV FLOWER SILVER</t>
        </is>
      </c>
      <c r="C188" s="13" t="inlineStr">
        <is>
          <t>Default Title</t>
        </is>
      </c>
      <c r="D188" s="14" t="inlineStr">
        <is>
          <t>brass</t>
        </is>
      </c>
      <c r="E188" s="13" t="n"/>
      <c r="F188" s="13" t="n"/>
      <c r="G188" s="15" t="n">
        <v>6.29</v>
      </c>
      <c r="H188" s="15" t="n">
        <v>7.29</v>
      </c>
      <c r="I188" s="13" t="n"/>
      <c r="J188" s="15" t="n">
        <v>6.49</v>
      </c>
      <c r="K188" s="13" t="n"/>
      <c r="L188" s="16">
        <f>IF(COUNT(E188:K188)=0,"",MIN(E188:K188))</f>
        <v/>
      </c>
      <c r="M188" s="15">
        <f>IF(COUNT(E188:K188)=0,"",LOOKUP(2,1/(E188:K188&lt;&gt;""),E188:K188))</f>
        <v/>
      </c>
      <c r="N188" s="17">
        <f>IF(L188="","",ROUND(L188*RESUMEN!$B$4,0))</f>
        <v/>
      </c>
      <c r="O188" s="18">
        <f>COUNT(E188:K188)</f>
        <v/>
      </c>
    </row>
    <row r="189">
      <c r="A189" s="13" t="inlineStr">
        <is>
          <t>22974391120269</t>
        </is>
      </c>
      <c r="B189" s="13" t="inlineStr">
        <is>
          <t>COLLAR LV GO-SOO GOLD</t>
        </is>
      </c>
      <c r="C189" s="13" t="inlineStr">
        <is>
          <t>Default Title</t>
        </is>
      </c>
      <c r="D189" s="14" t="inlineStr">
        <is>
          <t>brass</t>
        </is>
      </c>
      <c r="E189" s="13" t="n"/>
      <c r="F189" s="13" t="n"/>
      <c r="G189" s="13" t="n"/>
      <c r="H189" s="15" t="n">
        <v>5.59</v>
      </c>
      <c r="I189" s="13" t="n"/>
      <c r="J189" s="13" t="n"/>
      <c r="K189" s="13" t="n"/>
      <c r="L189" s="16">
        <f>IF(COUNT(E189:K189)=0,"",MIN(E189:K189))</f>
        <v/>
      </c>
      <c r="M189" s="15">
        <f>IF(COUNT(E189:K189)=0,"",LOOKUP(2,1/(E189:K189&lt;&gt;""),E189:K189))</f>
        <v/>
      </c>
      <c r="N189" s="17">
        <f>IF(L189="","",ROUND(L189*RESUMEN!$B$4,0))</f>
        <v/>
      </c>
      <c r="O189" s="18">
        <f>COUNT(E189:K189)</f>
        <v/>
      </c>
    </row>
    <row r="190">
      <c r="A190" s="13" t="inlineStr">
        <is>
          <t>22974391279021</t>
        </is>
      </c>
      <c r="B190" s="13" t="inlineStr">
        <is>
          <t>COLLAR LV ICONIC LOUISA SILVER</t>
        </is>
      </c>
      <c r="C190" s="13" t="inlineStr">
        <is>
          <t>Default Title</t>
        </is>
      </c>
      <c r="D190" s="14" t="inlineStr">
        <is>
          <t>brass</t>
        </is>
      </c>
      <c r="E190" s="13" t="n"/>
      <c r="F190" s="13" t="n"/>
      <c r="G190" s="13" t="n"/>
      <c r="H190" s="15" t="n">
        <v>7.99</v>
      </c>
      <c r="I190" s="13" t="n"/>
      <c r="J190" s="13" t="n"/>
      <c r="K190" s="13" t="n"/>
      <c r="L190" s="16">
        <f>IF(COUNT(E190:K190)=0,"",MIN(E190:K190))</f>
        <v/>
      </c>
      <c r="M190" s="15">
        <f>IF(COUNT(E190:K190)=0,"",LOOKUP(2,1/(E190:K190&lt;&gt;""),E190:K190))</f>
        <v/>
      </c>
      <c r="N190" s="17">
        <f>IF(L190="","",ROUND(L190*RESUMEN!$B$4,0))</f>
        <v/>
      </c>
      <c r="O190" s="18">
        <f>COUNT(E190:K190)</f>
        <v/>
      </c>
    </row>
    <row r="191">
      <c r="A191" s="13" t="inlineStr">
        <is>
          <t>22974391090893</t>
        </is>
      </c>
      <c r="B191" s="13" t="inlineStr">
        <is>
          <t>COLLAR LV LADY GOLD</t>
        </is>
      </c>
      <c r="C191" s="13" t="inlineStr">
        <is>
          <t>Default Title</t>
        </is>
      </c>
      <c r="D191" s="14" t="inlineStr">
        <is>
          <t>brass</t>
        </is>
      </c>
      <c r="E191" s="13" t="n"/>
      <c r="F191" s="13" t="n"/>
      <c r="G191" s="13" t="n"/>
      <c r="H191" s="15" t="n">
        <v>9.99</v>
      </c>
      <c r="I191" s="13" t="n"/>
      <c r="J191" s="13" t="n"/>
      <c r="K191" s="15" t="n">
        <v>9.59</v>
      </c>
      <c r="L191" s="16">
        <f>IF(COUNT(E191:K191)=0,"",MIN(E191:K191))</f>
        <v/>
      </c>
      <c r="M191" s="15">
        <f>IF(COUNT(E191:K191)=0,"",LOOKUP(2,1/(E191:K191&lt;&gt;""),E191:K191))</f>
        <v/>
      </c>
      <c r="N191" s="17">
        <f>IF(L191="","",ROUND(L191*RESUMEN!$B$4,0))</f>
        <v/>
      </c>
      <c r="O191" s="18">
        <f>COUNT(E191:K191)</f>
        <v/>
      </c>
    </row>
    <row r="192">
      <c r="A192" s="13" t="inlineStr">
        <is>
          <t>56481497298188</t>
        </is>
      </c>
      <c r="B192" s="13" t="inlineStr">
        <is>
          <t>COLLAR LV OMBRE</t>
        </is>
      </c>
      <c r="C192" s="13" t="inlineStr">
        <is>
          <t>39cm con extensión de 5cm</t>
        </is>
      </c>
      <c r="D192" s="14" t="inlineStr">
        <is>
          <t>brass</t>
        </is>
      </c>
      <c r="E192" s="13" t="n"/>
      <c r="F192" s="13" t="n"/>
      <c r="G192" s="13" t="n"/>
      <c r="H192" s="15" t="n">
        <v>6.59</v>
      </c>
      <c r="I192" s="15" t="n">
        <v>6.59</v>
      </c>
      <c r="J192" s="13" t="n"/>
      <c r="K192" s="13" t="n"/>
      <c r="L192" s="16">
        <f>IF(COUNT(E192:K192)=0,"",MIN(E192:K192))</f>
        <v/>
      </c>
      <c r="M192" s="15">
        <f>IF(COUNT(E192:K192)=0,"",LOOKUP(2,1/(E192:K192&lt;&gt;""),E192:K192))</f>
        <v/>
      </c>
      <c r="N192" s="17">
        <f>IF(L192="","",ROUND(L192*RESUMEN!$B$4,0))</f>
        <v/>
      </c>
      <c r="O192" s="18">
        <f>COUNT(E192:K192)</f>
        <v/>
      </c>
    </row>
    <row r="193">
      <c r="A193" s="13" t="inlineStr">
        <is>
          <t>42981966872716</t>
        </is>
      </c>
      <c r="B193" s="13" t="inlineStr">
        <is>
          <t>COLLAR POP H GOLD BLACK</t>
        </is>
      </c>
      <c r="C193" s="13" t="inlineStr">
        <is>
          <t>MEDIUM QUALITY</t>
        </is>
      </c>
      <c r="D193" s="14" t="inlineStr">
        <is>
          <t>stainless steel</t>
        </is>
      </c>
      <c r="E193" s="15" t="n">
        <v>3.99</v>
      </c>
      <c r="F193" s="15" t="n">
        <v>3.99</v>
      </c>
      <c r="G193" s="13" t="n"/>
      <c r="H193" s="15" t="n">
        <v>3.99</v>
      </c>
      <c r="I193" s="15" t="n">
        <v>3.99</v>
      </c>
      <c r="J193" s="13" t="n"/>
      <c r="K193" s="13" t="n"/>
      <c r="L193" s="16">
        <f>IF(COUNT(E193:K193)=0,"",MIN(E193:K193))</f>
        <v/>
      </c>
      <c r="M193" s="15">
        <f>IF(COUNT(E193:K193)=0,"",LOOKUP(2,1/(E193:K193&lt;&gt;""),E193:K193))</f>
        <v/>
      </c>
      <c r="N193" s="17">
        <f>IF(L193="","",ROUND(L193*RESUMEN!$B$4,0))</f>
        <v/>
      </c>
      <c r="O193" s="18">
        <f>COUNT(E193:K193)</f>
        <v/>
      </c>
    </row>
    <row r="194">
      <c r="A194" s="13" t="inlineStr">
        <is>
          <t>42981975064716</t>
        </is>
      </c>
      <c r="B194" s="13" t="inlineStr">
        <is>
          <t>COLLAR POP H GOLD WHITE</t>
        </is>
      </c>
      <c r="C194" s="13" t="inlineStr">
        <is>
          <t>Regular</t>
        </is>
      </c>
      <c r="D194" s="14" t="inlineStr">
        <is>
          <t>stainless steel</t>
        </is>
      </c>
      <c r="E194" s="15" t="n">
        <v>3.99</v>
      </c>
      <c r="F194" s="13" t="n"/>
      <c r="G194" s="15" t="n">
        <v>3.99</v>
      </c>
      <c r="H194" s="13" t="n"/>
      <c r="I194" s="15" t="n">
        <v>3.99</v>
      </c>
      <c r="J194" s="13" t="n"/>
      <c r="K194" s="13" t="n"/>
      <c r="L194" s="16">
        <f>IF(COUNT(E194:K194)=0,"",MIN(E194:K194))</f>
        <v/>
      </c>
      <c r="M194" s="15">
        <f>IF(COUNT(E194:K194)=0,"",LOOKUP(2,1/(E194:K194&lt;&gt;""),E194:K194))</f>
        <v/>
      </c>
      <c r="N194" s="17">
        <f>IF(L194="","",ROUND(L194*RESUMEN!$B$4,0))</f>
        <v/>
      </c>
      <c r="O194" s="18">
        <f>COUNT(E194:K194)</f>
        <v/>
      </c>
    </row>
    <row r="195">
      <c r="A195" s="13" t="inlineStr">
        <is>
          <t>42981971361932</t>
        </is>
      </c>
      <c r="B195" s="13" t="inlineStr">
        <is>
          <t>COLLAR POP H ROSEGOLD WHITE</t>
        </is>
      </c>
      <c r="C195" s="13" t="inlineStr">
        <is>
          <t>largo de Cadena 49cm  1.5cm de dije</t>
        </is>
      </c>
      <c r="D195" s="14" t="inlineStr">
        <is>
          <t>stainless steel</t>
        </is>
      </c>
      <c r="E195" s="13" t="n"/>
      <c r="F195" s="15" t="n">
        <v>0</v>
      </c>
      <c r="G195" s="13" t="n"/>
      <c r="H195" s="13" t="n"/>
      <c r="I195" s="13" t="n"/>
      <c r="J195" s="15" t="n">
        <v>3.99</v>
      </c>
      <c r="K195" s="13" t="n"/>
      <c r="L195" s="16">
        <f>IF(COUNT(E195:K195)=0,"",MIN(E195:K195))</f>
        <v/>
      </c>
      <c r="M195" s="15">
        <f>IF(COUNT(E195:K195)=0,"",LOOKUP(2,1/(E195:K195&lt;&gt;""),E195:K195))</f>
        <v/>
      </c>
      <c r="N195" s="17">
        <f>IF(L195="","",ROUND(L195*RESUMEN!$B$4,0))</f>
        <v/>
      </c>
      <c r="O195" s="18">
        <f>COUNT(E195:K195)</f>
        <v/>
      </c>
    </row>
    <row r="196">
      <c r="A196" s="13" t="inlineStr">
        <is>
          <t>42981964578956</t>
        </is>
      </c>
      <c r="B196" s="13" t="inlineStr">
        <is>
          <t>COLLAR POP H SILVER BLACK</t>
        </is>
      </c>
      <c r="C196" s="13" t="inlineStr">
        <is>
          <t>MEDIUM QUALITY</t>
        </is>
      </c>
      <c r="D196" s="14" t="inlineStr">
        <is>
          <t>stainless steel</t>
        </is>
      </c>
      <c r="E196" s="15" t="n">
        <v>3.99</v>
      </c>
      <c r="F196" s="15" t="n">
        <v>3.99</v>
      </c>
      <c r="G196" s="15" t="n">
        <v>3.99</v>
      </c>
      <c r="H196" s="15" t="n">
        <v>3.99</v>
      </c>
      <c r="I196" s="15" t="n">
        <v>3.99</v>
      </c>
      <c r="J196" s="13" t="n"/>
      <c r="K196" s="13" t="n"/>
      <c r="L196" s="16">
        <f>IF(COUNT(E196:K196)=0,"",MIN(E196:K196))</f>
        <v/>
      </c>
      <c r="M196" s="15">
        <f>IF(COUNT(E196:K196)=0,"",LOOKUP(2,1/(E196:K196&lt;&gt;""),E196:K196))</f>
        <v/>
      </c>
      <c r="N196" s="17">
        <f>IF(L196="","",ROUND(L196*RESUMEN!$B$4,0))</f>
        <v/>
      </c>
      <c r="O196" s="18">
        <f>COUNT(E196:K196)</f>
        <v/>
      </c>
    </row>
    <row r="197">
      <c r="A197" s="13" t="inlineStr">
        <is>
          <t>65786751076141</t>
        </is>
      </c>
      <c r="B197" s="13" t="inlineStr">
        <is>
          <t>COLLAR POP H SILVER WHITE</t>
        </is>
      </c>
      <c r="C197" s="13" t="inlineStr">
        <is>
          <t>MEDIUM QUALITY</t>
        </is>
      </c>
      <c r="D197" s="14" t="inlineStr">
        <is>
          <t>stainless steel</t>
        </is>
      </c>
      <c r="E197" s="15" t="n">
        <v>3.99</v>
      </c>
      <c r="F197" s="13" t="n"/>
      <c r="G197" s="13" t="n"/>
      <c r="H197" s="13" t="n"/>
      <c r="I197" s="15" t="n">
        <v>3.99</v>
      </c>
      <c r="J197" s="13" t="n"/>
      <c r="K197" s="13" t="n"/>
      <c r="L197" s="16">
        <f>IF(COUNT(E197:K197)=0,"",MIN(E197:K197))</f>
        <v/>
      </c>
      <c r="M197" s="15">
        <f>IF(COUNT(E197:K197)=0,"",LOOKUP(2,1/(E197:K197&lt;&gt;""),E197:K197))</f>
        <v/>
      </c>
      <c r="N197" s="17">
        <f>IF(L197="","",ROUND(L197*RESUMEN!$B$4,0))</f>
        <v/>
      </c>
      <c r="O197" s="18">
        <f>COUNT(E197:K197)</f>
        <v/>
      </c>
    </row>
    <row r="198">
      <c r="A198" s="13" t="inlineStr">
        <is>
          <t>66178423967c9</t>
        </is>
      </c>
      <c r="B198" s="13" t="inlineStr">
        <is>
          <t>COLLAR SERPENTI CON ZIRCONIA</t>
        </is>
      </c>
      <c r="C198" s="13" t="inlineStr">
        <is>
          <t>46cm</t>
        </is>
      </c>
      <c r="D198" s="14" t="inlineStr"/>
      <c r="E198" s="15" t="n">
        <v>19.99</v>
      </c>
      <c r="F198" s="15" t="n">
        <v>19.99</v>
      </c>
      <c r="G198" s="13" t="n"/>
      <c r="H198" s="13" t="n"/>
      <c r="I198" s="13" t="n"/>
      <c r="J198" s="13" t="n"/>
      <c r="K198" s="13" t="n"/>
      <c r="L198" s="16">
        <f>IF(COUNT(E198:K198)=0,"",MIN(E198:K198))</f>
        <v/>
      </c>
      <c r="M198" s="15">
        <f>IF(COUNT(E198:K198)=0,"",LOOKUP(2,1/(E198:K198&lt;&gt;""),E198:K198))</f>
        <v/>
      </c>
      <c r="N198" s="17">
        <f>IF(L198="","",ROUND(L198*RESUMEN!$B$4,0))</f>
        <v/>
      </c>
      <c r="O198" s="18">
        <f>COUNT(E198:K198)</f>
        <v/>
      </c>
    </row>
    <row r="199">
      <c r="A199" s="13" t="inlineStr">
        <is>
          <t>665bbe4f55773</t>
        </is>
      </c>
      <c r="B199" s="13" t="inlineStr">
        <is>
          <t>COLLAR SERPENTI SILVER LISO</t>
        </is>
      </c>
      <c r="C199" s="13" t="inlineStr">
        <is>
          <t>Regular</t>
        </is>
      </c>
      <c r="D199" s="14" t="inlineStr">
        <is>
          <t>brass</t>
        </is>
      </c>
      <c r="E199" s="13" t="n"/>
      <c r="F199" s="15" t="n">
        <v>17.99</v>
      </c>
      <c r="G199" s="13" t="n"/>
      <c r="H199" s="13" t="n"/>
      <c r="I199" s="13" t="n"/>
      <c r="J199" s="15" t="n">
        <v>19.99</v>
      </c>
      <c r="K199" s="13" t="n"/>
      <c r="L199" s="16">
        <f>IF(COUNT(E199:K199)=0,"",MIN(E199:K199))</f>
        <v/>
      </c>
      <c r="M199" s="15">
        <f>IF(COUNT(E199:K199)=0,"",LOOKUP(2,1/(E199:K199&lt;&gt;""),E199:K199))</f>
        <v/>
      </c>
      <c r="N199" s="17">
        <f>IF(L199="","",ROUND(L199*RESUMEN!$B$4,0))</f>
        <v/>
      </c>
      <c r="O199" s="18">
        <f>COUNT(E199:K199)</f>
        <v/>
      </c>
    </row>
    <row r="200">
      <c r="A200" s="13" t="inlineStr">
        <is>
          <t>71288023182573</t>
        </is>
      </c>
      <c r="B200" s="13" t="inlineStr">
        <is>
          <t>COLLAR T BEAN GOLD ZIRCONIAS</t>
        </is>
      </c>
      <c r="C200" s="13" t="inlineStr">
        <is>
          <t>Default Title</t>
        </is>
      </c>
      <c r="D200" s="14" t="inlineStr">
        <is>
          <t>brass</t>
        </is>
      </c>
      <c r="E200" s="13" t="n"/>
      <c r="F200" s="13" t="n"/>
      <c r="G200" s="13" t="n"/>
      <c r="H200" s="13" t="n"/>
      <c r="I200" s="13" t="n"/>
      <c r="J200" s="15" t="n">
        <v>8.890000000000001</v>
      </c>
      <c r="K200" s="13" t="n"/>
      <c r="L200" s="16">
        <f>IF(COUNT(E200:K200)=0,"",MIN(E200:K200))</f>
        <v/>
      </c>
      <c r="M200" s="15">
        <f>IF(COUNT(E200:K200)=0,"",LOOKUP(2,1/(E200:K200&lt;&gt;""),E200:K200))</f>
        <v/>
      </c>
      <c r="N200" s="17">
        <f>IF(L200="","",ROUND(L200*RESUMEN!$B$4,0))</f>
        <v/>
      </c>
      <c r="O200" s="18">
        <f>COUNT(E200:K200)</f>
        <v/>
      </c>
    </row>
    <row r="201">
      <c r="A201" s="13" t="inlineStr">
        <is>
          <t>71288023246413</t>
        </is>
      </c>
      <c r="B201" s="13" t="inlineStr">
        <is>
          <t>COLLAR T BEAN SILVER ZIRCONIAS</t>
        </is>
      </c>
      <c r="C201" s="13" t="inlineStr">
        <is>
          <t>Default Title</t>
        </is>
      </c>
      <c r="D201" s="14" t="inlineStr">
        <is>
          <t>brass</t>
        </is>
      </c>
      <c r="E201" s="13" t="n"/>
      <c r="F201" s="13" t="n"/>
      <c r="G201" s="13" t="n"/>
      <c r="H201" s="13" t="n"/>
      <c r="I201" s="13" t="n"/>
      <c r="J201" s="15" t="n">
        <v>8.890000000000001</v>
      </c>
      <c r="K201" s="13" t="n"/>
      <c r="L201" s="16">
        <f>IF(COUNT(E201:K201)=0,"",MIN(E201:K201))</f>
        <v/>
      </c>
      <c r="M201" s="15">
        <f>IF(COUNT(E201:K201)=0,"",LOOKUP(2,1/(E201:K201&lt;&gt;""),E201:K201))</f>
        <v/>
      </c>
      <c r="N201" s="17">
        <f>IF(L201="","",ROUND(L201*RESUMEN!$B$4,0))</f>
        <v/>
      </c>
      <c r="O201" s="18">
        <f>COUNT(E201:K201)</f>
        <v/>
      </c>
    </row>
    <row r="202">
      <c r="A202" s="13" t="inlineStr">
        <is>
          <t>68089821250541</t>
        </is>
      </c>
      <c r="B202" s="13" t="inlineStr">
        <is>
          <t>COLLAR T CON CIERRE DOBLE</t>
        </is>
      </c>
      <c r="C202" s="13" t="inlineStr">
        <is>
          <t>Default Title</t>
        </is>
      </c>
      <c r="D202" s="14" t="inlineStr">
        <is>
          <t>stainless steel</t>
        </is>
      </c>
      <c r="E202" s="13" t="n"/>
      <c r="F202" s="13" t="n"/>
      <c r="G202" s="13" t="n"/>
      <c r="H202" s="13" t="n"/>
      <c r="I202" s="13" t="n"/>
      <c r="J202" s="15" t="n">
        <v>6.99</v>
      </c>
      <c r="K202" s="13" t="n"/>
      <c r="L202" s="16">
        <f>IF(COUNT(E202:K202)=0,"",MIN(E202:K202))</f>
        <v/>
      </c>
      <c r="M202" s="15">
        <f>IF(COUNT(E202:K202)=0,"",LOOKUP(2,1/(E202:K202&lt;&gt;""),E202:K202))</f>
        <v/>
      </c>
      <c r="N202" s="17">
        <f>IF(L202="","",ROUND(L202*RESUMEN!$B$4,0))</f>
        <v/>
      </c>
      <c r="O202" s="18">
        <f>COUNT(E202:K202)</f>
        <v/>
      </c>
    </row>
    <row r="203">
      <c r="A203" s="13" t="inlineStr">
        <is>
          <t>36002950539532</t>
        </is>
      </c>
      <c r="B203" s="13" t="inlineStr">
        <is>
          <t>COLLAR T CORAZÓN</t>
        </is>
      </c>
      <c r="C203" s="13" t="inlineStr">
        <is>
          <t>Default Title</t>
        </is>
      </c>
      <c r="D203" s="14" t="inlineStr">
        <is>
          <t>brass</t>
        </is>
      </c>
      <c r="E203" s="15" t="n">
        <v>6.99</v>
      </c>
      <c r="F203" s="13" t="n"/>
      <c r="G203" s="15" t="n">
        <v>8.59</v>
      </c>
      <c r="H203" s="13" t="n"/>
      <c r="I203" s="15" t="n">
        <v>9.99</v>
      </c>
      <c r="J203" s="13" t="n"/>
      <c r="K203" s="13" t="n"/>
      <c r="L203" s="16">
        <f>IF(COUNT(E203:K203)=0,"",MIN(E203:K203))</f>
        <v/>
      </c>
      <c r="M203" s="15">
        <f>IF(COUNT(E203:K203)=0,"",LOOKUP(2,1/(E203:K203&lt;&gt;""),E203:K203))</f>
        <v/>
      </c>
      <c r="N203" s="17">
        <f>IF(L203="","",ROUND(L203*RESUMEN!$B$4,0))</f>
        <v/>
      </c>
      <c r="O203" s="18">
        <f>COUNT(E203:K203)</f>
        <v/>
      </c>
    </row>
    <row r="204">
      <c r="A204" s="13" t="inlineStr">
        <is>
          <t>68089821121165</t>
        </is>
      </c>
      <c r="B204" s="13" t="inlineStr">
        <is>
          <t>COLLAR T FULL HEART RETURN</t>
        </is>
      </c>
      <c r="C204" s="13" t="inlineStr">
        <is>
          <t>Default Title</t>
        </is>
      </c>
      <c r="D204" s="14" t="inlineStr">
        <is>
          <t>stainless steel</t>
        </is>
      </c>
      <c r="E204" s="13" t="n"/>
      <c r="F204" s="13" t="n"/>
      <c r="G204" s="13" t="n"/>
      <c r="H204" s="13" t="n"/>
      <c r="I204" s="13" t="n"/>
      <c r="J204" s="15" t="n">
        <v>5.19</v>
      </c>
      <c r="K204" s="13" t="n"/>
      <c r="L204" s="16">
        <f>IF(COUNT(E204:K204)=0,"",MIN(E204:K204))</f>
        <v/>
      </c>
      <c r="M204" s="15">
        <f>IF(COUNT(E204:K204)=0,"",LOOKUP(2,1/(E204:K204&lt;&gt;""),E204:K204))</f>
        <v/>
      </c>
      <c r="N204" s="17">
        <f>IF(L204="","",ROUND(L204*RESUMEN!$B$4,0))</f>
        <v/>
      </c>
      <c r="O204" s="18">
        <f>COUNT(E204:K204)</f>
        <v/>
      </c>
    </row>
    <row r="205">
      <c r="A205" s="13" t="inlineStr">
        <is>
          <t>62745763603661</t>
        </is>
      </c>
      <c r="B205" s="13" t="inlineStr">
        <is>
          <t>COLLAR T LOCK ALL ZIRCONIAS GOLD</t>
        </is>
      </c>
      <c r="C205" s="13" t="inlineStr">
        <is>
          <t>Default Title</t>
        </is>
      </c>
      <c r="D205" s="14" t="inlineStr">
        <is>
          <t>brass</t>
        </is>
      </c>
      <c r="E205" s="13" t="n"/>
      <c r="F205" s="13" t="n"/>
      <c r="G205" s="13" t="n"/>
      <c r="H205" s="13" t="n"/>
      <c r="I205" s="13" t="n"/>
      <c r="J205" s="15" t="n">
        <v>8.59</v>
      </c>
      <c r="K205" s="13" t="n"/>
      <c r="L205" s="16">
        <f>IF(COUNT(E205:K205)=0,"",MIN(E205:K205))</f>
        <v/>
      </c>
      <c r="M205" s="15">
        <f>IF(COUNT(E205:K205)=0,"",LOOKUP(2,1/(E205:K205&lt;&gt;""),E205:K205))</f>
        <v/>
      </c>
      <c r="N205" s="17">
        <f>IF(L205="","",ROUND(L205*RESUMEN!$B$4,0))</f>
        <v/>
      </c>
      <c r="O205" s="18">
        <f>COUNT(E205:K205)</f>
        <v/>
      </c>
    </row>
    <row r="206">
      <c r="A206" s="13" t="inlineStr">
        <is>
          <t>62745763733037</t>
        </is>
      </c>
      <c r="B206" s="13" t="inlineStr">
        <is>
          <t>COLLAR T LOCK GOLD</t>
        </is>
      </c>
      <c r="C206" s="13" t="inlineStr">
        <is>
          <t>Default Title</t>
        </is>
      </c>
      <c r="D206" s="14" t="inlineStr">
        <is>
          <t>brass</t>
        </is>
      </c>
      <c r="E206" s="13" t="n"/>
      <c r="F206" s="13" t="n"/>
      <c r="G206" s="13" t="n"/>
      <c r="H206" s="13" t="n"/>
      <c r="I206" s="13" t="n"/>
      <c r="J206" s="15" t="n">
        <v>7.59</v>
      </c>
      <c r="K206" s="13" t="n"/>
      <c r="L206" s="16">
        <f>IF(COUNT(E206:K206)=0,"",MIN(E206:K206))</f>
        <v/>
      </c>
      <c r="M206" s="15">
        <f>IF(COUNT(E206:K206)=0,"",LOOKUP(2,1/(E206:K206&lt;&gt;""),E206:K206))</f>
        <v/>
      </c>
      <c r="N206" s="17">
        <f>IF(L206="","",ROUND(L206*RESUMEN!$B$4,0))</f>
        <v/>
      </c>
      <c r="O206" s="18">
        <f>COUNT(E206:K206)</f>
        <v/>
      </c>
    </row>
    <row r="207">
      <c r="A207" s="13" t="inlineStr">
        <is>
          <t>62745763822861</t>
        </is>
      </c>
      <c r="B207" s="13" t="inlineStr">
        <is>
          <t>COLLAR T LOCK ROSE GOLD</t>
        </is>
      </c>
      <c r="C207" s="13" t="inlineStr">
        <is>
          <t>Default Title</t>
        </is>
      </c>
      <c r="D207" s="14" t="inlineStr">
        <is>
          <t>brass</t>
        </is>
      </c>
      <c r="E207" s="13" t="n"/>
      <c r="F207" s="13" t="n"/>
      <c r="G207" s="13" t="n"/>
      <c r="H207" s="13" t="n"/>
      <c r="I207" s="13" t="n"/>
      <c r="J207" s="15" t="n">
        <v>7.59</v>
      </c>
      <c r="K207" s="13" t="n"/>
      <c r="L207" s="16">
        <f>IF(COUNT(E207:K207)=0,"",MIN(E207:K207))</f>
        <v/>
      </c>
      <c r="M207" s="15">
        <f>IF(COUNT(E207:K207)=0,"",LOOKUP(2,1/(E207:K207&lt;&gt;""),E207:K207))</f>
        <v/>
      </c>
      <c r="N207" s="17">
        <f>IF(L207="","",ROUND(L207*RESUMEN!$B$4,0))</f>
        <v/>
      </c>
      <c r="O207" s="18">
        <f>COUNT(E207:K207)</f>
        <v/>
      </c>
    </row>
    <row r="208">
      <c r="A208" s="13" t="inlineStr">
        <is>
          <t>68089821024557</t>
        </is>
      </c>
      <c r="B208" s="13" t="inlineStr">
        <is>
          <t>COLLAR T LOCK SILVER</t>
        </is>
      </c>
      <c r="C208" s="13" t="inlineStr">
        <is>
          <t>Default Title</t>
        </is>
      </c>
      <c r="D208" s="14" t="inlineStr">
        <is>
          <t>brass</t>
        </is>
      </c>
      <c r="E208" s="13" t="n"/>
      <c r="F208" s="13" t="n"/>
      <c r="G208" s="13" t="n"/>
      <c r="H208" s="13" t="n"/>
      <c r="I208" s="13" t="n"/>
      <c r="J208" s="15" t="n">
        <v>7.59</v>
      </c>
      <c r="K208" s="13" t="n"/>
      <c r="L208" s="16">
        <f>IF(COUNT(E208:K208)=0,"",MIN(E208:K208))</f>
        <v/>
      </c>
      <c r="M208" s="15">
        <f>IF(COUNT(E208:K208)=0,"",LOOKUP(2,1/(E208:K208&lt;&gt;""),E208:K208))</f>
        <v/>
      </c>
      <c r="N208" s="17">
        <f>IF(L208="","",ROUND(L208*RESUMEN!$B$4,0))</f>
        <v/>
      </c>
      <c r="O208" s="18">
        <f>COUNT(E208:K208)</f>
        <v/>
      </c>
    </row>
    <row r="209">
      <c r="A209" s="13" t="inlineStr">
        <is>
          <t>68089821636973</t>
        </is>
      </c>
      <c r="B209" s="13" t="inlineStr">
        <is>
          <t>COLLAR T PALOMA PICASSO</t>
        </is>
      </c>
      <c r="C209" s="13" t="inlineStr">
        <is>
          <t>Default Title</t>
        </is>
      </c>
      <c r="D209" s="14" t="inlineStr">
        <is>
          <t>brass</t>
        </is>
      </c>
      <c r="E209" s="13" t="n"/>
      <c r="F209" s="13" t="n"/>
      <c r="G209" s="13" t="n"/>
      <c r="H209" s="13" t="n"/>
      <c r="I209" s="13" t="n"/>
      <c r="J209" s="15" t="n">
        <v>6.59</v>
      </c>
      <c r="K209" s="13" t="n"/>
      <c r="L209" s="16">
        <f>IF(COUNT(E209:K209)=0,"",MIN(E209:K209))</f>
        <v/>
      </c>
      <c r="M209" s="15">
        <f>IF(COUNT(E209:K209)=0,"",LOOKUP(2,1/(E209:K209&lt;&gt;""),E209:K209))</f>
        <v/>
      </c>
      <c r="N209" s="17">
        <f>IF(L209="","",ROUND(L209*RESUMEN!$B$4,0))</f>
        <v/>
      </c>
      <c r="O209" s="18">
        <f>COUNT(E209:K209)</f>
        <v/>
      </c>
    </row>
    <row r="210">
      <c r="A210" s="13" t="inlineStr">
        <is>
          <t>62745764129645</t>
        </is>
      </c>
      <c r="B210" s="13" t="inlineStr">
        <is>
          <t>COLLAR T SIXTEEN STONE</t>
        </is>
      </c>
      <c r="C210" s="13" t="inlineStr">
        <is>
          <t>Default Title</t>
        </is>
      </c>
      <c r="D210" s="14" t="inlineStr">
        <is>
          <t>brass</t>
        </is>
      </c>
      <c r="E210" s="13" t="n"/>
      <c r="F210" s="13" t="n"/>
      <c r="G210" s="13" t="n"/>
      <c r="H210" s="13" t="n"/>
      <c r="I210" s="13" t="n"/>
      <c r="J210" s="15" t="n">
        <v>7.69</v>
      </c>
      <c r="K210" s="13" t="n"/>
      <c r="L210" s="16">
        <f>IF(COUNT(E210:K210)=0,"",MIN(E210:K210))</f>
        <v/>
      </c>
      <c r="M210" s="15">
        <f>IF(COUNT(E210:K210)=0,"",LOOKUP(2,1/(E210:K210&lt;&gt;""),E210:K210))</f>
        <v/>
      </c>
      <c r="N210" s="17">
        <f>IF(L210="","",ROUND(L210*RESUMEN!$B$4,0))</f>
        <v/>
      </c>
      <c r="O210" s="18">
        <f>COUNT(E210:K210)</f>
        <v/>
      </c>
    </row>
    <row r="211">
      <c r="A211" s="13" t="inlineStr">
        <is>
          <t>68089821542061</t>
        </is>
      </c>
      <c r="B211" s="13" t="inlineStr">
        <is>
          <t>COLLAR T SIXTEEN STONE SILVER BLUE</t>
        </is>
      </c>
      <c r="C211" s="13" t="inlineStr">
        <is>
          <t>Default Title</t>
        </is>
      </c>
      <c r="D211" s="14" t="inlineStr">
        <is>
          <t>brass</t>
        </is>
      </c>
      <c r="E211" s="13" t="n"/>
      <c r="F211" s="13" t="n"/>
      <c r="G211" s="13" t="n"/>
      <c r="H211" s="13" t="n"/>
      <c r="I211" s="13" t="n"/>
      <c r="J211" s="15" t="n">
        <v>8.19</v>
      </c>
      <c r="K211" s="13" t="n"/>
      <c r="L211" s="16">
        <f>IF(COUNT(E211:K211)=0,"",MIN(E211:K211))</f>
        <v/>
      </c>
      <c r="M211" s="15">
        <f>IF(COUNT(E211:K211)=0,"",LOOKUP(2,1/(E211:K211&lt;&gt;""),E211:K211))</f>
        <v/>
      </c>
      <c r="N211" s="17">
        <f>IF(L211="","",ROUND(L211*RESUMEN!$B$4,0))</f>
        <v/>
      </c>
      <c r="O211" s="18">
        <f>COUNT(E211:K211)</f>
        <v/>
      </c>
    </row>
    <row r="212">
      <c r="A212" s="13" t="inlineStr">
        <is>
          <t>62745763998573</t>
        </is>
      </c>
      <c r="B212" s="13" t="inlineStr">
        <is>
          <t>COLLAR T SMILE ZIRCONIAS GOLD</t>
        </is>
      </c>
      <c r="C212" s="13" t="inlineStr">
        <is>
          <t>Default Title</t>
        </is>
      </c>
      <c r="D212" s="14" t="inlineStr">
        <is>
          <t>brass</t>
        </is>
      </c>
      <c r="E212" s="13" t="n"/>
      <c r="F212" s="13" t="n"/>
      <c r="G212" s="13" t="n"/>
      <c r="H212" s="13" t="n"/>
      <c r="I212" s="13" t="n"/>
      <c r="J212" s="15" t="n">
        <v>7.19</v>
      </c>
      <c r="K212" s="13" t="n"/>
      <c r="L212" s="16">
        <f>IF(COUNT(E212:K212)=0,"",MIN(E212:K212))</f>
        <v/>
      </c>
      <c r="M212" s="15">
        <f>IF(COUNT(E212:K212)=0,"",LOOKUP(2,1/(E212:K212&lt;&gt;""),E212:K212))</f>
        <v/>
      </c>
      <c r="N212" s="17">
        <f>IF(L212="","",ROUND(L212*RESUMEN!$B$4,0))</f>
        <v/>
      </c>
      <c r="O212" s="18">
        <f>COUNT(E212:K212)</f>
        <v/>
      </c>
    </row>
    <row r="213">
      <c r="A213" s="13" t="inlineStr">
        <is>
          <t>62745764027949</t>
        </is>
      </c>
      <c r="B213" s="13" t="inlineStr">
        <is>
          <t>COLLAR T SMILE ZIRCONIAS ROSE GOLD</t>
        </is>
      </c>
      <c r="C213" s="13" t="inlineStr">
        <is>
          <t>Default Title</t>
        </is>
      </c>
      <c r="D213" s="14" t="inlineStr">
        <is>
          <t>brass</t>
        </is>
      </c>
      <c r="E213" s="13" t="n"/>
      <c r="F213" s="13" t="n"/>
      <c r="G213" s="13" t="n"/>
      <c r="H213" s="13" t="n"/>
      <c r="I213" s="13" t="n"/>
      <c r="J213" s="15" t="n">
        <v>7.19</v>
      </c>
      <c r="K213" s="13" t="n"/>
      <c r="L213" s="16">
        <f>IF(COUNT(E213:K213)=0,"",MIN(E213:K213))</f>
        <v/>
      </c>
      <c r="M213" s="15">
        <f>IF(COUNT(E213:K213)=0,"",LOOKUP(2,1/(E213:K213&lt;&gt;""),E213:K213))</f>
        <v/>
      </c>
      <c r="N213" s="17">
        <f>IF(L213="","",ROUND(L213*RESUMEN!$B$4,0))</f>
        <v/>
      </c>
      <c r="O213" s="18">
        <f>COUNT(E213:K213)</f>
        <v/>
      </c>
    </row>
    <row r="214">
      <c r="A214" s="13" t="inlineStr">
        <is>
          <t>68089821735277</t>
        </is>
      </c>
      <c r="B214" s="13" t="inlineStr">
        <is>
          <t>COLLAR T TIPO LAZO OPEN HEART ROSE GOLD</t>
        </is>
      </c>
      <c r="C214" s="13" t="inlineStr">
        <is>
          <t>Default Title</t>
        </is>
      </c>
      <c r="D214" s="14" t="inlineStr">
        <is>
          <t>brass</t>
        </is>
      </c>
      <c r="E214" s="13" t="n"/>
      <c r="F214" s="13" t="n"/>
      <c r="G214" s="13" t="n"/>
      <c r="H214" s="13" t="n"/>
      <c r="I214" s="13" t="n"/>
      <c r="J214" s="15" t="n">
        <v>7.29</v>
      </c>
      <c r="K214" s="13" t="n"/>
      <c r="L214" s="16">
        <f>IF(COUNT(E214:K214)=0,"",MIN(E214:K214))</f>
        <v/>
      </c>
      <c r="M214" s="15">
        <f>IF(COUNT(E214:K214)=0,"",LOOKUP(2,1/(E214:K214&lt;&gt;""),E214:K214))</f>
        <v/>
      </c>
      <c r="N214" s="17">
        <f>IF(L214="","",ROUND(L214*RESUMEN!$B$4,0))</f>
        <v/>
      </c>
      <c r="O214" s="18">
        <f>COUNT(E214:K214)</f>
        <v/>
      </c>
    </row>
    <row r="215">
      <c r="A215" s="13" t="inlineStr">
        <is>
          <t>81836201485581</t>
        </is>
      </c>
      <c r="B215" s="13" t="inlineStr">
        <is>
          <t>COLLAR TRES AROS</t>
        </is>
      </c>
      <c r="C215" s="13" t="inlineStr">
        <is>
          <t>45cm middle quality</t>
        </is>
      </c>
      <c r="D215" s="14" t="inlineStr"/>
      <c r="E215" s="13" t="n"/>
      <c r="F215" s="15" t="n">
        <v>7.39</v>
      </c>
      <c r="G215" s="13" t="n"/>
      <c r="H215" s="13" t="n"/>
      <c r="I215" s="13" t="n"/>
      <c r="J215" s="13" t="n"/>
      <c r="K215" s="13" t="n"/>
      <c r="L215" s="16">
        <f>IF(COUNT(E215:K215)=0,"",MIN(E215:K215))</f>
        <v/>
      </c>
      <c r="M215" s="15">
        <f>IF(COUNT(E215:K215)=0,"",LOOKUP(2,1/(E215:K215&lt;&gt;""),E215:K215))</f>
        <v/>
      </c>
      <c r="N215" s="17">
        <f>IF(L215="","",ROUND(L215*RESUMEN!$B$4,0))</f>
        <v/>
      </c>
      <c r="O215" s="18">
        <f>COUNT(E215:K215)</f>
        <v/>
      </c>
    </row>
    <row r="216">
      <c r="A216" s="13" t="inlineStr">
        <is>
          <t>42982026674316</t>
        </is>
      </c>
      <c r="B216" s="13" t="inlineStr">
        <is>
          <t>COLLAR V ROUND GOLD</t>
        </is>
      </c>
      <c r="C216" s="13" t="inlineStr">
        <is>
          <t>51cm de largo</t>
        </is>
      </c>
      <c r="D216" s="14" t="inlineStr">
        <is>
          <t>brass</t>
        </is>
      </c>
      <c r="E216" s="15" t="n">
        <v>5.59</v>
      </c>
      <c r="F216" s="13" t="n"/>
      <c r="G216" s="13" t="n"/>
      <c r="H216" s="13" t="n"/>
      <c r="I216" s="13" t="n"/>
      <c r="J216" s="15" t="n">
        <v>6.29</v>
      </c>
      <c r="K216" s="13" t="n"/>
      <c r="L216" s="16">
        <f>IF(COUNT(E216:K216)=0,"",MIN(E216:K216))</f>
        <v/>
      </c>
      <c r="M216" s="15">
        <f>IF(COUNT(E216:K216)=0,"",LOOKUP(2,1/(E216:K216&lt;&gt;""),E216:K216))</f>
        <v/>
      </c>
      <c r="N216" s="17">
        <f>IF(L216="","",ROUND(L216*RESUMEN!$B$4,0))</f>
        <v/>
      </c>
      <c r="O216" s="18">
        <f>COUNT(E216:K216)</f>
        <v/>
      </c>
    </row>
    <row r="217">
      <c r="A217" s="13" t="inlineStr">
        <is>
          <t>71288021662829</t>
        </is>
      </c>
      <c r="B217" s="13" t="inlineStr">
        <is>
          <t>COLLAR VF ALHAMBRA SILVER</t>
        </is>
      </c>
      <c r="C217" s="13" t="inlineStr">
        <is>
          <t>Default Title</t>
        </is>
      </c>
      <c r="D217" s="14" t="inlineStr">
        <is>
          <t>brass</t>
        </is>
      </c>
      <c r="E217" s="13" t="n"/>
      <c r="F217" s="13" t="n"/>
      <c r="G217" s="13" t="n"/>
      <c r="H217" s="13" t="n"/>
      <c r="I217" s="13" t="n"/>
      <c r="J217" s="15" t="n">
        <v>5.59</v>
      </c>
      <c r="K217" s="13" t="n"/>
      <c r="L217" s="16">
        <f>IF(COUNT(E217:K217)=0,"",MIN(E217:K217))</f>
        <v/>
      </c>
      <c r="M217" s="15">
        <f>IF(COUNT(E217:K217)=0,"",LOOKUP(2,1/(E217:K217&lt;&gt;""),E217:K217))</f>
        <v/>
      </c>
      <c r="N217" s="17">
        <f>IF(L217="","",ROUND(L217*RESUMEN!$B$4,0))</f>
        <v/>
      </c>
      <c r="O217" s="18">
        <f>COUNT(E217:K217)</f>
        <v/>
      </c>
    </row>
    <row r="218">
      <c r="A218" s="13" t="inlineStr">
        <is>
          <t>71288021533453</t>
        </is>
      </c>
      <c r="B218" s="13" t="inlineStr">
        <is>
          <t>COLLAR VF ARPELS GOLD</t>
        </is>
      </c>
      <c r="C218" s="13" t="inlineStr">
        <is>
          <t>Default Title</t>
        </is>
      </c>
      <c r="D218" s="14" t="inlineStr">
        <is>
          <t>brass</t>
        </is>
      </c>
      <c r="E218" s="13" t="n"/>
      <c r="F218" s="13" t="n"/>
      <c r="G218" s="13" t="n"/>
      <c r="H218" s="13" t="n"/>
      <c r="I218" s="13" t="n"/>
      <c r="J218" s="15" t="n">
        <v>5.99</v>
      </c>
      <c r="K218" s="13" t="n"/>
      <c r="L218" s="16">
        <f>IF(COUNT(E218:K218)=0,"",MIN(E218:K218))</f>
        <v/>
      </c>
      <c r="M218" s="15">
        <f>IF(COUNT(E218:K218)=0,"",LOOKUP(2,1/(E218:K218&lt;&gt;""),E218:K218))</f>
        <v/>
      </c>
      <c r="N218" s="17">
        <f>IF(L218="","",ROUND(L218*RESUMEN!$B$4,0))</f>
        <v/>
      </c>
      <c r="O218" s="18">
        <f>COUNT(E218:K218)</f>
        <v/>
      </c>
    </row>
    <row r="219">
      <c r="A219" s="13" t="inlineStr">
        <is>
          <t>648cc5ff73cd7</t>
        </is>
      </c>
      <c r="B219" s="13" t="inlineStr">
        <is>
          <t>COLLAR YSL GOLD (NECKLACE)</t>
        </is>
      </c>
      <c r="C219" s="13" t="inlineStr">
        <is>
          <t>20cm HIGH QUALITY</t>
        </is>
      </c>
      <c r="D219" s="14" t="inlineStr">
        <is>
          <t>brass</t>
        </is>
      </c>
      <c r="E219" s="13" t="n"/>
      <c r="F219" s="13" t="n"/>
      <c r="G219" s="13" t="n"/>
      <c r="H219" s="15" t="n">
        <v>6.29</v>
      </c>
      <c r="I219" s="15" t="n">
        <v>6.29</v>
      </c>
      <c r="J219" s="13" t="n"/>
      <c r="K219" s="13" t="n"/>
      <c r="L219" s="16">
        <f>IF(COUNT(E219:K219)=0,"",MIN(E219:K219))</f>
        <v/>
      </c>
      <c r="M219" s="15">
        <f>IF(COUNT(E219:K219)=0,"",LOOKUP(2,1/(E219:K219&lt;&gt;""),E219:K219))</f>
        <v/>
      </c>
      <c r="N219" s="17">
        <f>IF(L219="","",ROUND(L219*RESUMEN!$B$4,0))</f>
        <v/>
      </c>
      <c r="O219" s="18">
        <f>COUNT(E219:K219)</f>
        <v/>
      </c>
    </row>
    <row r="220">
      <c r="A220" s="13" t="inlineStr">
        <is>
          <t>43728135084716</t>
        </is>
      </c>
      <c r="B220" s="13" t="inlineStr">
        <is>
          <t>COLLAR YSL GOLD (NECKLACE)</t>
        </is>
      </c>
      <c r="C220" s="13" t="inlineStr">
        <is>
          <t>REGULAR</t>
        </is>
      </c>
      <c r="D220" s="14" t="inlineStr">
        <is>
          <t>brass</t>
        </is>
      </c>
      <c r="E220" s="13" t="n"/>
      <c r="F220" s="15" t="n">
        <v>5.59</v>
      </c>
      <c r="G220" s="13" t="n"/>
      <c r="H220" s="13" t="n"/>
      <c r="I220" s="13" t="n"/>
      <c r="J220" s="15" t="n">
        <v>6.29</v>
      </c>
      <c r="K220" s="13" t="n"/>
      <c r="L220" s="16">
        <f>IF(COUNT(E220:K220)=0,"",MIN(E220:K220))</f>
        <v/>
      </c>
      <c r="M220" s="15">
        <f>IF(COUNT(E220:K220)=0,"",LOOKUP(2,1/(E220:K220&lt;&gt;""),E220:K220))</f>
        <v/>
      </c>
      <c r="N220" s="17">
        <f>IF(L220="","",ROUND(L220*RESUMEN!$B$4,0))</f>
        <v/>
      </c>
      <c r="O220" s="18">
        <f>COUNT(E220:K220)</f>
        <v/>
      </c>
    </row>
    <row r="221">
      <c r="A221" s="13" t="inlineStr">
        <is>
          <t>66745aa7a2ba5</t>
        </is>
      </c>
      <c r="B221" s="13" t="inlineStr">
        <is>
          <t>GARGANTILLA 10 TRÉBOLES GOLD BLACK</t>
        </is>
      </c>
      <c r="C221" s="13" t="inlineStr">
        <is>
          <t>15mm</t>
        </is>
      </c>
      <c r="D221" s="14" t="inlineStr">
        <is>
          <t>brass</t>
        </is>
      </c>
      <c r="E221" s="13" t="n"/>
      <c r="F221" s="13" t="n"/>
      <c r="G221" s="15" t="n">
        <v>16.59</v>
      </c>
      <c r="H221" s="13" t="n"/>
      <c r="I221" s="15" t="n">
        <v>16.59</v>
      </c>
      <c r="J221" s="13" t="n"/>
      <c r="K221" s="13" t="n"/>
      <c r="L221" s="16">
        <f>IF(COUNT(E221:K221)=0,"",MIN(E221:K221))</f>
        <v/>
      </c>
      <c r="M221" s="15">
        <f>IF(COUNT(E221:K221)=0,"",LOOKUP(2,1/(E221:K221&lt;&gt;""),E221:K221))</f>
        <v/>
      </c>
      <c r="N221" s="17">
        <f>IF(L221="","",ROUND(L221*RESUMEN!$B$4,0))</f>
        <v/>
      </c>
      <c r="O221" s="18">
        <f>COUNT(E221:K221)</f>
        <v/>
      </c>
    </row>
    <row r="222">
      <c r="A222" s="13" t="inlineStr">
        <is>
          <t>66745adaed578</t>
        </is>
      </c>
      <c r="B222" s="13" t="inlineStr">
        <is>
          <t>GARGANTILLA 10 TRÉBOLES GOLD RED</t>
        </is>
      </c>
      <c r="C222" s="13" t="inlineStr">
        <is>
          <t>15mm</t>
        </is>
      </c>
      <c r="D222" s="14" t="inlineStr"/>
      <c r="E222" s="15" t="n">
        <v>16.59</v>
      </c>
      <c r="F222" s="13" t="n"/>
      <c r="G222" s="13" t="n"/>
      <c r="H222" s="13" t="n"/>
      <c r="I222" s="13" t="n"/>
      <c r="J222" s="13" t="n"/>
      <c r="K222" s="13" t="n"/>
      <c r="L222" s="16">
        <f>IF(COUNT(E222:K222)=0,"",MIN(E222:K222))</f>
        <v/>
      </c>
      <c r="M222" s="15">
        <f>IF(COUNT(E222:K222)=0,"",LOOKUP(2,1/(E222:K222&lt;&gt;""),E222:K222))</f>
        <v/>
      </c>
      <c r="N222" s="17">
        <f>IF(L222="","",ROUND(L222*RESUMEN!$B$4,0))</f>
        <v/>
      </c>
      <c r="O222" s="18">
        <f>COUNT(E222:K222)</f>
        <v/>
      </c>
    </row>
    <row r="223">
      <c r="A223" s="13" t="inlineStr">
        <is>
          <t>66745adb8510f-1</t>
        </is>
      </c>
      <c r="B223" s="13" t="inlineStr">
        <is>
          <t>GARGANTILLA 10 TRÉBOLES SILVER BLACK</t>
        </is>
      </c>
      <c r="C223" s="13" t="inlineStr">
        <is>
          <t>15mm</t>
        </is>
      </c>
      <c r="D223" s="14" t="inlineStr">
        <is>
          <t>brass</t>
        </is>
      </c>
      <c r="E223" s="13" t="n"/>
      <c r="F223" s="13" t="n"/>
      <c r="G223" s="13" t="n"/>
      <c r="H223" s="13" t="n"/>
      <c r="I223" s="15" t="n">
        <v>16.59</v>
      </c>
      <c r="J223" s="13" t="n"/>
      <c r="K223" s="13" t="n"/>
      <c r="L223" s="16">
        <f>IF(COUNT(E223:K223)=0,"",MIN(E223:K223))</f>
        <v/>
      </c>
      <c r="M223" s="15">
        <f>IF(COUNT(E223:K223)=0,"",LOOKUP(2,1/(E223:K223&lt;&gt;""),E223:K223))</f>
        <v/>
      </c>
      <c r="N223" s="17">
        <f>IF(L223="","",ROUND(L223*RESUMEN!$B$4,0))</f>
        <v/>
      </c>
      <c r="O223" s="18">
        <f>COUNT(E223:K223)</f>
        <v/>
      </c>
    </row>
    <row r="224">
      <c r="A224" s="13" t="inlineStr">
        <is>
          <t>66745aa830c56</t>
        </is>
      </c>
      <c r="B224" s="13" t="inlineStr">
        <is>
          <t>GARGANTILLA 10 TR√âBOLES GOLD GREEN</t>
        </is>
      </c>
      <c r="C224" s="13" t="inlineStr">
        <is>
          <t>15mm</t>
        </is>
      </c>
      <c r="D224" s="14" t="inlineStr"/>
      <c r="E224" s="13" t="n"/>
      <c r="F224" s="15" t="n">
        <v>16.59</v>
      </c>
      <c r="G224" s="15" t="n">
        <v>16.59</v>
      </c>
      <c r="H224" s="13" t="n"/>
      <c r="I224" s="13" t="n"/>
      <c r="J224" s="13" t="n"/>
      <c r="K224" s="13" t="n"/>
      <c r="L224" s="16">
        <f>IF(COUNT(E224:K224)=0,"",MIN(E224:K224))</f>
        <v/>
      </c>
      <c r="M224" s="15">
        <f>IF(COUNT(E224:K224)=0,"",LOOKUP(2,1/(E224:K224&lt;&gt;""),E224:K224))</f>
        <v/>
      </c>
      <c r="N224" s="17">
        <f>IF(L224="","",ROUND(L224*RESUMEN!$B$4,0))</f>
        <v/>
      </c>
      <c r="O224" s="18">
        <f>COUNT(E224:K224)</f>
        <v/>
      </c>
    </row>
    <row r="225">
      <c r="A225" s="13" t="inlineStr">
        <is>
          <t>22974392517357</t>
        </is>
      </c>
      <c r="B225" s="13" t="inlineStr">
        <is>
          <t>GARGANTILLA CD BLACK</t>
        </is>
      </c>
      <c r="C225" s="13" t="inlineStr">
        <is>
          <t>Default Title</t>
        </is>
      </c>
      <c r="D225" s="14" t="inlineStr">
        <is>
          <t>brass</t>
        </is>
      </c>
      <c r="E225" s="13" t="n"/>
      <c r="F225" s="13" t="n"/>
      <c r="G225" s="13" t="n"/>
      <c r="H225" s="15" t="n">
        <v>5.59</v>
      </c>
      <c r="I225" s="13" t="n"/>
      <c r="J225" s="15" t="n">
        <v>5.59</v>
      </c>
      <c r="K225" s="15" t="n">
        <v>5.59</v>
      </c>
      <c r="L225" s="16">
        <f>IF(COUNT(E225:K225)=0,"",MIN(E225:K225))</f>
        <v/>
      </c>
      <c r="M225" s="15">
        <f>IF(COUNT(E225:K225)=0,"",LOOKUP(2,1/(E225:K225&lt;&gt;""),E225:K225))</f>
        <v/>
      </c>
      <c r="N225" s="17">
        <f>IF(L225="","",ROUND(L225*RESUMEN!$B$4,0))</f>
        <v/>
      </c>
      <c r="O225" s="18">
        <f>COUNT(E225:K225)</f>
        <v/>
      </c>
    </row>
    <row r="226">
      <c r="A226" s="13" t="inlineStr">
        <is>
          <t>63ebdc0092a53</t>
        </is>
      </c>
      <c r="B226" s="13" t="inlineStr">
        <is>
          <t>GARGANTILLA TRÉBOL GOLD</t>
        </is>
      </c>
      <c r="C226" s="13" t="inlineStr">
        <is>
          <t>47cm</t>
        </is>
      </c>
      <c r="D226" s="14" t="inlineStr">
        <is>
          <t>brass</t>
        </is>
      </c>
      <c r="E226" s="13" t="n"/>
      <c r="F226" s="15" t="n">
        <v>16.59</v>
      </c>
      <c r="G226" s="13" t="n"/>
      <c r="H226" s="15" t="n">
        <v>16.59</v>
      </c>
      <c r="I226" s="13" t="n"/>
      <c r="J226" s="13" t="n"/>
      <c r="K226" s="13" t="n"/>
      <c r="L226" s="16">
        <f>IF(COUNT(E226:K226)=0,"",MIN(E226:K226))</f>
        <v/>
      </c>
      <c r="M226" s="15">
        <f>IF(COUNT(E226:K226)=0,"",LOOKUP(2,1/(E226:K226&lt;&gt;""),E226:K226))</f>
        <v/>
      </c>
      <c r="N226" s="17">
        <f>IF(L226="","",ROUND(L226*RESUMEN!$B$4,0))</f>
        <v/>
      </c>
      <c r="O226" s="18">
        <f>COUNT(E226:K226)</f>
        <v/>
      </c>
    </row>
    <row r="227">
      <c r="A227" s="13" t="inlineStr">
        <is>
          <t>62745761085613</t>
        </is>
      </c>
      <c r="B227" s="13" t="inlineStr">
        <is>
          <t>MONEDERO G PM BLACK</t>
        </is>
      </c>
      <c r="C227" s="13" t="inlineStr">
        <is>
          <t>Default Title</t>
        </is>
      </c>
      <c r="D227" s="14" t="inlineStr">
        <is>
          <t>Genuine leather/</t>
        </is>
      </c>
      <c r="E227" s="13" t="n"/>
      <c r="F227" s="13" t="n"/>
      <c r="G227" s="13" t="n"/>
      <c r="H227" s="13" t="n"/>
      <c r="I227" s="13" t="n"/>
      <c r="J227" s="15" t="n">
        <v>13.19</v>
      </c>
      <c r="K227" s="13" t="n"/>
      <c r="L227" s="16">
        <f>IF(COUNT(E227:K227)=0,"",MIN(E227:K227))</f>
        <v/>
      </c>
      <c r="M227" s="15">
        <f>IF(COUNT(E227:K227)=0,"",LOOKUP(2,1/(E227:K227&lt;&gt;""),E227:K227))</f>
        <v/>
      </c>
      <c r="N227" s="17">
        <f>IF(L227="","",ROUND(L227*RESUMEN!$B$4,0))</f>
        <v/>
      </c>
      <c r="O227" s="18">
        <f>COUNT(E227:K227)</f>
        <v/>
      </c>
    </row>
    <row r="228">
      <c r="A228" s="13" t="inlineStr">
        <is>
          <t>62745761151149</t>
        </is>
      </c>
      <c r="B228" s="13" t="inlineStr">
        <is>
          <t>MONEDERO G PM WHITE</t>
        </is>
      </c>
      <c r="C228" s="13" t="inlineStr">
        <is>
          <t>Default Title</t>
        </is>
      </c>
      <c r="D228" s="14" t="inlineStr">
        <is>
          <t>Genuine leather/</t>
        </is>
      </c>
      <c r="E228" s="13" t="n"/>
      <c r="F228" s="13" t="n"/>
      <c r="G228" s="13" t="n"/>
      <c r="H228" s="13" t="n"/>
      <c r="I228" s="13" t="n"/>
      <c r="J228" s="15" t="n">
        <v>13.19</v>
      </c>
      <c r="K228" s="13" t="n"/>
      <c r="L228" s="16">
        <f>IF(COUNT(E228:K228)=0,"",MIN(E228:K228))</f>
        <v/>
      </c>
      <c r="M228" s="15">
        <f>IF(COUNT(E228:K228)=0,"",LOOKUP(2,1/(E228:K228&lt;&gt;""),E228:K228))</f>
        <v/>
      </c>
      <c r="N228" s="17">
        <f>IF(L228="","",ROUND(L228*RESUMEN!$B$4,0))</f>
        <v/>
      </c>
      <c r="O228" s="18">
        <f>COUNT(E228:K228)</f>
        <v/>
      </c>
    </row>
    <row r="229">
      <c r="A229" s="13" t="inlineStr">
        <is>
          <t>40049131576845</t>
        </is>
      </c>
      <c r="B229" s="13" t="inlineStr">
        <is>
          <t>MONEDERO LV MONOGRAM</t>
        </is>
      </c>
      <c r="C229" s="13" t="inlineStr">
        <is>
          <t>Default Title</t>
        </is>
      </c>
      <c r="D229" s="14" t="inlineStr"/>
      <c r="E229" s="13" t="n"/>
      <c r="F229" s="13" t="n"/>
      <c r="G229" s="13" t="n"/>
      <c r="H229" s="13" t="n"/>
      <c r="I229" s="15" t="n">
        <v>11.69</v>
      </c>
      <c r="J229" s="13" t="n"/>
      <c r="K229" s="13" t="n"/>
      <c r="L229" s="16">
        <f>IF(COUNT(E229:K229)=0,"",MIN(E229:K229))</f>
        <v/>
      </c>
      <c r="M229" s="15">
        <f>IF(COUNT(E229:K229)=0,"",LOOKUP(2,1/(E229:K229&lt;&gt;""),E229:K229))</f>
        <v/>
      </c>
      <c r="N229" s="17">
        <f>IF(L229="","",ROUND(L229*RESUMEN!$B$4,0))</f>
        <v/>
      </c>
      <c r="O229" s="18">
        <f>COUNT(E229:K229)</f>
        <v/>
      </c>
    </row>
    <row r="230">
      <c r="A230" s="13" t="inlineStr">
        <is>
          <t>40049131342381</t>
        </is>
      </c>
      <c r="B230" s="13" t="inlineStr">
        <is>
          <t>MONEDERO LV MONOGRAM BLACK</t>
        </is>
      </c>
      <c r="C230" s="13" t="inlineStr">
        <is>
          <t>Default Title</t>
        </is>
      </c>
      <c r="D230" s="14" t="inlineStr"/>
      <c r="E230" s="13" t="n"/>
      <c r="F230" s="13" t="n"/>
      <c r="G230" s="13" t="n"/>
      <c r="H230" s="13" t="n"/>
      <c r="I230" s="15" t="n">
        <v>9.390000000000001</v>
      </c>
      <c r="J230" s="13" t="n"/>
      <c r="K230" s="13" t="n"/>
      <c r="L230" s="16">
        <f>IF(COUNT(E230:K230)=0,"",MIN(E230:K230))</f>
        <v/>
      </c>
      <c r="M230" s="15">
        <f>IF(COUNT(E230:K230)=0,"",LOOKUP(2,1/(E230:K230&lt;&gt;""),E230:K230))</f>
        <v/>
      </c>
      <c r="N230" s="17">
        <f>IF(L230="","",ROUND(L230*RESUMEN!$B$4,0))</f>
        <v/>
      </c>
      <c r="O230" s="18">
        <f>COUNT(E230:K230)</f>
        <v/>
      </c>
    </row>
    <row r="231">
      <c r="A231" s="13" t="inlineStr">
        <is>
          <t>40049131409613</t>
        </is>
      </c>
      <c r="B231" s="13" t="inlineStr">
        <is>
          <t>MONEDERO LV ROSALIE DAMIER</t>
        </is>
      </c>
      <c r="C231" s="13" t="inlineStr">
        <is>
          <t>Default Title</t>
        </is>
      </c>
      <c r="D231" s="14" t="inlineStr"/>
      <c r="E231" s="13" t="n"/>
      <c r="F231" s="13" t="n"/>
      <c r="G231" s="13" t="n"/>
      <c r="H231" s="13" t="n"/>
      <c r="I231" s="15" t="n">
        <v>9.390000000000001</v>
      </c>
      <c r="J231" s="13" t="n"/>
      <c r="K231" s="13" t="n"/>
      <c r="L231" s="16">
        <f>IF(COUNT(E231:K231)=0,"",MIN(E231:K231))</f>
        <v/>
      </c>
      <c r="M231" s="15">
        <f>IF(COUNT(E231:K231)=0,"",LOOKUP(2,1/(E231:K231&lt;&gt;""),E231:K231))</f>
        <v/>
      </c>
      <c r="N231" s="17">
        <f>IF(L231="","",ROUND(L231*RESUMEN!$B$4,0))</f>
        <v/>
      </c>
      <c r="O231" s="18">
        <f>COUNT(E231:K231)</f>
        <v/>
      </c>
    </row>
    <row r="232">
      <c r="A232" s="13" t="inlineStr">
        <is>
          <t>62745763146605</t>
        </is>
      </c>
      <c r="B232" s="13" t="inlineStr">
        <is>
          <t>PULSERA C CLAVO SILVER FULL DIAMOND</t>
        </is>
      </c>
      <c r="C232" s="13" t="inlineStr">
        <is>
          <t>Default Title</t>
        </is>
      </c>
      <c r="D232" s="14" t="inlineStr">
        <is>
          <t>brass</t>
        </is>
      </c>
      <c r="E232" s="13" t="n"/>
      <c r="F232" s="13" t="n"/>
      <c r="G232" s="13" t="n"/>
      <c r="H232" s="13" t="n"/>
      <c r="I232" s="13" t="n"/>
      <c r="J232" s="15" t="n">
        <v>13.19</v>
      </c>
      <c r="K232" s="13" t="n"/>
      <c r="L232" s="16">
        <f>IF(COUNT(E232:K232)=0,"",MIN(E232:K232))</f>
        <v/>
      </c>
      <c r="M232" s="15">
        <f>IF(COUNT(E232:K232)=0,"",LOOKUP(2,1/(E232:K232&lt;&gt;""),E232:K232))</f>
        <v/>
      </c>
      <c r="N232" s="17">
        <f>IF(L232="","",ROUND(L232*RESUMEN!$B$4,0))</f>
        <v/>
      </c>
      <c r="O232" s="18">
        <f>COUNT(E232:K232)</f>
        <v/>
      </c>
    </row>
    <row r="233">
      <c r="A233" s="13" t="inlineStr">
        <is>
          <t>58980702491853</t>
        </is>
      </c>
      <c r="B233" s="13" t="inlineStr">
        <is>
          <t>PULSERA CC COCO C ROSEGOLD</t>
        </is>
      </c>
      <c r="C233" s="13" t="inlineStr">
        <is>
          <t>Default Title</t>
        </is>
      </c>
      <c r="D233" s="14" t="inlineStr">
        <is>
          <t>brass</t>
        </is>
      </c>
      <c r="E233" s="13" t="n"/>
      <c r="F233" s="13" t="n"/>
      <c r="G233" s="13" t="n"/>
      <c r="H233" s="13" t="n"/>
      <c r="I233" s="13" t="n"/>
      <c r="J233" s="15" t="n">
        <v>6.69</v>
      </c>
      <c r="K233" s="13" t="n"/>
      <c r="L233" s="16">
        <f>IF(COUNT(E233:K233)=0,"",MIN(E233:K233))</f>
        <v/>
      </c>
      <c r="M233" s="15">
        <f>IF(COUNT(E233:K233)=0,"",LOOKUP(2,1/(E233:K233&lt;&gt;""),E233:K233))</f>
        <v/>
      </c>
      <c r="N233" s="17">
        <f>IF(L233="","",ROUND(L233*RESUMEN!$B$4,0))</f>
        <v/>
      </c>
      <c r="O233" s="18">
        <f>COUNT(E233:K233)</f>
        <v/>
      </c>
    </row>
    <row r="234">
      <c r="A234" s="13" t="inlineStr">
        <is>
          <t>22974392089133</t>
        </is>
      </c>
      <c r="B234" s="13" t="inlineStr">
        <is>
          <t>PULSERA CC COMETE GEODE SILVER</t>
        </is>
      </c>
      <c r="C234" s="13" t="inlineStr">
        <is>
          <t>Default Title</t>
        </is>
      </c>
      <c r="D234" s="14" t="inlineStr">
        <is>
          <t>brass</t>
        </is>
      </c>
      <c r="E234" s="13" t="n"/>
      <c r="F234" s="13" t="n"/>
      <c r="G234" s="13" t="n"/>
      <c r="H234" s="15" t="n">
        <v>6.29</v>
      </c>
      <c r="I234" s="13" t="n"/>
      <c r="J234" s="13" t="n"/>
      <c r="K234" s="15" t="n">
        <v>6.29</v>
      </c>
      <c r="L234" s="16">
        <f>IF(COUNT(E234:K234)=0,"",MIN(E234:K234))</f>
        <v/>
      </c>
      <c r="M234" s="15">
        <f>IF(COUNT(E234:K234)=0,"",LOOKUP(2,1/(E234:K234&lt;&gt;""),E234:K234))</f>
        <v/>
      </c>
      <c r="N234" s="17">
        <f>IF(L234="","",ROUND(L234*RESUMEN!$B$4,0))</f>
        <v/>
      </c>
      <c r="O234" s="18">
        <f>COUNT(E234:K234)</f>
        <v/>
      </c>
    </row>
    <row r="235">
      <c r="A235" s="13" t="inlineStr">
        <is>
          <t>58980702524621</t>
        </is>
      </c>
      <c r="B235" s="13" t="inlineStr">
        <is>
          <t>PULSERA CC EXTRAIT CAMELIA</t>
        </is>
      </c>
      <c r="C235" s="13" t="inlineStr">
        <is>
          <t>Default Title</t>
        </is>
      </c>
      <c r="D235" s="14" t="inlineStr">
        <is>
          <t>brass</t>
        </is>
      </c>
      <c r="E235" s="13" t="n"/>
      <c r="F235" s="13" t="n"/>
      <c r="G235" s="13" t="n"/>
      <c r="H235" s="13" t="n"/>
      <c r="I235" s="13" t="n"/>
      <c r="J235" s="15" t="n">
        <v>7.99</v>
      </c>
      <c r="K235" s="13" t="n"/>
      <c r="L235" s="16">
        <f>IF(COUNT(E235:K235)=0,"",MIN(E235:K235))</f>
        <v/>
      </c>
      <c r="M235" s="15">
        <f>IF(COUNT(E235:K235)=0,"",LOOKUP(2,1/(E235:K235&lt;&gt;""),E235:K235))</f>
        <v/>
      </c>
      <c r="N235" s="17">
        <f>IF(L235="","",ROUND(L235*RESUMEN!$B$4,0))</f>
        <v/>
      </c>
      <c r="O235" s="18">
        <f>COUNT(E235:K235)</f>
        <v/>
      </c>
    </row>
    <row r="236">
      <c r="A236" s="13" t="inlineStr">
        <is>
          <t>29857041083437</t>
        </is>
      </c>
      <c r="B236" s="13" t="inlineStr">
        <is>
          <t>PULSERA CHROMES</t>
        </is>
      </c>
      <c r="C236" s="13" t="inlineStr">
        <is>
          <t>Default Title</t>
        </is>
      </c>
      <c r="D236" s="14" t="inlineStr">
        <is>
          <t>brass</t>
        </is>
      </c>
      <c r="E236" s="13" t="n"/>
      <c r="F236" s="13" t="n"/>
      <c r="G236" s="13" t="n"/>
      <c r="H236" s="15" t="n">
        <v>6.59</v>
      </c>
      <c r="I236" s="13" t="n"/>
      <c r="J236" s="15" t="n">
        <v>6.59</v>
      </c>
      <c r="K236" s="13" t="n"/>
      <c r="L236" s="16">
        <f>IF(COUNT(E236:K236)=0,"",MIN(E236:K236))</f>
        <v/>
      </c>
      <c r="M236" s="15">
        <f>IF(COUNT(E236:K236)=0,"",LOOKUP(2,1/(E236:K236&lt;&gt;""),E236:K236))</f>
        <v/>
      </c>
      <c r="N236" s="17">
        <f>IF(L236="","",ROUND(L236*RESUMEN!$B$4,0))</f>
        <v/>
      </c>
      <c r="O236" s="18">
        <f>COUNT(E236:K236)</f>
        <v/>
      </c>
    </row>
    <row r="237">
      <c r="A237" s="13" t="inlineStr">
        <is>
          <t>63e0c0e63c828</t>
        </is>
      </c>
      <c r="B237" s="13" t="inlineStr">
        <is>
          <t>PULSERA CLAVO DELGADA ROSE GOLD CON ZIRCONIA</t>
        </is>
      </c>
      <c r="C237" s="13" t="inlineStr">
        <is>
          <t>17cm</t>
        </is>
      </c>
      <c r="D237" s="14" t="inlineStr"/>
      <c r="E237" s="15" t="n">
        <v>3.99</v>
      </c>
      <c r="F237" s="15" t="n">
        <v>3.99</v>
      </c>
      <c r="G237" s="13" t="n"/>
      <c r="H237" s="13" t="n"/>
      <c r="I237" s="13" t="n"/>
      <c r="J237" s="13" t="n"/>
      <c r="K237" s="13" t="n"/>
      <c r="L237" s="16">
        <f>IF(COUNT(E237:K237)=0,"",MIN(E237:K237))</f>
        <v/>
      </c>
      <c r="M237" s="15">
        <f>IF(COUNT(E237:K237)=0,"",LOOKUP(2,1/(E237:K237&lt;&gt;""),E237:K237))</f>
        <v/>
      </c>
      <c r="N237" s="17">
        <f>IF(L237="","",ROUND(L237*RESUMEN!$B$4,0))</f>
        <v/>
      </c>
      <c r="O237" s="18">
        <f>COUNT(E237:K237)</f>
        <v/>
      </c>
    </row>
    <row r="238">
      <c r="A238" s="13" t="inlineStr">
        <is>
          <t>52477061035757</t>
        </is>
      </c>
      <c r="B238" s="13" t="inlineStr">
        <is>
          <t>PULSERA CLAVO GOLD</t>
        </is>
      </c>
      <c r="C238" s="13" t="inlineStr">
        <is>
          <t>16 cm</t>
        </is>
      </c>
      <c r="D238" s="14" t="inlineStr">
        <is>
          <t>stainless steel</t>
        </is>
      </c>
      <c r="E238" s="13" t="n"/>
      <c r="F238" s="13" t="n"/>
      <c r="G238" s="15" t="n">
        <v>2.99</v>
      </c>
      <c r="H238" s="13" t="n"/>
      <c r="I238" s="13" t="n"/>
      <c r="J238" s="15" t="n">
        <v>2.99</v>
      </c>
      <c r="K238" s="13" t="n"/>
      <c r="L238" s="16">
        <f>IF(COUNT(E238:K238)=0,"",MIN(E238:K238))</f>
        <v/>
      </c>
      <c r="M238" s="15">
        <f>IF(COUNT(E238:K238)=0,"",LOOKUP(2,1/(E238:K238&lt;&gt;""),E238:K238))</f>
        <v/>
      </c>
      <c r="N238" s="17">
        <f>IF(L238="","",ROUND(L238*RESUMEN!$B$4,0))</f>
        <v/>
      </c>
      <c r="O238" s="18">
        <f>COUNT(E238:K238)</f>
        <v/>
      </c>
    </row>
    <row r="239">
      <c r="A239" s="13" t="inlineStr">
        <is>
          <t>63e0c0ed991c0</t>
        </is>
      </c>
      <c r="B239" s="13" t="inlineStr">
        <is>
          <t>PULSERA CLAVO GOLD</t>
        </is>
      </c>
      <c r="C239" s="13" t="inlineStr">
        <is>
          <t>17 cm</t>
        </is>
      </c>
      <c r="D239" s="14" t="inlineStr">
        <is>
          <t>stainless steel</t>
        </is>
      </c>
      <c r="E239" s="15" t="n">
        <v>2.99</v>
      </c>
      <c r="F239" s="15" t="n">
        <v>2.99</v>
      </c>
      <c r="G239" s="15" t="n">
        <v>2.99</v>
      </c>
      <c r="H239" s="15" t="n">
        <v>2.99</v>
      </c>
      <c r="I239" s="15" t="n">
        <v>2.99</v>
      </c>
      <c r="J239" s="15" t="n">
        <v>2.99</v>
      </c>
      <c r="K239" s="13" t="n"/>
      <c r="L239" s="16">
        <f>IF(COUNT(E239:K239)=0,"",MIN(E239:K239))</f>
        <v/>
      </c>
      <c r="M239" s="15">
        <f>IF(COUNT(E239:K239)=0,"",LOOKUP(2,1/(E239:K239&lt;&gt;""),E239:K239))</f>
        <v/>
      </c>
      <c r="N239" s="17">
        <f>IF(L239="","",ROUND(L239*RESUMEN!$B$4,0))</f>
        <v/>
      </c>
      <c r="O239" s="18">
        <f>COUNT(E239:K239)</f>
        <v/>
      </c>
    </row>
    <row r="240">
      <c r="A240" s="13" t="inlineStr">
        <is>
          <t>63e0c0ee76103</t>
        </is>
      </c>
      <c r="B240" s="13" t="inlineStr">
        <is>
          <t>PULSERA CLAVO GOLD</t>
        </is>
      </c>
      <c r="C240" s="13" t="inlineStr">
        <is>
          <t>19 cm</t>
        </is>
      </c>
      <c r="D240" s="14" t="inlineStr">
        <is>
          <t>stainless steel</t>
        </is>
      </c>
      <c r="E240" s="15" t="n">
        <v>2.99</v>
      </c>
      <c r="F240" s="15" t="n">
        <v>2.99</v>
      </c>
      <c r="G240" s="13" t="n"/>
      <c r="H240" s="15" t="n">
        <v>2.99</v>
      </c>
      <c r="I240" s="15" t="n">
        <v>2.99</v>
      </c>
      <c r="J240" s="13" t="n"/>
      <c r="K240" s="13" t="n"/>
      <c r="L240" s="16">
        <f>IF(COUNT(E240:K240)=0,"",MIN(E240:K240))</f>
        <v/>
      </c>
      <c r="M240" s="15">
        <f>IF(COUNT(E240:K240)=0,"",LOOKUP(2,1/(E240:K240&lt;&gt;""),E240:K240))</f>
        <v/>
      </c>
      <c r="N240" s="17">
        <f>IF(L240="","",ROUND(L240*RESUMEN!$B$4,0))</f>
        <v/>
      </c>
      <c r="O240" s="18">
        <f>COUNT(E240:K240)</f>
        <v/>
      </c>
    </row>
    <row r="241">
      <c r="A241" s="13" t="inlineStr">
        <is>
          <t>63e0c0f1b69e8</t>
        </is>
      </c>
      <c r="B241" s="13" t="inlineStr">
        <is>
          <t>PULSERA CLAVO GOLD CON ZIRCONIA</t>
        </is>
      </c>
      <c r="C241" s="13" t="inlineStr">
        <is>
          <t>17cm</t>
        </is>
      </c>
      <c r="D241" s="14" t="inlineStr"/>
      <c r="E241" s="15" t="n">
        <v>3.99</v>
      </c>
      <c r="F241" s="15" t="n">
        <v>0</v>
      </c>
      <c r="G241" s="13" t="n"/>
      <c r="H241" s="13" t="n"/>
      <c r="I241" s="13" t="n"/>
      <c r="J241" s="13" t="n"/>
      <c r="K241" s="15" t="n">
        <v>3.99</v>
      </c>
      <c r="L241" s="16">
        <f>IF(COUNT(E241:K241)=0,"",MIN(E241:K241))</f>
        <v/>
      </c>
      <c r="M241" s="15">
        <f>IF(COUNT(E241:K241)=0,"",LOOKUP(2,1/(E241:K241&lt;&gt;""),E241:K241))</f>
        <v/>
      </c>
      <c r="N241" s="17">
        <f>IF(L241="","",ROUND(L241*RESUMEN!$B$4,0))</f>
        <v/>
      </c>
      <c r="O241" s="18">
        <f>COUNT(E241:K241)</f>
        <v/>
      </c>
    </row>
    <row r="242">
      <c r="A242" s="13" t="inlineStr">
        <is>
          <t>63e0c0f2996bf</t>
        </is>
      </c>
      <c r="B242" s="13" t="inlineStr">
        <is>
          <t>PULSERA CLAVO GOLD CON ZIRCONIA</t>
        </is>
      </c>
      <c r="C242" s="13" t="inlineStr">
        <is>
          <t>19 cm</t>
        </is>
      </c>
      <c r="D242" s="14" t="inlineStr">
        <is>
          <t>stainless steel</t>
        </is>
      </c>
      <c r="E242" s="15" t="n">
        <v>3.99</v>
      </c>
      <c r="F242" s="15" t="n">
        <v>3.99</v>
      </c>
      <c r="G242" s="13" t="n"/>
      <c r="H242" s="13" t="n"/>
      <c r="I242" s="13" t="n"/>
      <c r="J242" s="15" t="n">
        <v>3.99</v>
      </c>
      <c r="K242" s="15" t="n">
        <v>3.99</v>
      </c>
      <c r="L242" s="16">
        <f>IF(COUNT(E242:K242)=0,"",MIN(E242:K242))</f>
        <v/>
      </c>
      <c r="M242" s="15">
        <f>IF(COUNT(E242:K242)=0,"",LOOKUP(2,1/(E242:K242&lt;&gt;""),E242:K242))</f>
        <v/>
      </c>
      <c r="N242" s="17">
        <f>IF(L242="","",ROUND(L242*RESUMEN!$B$4,0))</f>
        <v/>
      </c>
      <c r="O242" s="18">
        <f>COUNT(E242:K242)</f>
        <v/>
      </c>
    </row>
    <row r="243">
      <c r="A243" s="13" t="inlineStr">
        <is>
          <t>63e0c0e97703d</t>
        </is>
      </c>
      <c r="B243" s="13" t="inlineStr">
        <is>
          <t>PULSERA CLAVO GOLD DELGADA</t>
        </is>
      </c>
      <c r="C243" s="13" t="inlineStr">
        <is>
          <t>16cm</t>
        </is>
      </c>
      <c r="D243" s="14" t="inlineStr">
        <is>
          <t>stainless steel</t>
        </is>
      </c>
      <c r="E243" s="15" t="n">
        <v>2.99</v>
      </c>
      <c r="F243" s="15" t="n">
        <v>2.99</v>
      </c>
      <c r="G243" s="15" t="n">
        <v>2.99</v>
      </c>
      <c r="H243" s="15" t="n">
        <v>1.5</v>
      </c>
      <c r="I243" s="13" t="n"/>
      <c r="J243" s="15" t="n">
        <v>2.99</v>
      </c>
      <c r="K243" s="15" t="n">
        <v>2.99</v>
      </c>
      <c r="L243" s="16">
        <f>IF(COUNT(E243:K243)=0,"",MIN(E243:K243))</f>
        <v/>
      </c>
      <c r="M243" s="15">
        <f>IF(COUNT(E243:K243)=0,"",LOOKUP(2,1/(E243:K243&lt;&gt;""),E243:K243))</f>
        <v/>
      </c>
      <c r="N243" s="17">
        <f>IF(L243="","",ROUND(L243*RESUMEN!$B$4,0))</f>
        <v/>
      </c>
      <c r="O243" s="18">
        <f>COUNT(E243:K243)</f>
        <v/>
      </c>
    </row>
    <row r="244">
      <c r="A244" s="13" t="inlineStr">
        <is>
          <t>63e0c0ea219d0</t>
        </is>
      </c>
      <c r="B244" s="13" t="inlineStr">
        <is>
          <t>PULSERA CLAVO GOLD DELGADA CON ZIRCONIA</t>
        </is>
      </c>
      <c r="C244" s="13" t="inlineStr">
        <is>
          <t>17cm</t>
        </is>
      </c>
      <c r="D244" s="14" t="inlineStr">
        <is>
          <t>stainless steel</t>
        </is>
      </c>
      <c r="E244" s="15" t="n">
        <v>3.99</v>
      </c>
      <c r="F244" s="13" t="n"/>
      <c r="G244" s="13" t="n"/>
      <c r="H244" s="13" t="n"/>
      <c r="I244" s="13" t="n"/>
      <c r="J244" s="15" t="n">
        <v>3.99</v>
      </c>
      <c r="K244" s="13" t="n"/>
      <c r="L244" s="16">
        <f>IF(COUNT(E244:K244)=0,"",MIN(E244:K244))</f>
        <v/>
      </c>
      <c r="M244" s="15">
        <f>IF(COUNT(E244:K244)=0,"",LOOKUP(2,1/(E244:K244&lt;&gt;""),E244:K244))</f>
        <v/>
      </c>
      <c r="N244" s="17">
        <f>IF(L244="","",ROUND(L244*RESUMEN!$B$4,0))</f>
        <v/>
      </c>
      <c r="O244" s="18">
        <f>COUNT(E244:K244)</f>
        <v/>
      </c>
    </row>
    <row r="245">
      <c r="A245" s="13" t="inlineStr">
        <is>
          <t>82224432971117</t>
        </is>
      </c>
      <c r="B245" s="13" t="inlineStr">
        <is>
          <t>PULSERA CLAVO JUST UN CLOU ZIRCONIA ROSEGOLD</t>
        </is>
      </c>
      <c r="C245" s="13" t="inlineStr">
        <is>
          <t>17 cm</t>
        </is>
      </c>
      <c r="D245" s="14" t="inlineStr">
        <is>
          <t>stainless steel</t>
        </is>
      </c>
      <c r="E245" s="15" t="n">
        <v>3.99</v>
      </c>
      <c r="F245" s="15" t="n">
        <v>3.99</v>
      </c>
      <c r="G245" s="15" t="n">
        <v>3.99</v>
      </c>
      <c r="H245" s="15" t="n">
        <v>3.99</v>
      </c>
      <c r="I245" s="13" t="n"/>
      <c r="J245" s="13" t="n"/>
      <c r="K245" s="13" t="n"/>
      <c r="L245" s="16">
        <f>IF(COUNT(E245:K245)=0,"",MIN(E245:K245))</f>
        <v/>
      </c>
      <c r="M245" s="15">
        <f>IF(COUNT(E245:K245)=0,"",LOOKUP(2,1/(E245:K245&lt;&gt;""),E245:K245))</f>
        <v/>
      </c>
      <c r="N245" s="17">
        <f>IF(L245="","",ROUND(L245*RESUMEN!$B$4,0))</f>
        <v/>
      </c>
      <c r="O245" s="18">
        <f>COUNT(E245:K245)</f>
        <v/>
      </c>
    </row>
    <row r="246">
      <c r="A246" s="13" t="inlineStr">
        <is>
          <t>63e0c22967d6a</t>
        </is>
      </c>
      <c r="B246" s="13" t="inlineStr">
        <is>
          <t>PULSERA CLAVO JUSTE UN CLOU ZIRCONIA SILVER</t>
        </is>
      </c>
      <c r="C246" s="13" t="inlineStr">
        <is>
          <t>19CM</t>
        </is>
      </c>
      <c r="D246" s="14" t="inlineStr">
        <is>
          <t>stainless steel</t>
        </is>
      </c>
      <c r="E246" s="15" t="n">
        <v>3.99</v>
      </c>
      <c r="F246" s="15" t="n">
        <v>3.99</v>
      </c>
      <c r="G246" s="13" t="n"/>
      <c r="H246" s="13" t="n"/>
      <c r="I246" s="13" t="n"/>
      <c r="J246" s="15" t="n">
        <v>3.99</v>
      </c>
      <c r="K246" s="13" t="n"/>
      <c r="L246" s="16">
        <f>IF(COUNT(E246:K246)=0,"",MIN(E246:K246))</f>
        <v/>
      </c>
      <c r="M246" s="15">
        <f>IF(COUNT(E246:K246)=0,"",LOOKUP(2,1/(E246:K246&lt;&gt;""),E246:K246))</f>
        <v/>
      </c>
      <c r="N246" s="17">
        <f>IF(L246="","",ROUND(L246*RESUMEN!$B$4,0))</f>
        <v/>
      </c>
      <c r="O246" s="18">
        <f>COUNT(E246:K246)</f>
        <v/>
      </c>
    </row>
    <row r="247">
      <c r="A247" s="13" t="inlineStr">
        <is>
          <t>82224433003885</t>
        </is>
      </c>
      <c r="B247" s="13" t="inlineStr">
        <is>
          <t>PULSERA CLAVO ROSE GOLD CON ZIRCONIA</t>
        </is>
      </c>
      <c r="C247" s="13" t="inlineStr">
        <is>
          <t>19 cm</t>
        </is>
      </c>
      <c r="D247" s="14" t="inlineStr"/>
      <c r="E247" s="15" t="n">
        <v>3.99</v>
      </c>
      <c r="F247" s="15" t="n">
        <v>3.99</v>
      </c>
      <c r="G247" s="13" t="n"/>
      <c r="H247" s="13" t="n"/>
      <c r="I247" s="13" t="n"/>
      <c r="J247" s="13" t="n"/>
      <c r="K247" s="13" t="n"/>
      <c r="L247" s="16">
        <f>IF(COUNT(E247:K247)=0,"",MIN(E247:K247))</f>
        <v/>
      </c>
      <c r="M247" s="15">
        <f>IF(COUNT(E247:K247)=0,"",LOOKUP(2,1/(E247:K247&lt;&gt;""),E247:K247))</f>
        <v/>
      </c>
      <c r="N247" s="17">
        <f>IF(L247="","",ROUND(L247*RESUMEN!$B$4,0))</f>
        <v/>
      </c>
      <c r="O247" s="18">
        <f>COUNT(E247:K247)</f>
        <v/>
      </c>
    </row>
    <row r="248">
      <c r="A248" s="13" t="inlineStr">
        <is>
          <t>63e0c2284930d</t>
        </is>
      </c>
      <c r="B248" s="13" t="inlineStr">
        <is>
          <t>PULSERA CLAVO ROSE GOLD DELGADA</t>
        </is>
      </c>
      <c r="C248" s="13" t="inlineStr">
        <is>
          <t>17cm</t>
        </is>
      </c>
      <c r="D248" s="14" t="inlineStr"/>
      <c r="E248" s="15" t="n">
        <v>2.99</v>
      </c>
      <c r="F248" s="15" t="n">
        <v>2.99</v>
      </c>
      <c r="G248" s="13" t="n"/>
      <c r="H248" s="13" t="n"/>
      <c r="I248" s="13" t="n"/>
      <c r="J248" s="13" t="n"/>
      <c r="K248" s="13" t="n"/>
      <c r="L248" s="16">
        <f>IF(COUNT(E248:K248)=0,"",MIN(E248:K248))</f>
        <v/>
      </c>
      <c r="M248" s="15">
        <f>IF(COUNT(E248:K248)=0,"",LOOKUP(2,1/(E248:K248&lt;&gt;""),E248:K248))</f>
        <v/>
      </c>
      <c r="N248" s="17">
        <f>IF(L248="","",ROUND(L248*RESUMEN!$B$4,0))</f>
        <v/>
      </c>
      <c r="O248" s="18">
        <f>COUNT(E248:K248)</f>
        <v/>
      </c>
    </row>
    <row r="249">
      <c r="A249" s="13" t="inlineStr">
        <is>
          <t>82224433136653</t>
        </is>
      </c>
      <c r="B249" s="13" t="inlineStr">
        <is>
          <t>PULSERA CLAVO ROSEGOLD</t>
        </is>
      </c>
      <c r="C249" s="13" t="inlineStr">
        <is>
          <t>17 cm</t>
        </is>
      </c>
      <c r="D249" s="14" t="inlineStr">
        <is>
          <t>stainless steel</t>
        </is>
      </c>
      <c r="E249" s="13" t="n"/>
      <c r="F249" s="13" t="n"/>
      <c r="G249" s="15" t="n">
        <v>2.99</v>
      </c>
      <c r="H249" s="13" t="n"/>
      <c r="I249" s="15" t="n">
        <v>2.99</v>
      </c>
      <c r="J249" s="13" t="n"/>
      <c r="K249" s="15" t="n">
        <v>2.99</v>
      </c>
      <c r="L249" s="16">
        <f>IF(COUNT(E249:K249)=0,"",MIN(E249:K249))</f>
        <v/>
      </c>
      <c r="M249" s="15">
        <f>IF(COUNT(E249:K249)=0,"",LOOKUP(2,1/(E249:K249&lt;&gt;""),E249:K249))</f>
        <v/>
      </c>
      <c r="N249" s="17">
        <f>IF(L249="","",ROUND(L249*RESUMEN!$B$4,0))</f>
        <v/>
      </c>
      <c r="O249" s="18">
        <f>COUNT(E249:K249)</f>
        <v/>
      </c>
    </row>
    <row r="250">
      <c r="A250" s="13" t="inlineStr">
        <is>
          <t>82224433269421</t>
        </is>
      </c>
      <c r="B250" s="13" t="inlineStr">
        <is>
          <t>PULSERA CLAVO ROSEGOLD</t>
        </is>
      </c>
      <c r="C250" s="13" t="inlineStr">
        <is>
          <t>19 cm</t>
        </is>
      </c>
      <c r="D250" s="14" t="inlineStr">
        <is>
          <t>stainless steel</t>
        </is>
      </c>
      <c r="E250" s="13" t="n"/>
      <c r="F250" s="13" t="n"/>
      <c r="G250" s="15" t="n">
        <v>2.99</v>
      </c>
      <c r="H250" s="13" t="n"/>
      <c r="I250" s="15" t="n">
        <v>2.99</v>
      </c>
      <c r="J250" s="13" t="n"/>
      <c r="K250" s="13" t="n"/>
      <c r="L250" s="16">
        <f>IF(COUNT(E250:K250)=0,"",MIN(E250:K250))</f>
        <v/>
      </c>
      <c r="M250" s="15">
        <f>IF(COUNT(E250:K250)=0,"",LOOKUP(2,1/(E250:K250&lt;&gt;""),E250:K250))</f>
        <v/>
      </c>
      <c r="N250" s="17">
        <f>IF(L250="","",ROUND(L250*RESUMEN!$B$4,0))</f>
        <v/>
      </c>
      <c r="O250" s="18">
        <f>COUNT(E250:K250)</f>
        <v/>
      </c>
    </row>
    <row r="251">
      <c r="A251" s="13" t="inlineStr">
        <is>
          <t>661770f08cba3</t>
        </is>
      </c>
      <c r="B251" s="13" t="inlineStr">
        <is>
          <t>PULSERA CLAVO SILVER</t>
        </is>
      </c>
      <c r="C251" s="13" t="inlineStr">
        <is>
          <t>17 CM</t>
        </is>
      </c>
      <c r="D251" s="14" t="inlineStr"/>
      <c r="E251" s="15" t="n">
        <v>2.99</v>
      </c>
      <c r="F251" s="15" t="n">
        <v>2.99</v>
      </c>
      <c r="G251" s="13" t="n"/>
      <c r="H251" s="13" t="n"/>
      <c r="I251" s="13" t="n"/>
      <c r="J251" s="13" t="n"/>
      <c r="K251" s="13" t="n"/>
      <c r="L251" s="16">
        <f>IF(COUNT(E251:K251)=0,"",MIN(E251:K251))</f>
        <v/>
      </c>
      <c r="M251" s="15">
        <f>IF(COUNT(E251:K251)=0,"",LOOKUP(2,1/(E251:K251&lt;&gt;""),E251:K251))</f>
        <v/>
      </c>
      <c r="N251" s="17">
        <f>IF(L251="","",ROUND(L251*RESUMEN!$B$4,0))</f>
        <v/>
      </c>
      <c r="O251" s="18">
        <f>COUNT(E251:K251)</f>
        <v/>
      </c>
    </row>
    <row r="252">
      <c r="A252" s="13" t="inlineStr">
        <is>
          <t>661770f12a6a9</t>
        </is>
      </c>
      <c r="B252" s="13" t="inlineStr">
        <is>
          <t>PULSERA CLAVO SILVER</t>
        </is>
      </c>
      <c r="C252" s="13" t="inlineStr">
        <is>
          <t>19 CM</t>
        </is>
      </c>
      <c r="D252" s="14" t="inlineStr">
        <is>
          <t>stainless steel</t>
        </is>
      </c>
      <c r="E252" s="15" t="n">
        <v>2.99</v>
      </c>
      <c r="F252" s="15" t="n">
        <v>2.99</v>
      </c>
      <c r="G252" s="13" t="n"/>
      <c r="H252" s="13" t="n"/>
      <c r="I252" s="13" t="n"/>
      <c r="J252" s="15" t="n">
        <v>2.99</v>
      </c>
      <c r="K252" s="13" t="n"/>
      <c r="L252" s="16">
        <f>IF(COUNT(E252:K252)=0,"",MIN(E252:K252))</f>
        <v/>
      </c>
      <c r="M252" s="15">
        <f>IF(COUNT(E252:K252)=0,"",LOOKUP(2,1/(E252:K252&lt;&gt;""),E252:K252))</f>
        <v/>
      </c>
      <c r="N252" s="17">
        <f>IF(L252="","",ROUND(L252*RESUMEN!$B$4,0))</f>
        <v/>
      </c>
      <c r="O252" s="18">
        <f>COUNT(E252:K252)</f>
        <v/>
      </c>
    </row>
    <row r="253">
      <c r="A253" s="13" t="inlineStr">
        <is>
          <t>63e0c22875cb9</t>
        </is>
      </c>
      <c r="B253" s="13" t="inlineStr">
        <is>
          <t>PULSERA CLAVO SILVER DELGADA</t>
        </is>
      </c>
      <c r="C253" s="13" t="inlineStr">
        <is>
          <t>17cm</t>
        </is>
      </c>
      <c r="D253" s="14" t="inlineStr"/>
      <c r="E253" s="15" t="n">
        <v>2.99</v>
      </c>
      <c r="F253" s="13" t="n"/>
      <c r="G253" s="13" t="n"/>
      <c r="H253" s="13" t="n"/>
      <c r="I253" s="13" t="n"/>
      <c r="J253" s="13" t="n"/>
      <c r="K253" s="15" t="n">
        <v>2.99</v>
      </c>
      <c r="L253" s="16">
        <f>IF(COUNT(E253:K253)=0,"",MIN(E253:K253))</f>
        <v/>
      </c>
      <c r="M253" s="15">
        <f>IF(COUNT(E253:K253)=0,"",LOOKUP(2,1/(E253:K253&lt;&gt;""),E253:K253))</f>
        <v/>
      </c>
      <c r="N253" s="17">
        <f>IF(L253="","",ROUND(L253*RESUMEN!$B$4,0))</f>
        <v/>
      </c>
      <c r="O253" s="18">
        <f>COUNT(E253:K253)</f>
        <v/>
      </c>
    </row>
    <row r="254">
      <c r="A254" s="13" t="inlineStr">
        <is>
          <t>63ebddd057ca2</t>
        </is>
      </c>
      <c r="B254" s="13" t="inlineStr">
        <is>
          <t>PULSERA CLAVO SILVER DELGADA CON ZIRCONIA</t>
        </is>
      </c>
      <c r="C254" s="13" t="inlineStr">
        <is>
          <t>17cm</t>
        </is>
      </c>
      <c r="D254" s="14" t="inlineStr"/>
      <c r="E254" s="15" t="n">
        <v>3.99</v>
      </c>
      <c r="F254" s="13" t="n"/>
      <c r="G254" s="13" t="n"/>
      <c r="H254" s="13" t="n"/>
      <c r="I254" s="13" t="n"/>
      <c r="J254" s="13" t="n"/>
      <c r="K254" s="13" t="n"/>
      <c r="L254" s="16">
        <f>IF(COUNT(E254:K254)=0,"",MIN(E254:K254))</f>
        <v/>
      </c>
      <c r="M254" s="15">
        <f>IF(COUNT(E254:K254)=0,"",LOOKUP(2,1/(E254:K254&lt;&gt;""),E254:K254))</f>
        <v/>
      </c>
      <c r="N254" s="17">
        <f>IF(L254="","",ROUND(L254*RESUMEN!$B$4,0))</f>
        <v/>
      </c>
      <c r="O254" s="18">
        <f>COUNT(E254:K254)</f>
        <v/>
      </c>
    </row>
    <row r="255">
      <c r="A255" s="13" t="inlineStr">
        <is>
          <t>71288021138541</t>
        </is>
      </c>
      <c r="B255" s="13" t="inlineStr">
        <is>
          <t>PULSERA DE TELA BLACK ELSA PERETTI</t>
        </is>
      </c>
      <c r="C255" s="13" t="inlineStr">
        <is>
          <t>Default Title</t>
        </is>
      </c>
      <c r="D255" s="14" t="inlineStr">
        <is>
          <t>brass</t>
        </is>
      </c>
      <c r="E255" s="13" t="n"/>
      <c r="F255" s="13" t="n"/>
      <c r="G255" s="13" t="n"/>
      <c r="H255" s="13" t="n"/>
      <c r="I255" s="13" t="n"/>
      <c r="J255" s="15" t="n">
        <v>6.69</v>
      </c>
      <c r="K255" s="13" t="n"/>
      <c r="L255" s="16">
        <f>IF(COUNT(E255:K255)=0,"",MIN(E255:K255))</f>
        <v/>
      </c>
      <c r="M255" s="15">
        <f>IF(COUNT(E255:K255)=0,"",LOOKUP(2,1/(E255:K255&lt;&gt;""),E255:K255))</f>
        <v/>
      </c>
      <c r="N255" s="17">
        <f>IF(L255="","",ROUND(L255*RESUMEN!$B$4,0))</f>
        <v/>
      </c>
      <c r="O255" s="18">
        <f>COUNT(E255:K255)</f>
        <v/>
      </c>
    </row>
    <row r="256">
      <c r="A256" s="13" t="inlineStr">
        <is>
          <t>71288021024429</t>
        </is>
      </c>
      <c r="B256" s="13" t="inlineStr">
        <is>
          <t>PULSERA DE TELA BLUE ELSA PERETTI</t>
        </is>
      </c>
      <c r="C256" s="13" t="inlineStr">
        <is>
          <t>Default Title</t>
        </is>
      </c>
      <c r="D256" s="14" t="inlineStr">
        <is>
          <t>brass</t>
        </is>
      </c>
      <c r="E256" s="13" t="n"/>
      <c r="F256" s="13" t="n"/>
      <c r="G256" s="13" t="n"/>
      <c r="H256" s="13" t="n"/>
      <c r="I256" s="13" t="n"/>
      <c r="J256" s="15" t="n">
        <v>6.69</v>
      </c>
      <c r="K256" s="13" t="n"/>
      <c r="L256" s="16">
        <f>IF(COUNT(E256:K256)=0,"",MIN(E256:K256))</f>
        <v/>
      </c>
      <c r="M256" s="15">
        <f>IF(COUNT(E256:K256)=0,"",LOOKUP(2,1/(E256:K256&lt;&gt;""),E256:K256))</f>
        <v/>
      </c>
      <c r="N256" s="17">
        <f>IF(L256="","",ROUND(L256*RESUMEN!$B$4,0))</f>
        <v/>
      </c>
      <c r="O256" s="18">
        <f>COUNT(E256:K256)</f>
        <v/>
      </c>
    </row>
    <row r="257">
      <c r="A257" s="13" t="inlineStr">
        <is>
          <t>661774c11e19f</t>
        </is>
      </c>
      <c r="B257" s="13" t="inlineStr">
        <is>
          <t>PULSERA ECROU GOLD</t>
        </is>
      </c>
      <c r="C257" s="13" t="inlineStr">
        <is>
          <t>16</t>
        </is>
      </c>
      <c r="D257" s="14" t="inlineStr">
        <is>
          <t>stainless steel</t>
        </is>
      </c>
      <c r="E257" s="13" t="n"/>
      <c r="F257" s="13" t="n"/>
      <c r="G257" s="15" t="n">
        <v>5.39</v>
      </c>
      <c r="H257" s="13" t="n"/>
      <c r="I257" s="13" t="n"/>
      <c r="J257" s="15" t="n">
        <v>5.39</v>
      </c>
      <c r="K257" s="13" t="n"/>
      <c r="L257" s="16">
        <f>IF(COUNT(E257:K257)=0,"",MIN(E257:K257))</f>
        <v/>
      </c>
      <c r="M257" s="15">
        <f>IF(COUNT(E257:K257)=0,"",LOOKUP(2,1/(E257:K257&lt;&gt;""),E257:K257))</f>
        <v/>
      </c>
      <c r="N257" s="17">
        <f>IF(L257="","",ROUND(L257*RESUMEN!$B$4,0))</f>
        <v/>
      </c>
      <c r="O257" s="18">
        <f>COUNT(E257:K257)</f>
        <v/>
      </c>
    </row>
    <row r="258">
      <c r="A258" s="13" t="inlineStr">
        <is>
          <t>661774c1c7ccf</t>
        </is>
      </c>
      <c r="B258" s="13" t="inlineStr">
        <is>
          <t>PULSERA ECROU GOLD</t>
        </is>
      </c>
      <c r="C258" s="13" t="inlineStr">
        <is>
          <t>20</t>
        </is>
      </c>
      <c r="D258" s="14" t="inlineStr">
        <is>
          <t>stainless steel</t>
        </is>
      </c>
      <c r="E258" s="13" t="n"/>
      <c r="F258" s="13" t="n"/>
      <c r="G258" s="13" t="n"/>
      <c r="H258" s="13" t="n"/>
      <c r="I258" s="13" t="n"/>
      <c r="J258" s="15" t="n">
        <v>5.39</v>
      </c>
      <c r="K258" s="13" t="n"/>
      <c r="L258" s="16">
        <f>IF(COUNT(E258:K258)=0,"",MIN(E258:K258))</f>
        <v/>
      </c>
      <c r="M258" s="15">
        <f>IF(COUNT(E258:K258)=0,"",LOOKUP(2,1/(E258:K258&lt;&gt;""),E258:K258))</f>
        <v/>
      </c>
      <c r="N258" s="17">
        <f>IF(L258="","",ROUND(L258*RESUMEN!$B$4,0))</f>
        <v/>
      </c>
      <c r="O258" s="18">
        <f>COUNT(E258:K258)</f>
        <v/>
      </c>
    </row>
    <row r="259">
      <c r="A259" s="13" t="inlineStr">
        <is>
          <t>661774c19f755</t>
        </is>
      </c>
      <c r="B259" s="13" t="inlineStr">
        <is>
          <t>PULSERA ECROU ROSEGOLD</t>
        </is>
      </c>
      <c r="C259" s="13" t="inlineStr">
        <is>
          <t>16cm</t>
        </is>
      </c>
      <c r="D259" s="14" t="inlineStr">
        <is>
          <t>stainless steel</t>
        </is>
      </c>
      <c r="E259" s="15" t="n">
        <v>5.39</v>
      </c>
      <c r="F259" s="15" t="n">
        <v>5.39</v>
      </c>
      <c r="G259" s="15" t="n">
        <v>6.39</v>
      </c>
      <c r="H259" s="13" t="n"/>
      <c r="I259" s="13" t="n"/>
      <c r="J259" s="15" t="n">
        <v>5.39</v>
      </c>
      <c r="K259" s="13" t="n"/>
      <c r="L259" s="16">
        <f>IF(COUNT(E259:K259)=0,"",MIN(E259:K259))</f>
        <v/>
      </c>
      <c r="M259" s="15">
        <f>IF(COUNT(E259:K259)=0,"",LOOKUP(2,1/(E259:K259&lt;&gt;""),E259:K259))</f>
        <v/>
      </c>
      <c r="N259" s="17">
        <f>IF(L259="","",ROUND(L259*RESUMEN!$B$4,0))</f>
        <v/>
      </c>
      <c r="O259" s="18">
        <f>COUNT(E259:K259)</f>
        <v/>
      </c>
    </row>
    <row r="260">
      <c r="A260" s="13" t="inlineStr">
        <is>
          <t>661774c249e2a</t>
        </is>
      </c>
      <c r="B260" s="13" t="inlineStr">
        <is>
          <t>PULSERA ECROU ROSEGOLD</t>
        </is>
      </c>
      <c r="C260" s="13" t="inlineStr">
        <is>
          <t>20cm</t>
        </is>
      </c>
      <c r="D260" s="14" t="inlineStr"/>
      <c r="E260" s="15" t="n">
        <v>5.39</v>
      </c>
      <c r="F260" s="13" t="n"/>
      <c r="G260" s="15" t="n">
        <v>5.39</v>
      </c>
      <c r="H260" s="13" t="n"/>
      <c r="I260" s="13" t="n"/>
      <c r="J260" s="13" t="n"/>
      <c r="K260" s="13" t="n"/>
      <c r="L260" s="16">
        <f>IF(COUNT(E260:K260)=0,"",MIN(E260:K260))</f>
        <v/>
      </c>
      <c r="M260" s="15">
        <f>IF(COUNT(E260:K260)=0,"",LOOKUP(2,1/(E260:K260&lt;&gt;""),E260:K260))</f>
        <v/>
      </c>
      <c r="N260" s="17">
        <f>IF(L260="","",ROUND(L260*RESUMEN!$B$4,0))</f>
        <v/>
      </c>
      <c r="O260" s="18">
        <f>COUNT(E260:K260)</f>
        <v/>
      </c>
    </row>
    <row r="261">
      <c r="A261" s="13" t="inlineStr">
        <is>
          <t>661774c181d21</t>
        </is>
      </c>
      <c r="B261" s="13" t="inlineStr">
        <is>
          <t>PULSERA ECROU SILVER</t>
        </is>
      </c>
      <c r="C261" s="13" t="inlineStr">
        <is>
          <t>16cm</t>
        </is>
      </c>
      <c r="D261" s="14" t="inlineStr">
        <is>
          <t>stainless steel</t>
        </is>
      </c>
      <c r="E261" s="15" t="n">
        <v>5.39</v>
      </c>
      <c r="F261" s="15" t="n">
        <v>5.39</v>
      </c>
      <c r="G261" s="15" t="n">
        <v>5.39</v>
      </c>
      <c r="H261" s="13" t="n"/>
      <c r="I261" s="15" t="n">
        <v>5.39</v>
      </c>
      <c r="J261" s="13" t="n"/>
      <c r="K261" s="15" t="n">
        <v>5.39</v>
      </c>
      <c r="L261" s="16">
        <f>IF(COUNT(E261:K261)=0,"",MIN(E261:K261))</f>
        <v/>
      </c>
      <c r="M261" s="15">
        <f>IF(COUNT(E261:K261)=0,"",LOOKUP(2,1/(E261:K261&lt;&gt;""),E261:K261))</f>
        <v/>
      </c>
      <c r="N261" s="17">
        <f>IF(L261="","",ROUND(L261*RESUMEN!$B$4,0))</f>
        <v/>
      </c>
      <c r="O261" s="18">
        <f>COUNT(E261:K261)</f>
        <v/>
      </c>
    </row>
    <row r="262">
      <c r="A262" s="13" t="inlineStr">
        <is>
          <t>661774c22d9a0</t>
        </is>
      </c>
      <c r="B262" s="13" t="inlineStr">
        <is>
          <t>PULSERA ECROU SILVER</t>
        </is>
      </c>
      <c r="C262" s="13" t="inlineStr">
        <is>
          <t>20cm</t>
        </is>
      </c>
      <c r="D262" s="14" t="inlineStr">
        <is>
          <t>stainless steel</t>
        </is>
      </c>
      <c r="E262" s="15" t="n">
        <v>5.39</v>
      </c>
      <c r="F262" s="15" t="n">
        <v>5.39</v>
      </c>
      <c r="G262" s="15" t="n">
        <v>5.39</v>
      </c>
      <c r="H262" s="13" t="n"/>
      <c r="I262" s="15" t="n">
        <v>5.39</v>
      </c>
      <c r="J262" s="15" t="n">
        <v>5.39</v>
      </c>
      <c r="K262" s="13" t="n"/>
      <c r="L262" s="16">
        <f>IF(COUNT(E262:K262)=0,"",MIN(E262:K262))</f>
        <v/>
      </c>
      <c r="M262" s="15">
        <f>IF(COUNT(E262:K262)=0,"",LOOKUP(2,1/(E262:K262&lt;&gt;""),E262:K262))</f>
        <v/>
      </c>
      <c r="N262" s="17">
        <f>IF(L262="","",ROUND(L262*RESUMEN!$B$4,0))</f>
        <v/>
      </c>
      <c r="O262" s="18">
        <f>COUNT(E262:K262)</f>
        <v/>
      </c>
    </row>
    <row r="263">
      <c r="A263" s="13" t="inlineStr">
        <is>
          <t>56072001110541</t>
        </is>
      </c>
      <c r="B263" s="13" t="inlineStr">
        <is>
          <t>PULSERA F FOREVER BLACK GOLD</t>
        </is>
      </c>
      <c r="C263" s="13" t="inlineStr"/>
      <c r="D263" s="14" t="inlineStr"/>
      <c r="E263" s="13" t="n"/>
      <c r="F263" s="13" t="n"/>
      <c r="G263" s="13" t="n"/>
      <c r="H263" s="13" t="n"/>
      <c r="I263" s="13" t="n"/>
      <c r="J263" s="13" t="n"/>
      <c r="K263" s="15" t="n">
        <v>6.99</v>
      </c>
      <c r="L263" s="16">
        <f>IF(COUNT(E263:K263)=0,"",MIN(E263:K263))</f>
        <v/>
      </c>
      <c r="M263" s="15">
        <f>IF(COUNT(E263:K263)=0,"",LOOKUP(2,1/(E263:K263&lt;&gt;""),E263:K263))</f>
        <v/>
      </c>
      <c r="N263" s="17">
        <f>IF(L263="","",ROUND(L263*RESUMEN!$B$4,0))</f>
        <v/>
      </c>
      <c r="O263" s="18">
        <f>COUNT(E263:K263)</f>
        <v/>
      </c>
    </row>
    <row r="264">
      <c r="A264" s="13" t="inlineStr">
        <is>
          <t>43047201472652</t>
        </is>
      </c>
      <c r="B264" s="13" t="inlineStr">
        <is>
          <t>PULSERA KNOT SILVER</t>
        </is>
      </c>
      <c r="C264" s="13" t="inlineStr">
        <is>
          <t>17cm</t>
        </is>
      </c>
      <c r="D264" s="14" t="inlineStr">
        <is>
          <t>brass</t>
        </is>
      </c>
      <c r="E264" s="13" t="n"/>
      <c r="F264" s="13" t="n"/>
      <c r="G264" s="15" t="n">
        <v>7.29</v>
      </c>
      <c r="H264" s="13" t="n"/>
      <c r="I264" s="13" t="n"/>
      <c r="J264" s="15" t="n">
        <v>7.59</v>
      </c>
      <c r="K264" s="13" t="n"/>
      <c r="L264" s="16">
        <f>IF(COUNT(E264:K264)=0,"",MIN(E264:K264))</f>
        <v/>
      </c>
      <c r="M264" s="15">
        <f>IF(COUNT(E264:K264)=0,"",LOOKUP(2,1/(E264:K264&lt;&gt;""),E264:K264))</f>
        <v/>
      </c>
      <c r="N264" s="17">
        <f>IF(L264="","",ROUND(L264*RESUMEN!$B$4,0))</f>
        <v/>
      </c>
      <c r="O264" s="18">
        <f>COUNT(E264:K264)</f>
        <v/>
      </c>
    </row>
    <row r="265">
      <c r="A265" s="13" t="inlineStr">
        <is>
          <t>43047201243276</t>
        </is>
      </c>
      <c r="B265" s="13" t="inlineStr">
        <is>
          <t>PULSERA LOCK SILVER CON ZIRCONIAS</t>
        </is>
      </c>
      <c r="C265" s="13" t="inlineStr">
        <is>
          <t>17cm</t>
        </is>
      </c>
      <c r="D265" s="14" t="inlineStr">
        <is>
          <t>brass</t>
        </is>
      </c>
      <c r="E265" s="15" t="n">
        <v>10.59</v>
      </c>
      <c r="F265" s="13" t="n"/>
      <c r="G265" s="13" t="n"/>
      <c r="H265" s="13" t="n"/>
      <c r="I265" s="13" t="n"/>
      <c r="J265" s="15" t="n">
        <v>11.39</v>
      </c>
      <c r="K265" s="13" t="n"/>
      <c r="L265" s="16">
        <f>IF(COUNT(E265:K265)=0,"",MIN(E265:K265))</f>
        <v/>
      </c>
      <c r="M265" s="15">
        <f>IF(COUNT(E265:K265)=0,"",LOOKUP(2,1/(E265:K265&lt;&gt;""),E265:K265))</f>
        <v/>
      </c>
      <c r="N265" s="17">
        <f>IF(L265="","",ROUND(L265*RESUMEN!$B$4,0))</f>
        <v/>
      </c>
      <c r="O265" s="18">
        <f>COUNT(E265:K265)</f>
        <v/>
      </c>
    </row>
    <row r="266">
      <c r="A266" s="13" t="inlineStr">
        <is>
          <t>62745762751693</t>
        </is>
      </c>
      <c r="B266" s="13" t="inlineStr">
        <is>
          <t>PULSERA LOVE GOLD CON MICROZIRCONIAS Y ZIRCONIAS</t>
        </is>
      </c>
      <c r="C266" s="13" t="inlineStr">
        <is>
          <t>17CM</t>
        </is>
      </c>
      <c r="D266" s="14" t="inlineStr">
        <is>
          <t>stainless steel</t>
        </is>
      </c>
      <c r="E266" s="13" t="n"/>
      <c r="F266" s="13" t="n"/>
      <c r="G266" s="13" t="n"/>
      <c r="H266" s="13" t="n"/>
      <c r="I266" s="13" t="n"/>
      <c r="J266" s="15" t="n">
        <v>15.99</v>
      </c>
      <c r="K266" s="13" t="n"/>
      <c r="L266" s="16">
        <f>IF(COUNT(E266:K266)=0,"",MIN(E266:K266))</f>
        <v/>
      </c>
      <c r="M266" s="15">
        <f>IF(COUNT(E266:K266)=0,"",LOOKUP(2,1/(E266:K266&lt;&gt;""),E266:K266))</f>
        <v/>
      </c>
      <c r="N266" s="17">
        <f>IF(L266="","",ROUND(L266*RESUMEN!$B$4,0))</f>
        <v/>
      </c>
      <c r="O266" s="18">
        <f>COUNT(E266:K266)</f>
        <v/>
      </c>
    </row>
    <row r="267">
      <c r="A267" s="13" t="inlineStr">
        <is>
          <t>62745762884461</t>
        </is>
      </c>
      <c r="B267" s="13" t="inlineStr">
        <is>
          <t>PULSERA LOVE GOLD CON MICROZIRCONIAS Y ZIRCONIAS</t>
        </is>
      </c>
      <c r="C267" s="13" t="inlineStr">
        <is>
          <t>19CM</t>
        </is>
      </c>
      <c r="D267" s="14" t="inlineStr">
        <is>
          <t>stainless steel</t>
        </is>
      </c>
      <c r="E267" s="13" t="n"/>
      <c r="F267" s="13" t="n"/>
      <c r="G267" s="13" t="n"/>
      <c r="H267" s="13" t="n"/>
      <c r="I267" s="13" t="n"/>
      <c r="J267" s="15" t="n">
        <v>15.99</v>
      </c>
      <c r="K267" s="13" t="n"/>
      <c r="L267" s="16">
        <f>IF(COUNT(E267:K267)=0,"",MIN(E267:K267))</f>
        <v/>
      </c>
      <c r="M267" s="15">
        <f>IF(COUNT(E267:K267)=0,"",LOOKUP(2,1/(E267:K267&lt;&gt;""),E267:K267))</f>
        <v/>
      </c>
      <c r="N267" s="17">
        <f>IF(L267="","",ROUND(L267*RESUMEN!$B$4,0))</f>
        <v/>
      </c>
      <c r="O267" s="18">
        <f>COUNT(E267:K267)</f>
        <v/>
      </c>
    </row>
    <row r="268">
      <c r="A268" s="13" t="inlineStr">
        <is>
          <t>62745762948301</t>
        </is>
      </c>
      <c r="B268" s="13" t="inlineStr">
        <is>
          <t>PULSERA LOVE SILVER CON MICROZIRCONIAS Y ZIRCONIAS</t>
        </is>
      </c>
      <c r="C268" s="13" t="inlineStr">
        <is>
          <t>17CM</t>
        </is>
      </c>
      <c r="D268" s="14" t="inlineStr">
        <is>
          <t>stainless steel</t>
        </is>
      </c>
      <c r="E268" s="13" t="n"/>
      <c r="F268" s="13" t="n"/>
      <c r="G268" s="13" t="n"/>
      <c r="H268" s="13" t="n"/>
      <c r="I268" s="13" t="n"/>
      <c r="J268" s="15" t="n">
        <v>15.99</v>
      </c>
      <c r="K268" s="13" t="n"/>
      <c r="L268" s="16">
        <f>IF(COUNT(E268:K268)=0,"",MIN(E268:K268))</f>
        <v/>
      </c>
      <c r="M268" s="15">
        <f>IF(COUNT(E268:K268)=0,"",LOOKUP(2,1/(E268:K268&lt;&gt;""),E268:K268))</f>
        <v/>
      </c>
      <c r="N268" s="17">
        <f>IF(L268="","",ROUND(L268*RESUMEN!$B$4,0))</f>
        <v/>
      </c>
      <c r="O268" s="18">
        <f>COUNT(E268:K268)</f>
        <v/>
      </c>
    </row>
    <row r="269">
      <c r="A269" s="13" t="inlineStr">
        <is>
          <t>62745763081069</t>
        </is>
      </c>
      <c r="B269" s="13" t="inlineStr">
        <is>
          <t>PULSERA LOVE SILVER CON MICROZIRCONIAS Y ZIRCONIAS</t>
        </is>
      </c>
      <c r="C269" s="13" t="inlineStr">
        <is>
          <t>19CM</t>
        </is>
      </c>
      <c r="D269" s="14" t="inlineStr">
        <is>
          <t>stainless steel</t>
        </is>
      </c>
      <c r="E269" s="13" t="n"/>
      <c r="F269" s="13" t="n"/>
      <c r="G269" s="13" t="n"/>
      <c r="H269" s="13" t="n"/>
      <c r="I269" s="13" t="n"/>
      <c r="J269" s="15" t="n">
        <v>15.99</v>
      </c>
      <c r="K269" s="13" t="n"/>
      <c r="L269" s="16">
        <f>IF(COUNT(E269:K269)=0,"",MIN(E269:K269))</f>
        <v/>
      </c>
      <c r="M269" s="15">
        <f>IF(COUNT(E269:K269)=0,"",LOOKUP(2,1/(E269:K269&lt;&gt;""),E269:K269))</f>
        <v/>
      </c>
      <c r="N269" s="17">
        <f>IF(L269="","",ROUND(L269*RESUMEN!$B$4,0))</f>
        <v/>
      </c>
      <c r="O269" s="18">
        <f>COUNT(E269:K269)</f>
        <v/>
      </c>
    </row>
    <row r="270">
      <c r="A270" s="13" t="inlineStr">
        <is>
          <t>22974391301613</t>
        </is>
      </c>
      <c r="B270" s="13" t="inlineStr">
        <is>
          <t>PULSERA LV ICONIC LOUISA SILVER</t>
        </is>
      </c>
      <c r="C270" s="13" t="inlineStr">
        <is>
          <t>Default Title</t>
        </is>
      </c>
      <c r="D270" s="14" t="inlineStr">
        <is>
          <t>brass</t>
        </is>
      </c>
      <c r="E270" s="13" t="n"/>
      <c r="F270" s="13" t="n"/>
      <c r="G270" s="13" t="n"/>
      <c r="H270" s="15" t="n">
        <v>7.59</v>
      </c>
      <c r="I270" s="13" t="n"/>
      <c r="J270" s="13" t="n"/>
      <c r="K270" s="13" t="n"/>
      <c r="L270" s="16">
        <f>IF(COUNT(E270:K270)=0,"",MIN(E270:K270))</f>
        <v/>
      </c>
      <c r="M270" s="15">
        <f>IF(COUNT(E270:K270)=0,"",LOOKUP(2,1/(E270:K270&lt;&gt;""),E270:K270))</f>
        <v/>
      </c>
      <c r="N270" s="17">
        <f>IF(L270="","",ROUND(L270*RESUMEN!$B$4,0))</f>
        <v/>
      </c>
      <c r="O270" s="18">
        <f>COUNT(E270:K270)</f>
        <v/>
      </c>
    </row>
    <row r="271">
      <c r="A271" s="13" t="inlineStr">
        <is>
          <t>64e78e7d211b8</t>
        </is>
      </c>
      <c r="B271" s="13" t="inlineStr">
        <is>
          <t>PULSERA ONE TRÉBOL GOLD</t>
        </is>
      </c>
      <c r="C271" s="13" t="inlineStr">
        <is>
          <t>17cm Con extension 2.5m</t>
        </is>
      </c>
      <c r="D271" s="14" t="inlineStr">
        <is>
          <t>brass</t>
        </is>
      </c>
      <c r="E271" s="15" t="n">
        <v>5.59</v>
      </c>
      <c r="F271" s="13" t="n"/>
      <c r="G271" s="13" t="n"/>
      <c r="H271" s="15" t="n">
        <v>5.59</v>
      </c>
      <c r="I271" s="13" t="n"/>
      <c r="J271" s="13" t="n"/>
      <c r="K271" s="15" t="n">
        <v>5.59</v>
      </c>
      <c r="L271" s="16">
        <f>IF(COUNT(E271:K271)=0,"",MIN(E271:K271))</f>
        <v/>
      </c>
      <c r="M271" s="15">
        <f>IF(COUNT(E271:K271)=0,"",LOOKUP(2,1/(E271:K271&lt;&gt;""),E271:K271))</f>
        <v/>
      </c>
      <c r="N271" s="17">
        <f>IF(L271="","",ROUND(L271*RESUMEN!$B$4,0))</f>
        <v/>
      </c>
      <c r="O271" s="18">
        <f>COUNT(E271:K271)</f>
        <v/>
      </c>
    </row>
    <row r="272">
      <c r="A272" s="13" t="inlineStr">
        <is>
          <t>6617744996481</t>
        </is>
      </c>
      <c r="B272" s="13" t="inlineStr">
        <is>
          <t>PULSERA ONE TRÉBOL GOLD BLACK</t>
        </is>
      </c>
      <c r="C272" s="13" t="inlineStr">
        <is>
          <t>17cm con extensión de 3cm</t>
        </is>
      </c>
      <c r="D272" s="14" t="inlineStr">
        <is>
          <t>brass</t>
        </is>
      </c>
      <c r="E272" s="13" t="n"/>
      <c r="F272" s="15" t="n">
        <v>5.59</v>
      </c>
      <c r="G272" s="13" t="n"/>
      <c r="H272" s="13" t="n"/>
      <c r="I272" s="15" t="n">
        <v>5.59</v>
      </c>
      <c r="J272" s="15" t="n">
        <v>5.59</v>
      </c>
      <c r="K272" s="15" t="n">
        <v>5.59</v>
      </c>
      <c r="L272" s="16">
        <f>IF(COUNT(E272:K272)=0,"",MIN(E272:K272))</f>
        <v/>
      </c>
      <c r="M272" s="15">
        <f>IF(COUNT(E272:K272)=0,"",LOOKUP(2,1/(E272:K272&lt;&gt;""),E272:K272))</f>
        <v/>
      </c>
      <c r="N272" s="17">
        <f>IF(L272="","",ROUND(L272*RESUMEN!$B$4,0))</f>
        <v/>
      </c>
      <c r="O272" s="18">
        <f>COUNT(E272:K272)</f>
        <v/>
      </c>
    </row>
    <row r="273">
      <c r="A273" s="13" t="inlineStr">
        <is>
          <t>6701d185b1594</t>
        </is>
      </c>
      <c r="B273" s="13" t="inlineStr">
        <is>
          <t>PULSERA ONE TRÉBOL GOLD GREEN</t>
        </is>
      </c>
      <c r="C273" s="13" t="inlineStr">
        <is>
          <t>17cm con extensión de 3cm</t>
        </is>
      </c>
      <c r="D273" s="14" t="inlineStr">
        <is>
          <t>brass</t>
        </is>
      </c>
      <c r="E273" s="13" t="n"/>
      <c r="F273" s="15" t="n">
        <v>5.59</v>
      </c>
      <c r="G273" s="13" t="n"/>
      <c r="H273" s="15" t="n">
        <v>5.59</v>
      </c>
      <c r="I273" s="13" t="n"/>
      <c r="J273" s="15" t="n">
        <v>5.59</v>
      </c>
      <c r="K273" s="15" t="n">
        <v>5.59</v>
      </c>
      <c r="L273" s="16">
        <f>IF(COUNT(E273:K273)=0,"",MIN(E273:K273))</f>
        <v/>
      </c>
      <c r="M273" s="15">
        <f>IF(COUNT(E273:K273)=0,"",LOOKUP(2,1/(E273:K273&lt;&gt;""),E273:K273))</f>
        <v/>
      </c>
      <c r="N273" s="17">
        <f>IF(L273="","",ROUND(L273*RESUMEN!$B$4,0))</f>
        <v/>
      </c>
      <c r="O273" s="18">
        <f>COUNT(E273:K273)</f>
        <v/>
      </c>
    </row>
    <row r="274">
      <c r="A274" s="13" t="inlineStr">
        <is>
          <t>6617744c91a0e</t>
        </is>
      </c>
      <c r="B274" s="13" t="inlineStr">
        <is>
          <t>PULSERA ONE TRÉBOL GOLD WHITE</t>
        </is>
      </c>
      <c r="C274" s="13" t="inlineStr">
        <is>
          <t>17cm con extensión de 3cm</t>
        </is>
      </c>
      <c r="D274" s="14" t="inlineStr"/>
      <c r="E274" s="13" t="n"/>
      <c r="F274" s="15" t="n">
        <v>5.59</v>
      </c>
      <c r="G274" s="13" t="n"/>
      <c r="H274" s="13" t="n"/>
      <c r="I274" s="13" t="n"/>
      <c r="J274" s="13" t="n"/>
      <c r="K274" s="15" t="n">
        <v>5.59</v>
      </c>
      <c r="L274" s="16">
        <f>IF(COUNT(E274:K274)=0,"",MIN(E274:K274))</f>
        <v/>
      </c>
      <c r="M274" s="15">
        <f>IF(COUNT(E274:K274)=0,"",LOOKUP(2,1/(E274:K274&lt;&gt;""),E274:K274))</f>
        <v/>
      </c>
      <c r="N274" s="17">
        <f>IF(L274="","",ROUND(L274*RESUMEN!$B$4,0))</f>
        <v/>
      </c>
      <c r="O274" s="18">
        <f>COUNT(E274:K274)</f>
        <v/>
      </c>
    </row>
    <row r="275">
      <c r="A275" s="13" t="inlineStr">
        <is>
          <t>6701d185cad9a</t>
        </is>
      </c>
      <c r="B275" s="13" t="inlineStr">
        <is>
          <t>PULSERA ONE TRÉBOL ROSEGOLD RED</t>
        </is>
      </c>
      <c r="C275" s="13" t="inlineStr">
        <is>
          <t>Talla 17 con extensión de 3cm</t>
        </is>
      </c>
      <c r="D275" s="14" t="inlineStr">
        <is>
          <t>brass</t>
        </is>
      </c>
      <c r="E275" s="13" t="n"/>
      <c r="F275" s="15" t="n">
        <v>5.59</v>
      </c>
      <c r="G275" s="13" t="n"/>
      <c r="H275" s="15" t="n">
        <v>5.59</v>
      </c>
      <c r="I275" s="15" t="n">
        <v>5.59</v>
      </c>
      <c r="J275" s="15" t="n">
        <v>5.59</v>
      </c>
      <c r="K275" s="15" t="n">
        <v>5.59</v>
      </c>
      <c r="L275" s="16">
        <f>IF(COUNT(E275:K275)=0,"",MIN(E275:K275))</f>
        <v/>
      </c>
      <c r="M275" s="15">
        <f>IF(COUNT(E275:K275)=0,"",LOOKUP(2,1/(E275:K275&lt;&gt;""),E275:K275))</f>
        <v/>
      </c>
      <c r="N275" s="17">
        <f>IF(L275="","",ROUND(L275*RESUMEN!$B$4,0))</f>
        <v/>
      </c>
      <c r="O275" s="18">
        <f>COUNT(E275:K275)</f>
        <v/>
      </c>
    </row>
    <row r="276">
      <c r="A276" s="13" t="inlineStr">
        <is>
          <t>665bce4e1ec6b</t>
        </is>
      </c>
      <c r="B276" s="13" t="inlineStr">
        <is>
          <t>PULSERA PERLEÉ GOLD</t>
        </is>
      </c>
      <c r="C276" s="13" t="inlineStr">
        <is>
          <t>16cm</t>
        </is>
      </c>
      <c r="D276" s="14" t="inlineStr">
        <is>
          <t>brass</t>
        </is>
      </c>
      <c r="E276" s="13" t="n"/>
      <c r="F276" s="15" t="n">
        <v>10.99</v>
      </c>
      <c r="G276" s="13" t="n"/>
      <c r="H276" s="15" t="n">
        <v>10.99</v>
      </c>
      <c r="I276" s="13" t="n"/>
      <c r="J276" s="13" t="n"/>
      <c r="K276" s="15" t="n">
        <v>11.39</v>
      </c>
      <c r="L276" s="16">
        <f>IF(COUNT(E276:K276)=0,"",MIN(E276:K276))</f>
        <v/>
      </c>
      <c r="M276" s="15">
        <f>IF(COUNT(E276:K276)=0,"",LOOKUP(2,1/(E276:K276&lt;&gt;""),E276:K276))</f>
        <v/>
      </c>
      <c r="N276" s="17">
        <f>IF(L276="","",ROUND(L276*RESUMEN!$B$4,0))</f>
        <v/>
      </c>
      <c r="O276" s="18">
        <f>COUNT(E276:K276)</f>
        <v/>
      </c>
    </row>
    <row r="277">
      <c r="A277" s="13" t="inlineStr">
        <is>
          <t>665bce4734fce</t>
        </is>
      </c>
      <c r="B277" s="13" t="inlineStr">
        <is>
          <t>PULSERA PERLEÉ ROSEGOLD</t>
        </is>
      </c>
      <c r="C277" s="13" t="inlineStr">
        <is>
          <t>16cm</t>
        </is>
      </c>
      <c r="D277" s="14" t="inlineStr"/>
      <c r="E277" s="13" t="n"/>
      <c r="F277" s="13" t="n"/>
      <c r="G277" s="15" t="n">
        <v>10.99</v>
      </c>
      <c r="H277" s="13" t="n"/>
      <c r="I277" s="13" t="n"/>
      <c r="J277" s="13" t="n"/>
      <c r="K277" s="15" t="n">
        <v>11.39</v>
      </c>
      <c r="L277" s="16">
        <f>IF(COUNT(E277:K277)=0,"",MIN(E277:K277))</f>
        <v/>
      </c>
      <c r="M277" s="15">
        <f>IF(COUNT(E277:K277)=0,"",LOOKUP(2,1/(E277:K277&lt;&gt;""),E277:K277))</f>
        <v/>
      </c>
      <c r="N277" s="17">
        <f>IF(L277="","",ROUND(L277*RESUMEN!$B$4,0))</f>
        <v/>
      </c>
      <c r="O277" s="18">
        <f>COUNT(E277:K277)</f>
        <v/>
      </c>
    </row>
    <row r="278">
      <c r="A278" s="13" t="inlineStr">
        <is>
          <t>58501868312588</t>
        </is>
      </c>
      <c r="B278" s="13" t="inlineStr">
        <is>
          <t>PULSERA PERLEÉ ROSEGOLD ANCHA</t>
        </is>
      </c>
      <c r="C278" s="13" t="inlineStr">
        <is>
          <t>16cm</t>
        </is>
      </c>
      <c r="D278" s="14" t="inlineStr">
        <is>
          <t>brass</t>
        </is>
      </c>
      <c r="E278" s="15" t="n">
        <v>12.99</v>
      </c>
      <c r="F278" s="13" t="n"/>
      <c r="G278" s="13" t="n"/>
      <c r="H278" s="13" t="n"/>
      <c r="I278" s="15" t="n">
        <v>14.39</v>
      </c>
      <c r="J278" s="13" t="n"/>
      <c r="K278" s="15" t="n">
        <v>13.19</v>
      </c>
      <c r="L278" s="16">
        <f>IF(COUNT(E278:K278)=0,"",MIN(E278:K278))</f>
        <v/>
      </c>
      <c r="M278" s="15">
        <f>IF(COUNT(E278:K278)=0,"",LOOKUP(2,1/(E278:K278&lt;&gt;""),E278:K278))</f>
        <v/>
      </c>
      <c r="N278" s="17">
        <f>IF(L278="","",ROUND(L278*RESUMEN!$B$4,0))</f>
        <v/>
      </c>
      <c r="O278" s="18">
        <f>COUNT(E278:K278)</f>
        <v/>
      </c>
    </row>
    <row r="279">
      <c r="A279" s="13" t="inlineStr">
        <is>
          <t>665bce4a7cf8d</t>
        </is>
      </c>
      <c r="B279" s="13" t="inlineStr">
        <is>
          <t>PULSERA PERLEÉ SILVER</t>
        </is>
      </c>
      <c r="C279" s="13" t="inlineStr">
        <is>
          <t>16cm</t>
        </is>
      </c>
      <c r="D279" s="14" t="inlineStr">
        <is>
          <t>brass</t>
        </is>
      </c>
      <c r="E279" s="13" t="n"/>
      <c r="F279" s="13" t="n"/>
      <c r="G279" s="13" t="n"/>
      <c r="H279" s="13" t="n"/>
      <c r="I279" s="15" t="n">
        <v>10.99</v>
      </c>
      <c r="J279" s="13" t="n"/>
      <c r="K279" s="13" t="n"/>
      <c r="L279" s="16">
        <f>IF(COUNT(E279:K279)=0,"",MIN(E279:K279))</f>
        <v/>
      </c>
      <c r="M279" s="15">
        <f>IF(COUNT(E279:K279)=0,"",LOOKUP(2,1/(E279:K279&lt;&gt;""),E279:K279))</f>
        <v/>
      </c>
      <c r="N279" s="17">
        <f>IF(L279="","",ROUND(L279*RESUMEN!$B$4,0))</f>
        <v/>
      </c>
      <c r="O279" s="18">
        <f>COUNT(E279:K279)</f>
        <v/>
      </c>
    </row>
    <row r="280">
      <c r="A280" s="13" t="inlineStr">
        <is>
          <t>665bce699c07e-1</t>
        </is>
      </c>
      <c r="B280" s="13" t="inlineStr">
        <is>
          <t>PULSERA SERPENTI LISA GOLD</t>
        </is>
      </c>
      <c r="C280" s="13" t="inlineStr">
        <is>
          <t>18cm</t>
        </is>
      </c>
      <c r="D280" s="14" t="inlineStr">
        <is>
          <t>brass</t>
        </is>
      </c>
      <c r="E280" s="13" t="n"/>
      <c r="F280" s="13" t="n"/>
      <c r="G280" s="15" t="n">
        <v>9.390000000000001</v>
      </c>
      <c r="H280" s="13" t="n"/>
      <c r="I280" s="13" t="n"/>
      <c r="J280" s="15" t="n">
        <v>9.390000000000001</v>
      </c>
      <c r="K280" s="13" t="n"/>
      <c r="L280" s="16">
        <f>IF(COUNT(E280:K280)=0,"",MIN(E280:K280))</f>
        <v/>
      </c>
      <c r="M280" s="15">
        <f>IF(COUNT(E280:K280)=0,"",LOOKUP(2,1/(E280:K280&lt;&gt;""),E280:K280))</f>
        <v/>
      </c>
      <c r="N280" s="17">
        <f>IF(L280="","",ROUND(L280*RESUMEN!$B$4,0))</f>
        <v/>
      </c>
      <c r="O280" s="18">
        <f>COUNT(E280:K280)</f>
        <v/>
      </c>
    </row>
    <row r="281">
      <c r="A281" s="13" t="inlineStr">
        <is>
          <t>665bce619b90b</t>
        </is>
      </c>
      <c r="B281" s="13" t="inlineStr">
        <is>
          <t>PULSERA SERPENTI LISA ROSEGOLD</t>
        </is>
      </c>
      <c r="C281" s="13" t="inlineStr">
        <is>
          <t>18cm</t>
        </is>
      </c>
      <c r="D281" s="14" t="inlineStr">
        <is>
          <t>brass</t>
        </is>
      </c>
      <c r="E281" s="13" t="n"/>
      <c r="F281" s="15" t="n">
        <v>9.390000000000001</v>
      </c>
      <c r="G281" s="15" t="n">
        <v>9.390000000000001</v>
      </c>
      <c r="H281" s="13" t="n"/>
      <c r="I281" s="15" t="n">
        <v>9.390000000000001</v>
      </c>
      <c r="J281" s="13" t="n"/>
      <c r="K281" s="13" t="n"/>
      <c r="L281" s="16">
        <f>IF(COUNT(E281:K281)=0,"",MIN(E281:K281))</f>
        <v/>
      </c>
      <c r="M281" s="15">
        <f>IF(COUNT(E281:K281)=0,"",LOOKUP(2,1/(E281:K281&lt;&gt;""),E281:K281))</f>
        <v/>
      </c>
      <c r="N281" s="17">
        <f>IF(L281="","",ROUND(L281*RESUMEN!$B$4,0))</f>
        <v/>
      </c>
      <c r="O281" s="18">
        <f>COUNT(E281:K281)</f>
        <v/>
      </c>
    </row>
    <row r="282">
      <c r="A282" s="13" t="inlineStr">
        <is>
          <t>665bce65c57fd</t>
        </is>
      </c>
      <c r="B282" s="13" t="inlineStr">
        <is>
          <t>PULSERA SERPENTI LISA SILVER</t>
        </is>
      </c>
      <c r="C282" s="13" t="inlineStr">
        <is>
          <t>18cm</t>
        </is>
      </c>
      <c r="D282" s="14" t="inlineStr"/>
      <c r="E282" s="15" t="n">
        <v>9.390000000000001</v>
      </c>
      <c r="F282" s="15" t="n">
        <v>9.390000000000001</v>
      </c>
      <c r="G282" s="15" t="n">
        <v>9.390000000000001</v>
      </c>
      <c r="H282" s="13" t="n"/>
      <c r="I282" s="13" t="n"/>
      <c r="J282" s="13" t="n"/>
      <c r="K282" s="15" t="n">
        <v>9.59</v>
      </c>
      <c r="L282" s="16">
        <f>IF(COUNT(E282:K282)=0,"",MIN(E282:K282))</f>
        <v/>
      </c>
      <c r="M282" s="15">
        <f>IF(COUNT(E282:K282)=0,"",LOOKUP(2,1/(E282:K282&lt;&gt;""),E282:K282))</f>
        <v/>
      </c>
      <c r="N282" s="17">
        <f>IF(L282="","",ROUND(L282*RESUMEN!$B$4,0))</f>
        <v/>
      </c>
      <c r="O282" s="18">
        <f>COUNT(E282:K282)</f>
        <v/>
      </c>
    </row>
    <row r="283">
      <c r="A283" s="13" t="inlineStr">
        <is>
          <t>68089823204749</t>
        </is>
      </c>
      <c r="B283" s="13" t="inlineStr">
        <is>
          <t>PULSERA SMILE DE TELA BABY BLUE</t>
        </is>
      </c>
      <c r="C283" s="13" t="inlineStr">
        <is>
          <t>Default Title</t>
        </is>
      </c>
      <c r="D283" s="14" t="inlineStr">
        <is>
          <t>brass</t>
        </is>
      </c>
      <c r="E283" s="13" t="n"/>
      <c r="F283" s="13" t="n"/>
      <c r="G283" s="13" t="n"/>
      <c r="H283" s="13" t="n"/>
      <c r="I283" s="13" t="n"/>
      <c r="J283" s="15" t="n">
        <v>6.69</v>
      </c>
      <c r="K283" s="13" t="n"/>
      <c r="L283" s="16">
        <f>IF(COUNT(E283:K283)=0,"",MIN(E283:K283))</f>
        <v/>
      </c>
      <c r="M283" s="15">
        <f>IF(COUNT(E283:K283)=0,"",LOOKUP(2,1/(E283:K283&lt;&gt;""),E283:K283))</f>
        <v/>
      </c>
      <c r="N283" s="17">
        <f>IF(L283="","",ROUND(L283*RESUMEN!$B$4,0))</f>
        <v/>
      </c>
      <c r="O283" s="18">
        <f>COUNT(E283:K283)</f>
        <v/>
      </c>
    </row>
    <row r="284">
      <c r="A284" s="13" t="inlineStr">
        <is>
          <t>68089823108141</t>
        </is>
      </c>
      <c r="B284" s="13" t="inlineStr">
        <is>
          <t>PULSERA SMILE DE TELA RED</t>
        </is>
      </c>
      <c r="C284" s="13" t="inlineStr">
        <is>
          <t>Default Title</t>
        </is>
      </c>
      <c r="D284" s="14" t="inlineStr">
        <is>
          <t>brass</t>
        </is>
      </c>
      <c r="E284" s="13" t="n"/>
      <c r="F284" s="13" t="n"/>
      <c r="G284" s="13" t="n"/>
      <c r="H284" s="13" t="n"/>
      <c r="I284" s="13" t="n"/>
      <c r="J284" s="15" t="n">
        <v>6.69</v>
      </c>
      <c r="K284" s="13" t="n"/>
      <c r="L284" s="16">
        <f>IF(COUNT(E284:K284)=0,"",MIN(E284:K284))</f>
        <v/>
      </c>
      <c r="M284" s="15">
        <f>IF(COUNT(E284:K284)=0,"",LOOKUP(2,1/(E284:K284&lt;&gt;""),E284:K284))</f>
        <v/>
      </c>
      <c r="N284" s="17">
        <f>IF(L284="","",ROUND(L284*RESUMEN!$B$4,0))</f>
        <v/>
      </c>
      <c r="O284" s="18">
        <f>COUNT(E284:K284)</f>
        <v/>
      </c>
    </row>
    <row r="285">
      <c r="A285" s="13" t="inlineStr">
        <is>
          <t>68089821383309</t>
        </is>
      </c>
      <c r="B285" s="13" t="inlineStr">
        <is>
          <t>PULSERA T BEAN GOLD ZIRCONIAS</t>
        </is>
      </c>
      <c r="C285" s="13" t="inlineStr">
        <is>
          <t>Default Title</t>
        </is>
      </c>
      <c r="D285" s="14" t="inlineStr">
        <is>
          <t>brass</t>
        </is>
      </c>
      <c r="E285" s="13" t="n"/>
      <c r="F285" s="13" t="n"/>
      <c r="G285" s="13" t="n"/>
      <c r="H285" s="13" t="n"/>
      <c r="I285" s="13" t="n"/>
      <c r="J285" s="15" t="n">
        <v>8.890000000000001</v>
      </c>
      <c r="K285" s="13" t="n"/>
      <c r="L285" s="16">
        <f>IF(COUNT(E285:K285)=0,"",MIN(E285:K285))</f>
        <v/>
      </c>
      <c r="M285" s="15">
        <f>IF(COUNT(E285:K285)=0,"",LOOKUP(2,1/(E285:K285&lt;&gt;""),E285:K285))</f>
        <v/>
      </c>
      <c r="N285" s="17">
        <f>IF(L285="","",ROUND(L285*RESUMEN!$B$4,0))</f>
        <v/>
      </c>
      <c r="O285" s="18">
        <f>COUNT(E285:K285)</f>
        <v/>
      </c>
    </row>
    <row r="286">
      <c r="A286" s="13" t="inlineStr">
        <is>
          <t>68089821479917</t>
        </is>
      </c>
      <c r="B286" s="13" t="inlineStr">
        <is>
          <t>PULSERA T BEAN SILVER ZIRCONIAS</t>
        </is>
      </c>
      <c r="C286" s="13" t="inlineStr">
        <is>
          <t>Default Title</t>
        </is>
      </c>
      <c r="D286" s="14" t="inlineStr">
        <is>
          <t>brass</t>
        </is>
      </c>
      <c r="E286" s="13" t="n"/>
      <c r="F286" s="13" t="n"/>
      <c r="G286" s="13" t="n"/>
      <c r="H286" s="13" t="n"/>
      <c r="I286" s="13" t="n"/>
      <c r="J286" s="15" t="n">
        <v>8.890000000000001</v>
      </c>
      <c r="K286" s="13" t="n"/>
      <c r="L286" s="16">
        <f>IF(COUNT(E286:K286)=0,"",MIN(E286:K286))</f>
        <v/>
      </c>
      <c r="M286" s="15">
        <f>IF(COUNT(E286:K286)=0,"",LOOKUP(2,1/(E286:K286&lt;&gt;""),E286:K286))</f>
        <v/>
      </c>
      <c r="N286" s="17">
        <f>IF(L286="","",ROUND(L286*RESUMEN!$B$4,0))</f>
        <v/>
      </c>
      <c r="O286" s="18">
        <f>COUNT(E286:K286)</f>
        <v/>
      </c>
    </row>
    <row r="287">
      <c r="A287" s="13" t="inlineStr">
        <is>
          <t>71288021271309</t>
        </is>
      </c>
      <c r="B287" s="13" t="inlineStr">
        <is>
          <t>PULSERA T ENTRELAZADOS GOLD-SILVER</t>
        </is>
      </c>
      <c r="C287" s="13" t="inlineStr">
        <is>
          <t>Default Title</t>
        </is>
      </c>
      <c r="D287" s="14" t="inlineStr">
        <is>
          <t>brass</t>
        </is>
      </c>
      <c r="E287" s="13" t="n"/>
      <c r="F287" s="13" t="n"/>
      <c r="G287" s="13" t="n"/>
      <c r="H287" s="13" t="n"/>
      <c r="I287" s="13" t="n"/>
      <c r="J287" s="15" t="n">
        <v>7.99</v>
      </c>
      <c r="K287" s="13" t="n"/>
      <c r="L287" s="16">
        <f>IF(COUNT(E287:K287)=0,"",MIN(E287:K287))</f>
        <v/>
      </c>
      <c r="M287" s="15">
        <f>IF(COUNT(E287:K287)=0,"",LOOKUP(2,1/(E287:K287&lt;&gt;""),E287:K287))</f>
        <v/>
      </c>
      <c r="N287" s="17">
        <f>IF(L287="","",ROUND(L287*RESUMEN!$B$4,0))</f>
        <v/>
      </c>
      <c r="O287" s="18">
        <f>COUNT(E287:K287)</f>
        <v/>
      </c>
    </row>
    <row r="288">
      <c r="A288" s="13" t="inlineStr">
        <is>
          <t>68089823011533</t>
        </is>
      </c>
      <c r="B288" s="13" t="inlineStr">
        <is>
          <t>PULSERA T FULL HEART</t>
        </is>
      </c>
      <c r="C288" s="13" t="inlineStr">
        <is>
          <t>Default Title</t>
        </is>
      </c>
      <c r="D288" s="14" t="inlineStr">
        <is>
          <t>brass</t>
        </is>
      </c>
      <c r="E288" s="13" t="n"/>
      <c r="F288" s="13" t="n"/>
      <c r="G288" s="13" t="n"/>
      <c r="H288" s="13" t="n"/>
      <c r="I288" s="13" t="n"/>
      <c r="J288" s="15" t="n">
        <v>7.59</v>
      </c>
      <c r="K288" s="13" t="n"/>
      <c r="L288" s="16">
        <f>IF(COUNT(E288:K288)=0,"",MIN(E288:K288))</f>
        <v/>
      </c>
      <c r="M288" s="15">
        <f>IF(COUNT(E288:K288)=0,"",LOOKUP(2,1/(E288:K288&lt;&gt;""),E288:K288))</f>
        <v/>
      </c>
      <c r="N288" s="17">
        <f>IF(L288="","",ROUND(L288*RESUMEN!$B$4,0))</f>
        <v/>
      </c>
      <c r="O288" s="18">
        <f>COUNT(E288:K288)</f>
        <v/>
      </c>
    </row>
    <row r="289">
      <c r="A289" s="13" t="inlineStr">
        <is>
          <t>76195311060109</t>
        </is>
      </c>
      <c r="B289" s="13" t="inlineStr">
        <is>
          <t>PULSERA T KNOT DELGADA GOLD ZIRCONIAS</t>
        </is>
      </c>
      <c r="C289" s="13" t="inlineStr">
        <is>
          <t>Default Title</t>
        </is>
      </c>
      <c r="D289" s="14" t="inlineStr">
        <is>
          <t>brass</t>
        </is>
      </c>
      <c r="E289" s="13" t="n"/>
      <c r="F289" s="13" t="n"/>
      <c r="G289" s="13" t="n"/>
      <c r="H289" s="13" t="n"/>
      <c r="I289" s="13" t="n"/>
      <c r="J289" s="15" t="n">
        <v>7.49</v>
      </c>
      <c r="K289" s="13" t="n"/>
      <c r="L289" s="16">
        <f>IF(COUNT(E289:K289)=0,"",MIN(E289:K289))</f>
        <v/>
      </c>
      <c r="M289" s="15">
        <f>IF(COUNT(E289:K289)=0,"",LOOKUP(2,1/(E289:K289&lt;&gt;""),E289:K289))</f>
        <v/>
      </c>
      <c r="N289" s="17">
        <f>IF(L289="","",ROUND(L289*RESUMEN!$B$4,0))</f>
        <v/>
      </c>
      <c r="O289" s="18">
        <f>COUNT(E289:K289)</f>
        <v/>
      </c>
    </row>
    <row r="290">
      <c r="A290" s="13" t="inlineStr">
        <is>
          <t>76195311162349</t>
        </is>
      </c>
      <c r="B290" s="13" t="inlineStr">
        <is>
          <t>PULSERA T KNOT DELGADA ROSEGOLD ZIRCONIAS</t>
        </is>
      </c>
      <c r="C290" s="13" t="inlineStr">
        <is>
          <t>Default Title</t>
        </is>
      </c>
      <c r="D290" s="14" t="inlineStr">
        <is>
          <t>brass</t>
        </is>
      </c>
      <c r="E290" s="13" t="n"/>
      <c r="F290" s="13" t="n"/>
      <c r="G290" s="13" t="n"/>
      <c r="H290" s="13" t="n"/>
      <c r="I290" s="13" t="n"/>
      <c r="J290" s="15" t="n">
        <v>7.49</v>
      </c>
      <c r="K290" s="13" t="n"/>
      <c r="L290" s="16">
        <f>IF(COUNT(E290:K290)=0,"",MIN(E290:K290))</f>
        <v/>
      </c>
      <c r="M290" s="15">
        <f>IF(COUNT(E290:K290)=0,"",LOOKUP(2,1/(E290:K290&lt;&gt;""),E290:K290))</f>
        <v/>
      </c>
      <c r="N290" s="17">
        <f>IF(L290="","",ROUND(L290*RESUMEN!$B$4,0))</f>
        <v/>
      </c>
      <c r="O290" s="18">
        <f>COUNT(E290:K290)</f>
        <v/>
      </c>
    </row>
    <row r="291">
      <c r="A291" s="13" t="inlineStr">
        <is>
          <t>68089823313165</t>
        </is>
      </c>
      <c r="B291" s="13" t="inlineStr">
        <is>
          <t>PULSERA T KNOT DELGADA SILVER ALL ZIRCONIAS</t>
        </is>
      </c>
      <c r="C291" s="13" t="inlineStr">
        <is>
          <t>Default Title</t>
        </is>
      </c>
      <c r="D291" s="14" t="inlineStr">
        <is>
          <t>brass</t>
        </is>
      </c>
      <c r="E291" s="13" t="n"/>
      <c r="F291" s="13" t="n"/>
      <c r="G291" s="13" t="n"/>
      <c r="H291" s="13" t="n"/>
      <c r="I291" s="13" t="n"/>
      <c r="J291" s="15" t="n">
        <v>7.99</v>
      </c>
      <c r="K291" s="13" t="n"/>
      <c r="L291" s="16">
        <f>IF(COUNT(E291:K291)=0,"",MIN(E291:K291))</f>
        <v/>
      </c>
      <c r="M291" s="15">
        <f>IF(COUNT(E291:K291)=0,"",LOOKUP(2,1/(E291:K291&lt;&gt;""),E291:K291))</f>
        <v/>
      </c>
      <c r="N291" s="17">
        <f>IF(L291="","",ROUND(L291*RESUMEN!$B$4,0))</f>
        <v/>
      </c>
      <c r="O291" s="18">
        <f>COUNT(E291:K291)</f>
        <v/>
      </c>
    </row>
    <row r="292">
      <c r="A292" s="13" t="inlineStr">
        <is>
          <t>68089823403053</t>
        </is>
      </c>
      <c r="B292" s="13" t="inlineStr">
        <is>
          <t>PULSERA T KNOT DELGADA SILVER ZIRCONIAS</t>
        </is>
      </c>
      <c r="C292" s="13" t="inlineStr">
        <is>
          <t>Default Title</t>
        </is>
      </c>
      <c r="D292" s="14" t="inlineStr">
        <is>
          <t>brass</t>
        </is>
      </c>
      <c r="E292" s="13" t="n"/>
      <c r="F292" s="13" t="n"/>
      <c r="G292" s="13" t="n"/>
      <c r="H292" s="13" t="n"/>
      <c r="I292" s="13" t="n"/>
      <c r="J292" s="15" t="n">
        <v>7.49</v>
      </c>
      <c r="K292" s="13" t="n"/>
      <c r="L292" s="16">
        <f>IF(COUNT(E292:K292)=0,"",MIN(E292:K292))</f>
        <v/>
      </c>
      <c r="M292" s="15">
        <f>IF(COUNT(E292:K292)=0,"",LOOKUP(2,1/(E292:K292&lt;&gt;""),E292:K292))</f>
        <v/>
      </c>
      <c r="N292" s="17">
        <f>IF(L292="","",ROUND(L292*RESUMEN!$B$4,0))</f>
        <v/>
      </c>
      <c r="O292" s="18">
        <f>COUNT(E292:K292)</f>
        <v/>
      </c>
    </row>
    <row r="293">
      <c r="A293" s="13" t="inlineStr">
        <is>
          <t>68089822818317</t>
        </is>
      </c>
      <c r="B293" s="13" t="inlineStr">
        <is>
          <t>PULSERA T LOCK SILVER ALL ZIRCONIAS</t>
        </is>
      </c>
      <c r="C293" s="13" t="inlineStr">
        <is>
          <t>Default Title</t>
        </is>
      </c>
      <c r="D293" s="14" t="inlineStr">
        <is>
          <t>brass</t>
        </is>
      </c>
      <c r="E293" s="13" t="n"/>
      <c r="F293" s="13" t="n"/>
      <c r="G293" s="13" t="n"/>
      <c r="H293" s="13" t="n"/>
      <c r="I293" s="13" t="n"/>
      <c r="J293" s="15" t="n">
        <v>14.39</v>
      </c>
      <c r="K293" s="13" t="n"/>
      <c r="L293" s="16">
        <f>IF(COUNT(E293:K293)=0,"",MIN(E293:K293))</f>
        <v/>
      </c>
      <c r="M293" s="15">
        <f>IF(COUNT(E293:K293)=0,"",LOOKUP(2,1/(E293:K293&lt;&gt;""),E293:K293))</f>
        <v/>
      </c>
      <c r="N293" s="17">
        <f>IF(L293="","",ROUND(L293*RESUMEN!$B$4,0))</f>
        <v/>
      </c>
      <c r="O293" s="18">
        <f>COUNT(E293:K293)</f>
        <v/>
      </c>
    </row>
    <row r="294">
      <c r="A294" s="13" t="inlineStr">
        <is>
          <t>665bd055c2e65</t>
        </is>
      </c>
      <c r="B294" s="13" t="inlineStr">
        <is>
          <t>PULSERA TB CON UNA INSIGNIA BLACK</t>
        </is>
      </c>
      <c r="C294" s="13" t="inlineStr">
        <is>
          <t>17cm</t>
        </is>
      </c>
      <c r="D294" s="14" t="inlineStr"/>
      <c r="E294" s="15" t="n">
        <v>5.59</v>
      </c>
      <c r="F294" s="13" t="n"/>
      <c r="G294" s="13" t="n"/>
      <c r="H294" s="13" t="n"/>
      <c r="I294" s="13" t="n"/>
      <c r="J294" s="13" t="n"/>
      <c r="K294" s="15" t="n">
        <v>5.99</v>
      </c>
      <c r="L294" s="16">
        <f>IF(COUNT(E294:K294)=0,"",MIN(E294:K294))</f>
        <v/>
      </c>
      <c r="M294" s="15">
        <f>IF(COUNT(E294:K294)=0,"",LOOKUP(2,1/(E294:K294&lt;&gt;""),E294:K294))</f>
        <v/>
      </c>
      <c r="N294" s="17">
        <f>IF(L294="","",ROUND(L294*RESUMEN!$B$4,0))</f>
        <v/>
      </c>
      <c r="O294" s="18">
        <f>COUNT(E294:K294)</f>
        <v/>
      </c>
    </row>
    <row r="295">
      <c r="A295" s="13" t="inlineStr">
        <is>
          <t>665bd055d2452</t>
        </is>
      </c>
      <c r="B295" s="13" t="inlineStr">
        <is>
          <t>PULSERA TB CON UNA INSIGNIA WHITE</t>
        </is>
      </c>
      <c r="C295" s="13" t="inlineStr">
        <is>
          <t>17cm</t>
        </is>
      </c>
      <c r="D295" s="14" t="inlineStr">
        <is>
          <t>stainless steel</t>
        </is>
      </c>
      <c r="E295" s="15" t="n">
        <v>5.59</v>
      </c>
      <c r="F295" s="13" t="n"/>
      <c r="G295" s="13" t="n"/>
      <c r="H295" s="13" t="n"/>
      <c r="I295" s="13" t="n"/>
      <c r="J295" s="15" t="n">
        <v>5.59</v>
      </c>
      <c r="K295" s="13" t="n"/>
      <c r="L295" s="16">
        <f>IF(COUNT(E295:K295)=0,"",MIN(E295:K295))</f>
        <v/>
      </c>
      <c r="M295" s="15">
        <f>IF(COUNT(E295:K295)=0,"",LOOKUP(2,1/(E295:K295&lt;&gt;""),E295:K295))</f>
        <v/>
      </c>
      <c r="N295" s="17">
        <f>IF(L295="","",ROUND(L295*RESUMEN!$B$4,0))</f>
        <v/>
      </c>
      <c r="O295" s="18">
        <f>COUNT(E295:K295)</f>
        <v/>
      </c>
    </row>
    <row r="296">
      <c r="A296" s="13" t="inlineStr">
        <is>
          <t>665bd05b5a37f</t>
        </is>
      </c>
      <c r="B296" s="13" t="inlineStr">
        <is>
          <t>PULSERA TB GOLD</t>
        </is>
      </c>
      <c r="C296" s="13" t="inlineStr">
        <is>
          <t>17cm</t>
        </is>
      </c>
      <c r="D296" s="14" t="inlineStr">
        <is>
          <t>stainless steel</t>
        </is>
      </c>
      <c r="E296" s="15" t="n">
        <v>5.39</v>
      </c>
      <c r="F296" s="13" t="n"/>
      <c r="G296" s="13" t="n"/>
      <c r="H296" s="13" t="n"/>
      <c r="I296" s="13" t="n"/>
      <c r="J296" s="15" t="n">
        <v>5.39</v>
      </c>
      <c r="K296" s="13" t="n"/>
      <c r="L296" s="16">
        <f>IF(COUNT(E296:K296)=0,"",MIN(E296:K296))</f>
        <v/>
      </c>
      <c r="M296" s="15">
        <f>IF(COUNT(E296:K296)=0,"",LOOKUP(2,1/(E296:K296&lt;&gt;""),E296:K296))</f>
        <v/>
      </c>
      <c r="N296" s="17">
        <f>IF(L296="","",ROUND(L296*RESUMEN!$B$4,0))</f>
        <v/>
      </c>
      <c r="O296" s="18">
        <f>COUNT(E296:K296)</f>
        <v/>
      </c>
    </row>
    <row r="297">
      <c r="A297" s="13" t="inlineStr">
        <is>
          <t>63ebe03ea2adc</t>
        </is>
      </c>
      <c r="B297" s="13" t="inlineStr">
        <is>
          <t>PULSERA V GOLD CON ZIRCONIA</t>
        </is>
      </c>
      <c r="C297" s="13" t="inlineStr">
        <is>
          <t>18cm</t>
        </is>
      </c>
      <c r="D297" s="14" t="inlineStr">
        <is>
          <t>brass</t>
        </is>
      </c>
      <c r="E297" s="15" t="n">
        <v>6.19</v>
      </c>
      <c r="F297" s="13" t="n"/>
      <c r="G297" s="13" t="n"/>
      <c r="H297" s="13" t="n"/>
      <c r="I297" s="15" t="n">
        <v>6.19</v>
      </c>
      <c r="J297" s="13" t="n"/>
      <c r="K297" s="13" t="n"/>
      <c r="L297" s="16">
        <f>IF(COUNT(E297:K297)=0,"",MIN(E297:K297))</f>
        <v/>
      </c>
      <c r="M297" s="15">
        <f>IF(COUNT(E297:K297)=0,"",LOOKUP(2,1/(E297:K297&lt;&gt;""),E297:K297))</f>
        <v/>
      </c>
      <c r="N297" s="17">
        <f>IF(L297="","",ROUND(L297*RESUMEN!$B$4,0))</f>
        <v/>
      </c>
      <c r="O297" s="18">
        <f>COUNT(E297:K297)</f>
        <v/>
      </c>
    </row>
    <row r="298">
      <c r="A298" s="13" t="inlineStr">
        <is>
          <t>71288021885421</t>
        </is>
      </c>
      <c r="B298" s="13" t="inlineStr">
        <is>
          <t>PULSERA VF ALHAMBRA ROSE GOLD-RED</t>
        </is>
      </c>
      <c r="C298" s="13" t="inlineStr">
        <is>
          <t>Default Title</t>
        </is>
      </c>
      <c r="D298" s="14" t="inlineStr">
        <is>
          <t>brass</t>
        </is>
      </c>
      <c r="E298" s="13" t="n"/>
      <c r="F298" s="13" t="n"/>
      <c r="G298" s="13" t="n"/>
      <c r="H298" s="13" t="n"/>
      <c r="I298" s="13" t="n"/>
      <c r="J298" s="15" t="n">
        <v>8.59</v>
      </c>
      <c r="K298" s="13" t="n"/>
      <c r="L298" s="16">
        <f>IF(COUNT(E298:K298)=0,"",MIN(E298:K298))</f>
        <v/>
      </c>
      <c r="M298" s="15">
        <f>IF(COUNT(E298:K298)=0,"",LOOKUP(2,1/(E298:K298&lt;&gt;""),E298:K298))</f>
        <v/>
      </c>
      <c r="N298" s="17">
        <f>IF(L298="","",ROUND(L298*RESUMEN!$B$4,0))</f>
        <v/>
      </c>
      <c r="O298" s="18">
        <f>COUNT(E298:K298)</f>
        <v/>
      </c>
    </row>
    <row r="299">
      <c r="A299" s="13" t="inlineStr">
        <is>
          <t>71288021950957</t>
        </is>
      </c>
      <c r="B299" s="13" t="inlineStr">
        <is>
          <t>PULSERA VF FRIVOLE GOLD</t>
        </is>
      </c>
      <c r="C299" s="13" t="inlineStr">
        <is>
          <t>Default Title</t>
        </is>
      </c>
      <c r="D299" s="14" t="inlineStr">
        <is>
          <t>brass</t>
        </is>
      </c>
      <c r="E299" s="13" t="n"/>
      <c r="F299" s="13" t="n"/>
      <c r="G299" s="13" t="n"/>
      <c r="H299" s="13" t="n"/>
      <c r="I299" s="13" t="n"/>
      <c r="J299" s="15" t="n">
        <v>5.99</v>
      </c>
      <c r="K299" s="13" t="n"/>
      <c r="L299" s="16">
        <f>IF(COUNT(E299:K299)=0,"",MIN(E299:K299))</f>
        <v/>
      </c>
      <c r="M299" s="15">
        <f>IF(COUNT(E299:K299)=0,"",LOOKUP(2,1/(E299:K299&lt;&gt;""),E299:K299))</f>
        <v/>
      </c>
      <c r="N299" s="17">
        <f>IF(L299="","",ROUND(L299*RESUMEN!$B$4,0))</f>
        <v/>
      </c>
      <c r="O299" s="18">
        <f>COUNT(E299:K299)</f>
        <v/>
      </c>
    </row>
    <row r="300">
      <c r="A300" s="13" t="inlineStr">
        <is>
          <t>71288021719885</t>
        </is>
      </c>
      <c r="B300" s="13" t="inlineStr">
        <is>
          <t>PULSERA VF HALF VINTAGE ALHAMBRA</t>
        </is>
      </c>
      <c r="C300" s="13" t="inlineStr">
        <is>
          <t>Default Title</t>
        </is>
      </c>
      <c r="D300" s="14" t="inlineStr">
        <is>
          <t>brass</t>
        </is>
      </c>
      <c r="E300" s="13" t="n"/>
      <c r="F300" s="13" t="n"/>
      <c r="G300" s="13" t="n"/>
      <c r="H300" s="13" t="n"/>
      <c r="I300" s="13" t="n"/>
      <c r="J300" s="15" t="n">
        <v>8.59</v>
      </c>
      <c r="K300" s="13" t="n"/>
      <c r="L300" s="16">
        <f>IF(COUNT(E300:K300)=0,"",MIN(E300:K300))</f>
        <v/>
      </c>
      <c r="M300" s="15">
        <f>IF(COUNT(E300:K300)=0,"",LOOKUP(2,1/(E300:K300&lt;&gt;""),E300:K300))</f>
        <v/>
      </c>
      <c r="N300" s="17">
        <f>IF(L300="","",ROUND(L300*RESUMEN!$B$4,0))</f>
        <v/>
      </c>
      <c r="O300" s="18">
        <f>COUNT(E300:K300)</f>
        <v/>
      </c>
    </row>
    <row r="301">
      <c r="A301" s="13" t="inlineStr">
        <is>
          <t>69645921049005</t>
        </is>
      </c>
      <c r="B301" s="13" t="inlineStr">
        <is>
          <t>PULSERA YSL GOLD</t>
        </is>
      </c>
      <c r="C301" s="13" t="inlineStr">
        <is>
          <t>Default Title</t>
        </is>
      </c>
      <c r="D301" s="14" t="inlineStr"/>
      <c r="E301" s="15" t="n">
        <v>2.99</v>
      </c>
      <c r="F301" s="15" t="n">
        <v>0</v>
      </c>
      <c r="G301" s="13" t="n"/>
      <c r="H301" s="13" t="n"/>
      <c r="I301" s="13" t="n"/>
      <c r="J301" s="13" t="n"/>
      <c r="K301" s="15" t="n">
        <v>5.99</v>
      </c>
      <c r="L301" s="16">
        <f>IF(COUNT(E301:K301)=0,"",MIN(E301:K301))</f>
        <v/>
      </c>
      <c r="M301" s="15">
        <f>IF(COUNT(E301:K301)=0,"",LOOKUP(2,1/(E301:K301&lt;&gt;""),E301:K301))</f>
        <v/>
      </c>
      <c r="N301" s="17">
        <f>IF(L301="","",ROUND(L301*RESUMEN!$B$4,0))</f>
        <v/>
      </c>
      <c r="O301" s="18">
        <f>COUNT(E301:K301)</f>
        <v/>
      </c>
    </row>
    <row r="302">
      <c r="A302" s="13" t="inlineStr">
        <is>
          <t>42981908742285</t>
        </is>
      </c>
      <c r="B302" s="13" t="inlineStr">
        <is>
          <t>SET DE COLLAR Y PULSERA CORAZÓN</t>
        </is>
      </c>
      <c r="C302" s="13" t="inlineStr">
        <is>
          <t>47 cm / 15 cm</t>
        </is>
      </c>
      <c r="D302" s="14" t="inlineStr">
        <is>
          <t>brass</t>
        </is>
      </c>
      <c r="E302" s="13" t="n"/>
      <c r="F302" s="13" t="n"/>
      <c r="G302" s="13" t="n"/>
      <c r="H302" s="13" t="n"/>
      <c r="I302" s="13" t="n"/>
      <c r="J302" s="15" t="n">
        <v>18.58</v>
      </c>
      <c r="K302" s="13" t="n"/>
      <c r="L302" s="16">
        <f>IF(COUNT(E302:K302)=0,"",MIN(E302:K302))</f>
        <v/>
      </c>
      <c r="M302" s="15">
        <f>IF(COUNT(E302:K302)=0,"",LOOKUP(2,1/(E302:K302&lt;&gt;""),E302:K302))</f>
        <v/>
      </c>
      <c r="N302" s="17">
        <f>IF(L302="","",ROUND(L302*RESUMEN!$B$4,0))</f>
        <v/>
      </c>
      <c r="O302" s="18">
        <f>COUNT(E302:K302)</f>
        <v/>
      </c>
    </row>
    <row r="303">
      <c r="A303" s="13" t="inlineStr">
        <is>
          <t>42981908742284</t>
        </is>
      </c>
      <c r="B303" s="13" t="inlineStr">
        <is>
          <t>SET DE COLLAR Y PULSERA CORAZÓN (NECKLACE AND BRACALET)</t>
        </is>
      </c>
      <c r="C303" s="13" t="inlineStr">
        <is>
          <t>42 cm / 17 cm</t>
        </is>
      </c>
      <c r="D303" s="14" t="inlineStr">
        <is>
          <t>brass</t>
        </is>
      </c>
      <c r="E303" s="13" t="n"/>
      <c r="F303" s="15" t="n">
        <v>16.98</v>
      </c>
      <c r="G303" s="13" t="n"/>
      <c r="H303" s="13" t="n"/>
      <c r="I303" s="15" t="n">
        <v>18.58</v>
      </c>
      <c r="J303" s="13" t="n"/>
      <c r="K303" s="13" t="n"/>
      <c r="L303" s="16">
        <f>IF(COUNT(E303:K303)=0,"",MIN(E303:K303))</f>
        <v/>
      </c>
      <c r="M303" s="15">
        <f>IF(COUNT(E303:K303)=0,"",LOOKUP(2,1/(E303:K303&lt;&gt;""),E303:K303))</f>
        <v/>
      </c>
      <c r="N303" s="17">
        <f>IF(L303="","",ROUND(L303*RESUMEN!$B$4,0))</f>
        <v/>
      </c>
      <c r="O303" s="18">
        <f>COUNT(E303:K303)</f>
        <v/>
      </c>
    </row>
    <row r="304">
      <c r="A304" s="13" t="inlineStr">
        <is>
          <t>58980701348365</t>
        </is>
      </c>
      <c r="B304" s="13" t="inlineStr">
        <is>
          <t>TARJETERO CC CLASSIC CON CREMALLERA</t>
        </is>
      </c>
      <c r="C304" s="13" t="inlineStr">
        <is>
          <t>Default Title</t>
        </is>
      </c>
      <c r="D304" s="14" t="inlineStr">
        <is>
          <t>Genuine leather/</t>
        </is>
      </c>
      <c r="E304" s="13" t="n"/>
      <c r="F304" s="13" t="n"/>
      <c r="G304" s="13" t="n"/>
      <c r="H304" s="13" t="n"/>
      <c r="I304" s="13" t="n"/>
      <c r="J304" s="15" t="n">
        <v>17.59</v>
      </c>
      <c r="K304" s="13" t="n"/>
      <c r="L304" s="16">
        <f>IF(COUNT(E304:K304)=0,"",MIN(E304:K304))</f>
        <v/>
      </c>
      <c r="M304" s="15">
        <f>IF(COUNT(E304:K304)=0,"",LOOKUP(2,1/(E304:K304&lt;&gt;""),E304:K304))</f>
        <v/>
      </c>
      <c r="N304" s="17">
        <f>IF(L304="","",ROUND(L304*RESUMEN!$B$4,0))</f>
        <v/>
      </c>
      <c r="O304" s="18">
        <f>COUNT(E304:K304)</f>
        <v/>
      </c>
    </row>
    <row r="305">
      <c r="A305" s="13" t="inlineStr">
        <is>
          <t>40049131038989</t>
        </is>
      </c>
      <c r="B305" s="13" t="inlineStr">
        <is>
          <t>TARJETERO CD OBLIQUE BLACK</t>
        </is>
      </c>
      <c r="C305" s="13" t="inlineStr">
        <is>
          <t>Default Title</t>
        </is>
      </c>
      <c r="D305" s="14" t="inlineStr"/>
      <c r="E305" s="13" t="n"/>
      <c r="F305" s="13" t="n"/>
      <c r="G305" s="13" t="n"/>
      <c r="H305" s="13" t="n"/>
      <c r="I305" s="15" t="n">
        <v>11.69</v>
      </c>
      <c r="J305" s="13" t="n"/>
      <c r="K305" s="13" t="n"/>
      <c r="L305" s="16">
        <f>IF(COUNT(E305:K305)=0,"",MIN(E305:K305))</f>
        <v/>
      </c>
      <c r="M305" s="15">
        <f>IF(COUNT(E305:K305)=0,"",LOOKUP(2,1/(E305:K305&lt;&gt;""),E305:K305))</f>
        <v/>
      </c>
      <c r="N305" s="17">
        <f>IF(L305="","",ROUND(L305*RESUMEN!$B$4,0))</f>
        <v/>
      </c>
      <c r="O305" s="18">
        <f>COUNT(E305:K305)</f>
        <v/>
      </c>
    </row>
    <row r="306">
      <c r="A306" s="13" t="inlineStr">
        <is>
          <t>58980701120685</t>
        </is>
      </c>
      <c r="B306" s="13" t="inlineStr">
        <is>
          <t>TARJETERO LV CHARMS PINK</t>
        </is>
      </c>
      <c r="C306" s="13" t="inlineStr">
        <is>
          <t>Default Title</t>
        </is>
      </c>
      <c r="D306" s="14" t="inlineStr">
        <is>
          <t>Genuine leather/</t>
        </is>
      </c>
      <c r="E306" s="13" t="n"/>
      <c r="F306" s="13" t="n"/>
      <c r="G306" s="13" t="n"/>
      <c r="H306" s="13" t="n"/>
      <c r="I306" s="13" t="n"/>
      <c r="J306" s="15" t="n">
        <v>14.79</v>
      </c>
      <c r="K306" s="13" t="n"/>
      <c r="L306" s="16">
        <f>IF(COUNT(E306:K306)=0,"",MIN(E306:K306))</f>
        <v/>
      </c>
      <c r="M306" s="15">
        <f>IF(COUNT(E306:K306)=0,"",LOOKUP(2,1/(E306:K306&lt;&gt;""),E306:K306))</f>
        <v/>
      </c>
      <c r="N306" s="17">
        <f>IF(L306="","",ROUND(L306*RESUMEN!$B$4,0))</f>
        <v/>
      </c>
      <c r="O306" s="18">
        <f>COUNT(E306:K306)</f>
        <v/>
      </c>
    </row>
    <row r="307">
      <c r="A307" s="13" t="inlineStr">
        <is>
          <t>58980701022381</t>
        </is>
      </c>
      <c r="B307" s="13" t="inlineStr">
        <is>
          <t>TARJETERO LV ENVELOPE</t>
        </is>
      </c>
      <c r="C307" s="13" t="inlineStr">
        <is>
          <t>Default Title</t>
        </is>
      </c>
      <c r="D307" s="14" t="inlineStr">
        <is>
          <t>Genuine leather/</t>
        </is>
      </c>
      <c r="E307" s="13" t="n"/>
      <c r="F307" s="13" t="n"/>
      <c r="G307" s="13" t="n"/>
      <c r="H307" s="13" t="n"/>
      <c r="I307" s="13" t="n"/>
      <c r="J307" s="15" t="n">
        <v>14.39</v>
      </c>
      <c r="K307" s="13" t="n"/>
      <c r="L307" s="16">
        <f>IF(COUNT(E307:K307)=0,"",MIN(E307:K307))</f>
        <v/>
      </c>
      <c r="M307" s="15">
        <f>IF(COUNT(E307:K307)=0,"",LOOKUP(2,1/(E307:K307&lt;&gt;""),E307:K307))</f>
        <v/>
      </c>
      <c r="N307" s="17">
        <f>IF(L307="","",ROUND(L307*RESUMEN!$B$4,0))</f>
        <v/>
      </c>
      <c r="O307" s="18">
        <f>COUNT(E307:K307)</f>
        <v/>
      </c>
    </row>
    <row r="308">
      <c r="A308" s="13" t="inlineStr">
        <is>
          <t>58980701284525</t>
        </is>
      </c>
      <c r="B308" s="13" t="inlineStr">
        <is>
          <t>TARJETERO LV SLIM G69</t>
        </is>
      </c>
      <c r="C308" s="13" t="inlineStr">
        <is>
          <t>Default Title</t>
        </is>
      </c>
      <c r="D308" s="14" t="inlineStr">
        <is>
          <t>Genuine leather/</t>
        </is>
      </c>
      <c r="E308" s="13" t="n"/>
      <c r="F308" s="13" t="n"/>
      <c r="G308" s="13" t="n"/>
      <c r="H308" s="13" t="n"/>
      <c r="I308" s="13" t="n"/>
      <c r="J308" s="15" t="n">
        <v>15.59</v>
      </c>
      <c r="K308" s="13" t="n"/>
      <c r="L308" s="16">
        <f>IF(COUNT(E308:K308)=0,"",MIN(E308:K308))</f>
        <v/>
      </c>
      <c r="M308" s="15">
        <f>IF(COUNT(E308:K308)=0,"",LOOKUP(2,1/(E308:K308&lt;&gt;""),E308:K308))</f>
        <v/>
      </c>
      <c r="N308" s="17">
        <f>IF(L308="","",ROUND(L308*RESUMEN!$B$4,0))</f>
        <v/>
      </c>
      <c r="O308" s="18">
        <f>COUNT(E308:K308)</f>
        <v/>
      </c>
    </row>
    <row r="309">
      <c r="A309" s="13" t="inlineStr">
        <is>
          <t>2653032923532</t>
        </is>
      </c>
      <c r="B309" s="13" t="inlineStr"/>
      <c r="C309" s="13" t="inlineStr">
        <is>
          <t>6</t>
        </is>
      </c>
      <c r="D309" s="14" t="inlineStr"/>
      <c r="E309" s="13" t="n"/>
      <c r="F309" s="15" t="n">
        <v>5.59</v>
      </c>
      <c r="G309" s="13" t="n"/>
      <c r="H309" s="13" t="n"/>
      <c r="I309" s="13" t="n"/>
      <c r="J309" s="13" t="n"/>
      <c r="K309" s="13" t="n"/>
      <c r="L309" s="16">
        <f>IF(COUNT(E309:K309)=0,"",MIN(E309:K309))</f>
        <v/>
      </c>
      <c r="M309" s="15">
        <f>IF(COUNT(E309:K309)=0,"",LOOKUP(2,1/(E309:K309&lt;&gt;""),E309:K309))</f>
        <v/>
      </c>
      <c r="N309" s="17">
        <f>IF(L309="","",ROUND(L309*RESUMEN!$B$4,0))</f>
        <v/>
      </c>
      <c r="O309" s="18">
        <f>COUNT(E309:K309)</f>
        <v/>
      </c>
    </row>
  </sheetData>
  <autoFilter ref="A4:O30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0" t="inlineStr">
        <is>
          <t>HISTORIAL DE PRECIOS — DINA DU</t>
        </is>
      </c>
    </row>
    <row r="2">
      <c r="A2" s="11" t="inlineStr">
        <is>
          <t>5 orden(es) · costo unitario en USD · MXN = MEJOR × RESUMEN!B4 · * = dato del historial previo</t>
        </is>
      </c>
    </row>
    <row r="4">
      <c r="A4" s="12" t="inlineStr">
        <is>
          <t>SKU</t>
        </is>
      </c>
      <c r="B4" s="12" t="inlineStr">
        <is>
          <t>PRODUCTO</t>
        </is>
      </c>
      <c r="C4" s="12" t="inlineStr">
        <is>
          <t>VARIANTE</t>
        </is>
      </c>
      <c r="D4" s="12" t="inlineStr">
        <is>
          <t>MATERIAL</t>
        </is>
      </c>
      <c r="E4" s="12" t="inlineStr">
        <is>
          <t>Dic 2024
ord.1046*</t>
        </is>
      </c>
      <c r="F4" s="12" t="inlineStr">
        <is>
          <t>Ene 2025
ord.1046*</t>
        </is>
      </c>
      <c r="G4" s="12" t="inlineStr">
        <is>
          <t>Oct 2025
21/10</t>
        </is>
      </c>
      <c r="H4" s="12" t="inlineStr">
        <is>
          <t>Feb 2026
06/02</t>
        </is>
      </c>
      <c r="I4" s="12" t="inlineStr">
        <is>
          <t>Abr 2026
27/04</t>
        </is>
      </c>
      <c r="J4" s="12" t="inlineStr">
        <is>
          <t>MEJOR
(US)</t>
        </is>
      </c>
      <c r="K4" s="12" t="inlineStr">
        <is>
          <t>ÚLTIMA
(US)</t>
        </is>
      </c>
      <c r="L4" s="12" t="inlineStr">
        <is>
          <t>MXN
(mejor×TC)</t>
        </is>
      </c>
      <c r="M4" s="12" t="inlineStr">
        <is>
          <t># ÓRD.</t>
        </is>
      </c>
    </row>
    <row r="5">
      <c r="A5" s="13" t="inlineStr">
        <is>
          <t>⚠️ 17</t>
        </is>
      </c>
      <c r="B5" s="13" t="inlineStr">
        <is>
          <t>2-M</t>
        </is>
      </c>
      <c r="C5" s="13" t="inlineStr"/>
      <c r="D5" s="14" t="inlineStr"/>
      <c r="E5" s="13" t="n"/>
      <c r="F5" s="15" t="n">
        <v>16</v>
      </c>
      <c r="G5" s="13" t="n"/>
      <c r="H5" s="13" t="n"/>
      <c r="I5" s="13" t="n"/>
      <c r="J5" s="16">
        <f>IF(COUNT(E5:I5)=0,"",MIN(E5:I5))</f>
        <v/>
      </c>
      <c r="K5" s="15">
        <f>IF(COUNT(E5:I5)=0,"",LOOKUP(2,1/(E5:I5&lt;&gt;""),E5:I5))</f>
        <v/>
      </c>
      <c r="L5" s="17">
        <f>IF(J5="","",ROUND(J5*RESUMEN!$B$4,0))</f>
        <v/>
      </c>
      <c r="M5" s="18">
        <f>COUNT(E5:I5)</f>
        <v/>
      </c>
    </row>
    <row r="6">
      <c r="A6" s="13" t="inlineStr">
        <is>
          <t>66593bcfaca6f</t>
        </is>
      </c>
      <c r="B6" s="13" t="inlineStr">
        <is>
          <t>ANILLO MM</t>
        </is>
      </c>
      <c r="C6" s="13" t="inlineStr">
        <is>
          <t>AJUSTABLE</t>
        </is>
      </c>
      <c r="D6" s="14" t="inlineStr"/>
      <c r="E6" s="13" t="n"/>
      <c r="F6" s="13" t="n"/>
      <c r="G6" s="13" t="n"/>
      <c r="H6" s="15" t="n">
        <v>2.79</v>
      </c>
      <c r="I6" s="15" t="n">
        <v>2.79</v>
      </c>
      <c r="J6" s="16">
        <f>IF(COUNT(E6:I6)=0,"",MIN(E6:I6))</f>
        <v/>
      </c>
      <c r="K6" s="15">
        <f>IF(COUNT(E6:I6)=0,"",LOOKUP(2,1/(E6:I6&lt;&gt;""),E6:I6))</f>
        <v/>
      </c>
      <c r="L6" s="17">
        <f>IF(J6="","",ROUND(J6*RESUMEN!$B$4,0))</f>
        <v/>
      </c>
      <c r="M6" s="18">
        <f>COUNT(E6:I6)</f>
        <v/>
      </c>
    </row>
    <row r="7">
      <c r="A7" s="13" t="inlineStr">
        <is>
          <t>648cc5b58feaa</t>
        </is>
      </c>
      <c r="B7" s="13" t="inlineStr">
        <is>
          <t>ARETES MM COLGANTE</t>
        </is>
      </c>
      <c r="C7" s="13" t="inlineStr">
        <is>
          <t>Default Title</t>
        </is>
      </c>
      <c r="D7" s="14" t="inlineStr">
        <is>
          <t>stianless steel</t>
        </is>
      </c>
      <c r="E7" s="13" t="n"/>
      <c r="F7" s="13" t="n"/>
      <c r="G7" s="15" t="n">
        <v>2.39</v>
      </c>
      <c r="H7" s="13" t="n"/>
      <c r="I7" s="15" t="n">
        <v>2.39</v>
      </c>
      <c r="J7" s="16">
        <f>IF(COUNT(E7:I7)=0,"",MIN(E7:I7))</f>
        <v/>
      </c>
      <c r="K7" s="15">
        <f>IF(COUNT(E7:I7)=0,"",LOOKUP(2,1/(E7:I7&lt;&gt;""),E7:I7))</f>
        <v/>
      </c>
      <c r="L7" s="17">
        <f>IF(J7="","",ROUND(J7*RESUMEN!$B$4,0))</f>
        <v/>
      </c>
      <c r="M7" s="18">
        <f>COUNT(E7:I7)</f>
        <v/>
      </c>
    </row>
    <row r="8">
      <c r="A8" s="13" t="inlineStr">
        <is>
          <t>654bdbdb26372</t>
        </is>
      </c>
      <c r="B8" s="13" t="inlineStr">
        <is>
          <t>BOLSA CC WHITE</t>
        </is>
      </c>
      <c r="C8" s="13" t="inlineStr">
        <is>
          <t>17cmx24cm</t>
        </is>
      </c>
      <c r="D8" s="14" t="inlineStr"/>
      <c r="E8" s="13" t="n"/>
      <c r="F8" s="13" t="n"/>
      <c r="G8" s="13" t="n"/>
      <c r="H8" s="13" t="n"/>
      <c r="I8" s="15" t="n">
        <v>18</v>
      </c>
      <c r="J8" s="16">
        <f>IF(COUNT(E8:I8)=0,"",MIN(E8:I8))</f>
        <v/>
      </c>
      <c r="K8" s="15">
        <f>IF(COUNT(E8:I8)=0,"",LOOKUP(2,1/(E8:I8&lt;&gt;""),E8:I8))</f>
        <v/>
      </c>
      <c r="L8" s="17">
        <f>IF(J8="","",ROUND(J8*RESUMEN!$B$4,0))</f>
        <v/>
      </c>
      <c r="M8" s="18">
        <f>COUNT(E8:I8)</f>
        <v/>
      </c>
    </row>
    <row r="9">
      <c r="A9" s="13" t="inlineStr">
        <is>
          <t>94956736687244</t>
        </is>
      </c>
      <c r="B9" s="13" t="inlineStr">
        <is>
          <t>BOLSA MINI POCHETTE LV</t>
        </is>
      </c>
      <c r="C9" s="13" t="inlineStr">
        <is>
          <t>9cm de alto x 15cm de largo x 3cm de ancho</t>
        </is>
      </c>
      <c r="D9" s="14" t="inlineStr"/>
      <c r="E9" s="13" t="n"/>
      <c r="F9" s="13" t="n"/>
      <c r="G9" s="13" t="n"/>
      <c r="H9" s="15" t="n">
        <v>22</v>
      </c>
      <c r="I9" s="15" t="n">
        <v>22</v>
      </c>
      <c r="J9" s="16">
        <f>IF(COUNT(E9:I9)=0,"",MIN(E9:I9))</f>
        <v/>
      </c>
      <c r="K9" s="15">
        <f>IF(COUNT(E9:I9)=0,"",LOOKUP(2,1/(E9:I9&lt;&gt;""),E9:I9))</f>
        <v/>
      </c>
      <c r="L9" s="17">
        <f>IF(J9="","",ROUND(J9*RESUMEN!$B$4,0))</f>
        <v/>
      </c>
      <c r="M9" s="18">
        <f>COUNT(E9:I9)</f>
        <v/>
      </c>
    </row>
    <row r="10">
      <c r="A10" s="13" t="inlineStr">
        <is>
          <t>43124008910988</t>
        </is>
      </c>
      <c r="B10" s="13" t="inlineStr">
        <is>
          <t>BOLSO C CLAUDE</t>
        </is>
      </c>
      <c r="C10" s="13" t="inlineStr">
        <is>
          <t>13.5cm de alto x 22cm de largo x 5cm de ancho</t>
        </is>
      </c>
      <c r="D10" s="14" t="inlineStr">
        <is>
          <t>Lambskin leather</t>
        </is>
      </c>
      <c r="E10" s="13" t="n"/>
      <c r="F10" s="13" t="n"/>
      <c r="G10" s="15" t="n">
        <v>45</v>
      </c>
      <c r="H10" s="15" t="n">
        <v>45</v>
      </c>
      <c r="I10" s="13" t="n"/>
      <c r="J10" s="16">
        <f>IF(COUNT(E10:I10)=0,"",MIN(E10:I10))</f>
        <v/>
      </c>
      <c r="K10" s="15">
        <f>IF(COUNT(E10:I10)=0,"",LOOKUP(2,1/(E10:I10&lt;&gt;""),E10:I10))</f>
        <v/>
      </c>
      <c r="L10" s="17">
        <f>IF(J10="","",ROUND(J10*RESUMEN!$B$4,0))</f>
        <v/>
      </c>
      <c r="M10" s="18">
        <f>COUNT(E10:I10)</f>
        <v/>
      </c>
    </row>
    <row r="11">
      <c r="A11" s="13" t="inlineStr">
        <is>
          <t>85367152250157</t>
        </is>
      </c>
      <c r="B11" s="13" t="inlineStr">
        <is>
          <t>BOLSO C NINO BLACK</t>
        </is>
      </c>
      <c r="C11" s="13" t="inlineStr">
        <is>
          <t>BLACK/GOLD</t>
        </is>
      </c>
      <c r="D11" s="14" t="inlineStr"/>
      <c r="E11" s="13" t="n"/>
      <c r="F11" s="13" t="n"/>
      <c r="G11" s="13" t="n"/>
      <c r="H11" s="15" t="n">
        <v>45</v>
      </c>
      <c r="I11" s="13" t="n"/>
      <c r="J11" s="16">
        <f>IF(COUNT(E11:I11)=0,"",MIN(E11:I11))</f>
        <v/>
      </c>
      <c r="K11" s="15">
        <f>IF(COUNT(E11:I11)=0,"",LOOKUP(2,1/(E11:I11&lt;&gt;""),E11:I11))</f>
        <v/>
      </c>
      <c r="L11" s="17">
        <f>IF(J11="","",ROUND(J11*RESUMEN!$B$4,0))</f>
        <v/>
      </c>
      <c r="M11" s="18">
        <f>COUNT(E11:I11)</f>
        <v/>
      </c>
    </row>
    <row r="12">
      <c r="A12" s="13" t="inlineStr">
        <is>
          <t>44504631084621</t>
        </is>
      </c>
      <c r="B12" s="13" t="inlineStr">
        <is>
          <t>BOLSO C TILLY BROWN</t>
        </is>
      </c>
      <c r="C12" s="13" t="inlineStr">
        <is>
          <t>15cm de alto x 19.5cm de largo x 7.5cm de ancho</t>
        </is>
      </c>
      <c r="D12" s="14" t="inlineStr"/>
      <c r="E12" s="13" t="n"/>
      <c r="F12" s="13" t="n"/>
      <c r="G12" s="15" t="n">
        <v>42</v>
      </c>
      <c r="H12" s="13" t="n"/>
      <c r="I12" s="13" t="n"/>
      <c r="J12" s="16">
        <f>IF(COUNT(E12:I12)=0,"",MIN(E12:I12))</f>
        <v/>
      </c>
      <c r="K12" s="15">
        <f>IF(COUNT(E12:I12)=0,"",LOOKUP(2,1/(E12:I12&lt;&gt;""),E12:I12))</f>
        <v/>
      </c>
      <c r="L12" s="17">
        <f>IF(J12="","",ROUND(J12*RESUMEN!$B$4,0))</f>
        <v/>
      </c>
      <c r="M12" s="18">
        <f>COUNT(E12:I12)</f>
        <v/>
      </c>
    </row>
    <row r="13">
      <c r="A13" s="13" t="inlineStr">
        <is>
          <t>85367152384621</t>
        </is>
      </c>
      <c r="B13" s="13" t="inlineStr">
        <is>
          <t>BOLSO CC BOY BLACK</t>
        </is>
      </c>
      <c r="C13" s="13" t="inlineStr">
        <is>
          <t>BLACK/GOLD</t>
        </is>
      </c>
      <c r="D13" s="14" t="inlineStr"/>
      <c r="E13" s="13" t="n"/>
      <c r="F13" s="13" t="n"/>
      <c r="G13" s="13" t="n"/>
      <c r="H13" s="15" t="n">
        <v>15</v>
      </c>
      <c r="I13" s="13" t="n"/>
      <c r="J13" s="16">
        <f>IF(COUNT(E13:I13)=0,"",MIN(E13:I13))</f>
        <v/>
      </c>
      <c r="K13" s="15">
        <f>IF(COUNT(E13:I13)=0,"",LOOKUP(2,1/(E13:I13&lt;&gt;""),E13:I13))</f>
        <v/>
      </c>
      <c r="L13" s="17">
        <f>IF(J13="","",ROUND(J13*RESUMEN!$B$4,0))</f>
        <v/>
      </c>
      <c r="M13" s="18">
        <f>COUNT(E13:I13)</f>
        <v/>
      </c>
    </row>
    <row r="14">
      <c r="A14" s="13" t="inlineStr">
        <is>
          <t>654bdbd5ab77d</t>
        </is>
      </c>
      <c r="B14" s="13" t="inlineStr">
        <is>
          <t>BOLSO CC BOY MINI BLACK</t>
        </is>
      </c>
      <c r="C14" s="13" t="inlineStr">
        <is>
          <t>24.8cm de largo x 16cm de alto x 7.5cm de ancho</t>
        </is>
      </c>
      <c r="D14" s="14" t="inlineStr">
        <is>
          <t>Lambskin leather</t>
        </is>
      </c>
      <c r="E14" s="13" t="n"/>
      <c r="F14" s="13" t="n"/>
      <c r="G14" s="15" t="n">
        <v>15</v>
      </c>
      <c r="H14" s="15" t="n">
        <v>15</v>
      </c>
      <c r="I14" s="15" t="n">
        <v>15</v>
      </c>
      <c r="J14" s="16">
        <f>IF(COUNT(E14:I14)=0,"",MIN(E14:I14))</f>
        <v/>
      </c>
      <c r="K14" s="15">
        <f>IF(COUNT(E14:I14)=0,"",LOOKUP(2,1/(E14:I14&lt;&gt;""),E14:I14))</f>
        <v/>
      </c>
      <c r="L14" s="17">
        <f>IF(J14="","",ROUND(J14*RESUMEN!$B$4,0))</f>
        <v/>
      </c>
      <c r="M14" s="18">
        <f>COUNT(E14:I14)</f>
        <v/>
      </c>
    </row>
    <row r="15">
      <c r="A15" s="13" t="inlineStr">
        <is>
          <t>85367152182925</t>
        </is>
      </c>
      <c r="B15" s="13" t="inlineStr">
        <is>
          <t>BOLSO CC SHINY STAR BLACK</t>
        </is>
      </c>
      <c r="C15" s="13" t="inlineStr">
        <is>
          <t>BLACK/GOLD</t>
        </is>
      </c>
      <c r="D15" s="14" t="inlineStr"/>
      <c r="E15" s="13" t="n"/>
      <c r="F15" s="13" t="n"/>
      <c r="G15" s="13" t="n"/>
      <c r="H15" s="15" t="n">
        <v>56</v>
      </c>
      <c r="I15" s="13" t="n"/>
      <c r="J15" s="16">
        <f>IF(COUNT(E15:I15)=0,"",MIN(E15:I15))</f>
        <v/>
      </c>
      <c r="K15" s="15">
        <f>IF(COUNT(E15:I15)=0,"",LOOKUP(2,1/(E15:I15&lt;&gt;""),E15:I15))</f>
        <v/>
      </c>
      <c r="L15" s="17">
        <f>IF(J15="","",ROUND(J15*RESUMEN!$B$4,0))</f>
        <v/>
      </c>
      <c r="M15" s="18">
        <f>COUNT(E15:I15)</f>
        <v/>
      </c>
    </row>
    <row r="16">
      <c r="A16" s="13" t="inlineStr">
        <is>
          <t>10132411318605</t>
        </is>
      </c>
      <c r="B16" s="13" t="inlineStr">
        <is>
          <t>BOLSO CD BOW BLACK</t>
        </is>
      </c>
      <c r="C16" s="13" t="inlineStr">
        <is>
          <t>Default Title</t>
        </is>
      </c>
      <c r="D16" s="14" t="inlineStr"/>
      <c r="E16" s="13" t="n"/>
      <c r="F16" s="13" t="n"/>
      <c r="G16" s="13" t="n"/>
      <c r="H16" s="13" t="n"/>
      <c r="I16" s="15" t="n">
        <v>71</v>
      </c>
      <c r="J16" s="16">
        <f>IF(COUNT(E16:I16)=0,"",MIN(E16:I16))</f>
        <v/>
      </c>
      <c r="K16" s="15">
        <f>IF(COUNT(E16:I16)=0,"",LOOKUP(2,1/(E16:I16&lt;&gt;""),E16:I16))</f>
        <v/>
      </c>
      <c r="L16" s="17">
        <f>IF(J16="","",ROUND(J16*RESUMEN!$B$4,0))</f>
        <v/>
      </c>
      <c r="M16" s="18">
        <f>COUNT(E16:I16)</f>
        <v/>
      </c>
    </row>
    <row r="17">
      <c r="A17" s="13" t="inlineStr">
        <is>
          <t>10132411251373</t>
        </is>
      </c>
      <c r="B17" s="13" t="inlineStr">
        <is>
          <t>BOLSO CD BOW BURGUNDY</t>
        </is>
      </c>
      <c r="C17" s="13" t="inlineStr">
        <is>
          <t>Default Title</t>
        </is>
      </c>
      <c r="D17" s="14" t="inlineStr"/>
      <c r="E17" s="13" t="n"/>
      <c r="F17" s="13" t="n"/>
      <c r="G17" s="13" t="n"/>
      <c r="H17" s="13" t="n"/>
      <c r="I17" s="15" t="n">
        <v>71</v>
      </c>
      <c r="J17" s="16">
        <f>IF(COUNT(E17:I17)=0,"",MIN(E17:I17))</f>
        <v/>
      </c>
      <c r="K17" s="15">
        <f>IF(COUNT(E17:I17)=0,"",LOOKUP(2,1/(E17:I17&lt;&gt;""),E17:I17))</f>
        <v/>
      </c>
      <c r="L17" s="17">
        <f>IF(J17="","",ROUND(J17*RESUMEN!$B$4,0))</f>
        <v/>
      </c>
      <c r="M17" s="18">
        <f>COUNT(E17:I17)</f>
        <v/>
      </c>
    </row>
    <row r="18">
      <c r="A18" s="13" t="inlineStr">
        <is>
          <t>85367151372749</t>
        </is>
      </c>
      <c r="B18" s="13" t="inlineStr">
        <is>
          <t>BOLSO CD MESSENGER SOLAPA</t>
        </is>
      </c>
      <c r="C18" s="13" t="inlineStr">
        <is>
          <t>BLACK</t>
        </is>
      </c>
      <c r="D18" s="14" t="inlineStr"/>
      <c r="E18" s="13" t="n"/>
      <c r="F18" s="13" t="n"/>
      <c r="G18" s="13" t="n"/>
      <c r="H18" s="15" t="n">
        <v>43</v>
      </c>
      <c r="I18" s="13" t="n"/>
      <c r="J18" s="16">
        <f>IF(COUNT(E18:I18)=0,"",MIN(E18:I18))</f>
        <v/>
      </c>
      <c r="K18" s="15">
        <f>IF(COUNT(E18:I18)=0,"",LOOKUP(2,1/(E18:I18&lt;&gt;""),E18:I18))</f>
        <v/>
      </c>
      <c r="L18" s="17">
        <f>IF(J18="","",ROUND(J18*RESUMEN!$B$4,0))</f>
        <v/>
      </c>
      <c r="M18" s="18">
        <f>COUNT(E18:I18)</f>
        <v/>
      </c>
    </row>
    <row r="19">
      <c r="A19" s="13" t="inlineStr">
        <is>
          <t>10132411116909</t>
        </is>
      </c>
      <c r="B19" s="13" t="inlineStr">
        <is>
          <t>BOLSO CD SADDLE ALL BLACK</t>
        </is>
      </c>
      <c r="C19" s="13" t="inlineStr">
        <is>
          <t>Default Title</t>
        </is>
      </c>
      <c r="D19" s="14" t="inlineStr"/>
      <c r="E19" s="13" t="n"/>
      <c r="F19" s="13" t="n"/>
      <c r="G19" s="13" t="n"/>
      <c r="H19" s="13" t="n"/>
      <c r="I19" s="15" t="n">
        <v>63</v>
      </c>
      <c r="J19" s="16">
        <f>IF(COUNT(E19:I19)=0,"",MIN(E19:I19))</f>
        <v/>
      </c>
      <c r="K19" s="15">
        <f>IF(COUNT(E19:I19)=0,"",LOOKUP(2,1/(E19:I19&lt;&gt;""),E19:I19))</f>
        <v/>
      </c>
      <c r="L19" s="17">
        <f>IF(J19="","",ROUND(J19*RESUMEN!$B$4,0))</f>
        <v/>
      </c>
      <c r="M19" s="18">
        <f>COUNT(E19:I19)</f>
        <v/>
      </c>
    </row>
    <row r="20">
      <c r="A20" s="13" t="inlineStr">
        <is>
          <t>85367151238285</t>
        </is>
      </c>
      <c r="B20" s="13" t="inlineStr">
        <is>
          <t>BOLSO CD SAFARI OBLIQUE</t>
        </is>
      </c>
      <c r="C20" s="13" t="inlineStr">
        <is>
          <t>BLACK/BLUE</t>
        </is>
      </c>
      <c r="D20" s="14" t="inlineStr"/>
      <c r="E20" s="13" t="n"/>
      <c r="F20" s="13" t="n"/>
      <c r="G20" s="13" t="n"/>
      <c r="H20" s="15" t="n">
        <v>48</v>
      </c>
      <c r="I20" s="13" t="n"/>
      <c r="J20" s="16">
        <f>IF(COUNT(E20:I20)=0,"",MIN(E20:I20))</f>
        <v/>
      </c>
      <c r="K20" s="15">
        <f>IF(COUNT(E20:I20)=0,"",LOOKUP(2,1/(E20:I20&lt;&gt;""),E20:I20))</f>
        <v/>
      </c>
      <c r="L20" s="17">
        <f>IF(J20="","",ROUND(J20*RESUMEN!$B$4,0))</f>
        <v/>
      </c>
      <c r="M20" s="18">
        <f>COUNT(E20:I20)</f>
        <v/>
      </c>
    </row>
    <row r="21">
      <c r="A21" s="13" t="inlineStr">
        <is>
          <t>19693770314380</t>
        </is>
      </c>
      <c r="B21" s="13" t="inlineStr">
        <is>
          <t>BOLSO DE VIAJE BROWN LV
55cm</t>
        </is>
      </c>
      <c r="C21" s="13" t="inlineStr">
        <is>
          <t>HIGH QUALITY</t>
        </is>
      </c>
      <c r="D21" s="14" t="inlineStr"/>
      <c r="E21" s="13" t="n"/>
      <c r="F21" s="13" t="n"/>
      <c r="G21" s="13" t="n"/>
      <c r="H21" s="13" t="n"/>
      <c r="I21" s="15" t="n">
        <v>63</v>
      </c>
      <c r="J21" s="16">
        <f>IF(COUNT(E21:I21)=0,"",MIN(E21:I21))</f>
        <v/>
      </c>
      <c r="K21" s="15">
        <f>IF(COUNT(E21:I21)=0,"",LOOKUP(2,1/(E21:I21&lt;&gt;""),E21:I21))</f>
        <v/>
      </c>
      <c r="L21" s="17">
        <f>IF(J21="","",ROUND(J21*RESUMEN!$B$4,0))</f>
        <v/>
      </c>
      <c r="M21" s="18">
        <f>COUNT(E21:I21)</f>
        <v/>
      </c>
    </row>
    <row r="22">
      <c r="A22" s="13" t="inlineStr">
        <is>
          <t>665bb9079b157</t>
        </is>
      </c>
      <c r="B22" s="13" t="inlineStr">
        <is>
          <t>BOLSO DOUBLE V LV</t>
        </is>
      </c>
      <c r="C22" s="13" t="inlineStr">
        <is>
          <t>17cm de alto x 23cm de largo x 9.5cm de ancho</t>
        </is>
      </c>
      <c r="D22" s="14" t="inlineStr">
        <is>
          <t>Lambskin leather</t>
        </is>
      </c>
      <c r="E22" s="13" t="n"/>
      <c r="F22" s="13" t="n"/>
      <c r="G22" s="15" t="n">
        <v>45</v>
      </c>
      <c r="H22" s="13" t="n"/>
      <c r="I22" s="13" t="n"/>
      <c r="J22" s="16">
        <f>IF(COUNT(E22:I22)=0,"",MIN(E22:I22))</f>
        <v/>
      </c>
      <c r="K22" s="15">
        <f>IF(COUNT(E22:I22)=0,"",LOOKUP(2,1/(E22:I22&lt;&gt;""),E22:I22))</f>
        <v/>
      </c>
      <c r="L22" s="17">
        <f>IF(J22="","",ROUND(J22*RESUMEN!$B$4,0))</f>
        <v/>
      </c>
      <c r="M22" s="18">
        <f>COUNT(E22:I22)</f>
        <v/>
      </c>
    </row>
    <row r="23">
      <c r="A23" s="13" t="inlineStr">
        <is>
          <t>10132411776813</t>
        </is>
      </c>
      <c r="B23" s="13" t="inlineStr">
        <is>
          <t>BOLSO F GRAPHY LOGOS</t>
        </is>
      </c>
      <c r="C23" s="13" t="inlineStr">
        <is>
          <t>Default Title</t>
        </is>
      </c>
      <c r="D23" s="14" t="inlineStr"/>
      <c r="E23" s="13" t="n"/>
      <c r="F23" s="13" t="n"/>
      <c r="G23" s="13" t="n"/>
      <c r="H23" s="13" t="n"/>
      <c r="I23" s="15" t="n">
        <v>78</v>
      </c>
      <c r="J23" s="16">
        <f>IF(COUNT(E23:I23)=0,"",MIN(E23:I23))</f>
        <v/>
      </c>
      <c r="K23" s="15">
        <f>IF(COUNT(E23:I23)=0,"",LOOKUP(2,1/(E23:I23&lt;&gt;""),E23:I23))</f>
        <v/>
      </c>
      <c r="L23" s="17">
        <f>IF(J23="","",ROUND(J23*RESUMEN!$B$4,0))</f>
        <v/>
      </c>
      <c r="M23" s="18">
        <f>COUNT(E23:I23)</f>
        <v/>
      </c>
    </row>
    <row r="24">
      <c r="A24" s="13" t="inlineStr">
        <is>
          <t>677c26af628d5</t>
        </is>
      </c>
      <c r="B24" s="13" t="inlineStr">
        <is>
          <t>BOLSO GC DIONYSUS CHERRY RED</t>
        </is>
      </c>
      <c r="C24" s="13" t="inlineStr">
        <is>
          <t>18cm de largo x 12cm de alto x 4cm de ancho</t>
        </is>
      </c>
      <c r="D24" s="14" t="inlineStr"/>
      <c r="E24" s="13" t="n"/>
      <c r="F24" s="13" t="n"/>
      <c r="G24" s="13" t="n"/>
      <c r="H24" s="13" t="n"/>
      <c r="I24" s="15" t="n">
        <v>56</v>
      </c>
      <c r="J24" s="16">
        <f>IF(COUNT(E24:I24)=0,"",MIN(E24:I24))</f>
        <v/>
      </c>
      <c r="K24" s="15">
        <f>IF(COUNT(E24:I24)=0,"",LOOKUP(2,1/(E24:I24&lt;&gt;""),E24:I24))</f>
        <v/>
      </c>
      <c r="L24" s="17">
        <f>IF(J24="","",ROUND(J24*RESUMEN!$B$4,0))</f>
        <v/>
      </c>
      <c r="M24" s="18">
        <f>COUNT(E24:I24)</f>
        <v/>
      </c>
    </row>
    <row r="25">
      <c r="A25" s="13" t="inlineStr">
        <is>
          <t>677c26ae9f248</t>
        </is>
      </c>
      <c r="B25" s="13" t="inlineStr">
        <is>
          <t>BOLSO LV BAGATELLE</t>
        </is>
      </c>
      <c r="C25" s="13" t="inlineStr">
        <is>
          <t>23cm de largo x 20cm de alto x 8.5cm</t>
        </is>
      </c>
      <c r="D25" s="14" t="inlineStr">
        <is>
          <t>Lambskin leather</t>
        </is>
      </c>
      <c r="E25" s="13" t="n"/>
      <c r="F25" s="13" t="n"/>
      <c r="G25" s="15" t="n">
        <v>43</v>
      </c>
      <c r="H25" s="13" t="n"/>
      <c r="I25" s="15" t="n">
        <v>43</v>
      </c>
      <c r="J25" s="16">
        <f>IF(COUNT(E25:I25)=0,"",MIN(E25:I25))</f>
        <v/>
      </c>
      <c r="K25" s="15">
        <f>IF(COUNT(E25:I25)=0,"",LOOKUP(2,1/(E25:I25&lt;&gt;""),E25:I25))</f>
        <v/>
      </c>
      <c r="L25" s="17">
        <f>IF(J25="","",ROUND(J25*RESUMEN!$B$4,0))</f>
        <v/>
      </c>
      <c r="M25" s="18">
        <f>COUNT(E25:I25)</f>
        <v/>
      </c>
    </row>
    <row r="26">
      <c r="A26" s="13" t="inlineStr">
        <is>
          <t>43728084218572</t>
        </is>
      </c>
      <c r="B26" s="13" t="inlineStr">
        <is>
          <t>BOLSO LV DISTRICT BLACK</t>
        </is>
      </c>
      <c r="C26" s="13" t="inlineStr">
        <is>
          <t>25cm de largo x 23cm de alto x 6.5cm de ancho (REMATE)</t>
        </is>
      </c>
      <c r="D26" s="14" t="inlineStr">
        <is>
          <t>Micro fiber leat</t>
        </is>
      </c>
      <c r="E26" s="13" t="n"/>
      <c r="F26" s="13" t="n"/>
      <c r="G26" s="15" t="n">
        <v>21</v>
      </c>
      <c r="H26" s="13" t="n"/>
      <c r="I26" s="13" t="n"/>
      <c r="J26" s="16">
        <f>IF(COUNT(E26:I26)=0,"",MIN(E26:I26))</f>
        <v/>
      </c>
      <c r="K26" s="15">
        <f>IF(COUNT(E26:I26)=0,"",LOOKUP(2,1/(E26:I26&lt;&gt;""),E26:I26))</f>
        <v/>
      </c>
      <c r="L26" s="17">
        <f>IF(J26="","",ROUND(J26*RESUMEN!$B$4,0))</f>
        <v/>
      </c>
      <c r="M26" s="18">
        <f>COUNT(E26:I26)</f>
        <v/>
      </c>
    </row>
    <row r="27">
      <c r="A27" s="13" t="inlineStr">
        <is>
          <t>654bdc44be732</t>
        </is>
      </c>
      <c r="B27" s="13" t="inlineStr">
        <is>
          <t>BOLSO LV PÉGASE BLACK</t>
        </is>
      </c>
      <c r="C27" s="13" t="inlineStr">
        <is>
          <t>25.5cm de largo x 26cm de alto x 6.cm de ancho</t>
        </is>
      </c>
      <c r="D27" s="14" t="inlineStr">
        <is>
          <t>Micro fiber leat</t>
        </is>
      </c>
      <c r="E27" s="13" t="n"/>
      <c r="F27" s="13" t="n"/>
      <c r="G27" s="15" t="n">
        <v>21</v>
      </c>
      <c r="H27" s="13" t="n"/>
      <c r="I27" s="13" t="n"/>
      <c r="J27" s="16">
        <f>IF(COUNT(E27:I27)=0,"",MIN(E27:I27))</f>
        <v/>
      </c>
      <c r="K27" s="15">
        <f>IF(COUNT(E27:I27)=0,"",LOOKUP(2,1/(E27:I27&lt;&gt;""),E27:I27))</f>
        <v/>
      </c>
      <c r="L27" s="17">
        <f>IF(J27="","",ROUND(J27*RESUMEN!$B$4,0))</f>
        <v/>
      </c>
      <c r="M27" s="18">
        <f>COUNT(E27:I27)</f>
        <v/>
      </c>
    </row>
    <row r="28">
      <c r="A28" s="13" t="inlineStr">
        <is>
          <t>64e78f9336406</t>
        </is>
      </c>
      <c r="B28" s="13" t="inlineStr">
        <is>
          <t>BOLSO V BLACK</t>
        </is>
      </c>
      <c r="C28" s="13" t="inlineStr">
        <is>
          <t>20.5cmx14cm</t>
        </is>
      </c>
      <c r="D28" s="14" t="inlineStr">
        <is>
          <t>Lambskin leather</t>
        </is>
      </c>
      <c r="E28" s="13" t="n"/>
      <c r="F28" s="13" t="n"/>
      <c r="G28" s="15" t="n">
        <v>46</v>
      </c>
      <c r="H28" s="15" t="n">
        <v>46</v>
      </c>
      <c r="I28" s="13" t="n"/>
      <c r="J28" s="16">
        <f>IF(COUNT(E28:I28)=0,"",MIN(E28:I28))</f>
        <v/>
      </c>
      <c r="K28" s="15">
        <f>IF(COUNT(E28:I28)=0,"",LOOKUP(2,1/(E28:I28&lt;&gt;""),E28:I28))</f>
        <v/>
      </c>
      <c r="L28" s="17">
        <f>IF(J28="","",ROUND(J28*RESUMEN!$B$4,0))</f>
        <v/>
      </c>
      <c r="M28" s="18">
        <f>COUNT(E28:I28)</f>
        <v/>
      </c>
    </row>
    <row r="29">
      <c r="A29" s="13" t="inlineStr">
        <is>
          <t>64e78f941b012</t>
        </is>
      </c>
      <c r="B29" s="13" t="inlineStr">
        <is>
          <t>BOLSO V WHITE</t>
        </is>
      </c>
      <c r="C29" s="13" t="inlineStr">
        <is>
          <t>20.5cmx14cm</t>
        </is>
      </c>
      <c r="D29" s="14" t="inlineStr">
        <is>
          <t>Lambskin leather</t>
        </is>
      </c>
      <c r="E29" s="13" t="n"/>
      <c r="F29" s="13" t="n"/>
      <c r="G29" s="15" t="n">
        <v>46</v>
      </c>
      <c r="H29" s="13" t="n"/>
      <c r="I29" s="13" t="n"/>
      <c r="J29" s="16">
        <f>IF(COUNT(E29:I29)=0,"",MIN(E29:I29))</f>
        <v/>
      </c>
      <c r="K29" s="15">
        <f>IF(COUNT(E29:I29)=0,"",LOOKUP(2,1/(E29:I29&lt;&gt;""),E29:I29))</f>
        <v/>
      </c>
      <c r="L29" s="17">
        <f>IF(J29="","",ROUND(J29*RESUMEN!$B$4,0))</f>
        <v/>
      </c>
      <c r="M29" s="18">
        <f>COUNT(E29:I29)</f>
        <v/>
      </c>
    </row>
    <row r="30">
      <c r="A30" s="13" t="inlineStr">
        <is>
          <t>67572cbd4a7ca</t>
        </is>
      </c>
      <c r="B30" s="13" t="inlineStr">
        <is>
          <t>BOLSO YSL CON CADENA BLACK</t>
        </is>
      </c>
      <c r="C30" s="13" t="inlineStr">
        <is>
          <t>19cm de alto x 24cm de largo x 7cm de ancho</t>
        </is>
      </c>
      <c r="D30" s="14" t="inlineStr">
        <is>
          <t>Lambskin leather</t>
        </is>
      </c>
      <c r="E30" s="13" t="n"/>
      <c r="F30" s="13" t="n"/>
      <c r="G30" s="15" t="n">
        <v>46</v>
      </c>
      <c r="H30" s="15" t="n">
        <v>46</v>
      </c>
      <c r="I30" s="13" t="n"/>
      <c r="J30" s="16">
        <f>IF(COUNT(E30:I30)=0,"",MIN(E30:I30))</f>
        <v/>
      </c>
      <c r="K30" s="15">
        <f>IF(COUNT(E30:I30)=0,"",LOOKUP(2,1/(E30:I30&lt;&gt;""),E30:I30))</f>
        <v/>
      </c>
      <c r="L30" s="17">
        <f>IF(J30="","",ROUND(J30*RESUMEN!$B$4,0))</f>
        <v/>
      </c>
      <c r="M30" s="18">
        <f>COUNT(E30:I30)</f>
        <v/>
      </c>
    </row>
    <row r="31">
      <c r="A31" s="13" t="inlineStr">
        <is>
          <t>58071991054829</t>
        </is>
      </c>
      <c r="B31" s="13" t="inlineStr">
        <is>
          <t>BOLSO YSL CON CADENA BURDEOS</t>
        </is>
      </c>
      <c r="C31" s="13" t="inlineStr">
        <is>
          <t>24cm de largo x 18cm de alto x 8cm de ancho.</t>
        </is>
      </c>
      <c r="D31" s="14" t="inlineStr"/>
      <c r="E31" s="13" t="n"/>
      <c r="F31" s="13" t="n"/>
      <c r="G31" s="13" t="n"/>
      <c r="H31" s="13" t="n"/>
      <c r="I31" s="15" t="n">
        <v>46</v>
      </c>
      <c r="J31" s="16">
        <f>IF(COUNT(E31:I31)=0,"",MIN(E31:I31))</f>
        <v/>
      </c>
      <c r="K31" s="15">
        <f>IF(COUNT(E31:I31)=0,"",LOOKUP(2,1/(E31:I31&lt;&gt;""),E31:I31))</f>
        <v/>
      </c>
      <c r="L31" s="17">
        <f>IF(J31="","",ROUND(J31*RESUMEN!$B$4,0))</f>
        <v/>
      </c>
      <c r="M31" s="18">
        <f>COUNT(E31:I31)</f>
        <v/>
      </c>
    </row>
    <row r="32">
      <c r="A32" s="13" t="inlineStr">
        <is>
          <t>43409491041677</t>
        </is>
      </c>
      <c r="B32" s="13" t="inlineStr">
        <is>
          <t>BOLSO YSL CON CADENA NUDE</t>
        </is>
      </c>
      <c r="C32" s="13" t="inlineStr">
        <is>
          <t>REGULAR</t>
        </is>
      </c>
      <c r="D32" s="14" t="inlineStr"/>
      <c r="E32" s="13" t="n"/>
      <c r="F32" s="13" t="n"/>
      <c r="G32" s="13" t="n"/>
      <c r="H32" s="13" t="n"/>
      <c r="I32" s="15" t="n">
        <v>46</v>
      </c>
      <c r="J32" s="16">
        <f>IF(COUNT(E32:I32)=0,"",MIN(E32:I32))</f>
        <v/>
      </c>
      <c r="K32" s="15">
        <f>IF(COUNT(E32:I32)=0,"",LOOKUP(2,1/(E32:I32&lt;&gt;""),E32:I32))</f>
        <v/>
      </c>
      <c r="L32" s="17">
        <f>IF(J32="","",ROUND(J32*RESUMEN!$B$4,0))</f>
        <v/>
      </c>
      <c r="M32" s="18">
        <f>COUNT(E32:I32)</f>
        <v/>
      </c>
    </row>
    <row r="33">
      <c r="A33" s="13" t="inlineStr">
        <is>
          <t>94350532835596</t>
        </is>
      </c>
      <c r="B33" s="13" t="inlineStr">
        <is>
          <t>BOLSO YSL CON CADENA NUDE</t>
        </is>
      </c>
      <c r="C33" s="13" t="inlineStr">
        <is>
          <t>REGULAR</t>
        </is>
      </c>
      <c r="D33" s="14" t="inlineStr">
        <is>
          <t>Lambskin leather</t>
        </is>
      </c>
      <c r="E33" s="13" t="n"/>
      <c r="F33" s="13" t="n"/>
      <c r="G33" s="15" t="n">
        <v>46</v>
      </c>
      <c r="H33" s="13" t="n"/>
      <c r="I33" s="13" t="n"/>
      <c r="J33" s="16">
        <f>IF(COUNT(E33:I33)=0,"",MIN(E33:I33))</f>
        <v/>
      </c>
      <c r="K33" s="15">
        <f>IF(COUNT(E33:I33)=0,"",LOOKUP(2,1/(E33:I33&lt;&gt;""),E33:I33))</f>
        <v/>
      </c>
      <c r="L33" s="17">
        <f>IF(J33="","",ROUND(J33*RESUMEN!$B$4,0))</f>
        <v/>
      </c>
      <c r="M33" s="18">
        <f>COUNT(E33:I33)</f>
        <v/>
      </c>
    </row>
    <row r="34">
      <c r="A34" s="13" t="inlineStr">
        <is>
          <t>67572cbe60534</t>
        </is>
      </c>
      <c r="B34" s="13" t="inlineStr">
        <is>
          <t>BOLSO YSL CON CADENA OFF WHITE</t>
        </is>
      </c>
      <c r="C34" s="13" t="inlineStr">
        <is>
          <t>Middle Quality</t>
        </is>
      </c>
      <c r="D34" s="14" t="inlineStr"/>
      <c r="E34" s="13" t="n"/>
      <c r="F34" s="13" t="n"/>
      <c r="G34" s="13" t="n"/>
      <c r="H34" s="13" t="n"/>
      <c r="I34" s="15" t="n">
        <v>46</v>
      </c>
      <c r="J34" s="16">
        <f>IF(COUNT(E34:I34)=0,"",MIN(E34:I34))</f>
        <v/>
      </c>
      <c r="K34" s="15">
        <f>IF(COUNT(E34:I34)=0,"",LOOKUP(2,1/(E34:I34&lt;&gt;""),E34:I34))</f>
        <v/>
      </c>
      <c r="L34" s="17">
        <f>IF(J34="","",ROUND(J34*RESUMEN!$B$4,0))</f>
        <v/>
      </c>
      <c r="M34" s="18">
        <f>COUNT(E34:I34)</f>
        <v/>
      </c>
    </row>
    <row r="35">
      <c r="A35" s="13" t="inlineStr">
        <is>
          <t>654bdc38b0ca9</t>
        </is>
      </c>
      <c r="B35" s="13" t="inlineStr">
        <is>
          <t>BOLSO YSL CON CADENA RED</t>
        </is>
      </c>
      <c r="C35" s="13" t="inlineStr">
        <is>
          <t>17.5cm de alto x 23.5cm de largo x 6cm de ancho</t>
        </is>
      </c>
      <c r="D35" s="14" t="inlineStr">
        <is>
          <t>Lambskin leather</t>
        </is>
      </c>
      <c r="E35" s="13" t="n"/>
      <c r="F35" s="13" t="n"/>
      <c r="G35" s="15" t="n">
        <v>46</v>
      </c>
      <c r="H35" s="13" t="n"/>
      <c r="I35" s="13" t="n"/>
      <c r="J35" s="16">
        <f>IF(COUNT(E35:I35)=0,"",MIN(E35:I35))</f>
        <v/>
      </c>
      <c r="K35" s="15">
        <f>IF(COUNT(E35:I35)=0,"",LOOKUP(2,1/(E35:I35&lt;&gt;""),E35:I35))</f>
        <v/>
      </c>
      <c r="L35" s="17">
        <f>IF(J35="","",ROUND(J35*RESUMEN!$B$4,0))</f>
        <v/>
      </c>
      <c r="M35" s="18">
        <f>COUNT(E35:I35)</f>
        <v/>
      </c>
    </row>
    <row r="36">
      <c r="A36" s="13" t="inlineStr">
        <is>
          <t>85367151645069</t>
        </is>
      </c>
      <c r="B36" s="13" t="inlineStr">
        <is>
          <t>CARTERA C SMALL BLACK</t>
        </is>
      </c>
      <c r="C36" s="13" t="inlineStr">
        <is>
          <t>BLACK/GOLD</t>
        </is>
      </c>
      <c r="D36" s="14" t="inlineStr"/>
      <c r="E36" s="13" t="n"/>
      <c r="F36" s="13" t="n"/>
      <c r="G36" s="13" t="n"/>
      <c r="H36" s="15" t="n">
        <v>28</v>
      </c>
      <c r="I36" s="13" t="n"/>
      <c r="J36" s="16">
        <f>IF(COUNT(E36:I36)=0,"",MIN(E36:I36))</f>
        <v/>
      </c>
      <c r="K36" s="15">
        <f>IF(COUNT(E36:I36)=0,"",LOOKUP(2,1/(E36:I36&lt;&gt;""),E36:I36))</f>
        <v/>
      </c>
      <c r="L36" s="17">
        <f>IF(J36="","",ROUND(J36*RESUMEN!$B$4,0))</f>
        <v/>
      </c>
      <c r="M36" s="18">
        <f>COUNT(E36:I36)</f>
        <v/>
      </c>
    </row>
    <row r="37">
      <c r="A37" s="13" t="inlineStr">
        <is>
          <t>43728091877228</t>
        </is>
      </c>
      <c r="B37" s="13" t="inlineStr">
        <is>
          <t>CARTERA CC BLACK</t>
        </is>
      </c>
      <c r="C37" s="13" t="inlineStr">
        <is>
          <t>13cmx13cm</t>
        </is>
      </c>
      <c r="D37" s="14" t="inlineStr">
        <is>
          <t>Micro fiber leat</t>
        </is>
      </c>
      <c r="E37" s="13" t="n"/>
      <c r="F37" s="13" t="n"/>
      <c r="G37" s="15" t="n">
        <v>24</v>
      </c>
      <c r="H37" s="15" t="n">
        <v>24</v>
      </c>
      <c r="I37" s="15" t="n">
        <v>24</v>
      </c>
      <c r="J37" s="16">
        <f>IF(COUNT(E37:I37)=0,"",MIN(E37:I37))</f>
        <v/>
      </c>
      <c r="K37" s="15">
        <f>IF(COUNT(E37:I37)=0,"",LOOKUP(2,1/(E37:I37&lt;&gt;""),E37:I37))</f>
        <v/>
      </c>
      <c r="L37" s="17">
        <f>IF(J37="","",ROUND(J37*RESUMEN!$B$4,0))</f>
        <v/>
      </c>
      <c r="M37" s="18">
        <f>COUNT(E37:I37)</f>
        <v/>
      </c>
    </row>
    <row r="38">
      <c r="A38" s="13" t="inlineStr">
        <is>
          <t>85367152015693</t>
        </is>
      </c>
      <c r="B38" s="13" t="inlineStr">
        <is>
          <t>CARTERA CC JOLIE BLACK</t>
        </is>
      </c>
      <c r="C38" s="13" t="inlineStr">
        <is>
          <t>BLACK/GOLD</t>
        </is>
      </c>
      <c r="D38" s="14" t="inlineStr"/>
      <c r="E38" s="13" t="n"/>
      <c r="F38" s="13" t="n"/>
      <c r="G38" s="13" t="n"/>
      <c r="H38" s="15" t="n">
        <v>23</v>
      </c>
      <c r="I38" s="13" t="n"/>
      <c r="J38" s="16">
        <f>IF(COUNT(E38:I38)=0,"",MIN(E38:I38))</f>
        <v/>
      </c>
      <c r="K38" s="15">
        <f>IF(COUNT(E38:I38)=0,"",LOOKUP(2,1/(E38:I38&lt;&gt;""),E38:I38))</f>
        <v/>
      </c>
      <c r="L38" s="17">
        <f>IF(J38="","",ROUND(J38*RESUMEN!$B$4,0))</f>
        <v/>
      </c>
      <c r="M38" s="18">
        <f>COUNT(E38:I38)</f>
        <v/>
      </c>
    </row>
    <row r="39">
      <c r="A39" s="13" t="inlineStr">
        <is>
          <t>10132411606189</t>
        </is>
      </c>
      <c r="B39" s="13" t="inlineStr">
        <is>
          <t>CARTERA F BAGUETTE MINI</t>
        </is>
      </c>
      <c r="C39" s="13" t="inlineStr">
        <is>
          <t>Default Title</t>
        </is>
      </c>
      <c r="D39" s="14" t="inlineStr"/>
      <c r="E39" s="13" t="n"/>
      <c r="F39" s="13" t="n"/>
      <c r="G39" s="13" t="n"/>
      <c r="H39" s="13" t="n"/>
      <c r="I39" s="15" t="n">
        <v>75</v>
      </c>
      <c r="J39" s="16">
        <f>IF(COUNT(E39:I39)=0,"",MIN(E39:I39))</f>
        <v/>
      </c>
      <c r="K39" s="15">
        <f>IF(COUNT(E39:I39)=0,"",LOOKUP(2,1/(E39:I39&lt;&gt;""),E39:I39))</f>
        <v/>
      </c>
      <c r="L39" s="17">
        <f>IF(J39="","",ROUND(J39*RESUMEN!$B$4,0))</f>
        <v/>
      </c>
      <c r="M39" s="18">
        <f>COUNT(E39:I39)</f>
        <v/>
      </c>
    </row>
    <row r="40">
      <c r="A40" s="13" t="inlineStr">
        <is>
          <t>10132411501101</t>
        </is>
      </c>
      <c r="B40" s="13" t="inlineStr">
        <is>
          <t>CARTERA F GRAPHY WHITE</t>
        </is>
      </c>
      <c r="C40" s="13" t="inlineStr">
        <is>
          <t>Default Title</t>
        </is>
      </c>
      <c r="D40" s="14" t="inlineStr"/>
      <c r="E40" s="13" t="n"/>
      <c r="F40" s="13" t="n"/>
      <c r="G40" s="13" t="n"/>
      <c r="H40" s="13" t="n"/>
      <c r="I40" s="15" t="n">
        <v>52</v>
      </c>
      <c r="J40" s="16">
        <f>IF(COUNT(E40:I40)=0,"",MIN(E40:I40))</f>
        <v/>
      </c>
      <c r="K40" s="15">
        <f>IF(COUNT(E40:I40)=0,"",LOOKUP(2,1/(E40:I40&lt;&gt;""),E40:I40))</f>
        <v/>
      </c>
      <c r="L40" s="17">
        <f>IF(J40="","",ROUND(J40*RESUMEN!$B$4,0))</f>
        <v/>
      </c>
      <c r="M40" s="18">
        <f>COUNT(E40:I40)</f>
        <v/>
      </c>
    </row>
    <row r="41">
      <c r="A41" s="13" t="inlineStr">
        <is>
          <t>43728091639180</t>
        </is>
      </c>
      <c r="B41" s="13" t="inlineStr">
        <is>
          <t>CARTERA LV BLUE</t>
        </is>
      </c>
      <c r="C41" s="13" t="inlineStr">
        <is>
          <t>12cmx9cm</t>
        </is>
      </c>
      <c r="D41" s="14" t="inlineStr">
        <is>
          <t>Micro fiber leat</t>
        </is>
      </c>
      <c r="E41" s="13" t="n"/>
      <c r="F41" s="13" t="n"/>
      <c r="G41" s="15" t="n">
        <v>13</v>
      </c>
      <c r="H41" s="13" t="n"/>
      <c r="I41" s="15" t="n">
        <v>13</v>
      </c>
      <c r="J41" s="16">
        <f>IF(COUNT(E41:I41)=0,"",MIN(E41:I41))</f>
        <v/>
      </c>
      <c r="K41" s="15">
        <f>IF(COUNT(E41:I41)=0,"",LOOKUP(2,1/(E41:I41&lt;&gt;""),E41:I41))</f>
        <v/>
      </c>
      <c r="L41" s="17">
        <f>IF(J41="","",ROUND(J41*RESUMEN!$B$4,0))</f>
        <v/>
      </c>
      <c r="M41" s="18">
        <f>COUNT(E41:I41)</f>
        <v/>
      </c>
    </row>
    <row r="42">
      <c r="A42" s="13" t="inlineStr">
        <is>
          <t>648cc60ce32b1</t>
        </is>
      </c>
      <c r="B42" s="13" t="inlineStr">
        <is>
          <t>CARTERA LV BROWN</t>
        </is>
      </c>
      <c r="C42" s="13" t="inlineStr">
        <is>
          <t>12cmx9cm</t>
        </is>
      </c>
      <c r="D42" s="14" t="inlineStr">
        <is>
          <t>Micro fiber leat</t>
        </is>
      </c>
      <c r="E42" s="13" t="n"/>
      <c r="F42" s="13" t="n"/>
      <c r="G42" s="15" t="n">
        <v>13</v>
      </c>
      <c r="H42" s="13" t="n"/>
      <c r="I42" s="15" t="n">
        <v>13</v>
      </c>
      <c r="J42" s="16">
        <f>IF(COUNT(E42:I42)=0,"",MIN(E42:I42))</f>
        <v/>
      </c>
      <c r="K42" s="15">
        <f>IF(COUNT(E42:I42)=0,"",LOOKUP(2,1/(E42:I42&lt;&gt;""),E42:I42))</f>
        <v/>
      </c>
      <c r="L42" s="17">
        <f>IF(J42="","",ROUND(J42*RESUMEN!$B$4,0))</f>
        <v/>
      </c>
      <c r="M42" s="18">
        <f>COUNT(E42:I42)</f>
        <v/>
      </c>
    </row>
    <row r="43">
      <c r="A43" s="13" t="inlineStr">
        <is>
          <t>85367151407213</t>
        </is>
      </c>
      <c r="B43" s="13" t="inlineStr">
        <is>
          <t>CARTERA LV SARAH MONOGRAM</t>
        </is>
      </c>
      <c r="C43" s="13" t="inlineStr">
        <is>
          <t>BROWN</t>
        </is>
      </c>
      <c r="D43" s="14" t="inlineStr"/>
      <c r="E43" s="13" t="n"/>
      <c r="F43" s="13" t="n"/>
      <c r="G43" s="13" t="n"/>
      <c r="H43" s="15" t="n">
        <v>18</v>
      </c>
      <c r="I43" s="13" t="n"/>
      <c r="J43" s="16">
        <f>IF(COUNT(E43:I43)=0,"",MIN(E43:I43))</f>
        <v/>
      </c>
      <c r="K43" s="15">
        <f>IF(COUNT(E43:I43)=0,"",LOOKUP(2,1/(E43:I43&lt;&gt;""),E43:I43))</f>
        <v/>
      </c>
      <c r="L43" s="17">
        <f>IF(J43="","",ROUND(J43*RESUMEN!$B$4,0))</f>
        <v/>
      </c>
      <c r="M43" s="18">
        <f>COUNT(E43:I43)</f>
        <v/>
      </c>
    </row>
    <row r="44">
      <c r="A44" s="13" t="inlineStr">
        <is>
          <t>85367151779533</t>
        </is>
      </c>
      <c r="B44" s="13" t="inlineStr">
        <is>
          <t>CARTERA PR LOGO</t>
        </is>
      </c>
      <c r="C44" s="13" t="inlineStr">
        <is>
          <t>BLACK/GOLD</t>
        </is>
      </c>
      <c r="D44" s="14" t="inlineStr"/>
      <c r="E44" s="13" t="n"/>
      <c r="F44" s="13" t="n"/>
      <c r="G44" s="13" t="n"/>
      <c r="H44" s="15" t="n">
        <v>29</v>
      </c>
      <c r="I44" s="13" t="n"/>
      <c r="J44" s="16">
        <f>IF(COUNT(E44:I44)=0,"",MIN(E44:I44))</f>
        <v/>
      </c>
      <c r="K44" s="15">
        <f>IF(COUNT(E44:I44)=0,"",LOOKUP(2,1/(E44:I44&lt;&gt;""),E44:I44))</f>
        <v/>
      </c>
      <c r="L44" s="17">
        <f>IF(J44="","",ROUND(J44*RESUMEN!$B$4,0))</f>
        <v/>
      </c>
      <c r="M44" s="18">
        <f>COUNT(E44:I44)</f>
        <v/>
      </c>
    </row>
    <row r="45">
      <c r="A45" s="13" t="inlineStr">
        <is>
          <t>85367151846765</t>
        </is>
      </c>
      <c r="B45" s="13" t="inlineStr">
        <is>
          <t>CARTERA YSL SILVER LOGO</t>
        </is>
      </c>
      <c r="C45" s="13" t="inlineStr">
        <is>
          <t>BLACK/SILVER</t>
        </is>
      </c>
      <c r="D45" s="14" t="inlineStr"/>
      <c r="E45" s="13" t="n"/>
      <c r="F45" s="13" t="n"/>
      <c r="G45" s="13" t="n"/>
      <c r="H45" s="15" t="n">
        <v>25</v>
      </c>
      <c r="I45" s="13" t="n"/>
      <c r="J45" s="16">
        <f>IF(COUNT(E45:I45)=0,"",MIN(E45:I45))</f>
        <v/>
      </c>
      <c r="K45" s="15">
        <f>IF(COUNT(E45:I45)=0,"",LOOKUP(2,1/(E45:I45&lt;&gt;""),E45:I45))</f>
        <v/>
      </c>
      <c r="L45" s="17">
        <f>IF(J45="","",ROUND(J45*RESUMEN!$B$4,0))</f>
        <v/>
      </c>
      <c r="M45" s="18">
        <f>COUNT(E45:I45)</f>
        <v/>
      </c>
    </row>
    <row r="46">
      <c r="A46" s="13" t="inlineStr">
        <is>
          <t>648cc5c03c2b5</t>
        </is>
      </c>
      <c r="B46" s="13" t="inlineStr">
        <is>
          <t>CHOKER MM ZIRCONIAS</t>
        </is>
      </c>
      <c r="C46" s="13" t="inlineStr">
        <is>
          <t>41cm</t>
        </is>
      </c>
      <c r="D46" s="14" t="inlineStr"/>
      <c r="E46" s="13" t="n"/>
      <c r="F46" s="13" t="n"/>
      <c r="G46" s="13" t="n"/>
      <c r="H46" s="13" t="n"/>
      <c r="I46" s="15" t="n">
        <v>4.09</v>
      </c>
      <c r="J46" s="16">
        <f>IF(COUNT(E46:I46)=0,"",MIN(E46:I46))</f>
        <v/>
      </c>
      <c r="K46" s="15">
        <f>IF(COUNT(E46:I46)=0,"",LOOKUP(2,1/(E46:I46&lt;&gt;""),E46:I46))</f>
        <v/>
      </c>
      <c r="L46" s="17">
        <f>IF(J46="","",ROUND(J46*RESUMEN!$B$4,0))</f>
        <v/>
      </c>
      <c r="M46" s="18">
        <f>COUNT(E46:I46)</f>
        <v/>
      </c>
    </row>
    <row r="47">
      <c r="A47" s="13" t="inlineStr">
        <is>
          <t>654bdbcfcfee3</t>
        </is>
      </c>
      <c r="B47" s="13" t="inlineStr">
        <is>
          <t>CINTO C GOLD BLACK</t>
        </is>
      </c>
      <c r="C47" s="13" t="inlineStr">
        <is>
          <t>100cm</t>
        </is>
      </c>
      <c r="D47" s="14" t="inlineStr"/>
      <c r="E47" s="13" t="n"/>
      <c r="F47" s="13" t="n"/>
      <c r="G47" s="13" t="n"/>
      <c r="H47" s="15" t="n">
        <v>15</v>
      </c>
      <c r="I47" s="13" t="n"/>
      <c r="J47" s="16">
        <f>IF(COUNT(E47:I47)=0,"",MIN(E47:I47))</f>
        <v/>
      </c>
      <c r="K47" s="15">
        <f>IF(COUNT(E47:I47)=0,"",LOOKUP(2,1/(E47:I47&lt;&gt;""),E47:I47))</f>
        <v/>
      </c>
      <c r="L47" s="17">
        <f>IF(J47="","",ROUND(J47*RESUMEN!$B$4,0))</f>
        <v/>
      </c>
      <c r="M47" s="18">
        <f>COUNT(E47:I47)</f>
        <v/>
      </c>
    </row>
    <row r="48">
      <c r="A48" s="13" t="inlineStr">
        <is>
          <t>42265109266572</t>
        </is>
      </c>
      <c r="B48" s="13" t="inlineStr">
        <is>
          <t>CINTO CD</t>
        </is>
      </c>
      <c r="C48" s="13" t="inlineStr">
        <is>
          <t>100cm</t>
        </is>
      </c>
      <c r="D48" s="14" t="inlineStr"/>
      <c r="E48" s="13" t="n"/>
      <c r="F48" s="13" t="n"/>
      <c r="G48" s="13" t="n"/>
      <c r="H48" s="15" t="n">
        <v>10</v>
      </c>
      <c r="I48" s="13" t="n"/>
      <c r="J48" s="16">
        <f>IF(COUNT(E48:I48)=0,"",MIN(E48:I48))</f>
        <v/>
      </c>
      <c r="K48" s="15">
        <f>IF(COUNT(E48:I48)=0,"",LOOKUP(2,1/(E48:I48&lt;&gt;""),E48:I48))</f>
        <v/>
      </c>
      <c r="L48" s="17">
        <f>IF(J48="","",ROUND(J48*RESUMEN!$B$4,0))</f>
        <v/>
      </c>
      <c r="M48" s="18">
        <f>COUNT(E48:I48)</f>
        <v/>
      </c>
    </row>
    <row r="49">
      <c r="A49" s="13" t="inlineStr">
        <is>
          <t>654bdbcf948ed</t>
        </is>
      </c>
      <c r="B49" s="13" t="inlineStr">
        <is>
          <t>CINTO FR GOLD BLACK</t>
        </is>
      </c>
      <c r="C49" s="13" t="inlineStr">
        <is>
          <t>115cm</t>
        </is>
      </c>
      <c r="D49" s="14" t="inlineStr"/>
      <c r="E49" s="13" t="n"/>
      <c r="F49" s="13" t="n"/>
      <c r="G49" s="13" t="n"/>
      <c r="H49" s="15" t="n">
        <v>12</v>
      </c>
      <c r="I49" s="13" t="n"/>
      <c r="J49" s="16">
        <f>IF(COUNT(E49:I49)=0,"",MIN(E49:I49))</f>
        <v/>
      </c>
      <c r="K49" s="15">
        <f>IF(COUNT(E49:I49)=0,"",LOOKUP(2,1/(E49:I49&lt;&gt;""),E49:I49))</f>
        <v/>
      </c>
      <c r="L49" s="17">
        <f>IF(J49="","",ROUND(J49*RESUMEN!$B$4,0))</f>
        <v/>
      </c>
      <c r="M49" s="18">
        <f>COUNT(E49:I49)</f>
        <v/>
      </c>
    </row>
    <row r="50">
      <c r="A50" s="13" t="inlineStr">
        <is>
          <t>42556045426828</t>
        </is>
      </c>
      <c r="B50" s="13" t="inlineStr">
        <is>
          <t>CINTO FR ROSEGOLD</t>
        </is>
      </c>
      <c r="C50" s="13" t="inlineStr">
        <is>
          <t>100cm</t>
        </is>
      </c>
      <c r="D50" s="14" t="inlineStr">
        <is>
          <t>Split leather</t>
        </is>
      </c>
      <c r="E50" s="13" t="n"/>
      <c r="F50" s="13" t="n"/>
      <c r="G50" s="15" t="n">
        <v>12</v>
      </c>
      <c r="H50" s="15" t="n">
        <v>12</v>
      </c>
      <c r="I50" s="15" t="n">
        <v>12</v>
      </c>
      <c r="J50" s="16">
        <f>IF(COUNT(E50:I50)=0,"",MIN(E50:I50))</f>
        <v/>
      </c>
      <c r="K50" s="15">
        <f>IF(COUNT(E50:I50)=0,"",LOOKUP(2,1/(E50:I50&lt;&gt;""),E50:I50))</f>
        <v/>
      </c>
      <c r="L50" s="17">
        <f>IF(J50="","",ROUND(J50*RESUMEN!$B$4,0))</f>
        <v/>
      </c>
      <c r="M50" s="18">
        <f>COUNT(E50:I50)</f>
        <v/>
      </c>
    </row>
    <row r="51">
      <c r="A51" s="13" t="inlineStr">
        <is>
          <t>85367152486317</t>
        </is>
      </c>
      <c r="B51" s="13" t="inlineStr">
        <is>
          <t>CINTO FR SILVER BROWN</t>
        </is>
      </c>
      <c r="C51" s="13" t="inlineStr">
        <is>
          <t>100cm</t>
        </is>
      </c>
      <c r="D51" s="14" t="inlineStr"/>
      <c r="E51" s="13" t="n"/>
      <c r="F51" s="13" t="n"/>
      <c r="G51" s="13" t="n"/>
      <c r="H51" s="15" t="n">
        <v>12</v>
      </c>
      <c r="I51" s="13" t="n"/>
      <c r="J51" s="16">
        <f>IF(COUNT(E51:I51)=0,"",MIN(E51:I51))</f>
        <v/>
      </c>
      <c r="K51" s="15">
        <f>IF(COUNT(E51:I51)=0,"",LOOKUP(2,1/(E51:I51&lt;&gt;""),E51:I51))</f>
        <v/>
      </c>
      <c r="L51" s="17">
        <f>IF(J51="","",ROUND(J51*RESUMEN!$B$4,0))</f>
        <v/>
      </c>
      <c r="M51" s="18">
        <f>COUNT(E51:I51)</f>
        <v/>
      </c>
    </row>
    <row r="52">
      <c r="A52" s="13" t="inlineStr">
        <is>
          <t>648cc60e5d7a4</t>
        </is>
      </c>
      <c r="B52" s="13" t="inlineStr">
        <is>
          <t>CINTO GC BLACK</t>
        </is>
      </c>
      <c r="C52" s="13" t="inlineStr">
        <is>
          <t>100cm</t>
        </is>
      </c>
      <c r="D52" s="14" t="inlineStr">
        <is>
          <t>Split leather</t>
        </is>
      </c>
      <c r="E52" s="13" t="n"/>
      <c r="F52" s="13" t="n"/>
      <c r="G52" s="15" t="n">
        <v>12</v>
      </c>
      <c r="H52" s="13" t="n"/>
      <c r="I52" s="13" t="n"/>
      <c r="J52" s="16">
        <f>IF(COUNT(E52:I52)=0,"",MIN(E52:I52))</f>
        <v/>
      </c>
      <c r="K52" s="15">
        <f>IF(COUNT(E52:I52)=0,"",LOOKUP(2,1/(E52:I52&lt;&gt;""),E52:I52))</f>
        <v/>
      </c>
      <c r="L52" s="17">
        <f>IF(J52="","",ROUND(J52*RESUMEN!$B$4,0))</f>
        <v/>
      </c>
      <c r="M52" s="18">
        <f>COUNT(E52:I52)</f>
        <v/>
      </c>
    </row>
    <row r="53">
      <c r="A53" s="13" t="inlineStr">
        <is>
          <t>654bdbcfd9269</t>
        </is>
      </c>
      <c r="B53" s="13" t="inlineStr">
        <is>
          <t>CINTO H BLACK</t>
        </is>
      </c>
      <c r="C53" s="13" t="inlineStr">
        <is>
          <t>100cm con extension</t>
        </is>
      </c>
      <c r="D53" s="14" t="inlineStr">
        <is>
          <t>Split leather</t>
        </is>
      </c>
      <c r="E53" s="13" t="n"/>
      <c r="F53" s="13" t="n"/>
      <c r="G53" s="15" t="n">
        <v>15</v>
      </c>
      <c r="H53" s="15" t="n">
        <v>15</v>
      </c>
      <c r="I53" s="13" t="n"/>
      <c r="J53" s="16">
        <f>IF(COUNT(E53:I53)=0,"",MIN(E53:I53))</f>
        <v/>
      </c>
      <c r="K53" s="15">
        <f>IF(COUNT(E53:I53)=0,"",LOOKUP(2,1/(E53:I53&lt;&gt;""),E53:I53))</f>
        <v/>
      </c>
      <c r="L53" s="17">
        <f>IF(J53="","",ROUND(J53*RESUMEN!$B$4,0))</f>
        <v/>
      </c>
      <c r="M53" s="18">
        <f>COUNT(E53:I53)</f>
        <v/>
      </c>
    </row>
    <row r="54">
      <c r="A54" s="13" t="inlineStr">
        <is>
          <t>654bdbd026f64</t>
        </is>
      </c>
      <c r="B54" s="13" t="inlineStr">
        <is>
          <t>CINTO H GOLD BLACK</t>
        </is>
      </c>
      <c r="C54" s="13" t="inlineStr">
        <is>
          <t>100cm con extension</t>
        </is>
      </c>
      <c r="D54" s="14" t="inlineStr"/>
      <c r="E54" s="13" t="n"/>
      <c r="F54" s="13" t="n"/>
      <c r="G54" s="13" t="n"/>
      <c r="H54" s="13" t="n"/>
      <c r="I54" s="15" t="n">
        <v>15</v>
      </c>
      <c r="J54" s="16">
        <f>IF(COUNT(E54:I54)=0,"",MIN(E54:I54))</f>
        <v/>
      </c>
      <c r="K54" s="15">
        <f>IF(COUNT(E54:I54)=0,"",LOOKUP(2,1/(E54:I54&lt;&gt;""),E54:I54))</f>
        <v/>
      </c>
      <c r="L54" s="17">
        <f>IF(J54="","",ROUND(J54*RESUMEN!$B$4,0))</f>
        <v/>
      </c>
      <c r="M54" s="18">
        <f>COUNT(E54:I54)</f>
        <v/>
      </c>
    </row>
    <row r="55">
      <c r="A55" s="13" t="inlineStr">
        <is>
          <t>654bdbcfbb016</t>
        </is>
      </c>
      <c r="B55" s="13" t="inlineStr">
        <is>
          <t>CINTO H SILVER BLACK</t>
        </is>
      </c>
      <c r="C55" s="13" t="inlineStr">
        <is>
          <t>115cm con extension</t>
        </is>
      </c>
      <c r="D55" s="14" t="inlineStr"/>
      <c r="E55" s="13" t="n"/>
      <c r="F55" s="13" t="n"/>
      <c r="G55" s="13" t="n"/>
      <c r="H55" s="15" t="n">
        <v>15</v>
      </c>
      <c r="I55" s="15" t="n">
        <v>15</v>
      </c>
      <c r="J55" s="16">
        <f>IF(COUNT(E55:I55)=0,"",MIN(E55:I55))</f>
        <v/>
      </c>
      <c r="K55" s="15">
        <f>IF(COUNT(E55:I55)=0,"",LOOKUP(2,1/(E55:I55&lt;&gt;""),E55:I55))</f>
        <v/>
      </c>
      <c r="L55" s="17">
        <f>IF(J55="","",ROUND(J55*RESUMEN!$B$4,0))</f>
        <v/>
      </c>
      <c r="M55" s="18">
        <f>COUNT(E55:I55)</f>
        <v/>
      </c>
    </row>
    <row r="56">
      <c r="A56" s="13" t="inlineStr">
        <is>
          <t>654bdbcfde867</t>
        </is>
      </c>
      <c r="B56" s="13" t="inlineStr">
        <is>
          <t>CINTO YSL GOLD BLACK</t>
        </is>
      </c>
      <c r="C56" s="13" t="inlineStr">
        <is>
          <t>100cm</t>
        </is>
      </c>
      <c r="D56" s="14" t="inlineStr">
        <is>
          <t>Split leather</t>
        </is>
      </c>
      <c r="E56" s="13" t="n"/>
      <c r="F56" s="13" t="n"/>
      <c r="G56" s="15" t="n">
        <v>12</v>
      </c>
      <c r="H56" s="15" t="n">
        <v>12</v>
      </c>
      <c r="I56" s="13" t="n"/>
      <c r="J56" s="16">
        <f>IF(COUNT(E56:I56)=0,"",MIN(E56:I56))</f>
        <v/>
      </c>
      <c r="K56" s="15">
        <f>IF(COUNT(E56:I56)=0,"",LOOKUP(2,1/(E56:I56&lt;&gt;""),E56:I56))</f>
        <v/>
      </c>
      <c r="L56" s="17">
        <f>IF(J56="","",ROUND(J56*RESUMEN!$B$4,0))</f>
        <v/>
      </c>
      <c r="M56" s="18">
        <f>COUNT(E56:I56)</f>
        <v/>
      </c>
    </row>
    <row r="57">
      <c r="A57" s="13" t="inlineStr">
        <is>
          <t>10132411463245</t>
        </is>
      </c>
      <c r="B57" s="13" t="inlineStr">
        <is>
          <t>GORRO F LOGOS</t>
        </is>
      </c>
      <c r="C57" s="13" t="inlineStr">
        <is>
          <t>Default Title</t>
        </is>
      </c>
      <c r="D57" s="14" t="inlineStr"/>
      <c r="E57" s="13" t="n"/>
      <c r="F57" s="13" t="n"/>
      <c r="G57" s="13" t="n"/>
      <c r="H57" s="13" t="n"/>
      <c r="I57" s="15" t="n">
        <v>10</v>
      </c>
      <c r="J57" s="16">
        <f>IF(COUNT(E57:I57)=0,"",MIN(E57:I57))</f>
        <v/>
      </c>
      <c r="K57" s="15">
        <f>IF(COUNT(E57:I57)=0,"",LOOKUP(2,1/(E57:I57&lt;&gt;""),E57:I57))</f>
        <v/>
      </c>
      <c r="L57" s="17">
        <f>IF(J57="","",ROUND(J57*RESUMEN!$B$4,0))</f>
        <v/>
      </c>
      <c r="M57" s="18">
        <f>COUNT(E57:I57)</f>
        <v/>
      </c>
    </row>
    <row r="58">
      <c r="A58" s="13" t="inlineStr">
        <is>
          <t>648cc600a2ec5</t>
        </is>
      </c>
      <c r="B58" s="13" t="inlineStr">
        <is>
          <t>GORRO PR BLACK</t>
        </is>
      </c>
      <c r="C58" s="13" t="inlineStr">
        <is>
          <t>M</t>
        </is>
      </c>
      <c r="D58" s="14" t="inlineStr"/>
      <c r="E58" s="13" t="n"/>
      <c r="F58" s="13" t="n"/>
      <c r="G58" s="13" t="n"/>
      <c r="H58" s="13" t="n"/>
      <c r="I58" s="15" t="n">
        <v>11</v>
      </c>
      <c r="J58" s="16">
        <f>IF(COUNT(E58:I58)=0,"",MIN(E58:I58))</f>
        <v/>
      </c>
      <c r="K58" s="15">
        <f>IF(COUNT(E58:I58)=0,"",LOOKUP(2,1/(E58:I58&lt;&gt;""),E58:I58))</f>
        <v/>
      </c>
      <c r="L58" s="17">
        <f>IF(J58="","",ROUND(J58*RESUMEN!$B$4,0))</f>
        <v/>
      </c>
      <c r="M58" s="18">
        <f>COUNT(E58:I58)</f>
        <v/>
      </c>
    </row>
    <row r="59">
      <c r="A59" s="13" t="inlineStr">
        <is>
          <t>64e78f9c9c153</t>
        </is>
      </c>
      <c r="B59" s="13" t="inlineStr">
        <is>
          <t>GORRO PR MEZCLILLA BLACK</t>
        </is>
      </c>
      <c r="C59" s="13" t="inlineStr">
        <is>
          <t>S</t>
        </is>
      </c>
      <c r="D59" s="14" t="inlineStr"/>
      <c r="E59" s="13" t="n"/>
      <c r="F59" s="13" t="n"/>
      <c r="G59" s="13" t="n"/>
      <c r="H59" s="13" t="n"/>
      <c r="I59" s="15" t="n">
        <v>11</v>
      </c>
      <c r="J59" s="16">
        <f>IF(COUNT(E59:I59)=0,"",MIN(E59:I59))</f>
        <v/>
      </c>
      <c r="K59" s="15">
        <f>IF(COUNT(E59:I59)=0,"",LOOKUP(2,1/(E59:I59&lt;&gt;""),E59:I59))</f>
        <v/>
      </c>
      <c r="L59" s="17">
        <f>IF(J59="","",ROUND(J59*RESUMEN!$B$4,0))</f>
        <v/>
      </c>
      <c r="M59" s="18">
        <f>COUNT(E59:I59)</f>
        <v/>
      </c>
    </row>
    <row r="60">
      <c r="A60" s="13" t="inlineStr">
        <is>
          <t>95383471436684</t>
        </is>
      </c>
      <c r="B60" s="13" t="inlineStr">
        <is>
          <t>HOODIE C BLACK</t>
        </is>
      </c>
      <c r="C60" s="13" t="inlineStr">
        <is>
          <t>L</t>
        </is>
      </c>
      <c r="D60" s="14" t="inlineStr">
        <is>
          <t>Cotton</t>
        </is>
      </c>
      <c r="E60" s="13" t="n"/>
      <c r="F60" s="13" t="n"/>
      <c r="G60" s="15" t="n">
        <v>27</v>
      </c>
      <c r="H60" s="13" t="n"/>
      <c r="I60" s="13" t="n"/>
      <c r="J60" s="16">
        <f>IF(COUNT(E60:I60)=0,"",MIN(E60:I60))</f>
        <v/>
      </c>
      <c r="K60" s="15">
        <f>IF(COUNT(E60:I60)=0,"",LOOKUP(2,1/(E60:I60&lt;&gt;""),E60:I60))</f>
        <v/>
      </c>
      <c r="L60" s="17">
        <f>IF(J60="","",ROUND(J60*RESUMEN!$B$4,0))</f>
        <v/>
      </c>
      <c r="M60" s="18">
        <f>COUNT(E60:I60)</f>
        <v/>
      </c>
    </row>
    <row r="61">
      <c r="A61" s="13" t="inlineStr">
        <is>
          <t>42265107366028</t>
        </is>
      </c>
      <c r="B61" s="13" t="inlineStr">
        <is>
          <t>HOODIE C BLACK</t>
        </is>
      </c>
      <c r="C61" s="13" t="inlineStr">
        <is>
          <t>M</t>
        </is>
      </c>
      <c r="D61" s="14" t="inlineStr">
        <is>
          <t>Cotton</t>
        </is>
      </c>
      <c r="E61" s="13" t="n"/>
      <c r="F61" s="13" t="n"/>
      <c r="G61" s="15" t="n">
        <v>27</v>
      </c>
      <c r="H61" s="13" t="n"/>
      <c r="I61" s="13" t="n"/>
      <c r="J61" s="16">
        <f>IF(COUNT(E61:I61)=0,"",MIN(E61:I61))</f>
        <v/>
      </c>
      <c r="K61" s="15">
        <f>IF(COUNT(E61:I61)=0,"",LOOKUP(2,1/(E61:I61&lt;&gt;""),E61:I61))</f>
        <v/>
      </c>
      <c r="L61" s="17">
        <f>IF(J61="","",ROUND(J61*RESUMEN!$B$4,0))</f>
        <v/>
      </c>
      <c r="M61" s="18">
        <f>COUNT(E61:I61)</f>
        <v/>
      </c>
    </row>
    <row r="62">
      <c r="A62" s="13" t="inlineStr">
        <is>
          <t>679be962d942d</t>
        </is>
      </c>
      <c r="B62" s="13" t="inlineStr">
        <is>
          <t>HOODIE C WHITE</t>
        </is>
      </c>
      <c r="C62" s="13" t="inlineStr">
        <is>
          <t>L</t>
        </is>
      </c>
      <c r="D62" s="14" t="inlineStr"/>
      <c r="E62" s="13" t="n"/>
      <c r="F62" s="13" t="n"/>
      <c r="G62" s="13" t="n"/>
      <c r="H62" s="13" t="n"/>
      <c r="I62" s="15" t="n">
        <v>27</v>
      </c>
      <c r="J62" s="16">
        <f>IF(COUNT(E62:I62)=0,"",MIN(E62:I62))</f>
        <v/>
      </c>
      <c r="K62" s="15">
        <f>IF(COUNT(E62:I62)=0,"",LOOKUP(2,1/(E62:I62&lt;&gt;""),E62:I62))</f>
        <v/>
      </c>
      <c r="L62" s="17">
        <f>IF(J62="","",ROUND(J62*RESUMEN!$B$4,0))</f>
        <v/>
      </c>
      <c r="M62" s="18">
        <f>COUNT(E62:I62)</f>
        <v/>
      </c>
    </row>
    <row r="63">
      <c r="A63" s="13" t="inlineStr">
        <is>
          <t>42556129345676</t>
        </is>
      </c>
      <c r="B63" s="13" t="inlineStr">
        <is>
          <t>HOODIE C WHITE</t>
        </is>
      </c>
      <c r="C63" s="13" t="inlineStr">
        <is>
          <t>M</t>
        </is>
      </c>
      <c r="D63" s="14" t="inlineStr">
        <is>
          <t>Cotton</t>
        </is>
      </c>
      <c r="E63" s="13" t="n"/>
      <c r="F63" s="13" t="n"/>
      <c r="G63" s="15" t="n">
        <v>27</v>
      </c>
      <c r="H63" s="13" t="n"/>
      <c r="I63" s="13" t="n"/>
      <c r="J63" s="16">
        <f>IF(COUNT(E63:I63)=0,"",MIN(E63:I63))</f>
        <v/>
      </c>
      <c r="K63" s="15">
        <f>IF(COUNT(E63:I63)=0,"",LOOKUP(2,1/(E63:I63&lt;&gt;""),E63:I63))</f>
        <v/>
      </c>
      <c r="L63" s="17">
        <f>IF(J63="","",ROUND(J63*RESUMEN!$B$4,0))</f>
        <v/>
      </c>
      <c r="M63" s="18">
        <f>COUNT(E63:I63)</f>
        <v/>
      </c>
    </row>
    <row r="64">
      <c r="A64" s="13" t="inlineStr">
        <is>
          <t>⚠️ 25</t>
        </is>
      </c>
      <c r="B64" s="13" t="inlineStr">
        <is>
          <t>KX331782 white-3 nude-2 black-5</t>
        </is>
      </c>
      <c r="C64" s="13" t="inlineStr"/>
      <c r="D64" s="14" t="inlineStr"/>
      <c r="E64" s="15" t="n">
        <v>46</v>
      </c>
      <c r="F64" s="13" t="n"/>
      <c r="G64" s="13" t="n"/>
      <c r="H64" s="13" t="n"/>
      <c r="I64" s="13" t="n"/>
      <c r="J64" s="16">
        <f>IF(COUNT(E64:I64)=0,"",MIN(E64:I64))</f>
        <v/>
      </c>
      <c r="K64" s="15">
        <f>IF(COUNT(E64:I64)=0,"",LOOKUP(2,1/(E64:I64&lt;&gt;""),E64:I64))</f>
        <v/>
      </c>
      <c r="L64" s="17">
        <f>IF(J64="","",ROUND(J64*RESUMEN!$B$4,0))</f>
        <v/>
      </c>
      <c r="M64" s="18">
        <f>COUNT(E64:I64)</f>
        <v/>
      </c>
    </row>
    <row r="65">
      <c r="A65" s="13" t="inlineStr">
        <is>
          <t>⚠️ 24</t>
        </is>
      </c>
      <c r="B65" s="13" t="inlineStr">
        <is>
          <t>M62650</t>
        </is>
      </c>
      <c r="C65" s="13" t="inlineStr"/>
      <c r="D65" s="14" t="inlineStr"/>
      <c r="E65" s="13" t="n"/>
      <c r="F65" s="15" t="n">
        <v>13</v>
      </c>
      <c r="G65" s="13" t="n"/>
      <c r="H65" s="13" t="n"/>
      <c r="I65" s="13" t="n"/>
      <c r="J65" s="16">
        <f>IF(COUNT(E65:I65)=0,"",MIN(E65:I65))</f>
        <v/>
      </c>
      <c r="K65" s="15">
        <f>IF(COUNT(E65:I65)=0,"",LOOKUP(2,1/(E65:I65&lt;&gt;""),E65:I65))</f>
        <v/>
      </c>
      <c r="L65" s="17">
        <f>IF(J65="","",ROUND(J65*RESUMEN!$B$4,0))</f>
        <v/>
      </c>
      <c r="M65" s="18">
        <f>COUNT(E65:I65)</f>
        <v/>
      </c>
    </row>
    <row r="66">
      <c r="A66" s="13" t="inlineStr">
        <is>
          <t>94956734303628</t>
        </is>
      </c>
      <c r="B66" s="13" t="inlineStr">
        <is>
          <t>MONEDERO LV</t>
        </is>
      </c>
      <c r="C66" s="13" t="inlineStr">
        <is>
          <t>15.5cm de largo x 11cm de alto</t>
        </is>
      </c>
      <c r="D66" s="14" t="inlineStr"/>
      <c r="E66" s="13" t="n"/>
      <c r="F66" s="13" t="n"/>
      <c r="G66" s="13" t="n"/>
      <c r="H66" s="15" t="n">
        <v>13</v>
      </c>
      <c r="I66" s="15" t="n">
        <v>13</v>
      </c>
      <c r="J66" s="16">
        <f>IF(COUNT(E66:I66)=0,"",MIN(E66:I66))</f>
        <v/>
      </c>
      <c r="K66" s="15">
        <f>IF(COUNT(E66:I66)=0,"",LOOKUP(2,1/(E66:I66&lt;&gt;""),E66:I66))</f>
        <v/>
      </c>
      <c r="L66" s="17">
        <f>IF(J66="","",ROUND(J66*RESUMEN!$B$4,0))</f>
        <v/>
      </c>
      <c r="M66" s="18">
        <f>COUNT(E66:I66)</f>
        <v/>
      </c>
    </row>
    <row r="67">
      <c r="A67" s="13" t="inlineStr">
        <is>
          <t>654bdadbcb222</t>
        </is>
      </c>
      <c r="B67" s="13" t="inlineStr">
        <is>
          <t>PULSERA CD DE TELA BABY PINK</t>
        </is>
      </c>
      <c r="C67" s="13" t="inlineStr">
        <is>
          <t>15cm con extensión de 5cm</t>
        </is>
      </c>
      <c r="D67" s="14" t="inlineStr"/>
      <c r="E67" s="13" t="n"/>
      <c r="F67" s="13" t="n"/>
      <c r="G67" s="13" t="n"/>
      <c r="H67" s="15" t="n">
        <v>4</v>
      </c>
      <c r="I67" s="15" t="n">
        <v>4</v>
      </c>
      <c r="J67" s="16">
        <f>IF(COUNT(E67:I67)=0,"",MIN(E67:I67))</f>
        <v/>
      </c>
      <c r="K67" s="15">
        <f>IF(COUNT(E67:I67)=0,"",LOOKUP(2,1/(E67:I67&lt;&gt;""),E67:I67))</f>
        <v/>
      </c>
      <c r="L67" s="17">
        <f>IF(J67="","",ROUND(J67*RESUMEN!$B$4,0))</f>
        <v/>
      </c>
      <c r="M67" s="18">
        <f>COUNT(E67:I67)</f>
        <v/>
      </c>
    </row>
    <row r="68">
      <c r="A68" s="13" t="inlineStr">
        <is>
          <t>648cc5c47664a</t>
        </is>
      </c>
      <c r="B68" s="13" t="inlineStr">
        <is>
          <t>PULSERA CD DE TELA BEIGE</t>
        </is>
      </c>
      <c r="C68" s="13" t="inlineStr">
        <is>
          <t>15cm con extensión de 5cm</t>
        </is>
      </c>
      <c r="D68" s="14" t="inlineStr"/>
      <c r="E68" s="13" t="n"/>
      <c r="F68" s="13" t="n"/>
      <c r="G68" s="13" t="n"/>
      <c r="H68" s="15" t="n">
        <v>4</v>
      </c>
      <c r="I68" s="15" t="n">
        <v>4</v>
      </c>
      <c r="J68" s="16">
        <f>IF(COUNT(E68:I68)=0,"",MIN(E68:I68))</f>
        <v/>
      </c>
      <c r="K68" s="15">
        <f>IF(COUNT(E68:I68)=0,"",LOOKUP(2,1/(E68:I68&lt;&gt;""),E68:I68))</f>
        <v/>
      </c>
      <c r="L68" s="17">
        <f>IF(J68="","",ROUND(J68*RESUMEN!$B$4,0))</f>
        <v/>
      </c>
      <c r="M68" s="18">
        <f>COUNT(E68:I68)</f>
        <v/>
      </c>
    </row>
    <row r="69">
      <c r="A69" s="13" t="inlineStr">
        <is>
          <t>648cc5c57f64d</t>
        </is>
      </c>
      <c r="B69" s="13" t="inlineStr">
        <is>
          <t>PULSERA CD DE TELA DARK BLUE</t>
        </is>
      </c>
      <c r="C69" s="13" t="inlineStr">
        <is>
          <t>15cm con extensión de 5cm</t>
        </is>
      </c>
      <c r="D69" s="14" t="inlineStr"/>
      <c r="E69" s="13" t="n"/>
      <c r="F69" s="13" t="n"/>
      <c r="G69" s="13" t="n"/>
      <c r="H69" s="15" t="n">
        <v>4</v>
      </c>
      <c r="I69" s="13" t="n"/>
      <c r="J69" s="16">
        <f>IF(COUNT(E69:I69)=0,"",MIN(E69:I69))</f>
        <v/>
      </c>
      <c r="K69" s="15">
        <f>IF(COUNT(E69:I69)=0,"",LOOKUP(2,1/(E69:I69&lt;&gt;""),E69:I69))</f>
        <v/>
      </c>
      <c r="L69" s="17">
        <f>IF(J69="","",ROUND(J69*RESUMEN!$B$4,0))</f>
        <v/>
      </c>
      <c r="M69" s="18">
        <f>COUNT(E69:I69)</f>
        <v/>
      </c>
    </row>
    <row r="70">
      <c r="A70" s="13" t="inlineStr">
        <is>
          <t>648cc5f7495e2</t>
        </is>
      </c>
      <c r="B70" s="13" t="inlineStr">
        <is>
          <t>PULSERA CD DE TELA PINK</t>
        </is>
      </c>
      <c r="C70" s="13" t="inlineStr">
        <is>
          <t>15cm con extensión de 5cm</t>
        </is>
      </c>
      <c r="D70" s="14" t="inlineStr"/>
      <c r="E70" s="13" t="n"/>
      <c r="F70" s="13" t="n"/>
      <c r="G70" s="13" t="n"/>
      <c r="H70" s="13" t="n"/>
      <c r="I70" s="15" t="n">
        <v>4</v>
      </c>
      <c r="J70" s="16">
        <f>IF(COUNT(E70:I70)=0,"",MIN(E70:I70))</f>
        <v/>
      </c>
      <c r="K70" s="15">
        <f>IF(COUNT(E70:I70)=0,"",LOOKUP(2,1/(E70:I70&lt;&gt;""),E70:I70))</f>
        <v/>
      </c>
      <c r="L70" s="17">
        <f>IF(J70="","",ROUND(J70*RESUMEN!$B$4,0))</f>
        <v/>
      </c>
      <c r="M70" s="18">
        <f>COUNT(E70:I70)</f>
        <v/>
      </c>
    </row>
    <row r="71">
      <c r="A71" s="13" t="inlineStr">
        <is>
          <t>10132411046285</t>
        </is>
      </c>
      <c r="B71" s="13" t="inlineStr">
        <is>
          <t>SANDALIAS CD DIORACT BLACK</t>
        </is>
      </c>
      <c r="C71" s="13" t="inlineStr">
        <is>
          <t>38/25mx</t>
        </is>
      </c>
      <c r="D71" s="14" t="inlineStr"/>
      <c r="E71" s="13" t="n"/>
      <c r="F71" s="13" t="n"/>
      <c r="G71" s="13" t="n"/>
      <c r="H71" s="13" t="n"/>
      <c r="I71" s="15" t="n">
        <v>35</v>
      </c>
      <c r="J71" s="16">
        <f>IF(COUNT(E71:I71)=0,"",MIN(E71:I71))</f>
        <v/>
      </c>
      <c r="K71" s="15">
        <f>IF(COUNT(E71:I71)=0,"",LOOKUP(2,1/(E71:I71&lt;&gt;""),E71:I71))</f>
        <v/>
      </c>
      <c r="L71" s="17">
        <f>IF(J71="","",ROUND(J71*RESUMEN!$B$4,0))</f>
        <v/>
      </c>
      <c r="M71" s="18">
        <f>COUNT(E71:I71)</f>
        <v/>
      </c>
    </row>
    <row r="72">
      <c r="A72" s="13" t="inlineStr">
        <is>
          <t>85367151541677</t>
        </is>
      </c>
      <c r="B72" s="13" t="inlineStr">
        <is>
          <t>TARJETERO C LOGO</t>
        </is>
      </c>
      <c r="C72" s="13" t="inlineStr">
        <is>
          <t>BLACK/GOLD</t>
        </is>
      </c>
      <c r="D72" s="14" t="inlineStr"/>
      <c r="E72" s="13" t="n"/>
      <c r="F72" s="13" t="n"/>
      <c r="G72" s="13" t="n"/>
      <c r="H72" s="15" t="n">
        <v>12</v>
      </c>
      <c r="I72" s="13" t="n"/>
      <c r="J72" s="16">
        <f>IF(COUNT(E72:I72)=0,"",MIN(E72:I72))</f>
        <v/>
      </c>
      <c r="K72" s="15">
        <f>IF(COUNT(E72:I72)=0,"",LOOKUP(2,1/(E72:I72&lt;&gt;""),E72:I72))</f>
        <v/>
      </c>
      <c r="L72" s="17">
        <f>IF(J72="","",ROUND(J72*RESUMEN!$B$4,0))</f>
        <v/>
      </c>
      <c r="M72" s="18">
        <f>COUNT(E72:I72)</f>
        <v/>
      </c>
    </row>
    <row r="73">
      <c r="A73" s="13" t="inlineStr">
        <is>
          <t>85367151913997</t>
        </is>
      </c>
      <c r="B73" s="13" t="inlineStr">
        <is>
          <t>TARJETERO CC JOLIE BLACK</t>
        </is>
      </c>
      <c r="C73" s="13" t="inlineStr">
        <is>
          <t>BLACK/GOLD</t>
        </is>
      </c>
      <c r="D73" s="14" t="inlineStr"/>
      <c r="E73" s="13" t="n"/>
      <c r="F73" s="13" t="n"/>
      <c r="G73" s="13" t="n"/>
      <c r="H73" s="15" t="n">
        <v>15</v>
      </c>
      <c r="I73" s="13" t="n"/>
      <c r="J73" s="16">
        <f>IF(COUNT(E73:I73)=0,"",MIN(E73:I73))</f>
        <v/>
      </c>
      <c r="K73" s="15">
        <f>IF(COUNT(E73:I73)=0,"",LOOKUP(2,1/(E73:I73&lt;&gt;""),E73:I73))</f>
        <v/>
      </c>
      <c r="L73" s="17">
        <f>IF(J73="","",ROUND(J73*RESUMEN!$B$4,0))</f>
        <v/>
      </c>
      <c r="M73" s="18">
        <f>COUNT(E73:I73)</f>
        <v/>
      </c>
    </row>
    <row r="74">
      <c r="A74" s="13" t="inlineStr">
        <is>
          <t>665bd49b4a58a</t>
        </is>
      </c>
      <c r="B74" s="13" t="inlineStr">
        <is>
          <t>TARJETERO LV BLUE</t>
        </is>
      </c>
      <c r="C74" s="13" t="inlineStr">
        <is>
          <t>8cm x 11cm</t>
        </is>
      </c>
      <c r="D74" s="14" t="inlineStr">
        <is>
          <t>Micro fiber leat</t>
        </is>
      </c>
      <c r="E74" s="13" t="n"/>
      <c r="F74" s="13" t="n"/>
      <c r="G74" s="15" t="n">
        <v>17</v>
      </c>
      <c r="H74" s="13" t="n"/>
      <c r="I74" s="13" t="n"/>
      <c r="J74" s="16">
        <f>IF(COUNT(E74:I74)=0,"",MIN(E74:I74))</f>
        <v/>
      </c>
      <c r="K74" s="15">
        <f>IF(COUNT(E74:I74)=0,"",LOOKUP(2,1/(E74:I74&lt;&gt;""),E74:I74))</f>
        <v/>
      </c>
      <c r="L74" s="17">
        <f>IF(J74="","",ROUND(J74*RESUMEN!$B$4,0))</f>
        <v/>
      </c>
      <c r="M74" s="18">
        <f>COUNT(E74:I74)</f>
        <v/>
      </c>
    </row>
    <row r="75">
      <c r="A75" s="13" t="inlineStr">
        <is>
          <t>665bd4a0c3b63</t>
        </is>
      </c>
      <c r="B75" s="13" t="inlineStr">
        <is>
          <t>TARJETERO LV BROWN</t>
        </is>
      </c>
      <c r="C75" s="13" t="inlineStr">
        <is>
          <t>8cm x 11cm</t>
        </is>
      </c>
      <c r="D75" s="14" t="inlineStr">
        <is>
          <t>Micro fiber leat</t>
        </is>
      </c>
      <c r="E75" s="13" t="n"/>
      <c r="F75" s="13" t="n"/>
      <c r="G75" s="15" t="n">
        <v>17</v>
      </c>
      <c r="H75" s="13" t="n"/>
      <c r="I75" s="13" t="n"/>
      <c r="J75" s="16">
        <f>IF(COUNT(E75:I75)=0,"",MIN(E75:I75))</f>
        <v/>
      </c>
      <c r="K75" s="15">
        <f>IF(COUNT(E75:I75)=0,"",LOOKUP(2,1/(E75:I75&lt;&gt;""),E75:I75))</f>
        <v/>
      </c>
      <c r="L75" s="17">
        <f>IF(J75="","",ROUND(J75*RESUMEN!$B$4,0))</f>
        <v/>
      </c>
      <c r="M75" s="18">
        <f>COUNT(E75:I75)</f>
        <v/>
      </c>
    </row>
    <row r="76">
      <c r="A76" s="13" t="inlineStr">
        <is>
          <t>71326661043149</t>
        </is>
      </c>
      <c r="B76" s="13" t="inlineStr">
        <is>
          <t>TRAJE DE BAÑO COMPLETO F LOGOS</t>
        </is>
      </c>
      <c r="C76" s="13" t="inlineStr">
        <is>
          <t>BROWN-M</t>
        </is>
      </c>
      <c r="D76" s="14" t="inlineStr"/>
      <c r="E76" s="13" t="n"/>
      <c r="F76" s="13" t="n"/>
      <c r="G76" s="13" t="n"/>
      <c r="H76" s="15" t="n">
        <v>22</v>
      </c>
      <c r="I76" s="13" t="n"/>
      <c r="J76" s="16">
        <f>IF(COUNT(E76:I76)=0,"",MIN(E76:I76))</f>
        <v/>
      </c>
      <c r="K76" s="15">
        <f>IF(COUNT(E76:I76)=0,"",LOOKUP(2,1/(E76:I76&lt;&gt;""),E76:I76))</f>
        <v/>
      </c>
      <c r="L76" s="17">
        <f>IF(J76="","",ROUND(J76*RESUMEN!$B$4,0))</f>
        <v/>
      </c>
      <c r="M76" s="18">
        <f>COUNT(E76:I76)</f>
        <v/>
      </c>
    </row>
    <row r="77">
      <c r="A77" s="13" t="inlineStr">
        <is>
          <t>70937181082701</t>
        </is>
      </c>
      <c r="B77" s="13" t="inlineStr">
        <is>
          <t>TRAJE DE BAÑO GC ASIMETRICO</t>
        </is>
      </c>
      <c r="C77" s="13" t="inlineStr">
        <is>
          <t>BROWN-M</t>
        </is>
      </c>
      <c r="D77" s="14" t="inlineStr"/>
      <c r="E77" s="13" t="n"/>
      <c r="F77" s="13" t="n"/>
      <c r="G77" s="13" t="n"/>
      <c r="H77" s="15" t="n">
        <v>17.5</v>
      </c>
      <c r="I77" s="13" t="n"/>
      <c r="J77" s="16">
        <f>IF(COUNT(E77:I77)=0,"",MIN(E77:I77))</f>
        <v/>
      </c>
      <c r="K77" s="15">
        <f>IF(COUNT(E77:I77)=0,"",LOOKUP(2,1/(E77:I77&lt;&gt;""),E77:I77))</f>
        <v/>
      </c>
      <c r="L77" s="17">
        <f>IF(J77="","",ROUND(J77*RESUMEN!$B$4,0))</f>
        <v/>
      </c>
      <c r="M77" s="18">
        <f>COUNT(E77:I77)</f>
        <v/>
      </c>
    </row>
    <row r="78">
      <c r="A78" s="13" t="inlineStr">
        <is>
          <t>⚠️ 26</t>
        </is>
      </c>
      <c r="B78" s="13" t="inlineStr">
        <is>
          <t>WL超纤657228 black-3 white-3 khaki-2</t>
        </is>
      </c>
      <c r="C78" s="13" t="inlineStr"/>
      <c r="D78" s="14" t="inlineStr"/>
      <c r="E78" s="15" t="n">
        <v>46</v>
      </c>
      <c r="F78" s="13" t="n"/>
      <c r="G78" s="13" t="n"/>
      <c r="H78" s="13" t="n"/>
      <c r="I78" s="13" t="n"/>
      <c r="J78" s="16">
        <f>IF(COUNT(E78:I78)=0,"",MIN(E78:I78))</f>
        <v/>
      </c>
      <c r="K78" s="15">
        <f>IF(COUNT(E78:I78)=0,"",LOOKUP(2,1/(E78:I78&lt;&gt;""),E78:I78))</f>
        <v/>
      </c>
      <c r="L78" s="17">
        <f>IF(J78="","",ROUND(J78*RESUMEN!$B$4,0))</f>
        <v/>
      </c>
      <c r="M78" s="18">
        <f>COUNT(E78:I78)</f>
        <v/>
      </c>
    </row>
    <row r="79">
      <c r="A79" s="13" t="inlineStr">
        <is>
          <t>⚠️ 13</t>
        </is>
      </c>
      <c r="B79" s="13" t="inlineStr">
        <is>
          <t>black</t>
        </is>
      </c>
      <c r="C79" s="13" t="inlineStr"/>
      <c r="D79" s="14" t="inlineStr"/>
      <c r="E79" s="15" t="n">
        <v>43</v>
      </c>
      <c r="F79" s="13" t="n"/>
      <c r="G79" s="13" t="n"/>
      <c r="H79" s="13" t="n"/>
      <c r="I79" s="13" t="n"/>
      <c r="J79" s="16">
        <f>IF(COUNT(E79:I79)=0,"",MIN(E79:I79))</f>
        <v/>
      </c>
      <c r="K79" s="15">
        <f>IF(COUNT(E79:I79)=0,"",LOOKUP(2,1/(E79:I79&lt;&gt;""),E79:I79))</f>
        <v/>
      </c>
      <c r="L79" s="17">
        <f>IF(J79="","",ROUND(J79*RESUMEN!$B$4,0))</f>
        <v/>
      </c>
      <c r="M79" s="18">
        <f>COUNT(E79:I79)</f>
        <v/>
      </c>
    </row>
    <row r="80">
      <c r="A80" s="13" t="inlineStr">
        <is>
          <t>⚠️ 16</t>
        </is>
      </c>
      <c r="B80" s="13" t="inlineStr">
        <is>
          <t>black</t>
        </is>
      </c>
      <c r="C80" s="13" t="inlineStr"/>
      <c r="D80" s="14" t="inlineStr"/>
      <c r="E80" s="15" t="n">
        <v>21</v>
      </c>
      <c r="F80" s="13" t="n"/>
      <c r="G80" s="13" t="n"/>
      <c r="H80" s="13" t="n"/>
      <c r="I80" s="13" t="n"/>
      <c r="J80" s="16">
        <f>IF(COUNT(E80:I80)=0,"",MIN(E80:I80))</f>
        <v/>
      </c>
      <c r="K80" s="15">
        <f>IF(COUNT(E80:I80)=0,"",LOOKUP(2,1/(E80:I80&lt;&gt;""),E80:I80))</f>
        <v/>
      </c>
      <c r="L80" s="17">
        <f>IF(J80="","",ROUND(J80*RESUMEN!$B$4,0))</f>
        <v/>
      </c>
      <c r="M80" s="18">
        <f>COUNT(E80:I80)</f>
        <v/>
      </c>
    </row>
    <row r="81">
      <c r="A81" s="13" t="inlineStr">
        <is>
          <t>⚠️ 20</t>
        </is>
      </c>
      <c r="B81" s="13" t="inlineStr">
        <is>
          <t>black- 10 beige-6</t>
        </is>
      </c>
      <c r="C81" s="13" t="inlineStr"/>
      <c r="D81" s="14" t="inlineStr"/>
      <c r="E81" s="15" t="n">
        <v>9</v>
      </c>
      <c r="F81" s="13" t="n"/>
      <c r="G81" s="13" t="n"/>
      <c r="H81" s="13" t="n"/>
      <c r="I81" s="13" t="n"/>
      <c r="J81" s="16">
        <f>IF(COUNT(E81:I81)=0,"",MIN(E81:I81))</f>
        <v/>
      </c>
      <c r="K81" s="15">
        <f>IF(COUNT(E81:I81)=0,"",LOOKUP(2,1/(E81:I81&lt;&gt;""),E81:I81))</f>
        <v/>
      </c>
      <c r="L81" s="17">
        <f>IF(J81="","",ROUND(J81*RESUMEN!$B$4,0))</f>
        <v/>
      </c>
      <c r="M81" s="18">
        <f>COUNT(E81:I81)</f>
        <v/>
      </c>
    </row>
    <row r="82">
      <c r="A82" s="13" t="inlineStr">
        <is>
          <t>⚠️ 19</t>
        </is>
      </c>
      <c r="B82" s="13" t="inlineStr">
        <is>
          <t>black-10 white-5</t>
        </is>
      </c>
      <c r="C82" s="13" t="inlineStr"/>
      <c r="D82" s="14" t="inlineStr"/>
      <c r="E82" s="15" t="n">
        <v>11</v>
      </c>
      <c r="F82" s="13" t="n"/>
      <c r="G82" s="13" t="n"/>
      <c r="H82" s="13" t="n"/>
      <c r="I82" s="13" t="n"/>
      <c r="J82" s="16">
        <f>IF(COUNT(E82:I82)=0,"",MIN(E82:I82))</f>
        <v/>
      </c>
      <c r="K82" s="15">
        <f>IF(COUNT(E82:I82)=0,"",LOOKUP(2,1/(E82:I82&lt;&gt;""),E82:I82))</f>
        <v/>
      </c>
      <c r="L82" s="17">
        <f>IF(J82="","",ROUND(J82*RESUMEN!$B$4,0))</f>
        <v/>
      </c>
      <c r="M82" s="18">
        <f>COUNT(E82:I82)</f>
        <v/>
      </c>
    </row>
    <row r="83">
      <c r="A83" s="13" t="inlineStr">
        <is>
          <t>⚠️ 11</t>
        </is>
      </c>
      <c r="B83" s="13" t="inlineStr">
        <is>
          <t>brown</t>
        </is>
      </c>
      <c r="C83" s="13" t="inlineStr"/>
      <c r="D83" s="14" t="inlineStr"/>
      <c r="E83" s="13" t="n"/>
      <c r="F83" s="15" t="n">
        <v>22</v>
      </c>
      <c r="G83" s="13" t="n"/>
      <c r="H83" s="13" t="n"/>
      <c r="I83" s="13" t="n"/>
      <c r="J83" s="16">
        <f>IF(COUNT(E83:I83)=0,"",MIN(E83:I83))</f>
        <v/>
      </c>
      <c r="K83" s="15">
        <f>IF(COUNT(E83:I83)=0,"",LOOKUP(2,1/(E83:I83&lt;&gt;""),E83:I83))</f>
        <v/>
      </c>
      <c r="L83" s="17">
        <f>IF(J83="","",ROUND(J83*RESUMEN!$B$4,0))</f>
        <v/>
      </c>
      <c r="M83" s="18">
        <f>COUNT(E83:I83)</f>
        <v/>
      </c>
    </row>
    <row r="84">
      <c r="A84" s="13" t="inlineStr">
        <is>
          <t>⚠️ 12</t>
        </is>
      </c>
      <c r="B84" s="13" t="inlineStr">
        <is>
          <t>brown</t>
        </is>
      </c>
      <c r="C84" s="13" t="inlineStr"/>
      <c r="D84" s="14" t="inlineStr"/>
      <c r="E84" s="13" t="n"/>
      <c r="F84" s="15" t="n">
        <v>39</v>
      </c>
      <c r="G84" s="13" t="n"/>
      <c r="H84" s="13" t="n"/>
      <c r="I84" s="13" t="n"/>
      <c r="J84" s="16">
        <f>IF(COUNT(E84:I84)=0,"",MIN(E84:I84))</f>
        <v/>
      </c>
      <c r="K84" s="15">
        <f>IF(COUNT(E84:I84)=0,"",LOOKUP(2,1/(E84:I84&lt;&gt;""),E84:I84))</f>
        <v/>
      </c>
      <c r="L84" s="17">
        <f>IF(J84="","",ROUND(J84*RESUMEN!$B$4,0))</f>
        <v/>
      </c>
      <c r="M84" s="18">
        <f>COUNT(E84:I84)</f>
        <v/>
      </c>
    </row>
    <row r="85">
      <c r="A85" s="13" t="inlineStr">
        <is>
          <t>⚠️ 15</t>
        </is>
      </c>
      <c r="B85" s="13" t="inlineStr">
        <is>
          <t>pink-3 black-5</t>
        </is>
      </c>
      <c r="C85" s="13" t="inlineStr"/>
      <c r="D85" s="14" t="inlineStr"/>
      <c r="E85" s="13" t="n"/>
      <c r="F85" s="15" t="n">
        <v>20</v>
      </c>
      <c r="G85" s="13" t="n"/>
      <c r="H85" s="13" t="n"/>
      <c r="I85" s="13" t="n"/>
      <c r="J85" s="16">
        <f>IF(COUNT(E85:I85)=0,"",MIN(E85:I85))</f>
        <v/>
      </c>
      <c r="K85" s="15">
        <f>IF(COUNT(E85:I85)=0,"",LOOKUP(2,1/(E85:I85&lt;&gt;""),E85:I85))</f>
        <v/>
      </c>
      <c r="L85" s="17">
        <f>IF(J85="","",ROUND(J85*RESUMEN!$B$4,0))</f>
        <v/>
      </c>
      <c r="M85" s="18">
        <f>COUNT(E85:I85)</f>
        <v/>
      </c>
    </row>
    <row r="86">
      <c r="A86" s="13" t="inlineStr">
        <is>
          <t>⚠️ 10</t>
        </is>
      </c>
      <c r="B86" s="13" t="inlineStr">
        <is>
          <t>silver</t>
        </is>
      </c>
      <c r="C86" s="13" t="inlineStr"/>
      <c r="D86" s="14" t="inlineStr"/>
      <c r="E86" s="13" t="n"/>
      <c r="F86" s="15" t="n">
        <v>2.79</v>
      </c>
      <c r="G86" s="13" t="n"/>
      <c r="H86" s="13" t="n"/>
      <c r="I86" s="13" t="n"/>
      <c r="J86" s="16">
        <f>IF(COUNT(E86:I86)=0,"",MIN(E86:I86))</f>
        <v/>
      </c>
      <c r="K86" s="15">
        <f>IF(COUNT(E86:I86)=0,"",LOOKUP(2,1/(E86:I86&lt;&gt;""),E86:I86))</f>
        <v/>
      </c>
      <c r="L86" s="17">
        <f>IF(J86="","",ROUND(J86*RESUMEN!$B$4,0))</f>
        <v/>
      </c>
      <c r="M86" s="18">
        <f>COUNT(E86:I86)</f>
        <v/>
      </c>
    </row>
    <row r="87">
      <c r="A87" s="13" t="inlineStr">
        <is>
          <t>⚠️ 18</t>
        </is>
      </c>
      <c r="B87" s="13" t="inlineStr">
        <is>
          <t>silver-10 gold-5</t>
        </is>
      </c>
      <c r="C87" s="13" t="inlineStr"/>
      <c r="D87" s="14" t="inlineStr"/>
      <c r="E87" s="13" t="n"/>
      <c r="F87" s="15" t="n">
        <v>12</v>
      </c>
      <c r="G87" s="13" t="n"/>
      <c r="H87" s="13" t="n"/>
      <c r="I87" s="13" t="n"/>
      <c r="J87" s="16">
        <f>IF(COUNT(E87:I87)=0,"",MIN(E87:I87))</f>
        <v/>
      </c>
      <c r="K87" s="15">
        <f>IF(COUNT(E87:I87)=0,"",LOOKUP(2,1/(E87:I87&lt;&gt;""),E87:I87))</f>
        <v/>
      </c>
      <c r="L87" s="17">
        <f>IF(J87="","",ROUND(J87*RESUMEN!$B$4,0))</f>
        <v/>
      </c>
      <c r="M87" s="18">
        <f>COUNT(E87:I87)</f>
        <v/>
      </c>
    </row>
    <row r="88">
      <c r="A88" s="13" t="inlineStr">
        <is>
          <t>⚠️ 22</t>
        </is>
      </c>
      <c r="B88" s="13" t="inlineStr">
        <is>
          <t>white M-6 L-3 black M-8 L-5</t>
        </is>
      </c>
      <c r="C88" s="13" t="inlineStr"/>
      <c r="D88" s="14" t="inlineStr"/>
      <c r="E88" s="15" t="n">
        <v>27</v>
      </c>
      <c r="F88" s="13" t="n"/>
      <c r="G88" s="13" t="n"/>
      <c r="H88" s="13" t="n"/>
      <c r="I88" s="13" t="n"/>
      <c r="J88" s="16">
        <f>IF(COUNT(E88:I88)=0,"",MIN(E88:I88))</f>
        <v/>
      </c>
      <c r="K88" s="15">
        <f>IF(COUNT(E88:I88)=0,"",LOOKUP(2,1/(E88:I88&lt;&gt;""),E88:I88))</f>
        <v/>
      </c>
      <c r="L88" s="17">
        <f>IF(J88="","",ROUND(J88*RESUMEN!$B$4,0))</f>
        <v/>
      </c>
      <c r="M88" s="18">
        <f>COUNT(E88:I88)</f>
        <v/>
      </c>
    </row>
    <row r="89">
      <c r="A89" s="13" t="inlineStr">
        <is>
          <t>⚠️ 14</t>
        </is>
      </c>
      <c r="B89" s="13" t="inlineStr">
        <is>
          <t>wine red</t>
        </is>
      </c>
      <c r="C89" s="13" t="inlineStr"/>
      <c r="D89" s="14" t="inlineStr"/>
      <c r="E89" s="15" t="n">
        <v>20</v>
      </c>
      <c r="F89" s="13" t="n"/>
      <c r="G89" s="13" t="n"/>
      <c r="H89" s="13" t="n"/>
      <c r="I89" s="13" t="n"/>
      <c r="J89" s="16">
        <f>IF(COUNT(E89:I89)=0,"",MIN(E89:I89))</f>
        <v/>
      </c>
      <c r="K89" s="15">
        <f>IF(COUNT(E89:I89)=0,"",LOOKUP(2,1/(E89:I89&lt;&gt;""),E89:I89))</f>
        <v/>
      </c>
      <c r="L89" s="17">
        <f>IF(J89="","",ROUND(J89*RESUMEN!$B$4,0))</f>
        <v/>
      </c>
      <c r="M89" s="18">
        <f>COUNT(E89:I89)</f>
        <v/>
      </c>
    </row>
  </sheetData>
  <autoFilter ref="A4:M8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0" t="inlineStr">
        <is>
          <t>HISTORIAL DE PRECIOS — COCOMA</t>
        </is>
      </c>
    </row>
    <row r="2">
      <c r="A2" s="11" t="inlineStr">
        <is>
          <t>2 orden(es) · costo unitario en USD · MXN = MEJOR × RESUMEN!B4 · * = dato del historial previo</t>
        </is>
      </c>
    </row>
    <row r="4">
      <c r="A4" s="12" t="inlineStr">
        <is>
          <t>SKU</t>
        </is>
      </c>
      <c r="B4" s="12" t="inlineStr">
        <is>
          <t>PRODUCTO</t>
        </is>
      </c>
      <c r="C4" s="12" t="inlineStr">
        <is>
          <t>VARIANTE</t>
        </is>
      </c>
      <c r="D4" s="12" t="inlineStr">
        <is>
          <t>MATERIAL</t>
        </is>
      </c>
      <c r="E4" s="12" t="inlineStr">
        <is>
          <t>May 2025
01/05</t>
        </is>
      </c>
      <c r="F4" s="12" t="inlineStr">
        <is>
          <t>Ene 2026
20/01</t>
        </is>
      </c>
      <c r="G4" s="12" t="inlineStr">
        <is>
          <t>MEJOR
(US)</t>
        </is>
      </c>
      <c r="H4" s="12" t="inlineStr">
        <is>
          <t>ÚLTIMA
(US)</t>
        </is>
      </c>
      <c r="I4" s="12" t="inlineStr">
        <is>
          <t>MXN
(mejor×TC)</t>
        </is>
      </c>
      <c r="J4" s="12" t="inlineStr">
        <is>
          <t># ÓRD.</t>
        </is>
      </c>
    </row>
    <row r="5">
      <c r="A5" s="13" t="inlineStr">
        <is>
          <t>654bd7ac2dee3</t>
        </is>
      </c>
      <c r="B5" s="13" t="inlineStr">
        <is>
          <t>ANILLO BV 3 OROS</t>
        </is>
      </c>
      <c r="C5" s="13" t="inlineStr">
        <is>
          <t>5</t>
        </is>
      </c>
      <c r="D5" s="14" t="inlineStr"/>
      <c r="E5" s="15" t="n">
        <v>4.08</v>
      </c>
      <c r="F5" s="15" t="n">
        <v>4.08</v>
      </c>
      <c r="G5" s="16">
        <f>IF(COUNT(E5:F5)=0,"",MIN(E5:F5))</f>
        <v/>
      </c>
      <c r="H5" s="15">
        <f>IF(COUNT(E5:F5)=0,"",LOOKUP(2,1/(E5:F5&lt;&gt;""),E5:F5))</f>
        <v/>
      </c>
      <c r="I5" s="17">
        <f>IF(G5="","",ROUND(G5*RESUMEN!$B$4,0))</f>
        <v/>
      </c>
      <c r="J5" s="18">
        <f>COUNT(E5:F5)</f>
        <v/>
      </c>
    </row>
    <row r="6">
      <c r="A6" s="13" t="inlineStr">
        <is>
          <t>64e78e797f140</t>
        </is>
      </c>
      <c r="B6" s="13" t="inlineStr">
        <is>
          <t>ANILLO BV 3 OROS</t>
        </is>
      </c>
      <c r="C6" s="13" t="inlineStr">
        <is>
          <t>6</t>
        </is>
      </c>
      <c r="D6" s="14" t="inlineStr"/>
      <c r="E6" s="15" t="n">
        <v>4.08</v>
      </c>
      <c r="F6" s="15" t="n">
        <v>4.08</v>
      </c>
      <c r="G6" s="16">
        <f>IF(COUNT(E6:F6)=0,"",MIN(E6:F6))</f>
        <v/>
      </c>
      <c r="H6" s="15">
        <f>IF(COUNT(E6:F6)=0,"",LOOKUP(2,1/(E6:F6&lt;&gt;""),E6:F6))</f>
        <v/>
      </c>
      <c r="I6" s="17">
        <f>IF(G6="","",ROUND(G6*RESUMEN!$B$4,0))</f>
        <v/>
      </c>
      <c r="J6" s="18">
        <f>COUNT(E6:F6)</f>
        <v/>
      </c>
    </row>
    <row r="7">
      <c r="A7" s="13" t="inlineStr">
        <is>
          <t>64e78e7a486d9</t>
        </is>
      </c>
      <c r="B7" s="13" t="inlineStr">
        <is>
          <t>ANILLO BV 3 OROS</t>
        </is>
      </c>
      <c r="C7" s="13" t="inlineStr">
        <is>
          <t>7</t>
        </is>
      </c>
      <c r="D7" s="14" t="inlineStr"/>
      <c r="E7" s="15" t="n">
        <v>4.08</v>
      </c>
      <c r="F7" s="15" t="n">
        <v>4.08</v>
      </c>
      <c r="G7" s="16">
        <f>IF(COUNT(E7:F7)=0,"",MIN(E7:F7))</f>
        <v/>
      </c>
      <c r="H7" s="15">
        <f>IF(COUNT(E7:F7)=0,"",LOOKUP(2,1/(E7:F7&lt;&gt;""),E7:F7))</f>
        <v/>
      </c>
      <c r="I7" s="17">
        <f>IF(G7="","",ROUND(G7*RESUMEN!$B$4,0))</f>
        <v/>
      </c>
      <c r="J7" s="18">
        <f>COUNT(E7:F7)</f>
        <v/>
      </c>
    </row>
    <row r="8">
      <c r="A8" s="13" t="inlineStr">
        <is>
          <t>64e78e7b03ab1</t>
        </is>
      </c>
      <c r="B8" s="13" t="inlineStr">
        <is>
          <t>ANILLO BV 3 OROS</t>
        </is>
      </c>
      <c r="C8" s="13" t="inlineStr">
        <is>
          <t>8</t>
        </is>
      </c>
      <c r="D8" s="14" t="inlineStr"/>
      <c r="E8" s="15" t="n">
        <v>4.08</v>
      </c>
      <c r="F8" s="15" t="n">
        <v>4.08</v>
      </c>
      <c r="G8" s="16">
        <f>IF(COUNT(E8:F8)=0,"",MIN(E8:F8))</f>
        <v/>
      </c>
      <c r="H8" s="15">
        <f>IF(COUNT(E8:F8)=0,"",LOOKUP(2,1/(E8:F8&lt;&gt;""),E8:F8))</f>
        <v/>
      </c>
      <c r="I8" s="17">
        <f>IF(G8="","",ROUND(G8*RESUMEN!$B$4,0))</f>
        <v/>
      </c>
      <c r="J8" s="18">
        <f>COUNT(E8:F8)</f>
        <v/>
      </c>
    </row>
    <row r="9">
      <c r="A9" s="13" t="inlineStr">
        <is>
          <t>64e78e7bb52a6</t>
        </is>
      </c>
      <c r="B9" s="13" t="inlineStr">
        <is>
          <t>ANILLO BV 3 OROS</t>
        </is>
      </c>
      <c r="C9" s="13" t="inlineStr">
        <is>
          <t>9</t>
        </is>
      </c>
      <c r="D9" s="14" t="inlineStr"/>
      <c r="E9" s="15" t="n">
        <v>4.08</v>
      </c>
      <c r="F9" s="15" t="n">
        <v>4.08</v>
      </c>
      <c r="G9" s="16">
        <f>IF(COUNT(E9:F9)=0,"",MIN(E9:F9))</f>
        <v/>
      </c>
      <c r="H9" s="15">
        <f>IF(COUNT(E9:F9)=0,"",LOOKUP(2,1/(E9:F9&lt;&gt;""),E9:F9))</f>
        <v/>
      </c>
      <c r="I9" s="17">
        <f>IF(G9="","",ROUND(G9*RESUMEN!$B$4,0))</f>
        <v/>
      </c>
      <c r="J9" s="18">
        <f>COUNT(E9:F9)</f>
        <v/>
      </c>
    </row>
    <row r="10">
      <c r="A10" s="13" t="inlineStr">
        <is>
          <t>2653039501964</t>
        </is>
      </c>
      <c r="B10" s="13" t="inlineStr">
        <is>
          <t>ANILLO BV GOLD</t>
        </is>
      </c>
      <c r="C10" s="13" t="inlineStr">
        <is>
          <t>10</t>
        </is>
      </c>
      <c r="D10" s="14" t="inlineStr"/>
      <c r="E10" s="15" t="n">
        <v>4.06</v>
      </c>
      <c r="F10" s="15" t="n">
        <v>4.3</v>
      </c>
      <c r="G10" s="16">
        <f>IF(COUNT(E10:F10)=0,"",MIN(E10:F10))</f>
        <v/>
      </c>
      <c r="H10" s="15">
        <f>IF(COUNT(E10:F10)=0,"",LOOKUP(2,1/(E10:F10&lt;&gt;""),E10:F10))</f>
        <v/>
      </c>
      <c r="I10" s="17">
        <f>IF(G10="","",ROUND(G10*RESUMEN!$B$4,0))</f>
        <v/>
      </c>
      <c r="J10" s="18">
        <f>COUNT(E10:F10)</f>
        <v/>
      </c>
    </row>
    <row r="11">
      <c r="A11" s="13" t="inlineStr">
        <is>
          <t>2653039534732</t>
        </is>
      </c>
      <c r="B11" s="13" t="inlineStr">
        <is>
          <t>ANILLO BV GOLD</t>
        </is>
      </c>
      <c r="C11" s="13" t="inlineStr">
        <is>
          <t>11</t>
        </is>
      </c>
      <c r="D11" s="14" t="inlineStr"/>
      <c r="E11" s="13" t="n"/>
      <c r="F11" s="15" t="n">
        <v>4.3</v>
      </c>
      <c r="G11" s="16">
        <f>IF(COUNT(E11:F11)=0,"",MIN(E11:F11))</f>
        <v/>
      </c>
      <c r="H11" s="15">
        <f>IF(COUNT(E11:F11)=0,"",LOOKUP(2,1/(E11:F11&lt;&gt;""),E11:F11))</f>
        <v/>
      </c>
      <c r="I11" s="17">
        <f>IF(G11="","",ROUND(G11*RESUMEN!$B$4,0))</f>
        <v/>
      </c>
      <c r="J11" s="18">
        <f>COUNT(E11:F11)</f>
        <v/>
      </c>
    </row>
    <row r="12">
      <c r="A12" s="13" t="inlineStr">
        <is>
          <t>2653039567500</t>
        </is>
      </c>
      <c r="B12" s="13" t="inlineStr">
        <is>
          <t>ANILLO BV GOLD</t>
        </is>
      </c>
      <c r="C12" s="13" t="inlineStr">
        <is>
          <t>12</t>
        </is>
      </c>
      <c r="D12" s="14" t="inlineStr"/>
      <c r="E12" s="13" t="n"/>
      <c r="F12" s="15" t="n">
        <v>4.3</v>
      </c>
      <c r="G12" s="16">
        <f>IF(COUNT(E12:F12)=0,"",MIN(E12:F12))</f>
        <v/>
      </c>
      <c r="H12" s="15">
        <f>IF(COUNT(E12:F12)=0,"",LOOKUP(2,1/(E12:F12&lt;&gt;""),E12:F12))</f>
        <v/>
      </c>
      <c r="I12" s="17">
        <f>IF(G12="","",ROUND(G12*RESUMEN!$B$4,0))</f>
        <v/>
      </c>
      <c r="J12" s="18">
        <f>COUNT(E12:F12)</f>
        <v/>
      </c>
    </row>
    <row r="13">
      <c r="A13" s="13" t="inlineStr">
        <is>
          <t>2653039338124</t>
        </is>
      </c>
      <c r="B13" s="13" t="inlineStr">
        <is>
          <t>ANILLO BV GOLD</t>
        </is>
      </c>
      <c r="C13" s="13" t="inlineStr">
        <is>
          <t>5</t>
        </is>
      </c>
      <c r="D13" s="14" t="inlineStr"/>
      <c r="E13" s="13" t="n"/>
      <c r="F13" s="15" t="n">
        <v>4.3</v>
      </c>
      <c r="G13" s="16">
        <f>IF(COUNT(E13:F13)=0,"",MIN(E13:F13))</f>
        <v/>
      </c>
      <c r="H13" s="15">
        <f>IF(COUNT(E13:F13)=0,"",LOOKUP(2,1/(E13:F13&lt;&gt;""),E13:F13))</f>
        <v/>
      </c>
      <c r="I13" s="17">
        <f>IF(G13="","",ROUND(G13*RESUMEN!$B$4,0))</f>
        <v/>
      </c>
      <c r="J13" s="18">
        <f>COUNT(E13:F13)</f>
        <v/>
      </c>
    </row>
    <row r="14">
      <c r="A14" s="13" t="inlineStr">
        <is>
          <t>2653039370892</t>
        </is>
      </c>
      <c r="B14" s="13" t="inlineStr">
        <is>
          <t>ANILLO BV GOLD</t>
        </is>
      </c>
      <c r="C14" s="13" t="inlineStr">
        <is>
          <t>6</t>
        </is>
      </c>
      <c r="D14" s="14" t="inlineStr"/>
      <c r="E14" s="15" t="n">
        <v>4.06</v>
      </c>
      <c r="F14" s="15" t="n">
        <v>4.3</v>
      </c>
      <c r="G14" s="16">
        <f>IF(COUNT(E14:F14)=0,"",MIN(E14:F14))</f>
        <v/>
      </c>
      <c r="H14" s="15">
        <f>IF(COUNT(E14:F14)=0,"",LOOKUP(2,1/(E14:F14&lt;&gt;""),E14:F14))</f>
        <v/>
      </c>
      <c r="I14" s="17">
        <f>IF(G14="","",ROUND(G14*RESUMEN!$B$4,0))</f>
        <v/>
      </c>
      <c r="J14" s="18">
        <f>COUNT(E14:F14)</f>
        <v/>
      </c>
    </row>
    <row r="15">
      <c r="A15" s="13" t="inlineStr">
        <is>
          <t>2653039403660</t>
        </is>
      </c>
      <c r="B15" s="13" t="inlineStr">
        <is>
          <t>ANILLO BV GOLD</t>
        </is>
      </c>
      <c r="C15" s="13" t="inlineStr">
        <is>
          <t>7</t>
        </is>
      </c>
      <c r="D15" s="14" t="inlineStr"/>
      <c r="E15" s="15" t="n">
        <v>4.06</v>
      </c>
      <c r="F15" s="15" t="n">
        <v>4.3</v>
      </c>
      <c r="G15" s="16">
        <f>IF(COUNT(E15:F15)=0,"",MIN(E15:F15))</f>
        <v/>
      </c>
      <c r="H15" s="15">
        <f>IF(COUNT(E15:F15)=0,"",LOOKUP(2,1/(E15:F15&lt;&gt;""),E15:F15))</f>
        <v/>
      </c>
      <c r="I15" s="17">
        <f>IF(G15="","",ROUND(G15*RESUMEN!$B$4,0))</f>
        <v/>
      </c>
      <c r="J15" s="18">
        <f>COUNT(E15:F15)</f>
        <v/>
      </c>
    </row>
    <row r="16">
      <c r="A16" s="13" t="inlineStr">
        <is>
          <t>2653039436428</t>
        </is>
      </c>
      <c r="B16" s="13" t="inlineStr">
        <is>
          <t>ANILLO BV GOLD</t>
        </is>
      </c>
      <c r="C16" s="13" t="inlineStr">
        <is>
          <t>8</t>
        </is>
      </c>
      <c r="D16" s="14" t="inlineStr"/>
      <c r="E16" s="15" t="n">
        <v>4.06</v>
      </c>
      <c r="F16" s="15" t="n">
        <v>4.3</v>
      </c>
      <c r="G16" s="16">
        <f>IF(COUNT(E16:F16)=0,"",MIN(E16:F16))</f>
        <v/>
      </c>
      <c r="H16" s="15">
        <f>IF(COUNT(E16:F16)=0,"",LOOKUP(2,1/(E16:F16&lt;&gt;""),E16:F16))</f>
        <v/>
      </c>
      <c r="I16" s="17">
        <f>IF(G16="","",ROUND(G16*RESUMEN!$B$4,0))</f>
        <v/>
      </c>
      <c r="J16" s="18">
        <f>COUNT(E16:F16)</f>
        <v/>
      </c>
    </row>
    <row r="17">
      <c r="A17" s="13" t="inlineStr">
        <is>
          <t>2653039469196</t>
        </is>
      </c>
      <c r="B17" s="13" t="inlineStr">
        <is>
          <t>ANILLO BV GOLD</t>
        </is>
      </c>
      <c r="C17" s="13" t="inlineStr">
        <is>
          <t>9</t>
        </is>
      </c>
      <c r="D17" s="14" t="inlineStr"/>
      <c r="E17" s="13" t="n"/>
      <c r="F17" s="15" t="n">
        <v>4.3</v>
      </c>
      <c r="G17" s="16">
        <f>IF(COUNT(E17:F17)=0,"",MIN(E17:F17))</f>
        <v/>
      </c>
      <c r="H17" s="15">
        <f>IF(COUNT(E17:F17)=0,"",LOOKUP(2,1/(E17:F17&lt;&gt;""),E17:F17))</f>
        <v/>
      </c>
      <c r="I17" s="17">
        <f>IF(G17="","",ROUND(G17*RESUMEN!$B$4,0))</f>
        <v/>
      </c>
      <c r="J17" s="18">
        <f>COUNT(E17:F17)</f>
        <v/>
      </c>
    </row>
    <row r="18">
      <c r="A18" s="13" t="inlineStr">
        <is>
          <t>63e0b1e6f022f</t>
        </is>
      </c>
      <c r="B18" s="13" t="inlineStr">
        <is>
          <t>ANILLO BV GOLD DELGADO</t>
        </is>
      </c>
      <c r="C18" s="13" t="inlineStr">
        <is>
          <t>10</t>
        </is>
      </c>
      <c r="D18" s="14" t="inlineStr"/>
      <c r="E18" s="13" t="n"/>
      <c r="F18" s="15" t="n">
        <v>7.89</v>
      </c>
      <c r="G18" s="16">
        <f>IF(COUNT(E18:F18)=0,"",MIN(E18:F18))</f>
        <v/>
      </c>
      <c r="H18" s="15">
        <f>IF(COUNT(E18:F18)=0,"",LOOKUP(2,1/(E18:F18&lt;&gt;""),E18:F18))</f>
        <v/>
      </c>
      <c r="I18" s="17">
        <f>IF(G18="","",ROUND(G18*RESUMEN!$B$4,0))</f>
        <v/>
      </c>
      <c r="J18" s="18">
        <f>COUNT(E18:F18)</f>
        <v/>
      </c>
    </row>
    <row r="19">
      <c r="A19" s="13" t="inlineStr">
        <is>
          <t>63e0b1e3636a9</t>
        </is>
      </c>
      <c r="B19" s="13" t="inlineStr">
        <is>
          <t>ANILLO BV GOLD DELGADO</t>
        </is>
      </c>
      <c r="C19" s="13" t="inlineStr">
        <is>
          <t>6</t>
        </is>
      </c>
      <c r="D19" s="14" t="inlineStr"/>
      <c r="E19" s="15" t="n">
        <v>7.89</v>
      </c>
      <c r="F19" s="13" t="n"/>
      <c r="G19" s="16">
        <f>IF(COUNT(E19:F19)=0,"",MIN(E19:F19))</f>
        <v/>
      </c>
      <c r="H19" s="15">
        <f>IF(COUNT(E19:F19)=0,"",LOOKUP(2,1/(E19:F19&lt;&gt;""),E19:F19))</f>
        <v/>
      </c>
      <c r="I19" s="17">
        <f>IF(G19="","",ROUND(G19*RESUMEN!$B$4,0))</f>
        <v/>
      </c>
      <c r="J19" s="18">
        <f>COUNT(E19:F19)</f>
        <v/>
      </c>
    </row>
    <row r="20">
      <c r="A20" s="13" t="inlineStr">
        <is>
          <t>63e0b1e45372f</t>
        </is>
      </c>
      <c r="B20" s="13" t="inlineStr">
        <is>
          <t>ANILLO BV GOLD DELGADO</t>
        </is>
      </c>
      <c r="C20" s="13" t="inlineStr">
        <is>
          <t>7 HIGH QUALITY</t>
        </is>
      </c>
      <c r="D20" s="14" t="inlineStr"/>
      <c r="E20" s="15" t="n">
        <v>7.89</v>
      </c>
      <c r="F20" s="15" t="n">
        <v>7.89</v>
      </c>
      <c r="G20" s="16">
        <f>IF(COUNT(E20:F20)=0,"",MIN(E20:F20))</f>
        <v/>
      </c>
      <c r="H20" s="15">
        <f>IF(COUNT(E20:F20)=0,"",LOOKUP(2,1/(E20:F20&lt;&gt;""),E20:F20))</f>
        <v/>
      </c>
      <c r="I20" s="17">
        <f>IF(G20="","",ROUND(G20*RESUMEN!$B$4,0))</f>
        <v/>
      </c>
      <c r="J20" s="18">
        <f>COUNT(E20:F20)</f>
        <v/>
      </c>
    </row>
    <row r="21">
      <c r="A21" s="13" t="inlineStr">
        <is>
          <t>63e0b1e52d057</t>
        </is>
      </c>
      <c r="B21" s="13" t="inlineStr">
        <is>
          <t>ANILLO BV GOLD DELGADO</t>
        </is>
      </c>
      <c r="C21" s="13" t="inlineStr">
        <is>
          <t>8 HIGH QUALITY</t>
        </is>
      </c>
      <c r="D21" s="14" t="inlineStr"/>
      <c r="E21" s="13" t="n"/>
      <c r="F21" s="15" t="n">
        <v>7.89</v>
      </c>
      <c r="G21" s="16">
        <f>IF(COUNT(E21:F21)=0,"",MIN(E21:F21))</f>
        <v/>
      </c>
      <c r="H21" s="15">
        <f>IF(COUNT(E21:F21)=0,"",LOOKUP(2,1/(E21:F21&lt;&gt;""),E21:F21))</f>
        <v/>
      </c>
      <c r="I21" s="17">
        <f>IF(G21="","",ROUND(G21*RESUMEN!$B$4,0))</f>
        <v/>
      </c>
      <c r="J21" s="18">
        <f>COUNT(E21:F21)</f>
        <v/>
      </c>
    </row>
    <row r="22">
      <c r="A22" s="13" t="inlineStr">
        <is>
          <t>63e0b1e70453e</t>
        </is>
      </c>
      <c r="B22" s="13" t="inlineStr">
        <is>
          <t>ANILLO BV ROSE GOLD</t>
        </is>
      </c>
      <c r="C22" s="13" t="inlineStr">
        <is>
          <t>10</t>
        </is>
      </c>
      <c r="D22" s="14" t="inlineStr"/>
      <c r="E22" s="13" t="n"/>
      <c r="F22" s="15" t="n">
        <v>4.3</v>
      </c>
      <c r="G22" s="16">
        <f>IF(COUNT(E22:F22)=0,"",MIN(E22:F22))</f>
        <v/>
      </c>
      <c r="H22" s="15">
        <f>IF(COUNT(E22:F22)=0,"",LOOKUP(2,1/(E22:F22&lt;&gt;""),E22:F22))</f>
        <v/>
      </c>
      <c r="I22" s="17">
        <f>IF(G22="","",ROUND(G22*RESUMEN!$B$4,0))</f>
        <v/>
      </c>
      <c r="J22" s="18">
        <f>COUNT(E22:F22)</f>
        <v/>
      </c>
    </row>
    <row r="23">
      <c r="A23" s="13" t="inlineStr">
        <is>
          <t>63e0b1e29450b</t>
        </is>
      </c>
      <c r="B23" s="13" t="inlineStr">
        <is>
          <t>ANILLO BV ROSE GOLD</t>
        </is>
      </c>
      <c r="C23" s="13" t="inlineStr">
        <is>
          <t>5</t>
        </is>
      </c>
      <c r="D23" s="14" t="inlineStr"/>
      <c r="E23" s="13" t="n"/>
      <c r="F23" s="15" t="n">
        <v>4.3</v>
      </c>
      <c r="G23" s="16">
        <f>IF(COUNT(E23:F23)=0,"",MIN(E23:F23))</f>
        <v/>
      </c>
      <c r="H23" s="15">
        <f>IF(COUNT(E23:F23)=0,"",LOOKUP(2,1/(E23:F23&lt;&gt;""),E23:F23))</f>
        <v/>
      </c>
      <c r="I23" s="17">
        <f>IF(G23="","",ROUND(G23*RESUMEN!$B$4,0))</f>
        <v/>
      </c>
      <c r="J23" s="18">
        <f>COUNT(E23:F23)</f>
        <v/>
      </c>
    </row>
    <row r="24">
      <c r="A24" s="13" t="inlineStr">
        <is>
          <t>63e0b1e36f7c6</t>
        </is>
      </c>
      <c r="B24" s="13" t="inlineStr">
        <is>
          <t>ANILLO BV ROSE GOLD</t>
        </is>
      </c>
      <c r="C24" s="13" t="inlineStr">
        <is>
          <t>6</t>
        </is>
      </c>
      <c r="D24" s="14" t="inlineStr"/>
      <c r="E24" s="13" t="n"/>
      <c r="F24" s="15" t="n">
        <v>4.3</v>
      </c>
      <c r="G24" s="16">
        <f>IF(COUNT(E24:F24)=0,"",MIN(E24:F24))</f>
        <v/>
      </c>
      <c r="H24" s="15">
        <f>IF(COUNT(E24:F24)=0,"",LOOKUP(2,1/(E24:F24&lt;&gt;""),E24:F24))</f>
        <v/>
      </c>
      <c r="I24" s="17">
        <f>IF(G24="","",ROUND(G24*RESUMEN!$B$4,0))</f>
        <v/>
      </c>
      <c r="J24" s="18">
        <f>COUNT(E24:F24)</f>
        <v/>
      </c>
    </row>
    <row r="25">
      <c r="A25" s="13" t="inlineStr">
        <is>
          <t>63e0b1e44c6d7</t>
        </is>
      </c>
      <c r="B25" s="13" t="inlineStr">
        <is>
          <t>ANILLO BV ROSE GOLD</t>
        </is>
      </c>
      <c r="C25" s="13" t="inlineStr">
        <is>
          <t>7</t>
        </is>
      </c>
      <c r="D25" s="14" t="inlineStr"/>
      <c r="E25" s="13" t="n"/>
      <c r="F25" s="15" t="n">
        <v>4.3</v>
      </c>
      <c r="G25" s="16">
        <f>IF(COUNT(E25:F25)=0,"",MIN(E25:F25))</f>
        <v/>
      </c>
      <c r="H25" s="15">
        <f>IF(COUNT(E25:F25)=0,"",LOOKUP(2,1/(E25:F25&lt;&gt;""),E25:F25))</f>
        <v/>
      </c>
      <c r="I25" s="17">
        <f>IF(G25="","",ROUND(G25*RESUMEN!$B$4,0))</f>
        <v/>
      </c>
      <c r="J25" s="18">
        <f>COUNT(E25:F25)</f>
        <v/>
      </c>
    </row>
    <row r="26">
      <c r="A26" s="13" t="inlineStr">
        <is>
          <t>63e0b1e537df8</t>
        </is>
      </c>
      <c r="B26" s="13" t="inlineStr">
        <is>
          <t>ANILLO BV ROSE GOLD</t>
        </is>
      </c>
      <c r="C26" s="13" t="inlineStr">
        <is>
          <t>8</t>
        </is>
      </c>
      <c r="D26" s="14" t="inlineStr"/>
      <c r="E26" s="13" t="n"/>
      <c r="F26" s="15" t="n">
        <v>4.3</v>
      </c>
      <c r="G26" s="16">
        <f>IF(COUNT(E26:F26)=0,"",MIN(E26:F26))</f>
        <v/>
      </c>
      <c r="H26" s="15">
        <f>IF(COUNT(E26:F26)=0,"",LOOKUP(2,1/(E26:F26&lt;&gt;""),E26:F26))</f>
        <v/>
      </c>
      <c r="I26" s="17">
        <f>IF(G26="","",ROUND(G26*RESUMEN!$B$4,0))</f>
        <v/>
      </c>
      <c r="J26" s="18">
        <f>COUNT(E26:F26)</f>
        <v/>
      </c>
    </row>
    <row r="27">
      <c r="A27" s="13" t="inlineStr">
        <is>
          <t>63e0b1e628eb5</t>
        </is>
      </c>
      <c r="B27" s="13" t="inlineStr">
        <is>
          <t>ANILLO BV ROSE GOLD</t>
        </is>
      </c>
      <c r="C27" s="13" t="inlineStr">
        <is>
          <t>9</t>
        </is>
      </c>
      <c r="D27" s="14" t="inlineStr"/>
      <c r="E27" s="13" t="n"/>
      <c r="F27" s="15" t="n">
        <v>4.3</v>
      </c>
      <c r="G27" s="16">
        <f>IF(COUNT(E27:F27)=0,"",MIN(E27:F27))</f>
        <v/>
      </c>
      <c r="H27" s="15">
        <f>IF(COUNT(E27:F27)=0,"",LOOKUP(2,1/(E27:F27&lt;&gt;""),E27:F27))</f>
        <v/>
      </c>
      <c r="I27" s="17">
        <f>IF(G27="","",ROUND(G27*RESUMEN!$B$4,0))</f>
        <v/>
      </c>
      <c r="J27" s="18">
        <f>COUNT(E27:F27)</f>
        <v/>
      </c>
    </row>
    <row r="28">
      <c r="A28" s="13" t="inlineStr">
        <is>
          <t>63e0b1e2d5f1e</t>
        </is>
      </c>
      <c r="B28" s="13" t="inlineStr">
        <is>
          <t>ANILLO BV ROSE GOLD DELGADO</t>
        </is>
      </c>
      <c r="C28" s="13" t="inlineStr">
        <is>
          <t>5</t>
        </is>
      </c>
      <c r="D28" s="14" t="inlineStr"/>
      <c r="E28" s="13" t="n"/>
      <c r="F28" s="15" t="n">
        <v>7.89</v>
      </c>
      <c r="G28" s="16">
        <f>IF(COUNT(E28:F28)=0,"",MIN(E28:F28))</f>
        <v/>
      </c>
      <c r="H28" s="15">
        <f>IF(COUNT(E28:F28)=0,"",LOOKUP(2,1/(E28:F28&lt;&gt;""),E28:F28))</f>
        <v/>
      </c>
      <c r="I28" s="17">
        <f>IF(G28="","",ROUND(G28*RESUMEN!$B$4,0))</f>
        <v/>
      </c>
      <c r="J28" s="18">
        <f>COUNT(E28:F28)</f>
        <v/>
      </c>
    </row>
    <row r="29">
      <c r="A29" s="13" t="inlineStr">
        <is>
          <t>63e0b1e3b4fa0</t>
        </is>
      </c>
      <c r="B29" s="13" t="inlineStr">
        <is>
          <t>ANILLO BV ROSE GOLD DELGADO</t>
        </is>
      </c>
      <c r="C29" s="13" t="inlineStr">
        <is>
          <t>6</t>
        </is>
      </c>
      <c r="D29" s="14" t="inlineStr"/>
      <c r="E29" s="13" t="n"/>
      <c r="F29" s="15" t="n">
        <v>7.89</v>
      </c>
      <c r="G29" s="16">
        <f>IF(COUNT(E29:F29)=0,"",MIN(E29:F29))</f>
        <v/>
      </c>
      <c r="H29" s="15">
        <f>IF(COUNT(E29:F29)=0,"",LOOKUP(2,1/(E29:F29&lt;&gt;""),E29:F29))</f>
        <v/>
      </c>
      <c r="I29" s="17">
        <f>IF(G29="","",ROUND(G29*RESUMEN!$B$4,0))</f>
        <v/>
      </c>
      <c r="J29" s="18">
        <f>COUNT(E29:F29)</f>
        <v/>
      </c>
    </row>
    <row r="30">
      <c r="A30" s="13" t="inlineStr">
        <is>
          <t>63e0b1e49258e</t>
        </is>
      </c>
      <c r="B30" s="13" t="inlineStr">
        <is>
          <t>ANILLO BV ROSE GOLD DELGADO</t>
        </is>
      </c>
      <c r="C30" s="13" t="inlineStr">
        <is>
          <t>7</t>
        </is>
      </c>
      <c r="D30" s="14" t="inlineStr"/>
      <c r="E30" s="13" t="n"/>
      <c r="F30" s="15" t="n">
        <v>7.89</v>
      </c>
      <c r="G30" s="16">
        <f>IF(COUNT(E30:F30)=0,"",MIN(E30:F30))</f>
        <v/>
      </c>
      <c r="H30" s="15">
        <f>IF(COUNT(E30:F30)=0,"",LOOKUP(2,1/(E30:F30&lt;&gt;""),E30:F30))</f>
        <v/>
      </c>
      <c r="I30" s="17">
        <f>IF(G30="","",ROUND(G30*RESUMEN!$B$4,0))</f>
        <v/>
      </c>
      <c r="J30" s="18">
        <f>COUNT(E30:F30)</f>
        <v/>
      </c>
    </row>
    <row r="31">
      <c r="A31" s="13" t="inlineStr">
        <is>
          <t>63e0b1e577108</t>
        </is>
      </c>
      <c r="B31" s="13" t="inlineStr">
        <is>
          <t>ANILLO BV ROSE GOLD DELGADO</t>
        </is>
      </c>
      <c r="C31" s="13" t="inlineStr">
        <is>
          <t>8</t>
        </is>
      </c>
      <c r="D31" s="14" t="inlineStr"/>
      <c r="E31" s="13" t="n"/>
      <c r="F31" s="15" t="n">
        <v>7.89</v>
      </c>
      <c r="G31" s="16">
        <f>IF(COUNT(E31:F31)=0,"",MIN(E31:F31))</f>
        <v/>
      </c>
      <c r="H31" s="15">
        <f>IF(COUNT(E31:F31)=0,"",LOOKUP(2,1/(E31:F31&lt;&gt;""),E31:F31))</f>
        <v/>
      </c>
      <c r="I31" s="17">
        <f>IF(G31="","",ROUND(G31*RESUMEN!$B$4,0))</f>
        <v/>
      </c>
      <c r="J31" s="18">
        <f>COUNT(E31:F31)</f>
        <v/>
      </c>
    </row>
    <row r="32">
      <c r="A32" s="13" t="inlineStr">
        <is>
          <t>63e0b1e659918</t>
        </is>
      </c>
      <c r="B32" s="13" t="inlineStr">
        <is>
          <t>ANILLO BV ROSE GOLD DELGADO</t>
        </is>
      </c>
      <c r="C32" s="13" t="inlineStr">
        <is>
          <t>9</t>
        </is>
      </c>
      <c r="D32" s="14" t="inlineStr"/>
      <c r="E32" s="13" t="n"/>
      <c r="F32" s="15" t="n">
        <v>7.89</v>
      </c>
      <c r="G32" s="16">
        <f>IF(COUNT(E32:F32)=0,"",MIN(E32:F32))</f>
        <v/>
      </c>
      <c r="H32" s="15">
        <f>IF(COUNT(E32:F32)=0,"",LOOKUP(2,1/(E32:F32&lt;&gt;""),E32:F32))</f>
        <v/>
      </c>
      <c r="I32" s="17">
        <f>IF(G32="","",ROUND(G32*RESUMEN!$B$4,0))</f>
        <v/>
      </c>
      <c r="J32" s="18">
        <f>COUNT(E32:F32)</f>
        <v/>
      </c>
    </row>
    <row r="33">
      <c r="A33" s="13" t="inlineStr">
        <is>
          <t>63e0b1fbdf1a6</t>
        </is>
      </c>
      <c r="B33" s="13" t="inlineStr">
        <is>
          <t>ANILLO BV SILVER</t>
        </is>
      </c>
      <c r="C33" s="13" t="inlineStr">
        <is>
          <t>10</t>
        </is>
      </c>
      <c r="D33" s="14" t="inlineStr"/>
      <c r="E33" s="15" t="n">
        <v>4.06</v>
      </c>
      <c r="F33" s="15" t="n">
        <v>4.06</v>
      </c>
      <c r="G33" s="16">
        <f>IF(COUNT(E33:F33)=0,"",MIN(E33:F33))</f>
        <v/>
      </c>
      <c r="H33" s="15">
        <f>IF(COUNT(E33:F33)=0,"",LOOKUP(2,1/(E33:F33&lt;&gt;""),E33:F33))</f>
        <v/>
      </c>
      <c r="I33" s="17">
        <f>IF(G33="","",ROUND(G33*RESUMEN!$B$4,0))</f>
        <v/>
      </c>
      <c r="J33" s="18">
        <f>COUNT(E33:F33)</f>
        <v/>
      </c>
    </row>
    <row r="34">
      <c r="A34" s="13" t="inlineStr">
        <is>
          <t>63e0b1fcc7359</t>
        </is>
      </c>
      <c r="B34" s="13" t="inlineStr">
        <is>
          <t>ANILLO BV SILVER</t>
        </is>
      </c>
      <c r="C34" s="13" t="inlineStr">
        <is>
          <t>11</t>
        </is>
      </c>
      <c r="D34" s="14" t="inlineStr"/>
      <c r="E34" s="15" t="n">
        <v>4.06</v>
      </c>
      <c r="F34" s="15" t="n">
        <v>4.06</v>
      </c>
      <c r="G34" s="16">
        <f>IF(COUNT(E34:F34)=0,"",MIN(E34:F34))</f>
        <v/>
      </c>
      <c r="H34" s="15">
        <f>IF(COUNT(E34:F34)=0,"",LOOKUP(2,1/(E34:F34&lt;&gt;""),E34:F34))</f>
        <v/>
      </c>
      <c r="I34" s="17">
        <f>IF(G34="","",ROUND(G34*RESUMEN!$B$4,0))</f>
        <v/>
      </c>
      <c r="J34" s="18">
        <f>COUNT(E34:F34)</f>
        <v/>
      </c>
    </row>
    <row r="35">
      <c r="A35" s="13" t="inlineStr">
        <is>
          <t>63e0b1fde9905</t>
        </is>
      </c>
      <c r="B35" s="13" t="inlineStr">
        <is>
          <t>ANILLO BV SILVER</t>
        </is>
      </c>
      <c r="C35" s="13" t="inlineStr">
        <is>
          <t>12</t>
        </is>
      </c>
      <c r="D35" s="14" t="inlineStr"/>
      <c r="E35" s="15" t="n">
        <v>4.06</v>
      </c>
      <c r="F35" s="15" t="n">
        <v>4.06</v>
      </c>
      <c r="G35" s="16">
        <f>IF(COUNT(E35:F35)=0,"",MIN(E35:F35))</f>
        <v/>
      </c>
      <c r="H35" s="15">
        <f>IF(COUNT(E35:F35)=0,"",LOOKUP(2,1/(E35:F35&lt;&gt;""),E35:F35))</f>
        <v/>
      </c>
      <c r="I35" s="17">
        <f>IF(G35="","",ROUND(G35*RESUMEN!$B$4,0))</f>
        <v/>
      </c>
      <c r="J35" s="18">
        <f>COUNT(E35:F35)</f>
        <v/>
      </c>
    </row>
    <row r="36">
      <c r="A36" s="13" t="inlineStr">
        <is>
          <t>63e0b1f7d50b1</t>
        </is>
      </c>
      <c r="B36" s="13" t="inlineStr">
        <is>
          <t>ANILLO BV SILVER</t>
        </is>
      </c>
      <c r="C36" s="13" t="inlineStr">
        <is>
          <t>6</t>
        </is>
      </c>
      <c r="D36" s="14" t="inlineStr"/>
      <c r="E36" s="13" t="n"/>
      <c r="F36" s="15" t="n">
        <v>4.06</v>
      </c>
      <c r="G36" s="16">
        <f>IF(COUNT(E36:F36)=0,"",MIN(E36:F36))</f>
        <v/>
      </c>
      <c r="H36" s="15">
        <f>IF(COUNT(E36:F36)=0,"",LOOKUP(2,1/(E36:F36&lt;&gt;""),E36:F36))</f>
        <v/>
      </c>
      <c r="I36" s="17">
        <f>IF(G36="","",ROUND(G36*RESUMEN!$B$4,0))</f>
        <v/>
      </c>
      <c r="J36" s="18">
        <f>COUNT(E36:F36)</f>
        <v/>
      </c>
    </row>
    <row r="37">
      <c r="A37" s="13" t="inlineStr">
        <is>
          <t>63e0b1f8bb7d5</t>
        </is>
      </c>
      <c r="B37" s="13" t="inlineStr">
        <is>
          <t>ANILLO BV SILVER</t>
        </is>
      </c>
      <c r="C37" s="13" t="inlineStr">
        <is>
          <t>7</t>
        </is>
      </c>
      <c r="D37" s="14" t="inlineStr"/>
      <c r="E37" s="15" t="n">
        <v>4.06</v>
      </c>
      <c r="F37" s="15" t="n">
        <v>4.06</v>
      </c>
      <c r="G37" s="16">
        <f>IF(COUNT(E37:F37)=0,"",MIN(E37:F37))</f>
        <v/>
      </c>
      <c r="H37" s="15">
        <f>IF(COUNT(E37:F37)=0,"",LOOKUP(2,1/(E37:F37&lt;&gt;""),E37:F37))</f>
        <v/>
      </c>
      <c r="I37" s="17">
        <f>IF(G37="","",ROUND(G37*RESUMEN!$B$4,0))</f>
        <v/>
      </c>
      <c r="J37" s="18">
        <f>COUNT(E37:F37)</f>
        <v/>
      </c>
    </row>
    <row r="38">
      <c r="A38" s="13" t="inlineStr">
        <is>
          <t>63e0b1f9a5ac2</t>
        </is>
      </c>
      <c r="B38" s="13" t="inlineStr">
        <is>
          <t>ANILLO BV SILVER</t>
        </is>
      </c>
      <c r="C38" s="13" t="inlineStr">
        <is>
          <t>8</t>
        </is>
      </c>
      <c r="D38" s="14" t="inlineStr"/>
      <c r="E38" s="15" t="n">
        <v>4.06</v>
      </c>
      <c r="F38" s="15" t="n">
        <v>4.06</v>
      </c>
      <c r="G38" s="16">
        <f>IF(COUNT(E38:F38)=0,"",MIN(E38:F38))</f>
        <v/>
      </c>
      <c r="H38" s="15">
        <f>IF(COUNT(E38:F38)=0,"",LOOKUP(2,1/(E38:F38&lt;&gt;""),E38:F38))</f>
        <v/>
      </c>
      <c r="I38" s="17">
        <f>IF(G38="","",ROUND(G38*RESUMEN!$B$4,0))</f>
        <v/>
      </c>
      <c r="J38" s="18">
        <f>COUNT(E38:F38)</f>
        <v/>
      </c>
    </row>
    <row r="39">
      <c r="A39" s="13" t="inlineStr">
        <is>
          <t>63e0b1fa92d45</t>
        </is>
      </c>
      <c r="B39" s="13" t="inlineStr">
        <is>
          <t>ANILLO BV SILVER</t>
        </is>
      </c>
      <c r="C39" s="13" t="inlineStr">
        <is>
          <t>9</t>
        </is>
      </c>
      <c r="D39" s="14" t="inlineStr"/>
      <c r="E39" s="13" t="n"/>
      <c r="F39" s="15" t="n">
        <v>4.06</v>
      </c>
      <c r="G39" s="16">
        <f>IF(COUNT(E39:F39)=0,"",MIN(E39:F39))</f>
        <v/>
      </c>
      <c r="H39" s="15">
        <f>IF(COUNT(E39:F39)=0,"",LOOKUP(2,1/(E39:F39&lt;&gt;""),E39:F39))</f>
        <v/>
      </c>
      <c r="I39" s="17">
        <f>IF(G39="","",ROUND(G39*RESUMEN!$B$4,0))</f>
        <v/>
      </c>
      <c r="J39" s="18">
        <f>COUNT(E39:F39)</f>
        <v/>
      </c>
    </row>
    <row r="40">
      <c r="A40" s="13" t="inlineStr">
        <is>
          <t>63e0b1fd046c4</t>
        </is>
      </c>
      <c r="B40" s="13" t="inlineStr">
        <is>
          <t>ANILLO BV SILVER DELGADO</t>
        </is>
      </c>
      <c r="C40" s="13" t="inlineStr">
        <is>
          <t>10</t>
        </is>
      </c>
      <c r="D40" s="14" t="inlineStr"/>
      <c r="E40" s="13" t="n"/>
      <c r="F40" s="15" t="n">
        <v>7.89</v>
      </c>
      <c r="G40" s="16">
        <f>IF(COUNT(E40:F40)=0,"",MIN(E40:F40))</f>
        <v/>
      </c>
      <c r="H40" s="15">
        <f>IF(COUNT(E40:F40)=0,"",LOOKUP(2,1/(E40:F40&lt;&gt;""),E40:F40))</f>
        <v/>
      </c>
      <c r="I40" s="17">
        <f>IF(G40="","",ROUND(G40*RESUMEN!$B$4,0))</f>
        <v/>
      </c>
      <c r="J40" s="18">
        <f>COUNT(E40:F40)</f>
        <v/>
      </c>
    </row>
    <row r="41">
      <c r="A41" s="13" t="inlineStr">
        <is>
          <t>63e0b1f91d20d</t>
        </is>
      </c>
      <c r="B41" s="13" t="inlineStr">
        <is>
          <t>ANILLO BV SILVER DELGADO</t>
        </is>
      </c>
      <c r="C41" s="13" t="inlineStr">
        <is>
          <t>6</t>
        </is>
      </c>
      <c r="D41" s="14" t="inlineStr"/>
      <c r="E41" s="13" t="n"/>
      <c r="F41" s="15" t="n">
        <v>7.89</v>
      </c>
      <c r="G41" s="16">
        <f>IF(COUNT(E41:F41)=0,"",MIN(E41:F41))</f>
        <v/>
      </c>
      <c r="H41" s="15">
        <f>IF(COUNT(E41:F41)=0,"",LOOKUP(2,1/(E41:F41&lt;&gt;""),E41:F41))</f>
        <v/>
      </c>
      <c r="I41" s="17">
        <f>IF(G41="","",ROUND(G41*RESUMEN!$B$4,0))</f>
        <v/>
      </c>
      <c r="J41" s="18">
        <f>COUNT(E41:F41)</f>
        <v/>
      </c>
    </row>
    <row r="42">
      <c r="A42" s="13" t="inlineStr">
        <is>
          <t>63e0b1fa23537</t>
        </is>
      </c>
      <c r="B42" s="13" t="inlineStr">
        <is>
          <t>ANILLO BV SILVER DELGADO</t>
        </is>
      </c>
      <c r="C42" s="13" t="inlineStr">
        <is>
          <t>7</t>
        </is>
      </c>
      <c r="D42" s="14" t="inlineStr"/>
      <c r="E42" s="13" t="n"/>
      <c r="F42" s="15" t="n">
        <v>7.89</v>
      </c>
      <c r="G42" s="16">
        <f>IF(COUNT(E42:F42)=0,"",MIN(E42:F42))</f>
        <v/>
      </c>
      <c r="H42" s="15">
        <f>IF(COUNT(E42:F42)=0,"",LOOKUP(2,1/(E42:F42&lt;&gt;""),E42:F42))</f>
        <v/>
      </c>
      <c r="I42" s="17">
        <f>IF(G42="","",ROUND(G42*RESUMEN!$B$4,0))</f>
        <v/>
      </c>
      <c r="J42" s="18">
        <f>COUNT(E42:F42)</f>
        <v/>
      </c>
    </row>
    <row r="43">
      <c r="A43" s="13" t="inlineStr">
        <is>
          <t>63e0b1fb11aa3</t>
        </is>
      </c>
      <c r="B43" s="13" t="inlineStr">
        <is>
          <t>ANILLO BV SILVER DELGADO</t>
        </is>
      </c>
      <c r="C43" s="13" t="inlineStr">
        <is>
          <t>8</t>
        </is>
      </c>
      <c r="D43" s="14" t="inlineStr"/>
      <c r="E43" s="13" t="n"/>
      <c r="F43" s="15" t="n">
        <v>7.89</v>
      </c>
      <c r="G43" s="16">
        <f>IF(COUNT(E43:F43)=0,"",MIN(E43:F43))</f>
        <v/>
      </c>
      <c r="H43" s="15">
        <f>IF(COUNT(E43:F43)=0,"",LOOKUP(2,1/(E43:F43&lt;&gt;""),E43:F43))</f>
        <v/>
      </c>
      <c r="I43" s="17">
        <f>IF(G43="","",ROUND(G43*RESUMEN!$B$4,0))</f>
        <v/>
      </c>
      <c r="J43" s="18">
        <f>COUNT(E43:F43)</f>
        <v/>
      </c>
    </row>
    <row r="44">
      <c r="A44" s="13" t="inlineStr">
        <is>
          <t>63e0b1fc15c01</t>
        </is>
      </c>
      <c r="B44" s="13" t="inlineStr">
        <is>
          <t>ANILLO BV SILVER DELGADO</t>
        </is>
      </c>
      <c r="C44" s="13" t="inlineStr">
        <is>
          <t>9</t>
        </is>
      </c>
      <c r="D44" s="14" t="inlineStr"/>
      <c r="E44" s="13" t="n"/>
      <c r="F44" s="15" t="n">
        <v>7.89</v>
      </c>
      <c r="G44" s="16">
        <f>IF(COUNT(E44:F44)=0,"",MIN(E44:F44))</f>
        <v/>
      </c>
      <c r="H44" s="15">
        <f>IF(COUNT(E44:F44)=0,"",LOOKUP(2,1/(E44:F44&lt;&gt;""),E44:F44))</f>
        <v/>
      </c>
      <c r="I44" s="17">
        <f>IF(G44="","",ROUND(G44*RESUMEN!$B$4,0))</f>
        <v/>
      </c>
      <c r="J44" s="18">
        <f>COUNT(E44:F44)</f>
        <v/>
      </c>
    </row>
    <row r="45">
      <c r="A45" s="13" t="inlineStr">
        <is>
          <t>63ebd81634b8a</t>
        </is>
      </c>
      <c r="B45" s="13" t="inlineStr">
        <is>
          <t>ARETES CC GOLD CON ZIRCONIA</t>
        </is>
      </c>
      <c r="C45" s="13" t="inlineStr">
        <is>
          <t>Default Title</t>
        </is>
      </c>
      <c r="D45" s="14" t="inlineStr"/>
      <c r="E45" s="13" t="n"/>
      <c r="F45" s="15" t="n">
        <v>4.18</v>
      </c>
      <c r="G45" s="16">
        <f>IF(COUNT(E45:F45)=0,"",MIN(E45:F45))</f>
        <v/>
      </c>
      <c r="H45" s="15">
        <f>IF(COUNT(E45:F45)=0,"",LOOKUP(2,1/(E45:F45&lt;&gt;""),E45:F45))</f>
        <v/>
      </c>
      <c r="I45" s="17">
        <f>IF(G45="","",ROUND(G45*RESUMEN!$B$4,0))</f>
        <v/>
      </c>
      <c r="J45" s="18">
        <f>COUNT(E45:F45)</f>
        <v/>
      </c>
    </row>
    <row r="46">
      <c r="A46" s="13" t="inlineStr">
        <is>
          <t>63e0bb0b18c6d</t>
        </is>
      </c>
      <c r="B46" s="13" t="inlineStr">
        <is>
          <t>ARETES GC ZIRCONIA</t>
        </is>
      </c>
      <c r="C46" s="13" t="inlineStr">
        <is>
          <t>Default Title</t>
        </is>
      </c>
      <c r="D46" s="14" t="inlineStr"/>
      <c r="E46" s="13" t="n"/>
      <c r="F46" s="15" t="n">
        <v>3.46</v>
      </c>
      <c r="G46" s="16">
        <f>IF(COUNT(E46:F46)=0,"",MIN(E46:F46))</f>
        <v/>
      </c>
      <c r="H46" s="15">
        <f>IF(COUNT(E46:F46)=0,"",LOOKUP(2,1/(E46:F46&lt;&gt;""),E46:F46))</f>
        <v/>
      </c>
      <c r="I46" s="17">
        <f>IF(G46="","",ROUND(G46*RESUMEN!$B$4,0))</f>
        <v/>
      </c>
      <c r="J46" s="18">
        <f>COUNT(E46:F46)</f>
        <v/>
      </c>
    </row>
    <row r="47">
      <c r="A47" s="13" t="inlineStr">
        <is>
          <t>646f84c070459</t>
        </is>
      </c>
      <c r="B47" s="13" t="inlineStr">
        <is>
          <t>ARETES LV COLGANTE</t>
        </is>
      </c>
      <c r="C47" s="13" t="inlineStr">
        <is>
          <t>Regular</t>
        </is>
      </c>
      <c r="D47" s="14" t="inlineStr"/>
      <c r="E47" s="13" t="n"/>
      <c r="F47" s="15" t="n">
        <v>3.7</v>
      </c>
      <c r="G47" s="16">
        <f>IF(COUNT(E47:F47)=0,"",MIN(E47:F47))</f>
        <v/>
      </c>
      <c r="H47" s="15">
        <f>IF(COUNT(E47:F47)=0,"",LOOKUP(2,1/(E47:F47&lt;&gt;""),E47:F47))</f>
        <v/>
      </c>
      <c r="I47" s="17">
        <f>IF(G47="","",ROUND(G47*RESUMEN!$B$4,0))</f>
        <v/>
      </c>
      <c r="J47" s="18">
        <f>COUNT(E47:F47)</f>
        <v/>
      </c>
    </row>
    <row r="48">
      <c r="A48" s="13" t="inlineStr">
        <is>
          <t>646f84bcb068f</t>
        </is>
      </c>
      <c r="B48" s="13" t="inlineStr">
        <is>
          <t>ARETES T GOLD</t>
        </is>
      </c>
      <c r="C48" s="13" t="inlineStr">
        <is>
          <t>Default Title</t>
        </is>
      </c>
      <c r="D48" s="14" t="inlineStr"/>
      <c r="E48" s="15" t="n">
        <v>3.7</v>
      </c>
      <c r="F48" s="15" t="n">
        <v>3.7</v>
      </c>
      <c r="G48" s="16">
        <f>IF(COUNT(E48:F48)=0,"",MIN(E48:F48))</f>
        <v/>
      </c>
      <c r="H48" s="15">
        <f>IF(COUNT(E48:F48)=0,"",LOOKUP(2,1/(E48:F48&lt;&gt;""),E48:F48))</f>
        <v/>
      </c>
      <c r="I48" s="17">
        <f>IF(G48="","",ROUND(G48*RESUMEN!$B$4,0))</f>
        <v/>
      </c>
      <c r="J48" s="18">
        <f>COUNT(E48:F48)</f>
        <v/>
      </c>
    </row>
    <row r="49">
      <c r="A49" s="13" t="inlineStr">
        <is>
          <t>646f84b9b65ea</t>
        </is>
      </c>
      <c r="B49" s="13" t="inlineStr">
        <is>
          <t>ARETES T ROSE GOLD</t>
        </is>
      </c>
      <c r="C49" s="13" t="inlineStr">
        <is>
          <t>Default Title</t>
        </is>
      </c>
      <c r="D49" s="14" t="inlineStr"/>
      <c r="E49" s="13" t="n"/>
      <c r="F49" s="15" t="n">
        <v>3.7</v>
      </c>
      <c r="G49" s="16">
        <f>IF(COUNT(E49:F49)=0,"",MIN(E49:F49))</f>
        <v/>
      </c>
      <c r="H49" s="15">
        <f>IF(COUNT(E49:F49)=0,"",LOOKUP(2,1/(E49:F49&lt;&gt;""),E49:F49))</f>
        <v/>
      </c>
      <c r="I49" s="17">
        <f>IF(G49="","",ROUND(G49*RESUMEN!$B$4,0))</f>
        <v/>
      </c>
      <c r="J49" s="18">
        <f>COUNT(E49:F49)</f>
        <v/>
      </c>
    </row>
    <row r="50">
      <c r="A50" s="13" t="inlineStr">
        <is>
          <t>646f84b99a256</t>
        </is>
      </c>
      <c r="B50" s="13" t="inlineStr">
        <is>
          <t>ARETES T SILVER</t>
        </is>
      </c>
      <c r="C50" s="13" t="inlineStr">
        <is>
          <t>Default Title</t>
        </is>
      </c>
      <c r="D50" s="14" t="inlineStr"/>
      <c r="E50" s="15" t="n">
        <v>3.7</v>
      </c>
      <c r="F50" s="15" t="n">
        <v>3.7</v>
      </c>
      <c r="G50" s="16">
        <f>IF(COUNT(E50:F50)=0,"",MIN(E50:F50))</f>
        <v/>
      </c>
      <c r="H50" s="15">
        <f>IF(COUNT(E50:F50)=0,"",LOOKUP(2,1/(E50:F50&lt;&gt;""),E50:F50))</f>
        <v/>
      </c>
      <c r="I50" s="17">
        <f>IF(G50="","",ROUND(G50*RESUMEN!$B$4,0))</f>
        <v/>
      </c>
      <c r="J50" s="18">
        <f>COUNT(E50:F50)</f>
        <v/>
      </c>
    </row>
    <row r="51">
      <c r="A51" s="13" t="inlineStr">
        <is>
          <t>668eee4709a5f</t>
        </is>
      </c>
      <c r="B51" s="13" t="inlineStr">
        <is>
          <t>PULSERA DE CUENTAS CON INSIGNIA DE CORAZÓN ROSE GOLD</t>
        </is>
      </c>
      <c r="C51" s="13" t="inlineStr">
        <is>
          <t>17 cm</t>
        </is>
      </c>
      <c r="D51" s="14" t="inlineStr"/>
      <c r="E51" s="15" t="n">
        <v>4.42</v>
      </c>
      <c r="F51" s="15" t="n">
        <v>4.42</v>
      </c>
      <c r="G51" s="16">
        <f>IF(COUNT(E51:F51)=0,"",MIN(E51:F51))</f>
        <v/>
      </c>
      <c r="H51" s="15">
        <f>IF(COUNT(E51:F51)=0,"",LOOKUP(2,1/(E51:F51&lt;&gt;""),E51:F51))</f>
        <v/>
      </c>
      <c r="I51" s="17">
        <f>IF(G51="","",ROUND(G51*RESUMEN!$B$4,0))</f>
        <v/>
      </c>
      <c r="J51" s="18">
        <f>COUNT(E51:F51)</f>
        <v/>
      </c>
    </row>
    <row r="52">
      <c r="A52" s="13" t="inlineStr">
        <is>
          <t>43047221198988</t>
        </is>
      </c>
      <c r="B52" s="13" t="inlineStr">
        <is>
          <t>PULSERA DE CUENTAS GOLD</t>
        </is>
      </c>
      <c r="C52" s="13" t="inlineStr">
        <is>
          <t>16cm</t>
        </is>
      </c>
      <c r="D52" s="14" t="inlineStr"/>
      <c r="E52" s="15" t="n">
        <v>4.42</v>
      </c>
      <c r="F52" s="15" t="n">
        <v>4.42</v>
      </c>
      <c r="G52" s="16">
        <f>IF(COUNT(E52:F52)=0,"",MIN(E52:F52))</f>
        <v/>
      </c>
      <c r="H52" s="15">
        <f>IF(COUNT(E52:F52)=0,"",LOOKUP(2,1/(E52:F52&lt;&gt;""),E52:F52))</f>
        <v/>
      </c>
      <c r="I52" s="17">
        <f>IF(G52="","",ROUND(G52*RESUMEN!$B$4,0))</f>
        <v/>
      </c>
      <c r="J52" s="18">
        <f>COUNT(E52:F52)</f>
        <v/>
      </c>
    </row>
    <row r="53">
      <c r="A53" s="13" t="inlineStr">
        <is>
          <t>43047209828492</t>
        </is>
      </c>
      <c r="B53" s="13" t="inlineStr">
        <is>
          <t>PULSERA DE CUENTAS GOLD CON INSIGNIA DE CORAZÓN BLUE</t>
        </is>
      </c>
      <c r="C53" s="13" t="inlineStr">
        <is>
          <t>16cm</t>
        </is>
      </c>
      <c r="D53" s="14" t="inlineStr"/>
      <c r="E53" s="15" t="n">
        <v>4.66</v>
      </c>
      <c r="F53" s="15" t="n">
        <v>4.66</v>
      </c>
      <c r="G53" s="16">
        <f>IF(COUNT(E53:F53)=0,"",MIN(E53:F53))</f>
        <v/>
      </c>
      <c r="H53" s="15">
        <f>IF(COUNT(E53:F53)=0,"",LOOKUP(2,1/(E53:F53&lt;&gt;""),E53:F53))</f>
        <v/>
      </c>
      <c r="I53" s="17">
        <f>IF(G53="","",ROUND(G53*RESUMEN!$B$4,0))</f>
        <v/>
      </c>
      <c r="J53" s="18">
        <f>COUNT(E53:F53)</f>
        <v/>
      </c>
    </row>
    <row r="54">
      <c r="A54" s="13" t="inlineStr">
        <is>
          <t>43047210680460</t>
        </is>
      </c>
      <c r="B54" s="13" t="inlineStr">
        <is>
          <t>PULSERA DE CUENTAS GOLD CON INSIGNIA DE CORAZÓN RED</t>
        </is>
      </c>
      <c r="C54" s="13" t="inlineStr">
        <is>
          <t>16cm</t>
        </is>
      </c>
      <c r="D54" s="14" t="inlineStr"/>
      <c r="E54" s="15" t="n">
        <v>4.66</v>
      </c>
      <c r="F54" s="15" t="n">
        <v>4.66</v>
      </c>
      <c r="G54" s="16">
        <f>IF(COUNT(E54:F54)=0,"",MIN(E54:F54))</f>
        <v/>
      </c>
      <c r="H54" s="15">
        <f>IF(COUNT(E54:F54)=0,"",LOOKUP(2,1/(E54:F54&lt;&gt;""),E54:F54))</f>
        <v/>
      </c>
      <c r="I54" s="17">
        <f>IF(G54="","",ROUND(G54*RESUMEN!$B$4,0))</f>
        <v/>
      </c>
      <c r="J54" s="18">
        <f>COUNT(E54:F54)</f>
        <v/>
      </c>
    </row>
    <row r="55">
      <c r="A55" s="13" t="inlineStr">
        <is>
          <t>43728095967788</t>
        </is>
      </c>
      <c r="B55" s="13" t="inlineStr">
        <is>
          <t>PULSERA DOBLE STAR CD</t>
        </is>
      </c>
      <c r="C55" s="13" t="inlineStr">
        <is>
          <t>16cm con extensión de 5cm</t>
        </is>
      </c>
      <c r="D55" s="14" t="inlineStr"/>
      <c r="E55" s="15" t="n">
        <v>3.98</v>
      </c>
      <c r="F55" s="15" t="n">
        <v>3.98</v>
      </c>
      <c r="G55" s="16">
        <f>IF(COUNT(E55:F55)=0,"",MIN(E55:F55))</f>
        <v/>
      </c>
      <c r="H55" s="15">
        <f>IF(COUNT(E55:F55)=0,"",LOOKUP(2,1/(E55:F55&lt;&gt;""),E55:F55))</f>
        <v/>
      </c>
      <c r="I55" s="17">
        <f>IF(G55="","",ROUND(G55*RESUMEN!$B$4,0))</f>
        <v/>
      </c>
      <c r="J55" s="18">
        <f>COUNT(E55:F55)</f>
        <v/>
      </c>
    </row>
  </sheetData>
  <autoFilter ref="A4:J5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0" t="inlineStr">
        <is>
          <t>HISTORIAL DE PRECIOS — MOLLY</t>
        </is>
      </c>
    </row>
    <row r="2">
      <c r="A2" s="11" t="inlineStr">
        <is>
          <t>1 orden(es) · costo unitario en USD · MXN = MEJOR × RESUMEN!B4 · * = dato del historial previo</t>
        </is>
      </c>
    </row>
    <row r="4">
      <c r="A4" s="12" t="inlineStr">
        <is>
          <t>SKU</t>
        </is>
      </c>
      <c r="B4" s="12" t="inlineStr">
        <is>
          <t>PRODUCTO</t>
        </is>
      </c>
      <c r="C4" s="12" t="inlineStr">
        <is>
          <t>VARIANTE</t>
        </is>
      </c>
      <c r="D4" s="12" t="inlineStr">
        <is>
          <t>MATERIAL</t>
        </is>
      </c>
      <c r="E4" s="12" t="inlineStr">
        <is>
          <t>Oct 2025
10/10</t>
        </is>
      </c>
      <c r="F4" s="12" t="inlineStr">
        <is>
          <t>MEJOR
(US)</t>
        </is>
      </c>
      <c r="G4" s="12" t="inlineStr">
        <is>
          <t>ÚLTIMA
(US)</t>
        </is>
      </c>
      <c r="H4" s="12" t="inlineStr">
        <is>
          <t>MXN
(mejor×TC)</t>
        </is>
      </c>
      <c r="I4" s="12" t="inlineStr">
        <is>
          <t># ÓRD.</t>
        </is>
      </c>
    </row>
    <row r="5">
      <c r="A5" s="13" t="inlineStr">
        <is>
          <t>85887251053901</t>
        </is>
      </c>
      <c r="B5" s="13" t="inlineStr">
        <is>
          <t>ABRIGO CAQUI JW</t>
        </is>
      </c>
      <c r="C5" s="13" t="inlineStr">
        <is>
          <t>M</t>
        </is>
      </c>
      <c r="D5" s="14" t="inlineStr"/>
      <c r="E5" s="15" t="n">
        <v>7.9</v>
      </c>
      <c r="F5" s="16">
        <f>IF(COUNT(E5:E5)=0,"",MIN(E5:E5))</f>
        <v/>
      </c>
      <c r="G5" s="15">
        <f>IF(COUNT(E5:E5)=0,"",LOOKUP(2,1/(E5:E5&lt;&gt;""),E5:E5))</f>
        <v/>
      </c>
      <c r="H5" s="17">
        <f>IF(F5="","",ROUND(F5*RESUMEN!$B$4,0))</f>
        <v/>
      </c>
      <c r="I5" s="18">
        <f>COUNT(E5:E5)</f>
        <v/>
      </c>
    </row>
    <row r="6">
      <c r="A6" s="13" t="inlineStr">
        <is>
          <t>85887251172013</t>
        </is>
      </c>
      <c r="B6" s="13" t="inlineStr">
        <is>
          <t>ABRIGO WHITE JW</t>
        </is>
      </c>
      <c r="C6" s="13" t="inlineStr">
        <is>
          <t>M</t>
        </is>
      </c>
      <c r="D6" s="14" t="inlineStr"/>
      <c r="E6" s="15" t="n">
        <v>14.8</v>
      </c>
      <c r="F6" s="16">
        <f>IF(COUNT(E6:E6)=0,"",MIN(E6:E6))</f>
        <v/>
      </c>
      <c r="G6" s="15">
        <f>IF(COUNT(E6:E6)=0,"",LOOKUP(2,1/(E6:E6&lt;&gt;""),E6:E6))</f>
        <v/>
      </c>
      <c r="H6" s="17">
        <f>IF(F6="","",ROUND(F6*RESUMEN!$B$4,0))</f>
        <v/>
      </c>
      <c r="I6" s="18">
        <f>COUNT(E6:E6)</f>
        <v/>
      </c>
    </row>
    <row r="7">
      <c r="A7" s="13" t="inlineStr">
        <is>
          <t>85887251265229</t>
        </is>
      </c>
      <c r="B7" s="13" t="inlineStr">
        <is>
          <t>ABRIGO WHITE-BLACK JW</t>
        </is>
      </c>
      <c r="C7" s="13" t="inlineStr">
        <is>
          <t>S</t>
        </is>
      </c>
      <c r="D7" s="14" t="inlineStr"/>
      <c r="E7" s="15" t="n">
        <v>5.12</v>
      </c>
      <c r="F7" s="16">
        <f>IF(COUNT(E7:E7)=0,"",MIN(E7:E7))</f>
        <v/>
      </c>
      <c r="G7" s="15">
        <f>IF(COUNT(E7:E7)=0,"",LOOKUP(2,1/(E7:E7&lt;&gt;""),E7:E7))</f>
        <v/>
      </c>
      <c r="H7" s="17">
        <f>IF(F7="","",ROUND(F7*RESUMEN!$B$4,0))</f>
        <v/>
      </c>
      <c r="I7" s="18">
        <f>COUNT(E7:E7)</f>
        <v/>
      </c>
    </row>
    <row r="8">
      <c r="A8" s="13" t="inlineStr">
        <is>
          <t>85887252613805</t>
        </is>
      </c>
      <c r="B8" s="13" t="inlineStr">
        <is>
          <t>BLAZER BLACK FEATHERS JW</t>
        </is>
      </c>
      <c r="C8" s="13" t="inlineStr">
        <is>
          <t>M</t>
        </is>
      </c>
      <c r="D8" s="14" t="inlineStr"/>
      <c r="E8" s="15" t="n">
        <v>20</v>
      </c>
      <c r="F8" s="16">
        <f>IF(COUNT(E8:E8)=0,"",MIN(E8:E8))</f>
        <v/>
      </c>
      <c r="G8" s="15">
        <f>IF(COUNT(E8:E8)=0,"",LOOKUP(2,1/(E8:E8&lt;&gt;""),E8:E8))</f>
        <v/>
      </c>
      <c r="H8" s="17">
        <f>IF(F8="","",ROUND(F8*RESUMEN!$B$4,0))</f>
        <v/>
      </c>
      <c r="I8" s="18">
        <f>COUNT(E8:E8)</f>
        <v/>
      </c>
    </row>
    <row r="9">
      <c r="A9" s="13" t="inlineStr">
        <is>
          <t>85887252823437</t>
        </is>
      </c>
      <c r="B9" s="13" t="inlineStr">
        <is>
          <t>BLUSA WHITE-BLACK JW</t>
        </is>
      </c>
      <c r="C9" s="13" t="inlineStr">
        <is>
          <t>M</t>
        </is>
      </c>
      <c r="D9" s="14" t="inlineStr"/>
      <c r="E9" s="15" t="n">
        <v>10.9</v>
      </c>
      <c r="F9" s="16">
        <f>IF(COUNT(E9:E9)=0,"",MIN(E9:E9))</f>
        <v/>
      </c>
      <c r="G9" s="15">
        <f>IF(COUNT(E9:E9)=0,"",LOOKUP(2,1/(E9:E9&lt;&gt;""),E9:E9))</f>
        <v/>
      </c>
      <c r="H9" s="17">
        <f>IF(F9="","",ROUND(F9*RESUMEN!$B$4,0))</f>
        <v/>
      </c>
      <c r="I9" s="18">
        <f>COUNT(E9:E9)</f>
        <v/>
      </c>
    </row>
    <row r="10">
      <c r="A10" s="13" t="inlineStr">
        <is>
          <t>85887251827853</t>
        </is>
      </c>
      <c r="B10" s="13" t="inlineStr">
        <is>
          <t>CAMISETA BLUE JW</t>
        </is>
      </c>
      <c r="C10" s="13" t="inlineStr">
        <is>
          <t>L</t>
        </is>
      </c>
      <c r="D10" s="14" t="inlineStr"/>
      <c r="E10" s="15" t="n">
        <v>14.2</v>
      </c>
      <c r="F10" s="16">
        <f>IF(COUNT(E10:E10)=0,"",MIN(E10:E10))</f>
        <v/>
      </c>
      <c r="G10" s="15">
        <f>IF(COUNT(E10:E10)=0,"",LOOKUP(2,1/(E10:E10&lt;&gt;""),E10:E10))</f>
        <v/>
      </c>
      <c r="H10" s="17">
        <f>IF(F10="","",ROUND(F10*RESUMEN!$B$4,0))</f>
        <v/>
      </c>
      <c r="I10" s="18">
        <f>COUNT(E10:E10)</f>
        <v/>
      </c>
    </row>
    <row r="11">
      <c r="A11" s="13" t="inlineStr">
        <is>
          <t>85887251787565</t>
        </is>
      </c>
      <c r="B11" s="13" t="inlineStr">
        <is>
          <t>CAMISETA GREEN JW</t>
        </is>
      </c>
      <c r="C11" s="13" t="inlineStr">
        <is>
          <t>M</t>
        </is>
      </c>
      <c r="D11" s="14" t="inlineStr"/>
      <c r="E11" s="15" t="n">
        <v>14.2</v>
      </c>
      <c r="F11" s="16">
        <f>IF(COUNT(E11:E11)=0,"",MIN(E11:E11))</f>
        <v/>
      </c>
      <c r="G11" s="15">
        <f>IF(COUNT(E11:E11)=0,"",LOOKUP(2,1/(E11:E11&lt;&gt;""),E11:E11))</f>
        <v/>
      </c>
      <c r="H11" s="17">
        <f>IF(F11="","",ROUND(F11*RESUMEN!$B$4,0))</f>
        <v/>
      </c>
      <c r="I11" s="18">
        <f>COUNT(E11:E11)</f>
        <v/>
      </c>
    </row>
    <row r="12">
      <c r="A12" s="13" t="inlineStr">
        <is>
          <t>85887251964013</t>
        </is>
      </c>
      <c r="B12" s="13" t="inlineStr">
        <is>
          <t>CAMISETA WHITE JW</t>
        </is>
      </c>
      <c r="C12" s="13" t="inlineStr">
        <is>
          <t>M</t>
        </is>
      </c>
      <c r="D12" s="14" t="inlineStr"/>
      <c r="E12" s="15" t="n">
        <v>14.2</v>
      </c>
      <c r="F12" s="16">
        <f>IF(COUNT(E12:E12)=0,"",MIN(E12:E12))</f>
        <v/>
      </c>
      <c r="G12" s="15">
        <f>IF(COUNT(E12:E12)=0,"",LOOKUP(2,1/(E12:E12&lt;&gt;""),E12:E12))</f>
        <v/>
      </c>
      <c r="H12" s="17">
        <f>IF(F12="","",ROUND(F12*RESUMEN!$B$4,0))</f>
        <v/>
      </c>
      <c r="I12" s="18">
        <f>COUNT(E12:E12)</f>
        <v/>
      </c>
    </row>
    <row r="13">
      <c r="A13" s="13" t="inlineStr">
        <is>
          <t>85887252483277</t>
        </is>
      </c>
      <c r="B13" s="13" t="inlineStr">
        <is>
          <t>CHAMARRA BLACK JW</t>
        </is>
      </c>
      <c r="C13" s="13" t="inlineStr">
        <is>
          <t>L</t>
        </is>
      </c>
      <c r="D13" s="14" t="inlineStr"/>
      <c r="E13" s="15" t="n">
        <v>20.8</v>
      </c>
      <c r="F13" s="16">
        <f>IF(COUNT(E13:E13)=0,"",MIN(E13:E13))</f>
        <v/>
      </c>
      <c r="G13" s="15">
        <f>IF(COUNT(E13:E13)=0,"",LOOKUP(2,1/(E13:E13&lt;&gt;""),E13:E13))</f>
        <v/>
      </c>
      <c r="H13" s="17">
        <f>IF(F13="","",ROUND(F13*RESUMEN!$B$4,0))</f>
        <v/>
      </c>
      <c r="I13" s="18">
        <f>COUNT(E13:E13)</f>
        <v/>
      </c>
    </row>
    <row r="14">
      <c r="A14" s="13" t="inlineStr">
        <is>
          <t>85887252725133</t>
        </is>
      </c>
      <c r="B14" s="13" t="inlineStr">
        <is>
          <t>CONJUNTO WHITE CASHMERE</t>
        </is>
      </c>
      <c r="C14" s="13" t="inlineStr">
        <is>
          <t>M</t>
        </is>
      </c>
      <c r="D14" s="14" t="inlineStr"/>
      <c r="E14" s="15" t="n">
        <v>16.9</v>
      </c>
      <c r="F14" s="16">
        <f>IF(COUNT(E14:E14)=0,"",MIN(E14:E14))</f>
        <v/>
      </c>
      <c r="G14" s="15">
        <f>IF(COUNT(E14:E14)=0,"",LOOKUP(2,1/(E14:E14&lt;&gt;""),E14:E14))</f>
        <v/>
      </c>
      <c r="H14" s="17">
        <f>IF(F14="","",ROUND(F14*RESUMEN!$B$4,0))</f>
        <v/>
      </c>
      <c r="I14" s="18">
        <f>COUNT(E14:E14)</f>
        <v/>
      </c>
    </row>
    <row r="15">
      <c r="A15" s="13" t="inlineStr">
        <is>
          <t>85887251331053</t>
        </is>
      </c>
      <c r="B15" s="13" t="inlineStr">
        <is>
          <t>SUDADERA ZIPPER BEIGE JW</t>
        </is>
      </c>
      <c r="C15" s="13" t="inlineStr">
        <is>
          <t>M</t>
        </is>
      </c>
      <c r="D15" s="14" t="inlineStr"/>
      <c r="E15" s="15" t="n">
        <v>18.9</v>
      </c>
      <c r="F15" s="16">
        <f>IF(COUNT(E15:E15)=0,"",MIN(E15:E15))</f>
        <v/>
      </c>
      <c r="G15" s="15">
        <f>IF(COUNT(E15:E15)=0,"",LOOKUP(2,1/(E15:E15&lt;&gt;""),E15:E15))</f>
        <v/>
      </c>
      <c r="H15" s="17">
        <f>IF(F15="","",ROUND(F15*RESUMEN!$B$4,0))</f>
        <v/>
      </c>
      <c r="I15" s="18">
        <f>COUNT(E15:E15)</f>
        <v/>
      </c>
    </row>
    <row r="16">
      <c r="A16" s="13" t="inlineStr">
        <is>
          <t>85887252087757</t>
        </is>
      </c>
      <c r="B16" s="13" t="inlineStr">
        <is>
          <t>SUETER BONE JW</t>
        </is>
      </c>
      <c r="C16" s="13" t="inlineStr">
        <is>
          <t>L</t>
        </is>
      </c>
      <c r="D16" s="14" t="inlineStr"/>
      <c r="E16" s="15" t="n">
        <v>17.5</v>
      </c>
      <c r="F16" s="16">
        <f>IF(COUNT(E16:E16)=0,"",MIN(E16:E16))</f>
        <v/>
      </c>
      <c r="G16" s="15">
        <f>IF(COUNT(E16:E16)=0,"",LOOKUP(2,1/(E16:E16&lt;&gt;""),E16:E16))</f>
        <v/>
      </c>
      <c r="H16" s="17">
        <f>IF(F16="","",ROUND(F16*RESUMEN!$B$4,0))</f>
        <v/>
      </c>
      <c r="I16" s="18">
        <f>COUNT(E16:E16)</f>
        <v/>
      </c>
    </row>
    <row r="17">
      <c r="A17" s="13" t="inlineStr">
        <is>
          <t>85887252596845</t>
        </is>
      </c>
      <c r="B17" s="13" t="inlineStr">
        <is>
          <t>SUETER BROWN CASHMERE</t>
        </is>
      </c>
      <c r="C17" s="13" t="inlineStr">
        <is>
          <t>S</t>
        </is>
      </c>
      <c r="D17" s="14" t="inlineStr"/>
      <c r="E17" s="15" t="n">
        <v>16</v>
      </c>
      <c r="F17" s="16">
        <f>IF(COUNT(E17:E17)=0,"",MIN(E17:E17))</f>
        <v/>
      </c>
      <c r="G17" s="15">
        <f>IF(COUNT(E17:E17)=0,"",LOOKUP(2,1/(E17:E17&lt;&gt;""),E17:E17))</f>
        <v/>
      </c>
      <c r="H17" s="17">
        <f>IF(F17="","",ROUND(F17*RESUMEN!$B$4,0))</f>
        <v/>
      </c>
      <c r="I17" s="18">
        <f>COUNT(E17:E17)</f>
        <v/>
      </c>
    </row>
    <row r="18">
      <c r="A18" s="13" t="inlineStr">
        <is>
          <t>85887251403373</t>
        </is>
      </c>
      <c r="B18" s="13" t="inlineStr">
        <is>
          <t>SUETER CLASSIC BLACK CASHMERE</t>
        </is>
      </c>
      <c r="C18" s="13" t="inlineStr">
        <is>
          <t>M</t>
        </is>
      </c>
      <c r="D18" s="14" t="inlineStr"/>
      <c r="E18" s="15" t="n">
        <v>18</v>
      </c>
      <c r="F18" s="16">
        <f>IF(COUNT(E18:E18)=0,"",MIN(E18:E18))</f>
        <v/>
      </c>
      <c r="G18" s="15">
        <f>IF(COUNT(E18:E18)=0,"",LOOKUP(2,1/(E18:E18&lt;&gt;""),E18:E18))</f>
        <v/>
      </c>
      <c r="H18" s="17">
        <f>IF(F18="","",ROUND(F18*RESUMEN!$B$4,0))</f>
        <v/>
      </c>
      <c r="I18" s="18">
        <f>COUNT(E18:E18)</f>
        <v/>
      </c>
    </row>
    <row r="19">
      <c r="A19" s="13" t="inlineStr">
        <is>
          <t>85887251539533</t>
        </is>
      </c>
      <c r="B19" s="13" t="inlineStr">
        <is>
          <t>SUETER CLASSIC CAQUI CASHMERE</t>
        </is>
      </c>
      <c r="C19" s="13" t="inlineStr">
        <is>
          <t>M</t>
        </is>
      </c>
      <c r="D19" s="14" t="inlineStr"/>
      <c r="E19" s="15" t="n">
        <v>18</v>
      </c>
      <c r="F19" s="16">
        <f>IF(COUNT(E19:E19)=0,"",MIN(E19:E19))</f>
        <v/>
      </c>
      <c r="G19" s="15">
        <f>IF(COUNT(E19:E19)=0,"",LOOKUP(2,1/(E19:E19&lt;&gt;""),E19:E19))</f>
        <v/>
      </c>
      <c r="H19" s="17">
        <f>IF(F19="","",ROUND(F19*RESUMEN!$B$4,0))</f>
        <v/>
      </c>
      <c r="I19" s="18">
        <f>COUNT(E19:E19)</f>
        <v/>
      </c>
    </row>
    <row r="20">
      <c r="A20" s="13" t="inlineStr">
        <is>
          <t>85887251610157</t>
        </is>
      </c>
      <c r="B20" s="13" t="inlineStr">
        <is>
          <t>SUETER CLASSIC GREY CASHMERE</t>
        </is>
      </c>
      <c r="C20" s="13" t="inlineStr">
        <is>
          <t>M</t>
        </is>
      </c>
      <c r="D20" s="14" t="inlineStr"/>
      <c r="E20" s="15" t="n">
        <v>18</v>
      </c>
      <c r="F20" s="16">
        <f>IF(COUNT(E20:E20)=0,"",MIN(E20:E20))</f>
        <v/>
      </c>
      <c r="G20" s="15">
        <f>IF(COUNT(E20:E20)=0,"",LOOKUP(2,1/(E20:E20&lt;&gt;""),E20:E20))</f>
        <v/>
      </c>
      <c r="H20" s="17">
        <f>IF(F20="","",ROUND(F20*RESUMEN!$B$4,0))</f>
        <v/>
      </c>
      <c r="I20" s="18">
        <f>COUNT(E20:E20)</f>
        <v/>
      </c>
    </row>
    <row r="21">
      <c r="A21" s="13" t="inlineStr">
        <is>
          <t>85887252166317</t>
        </is>
      </c>
      <c r="B21" s="13" t="inlineStr">
        <is>
          <t>SUETER GREY CASHMERE</t>
        </is>
      </c>
      <c r="C21" s="13" t="inlineStr">
        <is>
          <t>L</t>
        </is>
      </c>
      <c r="D21" s="14" t="inlineStr"/>
      <c r="E21" s="15" t="n">
        <v>17.5</v>
      </c>
      <c r="F21" s="16">
        <f>IF(COUNT(E21:E21)=0,"",MIN(E21:E21))</f>
        <v/>
      </c>
      <c r="G21" s="15">
        <f>IF(COUNT(E21:E21)=0,"",LOOKUP(2,1/(E21:E21&lt;&gt;""),E21:E21))</f>
        <v/>
      </c>
      <c r="H21" s="17">
        <f>IF(F21="","",ROUND(F21*RESUMEN!$B$4,0))</f>
        <v/>
      </c>
      <c r="I21" s="18">
        <f>COUNT(E21:E21)</f>
        <v/>
      </c>
    </row>
    <row r="22">
      <c r="A22" s="13" t="inlineStr">
        <is>
          <t>85887252207565</t>
        </is>
      </c>
      <c r="B22" s="13" t="inlineStr">
        <is>
          <t>SUETER GREY PEARL JW</t>
        </is>
      </c>
      <c r="C22" s="13" t="inlineStr">
        <is>
          <t>M</t>
        </is>
      </c>
      <c r="D22" s="14" t="inlineStr"/>
      <c r="E22" s="15" t="n">
        <v>16</v>
      </c>
      <c r="F22" s="16">
        <f>IF(COUNT(E22:E22)=0,"",MIN(E22:E22))</f>
        <v/>
      </c>
      <c r="G22" s="15">
        <f>IF(COUNT(E22:E22)=0,"",LOOKUP(2,1/(E22:E22&lt;&gt;""),E22:E22))</f>
        <v/>
      </c>
      <c r="H22" s="17">
        <f>IF(F22="","",ROUND(F22*RESUMEN!$B$4,0))</f>
        <v/>
      </c>
      <c r="I22" s="18">
        <f>COUNT(E22:E22)</f>
        <v/>
      </c>
    </row>
    <row r="23">
      <c r="A23" s="13" t="inlineStr">
        <is>
          <t>85887252345421</t>
        </is>
      </c>
      <c r="B23" s="13" t="inlineStr">
        <is>
          <t>SUETER ZIPPER WHITE JW</t>
        </is>
      </c>
      <c r="C23" s="13" t="inlineStr">
        <is>
          <t>M</t>
        </is>
      </c>
      <c r="D23" s="14" t="inlineStr"/>
      <c r="E23" s="15" t="n">
        <v>8.800000000000001</v>
      </c>
      <c r="F23" s="16">
        <f>IF(COUNT(E23:E23)=0,"",MIN(E23:E23))</f>
        <v/>
      </c>
      <c r="G23" s="15">
        <f>IF(COUNT(E23:E23)=0,"",LOOKUP(2,1/(E23:E23&lt;&gt;""),E23:E23))</f>
        <v/>
      </c>
      <c r="H23" s="17">
        <f>IF(F23="","",ROUND(F23*RESUMEN!$B$4,0))</f>
        <v/>
      </c>
      <c r="I23" s="18">
        <f>COUNT(E23:E23)</f>
        <v/>
      </c>
    </row>
  </sheetData>
  <autoFilter ref="A4:I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0" t="inlineStr">
        <is>
          <t>HISTORIAL DE PRECIOS — COCO ZHANG</t>
        </is>
      </c>
    </row>
    <row r="2">
      <c r="A2" s="11" t="inlineStr">
        <is>
          <t>1 orden(es) · costo unitario en USD · MXN = MEJOR × RESUMEN!B4 · * = dato del historial previo</t>
        </is>
      </c>
    </row>
    <row r="4">
      <c r="A4" s="12" t="inlineStr">
        <is>
          <t>SKU</t>
        </is>
      </c>
      <c r="B4" s="12" t="inlineStr">
        <is>
          <t>PRODUCTO</t>
        </is>
      </c>
      <c r="C4" s="12" t="inlineStr">
        <is>
          <t>VARIANTE</t>
        </is>
      </c>
      <c r="D4" s="12" t="inlineStr">
        <is>
          <t>MATERIAL</t>
        </is>
      </c>
      <c r="E4" s="12" t="inlineStr">
        <is>
          <t>Feb 2026
16/02</t>
        </is>
      </c>
      <c r="F4" s="12" t="inlineStr">
        <is>
          <t>MEJOR
(US)</t>
        </is>
      </c>
      <c r="G4" s="12" t="inlineStr">
        <is>
          <t>ÚLTIMA
(US)</t>
        </is>
      </c>
      <c r="H4" s="12" t="inlineStr">
        <is>
          <t>MXN
(mejor×TC)</t>
        </is>
      </c>
      <c r="I4" s="12" t="inlineStr">
        <is>
          <t># ÓRD.</t>
        </is>
      </c>
    </row>
    <row r="5">
      <c r="A5" s="13" t="inlineStr">
        <is>
          <t>26853592178861</t>
        </is>
      </c>
      <c r="B5" s="13" t="inlineStr">
        <is>
          <t>GORRA 31 FOREVER BLACK</t>
        </is>
      </c>
      <c r="C5" s="13" t="inlineStr">
        <is>
          <t>Default Title</t>
        </is>
      </c>
      <c r="D5" s="14" t="inlineStr"/>
      <c r="E5" s="15" t="n">
        <v>15</v>
      </c>
      <c r="F5" s="16">
        <f>IF(COUNT(E5:E5)=0,"",MIN(E5:E5))</f>
        <v/>
      </c>
      <c r="G5" s="15">
        <f>IF(COUNT(E5:E5)=0,"",LOOKUP(2,1/(E5:E5&lt;&gt;""),E5:E5))</f>
        <v/>
      </c>
      <c r="H5" s="17">
        <f>IF(F5="","",ROUND(F5*RESUMEN!$B$4,0))</f>
        <v/>
      </c>
      <c r="I5" s="18">
        <f>COUNT(E5:E5)</f>
        <v/>
      </c>
    </row>
    <row r="6">
      <c r="A6" s="13" t="inlineStr">
        <is>
          <t>26853591980557</t>
        </is>
      </c>
      <c r="B6" s="13" t="inlineStr">
        <is>
          <t>GORRA BARBAS B CHROME</t>
        </is>
      </c>
      <c r="C6" s="13" t="inlineStr">
        <is>
          <t>Default Title</t>
        </is>
      </c>
      <c r="D6" s="14" t="inlineStr"/>
      <c r="E6" s="15" t="n">
        <v>15</v>
      </c>
      <c r="F6" s="16">
        <f>IF(COUNT(E6:E6)=0,"",MIN(E6:E6))</f>
        <v/>
      </c>
      <c r="G6" s="15">
        <f>IF(COUNT(E6:E6)=0,"",LOOKUP(2,1/(E6:E6&lt;&gt;""),E6:E6))</f>
        <v/>
      </c>
      <c r="H6" s="17">
        <f>IF(F6="","",ROUND(F6*RESUMEN!$B$4,0))</f>
        <v/>
      </c>
      <c r="I6" s="18">
        <f>COUNT(E6:E6)</f>
        <v/>
      </c>
    </row>
    <row r="7">
      <c r="A7" s="13" t="inlineStr">
        <is>
          <t>26853591099213</t>
        </is>
      </c>
      <c r="B7" s="13" t="inlineStr">
        <is>
          <t>GORRA BARBAS EL MAGO</t>
        </is>
      </c>
      <c r="C7" s="13" t="inlineStr">
        <is>
          <t>Default Title</t>
        </is>
      </c>
      <c r="D7" s="14" t="inlineStr"/>
      <c r="E7" s="15" t="n">
        <v>15</v>
      </c>
      <c r="F7" s="16">
        <f>IF(COUNT(E7:E7)=0,"",MIN(E7:E7))</f>
        <v/>
      </c>
      <c r="G7" s="15">
        <f>IF(COUNT(E7:E7)=0,"",LOOKUP(2,1/(E7:E7&lt;&gt;""),E7:E7))</f>
        <v/>
      </c>
      <c r="H7" s="17">
        <f>IF(F7="","",ROUND(F7*RESUMEN!$B$4,0))</f>
        <v/>
      </c>
      <c r="I7" s="18">
        <f>COUNT(E7:E7)</f>
        <v/>
      </c>
    </row>
    <row r="8">
      <c r="A8" s="13" t="inlineStr">
        <is>
          <t>26853591497517</t>
        </is>
      </c>
      <c r="B8" s="13" t="inlineStr">
        <is>
          <t>GORRA DANDY ONYX</t>
        </is>
      </c>
      <c r="C8" s="13" t="inlineStr">
        <is>
          <t>Default Title</t>
        </is>
      </c>
      <c r="D8" s="14" t="inlineStr"/>
      <c r="E8" s="15" t="n">
        <v>15</v>
      </c>
      <c r="F8" s="16">
        <f>IF(COUNT(E8:E8)=0,"",MIN(E8:E8))</f>
        <v/>
      </c>
      <c r="G8" s="15">
        <f>IF(COUNT(E8:E8)=0,"",LOOKUP(2,1/(E8:E8&lt;&gt;""),E8:E8))</f>
        <v/>
      </c>
      <c r="H8" s="17">
        <f>IF(F8="","",ROUND(F8*RESUMEN!$B$4,0))</f>
        <v/>
      </c>
      <c r="I8" s="18">
        <f>COUNT(E8:E8)</f>
        <v/>
      </c>
    </row>
    <row r="9">
      <c r="A9" s="13" t="inlineStr">
        <is>
          <t>26853591721805</t>
        </is>
      </c>
      <c r="B9" s="13" t="inlineStr">
        <is>
          <t>GORRA DANDY X JUNIOR CLAVE ALI</t>
        </is>
      </c>
      <c r="C9" s="13" t="inlineStr">
        <is>
          <t>Default Title</t>
        </is>
      </c>
      <c r="D9" s="14" t="inlineStr"/>
      <c r="E9" s="15" t="n">
        <v>15</v>
      </c>
      <c r="F9" s="16">
        <f>IF(COUNT(E9:E9)=0,"",MIN(E9:E9))</f>
        <v/>
      </c>
      <c r="G9" s="15">
        <f>IF(COUNT(E9:E9)=0,"",LOOKUP(2,1/(E9:E9&lt;&gt;""),E9:E9))</f>
        <v/>
      </c>
      <c r="H9" s="17">
        <f>IF(F9="","",ROUND(F9*RESUMEN!$B$4,0))</f>
        <v/>
      </c>
      <c r="I9" s="18">
        <f>COUNT(E9:E9)</f>
        <v/>
      </c>
    </row>
    <row r="10">
      <c r="A10" s="13" t="inlineStr">
        <is>
          <t>26853591657965</t>
        </is>
      </c>
      <c r="B10" s="13" t="inlineStr">
        <is>
          <t>GORRA DANDY X JUNIOR EL AZUL</t>
        </is>
      </c>
      <c r="C10" s="13" t="inlineStr">
        <is>
          <t>Default Title</t>
        </is>
      </c>
      <c r="D10" s="14" t="inlineStr"/>
      <c r="E10" s="15" t="n">
        <v>15</v>
      </c>
      <c r="F10" s="16">
        <f>IF(COUNT(E10:E10)=0,"",MIN(E10:E10))</f>
        <v/>
      </c>
      <c r="G10" s="15">
        <f>IF(COUNT(E10:E10)=0,"",LOOKUP(2,1/(E10:E10&lt;&gt;""),E10:E10))</f>
        <v/>
      </c>
      <c r="H10" s="17">
        <f>IF(F10="","",ROUND(F10*RESUMEN!$B$4,0))</f>
        <v/>
      </c>
      <c r="I10" s="18">
        <f>COUNT(E10:E10)</f>
        <v/>
      </c>
    </row>
    <row r="11">
      <c r="A11" s="13" t="inlineStr">
        <is>
          <t>26853592046093</t>
        </is>
      </c>
      <c r="B11" s="13" t="inlineStr">
        <is>
          <t>GORRA DANDY X LOST HILLS LH CHROME</t>
        </is>
      </c>
      <c r="C11" s="13" t="inlineStr">
        <is>
          <t>Default Title</t>
        </is>
      </c>
      <c r="D11" s="14" t="inlineStr"/>
      <c r="E11" s="15" t="n">
        <v>15</v>
      </c>
      <c r="F11" s="16">
        <f>IF(COUNT(E11:E11)=0,"",MIN(E11:E11))</f>
        <v/>
      </c>
      <c r="G11" s="15">
        <f>IF(COUNT(E11:E11)=0,"",LOOKUP(2,1/(E11:E11&lt;&gt;""),E11:E11))</f>
        <v/>
      </c>
      <c r="H11" s="17">
        <f>IF(F11="","",ROUND(F11*RESUMEN!$B$4,0))</f>
        <v/>
      </c>
      <c r="I11" s="18">
        <f>COUNT(E11:E11)</f>
        <v/>
      </c>
    </row>
    <row r="12">
      <c r="A12" s="13" t="inlineStr">
        <is>
          <t>26853592244397</t>
        </is>
      </c>
      <c r="B12" s="13" t="inlineStr">
        <is>
          <t>GORRA EL BARBAS 77</t>
        </is>
      </c>
      <c r="C12" s="13" t="inlineStr">
        <is>
          <t>Default Title</t>
        </is>
      </c>
      <c r="D12" s="14" t="inlineStr"/>
      <c r="E12" s="15" t="n">
        <v>15</v>
      </c>
      <c r="F12" s="16">
        <f>IF(COUNT(E12:E12)=0,"",MIN(E12:E12))</f>
        <v/>
      </c>
      <c r="G12" s="15">
        <f>IF(COUNT(E12:E12)=0,"",LOOKUP(2,1/(E12:E12&lt;&gt;""),E12:E12))</f>
        <v/>
      </c>
      <c r="H12" s="17">
        <f>IF(F12="","",ROUND(F12*RESUMEN!$B$4,0))</f>
        <v/>
      </c>
      <c r="I12" s="18">
        <f>COUNT(E12:E12)</f>
        <v/>
      </c>
    </row>
    <row r="13">
      <c r="A13" s="13" t="inlineStr">
        <is>
          <t>26853591330285</t>
        </is>
      </c>
      <c r="B13" s="13" t="inlineStr">
        <is>
          <t>GORRA EL BARBAS CHROME</t>
        </is>
      </c>
      <c r="C13" s="13" t="inlineStr">
        <is>
          <t>Default Title</t>
        </is>
      </c>
      <c r="D13" s="14" t="inlineStr"/>
      <c r="E13" s="15" t="n">
        <v>15</v>
      </c>
      <c r="F13" s="16">
        <f>IF(COUNT(E13:E13)=0,"",MIN(E13:E13))</f>
        <v/>
      </c>
      <c r="G13" s="15">
        <f>IF(COUNT(E13:E13)=0,"",LOOKUP(2,1/(E13:E13&lt;&gt;""),E13:E13))</f>
        <v/>
      </c>
      <c r="H13" s="17">
        <f>IF(F13="","",ROUND(F13*RESUMEN!$B$4,0))</f>
        <v/>
      </c>
      <c r="I13" s="18">
        <f>COUNT(E13:E13)</f>
        <v/>
      </c>
    </row>
    <row r="14">
      <c r="A14" s="13" t="inlineStr">
        <is>
          <t>26853591295821</t>
        </is>
      </c>
      <c r="B14" s="13" t="inlineStr">
        <is>
          <t>GORRA EL BARBAS CHROME X CT</t>
        </is>
      </c>
      <c r="C14" s="13" t="inlineStr">
        <is>
          <t>Default Title</t>
        </is>
      </c>
      <c r="D14" s="14" t="inlineStr"/>
      <c r="E14" s="15" t="n">
        <v>15</v>
      </c>
      <c r="F14" s="16">
        <f>IF(COUNT(E14:E14)=0,"",MIN(E14:E14))</f>
        <v/>
      </c>
      <c r="G14" s="15">
        <f>IF(COUNT(E14:E14)=0,"",LOOKUP(2,1/(E14:E14&lt;&gt;""),E14:E14))</f>
        <v/>
      </c>
      <c r="H14" s="17">
        <f>IF(F14="","",ROUND(F14*RESUMEN!$B$4,0))</f>
        <v/>
      </c>
      <c r="I14" s="18">
        <f>COUNT(E14:E14)</f>
        <v/>
      </c>
    </row>
    <row r="15">
      <c r="A15" s="13" t="inlineStr">
        <is>
          <t>26853591847789</t>
        </is>
      </c>
      <c r="B15" s="13" t="inlineStr">
        <is>
          <t>GORRA EL BARBAS GALAXY</t>
        </is>
      </c>
      <c r="C15" s="13" t="inlineStr">
        <is>
          <t>Default Title</t>
        </is>
      </c>
      <c r="D15" s="14" t="inlineStr"/>
      <c r="E15" s="15" t="n">
        <v>15</v>
      </c>
      <c r="F15" s="16">
        <f>IF(COUNT(E15:E15)=0,"",MIN(E15:E15))</f>
        <v/>
      </c>
      <c r="G15" s="15">
        <f>IF(COUNT(E15:E15)=0,"",LOOKUP(2,1/(E15:E15&lt;&gt;""),E15:E15))</f>
        <v/>
      </c>
      <c r="H15" s="17">
        <f>IF(F15="","",ROUND(F15*RESUMEN!$B$4,0))</f>
        <v/>
      </c>
      <c r="I15" s="18">
        <f>COUNT(E15:E15)</f>
        <v/>
      </c>
    </row>
    <row r="16">
      <c r="A16" s="13" t="inlineStr">
        <is>
          <t>26853591559661</t>
        </is>
      </c>
      <c r="B16" s="13" t="inlineStr">
        <is>
          <t>GORRA EL BARBAS X RICH THE KID STATE</t>
        </is>
      </c>
      <c r="C16" s="13" t="inlineStr">
        <is>
          <t>Default Title</t>
        </is>
      </c>
      <c r="D16" s="14" t="inlineStr"/>
      <c r="E16" s="15" t="n">
        <v>15</v>
      </c>
      <c r="F16" s="16">
        <f>IF(COUNT(E16:E16)=0,"",MIN(E16:E16))</f>
        <v/>
      </c>
      <c r="G16" s="15">
        <f>IF(COUNT(E16:E16)=0,"",LOOKUP(2,1/(E16:E16&lt;&gt;""),E16:E16))</f>
        <v/>
      </c>
      <c r="H16" s="17">
        <f>IF(F16="","",ROUND(F16*RESUMEN!$B$4,0))</f>
        <v/>
      </c>
      <c r="I16" s="18">
        <f>COUNT(E16:E16)</f>
        <v/>
      </c>
    </row>
    <row r="17">
      <c r="A17" s="13" t="inlineStr">
        <is>
          <t>26853591164749</t>
        </is>
      </c>
      <c r="B17" s="13" t="inlineStr">
        <is>
          <t>GORRA THIRTY ONE FOREVER</t>
        </is>
      </c>
      <c r="C17" s="13" t="inlineStr">
        <is>
          <t>Default Title</t>
        </is>
      </c>
      <c r="D17" s="14" t="inlineStr"/>
      <c r="E17" s="15" t="n">
        <v>15</v>
      </c>
      <c r="F17" s="16">
        <f>IF(COUNT(E17:E17)=0,"",MIN(E17:E17))</f>
        <v/>
      </c>
      <c r="G17" s="15">
        <f>IF(COUNT(E17:E17)=0,"",LOOKUP(2,1/(E17:E17&lt;&gt;""),E17:E17))</f>
        <v/>
      </c>
      <c r="H17" s="17">
        <f>IF(F17="","",ROUND(F17*RESUMEN!$B$4,0))</f>
        <v/>
      </c>
      <c r="I17" s="18">
        <f>COUNT(E17:E17)</f>
        <v/>
      </c>
    </row>
  </sheetData>
  <autoFilter ref="A4:I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16" customWidth="1" min="4" max="4"/>
    <col width="36" customWidth="1" min="5" max="5"/>
    <col width="12" customWidth="1" min="6" max="6"/>
    <col width="7" customWidth="1" min="7" max="7"/>
    <col width="12" customWidth="1" min="8" max="8"/>
    <col width="14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>
      <c r="A1" s="20" t="inlineStr">
        <is>
          <t>PROVEEDOR</t>
        </is>
      </c>
      <c r="B1" s="20" t="inlineStr">
        <is>
          <t>ORDEN</t>
        </is>
      </c>
      <c r="C1" s="20" t="inlineStr">
        <is>
          <t>FECHA</t>
        </is>
      </c>
      <c r="D1" s="20" t="inlineStr">
        <is>
          <t>SKU</t>
        </is>
      </c>
      <c r="E1" s="20" t="inlineStr">
        <is>
          <t>PRODUCTO</t>
        </is>
      </c>
      <c r="F1" s="20" t="inlineStr">
        <is>
          <t>VARIANTE</t>
        </is>
      </c>
      <c r="G1" s="20" t="inlineStr">
        <is>
          <t>CANT.</t>
        </is>
      </c>
      <c r="H1" s="20" t="inlineStr">
        <is>
          <t>COSTO UNIT (US)</t>
        </is>
      </c>
      <c r="I1" s="20" t="inlineStr">
        <is>
          <t>COSTO UNIT TOTAL (MXN)</t>
        </is>
      </c>
      <c r="J1" s="20" t="inlineStr">
        <is>
          <t>ROAS 3</t>
        </is>
      </c>
      <c r="K1" s="20" t="inlineStr">
        <is>
          <t>ROAS 3.5</t>
        </is>
      </c>
      <c r="L1" s="20" t="inlineStr">
        <is>
          <t>ROAS 4</t>
        </is>
      </c>
      <c r="M1" s="20" t="inlineStr">
        <is>
          <t>PRECIO VENTA (al ordenar)</t>
        </is>
      </c>
    </row>
    <row r="2">
      <c r="A2" s="9" t="inlineStr">
        <is>
          <t>DINA DU</t>
        </is>
      </c>
      <c r="B2" s="9" t="inlineStr">
        <is>
          <t>ord.1046*</t>
        </is>
      </c>
      <c r="C2" s="9" t="inlineStr">
        <is>
          <t>2024-12-01</t>
        </is>
      </c>
      <c r="D2" s="9" t="inlineStr">
        <is>
          <t>⚠️ 25</t>
        </is>
      </c>
      <c r="E2" s="9" t="inlineStr">
        <is>
          <t>KX331782 white-3 nude-2 black-5</t>
        </is>
      </c>
      <c r="F2" s="9" t="inlineStr"/>
      <c r="G2" s="9" t="n"/>
      <c r="H2" s="21" t="n">
        <v>46</v>
      </c>
      <c r="I2" s="21" t="n"/>
      <c r="J2" s="21" t="n"/>
      <c r="K2" s="21" t="n"/>
      <c r="L2" s="21" t="n"/>
      <c r="M2" s="21" t="n"/>
    </row>
    <row r="3">
      <c r="A3" s="9" t="inlineStr">
        <is>
          <t>DINA DU</t>
        </is>
      </c>
      <c r="B3" s="9" t="inlineStr">
        <is>
          <t>ord.1046*</t>
        </is>
      </c>
      <c r="C3" s="9" t="inlineStr">
        <is>
          <t>2024-12-01</t>
        </is>
      </c>
      <c r="D3" s="9" t="inlineStr">
        <is>
          <t>⚠️ 26</t>
        </is>
      </c>
      <c r="E3" s="9" t="inlineStr">
        <is>
          <t>WL超纤657228 black-3 white-3 khaki-2</t>
        </is>
      </c>
      <c r="F3" s="9" t="inlineStr"/>
      <c r="G3" s="9" t="n"/>
      <c r="H3" s="21" t="n">
        <v>46</v>
      </c>
      <c r="I3" s="21" t="n"/>
      <c r="J3" s="21" t="n"/>
      <c r="K3" s="21" t="n"/>
      <c r="L3" s="21" t="n"/>
      <c r="M3" s="21" t="n"/>
    </row>
    <row r="4">
      <c r="A4" s="9" t="inlineStr">
        <is>
          <t>DINA DU</t>
        </is>
      </c>
      <c r="B4" s="9" t="inlineStr">
        <is>
          <t>ord.1046*</t>
        </is>
      </c>
      <c r="C4" s="9" t="inlineStr">
        <is>
          <t>2024-12-01</t>
        </is>
      </c>
      <c r="D4" s="9" t="inlineStr">
        <is>
          <t>⚠️ 13</t>
        </is>
      </c>
      <c r="E4" s="9" t="inlineStr">
        <is>
          <t>black</t>
        </is>
      </c>
      <c r="F4" s="9" t="inlineStr"/>
      <c r="G4" s="9" t="n"/>
      <c r="H4" s="21" t="n">
        <v>43</v>
      </c>
      <c r="I4" s="21" t="n"/>
      <c r="J4" s="21" t="n"/>
      <c r="K4" s="21" t="n"/>
      <c r="L4" s="21" t="n"/>
      <c r="M4" s="21" t="n"/>
    </row>
    <row r="5">
      <c r="A5" s="9" t="inlineStr">
        <is>
          <t>DINA DU</t>
        </is>
      </c>
      <c r="B5" s="9" t="inlineStr">
        <is>
          <t>ord.1046*</t>
        </is>
      </c>
      <c r="C5" s="9" t="inlineStr">
        <is>
          <t>2024-12-01</t>
        </is>
      </c>
      <c r="D5" s="9" t="inlineStr">
        <is>
          <t>⚠️ 16</t>
        </is>
      </c>
      <c r="E5" s="9" t="inlineStr">
        <is>
          <t>black</t>
        </is>
      </c>
      <c r="F5" s="9" t="inlineStr"/>
      <c r="G5" s="9" t="n"/>
      <c r="H5" s="21" t="n">
        <v>21</v>
      </c>
      <c r="I5" s="21" t="n"/>
      <c r="J5" s="21" t="n"/>
      <c r="K5" s="21" t="n"/>
      <c r="L5" s="21" t="n"/>
      <c r="M5" s="21" t="n"/>
    </row>
    <row r="6">
      <c r="A6" s="9" t="inlineStr">
        <is>
          <t>DINA DU</t>
        </is>
      </c>
      <c r="B6" s="9" t="inlineStr">
        <is>
          <t>ord.1046*</t>
        </is>
      </c>
      <c r="C6" s="9" t="inlineStr">
        <is>
          <t>2024-12-01</t>
        </is>
      </c>
      <c r="D6" s="9" t="inlineStr">
        <is>
          <t>⚠️ 20</t>
        </is>
      </c>
      <c r="E6" s="9" t="inlineStr">
        <is>
          <t>black- 10 beige-6</t>
        </is>
      </c>
      <c r="F6" s="9" t="inlineStr"/>
      <c r="G6" s="9" t="n"/>
      <c r="H6" s="21" t="n">
        <v>9</v>
      </c>
      <c r="I6" s="21" t="n"/>
      <c r="J6" s="21" t="n"/>
      <c r="K6" s="21" t="n"/>
      <c r="L6" s="21" t="n"/>
      <c r="M6" s="21" t="n"/>
    </row>
    <row r="7">
      <c r="A7" s="9" t="inlineStr">
        <is>
          <t>DINA DU</t>
        </is>
      </c>
      <c r="B7" s="9" t="inlineStr">
        <is>
          <t>ord.1046*</t>
        </is>
      </c>
      <c r="C7" s="9" t="inlineStr">
        <is>
          <t>2024-12-01</t>
        </is>
      </c>
      <c r="D7" s="9" t="inlineStr">
        <is>
          <t>⚠️ 19</t>
        </is>
      </c>
      <c r="E7" s="9" t="inlineStr">
        <is>
          <t>black-10 white-5</t>
        </is>
      </c>
      <c r="F7" s="9" t="inlineStr"/>
      <c r="G7" s="9" t="n"/>
      <c r="H7" s="21" t="n">
        <v>11</v>
      </c>
      <c r="I7" s="21" t="n"/>
      <c r="J7" s="21" t="n"/>
      <c r="K7" s="21" t="n"/>
      <c r="L7" s="21" t="n"/>
      <c r="M7" s="21" t="n"/>
    </row>
    <row r="8">
      <c r="A8" s="9" t="inlineStr">
        <is>
          <t>DINA DU</t>
        </is>
      </c>
      <c r="B8" s="9" t="inlineStr">
        <is>
          <t>ord.1046*</t>
        </is>
      </c>
      <c r="C8" s="9" t="inlineStr">
        <is>
          <t>2024-12-01</t>
        </is>
      </c>
      <c r="D8" s="9" t="inlineStr">
        <is>
          <t>⚠️ 22</t>
        </is>
      </c>
      <c r="E8" s="9" t="inlineStr">
        <is>
          <t>white M-6 L-3 black M-8 L-5</t>
        </is>
      </c>
      <c r="F8" s="9" t="inlineStr"/>
      <c r="G8" s="9" t="n"/>
      <c r="H8" s="21" t="n">
        <v>27</v>
      </c>
      <c r="I8" s="21" t="n"/>
      <c r="J8" s="21" t="n"/>
      <c r="K8" s="21" t="n"/>
      <c r="L8" s="21" t="n"/>
      <c r="M8" s="21" t="n"/>
    </row>
    <row r="9">
      <c r="A9" s="9" t="inlineStr">
        <is>
          <t>DINA DU</t>
        </is>
      </c>
      <c r="B9" s="9" t="inlineStr">
        <is>
          <t>ord.1046*</t>
        </is>
      </c>
      <c r="C9" s="9" t="inlineStr">
        <is>
          <t>2024-12-01</t>
        </is>
      </c>
      <c r="D9" s="9" t="inlineStr">
        <is>
          <t>⚠️ 14</t>
        </is>
      </c>
      <c r="E9" s="9" t="inlineStr">
        <is>
          <t>wine red</t>
        </is>
      </c>
      <c r="F9" s="9" t="inlineStr"/>
      <c r="G9" s="9" t="n"/>
      <c r="H9" s="21" t="n">
        <v>20</v>
      </c>
      <c r="I9" s="21" t="n"/>
      <c r="J9" s="21" t="n"/>
      <c r="K9" s="21" t="n"/>
      <c r="L9" s="21" t="n"/>
      <c r="M9" s="21" t="n"/>
    </row>
    <row r="10">
      <c r="A10" s="9" t="inlineStr">
        <is>
          <t>DINA DU</t>
        </is>
      </c>
      <c r="B10" s="9" t="inlineStr">
        <is>
          <t>ord.1046*</t>
        </is>
      </c>
      <c r="C10" s="9" t="inlineStr">
        <is>
          <t>2025-01-01</t>
        </is>
      </c>
      <c r="D10" s="9" t="inlineStr">
        <is>
          <t>⚠️ 17</t>
        </is>
      </c>
      <c r="E10" s="9" t="inlineStr">
        <is>
          <t>2-M</t>
        </is>
      </c>
      <c r="F10" s="9" t="inlineStr"/>
      <c r="G10" s="9" t="n"/>
      <c r="H10" s="21" t="n">
        <v>16</v>
      </c>
      <c r="I10" s="21" t="n"/>
      <c r="J10" s="21" t="n"/>
      <c r="K10" s="21" t="n"/>
      <c r="L10" s="21" t="n"/>
      <c r="M10" s="21" t="n"/>
    </row>
    <row r="11">
      <c r="A11" s="9" t="inlineStr">
        <is>
          <t>DINA DU</t>
        </is>
      </c>
      <c r="B11" s="9" t="inlineStr">
        <is>
          <t>ord.1046*</t>
        </is>
      </c>
      <c r="C11" s="9" t="inlineStr">
        <is>
          <t>2025-01-01</t>
        </is>
      </c>
      <c r="D11" s="9" t="inlineStr">
        <is>
          <t>⚠️ 24</t>
        </is>
      </c>
      <c r="E11" s="9" t="inlineStr">
        <is>
          <t>M62650</t>
        </is>
      </c>
      <c r="F11" s="9" t="inlineStr"/>
      <c r="G11" s="9" t="n"/>
      <c r="H11" s="21" t="n">
        <v>13</v>
      </c>
      <c r="I11" s="21" t="n"/>
      <c r="J11" s="21" t="n"/>
      <c r="K11" s="21" t="n"/>
      <c r="L11" s="21" t="n"/>
      <c r="M11" s="21" t="n"/>
    </row>
    <row r="12">
      <c r="A12" s="9" t="inlineStr">
        <is>
          <t>DINA DU</t>
        </is>
      </c>
      <c r="B12" s="9" t="inlineStr">
        <is>
          <t>ord.1046*</t>
        </is>
      </c>
      <c r="C12" s="9" t="inlineStr">
        <is>
          <t>2025-01-01</t>
        </is>
      </c>
      <c r="D12" s="9" t="inlineStr">
        <is>
          <t>⚠️ 11</t>
        </is>
      </c>
      <c r="E12" s="9" t="inlineStr">
        <is>
          <t>brown</t>
        </is>
      </c>
      <c r="F12" s="9" t="inlineStr"/>
      <c r="G12" s="9" t="n"/>
      <c r="H12" s="21" t="n">
        <v>22</v>
      </c>
      <c r="I12" s="21" t="n"/>
      <c r="J12" s="21" t="n"/>
      <c r="K12" s="21" t="n"/>
      <c r="L12" s="21" t="n"/>
      <c r="M12" s="21" t="n"/>
    </row>
    <row r="13">
      <c r="A13" s="9" t="inlineStr">
        <is>
          <t>DINA DU</t>
        </is>
      </c>
      <c r="B13" s="9" t="inlineStr">
        <is>
          <t>ord.1046*</t>
        </is>
      </c>
      <c r="C13" s="9" t="inlineStr">
        <is>
          <t>2025-01-01</t>
        </is>
      </c>
      <c r="D13" s="9" t="inlineStr">
        <is>
          <t>⚠️ 12</t>
        </is>
      </c>
      <c r="E13" s="9" t="inlineStr">
        <is>
          <t>brown</t>
        </is>
      </c>
      <c r="F13" s="9" t="inlineStr"/>
      <c r="G13" s="9" t="n"/>
      <c r="H13" s="21" t="n">
        <v>39</v>
      </c>
      <c r="I13" s="21" t="n"/>
      <c r="J13" s="21" t="n"/>
      <c r="K13" s="21" t="n"/>
      <c r="L13" s="21" t="n"/>
      <c r="M13" s="21" t="n"/>
    </row>
    <row r="14">
      <c r="A14" s="9" t="inlineStr">
        <is>
          <t>DINA DU</t>
        </is>
      </c>
      <c r="B14" s="9" t="inlineStr">
        <is>
          <t>ord.1046*</t>
        </is>
      </c>
      <c r="C14" s="9" t="inlineStr">
        <is>
          <t>2025-01-01</t>
        </is>
      </c>
      <c r="D14" s="9" t="inlineStr">
        <is>
          <t>⚠️ 15</t>
        </is>
      </c>
      <c r="E14" s="9" t="inlineStr">
        <is>
          <t>pink-3 black-5</t>
        </is>
      </c>
      <c r="F14" s="9" t="inlineStr"/>
      <c r="G14" s="9" t="n"/>
      <c r="H14" s="21" t="n">
        <v>20</v>
      </c>
      <c r="I14" s="21" t="n"/>
      <c r="J14" s="21" t="n"/>
      <c r="K14" s="21" t="n"/>
      <c r="L14" s="21" t="n"/>
      <c r="M14" s="21" t="n"/>
    </row>
    <row r="15">
      <c r="A15" s="9" t="inlineStr">
        <is>
          <t>DINA DU</t>
        </is>
      </c>
      <c r="B15" s="9" t="inlineStr">
        <is>
          <t>ord.1046*</t>
        </is>
      </c>
      <c r="C15" s="9" t="inlineStr">
        <is>
          <t>2025-01-01</t>
        </is>
      </c>
      <c r="D15" s="9" t="inlineStr">
        <is>
          <t>⚠️ 10</t>
        </is>
      </c>
      <c r="E15" s="9" t="inlineStr">
        <is>
          <t>silver</t>
        </is>
      </c>
      <c r="F15" s="9" t="inlineStr"/>
      <c r="G15" s="9" t="n"/>
      <c r="H15" s="21" t="n">
        <v>2.79</v>
      </c>
      <c r="I15" s="21" t="n"/>
      <c r="J15" s="21" t="n"/>
      <c r="K15" s="21" t="n"/>
      <c r="L15" s="21" t="n"/>
      <c r="M15" s="21" t="n"/>
    </row>
    <row r="16">
      <c r="A16" s="9" t="inlineStr">
        <is>
          <t>DINA DU</t>
        </is>
      </c>
      <c r="B16" s="9" t="inlineStr">
        <is>
          <t>ord.1046*</t>
        </is>
      </c>
      <c r="C16" s="9" t="inlineStr">
        <is>
          <t>2025-01-01</t>
        </is>
      </c>
      <c r="D16" s="9" t="inlineStr">
        <is>
          <t>⚠️ 18</t>
        </is>
      </c>
      <c r="E16" s="9" t="inlineStr">
        <is>
          <t>silver-10 gold-5</t>
        </is>
      </c>
      <c r="F16" s="9" t="inlineStr"/>
      <c r="G16" s="9" t="n"/>
      <c r="H16" s="21" t="n">
        <v>12</v>
      </c>
      <c r="I16" s="21" t="n"/>
      <c r="J16" s="21" t="n"/>
      <c r="K16" s="21" t="n"/>
      <c r="L16" s="21" t="n"/>
      <c r="M16" s="21" t="n"/>
    </row>
    <row r="17">
      <c r="A17" s="9" t="inlineStr">
        <is>
          <t>COCOMA</t>
        </is>
      </c>
      <c r="B17" s="9" t="inlineStr">
        <is>
          <t>COCOMA MAYO 2025</t>
        </is>
      </c>
      <c r="C17" s="9" t="inlineStr">
        <is>
          <t>2025-05-01</t>
        </is>
      </c>
      <c r="D17" s="9" t="inlineStr">
        <is>
          <t>654bd7ac2dee3</t>
        </is>
      </c>
      <c r="E17" s="9" t="inlineStr">
        <is>
          <t>ANILLO BV 3 OROS</t>
        </is>
      </c>
      <c r="F17" s="9" t="inlineStr">
        <is>
          <t>5</t>
        </is>
      </c>
      <c r="G17" s="9" t="n">
        <v>2</v>
      </c>
      <c r="H17" s="21" t="n">
        <v>4.08</v>
      </c>
      <c r="I17" s="21" t="n">
        <v>99.94</v>
      </c>
      <c r="J17" s="21" t="n">
        <v>299.82</v>
      </c>
      <c r="K17" s="21" t="n">
        <v>349.79</v>
      </c>
      <c r="L17" s="21" t="n">
        <v>399.76</v>
      </c>
      <c r="M17" s="21" t="n">
        <v>520</v>
      </c>
    </row>
    <row r="18">
      <c r="A18" s="9" t="inlineStr">
        <is>
          <t>COCOMA</t>
        </is>
      </c>
      <c r="B18" s="9" t="inlineStr">
        <is>
          <t>COCOMA MAYO 2025</t>
        </is>
      </c>
      <c r="C18" s="9" t="inlineStr">
        <is>
          <t>2025-05-01</t>
        </is>
      </c>
      <c r="D18" s="9" t="inlineStr">
        <is>
          <t>64e78e797f140</t>
        </is>
      </c>
      <c r="E18" s="9" t="inlineStr">
        <is>
          <t>ANILLO BV 3 OROS</t>
        </is>
      </c>
      <c r="F18" s="9" t="inlineStr">
        <is>
          <t>6</t>
        </is>
      </c>
      <c r="G18" s="9" t="n">
        <v>8</v>
      </c>
      <c r="H18" s="21" t="n">
        <v>4.08</v>
      </c>
      <c r="I18" s="21" t="n">
        <v>99.94</v>
      </c>
      <c r="J18" s="21" t="n">
        <v>299.82</v>
      </c>
      <c r="K18" s="21" t="n">
        <v>349.79</v>
      </c>
      <c r="L18" s="21" t="n">
        <v>399.76</v>
      </c>
      <c r="M18" s="21" t="n">
        <v>520</v>
      </c>
    </row>
    <row r="19">
      <c r="A19" s="9" t="inlineStr">
        <is>
          <t>COCOMA</t>
        </is>
      </c>
      <c r="B19" s="9" t="inlineStr">
        <is>
          <t>COCOMA MAYO 2025</t>
        </is>
      </c>
      <c r="C19" s="9" t="inlineStr">
        <is>
          <t>2025-05-01</t>
        </is>
      </c>
      <c r="D19" s="9" t="inlineStr">
        <is>
          <t>64e78e7a486d9</t>
        </is>
      </c>
      <c r="E19" s="9" t="inlineStr">
        <is>
          <t>ANILLO BV 3 OROS</t>
        </is>
      </c>
      <c r="F19" s="9" t="inlineStr">
        <is>
          <t>7</t>
        </is>
      </c>
      <c r="G19" s="9" t="n">
        <v>10</v>
      </c>
      <c r="H19" s="21" t="n">
        <v>4.08</v>
      </c>
      <c r="I19" s="21" t="n">
        <v>99.94</v>
      </c>
      <c r="J19" s="21" t="n">
        <v>299.82</v>
      </c>
      <c r="K19" s="21" t="n">
        <v>349.79</v>
      </c>
      <c r="L19" s="21" t="n">
        <v>399.76</v>
      </c>
      <c r="M19" s="21" t="n">
        <v>520</v>
      </c>
    </row>
    <row r="20">
      <c r="A20" s="9" t="inlineStr">
        <is>
          <t>COCOMA</t>
        </is>
      </c>
      <c r="B20" s="9" t="inlineStr">
        <is>
          <t>COCOMA MAYO 2025</t>
        </is>
      </c>
      <c r="C20" s="9" t="inlineStr">
        <is>
          <t>2025-05-01</t>
        </is>
      </c>
      <c r="D20" s="9" t="inlineStr">
        <is>
          <t>64e78e7b03ab1</t>
        </is>
      </c>
      <c r="E20" s="9" t="inlineStr">
        <is>
          <t>ANILLO BV 3 OROS</t>
        </is>
      </c>
      <c r="F20" s="9" t="inlineStr">
        <is>
          <t>8</t>
        </is>
      </c>
      <c r="G20" s="9" t="n">
        <v>3</v>
      </c>
      <c r="H20" s="21" t="n">
        <v>4.08</v>
      </c>
      <c r="I20" s="21" t="n">
        <v>99.94</v>
      </c>
      <c r="J20" s="21" t="n">
        <v>299.82</v>
      </c>
      <c r="K20" s="21" t="n">
        <v>349.79</v>
      </c>
      <c r="L20" s="21" t="n">
        <v>399.76</v>
      </c>
      <c r="M20" s="21" t="n">
        <v>520</v>
      </c>
    </row>
    <row r="21">
      <c r="A21" s="9" t="inlineStr">
        <is>
          <t>COCOMA</t>
        </is>
      </c>
      <c r="B21" s="9" t="inlineStr">
        <is>
          <t>COCOMA MAYO 2025</t>
        </is>
      </c>
      <c r="C21" s="9" t="inlineStr">
        <is>
          <t>2025-05-01</t>
        </is>
      </c>
      <c r="D21" s="9" t="inlineStr">
        <is>
          <t>64e78e7bb52a6</t>
        </is>
      </c>
      <c r="E21" s="9" t="inlineStr">
        <is>
          <t>ANILLO BV 3 OROS</t>
        </is>
      </c>
      <c r="F21" s="9" t="inlineStr">
        <is>
          <t>9</t>
        </is>
      </c>
      <c r="G21" s="9" t="n">
        <v>2</v>
      </c>
      <c r="H21" s="21" t="n">
        <v>4.08</v>
      </c>
      <c r="I21" s="21" t="n">
        <v>99.94</v>
      </c>
      <c r="J21" s="21" t="n">
        <v>299.82</v>
      </c>
      <c r="K21" s="21" t="n">
        <v>349.79</v>
      </c>
      <c r="L21" s="21" t="n">
        <v>399.76</v>
      </c>
      <c r="M21" s="21" t="n">
        <v>364</v>
      </c>
    </row>
    <row r="22">
      <c r="A22" s="9" t="inlineStr">
        <is>
          <t>COCOMA</t>
        </is>
      </c>
      <c r="B22" s="9" t="inlineStr">
        <is>
          <t>COCOMA MAYO 2025</t>
        </is>
      </c>
      <c r="C22" s="9" t="inlineStr">
        <is>
          <t>2025-05-01</t>
        </is>
      </c>
      <c r="D22" s="9" t="inlineStr">
        <is>
          <t>2653039370892</t>
        </is>
      </c>
      <c r="E22" s="9" t="inlineStr">
        <is>
          <t>ANILLO BV GOLD</t>
        </is>
      </c>
      <c r="F22" s="9" t="inlineStr">
        <is>
          <t>6</t>
        </is>
      </c>
      <c r="G22" s="9" t="n">
        <v>7</v>
      </c>
      <c r="H22" s="21" t="n">
        <v>4.06</v>
      </c>
      <c r="I22" s="21" t="n">
        <v>99.45</v>
      </c>
      <c r="J22" s="21" t="n">
        <v>298.35</v>
      </c>
      <c r="K22" s="21" t="n">
        <v>348.08</v>
      </c>
      <c r="L22" s="21" t="n">
        <v>397.8</v>
      </c>
      <c r="M22" s="21" t="n">
        <v>550</v>
      </c>
    </row>
    <row r="23">
      <c r="A23" s="9" t="inlineStr">
        <is>
          <t>COCOMA</t>
        </is>
      </c>
      <c r="B23" s="9" t="inlineStr">
        <is>
          <t>COCOMA MAYO 2025</t>
        </is>
      </c>
      <c r="C23" s="9" t="inlineStr">
        <is>
          <t>2025-05-01</t>
        </is>
      </c>
      <c r="D23" s="9" t="inlineStr">
        <is>
          <t>2653039403660</t>
        </is>
      </c>
      <c r="E23" s="9" t="inlineStr">
        <is>
          <t>ANILLO BV GOLD</t>
        </is>
      </c>
      <c r="F23" s="9" t="inlineStr">
        <is>
          <t>7</t>
        </is>
      </c>
      <c r="G23" s="9" t="n">
        <v>3</v>
      </c>
      <c r="H23" s="21" t="n">
        <v>4.06</v>
      </c>
      <c r="I23" s="21" t="n">
        <v>99.45</v>
      </c>
      <c r="J23" s="21" t="n">
        <v>298.35</v>
      </c>
      <c r="K23" s="21" t="n">
        <v>348.08</v>
      </c>
      <c r="L23" s="21" t="n">
        <v>397.8</v>
      </c>
      <c r="M23" s="21" t="n">
        <v>550</v>
      </c>
    </row>
    <row r="24">
      <c r="A24" s="9" t="inlineStr">
        <is>
          <t>COCOMA</t>
        </is>
      </c>
      <c r="B24" s="9" t="inlineStr">
        <is>
          <t>COCOMA MAYO 2025</t>
        </is>
      </c>
      <c r="C24" s="9" t="inlineStr">
        <is>
          <t>2025-05-01</t>
        </is>
      </c>
      <c r="D24" s="9" t="inlineStr">
        <is>
          <t>2653039436428</t>
        </is>
      </c>
      <c r="E24" s="9" t="inlineStr">
        <is>
          <t>ANILLO BV GOLD</t>
        </is>
      </c>
      <c r="F24" s="9" t="inlineStr">
        <is>
          <t>8</t>
        </is>
      </c>
      <c r="G24" s="9" t="n">
        <v>2</v>
      </c>
      <c r="H24" s="21" t="n">
        <v>4.06</v>
      </c>
      <c r="I24" s="21" t="n">
        <v>99.45</v>
      </c>
      <c r="J24" s="21" t="n">
        <v>298.35</v>
      </c>
      <c r="K24" s="21" t="n">
        <v>348.08</v>
      </c>
      <c r="L24" s="21" t="n">
        <v>397.8</v>
      </c>
      <c r="M24" s="21" t="n">
        <v>550</v>
      </c>
    </row>
    <row r="25">
      <c r="A25" s="9" t="inlineStr">
        <is>
          <t>COCOMA</t>
        </is>
      </c>
      <c r="B25" s="9" t="inlineStr">
        <is>
          <t>COCOMA MAYO 2025</t>
        </is>
      </c>
      <c r="C25" s="9" t="inlineStr">
        <is>
          <t>2025-05-01</t>
        </is>
      </c>
      <c r="D25" s="9" t="inlineStr">
        <is>
          <t>2653039501964</t>
        </is>
      </c>
      <c r="E25" s="9" t="inlineStr">
        <is>
          <t>ANILLO BV GOLD</t>
        </is>
      </c>
      <c r="F25" s="9" t="inlineStr">
        <is>
          <t>10</t>
        </is>
      </c>
      <c r="G25" s="9" t="n">
        <v>3</v>
      </c>
      <c r="H25" s="21" t="n">
        <v>4.06</v>
      </c>
      <c r="I25" s="21" t="n">
        <v>99.45</v>
      </c>
      <c r="J25" s="21" t="n">
        <v>298.35</v>
      </c>
      <c r="K25" s="21" t="n">
        <v>348.08</v>
      </c>
      <c r="L25" s="21" t="n">
        <v>397.8</v>
      </c>
      <c r="M25" s="21" t="n">
        <v>550</v>
      </c>
    </row>
    <row r="26">
      <c r="A26" s="9" t="inlineStr">
        <is>
          <t>COCOMA</t>
        </is>
      </c>
      <c r="B26" s="9" t="inlineStr">
        <is>
          <t>COCOMA MAYO 2025</t>
        </is>
      </c>
      <c r="C26" s="9" t="inlineStr">
        <is>
          <t>2025-05-01</t>
        </is>
      </c>
      <c r="D26" s="9" t="inlineStr">
        <is>
          <t>63e0b1e3636a9</t>
        </is>
      </c>
      <c r="E26" s="9" t="inlineStr">
        <is>
          <t>ANILLO BV GOLD DELGADO</t>
        </is>
      </c>
      <c r="F26" s="9" t="inlineStr">
        <is>
          <t>6</t>
        </is>
      </c>
      <c r="G26" s="9" t="n">
        <v>3</v>
      </c>
      <c r="H26" s="21" t="n">
        <v>7.89</v>
      </c>
      <c r="I26" s="21" t="n">
        <v>193.27</v>
      </c>
      <c r="J26" s="21" t="n">
        <v>579.8</v>
      </c>
      <c r="K26" s="21" t="n">
        <v>676.4400000000001</v>
      </c>
      <c r="L26" s="21" t="n">
        <v>773.0700000000001</v>
      </c>
      <c r="M26" s="21" t="n">
        <v>678</v>
      </c>
    </row>
    <row r="27">
      <c r="A27" s="9" t="inlineStr">
        <is>
          <t>COCOMA</t>
        </is>
      </c>
      <c r="B27" s="9" t="inlineStr">
        <is>
          <t>COCOMA MAYO 2025</t>
        </is>
      </c>
      <c r="C27" s="9" t="inlineStr">
        <is>
          <t>2025-05-01</t>
        </is>
      </c>
      <c r="D27" s="9" t="inlineStr">
        <is>
          <t>63e0b1e45372f</t>
        </is>
      </c>
      <c r="E27" s="9" t="inlineStr">
        <is>
          <t>ANILLO BV GOLD DELGADO</t>
        </is>
      </c>
      <c r="F27" s="9" t="inlineStr">
        <is>
          <t>7</t>
        </is>
      </c>
      <c r="G27" s="9" t="n">
        <v>2</v>
      </c>
      <c r="H27" s="21" t="n">
        <v>7.89</v>
      </c>
      <c r="I27" s="21" t="n">
        <v>193.27</v>
      </c>
      <c r="J27" s="21" t="n">
        <v>579.8</v>
      </c>
      <c r="K27" s="21" t="n">
        <v>676.4400000000001</v>
      </c>
      <c r="L27" s="21" t="n">
        <v>773.0700000000001</v>
      </c>
      <c r="M27" s="21" t="n">
        <v>678</v>
      </c>
    </row>
    <row r="28">
      <c r="A28" s="9" t="inlineStr">
        <is>
          <t>COCOMA</t>
        </is>
      </c>
      <c r="B28" s="9" t="inlineStr">
        <is>
          <t>COCOMA MAYO 2025</t>
        </is>
      </c>
      <c r="C28" s="9" t="inlineStr">
        <is>
          <t>2025-05-01</t>
        </is>
      </c>
      <c r="D28" s="9" t="inlineStr">
        <is>
          <t>63e0b1f8bb7d5</t>
        </is>
      </c>
      <c r="E28" s="9" t="inlineStr">
        <is>
          <t>ANILLO BV SILVER</t>
        </is>
      </c>
      <c r="F28" s="9" t="inlineStr">
        <is>
          <t>7</t>
        </is>
      </c>
      <c r="G28" s="9" t="n">
        <v>2</v>
      </c>
      <c r="H28" s="21" t="n">
        <v>4.06</v>
      </c>
      <c r="I28" s="21" t="n">
        <v>99.45</v>
      </c>
      <c r="J28" s="21" t="n">
        <v>298.35</v>
      </c>
      <c r="K28" s="21" t="n">
        <v>348.08</v>
      </c>
      <c r="L28" s="21" t="n">
        <v>397.8</v>
      </c>
      <c r="M28" s="21" t="n">
        <v>520</v>
      </c>
    </row>
    <row r="29">
      <c r="A29" s="9" t="inlineStr">
        <is>
          <t>COCOMA</t>
        </is>
      </c>
      <c r="B29" s="9" t="inlineStr">
        <is>
          <t>COCOMA MAYO 2025</t>
        </is>
      </c>
      <c r="C29" s="9" t="inlineStr">
        <is>
          <t>2025-05-01</t>
        </is>
      </c>
      <c r="D29" s="9" t="inlineStr">
        <is>
          <t>63e0b1f9a5ac2</t>
        </is>
      </c>
      <c r="E29" s="9" t="inlineStr">
        <is>
          <t>ANILLO BV SILVER</t>
        </is>
      </c>
      <c r="F29" s="9" t="inlineStr">
        <is>
          <t>8</t>
        </is>
      </c>
      <c r="G29" s="9" t="n">
        <v>7</v>
      </c>
      <c r="H29" s="21" t="n">
        <v>4.06</v>
      </c>
      <c r="I29" s="21" t="n">
        <v>99.45</v>
      </c>
      <c r="J29" s="21" t="n">
        <v>298.35</v>
      </c>
      <c r="K29" s="21" t="n">
        <v>348.08</v>
      </c>
      <c r="L29" s="21" t="n">
        <v>397.8</v>
      </c>
      <c r="M29" s="21" t="n">
        <v>520</v>
      </c>
    </row>
    <row r="30">
      <c r="A30" s="9" t="inlineStr">
        <is>
          <t>COCOMA</t>
        </is>
      </c>
      <c r="B30" s="9" t="inlineStr">
        <is>
          <t>COCOMA MAYO 2025</t>
        </is>
      </c>
      <c r="C30" s="9" t="inlineStr">
        <is>
          <t>2025-05-01</t>
        </is>
      </c>
      <c r="D30" s="9" t="inlineStr">
        <is>
          <t>63e0b1fbdf1a6</t>
        </is>
      </c>
      <c r="E30" s="9" t="inlineStr">
        <is>
          <t>ANILLO BV SILVER</t>
        </is>
      </c>
      <c r="F30" s="9" t="inlineStr">
        <is>
          <t>10</t>
        </is>
      </c>
      <c r="G30" s="9" t="n">
        <v>3</v>
      </c>
      <c r="H30" s="21" t="n">
        <v>4.06</v>
      </c>
      <c r="I30" s="21" t="n">
        <v>99.45</v>
      </c>
      <c r="J30" s="21" t="n">
        <v>298.35</v>
      </c>
      <c r="K30" s="21" t="n">
        <v>348.08</v>
      </c>
      <c r="L30" s="21" t="n">
        <v>397.8</v>
      </c>
      <c r="M30" s="21" t="n">
        <v>520</v>
      </c>
    </row>
    <row r="31">
      <c r="A31" s="9" t="inlineStr">
        <is>
          <t>COCOMA</t>
        </is>
      </c>
      <c r="B31" s="9" t="inlineStr">
        <is>
          <t>COCOMA MAYO 2025</t>
        </is>
      </c>
      <c r="C31" s="9" t="inlineStr">
        <is>
          <t>2025-05-01</t>
        </is>
      </c>
      <c r="D31" s="9" t="inlineStr">
        <is>
          <t>63e0b1fcc7359</t>
        </is>
      </c>
      <c r="E31" s="9" t="inlineStr">
        <is>
          <t>ANILLO BV SILVER</t>
        </is>
      </c>
      <c r="F31" s="9" t="inlineStr">
        <is>
          <t>11</t>
        </is>
      </c>
      <c r="G31" s="9" t="n">
        <v>2</v>
      </c>
      <c r="H31" s="21" t="n">
        <v>4.06</v>
      </c>
      <c r="I31" s="21" t="n">
        <v>99.45</v>
      </c>
      <c r="J31" s="21" t="n">
        <v>298.35</v>
      </c>
      <c r="K31" s="21" t="n">
        <v>348.08</v>
      </c>
      <c r="L31" s="21" t="n">
        <v>397.8</v>
      </c>
      <c r="M31" s="21" t="n">
        <v>520</v>
      </c>
    </row>
    <row r="32">
      <c r="A32" s="9" t="inlineStr">
        <is>
          <t>COCOMA</t>
        </is>
      </c>
      <c r="B32" s="9" t="inlineStr">
        <is>
          <t>COCOMA MAYO 2025</t>
        </is>
      </c>
      <c r="C32" s="9" t="inlineStr">
        <is>
          <t>2025-05-01</t>
        </is>
      </c>
      <c r="D32" s="9" t="inlineStr">
        <is>
          <t>63e0b1fde9905</t>
        </is>
      </c>
      <c r="E32" s="9" t="inlineStr">
        <is>
          <t>ANILLO BV SILVER</t>
        </is>
      </c>
      <c r="F32" s="9" t="inlineStr">
        <is>
          <t>12</t>
        </is>
      </c>
      <c r="G32" s="9" t="n">
        <v>3</v>
      </c>
      <c r="H32" s="21" t="n">
        <v>4.06</v>
      </c>
      <c r="I32" s="21" t="n">
        <v>99.45</v>
      </c>
      <c r="J32" s="21" t="n">
        <v>298.35</v>
      </c>
      <c r="K32" s="21" t="n">
        <v>348.08</v>
      </c>
      <c r="L32" s="21" t="n">
        <v>397.8</v>
      </c>
      <c r="M32" s="21" t="n">
        <v>520</v>
      </c>
    </row>
    <row r="33">
      <c r="A33" s="9" t="inlineStr">
        <is>
          <t>COCOMA</t>
        </is>
      </c>
      <c r="B33" s="9" t="inlineStr">
        <is>
          <t>COCOMA MAYO 2025</t>
        </is>
      </c>
      <c r="C33" s="9" t="inlineStr">
        <is>
          <t>2025-05-01</t>
        </is>
      </c>
      <c r="D33" s="9" t="inlineStr">
        <is>
          <t>646f84bcb068f</t>
        </is>
      </c>
      <c r="E33" s="9" t="inlineStr">
        <is>
          <t>ARETES T GOLD</t>
        </is>
      </c>
      <c r="F33" s="9" t="inlineStr">
        <is>
          <t>gold</t>
        </is>
      </c>
      <c r="G33" s="9" t="n">
        <v>3</v>
      </c>
      <c r="H33" s="21" t="n">
        <v>3.7</v>
      </c>
      <c r="I33" s="21" t="n">
        <v>90.63</v>
      </c>
      <c r="J33" s="21" t="n">
        <v>271.9</v>
      </c>
      <c r="K33" s="21" t="n">
        <v>317.21</v>
      </c>
      <c r="L33" s="21" t="n">
        <v>362.53</v>
      </c>
      <c r="M33" s="21" t="n">
        <v>420</v>
      </c>
    </row>
    <row r="34">
      <c r="A34" s="9" t="inlineStr">
        <is>
          <t>COCOMA</t>
        </is>
      </c>
      <c r="B34" s="9" t="inlineStr">
        <is>
          <t>COCOMA MAYO 2025</t>
        </is>
      </c>
      <c r="C34" s="9" t="inlineStr">
        <is>
          <t>2025-05-01</t>
        </is>
      </c>
      <c r="D34" s="9" t="inlineStr">
        <is>
          <t>646f84b99a256</t>
        </is>
      </c>
      <c r="E34" s="9" t="inlineStr">
        <is>
          <t>ARETES T SILVER</t>
        </is>
      </c>
      <c r="F34" s="9" t="inlineStr">
        <is>
          <t>silver</t>
        </is>
      </c>
      <c r="G34" s="9" t="n">
        <v>4</v>
      </c>
      <c r="H34" s="21" t="n">
        <v>3.7</v>
      </c>
      <c r="I34" s="21" t="n">
        <v>90.63</v>
      </c>
      <c r="J34" s="21" t="n">
        <v>271.9</v>
      </c>
      <c r="K34" s="21" t="n">
        <v>317.21</v>
      </c>
      <c r="L34" s="21" t="n">
        <v>362.53</v>
      </c>
      <c r="M34" s="21" t="n">
        <v>420</v>
      </c>
    </row>
    <row r="35">
      <c r="A35" s="9" t="inlineStr">
        <is>
          <t>COCOMA</t>
        </is>
      </c>
      <c r="B35" s="9" t="inlineStr">
        <is>
          <t>COCOMA MAYO 2025</t>
        </is>
      </c>
      <c r="C35" s="9" t="inlineStr">
        <is>
          <t>2025-05-01</t>
        </is>
      </c>
      <c r="D35" s="9" t="inlineStr">
        <is>
          <t>668eee4709a5f</t>
        </is>
      </c>
      <c r="E35" s="9" t="inlineStr">
        <is>
          <t>PULSERA DE CUENTAS CON INSIGNIA DE CORAZÓN ROSE GOLD</t>
        </is>
      </c>
      <c r="F35" s="9" t="inlineStr">
        <is>
          <t>16 cm</t>
        </is>
      </c>
      <c r="G35" s="9" t="n">
        <v>20</v>
      </c>
      <c r="H35" s="21" t="n">
        <v>4.42</v>
      </c>
      <c r="I35" s="21" t="n">
        <v>108.27</v>
      </c>
      <c r="J35" s="21" t="n">
        <v>324.81</v>
      </c>
      <c r="K35" s="21" t="n">
        <v>378.94</v>
      </c>
      <c r="L35" s="21" t="n">
        <v>433.08</v>
      </c>
      <c r="M35" s="21" t="n">
        <v>525</v>
      </c>
    </row>
    <row r="36">
      <c r="A36" s="9" t="inlineStr">
        <is>
          <t>COCOMA</t>
        </is>
      </c>
      <c r="B36" s="9" t="inlineStr">
        <is>
          <t>COCOMA MAYO 2025</t>
        </is>
      </c>
      <c r="C36" s="9" t="inlineStr">
        <is>
          <t>2025-05-01</t>
        </is>
      </c>
      <c r="D36" s="9" t="inlineStr">
        <is>
          <t>43047221198988</t>
        </is>
      </c>
      <c r="E36" s="9" t="inlineStr">
        <is>
          <t>PULSERA DE CUENTAS GOLD</t>
        </is>
      </c>
      <c r="F36" s="9" t="inlineStr">
        <is>
          <t>16 cm</t>
        </is>
      </c>
      <c r="G36" s="9" t="n">
        <v>20</v>
      </c>
      <c r="H36" s="21" t="n">
        <v>4.42</v>
      </c>
      <c r="I36" s="21" t="n">
        <v>108.27</v>
      </c>
      <c r="J36" s="21" t="n">
        <v>324.81</v>
      </c>
      <c r="K36" s="21" t="n">
        <v>378.94</v>
      </c>
      <c r="L36" s="21" t="n">
        <v>433.08</v>
      </c>
      <c r="M36" s="21" t="n">
        <v>525</v>
      </c>
    </row>
    <row r="37">
      <c r="A37" s="9" t="inlineStr">
        <is>
          <t>COCOMA</t>
        </is>
      </c>
      <c r="B37" s="9" t="inlineStr">
        <is>
          <t>COCOMA MAYO 2025</t>
        </is>
      </c>
      <c r="C37" s="9" t="inlineStr">
        <is>
          <t>2025-05-01</t>
        </is>
      </c>
      <c r="D37" s="9" t="inlineStr">
        <is>
          <t>43047209828492</t>
        </is>
      </c>
      <c r="E37" s="9" t="inlineStr">
        <is>
          <t>PULSERA DE CUENTAS GOLD CON INSIGNIA DE CORAZÓN BLUE</t>
        </is>
      </c>
      <c r="F37" s="9" t="inlineStr">
        <is>
          <t>16 cm</t>
        </is>
      </c>
      <c r="G37" s="9" t="n">
        <v>10</v>
      </c>
      <c r="H37" s="21" t="n">
        <v>4.66</v>
      </c>
      <c r="I37" s="21" t="n">
        <v>114.15</v>
      </c>
      <c r="J37" s="21" t="n">
        <v>342.44</v>
      </c>
      <c r="K37" s="21" t="n">
        <v>399.52</v>
      </c>
      <c r="L37" s="21" t="n">
        <v>456.59</v>
      </c>
      <c r="M37" s="21" t="n">
        <v>525</v>
      </c>
    </row>
    <row r="38">
      <c r="A38" s="9" t="inlineStr">
        <is>
          <t>COCOMA</t>
        </is>
      </c>
      <c r="B38" s="9" t="inlineStr">
        <is>
          <t>COCOMA MAYO 2025</t>
        </is>
      </c>
      <c r="C38" s="9" t="inlineStr">
        <is>
          <t>2025-05-01</t>
        </is>
      </c>
      <c r="D38" s="9" t="inlineStr">
        <is>
          <t>43047210680460</t>
        </is>
      </c>
      <c r="E38" s="9" t="inlineStr">
        <is>
          <t>PULSERA DE CUENTAS GOLD CON INSIGNIA DE CORAZÓN RED</t>
        </is>
      </c>
      <c r="F38" s="9" t="inlineStr">
        <is>
          <t>16 cm</t>
        </is>
      </c>
      <c r="G38" s="9" t="n">
        <v>3</v>
      </c>
      <c r="H38" s="21" t="n">
        <v>4.66</v>
      </c>
      <c r="I38" s="21" t="n">
        <v>114.15</v>
      </c>
      <c r="J38" s="21" t="n">
        <v>342.44</v>
      </c>
      <c r="K38" s="21" t="n">
        <v>399.52</v>
      </c>
      <c r="L38" s="21" t="n">
        <v>456.59</v>
      </c>
      <c r="M38" s="21" t="n">
        <v>525</v>
      </c>
    </row>
    <row r="39">
      <c r="A39" s="9" t="inlineStr">
        <is>
          <t>COCOMA</t>
        </is>
      </c>
      <c r="B39" s="9" t="inlineStr">
        <is>
          <t>COCOMA MAYO 2025</t>
        </is>
      </c>
      <c r="C39" s="9" t="inlineStr">
        <is>
          <t>2025-05-01</t>
        </is>
      </c>
      <c r="D39" s="9" t="inlineStr">
        <is>
          <t>43728095967788</t>
        </is>
      </c>
      <c r="E39" s="9" t="inlineStr">
        <is>
          <t>PULSERA DOBLE STAR CD</t>
        </is>
      </c>
      <c r="F39" s="9" t="inlineStr">
        <is>
          <t>16cm con extensión de 5cm</t>
        </is>
      </c>
      <c r="G39" s="9" t="n">
        <v>5</v>
      </c>
      <c r="H39" s="21" t="n">
        <v>3.98</v>
      </c>
      <c r="I39" s="21" t="n">
        <v>97.48999999999999</v>
      </c>
      <c r="J39" s="21" t="n">
        <v>292.47</v>
      </c>
      <c r="K39" s="21" t="n">
        <v>341.22</v>
      </c>
      <c r="L39" s="21" t="n">
        <v>389.96</v>
      </c>
      <c r="M39" s="21" t="n">
        <v>455</v>
      </c>
    </row>
    <row r="40">
      <c r="A40" s="9" t="inlineStr">
        <is>
          <t>HAIFENG</t>
        </is>
      </c>
      <c r="B40" s="9" t="inlineStr">
        <is>
          <t>HAIFENG 01/09/2025</t>
        </is>
      </c>
      <c r="C40" s="9" t="inlineStr">
        <is>
          <t>2025-09-01</t>
        </is>
      </c>
      <c r="D40" s="9" t="inlineStr">
        <is>
          <t>67201533537421</t>
        </is>
      </c>
      <c r="E40" s="9" t="inlineStr">
        <is>
          <t>ANILLO ANCHO TRUE T GOLD</t>
        </is>
      </c>
      <c r="F40" s="9" t="inlineStr">
        <is>
          <t>7</t>
        </is>
      </c>
      <c r="G40" s="9" t="n">
        <v>2</v>
      </c>
      <c r="H40" s="21" t="n">
        <v>7</v>
      </c>
      <c r="I40" s="21" t="n">
        <v>148.79</v>
      </c>
      <c r="J40" s="21" t="n">
        <v>446.37</v>
      </c>
      <c r="K40" s="21" t="n">
        <v>520.76</v>
      </c>
      <c r="L40" s="21" t="n">
        <v>595.16</v>
      </c>
      <c r="M40" s="21" t="n">
        <v>599</v>
      </c>
    </row>
    <row r="41">
      <c r="A41" s="9" t="inlineStr">
        <is>
          <t>HAIFENG</t>
        </is>
      </c>
      <c r="B41" s="9" t="inlineStr">
        <is>
          <t>HAIFENG 01/09/2025</t>
        </is>
      </c>
      <c r="C41" s="9" t="inlineStr">
        <is>
          <t>2025-09-01</t>
        </is>
      </c>
      <c r="D41" s="9" t="inlineStr">
        <is>
          <t>67201533670189</t>
        </is>
      </c>
      <c r="E41" s="9" t="inlineStr">
        <is>
          <t>ANILLO ANCHO TRUE T GOLD</t>
        </is>
      </c>
      <c r="F41" s="9" t="inlineStr">
        <is>
          <t>8</t>
        </is>
      </c>
      <c r="G41" s="9" t="n">
        <v>3</v>
      </c>
      <c r="H41" s="21" t="n">
        <v>7</v>
      </c>
      <c r="I41" s="21" t="n">
        <v>148.79</v>
      </c>
      <c r="J41" s="21" t="n">
        <v>446.37</v>
      </c>
      <c r="K41" s="21" t="n">
        <v>520.76</v>
      </c>
      <c r="L41" s="21" t="n">
        <v>595.16</v>
      </c>
      <c r="M41" s="21" t="n">
        <v>599</v>
      </c>
    </row>
    <row r="42">
      <c r="A42" s="9" t="inlineStr">
        <is>
          <t>HAIFENG</t>
        </is>
      </c>
      <c r="B42" s="9" t="inlineStr">
        <is>
          <t>HAIFENG 01/09/2025</t>
        </is>
      </c>
      <c r="C42" s="9" t="inlineStr">
        <is>
          <t>2025-09-01</t>
        </is>
      </c>
      <c r="D42" s="9" t="inlineStr">
        <is>
          <t>66176e5f7392c</t>
        </is>
      </c>
      <c r="E42" s="9" t="inlineStr">
        <is>
          <t>ANILLO CLASH GOLD</t>
        </is>
      </c>
      <c r="F42" s="9" t="inlineStr">
        <is>
          <t>6</t>
        </is>
      </c>
      <c r="G42" s="9" t="n">
        <v>3</v>
      </c>
      <c r="H42" s="21" t="n">
        <v>10</v>
      </c>
      <c r="I42" s="21" t="n">
        <v>212.56</v>
      </c>
      <c r="J42" s="21" t="n">
        <v>637.67</v>
      </c>
      <c r="K42" s="21" t="n">
        <v>743.95</v>
      </c>
      <c r="L42" s="21" t="n">
        <v>850.23</v>
      </c>
      <c r="M42" s="21" t="n">
        <v>850</v>
      </c>
    </row>
    <row r="43">
      <c r="A43" s="9" t="inlineStr">
        <is>
          <t>HAIFENG</t>
        </is>
      </c>
      <c r="B43" s="9" t="inlineStr">
        <is>
          <t>HAIFENG 01/09/2025</t>
        </is>
      </c>
      <c r="C43" s="9" t="inlineStr">
        <is>
          <t>2025-09-01</t>
        </is>
      </c>
      <c r="D43" s="9" t="inlineStr">
        <is>
          <t>66176e6140134</t>
        </is>
      </c>
      <c r="E43" s="9" t="inlineStr">
        <is>
          <t>ANILLO CLASH GOLD</t>
        </is>
      </c>
      <c r="F43" s="9" t="inlineStr">
        <is>
          <t>9</t>
        </is>
      </c>
      <c r="G43" s="9" t="n">
        <v>2</v>
      </c>
      <c r="H43" s="21" t="n">
        <v>10</v>
      </c>
      <c r="I43" s="21" t="n">
        <v>212.56</v>
      </c>
      <c r="J43" s="21" t="n">
        <v>637.67</v>
      </c>
      <c r="K43" s="21" t="n">
        <v>743.95</v>
      </c>
      <c r="L43" s="21" t="n">
        <v>850.23</v>
      </c>
      <c r="M43" s="21" t="n">
        <v>850</v>
      </c>
    </row>
    <row r="44">
      <c r="A44" s="9" t="inlineStr">
        <is>
          <t>HAIFENG</t>
        </is>
      </c>
      <c r="B44" s="9" t="inlineStr">
        <is>
          <t>HAIFENG 01/09/2025</t>
        </is>
      </c>
      <c r="C44" s="9" t="inlineStr">
        <is>
          <t>2025-09-01</t>
        </is>
      </c>
      <c r="D44" s="9" t="inlineStr">
        <is>
          <t>66176e6009ab0</t>
        </is>
      </c>
      <c r="E44" s="9" t="inlineStr">
        <is>
          <t>ANILLO CLASH GOLD</t>
        </is>
      </c>
      <c r="F44" s="9" t="inlineStr">
        <is>
          <t>7</t>
        </is>
      </c>
      <c r="G44" s="9" t="n">
        <v>3</v>
      </c>
      <c r="H44" s="21" t="n">
        <v>10</v>
      </c>
      <c r="I44" s="21" t="n">
        <v>212.56</v>
      </c>
      <c r="J44" s="21" t="n">
        <v>637.67</v>
      </c>
      <c r="K44" s="21" t="n">
        <v>743.95</v>
      </c>
      <c r="L44" s="21" t="n">
        <v>850.23</v>
      </c>
      <c r="M44" s="21" t="n">
        <v>850</v>
      </c>
    </row>
    <row r="45">
      <c r="A45" s="9" t="inlineStr">
        <is>
          <t>HAIFENG</t>
        </is>
      </c>
      <c r="B45" s="9" t="inlineStr">
        <is>
          <t>HAIFENG 01/09/2025</t>
        </is>
      </c>
      <c r="C45" s="9" t="inlineStr">
        <is>
          <t>2025-09-01</t>
        </is>
      </c>
      <c r="D45" s="9" t="inlineStr">
        <is>
          <t>66176e5f8fac7</t>
        </is>
      </c>
      <c r="E45" s="9" t="inlineStr">
        <is>
          <t>ANILLO CLASH ROSEGOLD</t>
        </is>
      </c>
      <c r="F45" s="9" t="inlineStr">
        <is>
          <t>6</t>
        </is>
      </c>
      <c r="G45" s="9" t="n">
        <v>3</v>
      </c>
      <c r="H45" s="21" t="n">
        <v>10</v>
      </c>
      <c r="I45" s="21" t="n">
        <v>212.56</v>
      </c>
      <c r="J45" s="21" t="n">
        <v>637.67</v>
      </c>
      <c r="K45" s="21" t="n">
        <v>743.95</v>
      </c>
      <c r="L45" s="21" t="n">
        <v>850.23</v>
      </c>
      <c r="M45" s="21" t="n">
        <v>850</v>
      </c>
    </row>
    <row r="46">
      <c r="A46" s="9" t="inlineStr">
        <is>
          <t>HAIFENG</t>
        </is>
      </c>
      <c r="B46" s="9" t="inlineStr">
        <is>
          <t>HAIFENG 01/09/2025</t>
        </is>
      </c>
      <c r="C46" s="9" t="inlineStr">
        <is>
          <t>2025-09-01</t>
        </is>
      </c>
      <c r="D46" s="9" t="inlineStr">
        <is>
          <t>66176e62285d1</t>
        </is>
      </c>
      <c r="E46" s="9" t="inlineStr">
        <is>
          <t>ANILLO CLASH ROSEGOLD</t>
        </is>
      </c>
      <c r="F46" s="9" t="inlineStr">
        <is>
          <t>10</t>
        </is>
      </c>
      <c r="G46" s="9" t="n">
        <v>1</v>
      </c>
      <c r="H46" s="21" t="n">
        <v>10</v>
      </c>
      <c r="I46" s="21" t="n">
        <v>212.56</v>
      </c>
      <c r="J46" s="21" t="n">
        <v>637.67</v>
      </c>
      <c r="K46" s="21" t="n">
        <v>743.95</v>
      </c>
      <c r="L46" s="21" t="n">
        <v>850.23</v>
      </c>
      <c r="M46" s="21" t="n">
        <v>850</v>
      </c>
    </row>
    <row r="47">
      <c r="A47" s="9" t="inlineStr">
        <is>
          <t>HAIFENG</t>
        </is>
      </c>
      <c r="B47" s="9" t="inlineStr">
        <is>
          <t>HAIFENG 01/09/2025</t>
        </is>
      </c>
      <c r="C47" s="9" t="inlineStr">
        <is>
          <t>2025-09-01</t>
        </is>
      </c>
      <c r="D47" s="9" t="inlineStr">
        <is>
          <t>66176e5f8fac7</t>
        </is>
      </c>
      <c r="E47" s="9" t="inlineStr">
        <is>
          <t>ANILLO CLASH ROSEGOLD</t>
        </is>
      </c>
      <c r="F47" s="9" t="inlineStr">
        <is>
          <t>6</t>
        </is>
      </c>
      <c r="G47" s="9" t="n">
        <v>0</v>
      </c>
      <c r="H47" s="21" t="n">
        <v>10</v>
      </c>
      <c r="I47" s="21" t="n"/>
      <c r="J47" s="21" t="n"/>
      <c r="K47" s="21" t="n"/>
      <c r="L47" s="21" t="n"/>
      <c r="M47" s="21" t="n">
        <v>850</v>
      </c>
    </row>
    <row r="48">
      <c r="A48" s="9" t="inlineStr">
        <is>
          <t>HAIFENG</t>
        </is>
      </c>
      <c r="B48" s="9" t="inlineStr">
        <is>
          <t>HAIFENG 01/09/2025</t>
        </is>
      </c>
      <c r="C48" s="9" t="inlineStr">
        <is>
          <t>2025-09-01</t>
        </is>
      </c>
      <c r="D48" s="9" t="inlineStr">
        <is>
          <t>63ebd3f42d4db</t>
        </is>
      </c>
      <c r="E48" s="9" t="inlineStr">
        <is>
          <t>ANILLO CLASH SILVER</t>
        </is>
      </c>
      <c r="F48" s="9" t="inlineStr">
        <is>
          <t>8</t>
        </is>
      </c>
      <c r="G48" s="9" t="n">
        <v>3</v>
      </c>
      <c r="H48" s="21" t="n">
        <v>10</v>
      </c>
      <c r="I48" s="21" t="n">
        <v>212.56</v>
      </c>
      <c r="J48" s="21" t="n">
        <v>637.67</v>
      </c>
      <c r="K48" s="21" t="n">
        <v>743.95</v>
      </c>
      <c r="L48" s="21" t="n">
        <v>850.23</v>
      </c>
      <c r="M48" s="21" t="n">
        <v>850</v>
      </c>
    </row>
    <row r="49">
      <c r="A49" s="9" t="inlineStr">
        <is>
          <t>HAIFENG</t>
        </is>
      </c>
      <c r="B49" s="9" t="inlineStr">
        <is>
          <t>HAIFENG 01/09/2025</t>
        </is>
      </c>
      <c r="C49" s="9" t="inlineStr">
        <is>
          <t>2025-09-01</t>
        </is>
      </c>
      <c r="D49" s="9" t="inlineStr">
        <is>
          <t>63ebd3f32bfc9</t>
        </is>
      </c>
      <c r="E49" s="9" t="inlineStr">
        <is>
          <t>ANILLO CLASH SILVER</t>
        </is>
      </c>
      <c r="F49" s="9" t="inlineStr">
        <is>
          <t>7</t>
        </is>
      </c>
      <c r="G49" s="9" t="n">
        <v>2</v>
      </c>
      <c r="H49" s="21" t="n">
        <v>10</v>
      </c>
      <c r="I49" s="21" t="n">
        <v>212.56</v>
      </c>
      <c r="J49" s="21" t="n">
        <v>637.67</v>
      </c>
      <c r="K49" s="21" t="n">
        <v>743.95</v>
      </c>
      <c r="L49" s="21" t="n">
        <v>850.23</v>
      </c>
      <c r="M49" s="21" t="n">
        <v>850</v>
      </c>
    </row>
    <row r="50">
      <c r="A50" s="9" t="inlineStr">
        <is>
          <t>HAIFENG</t>
        </is>
      </c>
      <c r="B50" s="9" t="inlineStr">
        <is>
          <t>HAIFENG 01/09/2025</t>
        </is>
      </c>
      <c r="C50" s="9" t="inlineStr">
        <is>
          <t>2025-09-01</t>
        </is>
      </c>
      <c r="D50" s="9" t="inlineStr">
        <is>
          <t>63ebd3f136b3c</t>
        </is>
      </c>
      <c r="E50" s="9" t="inlineStr">
        <is>
          <t>ANILLO CLASH SILVER</t>
        </is>
      </c>
      <c r="F50" s="9" t="inlineStr">
        <is>
          <t>5</t>
        </is>
      </c>
      <c r="G50" s="9" t="n">
        <v>2</v>
      </c>
      <c r="H50" s="21" t="n">
        <v>10</v>
      </c>
      <c r="I50" s="21" t="n">
        <v>212.56</v>
      </c>
      <c r="J50" s="21" t="n">
        <v>637.67</v>
      </c>
      <c r="K50" s="21" t="n">
        <v>743.95</v>
      </c>
      <c r="L50" s="21" t="n">
        <v>850.23</v>
      </c>
      <c r="M50" s="21" t="n">
        <v>850</v>
      </c>
    </row>
    <row r="51">
      <c r="A51" s="9" t="inlineStr">
        <is>
          <t>HAIFENG</t>
        </is>
      </c>
      <c r="B51" s="9" t="inlineStr">
        <is>
          <t>HAIFENG 01/09/2025</t>
        </is>
      </c>
      <c r="C51" s="9" t="inlineStr">
        <is>
          <t>2025-09-01</t>
        </is>
      </c>
      <c r="D51" s="9" t="inlineStr">
        <is>
          <t>66176cdb9f129</t>
        </is>
      </c>
      <c r="E51" s="9" t="inlineStr">
        <is>
          <t>ANILLO CLAVO GOLD</t>
        </is>
      </c>
      <c r="F51" s="9" t="inlineStr">
        <is>
          <t>6 HIGH QUALITY</t>
        </is>
      </c>
      <c r="G51" s="9" t="n">
        <v>2</v>
      </c>
      <c r="H51" s="21" t="n">
        <v>2.5</v>
      </c>
      <c r="I51" s="21" t="n">
        <v>53.14</v>
      </c>
      <c r="J51" s="21" t="n">
        <v>159.42</v>
      </c>
      <c r="K51" s="21" t="n">
        <v>185.99</v>
      </c>
      <c r="L51" s="21" t="n">
        <v>212.56</v>
      </c>
      <c r="M51" s="21" t="n">
        <v>400</v>
      </c>
    </row>
    <row r="52">
      <c r="A52" s="9" t="inlineStr">
        <is>
          <t>HAIFENG</t>
        </is>
      </c>
      <c r="B52" s="9" t="inlineStr">
        <is>
          <t>HAIFENG 01/09/2025</t>
        </is>
      </c>
      <c r="C52" s="9" t="inlineStr">
        <is>
          <t>2025-09-01</t>
        </is>
      </c>
      <c r="D52" s="9" t="inlineStr">
        <is>
          <t>66176cdc59c57</t>
        </is>
      </c>
      <c r="E52" s="9" t="inlineStr">
        <is>
          <t>ANILLO CLAVO GOLD</t>
        </is>
      </c>
      <c r="F52" s="9" t="inlineStr">
        <is>
          <t>7 HIGH QUALITY</t>
        </is>
      </c>
      <c r="G52" s="9" t="n">
        <v>2</v>
      </c>
      <c r="H52" s="21" t="n">
        <v>2.5</v>
      </c>
      <c r="I52" s="21" t="n">
        <v>53.14</v>
      </c>
      <c r="J52" s="21" t="n">
        <v>159.42</v>
      </c>
      <c r="K52" s="21" t="n">
        <v>185.99</v>
      </c>
      <c r="L52" s="21" t="n">
        <v>212.56</v>
      </c>
      <c r="M52" s="21" t="n">
        <v>400</v>
      </c>
    </row>
    <row r="53">
      <c r="A53" s="9" t="inlineStr">
        <is>
          <t>HAIFENG</t>
        </is>
      </c>
      <c r="B53" s="9" t="inlineStr">
        <is>
          <t>HAIFENG 01/09/2025</t>
        </is>
      </c>
      <c r="C53" s="9" t="inlineStr">
        <is>
          <t>2025-09-01</t>
        </is>
      </c>
      <c r="D53" s="9" t="inlineStr">
        <is>
          <t>66176cdce18ea</t>
        </is>
      </c>
      <c r="E53" s="9" t="inlineStr">
        <is>
          <t>ANILLO CLAVO GOLD</t>
        </is>
      </c>
      <c r="F53" s="9" t="inlineStr">
        <is>
          <t>8 HIGH QUALITY</t>
        </is>
      </c>
      <c r="G53" s="9" t="n">
        <v>2</v>
      </c>
      <c r="H53" s="21" t="n">
        <v>2.5</v>
      </c>
      <c r="I53" s="21" t="n">
        <v>53.14</v>
      </c>
      <c r="J53" s="21" t="n">
        <v>159.42</v>
      </c>
      <c r="K53" s="21" t="n">
        <v>185.99</v>
      </c>
      <c r="L53" s="21" t="n">
        <v>212.56</v>
      </c>
      <c r="M53" s="21" t="n">
        <v>400</v>
      </c>
    </row>
    <row r="54">
      <c r="A54" s="9" t="inlineStr">
        <is>
          <t>HAIFENG</t>
        </is>
      </c>
      <c r="B54" s="9" t="inlineStr">
        <is>
          <t>HAIFENG 01/09/2025</t>
        </is>
      </c>
      <c r="C54" s="9" t="inlineStr">
        <is>
          <t>2025-09-01</t>
        </is>
      </c>
      <c r="D54" s="9" t="inlineStr">
        <is>
          <t>66176cdd7cc61</t>
        </is>
      </c>
      <c r="E54" s="9" t="inlineStr">
        <is>
          <t>ANILLO CLAVO GOLD</t>
        </is>
      </c>
      <c r="F54" s="9" t="inlineStr">
        <is>
          <t>9 HIGH QUALITY</t>
        </is>
      </c>
      <c r="G54" s="9" t="n">
        <v>3</v>
      </c>
      <c r="H54" s="21" t="n">
        <v>2.5</v>
      </c>
      <c r="I54" s="21" t="n">
        <v>53.14</v>
      </c>
      <c r="J54" s="21" t="n">
        <v>159.42</v>
      </c>
      <c r="K54" s="21" t="n">
        <v>185.99</v>
      </c>
      <c r="L54" s="21" t="n">
        <v>212.56</v>
      </c>
      <c r="M54" s="21" t="n">
        <v>400</v>
      </c>
    </row>
    <row r="55">
      <c r="A55" s="9" t="inlineStr">
        <is>
          <t>HAIFENG</t>
        </is>
      </c>
      <c r="B55" s="9" t="inlineStr">
        <is>
          <t>HAIFENG 01/09/2025</t>
        </is>
      </c>
      <c r="C55" s="9" t="inlineStr">
        <is>
          <t>2025-09-01</t>
        </is>
      </c>
      <c r="D55" s="9" t="inlineStr">
        <is>
          <t>66176ce0abf98</t>
        </is>
      </c>
      <c r="E55" s="9" t="inlineStr">
        <is>
          <t>ANILLO CLAVO ROSE GOLD</t>
        </is>
      </c>
      <c r="F55" s="9" t="inlineStr">
        <is>
          <t>5 HIGH QUALITY</t>
        </is>
      </c>
      <c r="G55" s="9" t="n">
        <v>2</v>
      </c>
      <c r="H55" s="21" t="n">
        <v>2.5</v>
      </c>
      <c r="I55" s="21" t="n">
        <v>53.14</v>
      </c>
      <c r="J55" s="21" t="n">
        <v>159.42</v>
      </c>
      <c r="K55" s="21" t="n">
        <v>185.99</v>
      </c>
      <c r="L55" s="21" t="n">
        <v>212.56</v>
      </c>
      <c r="M55" s="21" t="n">
        <v>400</v>
      </c>
    </row>
    <row r="56">
      <c r="A56" s="9" t="inlineStr">
        <is>
          <t>HAIFENG</t>
        </is>
      </c>
      <c r="B56" s="9" t="inlineStr">
        <is>
          <t>HAIFENG 01/09/2025</t>
        </is>
      </c>
      <c r="C56" s="9" t="inlineStr">
        <is>
          <t>2025-09-01</t>
        </is>
      </c>
      <c r="D56" s="9" t="inlineStr">
        <is>
          <t>66176ce151d29</t>
        </is>
      </c>
      <c r="E56" s="9" t="inlineStr">
        <is>
          <t>ANILLO CLAVO ROSE GOLD</t>
        </is>
      </c>
      <c r="F56" s="9" t="inlineStr">
        <is>
          <t>6 HIGH QUALITY</t>
        </is>
      </c>
      <c r="G56" s="9" t="n">
        <v>3</v>
      </c>
      <c r="H56" s="21" t="n">
        <v>2.5</v>
      </c>
      <c r="I56" s="21" t="n">
        <v>53.14</v>
      </c>
      <c r="J56" s="21" t="n">
        <v>159.42</v>
      </c>
      <c r="K56" s="21" t="n">
        <v>185.99</v>
      </c>
      <c r="L56" s="21" t="n">
        <v>212.56</v>
      </c>
      <c r="M56" s="21" t="n">
        <v>400</v>
      </c>
    </row>
    <row r="57">
      <c r="A57" s="9" t="inlineStr">
        <is>
          <t>HAIFENG</t>
        </is>
      </c>
      <c r="B57" s="9" t="inlineStr">
        <is>
          <t>HAIFENG 01/09/2025</t>
        </is>
      </c>
      <c r="C57" s="9" t="inlineStr">
        <is>
          <t>2025-09-01</t>
        </is>
      </c>
      <c r="D57" s="9" t="inlineStr">
        <is>
          <t>66176ce1d817d</t>
        </is>
      </c>
      <c r="E57" s="9" t="inlineStr">
        <is>
          <t>ANILLO CLAVO ROSE GOLD</t>
        </is>
      </c>
      <c r="F57" s="9" t="inlineStr">
        <is>
          <t>7 HIGH QUALITY</t>
        </is>
      </c>
      <c r="G57" s="9" t="n">
        <v>2</v>
      </c>
      <c r="H57" s="21" t="n">
        <v>2.5</v>
      </c>
      <c r="I57" s="21" t="n">
        <v>53.14</v>
      </c>
      <c r="J57" s="21" t="n">
        <v>159.42</v>
      </c>
      <c r="K57" s="21" t="n">
        <v>185.99</v>
      </c>
      <c r="L57" s="21" t="n">
        <v>212.56</v>
      </c>
      <c r="M57" s="21" t="n">
        <v>400</v>
      </c>
    </row>
    <row r="58">
      <c r="A58" s="9" t="inlineStr">
        <is>
          <t>HAIFENG</t>
        </is>
      </c>
      <c r="B58" s="9" t="inlineStr">
        <is>
          <t>HAIFENG 01/09/2025</t>
        </is>
      </c>
      <c r="C58" s="9" t="inlineStr">
        <is>
          <t>2025-09-01</t>
        </is>
      </c>
      <c r="D58" s="9" t="inlineStr">
        <is>
          <t>66176cdc142e2</t>
        </is>
      </c>
      <c r="E58" s="9" t="inlineStr">
        <is>
          <t>ANILLO CLAVO SILVER</t>
        </is>
      </c>
      <c r="F58" s="9" t="inlineStr">
        <is>
          <t>7 HIGH QUALITY</t>
        </is>
      </c>
      <c r="G58" s="9" t="n">
        <v>4</v>
      </c>
      <c r="H58" s="21" t="n">
        <v>2.5</v>
      </c>
      <c r="I58" s="21" t="n">
        <v>53.14</v>
      </c>
      <c r="J58" s="21" t="n">
        <v>159.42</v>
      </c>
      <c r="K58" s="21" t="n">
        <v>185.99</v>
      </c>
      <c r="L58" s="21" t="n">
        <v>212.56</v>
      </c>
      <c r="M58" s="21" t="n">
        <v>400</v>
      </c>
    </row>
    <row r="59">
      <c r="A59" s="9" t="inlineStr">
        <is>
          <t>HAIFENG</t>
        </is>
      </c>
      <c r="B59" s="9" t="inlineStr">
        <is>
          <t>HAIFENG 01/09/2025</t>
        </is>
      </c>
      <c r="C59" s="9" t="inlineStr">
        <is>
          <t>2025-09-01</t>
        </is>
      </c>
      <c r="D59" s="9" t="inlineStr">
        <is>
          <t>63e0b72b646a2</t>
        </is>
      </c>
      <c r="E59" s="9" t="inlineStr">
        <is>
          <t>ANILLO COCO GOLD</t>
        </is>
      </c>
      <c r="F59" s="9" t="inlineStr">
        <is>
          <t>6</t>
        </is>
      </c>
      <c r="G59" s="9" t="n">
        <v>2</v>
      </c>
      <c r="H59" s="21" t="n">
        <v>1.8</v>
      </c>
      <c r="I59" s="21" t="n">
        <v>38.26</v>
      </c>
      <c r="J59" s="21" t="n">
        <v>114.78</v>
      </c>
      <c r="K59" s="21" t="n">
        <v>133.91</v>
      </c>
      <c r="L59" s="21" t="n">
        <v>153.04</v>
      </c>
      <c r="M59" s="21" t="n">
        <v>400</v>
      </c>
    </row>
    <row r="60">
      <c r="A60" s="9" t="inlineStr">
        <is>
          <t>HAIFENG</t>
        </is>
      </c>
      <c r="B60" s="9" t="inlineStr">
        <is>
          <t>HAIFENG 01/09/2025</t>
        </is>
      </c>
      <c r="C60" s="9" t="inlineStr">
        <is>
          <t>2025-09-01</t>
        </is>
      </c>
      <c r="D60" s="9" t="inlineStr">
        <is>
          <t>63e0b73078446</t>
        </is>
      </c>
      <c r="E60" s="9" t="inlineStr">
        <is>
          <t>ANILLO COCO SILVER</t>
        </is>
      </c>
      <c r="F60" s="9" t="inlineStr">
        <is>
          <t>6</t>
        </is>
      </c>
      <c r="G60" s="9" t="n">
        <v>2</v>
      </c>
      <c r="H60" s="21" t="n">
        <v>1.8</v>
      </c>
      <c r="I60" s="21" t="n">
        <v>38.26</v>
      </c>
      <c r="J60" s="21" t="n">
        <v>114.78</v>
      </c>
      <c r="K60" s="21" t="n">
        <v>133.91</v>
      </c>
      <c r="L60" s="21" t="n">
        <v>153.04</v>
      </c>
      <c r="M60" s="21" t="n">
        <v>400</v>
      </c>
    </row>
    <row r="61">
      <c r="A61" s="9" t="inlineStr">
        <is>
          <t>HAIFENG</t>
        </is>
      </c>
      <c r="B61" s="9" t="inlineStr">
        <is>
          <t>HAIFENG 01/09/2025</t>
        </is>
      </c>
      <c r="C61" s="9" t="inlineStr">
        <is>
          <t>2025-09-01</t>
        </is>
      </c>
      <c r="D61" s="9" t="inlineStr">
        <is>
          <t>63e0b731a865e</t>
        </is>
      </c>
      <c r="E61" s="9" t="inlineStr">
        <is>
          <t>ANILLO COCO SILVER</t>
        </is>
      </c>
      <c r="F61" s="9" t="inlineStr">
        <is>
          <t>7</t>
        </is>
      </c>
      <c r="G61" s="9" t="n">
        <v>4</v>
      </c>
      <c r="H61" s="21" t="n">
        <v>1.8</v>
      </c>
      <c r="I61" s="21" t="n">
        <v>38.26</v>
      </c>
      <c r="J61" s="21" t="n">
        <v>114.78</v>
      </c>
      <c r="K61" s="21" t="n">
        <v>133.91</v>
      </c>
      <c r="L61" s="21" t="n">
        <v>153.04</v>
      </c>
      <c r="M61" s="21" t="n">
        <v>400</v>
      </c>
    </row>
    <row r="62">
      <c r="A62" s="9" t="inlineStr">
        <is>
          <t>HAIFENG</t>
        </is>
      </c>
      <c r="B62" s="9" t="inlineStr">
        <is>
          <t>HAIFENG 01/09/2025</t>
        </is>
      </c>
      <c r="C62" s="9" t="inlineStr">
        <is>
          <t>2025-09-01</t>
        </is>
      </c>
      <c r="D62" s="9" t="inlineStr">
        <is>
          <t>63e0b7329703a</t>
        </is>
      </c>
      <c r="E62" s="9" t="inlineStr">
        <is>
          <t>ANILLO COCO SILVER</t>
        </is>
      </c>
      <c r="F62" s="9" t="inlineStr">
        <is>
          <t>8</t>
        </is>
      </c>
      <c r="G62" s="9" t="n">
        <v>2</v>
      </c>
      <c r="H62" s="21" t="n">
        <v>1.8</v>
      </c>
      <c r="I62" s="21" t="n">
        <v>38.26</v>
      </c>
      <c r="J62" s="21" t="n">
        <v>114.78</v>
      </c>
      <c r="K62" s="21" t="n">
        <v>133.91</v>
      </c>
      <c r="L62" s="21" t="n">
        <v>153.04</v>
      </c>
      <c r="M62" s="21" t="n">
        <v>400</v>
      </c>
    </row>
    <row r="63">
      <c r="A63" s="9" t="inlineStr">
        <is>
          <t>HAIFENG</t>
        </is>
      </c>
      <c r="B63" s="9" t="inlineStr">
        <is>
          <t>HAIFENG 01/09/2025</t>
        </is>
      </c>
      <c r="C63" s="9" t="inlineStr">
        <is>
          <t>2025-09-01</t>
        </is>
      </c>
      <c r="D63" s="9" t="inlineStr">
        <is>
          <t>56481450498956</t>
        </is>
      </c>
      <c r="E63" s="9" t="inlineStr">
        <is>
          <t>ANILLO CORAZÓN GRABADO</t>
        </is>
      </c>
      <c r="F63" s="9" t="inlineStr">
        <is>
          <t>6</t>
        </is>
      </c>
      <c r="G63" s="9" t="n">
        <v>3</v>
      </c>
      <c r="H63" s="21" t="n">
        <v>5</v>
      </c>
      <c r="I63" s="21" t="n">
        <v>106.28</v>
      </c>
      <c r="J63" s="21" t="n">
        <v>318.84</v>
      </c>
      <c r="K63" s="21" t="n">
        <v>371.97</v>
      </c>
      <c r="L63" s="21" t="n">
        <v>425.11</v>
      </c>
      <c r="M63" s="21" t="n">
        <v>450</v>
      </c>
    </row>
    <row r="64">
      <c r="A64" s="9" t="inlineStr">
        <is>
          <t>HAIFENG</t>
        </is>
      </c>
      <c r="B64" s="9" t="inlineStr">
        <is>
          <t>HAIFENG 01/09/2025</t>
        </is>
      </c>
      <c r="C64" s="9" t="inlineStr">
        <is>
          <t>2025-09-01</t>
        </is>
      </c>
      <c r="D64" s="9" t="inlineStr">
        <is>
          <t>56481463199244</t>
        </is>
      </c>
      <c r="E64" s="9" t="inlineStr">
        <is>
          <t>ANILLO ESLABÓN GOLD</t>
        </is>
      </c>
      <c r="F64" s="9" t="inlineStr">
        <is>
          <t>6</t>
        </is>
      </c>
      <c r="G64" s="9" t="n">
        <v>4</v>
      </c>
      <c r="H64" s="21" t="n">
        <v>6</v>
      </c>
      <c r="I64" s="21" t="n">
        <v>127.53</v>
      </c>
      <c r="J64" s="21" t="n">
        <v>382.6</v>
      </c>
      <c r="K64" s="21" t="n">
        <v>446.37</v>
      </c>
      <c r="L64" s="21" t="n">
        <v>510.14</v>
      </c>
      <c r="M64" s="21" t="n">
        <v>520</v>
      </c>
    </row>
    <row r="65">
      <c r="A65" s="9" t="inlineStr">
        <is>
          <t>HAIFENG</t>
        </is>
      </c>
      <c r="B65" s="9" t="inlineStr">
        <is>
          <t>HAIFENG 01/09/2025</t>
        </is>
      </c>
      <c r="C65" s="9" t="inlineStr">
        <is>
          <t>2025-09-01</t>
        </is>
      </c>
      <c r="D65" s="9" t="inlineStr">
        <is>
          <t>56481463232012</t>
        </is>
      </c>
      <c r="E65" s="9" t="inlineStr">
        <is>
          <t>ANILLO ESLAB√ìN GOLD</t>
        </is>
      </c>
      <c r="F65" s="9" t="inlineStr">
        <is>
          <t>7</t>
        </is>
      </c>
      <c r="G65" s="9" t="n">
        <v>3</v>
      </c>
      <c r="H65" s="21" t="n">
        <v>6</v>
      </c>
      <c r="I65" s="21" t="n">
        <v>127.53</v>
      </c>
      <c r="J65" s="21" t="n">
        <v>382.6</v>
      </c>
      <c r="K65" s="21" t="n">
        <v>446.37</v>
      </c>
      <c r="L65" s="21" t="n">
        <v>510.14</v>
      </c>
      <c r="M65" s="21" t="n">
        <v>520</v>
      </c>
    </row>
    <row r="66">
      <c r="A66" s="9" t="inlineStr">
        <is>
          <t>HAIFENG</t>
        </is>
      </c>
      <c r="B66" s="9" t="inlineStr">
        <is>
          <t>HAIFENG 01/09/2025</t>
        </is>
      </c>
      <c r="C66" s="9" t="inlineStr">
        <is>
          <t>2025-09-01</t>
        </is>
      </c>
      <c r="D66" s="9" t="inlineStr">
        <is>
          <t>71036874448396</t>
        </is>
      </c>
      <c r="E66" s="9" t="inlineStr">
        <is>
          <t>ANILLO LOCK GOLD</t>
        </is>
      </c>
      <c r="F66" s="9" t="inlineStr">
        <is>
          <t>7</t>
        </is>
      </c>
      <c r="G66" s="9" t="n">
        <v>1</v>
      </c>
      <c r="H66" s="21" t="n">
        <v>5</v>
      </c>
      <c r="I66" s="21" t="n">
        <v>106.28</v>
      </c>
      <c r="J66" s="21" t="n">
        <v>318.84</v>
      </c>
      <c r="K66" s="21" t="n">
        <v>371.97</v>
      </c>
      <c r="L66" s="21" t="n">
        <v>425.11</v>
      </c>
      <c r="M66" s="21" t="n">
        <v>454</v>
      </c>
    </row>
    <row r="67">
      <c r="A67" s="9" t="inlineStr">
        <is>
          <t>HAIFENG</t>
        </is>
      </c>
      <c r="B67" s="9" t="inlineStr">
        <is>
          <t>HAIFENG 01/09/2025</t>
        </is>
      </c>
      <c r="C67" s="9" t="inlineStr">
        <is>
          <t>2025-09-01</t>
        </is>
      </c>
      <c r="D67" s="9" t="inlineStr">
        <is>
          <t>71036874481164</t>
        </is>
      </c>
      <c r="E67" s="9" t="inlineStr">
        <is>
          <t>ANILLO LOCK GOLD</t>
        </is>
      </c>
      <c r="F67" s="9" t="inlineStr">
        <is>
          <t>8</t>
        </is>
      </c>
      <c r="G67" s="9" t="n">
        <v>1</v>
      </c>
      <c r="H67" s="21" t="n">
        <v>5</v>
      </c>
      <c r="I67" s="21" t="n">
        <v>106.28</v>
      </c>
      <c r="J67" s="21" t="n">
        <v>318.84</v>
      </c>
      <c r="K67" s="21" t="n">
        <v>371.97</v>
      </c>
      <c r="L67" s="21" t="n">
        <v>425.11</v>
      </c>
      <c r="M67" s="21" t="n">
        <v>455</v>
      </c>
    </row>
    <row r="68">
      <c r="A68" s="9" t="inlineStr">
        <is>
          <t>HAIFENG</t>
        </is>
      </c>
      <c r="B68" s="9" t="inlineStr">
        <is>
          <t>HAIFENG 01/09/2025</t>
        </is>
      </c>
      <c r="C68" s="9" t="inlineStr">
        <is>
          <t>2025-09-01</t>
        </is>
      </c>
      <c r="D68" s="9" t="inlineStr">
        <is>
          <t>71036876283404</t>
        </is>
      </c>
      <c r="E68" s="9" t="inlineStr">
        <is>
          <t>ANILLO LOCK SILVER</t>
        </is>
      </c>
      <c r="F68" s="9" t="inlineStr">
        <is>
          <t>8</t>
        </is>
      </c>
      <c r="G68" s="9" t="n">
        <v>2</v>
      </c>
      <c r="H68" s="21" t="n">
        <v>5</v>
      </c>
      <c r="I68" s="21" t="n">
        <v>106.28</v>
      </c>
      <c r="J68" s="21" t="n">
        <v>318.84</v>
      </c>
      <c r="K68" s="21" t="n">
        <v>371.97</v>
      </c>
      <c r="L68" s="21" t="n">
        <v>425.11</v>
      </c>
      <c r="M68" s="21" t="n">
        <v>454</v>
      </c>
    </row>
    <row r="69">
      <c r="A69" s="9" t="inlineStr">
        <is>
          <t>HAIFENG</t>
        </is>
      </c>
      <c r="B69" s="9" t="inlineStr">
        <is>
          <t>HAIFENG 01/09/2025</t>
        </is>
      </c>
      <c r="C69" s="9" t="inlineStr">
        <is>
          <t>2025-09-01</t>
        </is>
      </c>
      <c r="D69" s="9" t="inlineStr">
        <is>
          <t>66176a3a6e732</t>
        </is>
      </c>
      <c r="E69" s="9" t="inlineStr">
        <is>
          <t>ANILLO LOVE GOLD</t>
        </is>
      </c>
      <c r="F69" s="9" t="inlineStr">
        <is>
          <t>7</t>
        </is>
      </c>
      <c r="G69" s="9" t="n">
        <v>4</v>
      </c>
      <c r="H69" s="21" t="n">
        <v>1.8</v>
      </c>
      <c r="I69" s="21" t="n">
        <v>38.26</v>
      </c>
      <c r="J69" s="21" t="n">
        <v>114.78</v>
      </c>
      <c r="K69" s="21" t="n">
        <v>133.91</v>
      </c>
      <c r="L69" s="21" t="n">
        <v>153.04</v>
      </c>
      <c r="M69" s="21" t="n">
        <v>400</v>
      </c>
    </row>
    <row r="70">
      <c r="A70" s="9" t="inlineStr">
        <is>
          <t>HAIFENG</t>
        </is>
      </c>
      <c r="B70" s="9" t="inlineStr">
        <is>
          <t>HAIFENG 01/09/2025</t>
        </is>
      </c>
      <c r="C70" s="9" t="inlineStr">
        <is>
          <t>2025-09-01</t>
        </is>
      </c>
      <c r="D70" s="9" t="inlineStr">
        <is>
          <t>66176a3b07b47</t>
        </is>
      </c>
      <c r="E70" s="9" t="inlineStr">
        <is>
          <t>ANILLO LOVE GOLD</t>
        </is>
      </c>
      <c r="F70" s="9" t="inlineStr">
        <is>
          <t>8</t>
        </is>
      </c>
      <c r="G70" s="9" t="n">
        <v>3</v>
      </c>
      <c r="H70" s="21" t="n">
        <v>1.8</v>
      </c>
      <c r="I70" s="21" t="n">
        <v>38.26</v>
      </c>
      <c r="J70" s="21" t="n">
        <v>114.78</v>
      </c>
      <c r="K70" s="21" t="n">
        <v>133.91</v>
      </c>
      <c r="L70" s="21" t="n">
        <v>153.04</v>
      </c>
      <c r="M70" s="21" t="n">
        <v>400</v>
      </c>
    </row>
    <row r="71">
      <c r="A71" s="9" t="inlineStr">
        <is>
          <t>HAIFENG</t>
        </is>
      </c>
      <c r="B71" s="9" t="inlineStr">
        <is>
          <t>HAIFENG 01/09/2025</t>
        </is>
      </c>
      <c r="C71" s="9" t="inlineStr">
        <is>
          <t>2025-09-01</t>
        </is>
      </c>
      <c r="D71" s="9" t="inlineStr">
        <is>
          <t>2653021417996</t>
        </is>
      </c>
      <c r="E71" s="9" t="inlineStr">
        <is>
          <t>ANILLO LOVE GOLD ANCHO</t>
        </is>
      </c>
      <c r="F71" s="9" t="inlineStr">
        <is>
          <t>5</t>
        </is>
      </c>
      <c r="G71" s="9" t="n">
        <v>4</v>
      </c>
      <c r="H71" s="21" t="n">
        <v>1.8</v>
      </c>
      <c r="I71" s="21" t="n">
        <v>38.26</v>
      </c>
      <c r="J71" s="21" t="n">
        <v>114.78</v>
      </c>
      <c r="K71" s="21" t="n">
        <v>133.91</v>
      </c>
      <c r="L71" s="21" t="n">
        <v>153.04</v>
      </c>
      <c r="M71" s="21" t="n">
        <v>400</v>
      </c>
    </row>
    <row r="72">
      <c r="A72" s="9" t="inlineStr">
        <is>
          <t>HAIFENG</t>
        </is>
      </c>
      <c r="B72" s="9" t="inlineStr">
        <is>
          <t>HAIFENG 01/09/2025</t>
        </is>
      </c>
      <c r="C72" s="9" t="inlineStr">
        <is>
          <t>2025-09-01</t>
        </is>
      </c>
      <c r="D72" s="9" t="inlineStr">
        <is>
          <t>2653021450764</t>
        </is>
      </c>
      <c r="E72" s="9" t="inlineStr">
        <is>
          <t>ANILLO LOVE GOLD ANCHO</t>
        </is>
      </c>
      <c r="F72" s="9" t="inlineStr">
        <is>
          <t>6</t>
        </is>
      </c>
      <c r="G72" s="9" t="n">
        <v>4</v>
      </c>
      <c r="H72" s="21" t="n">
        <v>1.8</v>
      </c>
      <c r="I72" s="21" t="n">
        <v>38.26</v>
      </c>
      <c r="J72" s="21" t="n">
        <v>114.78</v>
      </c>
      <c r="K72" s="21" t="n">
        <v>133.91</v>
      </c>
      <c r="L72" s="21" t="n">
        <v>153.04</v>
      </c>
      <c r="M72" s="21" t="n">
        <v>400</v>
      </c>
    </row>
    <row r="73">
      <c r="A73" s="9" t="inlineStr">
        <is>
          <t>HAIFENG</t>
        </is>
      </c>
      <c r="B73" s="9" t="inlineStr">
        <is>
          <t>HAIFENG 01/09/2025</t>
        </is>
      </c>
      <c r="C73" s="9" t="inlineStr">
        <is>
          <t>2025-09-01</t>
        </is>
      </c>
      <c r="D73" s="9" t="inlineStr">
        <is>
          <t>2653021614604</t>
        </is>
      </c>
      <c r="E73" s="9" t="inlineStr">
        <is>
          <t>ANILLO LOVE GOLD ANCHO</t>
        </is>
      </c>
      <c r="F73" s="9" t="inlineStr">
        <is>
          <t>11</t>
        </is>
      </c>
      <c r="G73" s="9" t="n">
        <v>3</v>
      </c>
      <c r="H73" s="21" t="n">
        <v>1.8</v>
      </c>
      <c r="I73" s="21" t="n">
        <v>38.26</v>
      </c>
      <c r="J73" s="21" t="n">
        <v>114.78</v>
      </c>
      <c r="K73" s="21" t="n">
        <v>133.91</v>
      </c>
      <c r="L73" s="21" t="n">
        <v>153.04</v>
      </c>
      <c r="M73" s="21" t="n">
        <v>400</v>
      </c>
    </row>
    <row r="74">
      <c r="A74" s="9" t="inlineStr">
        <is>
          <t>HAIFENG</t>
        </is>
      </c>
      <c r="B74" s="9" t="inlineStr">
        <is>
          <t>HAIFENG 01/09/2025</t>
        </is>
      </c>
      <c r="C74" s="9" t="inlineStr">
        <is>
          <t>2025-09-01</t>
        </is>
      </c>
      <c r="D74" s="9" t="inlineStr">
        <is>
          <t>66176c908bd7d</t>
        </is>
      </c>
      <c r="E74" s="9" t="inlineStr">
        <is>
          <t>ANILLO LOVE GOLD ANCHO CON ZIRCONIA</t>
        </is>
      </c>
      <c r="F74" s="9" t="inlineStr">
        <is>
          <t>5</t>
        </is>
      </c>
      <c r="G74" s="9" t="n">
        <v>3</v>
      </c>
      <c r="H74" s="21" t="n">
        <v>1.8</v>
      </c>
      <c r="I74" s="21" t="n">
        <v>38.26</v>
      </c>
      <c r="J74" s="21" t="n">
        <v>114.78</v>
      </c>
      <c r="K74" s="21" t="n">
        <v>133.91</v>
      </c>
      <c r="L74" s="21" t="n">
        <v>153.04</v>
      </c>
      <c r="M74" s="21" t="n">
        <v>450</v>
      </c>
    </row>
    <row r="75">
      <c r="A75" s="9" t="inlineStr">
        <is>
          <t>HAIFENG</t>
        </is>
      </c>
      <c r="B75" s="9" t="inlineStr">
        <is>
          <t>HAIFENG 01/09/2025</t>
        </is>
      </c>
      <c r="C75" s="9" t="inlineStr">
        <is>
          <t>2025-09-01</t>
        </is>
      </c>
      <c r="D75" s="9" t="inlineStr">
        <is>
          <t>66176c92ddb57</t>
        </is>
      </c>
      <c r="E75" s="9" t="inlineStr">
        <is>
          <t>ANILLO LOVE GOLD ANCHO CON ZIRCONIA</t>
        </is>
      </c>
      <c r="F75" s="9" t="inlineStr">
        <is>
          <t>9</t>
        </is>
      </c>
      <c r="G75" s="9" t="n">
        <v>2</v>
      </c>
      <c r="H75" s="21" t="n">
        <v>1.8</v>
      </c>
      <c r="I75" s="21" t="n">
        <v>38.26</v>
      </c>
      <c r="J75" s="21" t="n">
        <v>114.78</v>
      </c>
      <c r="K75" s="21" t="n">
        <v>133.91</v>
      </c>
      <c r="L75" s="21" t="n">
        <v>153.04</v>
      </c>
      <c r="M75" s="21" t="n">
        <v>450</v>
      </c>
    </row>
    <row r="76">
      <c r="A76" s="9" t="inlineStr">
        <is>
          <t>HAIFENG</t>
        </is>
      </c>
      <c r="B76" s="9" t="inlineStr">
        <is>
          <t>HAIFENG 01/09/2025</t>
        </is>
      </c>
      <c r="C76" s="9" t="inlineStr">
        <is>
          <t>2025-09-01</t>
        </is>
      </c>
      <c r="D76" s="9" t="inlineStr">
        <is>
          <t>56481480676492</t>
        </is>
      </c>
      <c r="E76" s="9" t="inlineStr">
        <is>
          <t>ANILLO LOVE LOVE ROSEGOLD-SILVER ZIRCONIAS</t>
        </is>
      </c>
      <c r="F76" s="9" t="inlineStr">
        <is>
          <t>8</t>
        </is>
      </c>
      <c r="G76" s="9" t="n">
        <v>3</v>
      </c>
      <c r="H76" s="21" t="n">
        <v>7.5</v>
      </c>
      <c r="I76" s="21" t="n">
        <v>159.42</v>
      </c>
      <c r="J76" s="21" t="n">
        <v>478.25</v>
      </c>
      <c r="K76" s="21" t="n">
        <v>557.96</v>
      </c>
      <c r="L76" s="21" t="n">
        <v>637.67</v>
      </c>
      <c r="M76" s="21" t="n">
        <v>620</v>
      </c>
    </row>
    <row r="77">
      <c r="A77" s="9" t="inlineStr">
        <is>
          <t>HAIFENG</t>
        </is>
      </c>
      <c r="B77" s="9" t="inlineStr">
        <is>
          <t>HAIFENG 01/09/2025</t>
        </is>
      </c>
      <c r="C77" s="9" t="inlineStr">
        <is>
          <t>2025-09-01</t>
        </is>
      </c>
      <c r="D77" s="9" t="inlineStr">
        <is>
          <t>56481480643724</t>
        </is>
      </c>
      <c r="E77" s="9" t="inlineStr">
        <is>
          <t>ANILLO LOVE LOVE ROSEGOLD-SILVER ZIRCONIAS</t>
        </is>
      </c>
      <c r="F77" s="9" t="inlineStr">
        <is>
          <t>7</t>
        </is>
      </c>
      <c r="G77" s="9" t="n">
        <v>2</v>
      </c>
      <c r="H77" s="21" t="n">
        <v>7.5</v>
      </c>
      <c r="I77" s="21" t="n">
        <v>159.42</v>
      </c>
      <c r="J77" s="21" t="n">
        <v>478.25</v>
      </c>
      <c r="K77" s="21" t="n">
        <v>557.96</v>
      </c>
      <c r="L77" s="21" t="n">
        <v>637.67</v>
      </c>
      <c r="M77" s="21" t="n">
        <v>620</v>
      </c>
    </row>
    <row r="78">
      <c r="A78" s="9" t="inlineStr">
        <is>
          <t>HAIFENG</t>
        </is>
      </c>
      <c r="B78" s="9" t="inlineStr">
        <is>
          <t>HAIFENG 01/09/2025</t>
        </is>
      </c>
      <c r="C78" s="9" t="inlineStr">
        <is>
          <t>2025-09-01</t>
        </is>
      </c>
      <c r="D78" s="9" t="inlineStr">
        <is>
          <t>56481480610956</t>
        </is>
      </c>
      <c r="E78" s="9" t="inlineStr">
        <is>
          <t>ANILLO LOVE LOVE ROSEGOLD-SILVER ZIRCONIAS</t>
        </is>
      </c>
      <c r="F78" s="9" t="inlineStr">
        <is>
          <t>6</t>
        </is>
      </c>
      <c r="G78" s="9" t="n">
        <v>2</v>
      </c>
      <c r="H78" s="21" t="n">
        <v>7.5</v>
      </c>
      <c r="I78" s="21" t="n">
        <v>159.42</v>
      </c>
      <c r="J78" s="21" t="n">
        <v>478.25</v>
      </c>
      <c r="K78" s="21" t="n">
        <v>557.96</v>
      </c>
      <c r="L78" s="21" t="n">
        <v>637.67</v>
      </c>
      <c r="M78" s="21" t="n">
        <v>620</v>
      </c>
    </row>
    <row r="79">
      <c r="A79" s="9" t="inlineStr">
        <is>
          <t>HAIFENG</t>
        </is>
      </c>
      <c r="B79" s="9" t="inlineStr">
        <is>
          <t>HAIFENG 01/09/2025</t>
        </is>
      </c>
      <c r="C79" s="9" t="inlineStr">
        <is>
          <t>2025-09-01</t>
        </is>
      </c>
      <c r="D79" s="9" t="inlineStr">
        <is>
          <t>66593bc4595bd</t>
        </is>
      </c>
      <c r="E79" s="9" t="inlineStr">
        <is>
          <t>ANILLO LOVE MZ GOLD</t>
        </is>
      </c>
      <c r="F79" s="9" t="inlineStr">
        <is>
          <t>9</t>
        </is>
      </c>
      <c r="G79" s="9" t="n">
        <v>2</v>
      </c>
      <c r="H79" s="21" t="n">
        <v>5.8</v>
      </c>
      <c r="I79" s="21" t="n">
        <v>123.28</v>
      </c>
      <c r="J79" s="21" t="n">
        <v>369.85</v>
      </c>
      <c r="K79" s="21" t="n">
        <v>431.49</v>
      </c>
      <c r="L79" s="21" t="n">
        <v>493.13</v>
      </c>
      <c r="M79" s="21" t="n">
        <v>550</v>
      </c>
    </row>
    <row r="80">
      <c r="A80" s="9" t="inlineStr">
        <is>
          <t>HAIFENG</t>
        </is>
      </c>
      <c r="B80" s="9" t="inlineStr">
        <is>
          <t>HAIFENG 01/09/2025</t>
        </is>
      </c>
      <c r="C80" s="9" t="inlineStr">
        <is>
          <t>2025-09-01</t>
        </is>
      </c>
      <c r="D80" s="9" t="inlineStr">
        <is>
          <t>66593bc5d26f2</t>
        </is>
      </c>
      <c r="E80" s="9" t="inlineStr">
        <is>
          <t>ANILLO LOVE MZ SILVER</t>
        </is>
      </c>
      <c r="F80" s="9" t="inlineStr">
        <is>
          <t>11</t>
        </is>
      </c>
      <c r="G80" s="9" t="n">
        <v>3</v>
      </c>
      <c r="H80" s="21" t="n">
        <v>5.8</v>
      </c>
      <c r="I80" s="21" t="n">
        <v>123.28</v>
      </c>
      <c r="J80" s="21" t="n">
        <v>369.85</v>
      </c>
      <c r="K80" s="21" t="n">
        <v>431.49</v>
      </c>
      <c r="L80" s="21" t="n">
        <v>493.13</v>
      </c>
      <c r="M80" s="21" t="n">
        <v>550</v>
      </c>
    </row>
    <row r="81">
      <c r="A81" s="9" t="inlineStr">
        <is>
          <t>HAIFENG</t>
        </is>
      </c>
      <c r="B81" s="9" t="inlineStr">
        <is>
          <t>HAIFENG 01/09/2025</t>
        </is>
      </c>
      <c r="C81" s="9" t="inlineStr">
        <is>
          <t>2025-09-01</t>
        </is>
      </c>
      <c r="D81" s="9" t="inlineStr">
        <is>
          <t>66593bc531d7c</t>
        </is>
      </c>
      <c r="E81" s="9" t="inlineStr">
        <is>
          <t>ANILLO LOVE MZ SILVER</t>
        </is>
      </c>
      <c r="F81" s="9" t="inlineStr">
        <is>
          <t>10</t>
        </is>
      </c>
      <c r="G81" s="9" t="n">
        <v>3</v>
      </c>
      <c r="H81" s="21" t="n">
        <v>5.8</v>
      </c>
      <c r="I81" s="21" t="n">
        <v>123.28</v>
      </c>
      <c r="J81" s="21" t="n">
        <v>369.85</v>
      </c>
      <c r="K81" s="21" t="n">
        <v>431.49</v>
      </c>
      <c r="L81" s="21" t="n">
        <v>493.13</v>
      </c>
      <c r="M81" s="21" t="n">
        <v>550</v>
      </c>
    </row>
    <row r="82">
      <c r="A82" s="9" t="inlineStr">
        <is>
          <t>HAIFENG</t>
        </is>
      </c>
      <c r="B82" s="9" t="inlineStr">
        <is>
          <t>HAIFENG 01/09/2025</t>
        </is>
      </c>
      <c r="C82" s="9" t="inlineStr">
        <is>
          <t>2025-09-01</t>
        </is>
      </c>
      <c r="D82" s="9" t="inlineStr">
        <is>
          <t>66593bc3df025</t>
        </is>
      </c>
      <c r="E82" s="9" t="inlineStr">
        <is>
          <t>ANILLO LOVE MZ SILVER</t>
        </is>
      </c>
      <c r="F82" s="9" t="inlineStr">
        <is>
          <t>8</t>
        </is>
      </c>
      <c r="G82" s="9" t="n">
        <v>4</v>
      </c>
      <c r="H82" s="21" t="n">
        <v>5.8</v>
      </c>
      <c r="I82" s="21" t="n">
        <v>123.28</v>
      </c>
      <c r="J82" s="21" t="n">
        <v>369.85</v>
      </c>
      <c r="K82" s="21" t="n">
        <v>431.49</v>
      </c>
      <c r="L82" s="21" t="n">
        <v>493.13</v>
      </c>
      <c r="M82" s="21" t="n">
        <v>550</v>
      </c>
    </row>
    <row r="83">
      <c r="A83" s="9" t="inlineStr">
        <is>
          <t>HAIFENG</t>
        </is>
      </c>
      <c r="B83" s="9" t="inlineStr">
        <is>
          <t>HAIFENG 01/09/2025</t>
        </is>
      </c>
      <c r="C83" s="9" t="inlineStr">
        <is>
          <t>2025-09-01</t>
        </is>
      </c>
      <c r="D83" s="9" t="inlineStr">
        <is>
          <t>66593bc296789</t>
        </is>
      </c>
      <c r="E83" s="9" t="inlineStr">
        <is>
          <t>ANILLO LOVE MZ SILVER</t>
        </is>
      </c>
      <c r="F83" s="9" t="inlineStr">
        <is>
          <t>6</t>
        </is>
      </c>
      <c r="G83" s="9" t="n">
        <v>4</v>
      </c>
      <c r="H83" s="21" t="n">
        <v>5.8</v>
      </c>
      <c r="I83" s="21" t="n">
        <v>123.28</v>
      </c>
      <c r="J83" s="21" t="n">
        <v>369.85</v>
      </c>
      <c r="K83" s="21" t="n">
        <v>431.49</v>
      </c>
      <c r="L83" s="21" t="n">
        <v>493.13</v>
      </c>
      <c r="M83" s="21" t="n">
        <v>550</v>
      </c>
    </row>
    <row r="84">
      <c r="A84" s="9" t="inlineStr">
        <is>
          <t>HAIFENG</t>
        </is>
      </c>
      <c r="B84" s="9" t="inlineStr">
        <is>
          <t>HAIFENG 01/09/2025</t>
        </is>
      </c>
      <c r="C84" s="9" t="inlineStr">
        <is>
          <t>2025-09-01</t>
        </is>
      </c>
      <c r="D84" s="9" t="inlineStr">
        <is>
          <t>66593bc1ef37c</t>
        </is>
      </c>
      <c r="E84" s="9" t="inlineStr">
        <is>
          <t>ANILLO LOVE MZ SILVER</t>
        </is>
      </c>
      <c r="F84" s="9" t="inlineStr">
        <is>
          <t>5</t>
        </is>
      </c>
      <c r="G84" s="9" t="n">
        <v>4</v>
      </c>
      <c r="H84" s="21" t="n">
        <v>5.8</v>
      </c>
      <c r="I84" s="21" t="n">
        <v>123.28</v>
      </c>
      <c r="J84" s="21" t="n">
        <v>369.85</v>
      </c>
      <c r="K84" s="21" t="n">
        <v>431.49</v>
      </c>
      <c r="L84" s="21" t="n">
        <v>493.13</v>
      </c>
      <c r="M84" s="21" t="n">
        <v>550</v>
      </c>
    </row>
    <row r="85">
      <c r="A85" s="9" t="inlineStr">
        <is>
          <t>HAIFENG</t>
        </is>
      </c>
      <c r="B85" s="9" t="inlineStr">
        <is>
          <t>HAIFENG 01/09/2025</t>
        </is>
      </c>
      <c r="C85" s="9" t="inlineStr">
        <is>
          <t>2025-09-01</t>
        </is>
      </c>
      <c r="D85" s="9" t="inlineStr">
        <is>
          <t>66593bc48c52f</t>
        </is>
      </c>
      <c r="E85" s="9" t="inlineStr">
        <is>
          <t>ANILLO LOVE MZ SILVER</t>
        </is>
      </c>
      <c r="F85" s="9" t="inlineStr">
        <is>
          <t>9</t>
        </is>
      </c>
      <c r="G85" s="9" t="n">
        <v>4</v>
      </c>
      <c r="H85" s="21" t="n">
        <v>5.8</v>
      </c>
      <c r="I85" s="21" t="n">
        <v>123.28</v>
      </c>
      <c r="J85" s="21" t="n">
        <v>369.85</v>
      </c>
      <c r="K85" s="21" t="n">
        <v>431.49</v>
      </c>
      <c r="L85" s="21" t="n">
        <v>493.13</v>
      </c>
      <c r="M85" s="21" t="n">
        <v>550</v>
      </c>
    </row>
    <row r="86">
      <c r="A86" s="9" t="inlineStr">
        <is>
          <t>HAIFENG</t>
        </is>
      </c>
      <c r="B86" s="9" t="inlineStr">
        <is>
          <t>HAIFENG 01/09/2025</t>
        </is>
      </c>
      <c r="C86" s="9" t="inlineStr">
        <is>
          <t>2025-09-01</t>
        </is>
      </c>
      <c r="D86" s="9" t="inlineStr">
        <is>
          <t>66593bc339714</t>
        </is>
      </c>
      <c r="E86" s="9" t="inlineStr">
        <is>
          <t>ANILLO LOVE MZ SILVER</t>
        </is>
      </c>
      <c r="F86" s="9" t="inlineStr">
        <is>
          <t>7</t>
        </is>
      </c>
      <c r="G86" s="9" t="n">
        <v>4</v>
      </c>
      <c r="H86" s="21" t="n">
        <v>5.8</v>
      </c>
      <c r="I86" s="21" t="n">
        <v>123.28</v>
      </c>
      <c r="J86" s="21" t="n">
        <v>369.85</v>
      </c>
      <c r="K86" s="21" t="n">
        <v>431.49</v>
      </c>
      <c r="L86" s="21" t="n">
        <v>493.13</v>
      </c>
      <c r="M86" s="21" t="n">
        <v>550</v>
      </c>
    </row>
    <row r="87">
      <c r="A87" s="9" t="inlineStr">
        <is>
          <t>HAIFENG</t>
        </is>
      </c>
      <c r="B87" s="9" t="inlineStr">
        <is>
          <t>HAIFENG 01/09/2025</t>
        </is>
      </c>
      <c r="C87" s="9" t="inlineStr">
        <is>
          <t>2025-09-01</t>
        </is>
      </c>
      <c r="D87" s="9" t="inlineStr">
        <is>
          <t>2653036202124</t>
        </is>
      </c>
      <c r="E87" s="9" t="inlineStr">
        <is>
          <t>ANILLO LOVE SILVER ANCHO</t>
        </is>
      </c>
      <c r="F87" s="9" t="inlineStr">
        <is>
          <t>9</t>
        </is>
      </c>
      <c r="G87" s="9" t="n">
        <v>2</v>
      </c>
      <c r="H87" s="21" t="n">
        <v>1.8</v>
      </c>
      <c r="I87" s="21" t="n">
        <v>38.26</v>
      </c>
      <c r="J87" s="21" t="n">
        <v>114.78</v>
      </c>
      <c r="K87" s="21" t="n">
        <v>133.91</v>
      </c>
      <c r="L87" s="21" t="n">
        <v>153.04</v>
      </c>
      <c r="M87" s="21" t="n">
        <v>400</v>
      </c>
    </row>
    <row r="88">
      <c r="A88" s="9" t="inlineStr">
        <is>
          <t>HAIFENG</t>
        </is>
      </c>
      <c r="B88" s="9" t="inlineStr">
        <is>
          <t>HAIFENG 01/09/2025</t>
        </is>
      </c>
      <c r="C88" s="9" t="inlineStr">
        <is>
          <t>2025-09-01</t>
        </is>
      </c>
      <c r="D88" s="9" t="inlineStr">
        <is>
          <t>77174549298188</t>
        </is>
      </c>
      <c r="E88" s="9" t="inlineStr">
        <is>
          <t>ANILLO ONE T CON ZIRCONIA GOLD</t>
        </is>
      </c>
      <c r="F88" s="9" t="inlineStr">
        <is>
          <t>8</t>
        </is>
      </c>
      <c r="G88" s="9" t="n">
        <v>2</v>
      </c>
      <c r="H88" s="21" t="n">
        <v>5</v>
      </c>
      <c r="I88" s="21" t="n">
        <v>106.28</v>
      </c>
      <c r="J88" s="21" t="n">
        <v>318.84</v>
      </c>
      <c r="K88" s="21" t="n">
        <v>371.97</v>
      </c>
      <c r="L88" s="21" t="n">
        <v>425.11</v>
      </c>
      <c r="M88" s="21" t="n">
        <v>450</v>
      </c>
    </row>
    <row r="89">
      <c r="A89" s="9" t="inlineStr">
        <is>
          <t>HAIFENG</t>
        </is>
      </c>
      <c r="B89" s="9" t="inlineStr">
        <is>
          <t>HAIFENG 01/09/2025</t>
        </is>
      </c>
      <c r="C89" s="9" t="inlineStr">
        <is>
          <t>2025-09-01</t>
        </is>
      </c>
      <c r="D89" s="9" t="inlineStr">
        <is>
          <t>673cd55edea9b</t>
        </is>
      </c>
      <c r="E89" s="9" t="inlineStr">
        <is>
          <t>ANILLO ONE T CON ZIRCONIA GOLD</t>
        </is>
      </c>
      <c r="F89" s="9" t="inlineStr">
        <is>
          <t>7</t>
        </is>
      </c>
      <c r="G89" s="9" t="n">
        <v>1</v>
      </c>
      <c r="H89" s="21" t="n">
        <v>5</v>
      </c>
      <c r="I89" s="21" t="n">
        <v>106.28</v>
      </c>
      <c r="J89" s="21" t="n">
        <v>318.84</v>
      </c>
      <c r="K89" s="21" t="n">
        <v>371.97</v>
      </c>
      <c r="L89" s="21" t="n">
        <v>425.11</v>
      </c>
      <c r="M89" s="21" t="n">
        <v>450</v>
      </c>
    </row>
    <row r="90">
      <c r="A90" s="9" t="inlineStr">
        <is>
          <t>HAIFENG</t>
        </is>
      </c>
      <c r="B90" s="9" t="inlineStr">
        <is>
          <t>HAIFENG 01/09/2025</t>
        </is>
      </c>
      <c r="C90" s="9" t="inlineStr">
        <is>
          <t>2025-09-01</t>
        </is>
      </c>
      <c r="D90" s="9" t="inlineStr">
        <is>
          <t>43047226540172</t>
        </is>
      </c>
      <c r="E90" s="9" t="inlineStr">
        <is>
          <t>ANILLO SIXTEEN STONE</t>
        </is>
      </c>
      <c r="F90" s="9" t="inlineStr">
        <is>
          <t>HIGH QUALITY 6</t>
        </is>
      </c>
      <c r="G90" s="9" t="n">
        <v>2</v>
      </c>
      <c r="H90" s="21" t="n">
        <v>6</v>
      </c>
      <c r="I90" s="21" t="n">
        <v>127.53</v>
      </c>
      <c r="J90" s="21" t="n">
        <v>382.6</v>
      </c>
      <c r="K90" s="21" t="n">
        <v>446.37</v>
      </c>
      <c r="L90" s="21" t="n">
        <v>510.14</v>
      </c>
      <c r="M90" s="21" t="n">
        <v>550</v>
      </c>
    </row>
    <row r="91">
      <c r="A91" s="9" t="inlineStr">
        <is>
          <t>HAIFENG</t>
        </is>
      </c>
      <c r="B91" s="9" t="inlineStr">
        <is>
          <t>HAIFENG 01/09/2025</t>
        </is>
      </c>
      <c r="C91" s="9" t="inlineStr">
        <is>
          <t>2025-09-01</t>
        </is>
      </c>
      <c r="D91" s="9" t="inlineStr">
        <is>
          <t>43047226572940</t>
        </is>
      </c>
      <c r="E91" s="9" t="inlineStr">
        <is>
          <t>ANILLO SIXTEEN STONE</t>
        </is>
      </c>
      <c r="F91" s="9" t="inlineStr">
        <is>
          <t>HIGH QUALITY 7</t>
        </is>
      </c>
      <c r="G91" s="9" t="n">
        <v>1</v>
      </c>
      <c r="H91" s="21" t="n">
        <v>6</v>
      </c>
      <c r="I91" s="21" t="n">
        <v>127.53</v>
      </c>
      <c r="J91" s="21" t="n">
        <v>382.6</v>
      </c>
      <c r="K91" s="21" t="n">
        <v>446.37</v>
      </c>
      <c r="L91" s="21" t="n">
        <v>510.14</v>
      </c>
      <c r="M91" s="21" t="n">
        <v>550</v>
      </c>
    </row>
    <row r="92">
      <c r="A92" s="9" t="inlineStr">
        <is>
          <t>HAIFENG</t>
        </is>
      </c>
      <c r="B92" s="9" t="inlineStr">
        <is>
          <t>HAIFENG 01/09/2025</t>
        </is>
      </c>
      <c r="C92" s="9" t="inlineStr">
        <is>
          <t>2025-09-01</t>
        </is>
      </c>
      <c r="D92" s="9" t="inlineStr">
        <is>
          <t>43047226638476</t>
        </is>
      </c>
      <c r="E92" s="9" t="inlineStr">
        <is>
          <t>ANILLO SIXTEEN STONE</t>
        </is>
      </c>
      <c r="F92" s="9" t="inlineStr">
        <is>
          <t>HIGH QUALITY 9</t>
        </is>
      </c>
      <c r="G92" s="9" t="n">
        <v>3</v>
      </c>
      <c r="H92" s="21" t="n">
        <v>6</v>
      </c>
      <c r="I92" s="21" t="n">
        <v>127.53</v>
      </c>
      <c r="J92" s="21" t="n">
        <v>382.6</v>
      </c>
      <c r="K92" s="21" t="n">
        <v>446.37</v>
      </c>
      <c r="L92" s="21" t="n">
        <v>510.14</v>
      </c>
      <c r="M92" s="21" t="n">
        <v>550</v>
      </c>
    </row>
    <row r="93">
      <c r="A93" s="9" t="inlineStr">
        <is>
          <t>HAIFENG</t>
        </is>
      </c>
      <c r="B93" s="9" t="inlineStr">
        <is>
          <t>HAIFENG 01/09/2025</t>
        </is>
      </c>
      <c r="C93" s="9" t="inlineStr">
        <is>
          <t>2025-09-01</t>
        </is>
      </c>
      <c r="D93" s="9" t="inlineStr">
        <is>
          <t>56481484246028</t>
        </is>
      </c>
      <c r="E93" s="9" t="inlineStr">
        <is>
          <t>ANILLO SIXTEEN STONE GOLD/RED</t>
        </is>
      </c>
      <c r="F93" s="9" t="inlineStr">
        <is>
          <t>6</t>
        </is>
      </c>
      <c r="G93" s="9" t="n">
        <v>3</v>
      </c>
      <c r="H93" s="21" t="n">
        <v>6</v>
      </c>
      <c r="I93" s="21" t="n">
        <v>127.53</v>
      </c>
      <c r="J93" s="21" t="n">
        <v>382.6</v>
      </c>
      <c r="K93" s="21" t="n">
        <v>446.37</v>
      </c>
      <c r="L93" s="21" t="n">
        <v>510.14</v>
      </c>
      <c r="M93" s="21" t="n">
        <v>550</v>
      </c>
    </row>
    <row r="94">
      <c r="A94" s="9" t="inlineStr">
        <is>
          <t>HAIFENG</t>
        </is>
      </c>
      <c r="B94" s="9" t="inlineStr">
        <is>
          <t>HAIFENG 01/09/2025</t>
        </is>
      </c>
      <c r="C94" s="9" t="inlineStr">
        <is>
          <t>2025-09-01</t>
        </is>
      </c>
      <c r="D94" s="9" t="inlineStr">
        <is>
          <t>56481484278796</t>
        </is>
      </c>
      <c r="E94" s="9" t="inlineStr">
        <is>
          <t>ANILLO SIXTEEN STONE GOLD/RED</t>
        </is>
      </c>
      <c r="F94" s="9" t="inlineStr">
        <is>
          <t>7</t>
        </is>
      </c>
      <c r="G94" s="9" t="n">
        <v>1</v>
      </c>
      <c r="H94" s="21" t="n">
        <v>6</v>
      </c>
      <c r="I94" s="21" t="n">
        <v>127.53</v>
      </c>
      <c r="J94" s="21" t="n">
        <v>382.6</v>
      </c>
      <c r="K94" s="21" t="n">
        <v>446.37</v>
      </c>
      <c r="L94" s="21" t="n">
        <v>510.14</v>
      </c>
      <c r="M94" s="21" t="n">
        <v>550</v>
      </c>
    </row>
    <row r="95">
      <c r="A95" s="9" t="inlineStr">
        <is>
          <t>HAIFENG</t>
        </is>
      </c>
      <c r="B95" s="9" t="inlineStr">
        <is>
          <t>HAIFENG 01/09/2025</t>
        </is>
      </c>
      <c r="C95" s="9" t="inlineStr">
        <is>
          <t>2025-09-01</t>
        </is>
      </c>
      <c r="D95" s="9" t="inlineStr">
        <is>
          <t>2653019476748</t>
        </is>
      </c>
      <c r="E95" s="9" t="inlineStr">
        <is>
          <t>ANILLO SIXTEEN STONE SILVER</t>
        </is>
      </c>
      <c r="F95" s="9" t="inlineStr">
        <is>
          <t>HIGH QUALITY 5</t>
        </is>
      </c>
      <c r="G95" s="9" t="n">
        <v>3</v>
      </c>
      <c r="H95" s="21" t="n">
        <v>6</v>
      </c>
      <c r="I95" s="21" t="n">
        <v>127.53</v>
      </c>
      <c r="J95" s="21" t="n">
        <v>382.6</v>
      </c>
      <c r="K95" s="21" t="n">
        <v>446.37</v>
      </c>
      <c r="L95" s="21" t="n">
        <v>510.14</v>
      </c>
      <c r="M95" s="21" t="n">
        <v>999</v>
      </c>
    </row>
    <row r="96">
      <c r="A96" s="9" t="inlineStr">
        <is>
          <t>HAIFENG</t>
        </is>
      </c>
      <c r="B96" s="9" t="inlineStr">
        <is>
          <t>HAIFENG 01/09/2025</t>
        </is>
      </c>
      <c r="C96" s="9" t="inlineStr">
        <is>
          <t>2025-09-01</t>
        </is>
      </c>
      <c r="D96" s="9" t="inlineStr">
        <is>
          <t>71036889199756</t>
        </is>
      </c>
      <c r="E96" s="9" t="inlineStr">
        <is>
          <t>ANILLO T DE COMPROMISO</t>
        </is>
      </c>
      <c r="F96" s="9" t="inlineStr">
        <is>
          <t>7</t>
        </is>
      </c>
      <c r="G96" s="9" t="n">
        <v>3</v>
      </c>
      <c r="H96" s="21" t="n">
        <v>5</v>
      </c>
      <c r="I96" s="21" t="n">
        <v>106.28</v>
      </c>
      <c r="J96" s="21" t="n">
        <v>318.84</v>
      </c>
      <c r="K96" s="21" t="n">
        <v>371.97</v>
      </c>
      <c r="L96" s="21" t="n">
        <v>425.11</v>
      </c>
      <c r="M96" s="21" t="n">
        <v>599</v>
      </c>
    </row>
    <row r="97">
      <c r="A97" s="9" t="inlineStr">
        <is>
          <t>HAIFENG</t>
        </is>
      </c>
      <c r="B97" s="9" t="inlineStr">
        <is>
          <t>HAIFENG 01/09/2025</t>
        </is>
      </c>
      <c r="C97" s="9" t="inlineStr">
        <is>
          <t>2025-09-01</t>
        </is>
      </c>
      <c r="D97" s="9" t="inlineStr">
        <is>
          <t>71036889232524</t>
        </is>
      </c>
      <c r="E97" s="9" t="inlineStr">
        <is>
          <t>ANILLO T DE COMPROMISO</t>
        </is>
      </c>
      <c r="F97" s="9" t="inlineStr">
        <is>
          <t>8</t>
        </is>
      </c>
      <c r="G97" s="9" t="n">
        <v>3</v>
      </c>
      <c r="H97" s="21" t="n">
        <v>5</v>
      </c>
      <c r="I97" s="21" t="n">
        <v>106.28</v>
      </c>
      <c r="J97" s="21" t="n">
        <v>318.84</v>
      </c>
      <c r="K97" s="21" t="n">
        <v>371.97</v>
      </c>
      <c r="L97" s="21" t="n">
        <v>425.11</v>
      </c>
      <c r="M97" s="21" t="n">
        <v>599</v>
      </c>
    </row>
    <row r="98">
      <c r="A98" s="9" t="inlineStr">
        <is>
          <t>HAIFENG</t>
        </is>
      </c>
      <c r="B98" s="9" t="inlineStr">
        <is>
          <t>HAIFENG 01/09/2025</t>
        </is>
      </c>
      <c r="C98" s="9" t="inlineStr">
        <is>
          <t>2025-09-01</t>
        </is>
      </c>
      <c r="D98" s="9" t="inlineStr">
        <is>
          <t>71036879166988</t>
        </is>
      </c>
      <c r="E98" s="9" t="inlineStr">
        <is>
          <t>ANILLO T DE COMPROMISO</t>
        </is>
      </c>
      <c r="F98" s="9" t="inlineStr">
        <is>
          <t>6</t>
        </is>
      </c>
      <c r="G98" s="9" t="n">
        <v>3</v>
      </c>
      <c r="H98" s="21" t="n">
        <v>5</v>
      </c>
      <c r="I98" s="21" t="n">
        <v>106.28</v>
      </c>
      <c r="J98" s="21" t="n">
        <v>318.84</v>
      </c>
      <c r="K98" s="21" t="n">
        <v>371.97</v>
      </c>
      <c r="L98" s="21" t="n">
        <v>425.11</v>
      </c>
      <c r="M98" s="21" t="n">
        <v>599</v>
      </c>
    </row>
    <row r="99">
      <c r="A99" s="9" t="inlineStr">
        <is>
          <t>HAIFENG</t>
        </is>
      </c>
      <c r="B99" s="9" t="inlineStr">
        <is>
          <t>HAIFENG 01/09/2025</t>
        </is>
      </c>
      <c r="C99" s="9" t="inlineStr">
        <is>
          <t>2025-09-01</t>
        </is>
      </c>
      <c r="D99" s="9" t="inlineStr">
        <is>
          <t>668eecd447a15</t>
        </is>
      </c>
      <c r="E99" s="9" t="inlineStr">
        <is>
          <t>ANILLO T GOLD</t>
        </is>
      </c>
      <c r="F99" s="9" t="inlineStr">
        <is>
          <t>6</t>
        </is>
      </c>
      <c r="G99" s="9" t="n">
        <v>2</v>
      </c>
      <c r="H99" s="21" t="n">
        <v>5</v>
      </c>
      <c r="I99" s="21" t="n">
        <v>106.28</v>
      </c>
      <c r="J99" s="21" t="n">
        <v>318.84</v>
      </c>
      <c r="K99" s="21" t="n">
        <v>371.97</v>
      </c>
      <c r="L99" s="21" t="n">
        <v>425.11</v>
      </c>
      <c r="M99" s="21" t="n">
        <v>450</v>
      </c>
    </row>
    <row r="100">
      <c r="A100" s="9" t="inlineStr">
        <is>
          <t>HAIFENG</t>
        </is>
      </c>
      <c r="B100" s="9" t="inlineStr">
        <is>
          <t>HAIFENG 01/09/2025</t>
        </is>
      </c>
      <c r="C100" s="9" t="inlineStr">
        <is>
          <t>2025-09-01</t>
        </is>
      </c>
      <c r="D100" s="9" t="inlineStr">
        <is>
          <t>668eecd4df850</t>
        </is>
      </c>
      <c r="E100" s="9" t="inlineStr">
        <is>
          <t>ANILLO T GOLD</t>
        </is>
      </c>
      <c r="F100" s="9" t="inlineStr">
        <is>
          <t>7</t>
        </is>
      </c>
      <c r="G100" s="9" t="n">
        <v>5</v>
      </c>
      <c r="H100" s="21" t="n">
        <v>5</v>
      </c>
      <c r="I100" s="21" t="n">
        <v>106.28</v>
      </c>
      <c r="J100" s="21" t="n">
        <v>318.84</v>
      </c>
      <c r="K100" s="21" t="n">
        <v>371.97</v>
      </c>
      <c r="L100" s="21" t="n">
        <v>425.11</v>
      </c>
      <c r="M100" s="21" t="n">
        <v>450</v>
      </c>
    </row>
    <row r="101">
      <c r="A101" s="9" t="inlineStr">
        <is>
          <t>HAIFENG</t>
        </is>
      </c>
      <c r="B101" s="9" t="inlineStr">
        <is>
          <t>HAIFENG 01/09/2025</t>
        </is>
      </c>
      <c r="C101" s="9" t="inlineStr">
        <is>
          <t>2025-09-01</t>
        </is>
      </c>
      <c r="D101" s="9" t="inlineStr">
        <is>
          <t>668eecd5a989f</t>
        </is>
      </c>
      <c r="E101" s="9" t="inlineStr">
        <is>
          <t>ANILLO T GOLD</t>
        </is>
      </c>
      <c r="F101" s="9" t="inlineStr">
        <is>
          <t>8</t>
        </is>
      </c>
      <c r="G101" s="9" t="n">
        <v>8</v>
      </c>
      <c r="H101" s="21" t="n">
        <v>5</v>
      </c>
      <c r="I101" s="21" t="n">
        <v>106.28</v>
      </c>
      <c r="J101" s="21" t="n">
        <v>318.84</v>
      </c>
      <c r="K101" s="21" t="n">
        <v>371.97</v>
      </c>
      <c r="L101" s="21" t="n">
        <v>425.11</v>
      </c>
      <c r="M101" s="21" t="n">
        <v>450</v>
      </c>
    </row>
    <row r="102">
      <c r="A102" s="9" t="inlineStr">
        <is>
          <t>HAIFENG</t>
        </is>
      </c>
      <c r="B102" s="9" t="inlineStr">
        <is>
          <t>HAIFENG 01/09/2025</t>
        </is>
      </c>
      <c r="C102" s="9" t="inlineStr">
        <is>
          <t>2025-09-01</t>
        </is>
      </c>
      <c r="D102" s="9" t="inlineStr">
        <is>
          <t>668eecd16590f</t>
        </is>
      </c>
      <c r="E102" s="9" t="inlineStr">
        <is>
          <t>ANILLO T ROSE GOLD</t>
        </is>
      </c>
      <c r="F102" s="9" t="inlineStr">
        <is>
          <t>8</t>
        </is>
      </c>
      <c r="G102" s="9" t="n">
        <v>4</v>
      </c>
      <c r="H102" s="21" t="n">
        <v>5</v>
      </c>
      <c r="I102" s="21" t="n">
        <v>106.28</v>
      </c>
      <c r="J102" s="21" t="n">
        <v>318.84</v>
      </c>
      <c r="K102" s="21" t="n">
        <v>371.97</v>
      </c>
      <c r="L102" s="21" t="n">
        <v>425.11</v>
      </c>
      <c r="M102" s="21" t="n">
        <v>450</v>
      </c>
    </row>
    <row r="103">
      <c r="A103" s="9" t="inlineStr">
        <is>
          <t>HAIFENG</t>
        </is>
      </c>
      <c r="B103" s="9" t="inlineStr">
        <is>
          <t>HAIFENG 01/09/2025</t>
        </is>
      </c>
      <c r="C103" s="9" t="inlineStr">
        <is>
          <t>2025-09-01</t>
        </is>
      </c>
      <c r="D103" s="9" t="inlineStr">
        <is>
          <t>668eee338c77b</t>
        </is>
      </c>
      <c r="E103" s="9" t="inlineStr">
        <is>
          <t>ANILLO T SILVER</t>
        </is>
      </c>
      <c r="F103" s="9" t="inlineStr">
        <is>
          <t>6</t>
        </is>
      </c>
      <c r="G103" s="9" t="n">
        <v>5</v>
      </c>
      <c r="H103" s="21" t="n">
        <v>5</v>
      </c>
      <c r="I103" s="21" t="n">
        <v>106.28</v>
      </c>
      <c r="J103" s="21" t="n">
        <v>318.84</v>
      </c>
      <c r="K103" s="21" t="n">
        <v>371.97</v>
      </c>
      <c r="L103" s="21" t="n">
        <v>425.11</v>
      </c>
      <c r="M103" s="21" t="n">
        <v>450</v>
      </c>
    </row>
    <row r="104">
      <c r="A104" s="9" t="inlineStr">
        <is>
          <t>HAIFENG</t>
        </is>
      </c>
      <c r="B104" s="9" t="inlineStr">
        <is>
          <t>HAIFENG 01/09/2025</t>
        </is>
      </c>
      <c r="C104" s="9" t="inlineStr">
        <is>
          <t>2025-09-01</t>
        </is>
      </c>
      <c r="D104" s="9" t="inlineStr">
        <is>
          <t>668eee34483a2</t>
        </is>
      </c>
      <c r="E104" s="9" t="inlineStr">
        <is>
          <t>ANILLO T SILVER</t>
        </is>
      </c>
      <c r="F104" s="9" t="inlineStr">
        <is>
          <t>7</t>
        </is>
      </c>
      <c r="G104" s="9" t="n">
        <v>4</v>
      </c>
      <c r="H104" s="21" t="n">
        <v>5</v>
      </c>
      <c r="I104" s="21" t="n">
        <v>106.28</v>
      </c>
      <c r="J104" s="21" t="n">
        <v>318.84</v>
      </c>
      <c r="K104" s="21" t="n">
        <v>371.97</v>
      </c>
      <c r="L104" s="21" t="n">
        <v>425.11</v>
      </c>
      <c r="M104" s="21" t="n">
        <v>450</v>
      </c>
    </row>
    <row r="105">
      <c r="A105" s="9" t="inlineStr">
        <is>
          <t>HAIFENG</t>
        </is>
      </c>
      <c r="B105" s="9" t="inlineStr">
        <is>
          <t>HAIFENG 01/09/2025</t>
        </is>
      </c>
      <c r="C105" s="9" t="inlineStr">
        <is>
          <t>2025-09-01</t>
        </is>
      </c>
      <c r="D105" s="9" t="inlineStr">
        <is>
          <t>668eee34e7e6d</t>
        </is>
      </c>
      <c r="E105" s="9" t="inlineStr">
        <is>
          <t>ANILLO T SILVER</t>
        </is>
      </c>
      <c r="F105" s="9" t="inlineStr">
        <is>
          <t>8</t>
        </is>
      </c>
      <c r="G105" s="9" t="n">
        <v>5</v>
      </c>
      <c r="H105" s="21" t="n">
        <v>5</v>
      </c>
      <c r="I105" s="21" t="n">
        <v>106.28</v>
      </c>
      <c r="J105" s="21" t="n">
        <v>318.84</v>
      </c>
      <c r="K105" s="21" t="n">
        <v>371.97</v>
      </c>
      <c r="L105" s="21" t="n">
        <v>425.11</v>
      </c>
      <c r="M105" s="21" t="n">
        <v>450</v>
      </c>
    </row>
    <row r="106">
      <c r="A106" s="9" t="inlineStr">
        <is>
          <t>HAIFENG</t>
        </is>
      </c>
      <c r="B106" s="9" t="inlineStr">
        <is>
          <t>HAIFENG 01/09/2025</t>
        </is>
      </c>
      <c r="C106" s="9" t="inlineStr">
        <is>
          <t>2025-09-01</t>
        </is>
      </c>
      <c r="D106" s="9" t="inlineStr">
        <is>
          <t>15857685585804</t>
        </is>
      </c>
      <c r="E106" s="9" t="inlineStr">
        <is>
          <t>ANILLO TRES AROS</t>
        </is>
      </c>
      <c r="F106" s="9" t="inlineStr">
        <is>
          <t>6</t>
        </is>
      </c>
      <c r="G106" s="9" t="n">
        <v>4</v>
      </c>
      <c r="H106" s="21" t="n">
        <v>5</v>
      </c>
      <c r="I106" s="21" t="n">
        <v>106.28</v>
      </c>
      <c r="J106" s="21" t="n">
        <v>318.84</v>
      </c>
      <c r="K106" s="21" t="n">
        <v>371.97</v>
      </c>
      <c r="L106" s="21" t="n">
        <v>425.11</v>
      </c>
      <c r="M106" s="21" t="n">
        <v>650</v>
      </c>
    </row>
    <row r="107">
      <c r="A107" s="9" t="inlineStr">
        <is>
          <t>HAIFENG</t>
        </is>
      </c>
      <c r="B107" s="9" t="inlineStr">
        <is>
          <t>HAIFENG 01/09/2025</t>
        </is>
      </c>
      <c r="C107" s="9" t="inlineStr">
        <is>
          <t>2025-09-01</t>
        </is>
      </c>
      <c r="D107" s="9" t="inlineStr">
        <is>
          <t>56481488586892</t>
        </is>
      </c>
      <c r="E107" s="9" t="inlineStr">
        <is>
          <t>ANILLO TRES AROS CON ZIRCONIA</t>
        </is>
      </c>
      <c r="F107" s="9" t="inlineStr">
        <is>
          <t>7</t>
        </is>
      </c>
      <c r="G107" s="9" t="n">
        <v>4</v>
      </c>
      <c r="H107" s="21" t="n">
        <v>5</v>
      </c>
      <c r="I107" s="21" t="n">
        <v>106.28</v>
      </c>
      <c r="J107" s="21" t="n">
        <v>318.84</v>
      </c>
      <c r="K107" s="21" t="n">
        <v>371.97</v>
      </c>
      <c r="L107" s="21" t="n">
        <v>425.11</v>
      </c>
      <c r="M107" s="21" t="n">
        <v>850</v>
      </c>
    </row>
    <row r="108">
      <c r="A108" s="9" t="inlineStr">
        <is>
          <t>HAIFENG</t>
        </is>
      </c>
      <c r="B108" s="9" t="inlineStr">
        <is>
          <t>HAIFENG 01/09/2025</t>
        </is>
      </c>
      <c r="C108" s="9" t="inlineStr">
        <is>
          <t>2025-09-01</t>
        </is>
      </c>
      <c r="D108" s="9" t="inlineStr">
        <is>
          <t>56481488554124</t>
        </is>
      </c>
      <c r="E108" s="9" t="inlineStr">
        <is>
          <t>ANILLO TRES AROS CON ZIRCONIA</t>
        </is>
      </c>
      <c r="F108" s="9" t="inlineStr">
        <is>
          <t>6</t>
        </is>
      </c>
      <c r="G108" s="9" t="n">
        <v>0</v>
      </c>
      <c r="H108" s="21" t="n">
        <v>5</v>
      </c>
      <c r="I108" s="21" t="n"/>
      <c r="J108" s="21" t="n"/>
      <c r="K108" s="21" t="n"/>
      <c r="L108" s="21" t="n"/>
      <c r="M108" s="21" t="n">
        <v>1405</v>
      </c>
    </row>
    <row r="109">
      <c r="A109" s="9" t="inlineStr">
        <is>
          <t>HAIFENG</t>
        </is>
      </c>
      <c r="B109" s="9" t="inlineStr">
        <is>
          <t>HAIFENG 01/09/2025</t>
        </is>
      </c>
      <c r="C109" s="9" t="inlineStr">
        <is>
          <t>2025-09-01</t>
        </is>
      </c>
      <c r="D109" s="9" t="inlineStr">
        <is>
          <t>56481485030668</t>
        </is>
      </c>
      <c r="E109" s="9" t="inlineStr">
        <is>
          <t>ANILLO TRES AROS SILVER/BLACK</t>
        </is>
      </c>
      <c r="F109" s="9" t="inlineStr">
        <is>
          <t>8</t>
        </is>
      </c>
      <c r="G109" s="9" t="n">
        <v>3</v>
      </c>
      <c r="H109" s="21" t="n">
        <v>5</v>
      </c>
      <c r="I109" s="21" t="n">
        <v>106.28</v>
      </c>
      <c r="J109" s="21" t="n">
        <v>318.84</v>
      </c>
      <c r="K109" s="21" t="n">
        <v>371.97</v>
      </c>
      <c r="L109" s="21" t="n">
        <v>425.11</v>
      </c>
      <c r="M109" s="21" t="n">
        <v>500</v>
      </c>
    </row>
    <row r="110">
      <c r="A110" s="9" t="inlineStr">
        <is>
          <t>HAIFENG</t>
        </is>
      </c>
      <c r="B110" s="9" t="inlineStr">
        <is>
          <t>HAIFENG 01/09/2025</t>
        </is>
      </c>
      <c r="C110" s="9" t="inlineStr">
        <is>
          <t>2025-09-01</t>
        </is>
      </c>
      <c r="D110" s="9" t="inlineStr">
        <is>
          <t>56481485063436</t>
        </is>
      </c>
      <c r="E110" s="9" t="inlineStr">
        <is>
          <t>ANILLO TRES AROS SILVER/BLACK</t>
        </is>
      </c>
      <c r="F110" s="9" t="inlineStr">
        <is>
          <t>9</t>
        </is>
      </c>
      <c r="G110" s="9" t="n">
        <v>3</v>
      </c>
      <c r="H110" s="21" t="n">
        <v>5</v>
      </c>
      <c r="I110" s="21" t="n">
        <v>106.28</v>
      </c>
      <c r="J110" s="21" t="n">
        <v>318.84</v>
      </c>
      <c r="K110" s="21" t="n">
        <v>371.97</v>
      </c>
      <c r="L110" s="21" t="n">
        <v>425.11</v>
      </c>
      <c r="M110" s="21" t="n">
        <v>500</v>
      </c>
    </row>
    <row r="111">
      <c r="A111" s="9" t="inlineStr">
        <is>
          <t>HAIFENG</t>
        </is>
      </c>
      <c r="B111" s="9" t="inlineStr">
        <is>
          <t>HAIFENG 01/09/2025</t>
        </is>
      </c>
      <c r="C111" s="9" t="inlineStr">
        <is>
          <t>2025-09-01</t>
        </is>
      </c>
      <c r="D111" s="9" t="inlineStr">
        <is>
          <t>38334521139841</t>
        </is>
      </c>
      <c r="E111" s="9" t="inlineStr">
        <is>
          <t>ANILLO TRÉBOL GOLD</t>
        </is>
      </c>
      <c r="F111" s="9" t="inlineStr">
        <is>
          <t>6</t>
        </is>
      </c>
      <c r="G111" s="9" t="n">
        <v>4</v>
      </c>
      <c r="H111" s="21" t="n">
        <v>5.99</v>
      </c>
      <c r="I111" s="21" t="n">
        <v>127.32</v>
      </c>
      <c r="J111" s="21" t="n">
        <v>381.96</v>
      </c>
      <c r="K111" s="21" t="n">
        <v>445.63</v>
      </c>
      <c r="L111" s="21" t="n">
        <v>509.29</v>
      </c>
      <c r="M111" s="21" t="n">
        <v>599</v>
      </c>
    </row>
    <row r="112">
      <c r="A112" s="9" t="inlineStr">
        <is>
          <t>HAIFENG</t>
        </is>
      </c>
      <c r="B112" s="9" t="inlineStr">
        <is>
          <t>HAIFENG 01/09/2025</t>
        </is>
      </c>
      <c r="C112" s="9" t="inlineStr">
        <is>
          <t>2025-09-01</t>
        </is>
      </c>
      <c r="D112" s="9" t="inlineStr">
        <is>
          <t>64085741294285</t>
        </is>
      </c>
      <c r="E112" s="9" t="inlineStr">
        <is>
          <t>ARETES CLASH GOLD C</t>
        </is>
      </c>
      <c r="F112" s="9" t="inlineStr">
        <is>
          <t>Default Title</t>
        </is>
      </c>
      <c r="G112" s="9" t="n">
        <v>2</v>
      </c>
      <c r="H112" s="21" t="n">
        <v>9</v>
      </c>
      <c r="I112" s="21" t="n">
        <v>191.3</v>
      </c>
      <c r="J112" s="21" t="n">
        <v>573.9</v>
      </c>
      <c r="K112" s="21" t="n">
        <v>669.55</v>
      </c>
      <c r="L112" s="21" t="n">
        <v>765.2</v>
      </c>
      <c r="M112" s="21" t="n">
        <v>750</v>
      </c>
    </row>
    <row r="113">
      <c r="A113" s="9" t="inlineStr">
        <is>
          <t>HAIFENG</t>
        </is>
      </c>
      <c r="B113" s="9" t="inlineStr">
        <is>
          <t>HAIFENG 01/09/2025</t>
        </is>
      </c>
      <c r="C113" s="9" t="inlineStr">
        <is>
          <t>2025-09-01</t>
        </is>
      </c>
      <c r="D113" s="9" t="inlineStr">
        <is>
          <t>64085741359693</t>
        </is>
      </c>
      <c r="E113" s="9" t="inlineStr">
        <is>
          <t>ARETES CLASH ROSE GOLD C</t>
        </is>
      </c>
      <c r="F113" s="9" t="inlineStr">
        <is>
          <t>Default Title</t>
        </is>
      </c>
      <c r="G113" s="9" t="n">
        <v>2</v>
      </c>
      <c r="H113" s="21" t="n">
        <v>9</v>
      </c>
      <c r="I113" s="21" t="n">
        <v>191.3</v>
      </c>
      <c r="J113" s="21" t="n">
        <v>573.9</v>
      </c>
      <c r="K113" s="21" t="n">
        <v>669.55</v>
      </c>
      <c r="L113" s="21" t="n">
        <v>765.2</v>
      </c>
      <c r="M113" s="21" t="n">
        <v>742</v>
      </c>
    </row>
    <row r="114">
      <c r="A114" s="9" t="inlineStr">
        <is>
          <t>HAIFENG</t>
        </is>
      </c>
      <c r="B114" s="9" t="inlineStr">
        <is>
          <t>HAIFENG 01/09/2025</t>
        </is>
      </c>
      <c r="C114" s="9" t="inlineStr">
        <is>
          <t>2025-09-01</t>
        </is>
      </c>
      <c r="D114" s="9" t="inlineStr">
        <is>
          <t>67201534868749</t>
        </is>
      </c>
      <c r="E114" s="9" t="inlineStr">
        <is>
          <t>ARETES CON DOBLE CIERRE T GOLD</t>
        </is>
      </c>
      <c r="F114" s="9" t="inlineStr">
        <is>
          <t>Default Title</t>
        </is>
      </c>
      <c r="G114" s="9" t="n">
        <v>4</v>
      </c>
      <c r="H114" s="21" t="n">
        <v>5</v>
      </c>
      <c r="I114" s="21" t="n">
        <v>106.28</v>
      </c>
      <c r="J114" s="21" t="n">
        <v>318.84</v>
      </c>
      <c r="K114" s="21" t="n">
        <v>371.97</v>
      </c>
      <c r="L114" s="21" t="n">
        <v>425.11</v>
      </c>
      <c r="M114" s="21" t="n">
        <v>670</v>
      </c>
    </row>
    <row r="115">
      <c r="A115" s="9" t="inlineStr">
        <is>
          <t>HAIFENG</t>
        </is>
      </c>
      <c r="B115" s="9" t="inlineStr">
        <is>
          <t>HAIFENG 01/09/2025</t>
        </is>
      </c>
      <c r="C115" s="9" t="inlineStr">
        <is>
          <t>2025-09-01</t>
        </is>
      </c>
      <c r="D115" s="9" t="inlineStr">
        <is>
          <t>56481477937932</t>
        </is>
      </c>
      <c r="E115" s="9" t="inlineStr">
        <is>
          <t>ARETES FULL HEART SILVER</t>
        </is>
      </c>
      <c r="F115" s="9" t="inlineStr">
        <is>
          <t>Default Title</t>
        </is>
      </c>
      <c r="G115" s="9" t="n">
        <v>5</v>
      </c>
      <c r="H115" s="21" t="n">
        <v>5</v>
      </c>
      <c r="I115" s="21" t="n">
        <v>106.28</v>
      </c>
      <c r="J115" s="21" t="n">
        <v>318.84</v>
      </c>
      <c r="K115" s="21" t="n">
        <v>371.97</v>
      </c>
      <c r="L115" s="21" t="n">
        <v>425.11</v>
      </c>
      <c r="M115" s="21" t="n">
        <v>450</v>
      </c>
    </row>
    <row r="116">
      <c r="A116" s="9" t="inlineStr">
        <is>
          <t>HAIFENG</t>
        </is>
      </c>
      <c r="B116" s="9" t="inlineStr">
        <is>
          <t>HAIFENG 01/09/2025</t>
        </is>
      </c>
      <c r="C116" s="9" t="inlineStr">
        <is>
          <t>2025-09-01</t>
        </is>
      </c>
      <c r="D116" s="9" t="inlineStr">
        <is>
          <t>67201531170029</t>
        </is>
      </c>
      <c r="E116" s="9" t="inlineStr">
        <is>
          <t>ARETES LOGO CD CON ZIRCONIA</t>
        </is>
      </c>
      <c r="F116" s="9" t="inlineStr">
        <is>
          <t>Default Title</t>
        </is>
      </c>
      <c r="G116" s="9" t="n">
        <v>3</v>
      </c>
      <c r="H116" s="21" t="n">
        <v>5.9</v>
      </c>
      <c r="I116" s="21" t="n">
        <v>125.41</v>
      </c>
      <c r="J116" s="21" t="n">
        <v>376.23</v>
      </c>
      <c r="K116" s="21" t="n">
        <v>438.93</v>
      </c>
      <c r="L116" s="21" t="n">
        <v>501.63</v>
      </c>
      <c r="M116" s="21" t="n">
        <v>487</v>
      </c>
    </row>
    <row r="117">
      <c r="A117" s="9" t="inlineStr">
        <is>
          <t>HAIFENG</t>
        </is>
      </c>
      <c r="B117" s="9" t="inlineStr">
        <is>
          <t>HAIFENG 01/09/2025</t>
        </is>
      </c>
      <c r="C117" s="9" t="inlineStr">
        <is>
          <t>2025-09-01</t>
        </is>
      </c>
      <c r="D117" s="9" t="inlineStr">
        <is>
          <t>67201531685421</t>
        </is>
      </c>
      <c r="E117" s="9" t="inlineStr">
        <is>
          <t>ARETES LOGO H GOLD</t>
        </is>
      </c>
      <c r="F117" s="9" t="inlineStr">
        <is>
          <t>Default Title</t>
        </is>
      </c>
      <c r="G117" s="9" t="n">
        <v>2</v>
      </c>
      <c r="H117" s="21" t="n">
        <v>5</v>
      </c>
      <c r="I117" s="21" t="n">
        <v>106.28</v>
      </c>
      <c r="J117" s="21" t="n">
        <v>318.84</v>
      </c>
      <c r="K117" s="21" t="n">
        <v>371.97</v>
      </c>
      <c r="L117" s="21" t="n">
        <v>425.11</v>
      </c>
      <c r="M117" s="21" t="n">
        <v>480</v>
      </c>
    </row>
    <row r="118">
      <c r="A118" s="9" t="inlineStr">
        <is>
          <t>HAIFENG</t>
        </is>
      </c>
      <c r="B118" s="9" t="inlineStr">
        <is>
          <t>HAIFENG 01/09/2025</t>
        </is>
      </c>
      <c r="C118" s="9" t="inlineStr">
        <is>
          <t>2025-09-01</t>
        </is>
      </c>
      <c r="D118" s="9" t="inlineStr">
        <is>
          <t>67201531759373</t>
        </is>
      </c>
      <c r="E118" s="9" t="inlineStr">
        <is>
          <t>ARETES LOGO H ROSE GOLD</t>
        </is>
      </c>
      <c r="F118" s="9" t="inlineStr">
        <is>
          <t>Default Title</t>
        </is>
      </c>
      <c r="G118" s="9" t="n">
        <v>2</v>
      </c>
      <c r="H118" s="21" t="n">
        <v>5</v>
      </c>
      <c r="I118" s="21" t="n">
        <v>106.28</v>
      </c>
      <c r="J118" s="21" t="n">
        <v>318.84</v>
      </c>
      <c r="K118" s="21" t="n">
        <v>371.97</v>
      </c>
      <c r="L118" s="21" t="n">
        <v>425.11</v>
      </c>
      <c r="M118" s="21" t="n">
        <v>480</v>
      </c>
    </row>
    <row r="119">
      <c r="A119" s="9" t="inlineStr">
        <is>
          <t>HAIFENG</t>
        </is>
      </c>
      <c r="B119" s="9" t="inlineStr">
        <is>
          <t>HAIFENG 01/09/2025</t>
        </is>
      </c>
      <c r="C119" s="9" t="inlineStr">
        <is>
          <t>2025-09-01</t>
        </is>
      </c>
      <c r="D119" s="9" t="inlineStr">
        <is>
          <t>67201531515469</t>
        </is>
      </c>
      <c r="E119" s="9" t="inlineStr">
        <is>
          <t>ARETES LOGO H SILVER</t>
        </is>
      </c>
      <c r="F119" s="9" t="inlineStr">
        <is>
          <t>Default Title</t>
        </is>
      </c>
      <c r="G119" s="9" t="n">
        <v>2</v>
      </c>
      <c r="H119" s="21" t="n">
        <v>5</v>
      </c>
      <c r="I119" s="21" t="n">
        <v>106.28</v>
      </c>
      <c r="J119" s="21" t="n">
        <v>318.84</v>
      </c>
      <c r="K119" s="21" t="n">
        <v>371.97</v>
      </c>
      <c r="L119" s="21" t="n">
        <v>425.11</v>
      </c>
      <c r="M119" s="21" t="n">
        <v>480</v>
      </c>
    </row>
    <row r="120">
      <c r="A120" s="9" t="inlineStr">
        <is>
          <t>HAIFENG</t>
        </is>
      </c>
      <c r="B120" s="9" t="inlineStr">
        <is>
          <t>HAIFENG 01/09/2025</t>
        </is>
      </c>
      <c r="C120" s="9" t="inlineStr">
        <is>
          <t>2025-09-01</t>
        </is>
      </c>
      <c r="D120" s="9" t="inlineStr">
        <is>
          <t>67201534966797</t>
        </is>
      </c>
      <c r="E120" s="9" t="inlineStr">
        <is>
          <t>ARETES LOVING HEART</t>
        </is>
      </c>
      <c r="F120" s="9" t="inlineStr">
        <is>
          <t>Default Title</t>
        </is>
      </c>
      <c r="G120" s="9" t="n">
        <v>5</v>
      </c>
      <c r="H120" s="21" t="n">
        <v>4</v>
      </c>
      <c r="I120" s="21" t="n">
        <v>85.02</v>
      </c>
      <c r="J120" s="21" t="n">
        <v>255.07</v>
      </c>
      <c r="K120" s="21" t="n">
        <v>297.58</v>
      </c>
      <c r="L120" s="21" t="n">
        <v>340.09</v>
      </c>
      <c r="M120" s="21" t="n">
        <v>499</v>
      </c>
    </row>
    <row r="121">
      <c r="A121" s="9" t="inlineStr">
        <is>
          <t>HAIFENG</t>
        </is>
      </c>
      <c r="B121" s="9" t="inlineStr">
        <is>
          <t>HAIFENG 01/09/2025</t>
        </is>
      </c>
      <c r="C121" s="9" t="inlineStr">
        <is>
          <t>2025-09-01</t>
        </is>
      </c>
      <c r="D121" s="9" t="inlineStr">
        <is>
          <t>67201535108205</t>
        </is>
      </c>
      <c r="E121" s="9" t="inlineStr">
        <is>
          <t>ARETES MARIPOSA BICOLOR GOLD BLUE VF</t>
        </is>
      </c>
      <c r="F121" s="9" t="inlineStr">
        <is>
          <t>Default Title</t>
        </is>
      </c>
      <c r="G121" s="9" t="n">
        <v>2</v>
      </c>
      <c r="H121" s="21" t="n">
        <v>7</v>
      </c>
      <c r="I121" s="21" t="n">
        <v>148.79</v>
      </c>
      <c r="J121" s="21" t="n">
        <v>446.37</v>
      </c>
      <c r="K121" s="21" t="n">
        <v>520.76</v>
      </c>
      <c r="L121" s="21" t="n">
        <v>595.16</v>
      </c>
      <c r="M121" s="21" t="n">
        <v>599</v>
      </c>
    </row>
    <row r="122">
      <c r="A122" s="9" t="inlineStr">
        <is>
          <t>HAIFENG</t>
        </is>
      </c>
      <c r="B122" s="9" t="inlineStr">
        <is>
          <t>HAIFENG 01/09/2025</t>
        </is>
      </c>
      <c r="C122" s="9" t="inlineStr">
        <is>
          <t>2025-09-01</t>
        </is>
      </c>
      <c r="D122" s="9" t="inlineStr">
        <is>
          <t>74011331080589</t>
        </is>
      </c>
      <c r="E122" s="9" t="inlineStr">
        <is>
          <t>ARETES MM GOLD</t>
        </is>
      </c>
      <c r="F122" s="9" t="inlineStr">
        <is>
          <t>Default Title</t>
        </is>
      </c>
      <c r="G122" s="9" t="n">
        <v>2</v>
      </c>
      <c r="H122" s="21" t="n">
        <v>7</v>
      </c>
      <c r="I122" s="21" t="n">
        <v>148.79</v>
      </c>
      <c r="J122" s="21" t="n">
        <v>446.37</v>
      </c>
      <c r="K122" s="21" t="n">
        <v>520.76</v>
      </c>
      <c r="L122" s="21" t="n">
        <v>595.16</v>
      </c>
      <c r="M122" s="21" t="n">
        <v>599</v>
      </c>
    </row>
    <row r="123">
      <c r="A123" s="9" t="inlineStr">
        <is>
          <t>HAIFENG</t>
        </is>
      </c>
      <c r="B123" s="9" t="inlineStr">
        <is>
          <t>HAIFENG 01/09/2025</t>
        </is>
      </c>
      <c r="C123" s="9" t="inlineStr">
        <is>
          <t>2025-09-01</t>
        </is>
      </c>
      <c r="D123" s="9" t="inlineStr">
        <is>
          <t>94663831026189</t>
        </is>
      </c>
      <c r="E123" s="9" t="inlineStr">
        <is>
          <t>ARETES MM ROSE GOLD</t>
        </is>
      </c>
      <c r="F123" s="9" t="inlineStr">
        <is>
          <t>Default Title</t>
        </is>
      </c>
      <c r="G123" s="9" t="n">
        <v>2</v>
      </c>
      <c r="H123" s="21" t="n">
        <v>7</v>
      </c>
      <c r="I123" s="21" t="n">
        <v>148.79</v>
      </c>
      <c r="J123" s="21" t="n">
        <v>446.37</v>
      </c>
      <c r="K123" s="21" t="n">
        <v>520.76</v>
      </c>
      <c r="L123" s="21" t="n">
        <v>595.16</v>
      </c>
      <c r="M123" s="21" t="n">
        <v>599</v>
      </c>
    </row>
    <row r="124">
      <c r="A124" s="9" t="inlineStr">
        <is>
          <t>HAIFENG</t>
        </is>
      </c>
      <c r="B124" s="9" t="inlineStr">
        <is>
          <t>HAIFENG 01/09/2025</t>
        </is>
      </c>
      <c r="C124" s="9" t="inlineStr">
        <is>
          <t>2025-09-01</t>
        </is>
      </c>
      <c r="D124" s="9" t="inlineStr">
        <is>
          <t>36568531067821</t>
        </is>
      </c>
      <c r="E124" s="9" t="inlineStr">
        <is>
          <t>ARETES MM SILVER</t>
        </is>
      </c>
      <c r="F124" s="9" t="inlineStr">
        <is>
          <t>Default Title</t>
        </is>
      </c>
      <c r="G124" s="9" t="n">
        <v>2</v>
      </c>
      <c r="H124" s="21" t="n">
        <v>7</v>
      </c>
      <c r="I124" s="21" t="n">
        <v>148.79</v>
      </c>
      <c r="J124" s="21" t="n">
        <v>446.37</v>
      </c>
      <c r="K124" s="21" t="n">
        <v>520.76</v>
      </c>
      <c r="L124" s="21" t="n">
        <v>595.16</v>
      </c>
      <c r="M124" s="21" t="n">
        <v>599</v>
      </c>
    </row>
    <row r="125">
      <c r="A125" s="9" t="inlineStr">
        <is>
          <t>HAIFENG</t>
        </is>
      </c>
      <c r="B125" s="9" t="inlineStr">
        <is>
          <t>HAIFENG 01/09/2025</t>
        </is>
      </c>
      <c r="C125" s="9" t="inlineStr">
        <is>
          <t>2025-09-01</t>
        </is>
      </c>
      <c r="D125" s="9" t="inlineStr">
        <is>
          <t>66075801971917</t>
        </is>
      </c>
      <c r="E125" s="9" t="inlineStr">
        <is>
          <t>ARETES PETIT GOLD CD</t>
        </is>
      </c>
      <c r="F125" s="9" t="inlineStr">
        <is>
          <t>Default Title</t>
        </is>
      </c>
      <c r="G125" s="9" t="n">
        <v>5</v>
      </c>
      <c r="H125" s="21" t="n">
        <v>3.8</v>
      </c>
      <c r="I125" s="21" t="n">
        <v>80.77</v>
      </c>
      <c r="J125" s="21" t="n">
        <v>242.31</v>
      </c>
      <c r="K125" s="21" t="n">
        <v>282.7</v>
      </c>
      <c r="L125" s="21" t="n">
        <v>323.09</v>
      </c>
      <c r="M125" s="21" t="n">
        <v>350</v>
      </c>
    </row>
    <row r="126">
      <c r="A126" s="9" t="inlineStr">
        <is>
          <t>HAIFENG</t>
        </is>
      </c>
      <c r="B126" s="9" t="inlineStr">
        <is>
          <t>HAIFENG 01/09/2025</t>
        </is>
      </c>
      <c r="C126" s="9" t="inlineStr">
        <is>
          <t>2025-09-01</t>
        </is>
      </c>
      <c r="D126" s="9" t="inlineStr">
        <is>
          <t>661784a190a7f</t>
        </is>
      </c>
      <c r="E126" s="9" t="inlineStr">
        <is>
          <t>ARETES TREBOL GOLD-RED</t>
        </is>
      </c>
      <c r="F126" s="9" t="inlineStr">
        <is>
          <t>HIGH QUALITY</t>
        </is>
      </c>
      <c r="G126" s="9" t="n">
        <v>4</v>
      </c>
      <c r="H126" s="21" t="n">
        <v>15</v>
      </c>
      <c r="I126" s="21" t="n">
        <v>318.84</v>
      </c>
      <c r="J126" s="21" t="n">
        <v>956.51</v>
      </c>
      <c r="K126" s="21" t="n">
        <v>1115.92</v>
      </c>
      <c r="L126" s="21" t="n">
        <v>1275.34</v>
      </c>
      <c r="M126" s="21" t="n">
        <v>832</v>
      </c>
    </row>
    <row r="127">
      <c r="A127" s="9" t="inlineStr">
        <is>
          <t>HAIFENG</t>
        </is>
      </c>
      <c r="B127" s="9" t="inlineStr">
        <is>
          <t>HAIFENG 01/09/2025</t>
        </is>
      </c>
      <c r="C127" s="9" t="inlineStr">
        <is>
          <t>2025-09-01</t>
        </is>
      </c>
      <c r="D127" s="9" t="inlineStr">
        <is>
          <t>665bb7808142d</t>
        </is>
      </c>
      <c r="E127" s="9" t="inlineStr">
        <is>
          <t>ARETES TRES AROS</t>
        </is>
      </c>
      <c r="F127" s="9" t="inlineStr">
        <is>
          <t>Default Title</t>
        </is>
      </c>
      <c r="G127" s="9" t="n">
        <v>3</v>
      </c>
      <c r="H127" s="21" t="n">
        <v>7.9</v>
      </c>
      <c r="I127" s="21" t="n">
        <v>167.92</v>
      </c>
      <c r="J127" s="21" t="n">
        <v>503.76</v>
      </c>
      <c r="K127" s="21" t="n">
        <v>587.72</v>
      </c>
      <c r="L127" s="21" t="n">
        <v>671.6799999999999</v>
      </c>
      <c r="M127" s="21" t="n">
        <v>651</v>
      </c>
    </row>
    <row r="128">
      <c r="A128" s="9" t="inlineStr">
        <is>
          <t>HAIFENG</t>
        </is>
      </c>
      <c r="B128" s="9" t="inlineStr">
        <is>
          <t>HAIFENG 01/09/2025</t>
        </is>
      </c>
      <c r="C128" s="9" t="inlineStr">
        <is>
          <t>2025-09-01</t>
        </is>
      </c>
      <c r="D128" s="9" t="inlineStr">
        <is>
          <t>37491258087948</t>
        </is>
      </c>
      <c r="E128" s="9" t="inlineStr">
        <is>
          <t>ARETES TRINITY DIAMOND</t>
        </is>
      </c>
      <c r="F128" s="9" t="inlineStr">
        <is>
          <t>Default Title</t>
        </is>
      </c>
      <c r="G128" s="9" t="n">
        <v>8</v>
      </c>
      <c r="H128" s="21" t="n">
        <v>7</v>
      </c>
      <c r="I128" s="21" t="n">
        <v>148.79</v>
      </c>
      <c r="J128" s="21" t="n">
        <v>446.37</v>
      </c>
      <c r="K128" s="21" t="n">
        <v>520.76</v>
      </c>
      <c r="L128" s="21" t="n">
        <v>595.16</v>
      </c>
      <c r="M128" s="21" t="n">
        <v>599</v>
      </c>
    </row>
    <row r="129">
      <c r="A129" s="9" t="inlineStr">
        <is>
          <t>HAIFENG</t>
        </is>
      </c>
      <c r="B129" s="9" t="inlineStr">
        <is>
          <t>HAIFENG 01/09/2025</t>
        </is>
      </c>
      <c r="C129" s="9" t="inlineStr">
        <is>
          <t>2025-09-01</t>
        </is>
      </c>
      <c r="D129" s="9" t="inlineStr">
        <is>
          <t>6617849bc365a</t>
        </is>
      </c>
      <c r="E129" s="9" t="inlineStr">
        <is>
          <t>ARETES TRÉBOL ROSE GOLD RED</t>
        </is>
      </c>
      <c r="F129" s="9" t="inlineStr">
        <is>
          <t>Default Title</t>
        </is>
      </c>
      <c r="G129" s="9" t="n">
        <v>3</v>
      </c>
      <c r="H129" s="21" t="n">
        <v>15</v>
      </c>
      <c r="I129" s="21" t="n">
        <v>318.84</v>
      </c>
      <c r="J129" s="21" t="n">
        <v>956.51</v>
      </c>
      <c r="K129" s="21" t="n">
        <v>1115.92</v>
      </c>
      <c r="L129" s="21" t="n">
        <v>1275.34</v>
      </c>
      <c r="M129" s="21" t="n">
        <v>750</v>
      </c>
    </row>
    <row r="130">
      <c r="A130" s="9" t="inlineStr">
        <is>
          <t>HAIFENG</t>
        </is>
      </c>
      <c r="B130" s="9" t="inlineStr">
        <is>
          <t>HAIFENG 01/09/2025</t>
        </is>
      </c>
      <c r="C130" s="9" t="inlineStr">
        <is>
          <t>2025-09-01</t>
        </is>
      </c>
      <c r="D130" s="9" t="inlineStr">
        <is>
          <t>665bb919e080e</t>
        </is>
      </c>
      <c r="E130" s="9" t="inlineStr">
        <is>
          <t>BRAZALETE CLASH GOLD</t>
        </is>
      </c>
      <c r="F130" s="9" t="inlineStr">
        <is>
          <t>Default Title</t>
        </is>
      </c>
      <c r="G130" s="9" t="n">
        <v>2</v>
      </c>
      <c r="H130" s="21" t="n">
        <v>22</v>
      </c>
      <c r="I130" s="21" t="n">
        <v>467.62</v>
      </c>
      <c r="J130" s="21" t="n">
        <v>1402.87</v>
      </c>
      <c r="K130" s="21" t="n">
        <v>1636.69</v>
      </c>
      <c r="L130" s="21" t="n">
        <v>1870.5</v>
      </c>
      <c r="M130" s="21" t="n">
        <v>1850</v>
      </c>
    </row>
    <row r="131">
      <c r="A131" s="9" t="inlineStr">
        <is>
          <t>HAIFENG</t>
        </is>
      </c>
      <c r="B131" s="9" t="inlineStr">
        <is>
          <t>HAIFENG 01/09/2025</t>
        </is>
      </c>
      <c r="C131" s="9" t="inlineStr">
        <is>
          <t>2025-09-01</t>
        </is>
      </c>
      <c r="D131" s="9" t="inlineStr">
        <is>
          <t>665bb91f1ebf4</t>
        </is>
      </c>
      <c r="E131" s="9" t="inlineStr">
        <is>
          <t>BRAZALETE CLASH ROSE GOLD</t>
        </is>
      </c>
      <c r="F131" s="9" t="inlineStr">
        <is>
          <t>16CM</t>
        </is>
      </c>
      <c r="G131" s="9" t="n">
        <v>1</v>
      </c>
      <c r="H131" s="21" t="n">
        <v>22</v>
      </c>
      <c r="I131" s="21" t="n">
        <v>467.62</v>
      </c>
      <c r="J131" s="21" t="n">
        <v>1402.87</v>
      </c>
      <c r="K131" s="21" t="n">
        <v>1636.69</v>
      </c>
      <c r="L131" s="21" t="n">
        <v>1870.5</v>
      </c>
      <c r="M131" s="21" t="n">
        <v>1840</v>
      </c>
    </row>
    <row r="132">
      <c r="A132" s="9" t="inlineStr">
        <is>
          <t>HAIFENG</t>
        </is>
      </c>
      <c r="B132" s="9" t="inlineStr">
        <is>
          <t>HAIFENG 01/09/2025</t>
        </is>
      </c>
      <c r="C132" s="9" t="inlineStr">
        <is>
          <t>2025-09-01</t>
        </is>
      </c>
      <c r="D132" s="9" t="inlineStr">
        <is>
          <t>665bb920c632c</t>
        </is>
      </c>
      <c r="E132" s="9" t="inlineStr">
        <is>
          <t>BRAZALETE CLASH SILVER</t>
        </is>
      </c>
      <c r="F132" s="9" t="inlineStr">
        <is>
          <t>16CM</t>
        </is>
      </c>
      <c r="G132" s="9" t="n">
        <v>1</v>
      </c>
      <c r="H132" s="21" t="n">
        <v>22</v>
      </c>
      <c r="I132" s="21" t="n">
        <v>467.62</v>
      </c>
      <c r="J132" s="21" t="n">
        <v>1402.87</v>
      </c>
      <c r="K132" s="21" t="n">
        <v>1636.69</v>
      </c>
      <c r="L132" s="21" t="n">
        <v>1870.5</v>
      </c>
      <c r="M132" s="21" t="n">
        <v>1850</v>
      </c>
    </row>
    <row r="133">
      <c r="A133" s="9" t="inlineStr">
        <is>
          <t>HAIFENG</t>
        </is>
      </c>
      <c r="B133" s="9" t="inlineStr">
        <is>
          <t>HAIFENG 01/09/2025</t>
        </is>
      </c>
      <c r="C133" s="9" t="inlineStr">
        <is>
          <t>2025-09-01</t>
        </is>
      </c>
      <c r="D133" s="9" t="inlineStr">
        <is>
          <t>67201531970989</t>
        </is>
      </c>
      <c r="E133" s="9" t="inlineStr">
        <is>
          <t>BRAZALETE MSS GOLD</t>
        </is>
      </c>
      <c r="F133" s="9" t="inlineStr">
        <is>
          <t>Default Title</t>
        </is>
      </c>
      <c r="G133" s="9" t="n">
        <v>2</v>
      </c>
      <c r="H133" s="21" t="n">
        <v>10</v>
      </c>
      <c r="I133" s="21" t="n">
        <v>212.56</v>
      </c>
      <c r="J133" s="21" t="n">
        <v>637.67</v>
      </c>
      <c r="K133" s="21" t="n">
        <v>743.95</v>
      </c>
      <c r="L133" s="21" t="n">
        <v>850.23</v>
      </c>
      <c r="M133" s="21" t="n">
        <v>850</v>
      </c>
    </row>
    <row r="134">
      <c r="A134" s="9" t="inlineStr">
        <is>
          <t>HAIFENG</t>
        </is>
      </c>
      <c r="B134" s="9" t="inlineStr">
        <is>
          <t>HAIFENG 01/09/2025</t>
        </is>
      </c>
      <c r="C134" s="9" t="inlineStr">
        <is>
          <t>2025-09-01</t>
        </is>
      </c>
      <c r="D134" s="9" t="inlineStr">
        <is>
          <t>63e0bddac5dbe</t>
        </is>
      </c>
      <c r="E134" s="9" t="inlineStr">
        <is>
          <t>COLLAR ARO LOVE SILVER</t>
        </is>
      </c>
      <c r="F134" s="9" t="inlineStr">
        <is>
          <t>42cm</t>
        </is>
      </c>
      <c r="G134" s="9" t="n">
        <v>7</v>
      </c>
      <c r="H134" s="21" t="n">
        <v>4.7</v>
      </c>
      <c r="I134" s="21" t="n">
        <v>99.90000000000001</v>
      </c>
      <c r="J134" s="21" t="n">
        <v>299.7</v>
      </c>
      <c r="K134" s="21" t="n">
        <v>349.66</v>
      </c>
      <c r="L134" s="21" t="n">
        <v>399.61</v>
      </c>
      <c r="M134" s="21" t="n">
        <v>460</v>
      </c>
    </row>
    <row r="135">
      <c r="A135" s="9" t="inlineStr">
        <is>
          <t>HAIFENG</t>
        </is>
      </c>
      <c r="B135" s="9" t="inlineStr">
        <is>
          <t>HAIFENG 01/09/2025</t>
        </is>
      </c>
      <c r="C135" s="9" t="inlineStr">
        <is>
          <t>2025-09-01</t>
        </is>
      </c>
      <c r="D135" s="9" t="inlineStr">
        <is>
          <t>56481484584844</t>
        </is>
      </c>
      <c r="E135" s="9" t="inlineStr">
        <is>
          <t>COLLAR BEAN GOLD</t>
        </is>
      </c>
      <c r="F135" s="9" t="inlineStr">
        <is>
          <t>41cm con 5cm de extensi√≥n</t>
        </is>
      </c>
      <c r="G135" s="9" t="n">
        <v>5</v>
      </c>
      <c r="H135" s="21" t="n">
        <v>6</v>
      </c>
      <c r="I135" s="21" t="n">
        <v>127.53</v>
      </c>
      <c r="J135" s="21" t="n">
        <v>382.6</v>
      </c>
      <c r="K135" s="21" t="n">
        <v>446.37</v>
      </c>
      <c r="L135" s="21" t="n">
        <v>510.14</v>
      </c>
      <c r="M135" s="21" t="n">
        <v>520</v>
      </c>
    </row>
    <row r="136">
      <c r="A136" s="9" t="inlineStr">
        <is>
          <t>HAIFENG</t>
        </is>
      </c>
      <c r="B136" s="9" t="inlineStr">
        <is>
          <t>HAIFENG 01/09/2025</t>
        </is>
      </c>
      <c r="C136" s="9" t="inlineStr">
        <is>
          <t>2025-09-01</t>
        </is>
      </c>
      <c r="D136" s="9" t="inlineStr">
        <is>
          <t>43728082412172</t>
        </is>
      </c>
      <c r="E136" s="9" t="inlineStr">
        <is>
          <t>COLLAR C D‚ÄôAMOUR ROSE GOLD</t>
        </is>
      </c>
      <c r="F136" s="9" t="inlineStr">
        <is>
          <t>44cm con 5cm de extensi√≥n</t>
        </is>
      </c>
      <c r="G136" s="9" t="n">
        <v>2</v>
      </c>
      <c r="H136" s="21" t="n">
        <v>2.99</v>
      </c>
      <c r="I136" s="21" t="n">
        <v>63.55</v>
      </c>
      <c r="J136" s="21" t="n">
        <v>190.66</v>
      </c>
      <c r="K136" s="21" t="n">
        <v>222.44</v>
      </c>
      <c r="L136" s="21" t="n">
        <v>254.22</v>
      </c>
      <c r="M136" s="21" t="n">
        <v>525</v>
      </c>
    </row>
    <row r="137">
      <c r="A137" s="9" t="inlineStr">
        <is>
          <t>HAIFENG</t>
        </is>
      </c>
      <c r="B137" s="9" t="inlineStr">
        <is>
          <t>HAIFENG 01/09/2025</t>
        </is>
      </c>
      <c r="C137" s="9" t="inlineStr">
        <is>
          <t>2025-09-01</t>
        </is>
      </c>
      <c r="D137" s="9" t="inlineStr">
        <is>
          <t>43016717566092</t>
        </is>
      </c>
      <c r="E137" s="9" t="inlineStr">
        <is>
          <t>COLLAR CLASH ROSEGOLD</t>
        </is>
      </c>
      <c r="F137" s="9" t="inlineStr">
        <is>
          <t>50cm</t>
        </is>
      </c>
      <c r="G137" s="9" t="n">
        <v>3</v>
      </c>
      <c r="H137" s="21" t="n">
        <v>7.99</v>
      </c>
      <c r="I137" s="21" t="n">
        <v>169.83</v>
      </c>
      <c r="J137" s="21" t="n">
        <v>509.5</v>
      </c>
      <c r="K137" s="21" t="n">
        <v>594.41</v>
      </c>
      <c r="L137" s="21" t="n">
        <v>679.33</v>
      </c>
      <c r="M137" s="21" t="n">
        <v>700</v>
      </c>
    </row>
    <row r="138">
      <c r="A138" s="9" t="inlineStr">
        <is>
          <t>HAIFENG</t>
        </is>
      </c>
      <c r="B138" s="9" t="inlineStr">
        <is>
          <t>HAIFENG 01/09/2025</t>
        </is>
      </c>
      <c r="C138" s="9" t="inlineStr">
        <is>
          <t>2025-09-01</t>
        </is>
      </c>
      <c r="D138" s="9" t="inlineStr">
        <is>
          <t>36002951405580</t>
        </is>
      </c>
      <c r="E138" s="9" t="inlineStr">
        <is>
          <t>COLLAR CLAVO GOLD CON ZIRCONIA</t>
        </is>
      </c>
      <c r="F138" s="9" t="inlineStr">
        <is>
          <t>40cm de largo x 5cm de extensi√≥n</t>
        </is>
      </c>
      <c r="G138" s="9" t="n">
        <v>3</v>
      </c>
      <c r="H138" s="21" t="n">
        <v>6</v>
      </c>
      <c r="I138" s="21" t="n">
        <v>127.53</v>
      </c>
      <c r="J138" s="21" t="n">
        <v>382.6</v>
      </c>
      <c r="K138" s="21" t="n">
        <v>446.37</v>
      </c>
      <c r="L138" s="21" t="n">
        <v>510.14</v>
      </c>
      <c r="M138" s="21" t="n">
        <v>618</v>
      </c>
    </row>
    <row r="139">
      <c r="A139" s="9" t="inlineStr">
        <is>
          <t>HAIFENG</t>
        </is>
      </c>
      <c r="B139" s="9" t="inlineStr">
        <is>
          <t>HAIFENG 01/09/2025</t>
        </is>
      </c>
      <c r="C139" s="9" t="inlineStr">
        <is>
          <t>2025-09-01</t>
        </is>
      </c>
      <c r="D139" s="9" t="inlineStr">
        <is>
          <t>54804110299361</t>
        </is>
      </c>
      <c r="E139" s="9" t="inlineStr">
        <is>
          <t>COLLAR DOBLE PLACA CORAZÓN ROJO-PLATA</t>
        </is>
      </c>
      <c r="F139" s="9" t="inlineStr">
        <is>
          <t>Con diamante</t>
        </is>
      </c>
      <c r="G139" s="9" t="n">
        <v>4</v>
      </c>
      <c r="H139" s="21" t="n">
        <v>5</v>
      </c>
      <c r="I139" s="21" t="n">
        <v>106.28</v>
      </c>
      <c r="J139" s="21" t="n">
        <v>318.84</v>
      </c>
      <c r="K139" s="21" t="n">
        <v>371.97</v>
      </c>
      <c r="L139" s="21" t="n">
        <v>425.11</v>
      </c>
      <c r="M139" s="21" t="n">
        <v>770</v>
      </c>
    </row>
    <row r="140">
      <c r="A140" s="9" t="inlineStr">
        <is>
          <t>HAIFENG</t>
        </is>
      </c>
      <c r="B140" s="9" t="inlineStr">
        <is>
          <t>HAIFENG 01/09/2025</t>
        </is>
      </c>
      <c r="C140" s="9" t="inlineStr">
        <is>
          <t>2025-09-01</t>
        </is>
      </c>
      <c r="D140" s="9" t="inlineStr">
        <is>
          <t>37491258394380</t>
        </is>
      </c>
      <c r="E140" s="9" t="inlineStr">
        <is>
          <t>COLLAR FLOWER VF</t>
        </is>
      </c>
      <c r="F140" s="9" t="inlineStr">
        <is>
          <t>45cm</t>
        </is>
      </c>
      <c r="G140" s="9" t="n">
        <v>5</v>
      </c>
      <c r="H140" s="21" t="n">
        <v>5</v>
      </c>
      <c r="I140" s="21" t="n">
        <v>106.28</v>
      </c>
      <c r="J140" s="21" t="n">
        <v>318.84</v>
      </c>
      <c r="K140" s="21" t="n">
        <v>371.97</v>
      </c>
      <c r="L140" s="21" t="n">
        <v>425.11</v>
      </c>
      <c r="M140" s="21" t="n">
        <v>432.6</v>
      </c>
    </row>
    <row r="141">
      <c r="A141" s="9" t="inlineStr">
        <is>
          <t>HAIFENG</t>
        </is>
      </c>
      <c r="B141" s="9" t="inlineStr">
        <is>
          <t>HAIFENG 01/09/2025</t>
        </is>
      </c>
      <c r="C141" s="9" t="inlineStr">
        <is>
          <t>2025-09-01</t>
        </is>
      </c>
      <c r="D141" s="9" t="inlineStr">
        <is>
          <t>665bbe3eb9388</t>
        </is>
      </c>
      <c r="E141" s="9" t="inlineStr">
        <is>
          <t>COLLAR LOVE SILVER</t>
        </is>
      </c>
      <c r="F141" s="9" t="inlineStr">
        <is>
          <t>Default Title</t>
        </is>
      </c>
      <c r="G141" s="9" t="n">
        <v>2</v>
      </c>
      <c r="H141" s="21" t="n">
        <v>5</v>
      </c>
      <c r="I141" s="21" t="n">
        <v>106.28</v>
      </c>
      <c r="J141" s="21" t="n">
        <v>318.84</v>
      </c>
      <c r="K141" s="21" t="n">
        <v>371.97</v>
      </c>
      <c r="L141" s="21" t="n">
        <v>425.11</v>
      </c>
      <c r="M141" s="21" t="n">
        <v>460</v>
      </c>
    </row>
    <row r="142">
      <c r="A142" s="9" t="inlineStr">
        <is>
          <t>HAIFENG</t>
        </is>
      </c>
      <c r="B142" s="9" t="inlineStr">
        <is>
          <t>HAIFENG 01/09/2025</t>
        </is>
      </c>
      <c r="C142" s="9" t="inlineStr">
        <is>
          <t>2025-09-01</t>
        </is>
      </c>
      <c r="D142" s="9" t="inlineStr">
        <is>
          <t>66177c3e7206b</t>
        </is>
      </c>
      <c r="E142" s="9" t="inlineStr">
        <is>
          <t>COLLAR LOVE-LOVE GOLD</t>
        </is>
      </c>
      <c r="F142" s="9" t="inlineStr">
        <is>
          <t>46cm con 5cm de extension</t>
        </is>
      </c>
      <c r="G142" s="9" t="n">
        <v>8</v>
      </c>
      <c r="H142" s="21" t="n">
        <v>3.8</v>
      </c>
      <c r="I142" s="21" t="n">
        <v>80.77</v>
      </c>
      <c r="J142" s="21" t="n">
        <v>242.31</v>
      </c>
      <c r="K142" s="21" t="n">
        <v>282.7</v>
      </c>
      <c r="L142" s="21" t="n">
        <v>323.09</v>
      </c>
      <c r="M142" s="21" t="n">
        <v>440</v>
      </c>
    </row>
    <row r="143">
      <c r="A143" s="9" t="inlineStr">
        <is>
          <t>HAIFENG</t>
        </is>
      </c>
      <c r="B143" s="9" t="inlineStr">
        <is>
          <t>HAIFENG 01/09/2025</t>
        </is>
      </c>
      <c r="C143" s="9" t="inlineStr">
        <is>
          <t>2025-09-01</t>
        </is>
      </c>
      <c r="D143" s="9" t="inlineStr">
        <is>
          <t>37491254947980</t>
        </is>
      </c>
      <c r="E143" s="9" t="inlineStr">
        <is>
          <t>COLLAR MARIQUITA VF</t>
        </is>
      </c>
      <c r="F143" s="9" t="inlineStr">
        <is>
          <t>47cm</t>
        </is>
      </c>
      <c r="G143" s="9" t="n">
        <v>6</v>
      </c>
      <c r="H143" s="21" t="n">
        <v>7</v>
      </c>
      <c r="I143" s="21" t="n">
        <v>148.79</v>
      </c>
      <c r="J143" s="21" t="n">
        <v>446.37</v>
      </c>
      <c r="K143" s="21" t="n">
        <v>520.76</v>
      </c>
      <c r="L143" s="21" t="n">
        <v>595.16</v>
      </c>
      <c r="M143" s="21" t="n">
        <v>580</v>
      </c>
    </row>
    <row r="144">
      <c r="A144" s="9" t="inlineStr">
        <is>
          <t>HAIFENG</t>
        </is>
      </c>
      <c r="B144" s="9" t="inlineStr">
        <is>
          <t>HAIFENG 01/09/2025</t>
        </is>
      </c>
      <c r="C144" s="9" t="inlineStr">
        <is>
          <t>2025-09-01</t>
        </is>
      </c>
      <c r="D144" s="9" t="inlineStr">
        <is>
          <t>39966871032781</t>
        </is>
      </c>
      <c r="E144" s="9" t="inlineStr">
        <is>
          <t>COLLAR MSS GOLD CON ZIRCONIA</t>
        </is>
      </c>
      <c r="F144" s="9" t="inlineStr">
        <is>
          <t>Default Title</t>
        </is>
      </c>
      <c r="G144" s="9" t="n">
        <v>3</v>
      </c>
      <c r="H144" s="21" t="n">
        <v>8</v>
      </c>
      <c r="I144" s="21" t="n">
        <v>170.05</v>
      </c>
      <c r="J144" s="21" t="n">
        <v>510.14</v>
      </c>
      <c r="K144" s="21" t="n">
        <v>595.16</v>
      </c>
      <c r="L144" s="21" t="n">
        <v>680.1799999999999</v>
      </c>
      <c r="M144" s="21" t="n">
        <v>660</v>
      </c>
    </row>
    <row r="145">
      <c r="A145" s="9" t="inlineStr">
        <is>
          <t>HAIFENG</t>
        </is>
      </c>
      <c r="B145" s="9" t="inlineStr">
        <is>
          <t>HAIFENG 01/09/2025</t>
        </is>
      </c>
      <c r="C145" s="9" t="inlineStr">
        <is>
          <t>2025-09-01</t>
        </is>
      </c>
      <c r="D145" s="9" t="inlineStr">
        <is>
          <t>79024851004397</t>
        </is>
      </c>
      <c r="E145" s="9" t="inlineStr">
        <is>
          <t>COLLAR MSS MOVE GOLD LISO</t>
        </is>
      </c>
      <c r="F145" s="9" t="inlineStr">
        <is>
          <t>Default Title</t>
        </is>
      </c>
      <c r="G145" s="9" t="n">
        <v>3</v>
      </c>
      <c r="H145" s="21" t="n">
        <v>8</v>
      </c>
      <c r="I145" s="21" t="n">
        <v>170.05</v>
      </c>
      <c r="J145" s="21" t="n">
        <v>510.14</v>
      </c>
      <c r="K145" s="21" t="n">
        <v>595.16</v>
      </c>
      <c r="L145" s="21" t="n">
        <v>680.1799999999999</v>
      </c>
      <c r="M145" s="21" t="n">
        <v>699</v>
      </c>
    </row>
    <row r="146">
      <c r="A146" s="9" t="inlineStr">
        <is>
          <t>HAIFENG</t>
        </is>
      </c>
      <c r="B146" s="9" t="inlineStr">
        <is>
          <t>HAIFENG 01/09/2025</t>
        </is>
      </c>
      <c r="C146" s="9" t="inlineStr">
        <is>
          <t>2025-09-01</t>
        </is>
      </c>
      <c r="D146" s="9" t="inlineStr">
        <is>
          <t>16048621033133</t>
        </is>
      </c>
      <c r="E146" s="9" t="inlineStr">
        <is>
          <t>COLLAR MSS MOVE ROSE GOLD LISO</t>
        </is>
      </c>
      <c r="F146" s="9" t="inlineStr">
        <is>
          <t>Default Title</t>
        </is>
      </c>
      <c r="G146" s="9" t="n">
        <v>3</v>
      </c>
      <c r="H146" s="21" t="n">
        <v>8</v>
      </c>
      <c r="I146" s="21" t="n">
        <v>170.05</v>
      </c>
      <c r="J146" s="21" t="n">
        <v>510.14</v>
      </c>
      <c r="K146" s="21" t="n">
        <v>595.16</v>
      </c>
      <c r="L146" s="21" t="n">
        <v>680.1799999999999</v>
      </c>
      <c r="M146" s="21" t="n">
        <v>659.2</v>
      </c>
    </row>
    <row r="147">
      <c r="A147" s="9" t="inlineStr">
        <is>
          <t>HAIFENG</t>
        </is>
      </c>
      <c r="B147" s="9" t="inlineStr">
        <is>
          <t>HAIFENG 01/09/2025</t>
        </is>
      </c>
      <c r="C147" s="9" t="inlineStr">
        <is>
          <t>2025-09-01</t>
        </is>
      </c>
      <c r="D147" s="9" t="inlineStr">
        <is>
          <t>77791751017421</t>
        </is>
      </c>
      <c r="E147" s="9" t="inlineStr">
        <is>
          <t>COLLAR MSS MOVE SILVER LISO</t>
        </is>
      </c>
      <c r="F147" s="9" t="inlineStr">
        <is>
          <t>Default Title</t>
        </is>
      </c>
      <c r="G147" s="9" t="n">
        <v>3</v>
      </c>
      <c r="H147" s="21" t="n">
        <v>8</v>
      </c>
      <c r="I147" s="21" t="n">
        <v>170.05</v>
      </c>
      <c r="J147" s="21" t="n">
        <v>510.14</v>
      </c>
      <c r="K147" s="21" t="n">
        <v>595.16</v>
      </c>
      <c r="L147" s="21" t="n">
        <v>680.1799999999999</v>
      </c>
      <c r="M147" s="21" t="n">
        <v>659.2</v>
      </c>
    </row>
    <row r="148">
      <c r="A148" s="9" t="inlineStr">
        <is>
          <t>HAIFENG</t>
        </is>
      </c>
      <c r="B148" s="9" t="inlineStr">
        <is>
          <t>HAIFENG 01/09/2025</t>
        </is>
      </c>
      <c r="C148" s="9" t="inlineStr">
        <is>
          <t>2025-09-01</t>
        </is>
      </c>
      <c r="D148" s="9" t="inlineStr">
        <is>
          <t>89668081080557</t>
        </is>
      </c>
      <c r="E148" s="9" t="inlineStr">
        <is>
          <t>COLLAR MSS MOVE UNO GOLD</t>
        </is>
      </c>
      <c r="F148" s="9" t="inlineStr">
        <is>
          <t>Default Title</t>
        </is>
      </c>
      <c r="G148" s="9" t="n">
        <v>3</v>
      </c>
      <c r="H148" s="21" t="n">
        <v>8</v>
      </c>
      <c r="I148" s="21" t="n">
        <v>170.05</v>
      </c>
      <c r="J148" s="21" t="n">
        <v>510.14</v>
      </c>
      <c r="K148" s="21" t="n">
        <v>595.16</v>
      </c>
      <c r="L148" s="21" t="n">
        <v>680.1799999999999</v>
      </c>
      <c r="M148" s="21" t="n">
        <v>659.2</v>
      </c>
    </row>
    <row r="149">
      <c r="A149" s="9" t="inlineStr">
        <is>
          <t>HAIFENG</t>
        </is>
      </c>
      <c r="B149" s="9" t="inlineStr">
        <is>
          <t>HAIFENG 01/09/2025</t>
        </is>
      </c>
      <c r="C149" s="9" t="inlineStr">
        <is>
          <t>2025-09-01</t>
        </is>
      </c>
      <c r="D149" s="9" t="inlineStr">
        <is>
          <t>90834961057229</t>
        </is>
      </c>
      <c r="E149" s="9" t="inlineStr">
        <is>
          <t>COLLAR MSS MOVE UNO ROSE GOLD</t>
        </is>
      </c>
      <c r="F149" s="9" t="inlineStr">
        <is>
          <t>Default Title</t>
        </is>
      </c>
      <c r="G149" s="9" t="n">
        <v>3</v>
      </c>
      <c r="H149" s="21" t="n">
        <v>8</v>
      </c>
      <c r="I149" s="21" t="n">
        <v>170.05</v>
      </c>
      <c r="J149" s="21" t="n">
        <v>510.14</v>
      </c>
      <c r="K149" s="21" t="n">
        <v>595.16</v>
      </c>
      <c r="L149" s="21" t="n">
        <v>680.1799999999999</v>
      </c>
      <c r="M149" s="21" t="n">
        <v>659.2</v>
      </c>
    </row>
    <row r="150">
      <c r="A150" s="9" t="inlineStr">
        <is>
          <t>HAIFENG</t>
        </is>
      </c>
      <c r="B150" s="9" t="inlineStr">
        <is>
          <t>HAIFENG 01/09/2025</t>
        </is>
      </c>
      <c r="C150" s="9" t="inlineStr">
        <is>
          <t>2025-09-01</t>
        </is>
      </c>
      <c r="D150" s="9" t="inlineStr">
        <is>
          <t>50016841020461</t>
        </is>
      </c>
      <c r="E150" s="9" t="inlineStr">
        <is>
          <t>COLLAR MSS MOVE UNO SILVER</t>
        </is>
      </c>
      <c r="F150" s="9" t="inlineStr">
        <is>
          <t>Default Title</t>
        </is>
      </c>
      <c r="G150" s="9" t="n">
        <v>3</v>
      </c>
      <c r="H150" s="21" t="n">
        <v>8</v>
      </c>
      <c r="I150" s="21" t="n">
        <v>170.05</v>
      </c>
      <c r="J150" s="21" t="n">
        <v>510.14</v>
      </c>
      <c r="K150" s="21" t="n">
        <v>595.16</v>
      </c>
      <c r="L150" s="21" t="n">
        <v>680.1799999999999</v>
      </c>
      <c r="M150" s="21" t="n">
        <v>659.2</v>
      </c>
    </row>
    <row r="151">
      <c r="A151" s="9" t="inlineStr">
        <is>
          <t>HAIFENG</t>
        </is>
      </c>
      <c r="B151" s="9" t="inlineStr">
        <is>
          <t>HAIFENG 01/09/2025</t>
        </is>
      </c>
      <c r="C151" s="9" t="inlineStr">
        <is>
          <t>2025-09-01</t>
        </is>
      </c>
      <c r="D151" s="9" t="inlineStr">
        <is>
          <t>50869451078413</t>
        </is>
      </c>
      <c r="E151" s="9" t="inlineStr">
        <is>
          <t>COLLAR MSS ROSE GOLD CON ZIRCONIA</t>
        </is>
      </c>
      <c r="F151" s="9" t="inlineStr">
        <is>
          <t>Default Title</t>
        </is>
      </c>
      <c r="G151" s="9" t="n">
        <v>3</v>
      </c>
      <c r="H151" s="21" t="n">
        <v>8</v>
      </c>
      <c r="I151" s="21" t="n">
        <v>170.05</v>
      </c>
      <c r="J151" s="21" t="n">
        <v>510.14</v>
      </c>
      <c r="K151" s="21" t="n">
        <v>595.16</v>
      </c>
      <c r="L151" s="21" t="n">
        <v>680.1799999999999</v>
      </c>
      <c r="M151" s="21" t="n">
        <v>660</v>
      </c>
    </row>
    <row r="152">
      <c r="A152" s="9" t="inlineStr">
        <is>
          <t>HAIFENG</t>
        </is>
      </c>
      <c r="B152" s="9" t="inlineStr">
        <is>
          <t>HAIFENG 01/09/2025</t>
        </is>
      </c>
      <c r="C152" s="9" t="inlineStr">
        <is>
          <t>2025-09-01</t>
        </is>
      </c>
      <c r="D152" s="9" t="inlineStr">
        <is>
          <t>54479961098957</t>
        </is>
      </c>
      <c r="E152" s="9" t="inlineStr">
        <is>
          <t>COLLAR MSS SILVER CON ZIRCONIA</t>
        </is>
      </c>
      <c r="F152" s="9" t="inlineStr">
        <is>
          <t>Default Title</t>
        </is>
      </c>
      <c r="G152" s="9" t="n">
        <v>3</v>
      </c>
      <c r="H152" s="21" t="n">
        <v>8</v>
      </c>
      <c r="I152" s="21" t="n">
        <v>170.05</v>
      </c>
      <c r="J152" s="21" t="n">
        <v>510.14</v>
      </c>
      <c r="K152" s="21" t="n">
        <v>595.16</v>
      </c>
      <c r="L152" s="21" t="n">
        <v>680.1799999999999</v>
      </c>
      <c r="M152" s="21" t="n">
        <v>699</v>
      </c>
    </row>
    <row r="153">
      <c r="A153" s="9" t="inlineStr">
        <is>
          <t>HAIFENG</t>
        </is>
      </c>
      <c r="B153" s="9" t="inlineStr">
        <is>
          <t>HAIFENG 01/09/2025</t>
        </is>
      </c>
      <c r="C153" s="9" t="inlineStr">
        <is>
          <t>2025-09-01</t>
        </is>
      </c>
      <c r="D153" s="9" t="inlineStr">
        <is>
          <t>56481488272140</t>
        </is>
      </c>
      <c r="E153" s="9" t="inlineStr">
        <is>
          <t>COLLAR PASADOR FULL HEART</t>
        </is>
      </c>
      <c r="F153" s="9" t="inlineStr">
        <is>
          <t>45cm</t>
        </is>
      </c>
      <c r="G153" s="9" t="n">
        <v>4</v>
      </c>
      <c r="H153" s="21" t="n">
        <v>12</v>
      </c>
      <c r="I153" s="21" t="n">
        <v>255.07</v>
      </c>
      <c r="J153" s="21" t="n">
        <v>765.2</v>
      </c>
      <c r="K153" s="21" t="n">
        <v>892.74</v>
      </c>
      <c r="L153" s="21" t="n">
        <v>1020.27</v>
      </c>
      <c r="M153" s="21" t="n">
        <v>989</v>
      </c>
    </row>
    <row r="154">
      <c r="A154" s="9" t="inlineStr">
        <is>
          <t>HAIFENG</t>
        </is>
      </c>
      <c r="B154" s="9" t="inlineStr">
        <is>
          <t>HAIFENG 01/09/2025</t>
        </is>
      </c>
      <c r="C154" s="9" t="inlineStr">
        <is>
          <t>2025-09-01</t>
        </is>
      </c>
      <c r="D154" s="9" t="inlineStr">
        <is>
          <t>63e0bf8dbe95e</t>
        </is>
      </c>
      <c r="E154" s="9" t="inlineStr">
        <is>
          <t>COLLAR SMILE DORADO</t>
        </is>
      </c>
      <c r="F154" s="9" t="inlineStr">
        <is>
          <t>MEDIUM</t>
        </is>
      </c>
      <c r="G154" s="9" t="n">
        <v>10</v>
      </c>
      <c r="H154" s="21" t="n">
        <v>3.4</v>
      </c>
      <c r="I154" s="21" t="n">
        <v>72.27</v>
      </c>
      <c r="J154" s="21" t="n">
        <v>216.81</v>
      </c>
      <c r="K154" s="21" t="n">
        <v>252.94</v>
      </c>
      <c r="L154" s="21" t="n">
        <v>289.08</v>
      </c>
      <c r="M154" s="21" t="n">
        <v>460</v>
      </c>
    </row>
    <row r="155">
      <c r="A155" s="9" t="inlineStr">
        <is>
          <t>HAIFENG</t>
        </is>
      </c>
      <c r="B155" s="9" t="inlineStr">
        <is>
          <t>HAIFENG 01/09/2025</t>
        </is>
      </c>
      <c r="C155" s="9" t="inlineStr">
        <is>
          <t>2025-09-01</t>
        </is>
      </c>
      <c r="D155" s="9" t="inlineStr">
        <is>
          <t>668eee430f697</t>
        </is>
      </c>
      <c r="E155" s="9" t="inlineStr">
        <is>
          <t>COLLAR SMILE ROSE GOLD</t>
        </is>
      </c>
      <c r="F155" s="9" t="inlineStr">
        <is>
          <t>Cadena ajustable de 40.6 a 45.7 cm</t>
        </is>
      </c>
      <c r="G155" s="9" t="n">
        <v>2</v>
      </c>
      <c r="H155" s="21" t="n">
        <v>3.4</v>
      </c>
      <c r="I155" s="21" t="n">
        <v>72.27</v>
      </c>
      <c r="J155" s="21" t="n">
        <v>216.81</v>
      </c>
      <c r="K155" s="21" t="n">
        <v>252.94</v>
      </c>
      <c r="L155" s="21" t="n">
        <v>289.08</v>
      </c>
      <c r="M155" s="21" t="n">
        <v>460</v>
      </c>
    </row>
    <row r="156">
      <c r="A156" s="9" t="inlineStr">
        <is>
          <t>HAIFENG</t>
        </is>
      </c>
      <c r="B156" s="9" t="inlineStr">
        <is>
          <t>HAIFENG 01/09/2025</t>
        </is>
      </c>
      <c r="C156" s="9" t="inlineStr">
        <is>
          <t>2025-09-01</t>
        </is>
      </c>
      <c r="D156" s="9" t="inlineStr">
        <is>
          <t>43728133191212</t>
        </is>
      </c>
      <c r="E156" s="9" t="inlineStr">
        <is>
          <t>COLLAR TREBOL SILVER</t>
        </is>
      </c>
      <c r="F156" s="9" t="inlineStr">
        <is>
          <t>plata esterlina 925</t>
        </is>
      </c>
      <c r="G156" s="9" t="n">
        <v>5</v>
      </c>
      <c r="H156" s="21" t="n">
        <v>10</v>
      </c>
      <c r="I156" s="21" t="n">
        <v>212.56</v>
      </c>
      <c r="J156" s="21" t="n">
        <v>637.67</v>
      </c>
      <c r="K156" s="21" t="n">
        <v>743.95</v>
      </c>
      <c r="L156" s="21" t="n">
        <v>850.23</v>
      </c>
      <c r="M156" s="21" t="n">
        <v>899</v>
      </c>
    </row>
    <row r="157">
      <c r="A157" s="9" t="inlineStr">
        <is>
          <t>HAIFENG</t>
        </is>
      </c>
      <c r="B157" s="9" t="inlineStr">
        <is>
          <t>HAIFENG 01/09/2025</t>
        </is>
      </c>
      <c r="C157" s="9" t="inlineStr">
        <is>
          <t>2025-09-01</t>
        </is>
      </c>
      <c r="D157" s="9" t="inlineStr">
        <is>
          <t>66177b506a320</t>
        </is>
      </c>
      <c r="E157" s="9" t="inlineStr">
        <is>
          <t>COLLAR TRÉBOL GOLD-RED</t>
        </is>
      </c>
      <c r="F157" s="9" t="inlineStr">
        <is>
          <t>HIGH QUALITY (45CM)</t>
        </is>
      </c>
      <c r="G157" s="9" t="n">
        <v>4</v>
      </c>
      <c r="H157" s="21" t="n">
        <v>10</v>
      </c>
      <c r="I157" s="21" t="n">
        <v>212.56</v>
      </c>
      <c r="J157" s="21" t="n">
        <v>637.67</v>
      </c>
      <c r="K157" s="21" t="n">
        <v>743.95</v>
      </c>
      <c r="L157" s="21" t="n">
        <v>850.23</v>
      </c>
      <c r="M157" s="21" t="n">
        <v>899</v>
      </c>
    </row>
    <row r="158">
      <c r="A158" s="9" t="inlineStr">
        <is>
          <t>HAIFENG</t>
        </is>
      </c>
      <c r="B158" s="9" t="inlineStr">
        <is>
          <t>HAIFENG 01/09/2025</t>
        </is>
      </c>
      <c r="C158" s="9" t="inlineStr">
        <is>
          <t>2025-09-01</t>
        </is>
      </c>
      <c r="D158" s="9" t="inlineStr">
        <is>
          <t>77216891573644</t>
        </is>
      </c>
      <c r="E158" s="9" t="inlineStr">
        <is>
          <t>GARGANTILLA SIXTEEN STONE</t>
        </is>
      </c>
      <c r="F158" s="9" t="inlineStr">
        <is>
          <t>42cm</t>
        </is>
      </c>
      <c r="G158" s="9" t="n">
        <v>2</v>
      </c>
      <c r="H158" s="21" t="n">
        <v>25</v>
      </c>
      <c r="I158" s="21" t="n">
        <v>531.39</v>
      </c>
      <c r="J158" s="21" t="n">
        <v>1594.18</v>
      </c>
      <c r="K158" s="21" t="n">
        <v>1859.87</v>
      </c>
      <c r="L158" s="21" t="n">
        <v>2125.57</v>
      </c>
      <c r="M158" s="21" t="n">
        <v>2099</v>
      </c>
    </row>
    <row r="159">
      <c r="A159" s="9" t="inlineStr">
        <is>
          <t>HAIFENG</t>
        </is>
      </c>
      <c r="B159" s="9" t="inlineStr">
        <is>
          <t>HAIFENG 01/09/2025</t>
        </is>
      </c>
      <c r="C159" s="9" t="inlineStr">
        <is>
          <t>2025-09-01</t>
        </is>
      </c>
      <c r="D159" s="9" t="inlineStr">
        <is>
          <t>37491240998540</t>
        </is>
      </c>
      <c r="E159" s="9" t="inlineStr">
        <is>
          <t>PULSERA C D‚ÄôAMOUR GOLD</t>
        </is>
      </c>
      <c r="F159" s="9" t="inlineStr">
        <is>
          <t>16cm con 3cm de extensi√≥n</t>
        </is>
      </c>
      <c r="G159" s="9" t="n">
        <v>3</v>
      </c>
      <c r="H159" s="21" t="n">
        <v>5</v>
      </c>
      <c r="I159" s="21" t="n">
        <v>106.28</v>
      </c>
      <c r="J159" s="21" t="n">
        <v>318.84</v>
      </c>
      <c r="K159" s="21" t="n">
        <v>371.97</v>
      </c>
      <c r="L159" s="21" t="n">
        <v>425.11</v>
      </c>
      <c r="M159" s="21" t="n">
        <v>450</v>
      </c>
    </row>
    <row r="160">
      <c r="A160" s="9" t="inlineStr">
        <is>
          <t>HAIFENG</t>
        </is>
      </c>
      <c r="B160" s="9" t="inlineStr">
        <is>
          <t>HAIFENG 01/09/2025</t>
        </is>
      </c>
      <c r="C160" s="9" t="inlineStr">
        <is>
          <t>2025-09-01</t>
        </is>
      </c>
      <c r="D160" s="9" t="inlineStr">
        <is>
          <t>63ebdf168b8f4</t>
        </is>
      </c>
      <c r="E160" s="9" t="inlineStr">
        <is>
          <t>PULSERA CON INSIGNIA DE MOÑO SILVER</t>
        </is>
      </c>
      <c r="F160" s="9" t="inlineStr">
        <is>
          <t>16 cm</t>
        </is>
      </c>
      <c r="G160" s="9" t="n">
        <v>4</v>
      </c>
      <c r="H160" s="21" t="n">
        <v>5</v>
      </c>
      <c r="I160" s="21" t="n">
        <v>106.28</v>
      </c>
      <c r="J160" s="21" t="n">
        <v>318.84</v>
      </c>
      <c r="K160" s="21" t="n">
        <v>371.97</v>
      </c>
      <c r="L160" s="21" t="n">
        <v>425.11</v>
      </c>
      <c r="M160" s="21" t="n">
        <v>412</v>
      </c>
    </row>
    <row r="161">
      <c r="A161" s="9" t="inlineStr">
        <is>
          <t>HAIFENG</t>
        </is>
      </c>
      <c r="B161" s="9" t="inlineStr">
        <is>
          <t>HAIFENG 01/09/2025</t>
        </is>
      </c>
      <c r="C161" s="9" t="inlineStr">
        <is>
          <t>2025-09-01</t>
        </is>
      </c>
      <c r="D161" s="9" t="inlineStr">
        <is>
          <t>668eee34bc314</t>
        </is>
      </c>
      <c r="E161" s="9" t="inlineStr">
        <is>
          <t>PULSERA DE CUENTAS CON INSIGNIA DE CORAZ√ìN BLUE</t>
        </is>
      </c>
      <c r="F161" s="9" t="inlineStr">
        <is>
          <t>16 cm</t>
        </is>
      </c>
      <c r="G161" s="9" t="n">
        <v>5</v>
      </c>
      <c r="H161" s="21" t="n">
        <v>5</v>
      </c>
      <c r="I161" s="21" t="n">
        <v>106.28</v>
      </c>
      <c r="J161" s="21" t="n">
        <v>318.84</v>
      </c>
      <c r="K161" s="21" t="n">
        <v>371.97</v>
      </c>
      <c r="L161" s="21" t="n">
        <v>425.11</v>
      </c>
      <c r="M161" s="21" t="n">
        <v>550</v>
      </c>
    </row>
    <row r="162">
      <c r="A162" s="9" t="inlineStr">
        <is>
          <t>HAIFENG</t>
        </is>
      </c>
      <c r="B162" s="9" t="inlineStr">
        <is>
          <t>HAIFENG 01/09/2025</t>
        </is>
      </c>
      <c r="C162" s="9" t="inlineStr">
        <is>
          <t>2025-09-01</t>
        </is>
      </c>
      <c r="D162" s="9" t="inlineStr">
        <is>
          <t>27412601072353</t>
        </is>
      </c>
      <c r="E162" s="9" t="inlineStr">
        <is>
          <t>PULSERA DE TELA TRES AROS ROYAL BLUE</t>
        </is>
      </c>
      <c r="F162" s="9" t="inlineStr">
        <is>
          <t>Default Title</t>
        </is>
      </c>
      <c r="G162" s="9" t="n">
        <v>0</v>
      </c>
      <c r="H162" s="21" t="n">
        <v>4.5</v>
      </c>
      <c r="I162" s="21" t="n"/>
      <c r="J162" s="21" t="n"/>
      <c r="K162" s="21" t="n"/>
      <c r="L162" s="21" t="n"/>
      <c r="M162" s="21" t="n">
        <v>399</v>
      </c>
    </row>
    <row r="163">
      <c r="A163" s="9" t="inlineStr">
        <is>
          <t>HAIFENG</t>
        </is>
      </c>
      <c r="B163" s="9" t="inlineStr">
        <is>
          <t>HAIFENG 01/09/2025</t>
        </is>
      </c>
      <c r="C163" s="9" t="inlineStr">
        <is>
          <t>2025-09-01</t>
        </is>
      </c>
      <c r="D163" s="9" t="inlineStr">
        <is>
          <t>66975821021217</t>
        </is>
      </c>
      <c r="E163" s="9" t="inlineStr">
        <is>
          <t>PULSERA DE TELA TRES AROS WINE</t>
        </is>
      </c>
      <c r="F163" s="9" t="inlineStr">
        <is>
          <t>Default Title</t>
        </is>
      </c>
      <c r="G163" s="9" t="n">
        <v>0</v>
      </c>
      <c r="H163" s="21" t="n">
        <v>4.5</v>
      </c>
      <c r="I163" s="21" t="n"/>
      <c r="J163" s="21" t="n"/>
      <c r="K163" s="21" t="n"/>
      <c r="L163" s="21" t="n"/>
      <c r="M163" s="21" t="n">
        <v>280</v>
      </c>
    </row>
    <row r="164">
      <c r="A164" s="9" t="inlineStr">
        <is>
          <t>HAIFENG</t>
        </is>
      </c>
      <c r="B164" s="9" t="inlineStr">
        <is>
          <t>HAIFENG 01/09/2025</t>
        </is>
      </c>
      <c r="C164" s="9" t="inlineStr">
        <is>
          <t>2025-09-01</t>
        </is>
      </c>
      <c r="D164" s="9" t="inlineStr">
        <is>
          <t>79274691076205</t>
        </is>
      </c>
      <c r="E164" s="9" t="inlineStr">
        <is>
          <t>PULSERA LOVE DELGADA GOLD</t>
        </is>
      </c>
      <c r="F164" s="9" t="inlineStr">
        <is>
          <t>16cm</t>
        </is>
      </c>
      <c r="G164" s="9" t="n">
        <v>10</v>
      </c>
      <c r="H164" s="21" t="n">
        <v>5</v>
      </c>
      <c r="I164" s="21" t="n">
        <v>106.28</v>
      </c>
      <c r="J164" s="21" t="n">
        <v>318.84</v>
      </c>
      <c r="K164" s="21" t="n">
        <v>371.97</v>
      </c>
      <c r="L164" s="21" t="n">
        <v>425.11</v>
      </c>
      <c r="M164" s="21" t="n">
        <v>499</v>
      </c>
    </row>
    <row r="165">
      <c r="A165" s="9" t="inlineStr">
        <is>
          <t>HAIFENG</t>
        </is>
      </c>
      <c r="B165" s="9" t="inlineStr">
        <is>
          <t>HAIFENG 01/09/2025</t>
        </is>
      </c>
      <c r="C165" s="9" t="inlineStr">
        <is>
          <t>2025-09-01</t>
        </is>
      </c>
      <c r="D165" s="9" t="inlineStr">
        <is>
          <t>79274691108973</t>
        </is>
      </c>
      <c r="E165" s="9" t="inlineStr">
        <is>
          <t>PULSERA LOVE DELGADA GOLD</t>
        </is>
      </c>
      <c r="F165" s="9" t="inlineStr">
        <is>
          <t>17cm</t>
        </is>
      </c>
      <c r="G165" s="9" t="n">
        <v>10</v>
      </c>
      <c r="H165" s="21" t="n">
        <v>5</v>
      </c>
      <c r="I165" s="21" t="n">
        <v>106.28</v>
      </c>
      <c r="J165" s="21" t="n">
        <v>318.84</v>
      </c>
      <c r="K165" s="21" t="n">
        <v>371.97</v>
      </c>
      <c r="L165" s="21" t="n">
        <v>425.11</v>
      </c>
      <c r="M165" s="21" t="n">
        <v>499</v>
      </c>
    </row>
    <row r="166">
      <c r="A166" s="9" t="inlineStr">
        <is>
          <t>HAIFENG</t>
        </is>
      </c>
      <c r="B166" s="9" t="inlineStr">
        <is>
          <t>HAIFENG 01/09/2025</t>
        </is>
      </c>
      <c r="C166" s="9" t="inlineStr">
        <is>
          <t>2025-09-01</t>
        </is>
      </c>
      <c r="D166" s="9" t="inlineStr">
        <is>
          <t>63e0c58ca26ac</t>
        </is>
      </c>
      <c r="E166" s="9" t="inlineStr">
        <is>
          <t>PULSERA LOVE DELGADA ROSE GOLD</t>
        </is>
      </c>
      <c r="F166" s="9" t="inlineStr">
        <is>
          <t>16 cm</t>
        </is>
      </c>
      <c r="G166" s="9" t="n">
        <v>5</v>
      </c>
      <c r="H166" s="21" t="n">
        <v>5</v>
      </c>
      <c r="I166" s="21" t="n">
        <v>106.28</v>
      </c>
      <c r="J166" s="21" t="n">
        <v>318.84</v>
      </c>
      <c r="K166" s="21" t="n">
        <v>371.97</v>
      </c>
      <c r="L166" s="21" t="n">
        <v>425.11</v>
      </c>
      <c r="M166" s="21" t="n">
        <v>499</v>
      </c>
    </row>
    <row r="167">
      <c r="A167" s="9" t="inlineStr">
        <is>
          <t>HAIFENG</t>
        </is>
      </c>
      <c r="B167" s="9" t="inlineStr">
        <is>
          <t>HAIFENG 01/09/2025</t>
        </is>
      </c>
      <c r="C167" s="9" t="inlineStr">
        <is>
          <t>2025-09-01</t>
        </is>
      </c>
      <c r="D167" s="9" t="inlineStr">
        <is>
          <t>77724991007277</t>
        </is>
      </c>
      <c r="E167" s="9" t="inlineStr">
        <is>
          <t>PULSERA LOVE DELGADA SILVER</t>
        </is>
      </c>
      <c r="F167" s="9" t="inlineStr">
        <is>
          <t>16cm</t>
        </is>
      </c>
      <c r="G167" s="9" t="n">
        <v>10</v>
      </c>
      <c r="H167" s="21" t="n">
        <v>5</v>
      </c>
      <c r="I167" s="21" t="n">
        <v>106.28</v>
      </c>
      <c r="J167" s="21" t="n">
        <v>318.84</v>
      </c>
      <c r="K167" s="21" t="n">
        <v>371.97</v>
      </c>
      <c r="L167" s="21" t="n">
        <v>425.11</v>
      </c>
      <c r="M167" s="21" t="n">
        <v>499</v>
      </c>
    </row>
    <row r="168">
      <c r="A168" s="9" t="inlineStr">
        <is>
          <t>HAIFENG</t>
        </is>
      </c>
      <c r="B168" s="9" t="inlineStr">
        <is>
          <t>HAIFENG 01/09/2025</t>
        </is>
      </c>
      <c r="C168" s="9" t="inlineStr">
        <is>
          <t>2025-09-01</t>
        </is>
      </c>
      <c r="D168" s="9" t="inlineStr">
        <is>
          <t>47179791074049</t>
        </is>
      </c>
      <c r="E168" s="9" t="inlineStr">
        <is>
          <t>PULSERA LOVE LOVE GOLD</t>
        </is>
      </c>
      <c r="F168" s="9" t="inlineStr">
        <is>
          <t>16cm con 5cm de extensión</t>
        </is>
      </c>
      <c r="G168" s="9" t="n">
        <v>10</v>
      </c>
      <c r="H168" s="21" t="n">
        <v>5</v>
      </c>
      <c r="I168" s="21" t="n">
        <v>106.28</v>
      </c>
      <c r="J168" s="21" t="n">
        <v>318.84</v>
      </c>
      <c r="K168" s="21" t="n">
        <v>371.97</v>
      </c>
      <c r="L168" s="21" t="n">
        <v>425.11</v>
      </c>
      <c r="M168" s="21" t="n">
        <v>499</v>
      </c>
    </row>
    <row r="169">
      <c r="A169" s="9" t="inlineStr">
        <is>
          <t>HAIFENG</t>
        </is>
      </c>
      <c r="B169" s="9" t="inlineStr">
        <is>
          <t>HAIFENG 01/09/2025</t>
        </is>
      </c>
      <c r="C169" s="9" t="inlineStr">
        <is>
          <t>2025-09-01</t>
        </is>
      </c>
      <c r="D169" s="9" t="inlineStr">
        <is>
          <t>66360701088653</t>
        </is>
      </c>
      <c r="E169" s="9" t="inlineStr">
        <is>
          <t>PULSERA LUCKY SILVER CD</t>
        </is>
      </c>
      <c r="F169" s="9" t="inlineStr">
        <is>
          <t>Default Title</t>
        </is>
      </c>
      <c r="G169" s="9" t="n">
        <v>4</v>
      </c>
      <c r="H169" s="21" t="n">
        <v>6</v>
      </c>
      <c r="I169" s="21" t="n">
        <v>127.53</v>
      </c>
      <c r="J169" s="21" t="n">
        <v>382.6</v>
      </c>
      <c r="K169" s="21" t="n">
        <v>446.37</v>
      </c>
      <c r="L169" s="21" t="n">
        <v>510.14</v>
      </c>
      <c r="M169" s="21" t="n">
        <v>500</v>
      </c>
    </row>
    <row r="170">
      <c r="A170" s="9" t="inlineStr">
        <is>
          <t>HAIFENG</t>
        </is>
      </c>
      <c r="B170" s="9" t="inlineStr">
        <is>
          <t>HAIFENG 01/09/2025</t>
        </is>
      </c>
      <c r="C170" s="9" t="inlineStr">
        <is>
          <t>2025-09-01</t>
        </is>
      </c>
      <c r="D170" s="9" t="inlineStr">
        <is>
          <t>67201535214413</t>
        </is>
      </c>
      <c r="E170" s="9" t="inlineStr">
        <is>
          <t>PULSERA LUCKY SPRING ROSE GOLD VF</t>
        </is>
      </c>
      <c r="F170" s="9" t="inlineStr">
        <is>
          <t>Default Title</t>
        </is>
      </c>
      <c r="G170" s="9" t="n">
        <v>8</v>
      </c>
      <c r="H170" s="21" t="n">
        <v>7</v>
      </c>
      <c r="I170" s="21" t="n">
        <v>148.79</v>
      </c>
      <c r="J170" s="21" t="n">
        <v>446.37</v>
      </c>
      <c r="K170" s="21" t="n">
        <v>520.76</v>
      </c>
      <c r="L170" s="21" t="n">
        <v>595.16</v>
      </c>
      <c r="M170" s="21" t="n">
        <v>599</v>
      </c>
    </row>
    <row r="171">
      <c r="A171" s="9" t="inlineStr">
        <is>
          <t>HAIFENG</t>
        </is>
      </c>
      <c r="B171" s="9" t="inlineStr">
        <is>
          <t>HAIFENG 01/09/2025</t>
        </is>
      </c>
      <c r="C171" s="9" t="inlineStr">
        <is>
          <t>2025-09-01</t>
        </is>
      </c>
      <c r="D171" s="9" t="inlineStr">
        <is>
          <t>37491253271052</t>
        </is>
      </c>
      <c r="E171" s="9" t="inlineStr">
        <is>
          <t>PULSERA MARIQUITA VF</t>
        </is>
      </c>
      <c r="F171" s="9" t="inlineStr">
        <is>
          <t>17cm con 2cm de extensión</t>
        </is>
      </c>
      <c r="G171" s="9" t="n">
        <v>8</v>
      </c>
      <c r="H171" s="21" t="n">
        <v>6</v>
      </c>
      <c r="I171" s="21" t="n">
        <v>127.53</v>
      </c>
      <c r="J171" s="21" t="n">
        <v>382.6</v>
      </c>
      <c r="K171" s="21" t="n">
        <v>446.37</v>
      </c>
      <c r="L171" s="21" t="n">
        <v>510.14</v>
      </c>
      <c r="M171" s="21" t="n">
        <v>520</v>
      </c>
    </row>
    <row r="172">
      <c r="A172" s="9" t="inlineStr">
        <is>
          <t>HAIFENG</t>
        </is>
      </c>
      <c r="B172" s="9" t="inlineStr">
        <is>
          <t>HAIFENG 01/09/2025</t>
        </is>
      </c>
      <c r="C172" s="9" t="inlineStr">
        <is>
          <t>2025-09-01</t>
        </is>
      </c>
      <c r="D172" s="9" t="inlineStr">
        <is>
          <t>66075802259373</t>
        </is>
      </c>
      <c r="E172" s="9" t="inlineStr">
        <is>
          <t>PULSERA MONTAIGNE GOLD CD</t>
        </is>
      </c>
      <c r="F172" s="9" t="inlineStr">
        <is>
          <t>Default Title</t>
        </is>
      </c>
      <c r="G172" s="9" t="n">
        <v>4</v>
      </c>
      <c r="H172" s="21" t="n">
        <v>7</v>
      </c>
      <c r="I172" s="21" t="n">
        <v>148.79</v>
      </c>
      <c r="J172" s="21" t="n">
        <v>446.37</v>
      </c>
      <c r="K172" s="21" t="n">
        <v>520.76</v>
      </c>
      <c r="L172" s="21" t="n">
        <v>595.16</v>
      </c>
      <c r="M172" s="21" t="n">
        <v>599</v>
      </c>
    </row>
    <row r="173">
      <c r="A173" s="9" t="inlineStr">
        <is>
          <t>HAIFENG</t>
        </is>
      </c>
      <c r="B173" s="9" t="inlineStr">
        <is>
          <t>HAIFENG 01/09/2025</t>
        </is>
      </c>
      <c r="C173" s="9" t="inlineStr">
        <is>
          <t>2025-09-01</t>
        </is>
      </c>
      <c r="D173" s="9" t="inlineStr">
        <is>
          <t>67201532161837</t>
        </is>
      </c>
      <c r="E173" s="9" t="inlineStr">
        <is>
          <t>PULSERA MSS GOLD</t>
        </is>
      </c>
      <c r="F173" s="9" t="inlineStr">
        <is>
          <t>Default Title</t>
        </is>
      </c>
      <c r="G173" s="9" t="n">
        <v>1</v>
      </c>
      <c r="H173" s="21" t="n">
        <v>7</v>
      </c>
      <c r="I173" s="21" t="n">
        <v>148.79</v>
      </c>
      <c r="J173" s="21" t="n">
        <v>446.37</v>
      </c>
      <c r="K173" s="21" t="n">
        <v>520.76</v>
      </c>
      <c r="L173" s="21" t="n">
        <v>595.16</v>
      </c>
      <c r="M173" s="21" t="n">
        <v>599</v>
      </c>
    </row>
    <row r="174">
      <c r="A174" s="9" t="inlineStr">
        <is>
          <t>HAIFENG</t>
        </is>
      </c>
      <c r="B174" s="9" t="inlineStr">
        <is>
          <t>HAIFENG 01/09/2025</t>
        </is>
      </c>
      <c r="C174" s="9" t="inlineStr">
        <is>
          <t>2025-09-01</t>
        </is>
      </c>
      <c r="D174" s="9" t="inlineStr">
        <is>
          <t>67201532004237</t>
        </is>
      </c>
      <c r="E174" s="9" t="inlineStr">
        <is>
          <t>PULSERA MSS SILVER</t>
        </is>
      </c>
      <c r="F174" s="9" t="inlineStr">
        <is>
          <t>Default Title</t>
        </is>
      </c>
      <c r="G174" s="9" t="n">
        <v>1</v>
      </c>
      <c r="H174" s="21" t="n">
        <v>7</v>
      </c>
      <c r="I174" s="21" t="n">
        <v>148.79</v>
      </c>
      <c r="J174" s="21" t="n">
        <v>446.37</v>
      </c>
      <c r="K174" s="21" t="n">
        <v>520.76</v>
      </c>
      <c r="L174" s="21" t="n">
        <v>595.16</v>
      </c>
      <c r="M174" s="21" t="n">
        <v>599</v>
      </c>
    </row>
    <row r="175">
      <c r="A175" s="9" t="inlineStr">
        <is>
          <t>HAIFENG</t>
        </is>
      </c>
      <c r="B175" s="9" t="inlineStr">
        <is>
          <t>HAIFENG 01/09/2025</t>
        </is>
      </c>
      <c r="C175" s="9" t="inlineStr">
        <is>
          <t>2025-09-01</t>
        </is>
      </c>
      <c r="D175" s="9" t="inlineStr">
        <is>
          <t>82014673388812</t>
        </is>
      </c>
      <c r="E175" s="9" t="inlineStr">
        <is>
          <t>PULSERA SMILE GOLD</t>
        </is>
      </c>
      <c r="F175" s="9" t="inlineStr">
        <is>
          <t>16cm con extensión de 3cm</t>
        </is>
      </c>
      <c r="G175" s="9" t="n">
        <v>8</v>
      </c>
      <c r="H175" s="21" t="n">
        <v>7.5</v>
      </c>
      <c r="I175" s="21" t="n">
        <v>159.42</v>
      </c>
      <c r="J175" s="21" t="n">
        <v>478.25</v>
      </c>
      <c r="K175" s="21" t="n">
        <v>557.96</v>
      </c>
      <c r="L175" s="21" t="n">
        <v>637.67</v>
      </c>
      <c r="M175" s="21" t="n">
        <v>649</v>
      </c>
    </row>
    <row r="176">
      <c r="A176" s="9" t="inlineStr">
        <is>
          <t>HAIFENG</t>
        </is>
      </c>
      <c r="B176" s="9" t="inlineStr">
        <is>
          <t>HAIFENG 01/09/2025</t>
        </is>
      </c>
      <c r="C176" s="9" t="inlineStr">
        <is>
          <t>2025-09-01</t>
        </is>
      </c>
      <c r="D176" s="9" t="inlineStr">
        <is>
          <t>63e0c5f8a96a2</t>
        </is>
      </c>
      <c r="E176" s="9" t="inlineStr">
        <is>
          <t>PULSERA TRÉBOL ROSEGOLD BLACK VF</t>
        </is>
      </c>
      <c r="F176" s="9" t="inlineStr">
        <is>
          <t>18cm</t>
        </is>
      </c>
      <c r="G176" s="9" t="n">
        <v>3</v>
      </c>
      <c r="H176" s="21" t="n">
        <v>22</v>
      </c>
      <c r="I176" s="21" t="n">
        <v>467.62</v>
      </c>
      <c r="J176" s="21" t="n">
        <v>1402.87</v>
      </c>
      <c r="K176" s="21" t="n">
        <v>1636.69</v>
      </c>
      <c r="L176" s="21" t="n">
        <v>1870.5</v>
      </c>
      <c r="M176" s="21" t="n">
        <v>900</v>
      </c>
    </row>
    <row r="177">
      <c r="A177" s="9" t="inlineStr">
        <is>
          <t>HAIFENG</t>
        </is>
      </c>
      <c r="B177" s="9" t="inlineStr">
        <is>
          <t>HAIFENG 01/09/2025</t>
        </is>
      </c>
      <c r="C177" s="9" t="inlineStr">
        <is>
          <t>2025-09-01</t>
        </is>
      </c>
      <c r="D177" s="9" t="inlineStr">
        <is>
          <t>43728091372908</t>
        </is>
      </c>
      <c r="E177" s="9" t="inlineStr">
        <is>
          <t>PULSERA TRÉBOL ROSEGOLD RED VF</t>
        </is>
      </c>
      <c r="F177" s="9" t="inlineStr">
        <is>
          <t>18cm</t>
        </is>
      </c>
      <c r="G177" s="9" t="n">
        <v>3</v>
      </c>
      <c r="H177" s="21" t="n">
        <v>22</v>
      </c>
      <c r="I177" s="21" t="n">
        <v>467.62</v>
      </c>
      <c r="J177" s="21" t="n">
        <v>1402.87</v>
      </c>
      <c r="K177" s="21" t="n">
        <v>1636.69</v>
      </c>
      <c r="L177" s="21" t="n">
        <v>1870.5</v>
      </c>
      <c r="M177" s="21" t="n">
        <v>1286</v>
      </c>
    </row>
    <row r="178">
      <c r="A178" s="9" t="inlineStr">
        <is>
          <t>HAIFENG</t>
        </is>
      </c>
      <c r="B178" s="9" t="inlineStr">
        <is>
          <t>HAIFENG 01/09/2025</t>
        </is>
      </c>
      <c r="C178" s="9" t="inlineStr">
        <is>
          <t>2025-09-01</t>
        </is>
      </c>
      <c r="D178" s="9" t="inlineStr">
        <is>
          <t>64385161101d4</t>
        </is>
      </c>
      <c r="E178" s="9" t="inlineStr">
        <is>
          <t>PULSERA TRÉBOL ROSEGOLD WHITE VF</t>
        </is>
      </c>
      <c r="F178" s="9" t="inlineStr">
        <is>
          <t>18cm</t>
        </is>
      </c>
      <c r="G178" s="9" t="n">
        <v>3</v>
      </c>
      <c r="H178" s="21" t="n">
        <v>22</v>
      </c>
      <c r="I178" s="21" t="n">
        <v>467.62</v>
      </c>
      <c r="J178" s="21" t="n">
        <v>1402.87</v>
      </c>
      <c r="K178" s="21" t="n">
        <v>1636.69</v>
      </c>
      <c r="L178" s="21" t="n">
        <v>1870.5</v>
      </c>
      <c r="M178" s="21" t="n">
        <v>1286</v>
      </c>
    </row>
    <row r="179">
      <c r="A179" s="9" t="inlineStr">
        <is>
          <t>HAIFENG</t>
        </is>
      </c>
      <c r="B179" s="9" t="inlineStr">
        <is>
          <t>HAIFENG 01/09/2025</t>
        </is>
      </c>
      <c r="C179" s="9" t="inlineStr">
        <is>
          <t>2025-09-01</t>
        </is>
      </c>
      <c r="D179" s="9" t="inlineStr">
        <is>
          <t>668ef00538c27</t>
        </is>
      </c>
      <c r="E179" s="9" t="inlineStr">
        <is>
          <t>PULSERA TRÉBOL SILVER RED</t>
        </is>
      </c>
      <c r="F179" s="9" t="inlineStr">
        <is>
          <t>18cm</t>
        </is>
      </c>
      <c r="G179" s="9" t="n">
        <v>2</v>
      </c>
      <c r="H179" s="21" t="n">
        <v>22</v>
      </c>
      <c r="I179" s="21" t="n">
        <v>467.62</v>
      </c>
      <c r="J179" s="21" t="n">
        <v>1402.87</v>
      </c>
      <c r="K179" s="21" t="n">
        <v>1636.69</v>
      </c>
      <c r="L179" s="21" t="n">
        <v>1870.5</v>
      </c>
      <c r="M179" s="21" t="n">
        <v>650</v>
      </c>
    </row>
    <row r="180">
      <c r="A180" s="9" t="inlineStr">
        <is>
          <t>HAIFENG</t>
        </is>
      </c>
      <c r="B180" s="9" t="inlineStr">
        <is>
          <t>HAIFENG 01/09/2025</t>
        </is>
      </c>
      <c r="C180" s="9" t="inlineStr">
        <is>
          <t>2025-09-01</t>
        </is>
      </c>
      <c r="D180" s="9" t="inlineStr">
        <is>
          <t>26487151099425</t>
        </is>
      </c>
      <c r="E180" s="9" t="inlineStr">
        <is>
          <t>PULSERAS BEAN GOLD</t>
        </is>
      </c>
      <c r="F180" s="9" t="inlineStr">
        <is>
          <t>16 CM</t>
        </is>
      </c>
      <c r="G180" s="9" t="n">
        <v>4</v>
      </c>
      <c r="H180" s="21" t="n">
        <v>7.5</v>
      </c>
      <c r="I180" s="21" t="n">
        <v>159.42</v>
      </c>
      <c r="J180" s="21" t="n">
        <v>478.25</v>
      </c>
      <c r="K180" s="21" t="n">
        <v>557.96</v>
      </c>
      <c r="L180" s="21" t="n">
        <v>637.67</v>
      </c>
      <c r="M180" s="21" t="n">
        <v>650</v>
      </c>
    </row>
    <row r="181">
      <c r="A181" s="9" t="inlineStr">
        <is>
          <t>HAIFENG</t>
        </is>
      </c>
      <c r="B181" s="9" t="inlineStr">
        <is>
          <t>HAIFENG 01/09/2025</t>
        </is>
      </c>
      <c r="C181" s="9" t="inlineStr">
        <is>
          <t>2025-09-01</t>
        </is>
      </c>
      <c r="D181" s="9" t="inlineStr">
        <is>
          <t>37491240998540</t>
        </is>
      </c>
      <c r="E181" s="9" t="inlineStr">
        <is>
          <t>PULSERAS C D‚'AMOUR GOLD</t>
        </is>
      </c>
      <c r="F181" s="9" t="inlineStr">
        <is>
          <t>16cm con 3cm de extensi√≥n</t>
        </is>
      </c>
      <c r="G181" s="9" t="n">
        <v>5</v>
      </c>
      <c r="H181" s="21" t="n">
        <v>5</v>
      </c>
      <c r="I181" s="21" t="n">
        <v>106.28</v>
      </c>
      <c r="J181" s="21" t="n">
        <v>318.84</v>
      </c>
      <c r="K181" s="21" t="n">
        <v>371.97</v>
      </c>
      <c r="L181" s="21" t="n">
        <v>425.11</v>
      </c>
      <c r="M181" s="21" t="n">
        <v>450</v>
      </c>
    </row>
    <row r="182">
      <c r="A182" s="9" t="inlineStr">
        <is>
          <t>HAIFENG</t>
        </is>
      </c>
      <c r="B182" s="9" t="inlineStr">
        <is>
          <t>HAIFENG 01/09/2025</t>
        </is>
      </c>
      <c r="C182" s="9" t="inlineStr">
        <is>
          <t>2025-09-01</t>
        </is>
      </c>
      <c r="D182" s="9" t="inlineStr">
        <is>
          <t>66075802307341</t>
        </is>
      </c>
      <c r="E182" s="9" t="inlineStr">
        <is>
          <t>PULSERAS CLAIR D LUNE SILVER CD</t>
        </is>
      </c>
      <c r="F182" s="9" t="inlineStr">
        <is>
          <t>Default Title</t>
        </is>
      </c>
      <c r="G182" s="9" t="n">
        <v>3</v>
      </c>
      <c r="H182" s="21" t="n">
        <v>4</v>
      </c>
      <c r="I182" s="21" t="n">
        <v>85.02</v>
      </c>
      <c r="J182" s="21" t="n">
        <v>255.07</v>
      </c>
      <c r="K182" s="21" t="n">
        <v>297.58</v>
      </c>
      <c r="L182" s="21" t="n">
        <v>340.09</v>
      </c>
      <c r="M182" s="21" t="n">
        <v>412</v>
      </c>
    </row>
    <row r="183">
      <c r="A183" s="9" t="inlineStr">
        <is>
          <t>HAIFENG</t>
        </is>
      </c>
      <c r="B183" s="9" t="inlineStr">
        <is>
          <t>HAIFENG 01/09/2025</t>
        </is>
      </c>
      <c r="C183" s="9" t="inlineStr">
        <is>
          <t>2025-09-01</t>
        </is>
      </c>
      <c r="D183" s="9" t="inlineStr">
        <is>
          <t>67201535214413</t>
        </is>
      </c>
      <c r="E183" s="9" t="inlineStr">
        <is>
          <t>PULSERAS LUCKY SPRING ROSE GOLD VF</t>
        </is>
      </c>
      <c r="F183" s="9" t="inlineStr">
        <is>
          <t>Default Title</t>
        </is>
      </c>
      <c r="G183" s="9" t="n">
        <v>0</v>
      </c>
      <c r="H183" s="21" t="n">
        <v>7</v>
      </c>
      <c r="I183" s="21" t="n"/>
      <c r="J183" s="21" t="n"/>
      <c r="K183" s="21" t="n"/>
      <c r="L183" s="21" t="n"/>
      <c r="M183" s="21" t="n">
        <v>599</v>
      </c>
    </row>
    <row r="184">
      <c r="A184" s="9" t="inlineStr">
        <is>
          <t>ZOEY</t>
        </is>
      </c>
      <c r="B184" s="9" t="inlineStr">
        <is>
          <t>ZOEY 01/09/2025</t>
        </is>
      </c>
      <c r="C184" s="9" t="inlineStr">
        <is>
          <t>2025-09-01</t>
        </is>
      </c>
      <c r="D184" s="9" t="inlineStr">
        <is>
          <t>BOX</t>
        </is>
      </c>
      <c r="E184" s="9" t="inlineStr"/>
      <c r="F184" s="9" t="inlineStr"/>
      <c r="G184" s="9" t="n">
        <v>5</v>
      </c>
      <c r="H184" s="21" t="n">
        <v>10</v>
      </c>
      <c r="I184" s="21" t="n">
        <v>251.18</v>
      </c>
      <c r="J184" s="21" t="n">
        <v>753.54</v>
      </c>
      <c r="K184" s="21" t="n">
        <v>879.12</v>
      </c>
      <c r="L184" s="21" t="n">
        <v>1004.71</v>
      </c>
      <c r="M184" s="21" t="n"/>
    </row>
    <row r="185">
      <c r="A185" s="9" t="inlineStr">
        <is>
          <t>ZOEY</t>
        </is>
      </c>
      <c r="B185" s="9" t="inlineStr">
        <is>
          <t>ZOEY 01/09/2025</t>
        </is>
      </c>
      <c r="C185" s="9" t="inlineStr">
        <is>
          <t>2025-09-01</t>
        </is>
      </c>
      <c r="D185" s="9" t="inlineStr">
        <is>
          <t>94350549840780</t>
        </is>
      </c>
      <c r="E185" s="9" t="inlineStr">
        <is>
          <t>BOLSO A TIEDIE</t>
        </is>
      </c>
      <c r="F185" s="9" t="inlineStr">
        <is>
          <t>31cm de alto x 45.5cm de largo x 18cm de ancho</t>
        </is>
      </c>
      <c r="G185" s="9" t="n">
        <v>6</v>
      </c>
      <c r="H185" s="21" t="n">
        <v>10</v>
      </c>
      <c r="I185" s="21" t="n">
        <v>251.18</v>
      </c>
      <c r="J185" s="21" t="n">
        <v>753.54</v>
      </c>
      <c r="K185" s="21" t="n">
        <v>879.12</v>
      </c>
      <c r="L185" s="21" t="n">
        <v>1004.71</v>
      </c>
      <c r="M185" s="21" t="n">
        <v>1069</v>
      </c>
    </row>
    <row r="186">
      <c r="A186" s="9" t="inlineStr">
        <is>
          <t>ZOEY</t>
        </is>
      </c>
      <c r="B186" s="9" t="inlineStr">
        <is>
          <t>ZOEY 01/09/2025</t>
        </is>
      </c>
      <c r="C186" s="9" t="inlineStr">
        <is>
          <t>2025-09-01</t>
        </is>
      </c>
      <c r="D186" s="9" t="inlineStr">
        <is>
          <t>94350549840780</t>
        </is>
      </c>
      <c r="E186" s="9" t="inlineStr">
        <is>
          <t>BOLSO A TIEDIE</t>
        </is>
      </c>
      <c r="F186" s="9" t="inlineStr">
        <is>
          <t>31cm de alto x 45.5cm de largo x 18cm de ancho</t>
        </is>
      </c>
      <c r="G186" s="9" t="n">
        <v>3</v>
      </c>
      <c r="H186" s="21" t="n">
        <v>0</v>
      </c>
      <c r="I186" s="21" t="n">
        <v>0</v>
      </c>
      <c r="J186" s="21" t="n">
        <v>0</v>
      </c>
      <c r="K186" s="21" t="n">
        <v>0</v>
      </c>
      <c r="L186" s="21" t="n">
        <v>0</v>
      </c>
      <c r="M186" s="21" t="n">
        <v>1069</v>
      </c>
    </row>
    <row r="187">
      <c r="A187" s="9" t="inlineStr">
        <is>
          <t>ZOEY</t>
        </is>
      </c>
      <c r="B187" s="9" t="inlineStr">
        <is>
          <t>ZOEY 01/09/2025</t>
        </is>
      </c>
      <c r="C187" s="9" t="inlineStr">
        <is>
          <t>2025-09-01</t>
        </is>
      </c>
      <c r="D187" s="9" t="inlineStr">
        <is>
          <t>66581df1de94d</t>
        </is>
      </c>
      <c r="E187" s="9" t="inlineStr">
        <is>
          <t>BOLSO B BLACK</t>
        </is>
      </c>
      <c r="F187" s="9" t="inlineStr">
        <is>
          <t>17cm de largo x 11cm de alto x 8.3cm de ancho</t>
        </is>
      </c>
      <c r="G187" s="9" t="n">
        <v>2</v>
      </c>
      <c r="H187" s="21" t="n">
        <v>45</v>
      </c>
      <c r="I187" s="21" t="n">
        <v>1130.3</v>
      </c>
      <c r="J187" s="21" t="n">
        <v>3390.91</v>
      </c>
      <c r="K187" s="21" t="n">
        <v>3956.06</v>
      </c>
      <c r="L187" s="21" t="n">
        <v>4521.21</v>
      </c>
      <c r="M187" s="21" t="n">
        <v>3800</v>
      </c>
    </row>
    <row r="188">
      <c r="A188" s="9" t="inlineStr">
        <is>
          <t>ZOEY</t>
        </is>
      </c>
      <c r="B188" s="9" t="inlineStr">
        <is>
          <t>ZOEY 01/09/2025</t>
        </is>
      </c>
      <c r="C188" s="9" t="inlineStr">
        <is>
          <t>2025-09-01</t>
        </is>
      </c>
      <c r="D188" s="9" t="inlineStr">
        <is>
          <t>66ec817ce19fe</t>
        </is>
      </c>
      <c r="E188" s="9" t="inlineStr">
        <is>
          <t>BOLSO B BLACK LISA</t>
        </is>
      </c>
      <c r="F188" s="9" t="inlineStr">
        <is>
          <t>HIGH QUALITY 23cm de largo x 14.5cm de alto x 10cm de ancho</t>
        </is>
      </c>
      <c r="G188" s="9" t="n">
        <v>1</v>
      </c>
      <c r="H188" s="21" t="n">
        <v>45</v>
      </c>
      <c r="I188" s="21" t="n">
        <v>1130.3</v>
      </c>
      <c r="J188" s="21" t="n">
        <v>3390.91</v>
      </c>
      <c r="K188" s="21" t="n">
        <v>3956.06</v>
      </c>
      <c r="L188" s="21" t="n">
        <v>4521.21</v>
      </c>
      <c r="M188" s="21" t="n">
        <v>3799</v>
      </c>
    </row>
    <row r="189">
      <c r="A189" s="9" t="inlineStr">
        <is>
          <t>ZOEY</t>
        </is>
      </c>
      <c r="B189" s="9" t="inlineStr">
        <is>
          <t>ZOEY 01/09/2025</t>
        </is>
      </c>
      <c r="C189" s="9" t="inlineStr">
        <is>
          <t>2025-09-01</t>
        </is>
      </c>
      <c r="D189" s="9" t="inlineStr">
        <is>
          <t>654bdbd00f373</t>
        </is>
      </c>
      <c r="E189" s="9" t="inlineStr">
        <is>
          <t>BOLSO B WHITE</t>
        </is>
      </c>
      <c r="F189" s="9" t="inlineStr">
        <is>
          <t>17cm de largo x 11cm de alto x 8.3cm de ancho</t>
        </is>
      </c>
      <c r="G189" s="9" t="n">
        <v>2</v>
      </c>
      <c r="H189" s="21" t="n">
        <v>45</v>
      </c>
      <c r="I189" s="21" t="n">
        <v>1130.3</v>
      </c>
      <c r="J189" s="21" t="n">
        <v>3390.91</v>
      </c>
      <c r="K189" s="21" t="n">
        <v>3956.06</v>
      </c>
      <c r="L189" s="21" t="n">
        <v>4521.21</v>
      </c>
      <c r="M189" s="21" t="n">
        <v>3775</v>
      </c>
    </row>
    <row r="190">
      <c r="A190" s="9" t="inlineStr">
        <is>
          <t>ZOEY</t>
        </is>
      </c>
      <c r="B190" s="9" t="inlineStr">
        <is>
          <t>ZOEY 01/09/2025</t>
        </is>
      </c>
      <c r="C190" s="9" t="inlineStr">
        <is>
          <t>2025-09-01</t>
        </is>
      </c>
      <c r="D190" s="9" t="inlineStr">
        <is>
          <t>68374516907020</t>
        </is>
      </c>
      <c r="E190" s="9" t="inlineStr">
        <is>
          <t>BOLSO C CLAUDE BLACK</t>
        </is>
      </c>
      <c r="F190" s="9" t="inlineStr">
        <is>
          <t>21.5cm de largo x 11.5cm de alto x 4.5cm de ancho</t>
        </is>
      </c>
      <c r="G190" s="9" t="n">
        <v>4</v>
      </c>
      <c r="H190" s="21" t="n">
        <v>52</v>
      </c>
      <c r="I190" s="21" t="n">
        <v>1306.13</v>
      </c>
      <c r="J190" s="21" t="n">
        <v>3918.38</v>
      </c>
      <c r="K190" s="21" t="n">
        <v>4571.45</v>
      </c>
      <c r="L190" s="21" t="n">
        <v>5224.51</v>
      </c>
      <c r="M190" s="21" t="n">
        <v>5095</v>
      </c>
    </row>
    <row r="191">
      <c r="A191" s="9" t="inlineStr">
        <is>
          <t>ZOEY</t>
        </is>
      </c>
      <c r="B191" s="9" t="inlineStr">
        <is>
          <t>ZOEY 01/09/2025</t>
        </is>
      </c>
      <c r="C191" s="9" t="inlineStr">
        <is>
          <t>2025-09-01</t>
        </is>
      </c>
      <c r="D191" s="9" t="inlineStr">
        <is>
          <t>63666799441676</t>
        </is>
      </c>
      <c r="E191" s="9" t="inlineStr">
        <is>
          <t>BOLSO C TOTE</t>
        </is>
      </c>
      <c r="F191" s="9" t="inlineStr">
        <is>
          <t>20cm de largo x 21 cm de alto x 11cm de ancho</t>
        </is>
      </c>
      <c r="G191" s="9" t="n">
        <v>2</v>
      </c>
      <c r="H191" s="21" t="n">
        <v>72</v>
      </c>
      <c r="I191" s="21" t="n">
        <v>1808.48</v>
      </c>
      <c r="J191" s="21" t="n">
        <v>5425.45</v>
      </c>
      <c r="K191" s="21" t="n">
        <v>6329.7</v>
      </c>
      <c r="L191" s="21" t="n">
        <v>7233.94</v>
      </c>
      <c r="M191" s="21" t="n">
        <v>6050</v>
      </c>
    </row>
    <row r="192">
      <c r="A192" s="9" t="inlineStr">
        <is>
          <t>ZOEY</t>
        </is>
      </c>
      <c r="B192" s="9" t="inlineStr">
        <is>
          <t>ZOEY 01/09/2025</t>
        </is>
      </c>
      <c r="C192" s="9" t="inlineStr">
        <is>
          <t>2025-09-01</t>
        </is>
      </c>
      <c r="D192" s="9" t="inlineStr">
        <is>
          <t>43728083210732</t>
        </is>
      </c>
      <c r="E192" s="9" t="inlineStr">
        <is>
          <t>BOLSO CC 22</t>
        </is>
      </c>
      <c r="F192" s="9" t="inlineStr">
        <is>
          <t>19cm de alto x 23.5cm de ancho</t>
        </is>
      </c>
      <c r="G192" s="9" t="n">
        <v>6</v>
      </c>
      <c r="H192" s="21" t="n">
        <v>50</v>
      </c>
      <c r="I192" s="21" t="n">
        <v>1255.89</v>
      </c>
      <c r="J192" s="21" t="n">
        <v>3767.68</v>
      </c>
      <c r="K192" s="21" t="n">
        <v>4395.62</v>
      </c>
      <c r="L192" s="21" t="n">
        <v>5023.57</v>
      </c>
      <c r="M192" s="21" t="n">
        <v>4190</v>
      </c>
    </row>
    <row r="193">
      <c r="A193" s="9" t="inlineStr">
        <is>
          <t>ZOEY</t>
        </is>
      </c>
      <c r="B193" s="9" t="inlineStr">
        <is>
          <t>ZOEY 01/09/2025</t>
        </is>
      </c>
      <c r="C193" s="9" t="inlineStr">
        <is>
          <t>2025-09-01</t>
        </is>
      </c>
      <c r="D193" s="9" t="inlineStr">
        <is>
          <t>64571791072897</t>
        </is>
      </c>
      <c r="E193" s="9" t="inlineStr">
        <is>
          <t>BOLSO CC BLACK</t>
        </is>
      </c>
      <c r="F193" s="9" t="inlineStr">
        <is>
          <t>25cm de largo x 17cm de alto x 6cm de ancho</t>
        </is>
      </c>
      <c r="G193" s="9" t="n">
        <v>7</v>
      </c>
      <c r="H193" s="21" t="n">
        <v>48</v>
      </c>
      <c r="I193" s="21" t="n">
        <v>1205.66</v>
      </c>
      <c r="J193" s="21" t="n">
        <v>3616.97</v>
      </c>
      <c r="K193" s="21" t="n">
        <v>4219.8</v>
      </c>
      <c r="L193" s="21" t="n">
        <v>4822.63</v>
      </c>
      <c r="M193" s="21" t="n">
        <v>5089</v>
      </c>
    </row>
    <row r="194">
      <c r="A194" s="9" t="inlineStr">
        <is>
          <t>ZOEY</t>
        </is>
      </c>
      <c r="B194" s="9" t="inlineStr">
        <is>
          <t>ZOEY 01/09/2025</t>
        </is>
      </c>
      <c r="C194" s="9" t="inlineStr">
        <is>
          <t>2025-09-01</t>
        </is>
      </c>
      <c r="D194" s="9" t="inlineStr">
        <is>
          <t>43728087914796</t>
        </is>
      </c>
      <c r="E194" s="9" t="inlineStr">
        <is>
          <t>BOLSO CD 30 MONTAIGNE BLACK</t>
        </is>
      </c>
      <c r="F194" s="9" t="inlineStr">
        <is>
          <t>12cm de alto x 20cm de largo x 4cm de ancho</t>
        </is>
      </c>
      <c r="G194" s="9" t="n">
        <v>2</v>
      </c>
      <c r="H194" s="21" t="n">
        <v>52</v>
      </c>
      <c r="I194" s="21" t="n">
        <v>1306.13</v>
      </c>
      <c r="J194" s="21" t="n">
        <v>3918.38</v>
      </c>
      <c r="K194" s="21" t="n">
        <v>4571.45</v>
      </c>
      <c r="L194" s="21" t="n">
        <v>5224.51</v>
      </c>
      <c r="M194" s="21" t="n">
        <v>5520</v>
      </c>
    </row>
    <row r="195">
      <c r="A195" s="9" t="inlineStr">
        <is>
          <t>ZOEY</t>
        </is>
      </c>
      <c r="B195" s="9" t="inlineStr">
        <is>
          <t>ZOEY 01/09/2025</t>
        </is>
      </c>
      <c r="C195" s="9" t="inlineStr">
        <is>
          <t>2025-09-01</t>
        </is>
      </c>
      <c r="D195" s="9" t="inlineStr">
        <is>
          <t>43728083428428</t>
        </is>
      </c>
      <c r="E195" s="9" t="inlineStr">
        <is>
          <t>BOLSO CD GROOVE 20</t>
        </is>
      </c>
      <c r="F195" s="9" t="inlineStr">
        <is>
          <t>25.5cm de largo x 21cm de alto x 15.5cm de ancho</t>
        </is>
      </c>
      <c r="G195" s="9" t="n">
        <v>1</v>
      </c>
      <c r="H195" s="21" t="n">
        <v>55</v>
      </c>
      <c r="I195" s="21" t="n">
        <v>1381.48</v>
      </c>
      <c r="J195" s="21" t="n">
        <v>4144.44</v>
      </c>
      <c r="K195" s="21" t="n">
        <v>4835.19</v>
      </c>
      <c r="L195" s="21" t="n">
        <v>5525.93</v>
      </c>
      <c r="M195" s="21" t="n">
        <v>4650</v>
      </c>
    </row>
    <row r="196">
      <c r="A196" s="9" t="inlineStr">
        <is>
          <t>ZOEY</t>
        </is>
      </c>
      <c r="B196" s="9" t="inlineStr">
        <is>
          <t>ZOEY 01/09/2025</t>
        </is>
      </c>
      <c r="C196" s="9" t="inlineStr">
        <is>
          <t>2025-09-01</t>
        </is>
      </c>
      <c r="D196" s="9" t="inlineStr">
        <is>
          <t>17416232396428</t>
        </is>
      </c>
      <c r="E196" s="9" t="inlineStr">
        <is>
          <t>BOLSO CD TOTE</t>
        </is>
      </c>
      <c r="F196" s="9" t="inlineStr">
        <is>
          <t>36.5cm x 28cm x 10cm</t>
        </is>
      </c>
      <c r="G196" s="9" t="n">
        <v>3</v>
      </c>
      <c r="H196" s="21" t="n">
        <v>45</v>
      </c>
      <c r="I196" s="21" t="n">
        <v>1130.3</v>
      </c>
      <c r="J196" s="21" t="n">
        <v>3390.91</v>
      </c>
      <c r="K196" s="21" t="n">
        <v>3956.06</v>
      </c>
      <c r="L196" s="21" t="n">
        <v>4521.21</v>
      </c>
      <c r="M196" s="21" t="n">
        <v>3799</v>
      </c>
    </row>
    <row r="197">
      <c r="A197" s="9" t="inlineStr">
        <is>
          <t>ZOEY</t>
        </is>
      </c>
      <c r="B197" s="9" t="inlineStr">
        <is>
          <t>ZOEY 01/09/2025</t>
        </is>
      </c>
      <c r="C197" s="9" t="inlineStr">
        <is>
          <t>2025-09-01</t>
        </is>
      </c>
      <c r="D197" s="9" t="inlineStr">
        <is>
          <t>43728085758636</t>
        </is>
      </c>
      <c r="E197" s="9" t="inlineStr">
        <is>
          <t>BOLSO DE VIAJE GC LOGO</t>
        </is>
      </c>
      <c r="F197" s="9" t="inlineStr">
        <is>
          <t>42cm de largo x 29cm de alto x 21cm de ancho</t>
        </is>
      </c>
      <c r="G197" s="9" t="n">
        <v>2</v>
      </c>
      <c r="H197" s="21" t="n">
        <v>75</v>
      </c>
      <c r="I197" s="21" t="n">
        <v>1883.84</v>
      </c>
      <c r="J197" s="21" t="n">
        <v>5651.52</v>
      </c>
      <c r="K197" s="21" t="n">
        <v>6593.43</v>
      </c>
      <c r="L197" s="21" t="n">
        <v>7535.35</v>
      </c>
      <c r="M197" s="21" t="n">
        <v>6235.4</v>
      </c>
    </row>
    <row r="198">
      <c r="A198" s="9" t="inlineStr">
        <is>
          <t>ZOEY</t>
        </is>
      </c>
      <c r="B198" s="9" t="inlineStr">
        <is>
          <t>ZOEY 01/09/2025</t>
        </is>
      </c>
      <c r="C198" s="9" t="inlineStr">
        <is>
          <t>2025-09-01</t>
        </is>
      </c>
      <c r="D198" s="9" t="inlineStr">
        <is>
          <t>43728136587308</t>
        </is>
      </c>
      <c r="E198" s="9" t="inlineStr">
        <is>
          <t>BOLSO DE VIAJE LV BLACK</t>
        </is>
      </c>
      <c r="F198" s="9" t="inlineStr">
        <is>
          <t>HIGH QUALITY</t>
        </is>
      </c>
      <c r="G198" s="9" t="n">
        <v>3</v>
      </c>
      <c r="H198" s="21" t="n">
        <v>55</v>
      </c>
      <c r="I198" s="21" t="n">
        <v>1381.48</v>
      </c>
      <c r="J198" s="21" t="n">
        <v>4144.44</v>
      </c>
      <c r="K198" s="21" t="n">
        <v>4835.19</v>
      </c>
      <c r="L198" s="21" t="n">
        <v>5525.93</v>
      </c>
      <c r="M198" s="21" t="n">
        <v>4600</v>
      </c>
    </row>
    <row r="199">
      <c r="A199" s="9" t="inlineStr">
        <is>
          <t>ZOEY</t>
        </is>
      </c>
      <c r="B199" s="9" t="inlineStr">
        <is>
          <t>ZOEY 01/09/2025</t>
        </is>
      </c>
      <c r="C199" s="9" t="inlineStr">
        <is>
          <t>2025-09-01</t>
        </is>
      </c>
      <c r="D199" s="9" t="inlineStr">
        <is>
          <t>43728085695276</t>
        </is>
      </c>
      <c r="E199" s="9" t="inlineStr">
        <is>
          <t>BOLSO F FENDIGRAPHY BLACK</t>
        </is>
      </c>
      <c r="F199" s="9" t="inlineStr">
        <is>
          <t>14cm de largo x 11cm de alto x 4cm de ancho</t>
        </is>
      </c>
      <c r="G199" s="9" t="n">
        <v>4</v>
      </c>
      <c r="H199" s="21" t="n">
        <v>50</v>
      </c>
      <c r="I199" s="21" t="n">
        <v>1255.89</v>
      </c>
      <c r="J199" s="21" t="n">
        <v>3767.68</v>
      </c>
      <c r="K199" s="21" t="n">
        <v>4395.62</v>
      </c>
      <c r="L199" s="21" t="n">
        <v>5023.57</v>
      </c>
      <c r="M199" s="21" t="n">
        <v>3154</v>
      </c>
    </row>
    <row r="200">
      <c r="A200" s="9" t="inlineStr">
        <is>
          <t>ZOEY</t>
        </is>
      </c>
      <c r="B200" s="9" t="inlineStr">
        <is>
          <t>ZOEY 01/09/2025</t>
        </is>
      </c>
      <c r="C200" s="9" t="inlineStr">
        <is>
          <t>2025-09-01</t>
        </is>
      </c>
      <c r="D200" s="9" t="inlineStr">
        <is>
          <t>6701d27d41def</t>
        </is>
      </c>
      <c r="E200" s="9" t="inlineStr">
        <is>
          <t>BOLSO GC NUDE</t>
        </is>
      </c>
      <c r="F200" s="9" t="inlineStr">
        <is>
          <t>14.5cm de alto x 25.2cm de largo x 6.7cm de ancho</t>
        </is>
      </c>
      <c r="G200" s="9" t="n">
        <v>2</v>
      </c>
      <c r="H200" s="21" t="n">
        <v>56</v>
      </c>
      <c r="I200" s="21" t="n">
        <v>1406.6</v>
      </c>
      <c r="J200" s="21" t="n">
        <v>4219.8</v>
      </c>
      <c r="K200" s="21" t="n">
        <v>4923.1</v>
      </c>
      <c r="L200" s="21" t="n">
        <v>5626.4</v>
      </c>
      <c r="M200" s="21" t="n">
        <v>5940</v>
      </c>
    </row>
    <row r="201">
      <c r="A201" s="9" t="inlineStr">
        <is>
          <t>ZOEY</t>
        </is>
      </c>
      <c r="B201" s="9" t="inlineStr">
        <is>
          <t>ZOEY 01/09/2025</t>
        </is>
      </c>
      <c r="C201" s="9" t="inlineStr">
        <is>
          <t>2025-09-01</t>
        </is>
      </c>
      <c r="D201" s="9" t="inlineStr">
        <is>
          <t>66df5ec1b9bcc</t>
        </is>
      </c>
      <c r="E201" s="9" t="inlineStr">
        <is>
          <t>BOLSO LADY D CHAROL DUSTY PINK</t>
        </is>
      </c>
      <c r="F201" s="9" t="inlineStr">
        <is>
          <t>23.5cm de largo x 21cm de alto x 12cm de ancho</t>
        </is>
      </c>
      <c r="G201" s="9" t="n">
        <v>1</v>
      </c>
      <c r="H201" s="21" t="n">
        <v>56</v>
      </c>
      <c r="I201" s="21" t="n">
        <v>1406.6</v>
      </c>
      <c r="J201" s="21" t="n">
        <v>4219.8</v>
      </c>
      <c r="K201" s="21" t="n">
        <v>4923.1</v>
      </c>
      <c r="L201" s="21" t="n">
        <v>5626.4</v>
      </c>
      <c r="M201" s="21" t="n">
        <v>5940</v>
      </c>
    </row>
    <row r="202">
      <c r="A202" s="9" t="inlineStr">
        <is>
          <t>ZOEY</t>
        </is>
      </c>
      <c r="B202" s="9" t="inlineStr">
        <is>
          <t>ZOEY 01/09/2025</t>
        </is>
      </c>
      <c r="C202" s="9" t="inlineStr">
        <is>
          <t>2025-09-01</t>
        </is>
      </c>
      <c r="D202" s="9" t="inlineStr">
        <is>
          <t>6701d24d46b00</t>
        </is>
      </c>
      <c r="E202" s="9" t="inlineStr">
        <is>
          <t>BOLSO LV CAPUCINES</t>
        </is>
      </c>
      <c r="F202" s="9" t="inlineStr">
        <is>
          <t>26.5cm de largo x 18cm de alto x 9cm de ancho</t>
        </is>
      </c>
      <c r="G202" s="9" t="n">
        <v>3</v>
      </c>
      <c r="H202" s="21" t="n">
        <v>58</v>
      </c>
      <c r="I202" s="21" t="n">
        <v>1456.83</v>
      </c>
      <c r="J202" s="21" t="n">
        <v>4370.5</v>
      </c>
      <c r="K202" s="21" t="n">
        <v>5098.92</v>
      </c>
      <c r="L202" s="21" t="n">
        <v>5827.34</v>
      </c>
      <c r="M202" s="21" t="n">
        <v>4850</v>
      </c>
    </row>
    <row r="203">
      <c r="A203" s="9" t="inlineStr">
        <is>
          <t>ZOEY</t>
        </is>
      </c>
      <c r="B203" s="9" t="inlineStr">
        <is>
          <t>ZOEY 01/09/2025</t>
        </is>
      </c>
      <c r="C203" s="9" t="inlineStr">
        <is>
          <t>2025-09-01</t>
        </is>
      </c>
      <c r="D203" s="9" t="inlineStr">
        <is>
          <t>68802903720716</t>
        </is>
      </c>
      <c r="E203" s="9" t="inlineStr">
        <is>
          <t>BOLSO LV HAMAC</t>
        </is>
      </c>
      <c r="F203" s="9" t="inlineStr">
        <is>
          <t>30cm de largo x 16cm de alto x 7.5cm de ancho</t>
        </is>
      </c>
      <c r="G203" s="9" t="n">
        <v>3</v>
      </c>
      <c r="H203" s="21" t="n">
        <v>45</v>
      </c>
      <c r="I203" s="21" t="n">
        <v>1130.3</v>
      </c>
      <c r="J203" s="21" t="n">
        <v>3390.91</v>
      </c>
      <c r="K203" s="21" t="n">
        <v>3956.06</v>
      </c>
      <c r="L203" s="21" t="n">
        <v>4521.21</v>
      </c>
      <c r="M203" s="21" t="n">
        <v>3745</v>
      </c>
    </row>
    <row r="204">
      <c r="A204" s="9" t="inlineStr">
        <is>
          <t>ZOEY</t>
        </is>
      </c>
      <c r="B204" s="9" t="inlineStr">
        <is>
          <t>ZOEY 01/09/2025</t>
        </is>
      </c>
      <c r="C204" s="9" t="inlineStr">
        <is>
          <t>2025-09-01</t>
        </is>
      </c>
      <c r="D204" s="9" t="inlineStr">
        <is>
          <t>43728086581452</t>
        </is>
      </c>
      <c r="E204" s="9" t="inlineStr">
        <is>
          <t>BOLSO LV LOCKIT BB</t>
        </is>
      </c>
      <c r="F204" s="9" t="inlineStr">
        <is>
          <t>19cm de largo x 19cm de alto x 7cm de ancho</t>
        </is>
      </c>
      <c r="G204" s="9" t="n">
        <v>3</v>
      </c>
      <c r="H204" s="21" t="n">
        <v>43</v>
      </c>
      <c r="I204" s="21" t="n">
        <v>1080.07</v>
      </c>
      <c r="J204" s="21" t="n">
        <v>3240.2</v>
      </c>
      <c r="K204" s="21" t="n">
        <v>3780.24</v>
      </c>
      <c r="L204" s="21" t="n">
        <v>4320.27</v>
      </c>
      <c r="M204" s="21" t="n">
        <v>3600</v>
      </c>
    </row>
    <row r="205">
      <c r="A205" s="9" t="inlineStr">
        <is>
          <t>ZOEY</t>
        </is>
      </c>
      <c r="B205" s="9" t="inlineStr">
        <is>
          <t>ZOEY 01/09/2025</t>
        </is>
      </c>
      <c r="C205" s="9" t="inlineStr">
        <is>
          <t>2025-09-01</t>
        </is>
      </c>
      <c r="D205" s="9" t="inlineStr">
        <is>
          <t>6701d25048325</t>
        </is>
      </c>
      <c r="E205" s="9" t="inlineStr">
        <is>
          <t>BOLSO LV LOOP</t>
        </is>
      </c>
      <c r="F205" s="9" t="inlineStr">
        <is>
          <t>23.5cm de largo x 21cm de alto x 6cm de ancho</t>
        </is>
      </c>
      <c r="G205" s="9" t="n">
        <v>8</v>
      </c>
      <c r="H205" s="21" t="n">
        <v>45</v>
      </c>
      <c r="I205" s="21" t="n">
        <v>1130.3</v>
      </c>
      <c r="J205" s="21" t="n">
        <v>3390.91</v>
      </c>
      <c r="K205" s="21" t="n">
        <v>3956.06</v>
      </c>
      <c r="L205" s="21" t="n">
        <v>4521.21</v>
      </c>
      <c r="M205" s="21" t="n">
        <v>3750</v>
      </c>
    </row>
    <row r="206">
      <c r="A206" s="9" t="inlineStr">
        <is>
          <t>ZOEY</t>
        </is>
      </c>
      <c r="B206" s="9" t="inlineStr">
        <is>
          <t>ZOEY 01/09/2025</t>
        </is>
      </c>
      <c r="C206" s="9" t="inlineStr">
        <is>
          <t>2025-09-01</t>
        </is>
      </c>
      <c r="D206" s="9" t="inlineStr">
        <is>
          <t>68802901471244</t>
        </is>
      </c>
      <c r="E206" s="9" t="inlineStr">
        <is>
          <t>BOLSO LV MESSENGER</t>
        </is>
      </c>
      <c r="F206" s="9" t="inlineStr">
        <is>
          <t>30cm de largo x 20cm de alto x 10 cm de ancho</t>
        </is>
      </c>
      <c r="G206" s="9" t="n">
        <v>2</v>
      </c>
      <c r="H206" s="21" t="n">
        <v>48</v>
      </c>
      <c r="I206" s="21" t="n">
        <v>1205.66</v>
      </c>
      <c r="J206" s="21" t="n">
        <v>3616.97</v>
      </c>
      <c r="K206" s="21" t="n">
        <v>4219.8</v>
      </c>
      <c r="L206" s="21" t="n">
        <v>4822.63</v>
      </c>
      <c r="M206" s="21" t="n">
        <v>3999</v>
      </c>
    </row>
    <row r="207">
      <c r="A207" s="9" t="inlineStr">
        <is>
          <t>ZOEY</t>
        </is>
      </c>
      <c r="B207" s="9" t="inlineStr">
        <is>
          <t>ZOEY 01/09/2025</t>
        </is>
      </c>
      <c r="C207" s="9" t="inlineStr">
        <is>
          <t>2025-09-01</t>
        </is>
      </c>
      <c r="D207" s="9" t="inlineStr">
        <is>
          <t>43020901133964</t>
        </is>
      </c>
      <c r="E207" s="9" t="inlineStr">
        <is>
          <t>BOLSO LV NEVERFULL</t>
        </is>
      </c>
      <c r="F207" s="9" t="inlineStr">
        <is>
          <t>47cm x 29cm</t>
        </is>
      </c>
      <c r="G207" s="9" t="n">
        <v>10</v>
      </c>
      <c r="H207" s="21" t="n">
        <v>40</v>
      </c>
      <c r="I207" s="21" t="n">
        <v>1004.71</v>
      </c>
      <c r="J207" s="21" t="n">
        <v>3014.14</v>
      </c>
      <c r="K207" s="21" t="n">
        <v>3516.5</v>
      </c>
      <c r="L207" s="21" t="n">
        <v>4018.86</v>
      </c>
      <c r="M207" s="21" t="n">
        <v>3350</v>
      </c>
    </row>
    <row r="208">
      <c r="A208" s="9" t="inlineStr">
        <is>
          <t>ZOEY</t>
        </is>
      </c>
      <c r="B208" s="9" t="inlineStr">
        <is>
          <t>ZOEY 01/09/2025</t>
        </is>
      </c>
      <c r="C208" s="9" t="inlineStr">
        <is>
          <t>2025-09-01</t>
        </is>
      </c>
      <c r="D208" s="9" t="inlineStr">
        <is>
          <t>17872087535244</t>
        </is>
      </c>
      <c r="E208" s="9" t="inlineStr">
        <is>
          <t>BOLSO LW ANAGRAM</t>
        </is>
      </c>
      <c r="F208" s="9" t="inlineStr">
        <is>
          <t>50cm x 26cm x 15cm</t>
        </is>
      </c>
      <c r="G208" s="9" t="n">
        <v>5</v>
      </c>
      <c r="H208" s="21" t="n">
        <v>35</v>
      </c>
      <c r="I208" s="21" t="n">
        <v>879.12</v>
      </c>
      <c r="J208" s="21" t="n">
        <v>2637.37</v>
      </c>
      <c r="K208" s="21" t="n">
        <v>3076.94</v>
      </c>
      <c r="L208" s="21" t="n">
        <v>3516.5</v>
      </c>
      <c r="M208" s="21" t="n">
        <v>3780</v>
      </c>
    </row>
    <row r="209">
      <c r="A209" s="9" t="inlineStr">
        <is>
          <t>ZOEY</t>
        </is>
      </c>
      <c r="B209" s="9" t="inlineStr">
        <is>
          <t>ZOEY 01/09/2025</t>
        </is>
      </c>
      <c r="C209" s="9" t="inlineStr">
        <is>
          <t>2025-09-01</t>
        </is>
      </c>
      <c r="D209" s="9" t="inlineStr">
        <is>
          <t>87893051058957</t>
        </is>
      </c>
      <c r="E209" s="9" t="inlineStr">
        <is>
          <t>BOLSO YSL NUDE</t>
        </is>
      </c>
      <c r="F209" s="9" t="inlineStr"/>
      <c r="G209" s="9" t="n">
        <v>1</v>
      </c>
      <c r="H209" s="21" t="n">
        <v>0</v>
      </c>
      <c r="I209" s="21" t="n">
        <v>0</v>
      </c>
      <c r="J209" s="21" t="n">
        <v>0</v>
      </c>
      <c r="K209" s="21" t="n">
        <v>0</v>
      </c>
      <c r="L209" s="21" t="n">
        <v>0</v>
      </c>
      <c r="M209" s="21" t="n">
        <v>4350</v>
      </c>
    </row>
    <row r="210">
      <c r="A210" s="9" t="inlineStr">
        <is>
          <t>ZOEY</t>
        </is>
      </c>
      <c r="B210" s="9" t="inlineStr">
        <is>
          <t>ZOEY 01/09/2025</t>
        </is>
      </c>
      <c r="C210" s="9" t="inlineStr">
        <is>
          <t>2025-09-01</t>
        </is>
      </c>
      <c r="D210" s="9" t="inlineStr">
        <is>
          <t>679bf1982d8ea</t>
        </is>
      </c>
      <c r="E210" s="9" t="inlineStr">
        <is>
          <t>CALCETIN A WHITE</t>
        </is>
      </c>
      <c r="F210" s="9" t="inlineStr">
        <is>
          <t>Default Title</t>
        </is>
      </c>
      <c r="G210" s="9" t="n">
        <v>2</v>
      </c>
      <c r="H210" s="21" t="n">
        <v>5</v>
      </c>
      <c r="I210" s="21" t="n">
        <v>125.59</v>
      </c>
      <c r="J210" s="21" t="n">
        <v>376.77</v>
      </c>
      <c r="K210" s="21" t="n">
        <v>439.56</v>
      </c>
      <c r="L210" s="21" t="n">
        <v>502.36</v>
      </c>
      <c r="M210" s="21" t="n">
        <v>455</v>
      </c>
    </row>
    <row r="211">
      <c r="A211" s="9" t="inlineStr">
        <is>
          <t>ZOEY</t>
        </is>
      </c>
      <c r="B211" s="9" t="inlineStr">
        <is>
          <t>ZOEY 01/09/2025</t>
        </is>
      </c>
      <c r="C211" s="9" t="inlineStr">
        <is>
          <t>2025-09-01</t>
        </is>
      </c>
      <c r="D211" s="9" t="inlineStr">
        <is>
          <t>94758097365260</t>
        </is>
      </c>
      <c r="E211" s="9" t="inlineStr">
        <is>
          <t>CARTERA G SAINT-MARC GREY</t>
        </is>
      </c>
      <c r="F211" s="9" t="inlineStr">
        <is>
          <t>11cm x 8cm</t>
        </is>
      </c>
      <c r="G211" s="9" t="n">
        <v>6</v>
      </c>
      <c r="H211" s="21" t="n">
        <v>15</v>
      </c>
      <c r="I211" s="21" t="n">
        <v>376.77</v>
      </c>
      <c r="J211" s="21" t="n">
        <v>1130.3</v>
      </c>
      <c r="K211" s="21" t="n">
        <v>1318.69</v>
      </c>
      <c r="L211" s="21" t="n">
        <v>1507.07</v>
      </c>
      <c r="M211" s="21" t="n">
        <v>1599</v>
      </c>
    </row>
    <row r="212">
      <c r="A212" s="9" t="inlineStr">
        <is>
          <t>ZOEY</t>
        </is>
      </c>
      <c r="B212" s="9" t="inlineStr">
        <is>
          <t>ZOEY 01/09/2025</t>
        </is>
      </c>
      <c r="C212" s="9" t="inlineStr">
        <is>
          <t>2025-09-01</t>
        </is>
      </c>
      <c r="D212" s="9" t="inlineStr">
        <is>
          <t>43728085897228</t>
        </is>
      </c>
      <c r="E212" s="9" t="inlineStr">
        <is>
          <t>CARTERA GC OPHIDIA</t>
        </is>
      </c>
      <c r="F212" s="9" t="inlineStr">
        <is>
          <t>12cm de largo x 10cm de alto</t>
        </is>
      </c>
      <c r="G212" s="9" t="n">
        <v>3</v>
      </c>
      <c r="H212" s="21" t="n">
        <v>18</v>
      </c>
      <c r="I212" s="21" t="n">
        <v>452.12</v>
      </c>
      <c r="J212" s="21" t="n">
        <v>1356.36</v>
      </c>
      <c r="K212" s="21" t="n">
        <v>1582.42</v>
      </c>
      <c r="L212" s="21" t="n">
        <v>1808.48</v>
      </c>
      <c r="M212" s="21" t="n">
        <v>1500</v>
      </c>
    </row>
    <row r="213">
      <c r="A213" s="9" t="inlineStr">
        <is>
          <t>ZOEY</t>
        </is>
      </c>
      <c r="B213" s="9" t="inlineStr">
        <is>
          <t>ZOEY 01/09/2025</t>
        </is>
      </c>
      <c r="C213" s="9" t="inlineStr">
        <is>
          <t>2025-09-01</t>
        </is>
      </c>
      <c r="D213" s="9" t="inlineStr">
        <is>
          <t>67319253498892</t>
        </is>
      </c>
      <c r="E213" s="9" t="inlineStr">
        <is>
          <t>COLLAR CD REVOLUTION</t>
        </is>
      </c>
      <c r="F213" s="9" t="inlineStr">
        <is>
          <t>41cm con 6cm de extensi√≥n</t>
        </is>
      </c>
      <c r="G213" s="9" t="n">
        <v>10</v>
      </c>
      <c r="H213" s="21" t="n">
        <v>8</v>
      </c>
      <c r="I213" s="21" t="n">
        <v>200.94</v>
      </c>
      <c r="J213" s="21" t="n">
        <v>602.83</v>
      </c>
      <c r="K213" s="21" t="n">
        <v>703.3</v>
      </c>
      <c r="L213" s="21" t="n">
        <v>803.77</v>
      </c>
      <c r="M213" s="21" t="n">
        <v>899</v>
      </c>
    </row>
    <row r="214">
      <c r="A214" s="9" t="inlineStr">
        <is>
          <t>ZOEY</t>
        </is>
      </c>
      <c r="B214" s="9" t="inlineStr">
        <is>
          <t>ZOEY 01/09/2025</t>
        </is>
      </c>
      <c r="C214" s="9" t="inlineStr">
        <is>
          <t>2025-09-01</t>
        </is>
      </c>
      <c r="D214" s="9" t="inlineStr">
        <is>
          <t>46022281088705</t>
        </is>
      </c>
      <c r="E214" s="9" t="inlineStr">
        <is>
          <t>COLLAR CORAZON SILVER</t>
        </is>
      </c>
      <c r="F214" s="9" t="inlineStr">
        <is>
          <t>titanio 45cm / dije 1cm</t>
        </is>
      </c>
      <c r="G214" s="9" t="n">
        <v>2</v>
      </c>
      <c r="H214" s="21" t="n">
        <v>9</v>
      </c>
      <c r="I214" s="21" t="n">
        <v>226.06</v>
      </c>
      <c r="J214" s="21" t="n">
        <v>678.1799999999999</v>
      </c>
      <c r="K214" s="21" t="n">
        <v>791.21</v>
      </c>
      <c r="L214" s="21" t="n">
        <v>904.24</v>
      </c>
      <c r="M214" s="21" t="n"/>
    </row>
    <row r="215">
      <c r="A215" s="9" t="inlineStr">
        <is>
          <t>ZOEY</t>
        </is>
      </c>
      <c r="B215" s="9" t="inlineStr">
        <is>
          <t>ZOEY 01/09/2025</t>
        </is>
      </c>
      <c r="C215" s="9" t="inlineStr">
        <is>
          <t>2025-09-01</t>
        </is>
      </c>
      <c r="D215" s="9" t="inlineStr">
        <is>
          <t>22154981086081</t>
        </is>
      </c>
      <c r="E215" s="9" t="inlineStr">
        <is>
          <t>COLLAR DOBLE PLACA - GOLD PINK</t>
        </is>
      </c>
      <c r="F215" s="9" t="inlineStr">
        <is>
          <t>44.5cm</t>
        </is>
      </c>
      <c r="G215" s="9" t="n">
        <v>10</v>
      </c>
      <c r="H215" s="21" t="n">
        <v>9</v>
      </c>
      <c r="I215" s="21" t="n">
        <v>226.06</v>
      </c>
      <c r="J215" s="21" t="n">
        <v>678.1799999999999</v>
      </c>
      <c r="K215" s="21" t="n">
        <v>791.21</v>
      </c>
      <c r="L215" s="21" t="n">
        <v>904.24</v>
      </c>
      <c r="M215" s="21" t="n">
        <v>750</v>
      </c>
    </row>
    <row r="216">
      <c r="A216" s="9" t="inlineStr">
        <is>
          <t>ZOEY</t>
        </is>
      </c>
      <c r="B216" s="9" t="inlineStr">
        <is>
          <t>ZOEY 01/09/2025</t>
        </is>
      </c>
      <c r="C216" s="9" t="inlineStr">
        <is>
          <t>2025-09-01</t>
        </is>
      </c>
      <c r="D216" s="9" t="inlineStr">
        <is>
          <t>25156441068705</t>
        </is>
      </c>
      <c r="E216" s="9" t="inlineStr">
        <is>
          <t>COLLAR DOBLE PLACA-GOLD TURQUESA</t>
        </is>
      </c>
      <c r="F216" s="9" t="inlineStr">
        <is>
          <t>44.5cm</t>
        </is>
      </c>
      <c r="G216" s="9" t="n">
        <v>10</v>
      </c>
      <c r="H216" s="21" t="n">
        <v>9</v>
      </c>
      <c r="I216" s="21" t="n">
        <v>226.06</v>
      </c>
      <c r="J216" s="21" t="n">
        <v>678.1799999999999</v>
      </c>
      <c r="K216" s="21" t="n">
        <v>791.21</v>
      </c>
      <c r="L216" s="21" t="n">
        <v>904.24</v>
      </c>
      <c r="M216" s="21" t="n">
        <v>750</v>
      </c>
    </row>
    <row r="217">
      <c r="A217" s="9" t="inlineStr">
        <is>
          <t>ZOEY</t>
        </is>
      </c>
      <c r="B217" s="9" t="inlineStr">
        <is>
          <t>ZOEY 01/09/2025</t>
        </is>
      </c>
      <c r="C217" s="9" t="inlineStr">
        <is>
          <t>2025-09-01</t>
        </is>
      </c>
      <c r="D217" s="9" t="inlineStr">
        <is>
          <t>78326321018849</t>
        </is>
      </c>
      <c r="E217" s="9" t="inlineStr">
        <is>
          <t>COLLAR LOVESTRUCK</t>
        </is>
      </c>
      <c r="F217" s="9" t="inlineStr">
        <is>
          <t>43CM</t>
        </is>
      </c>
      <c r="G217" s="9" t="n">
        <v>5</v>
      </c>
      <c r="H217" s="21" t="n">
        <v>9</v>
      </c>
      <c r="I217" s="21" t="n">
        <v>226.06</v>
      </c>
      <c r="J217" s="21" t="n">
        <v>678.1799999999999</v>
      </c>
      <c r="K217" s="21" t="n">
        <v>791.21</v>
      </c>
      <c r="L217" s="21" t="n">
        <v>904.24</v>
      </c>
      <c r="M217" s="21" t="n">
        <v>748.25</v>
      </c>
    </row>
    <row r="218">
      <c r="A218" s="9" t="inlineStr">
        <is>
          <t>ZOEY</t>
        </is>
      </c>
      <c r="B218" s="9" t="inlineStr">
        <is>
          <t>ZOEY 01/09/2025</t>
        </is>
      </c>
      <c r="C218" s="9" t="inlineStr">
        <is>
          <t>2025-09-01</t>
        </is>
      </c>
      <c r="D218" s="9" t="inlineStr">
        <is>
          <t>3382867546764</t>
        </is>
      </c>
      <c r="E218" s="9" t="inlineStr">
        <is>
          <t>GORRA C BEIGE</t>
        </is>
      </c>
      <c r="F218" s="9" t="inlineStr">
        <is>
          <t>M (AJUSTABLE</t>
        </is>
      </c>
      <c r="G218" s="9" t="n">
        <v>4</v>
      </c>
      <c r="H218" s="21" t="n">
        <v>18</v>
      </c>
      <c r="I218" s="21" t="n">
        <v>452.12</v>
      </c>
      <c r="J218" s="21" t="n">
        <v>1356.36</v>
      </c>
      <c r="K218" s="21" t="n">
        <v>1582.42</v>
      </c>
      <c r="L218" s="21" t="n">
        <v>1808.48</v>
      </c>
      <c r="M218" s="21" t="n">
        <v>1500</v>
      </c>
    </row>
    <row r="219">
      <c r="A219" s="9" t="inlineStr">
        <is>
          <t>ZOEY</t>
        </is>
      </c>
      <c r="B219" s="9" t="inlineStr">
        <is>
          <t>ZOEY 01/09/2025</t>
        </is>
      </c>
      <c r="C219" s="9" t="inlineStr">
        <is>
          <t>2025-09-01</t>
        </is>
      </c>
      <c r="D219" s="9" t="inlineStr">
        <is>
          <t>98219285835148</t>
        </is>
      </c>
      <c r="E219" s="9" t="inlineStr">
        <is>
          <t>MINI BOLSO LV STEAMER</t>
        </is>
      </c>
      <c r="F219" s="9" t="inlineStr">
        <is>
          <t>17cm de largo x 10cm de alto x 7cm de ancho</t>
        </is>
      </c>
      <c r="G219" s="9" t="n">
        <v>2</v>
      </c>
      <c r="H219" s="21" t="n">
        <v>45</v>
      </c>
      <c r="I219" s="21" t="n">
        <v>1130.3</v>
      </c>
      <c r="J219" s="21" t="n">
        <v>3390.91</v>
      </c>
      <c r="K219" s="21" t="n">
        <v>3956.06</v>
      </c>
      <c r="L219" s="21" t="n">
        <v>4521.21</v>
      </c>
      <c r="M219" s="21" t="n">
        <v>3741</v>
      </c>
    </row>
    <row r="220">
      <c r="A220" s="9" t="inlineStr">
        <is>
          <t>ZOEY</t>
        </is>
      </c>
      <c r="B220" s="9" t="inlineStr">
        <is>
          <t>ZOEY 01/09/2025</t>
        </is>
      </c>
      <c r="C220" s="9" t="inlineStr">
        <is>
          <t>2025-09-01</t>
        </is>
      </c>
      <c r="D220" s="9" t="inlineStr">
        <is>
          <t>77763960600332</t>
        </is>
      </c>
      <c r="E220" s="9" t="inlineStr">
        <is>
          <t>PERFUME BACCARAT</t>
        </is>
      </c>
      <c r="F220" s="9" t="inlineStr">
        <is>
          <t>70ml</t>
        </is>
      </c>
      <c r="G220" s="9" t="n">
        <v>7</v>
      </c>
      <c r="H220" s="21" t="n">
        <v>18</v>
      </c>
      <c r="I220" s="21" t="n">
        <v>452.12</v>
      </c>
      <c r="J220" s="21" t="n">
        <v>1356.36</v>
      </c>
      <c r="K220" s="21" t="n">
        <v>1582.42</v>
      </c>
      <c r="L220" s="21" t="n">
        <v>1808.48</v>
      </c>
      <c r="M220" s="21" t="n">
        <v>1510</v>
      </c>
    </row>
    <row r="221">
      <c r="A221" s="9" t="inlineStr">
        <is>
          <t>ZOEY</t>
        </is>
      </c>
      <c r="B221" s="9" t="inlineStr">
        <is>
          <t>ZOEY 01/09/2025</t>
        </is>
      </c>
      <c r="C221" s="9" t="inlineStr">
        <is>
          <t>2025-09-01</t>
        </is>
      </c>
      <c r="D221" s="9" t="inlineStr">
        <is>
          <t>15711173374893</t>
        </is>
      </c>
      <c r="E221" s="9" t="inlineStr">
        <is>
          <t>PERFUME PARADOXE, EAU DE PARFUM 90ML</t>
        </is>
      </c>
      <c r="F221" s="9" t="inlineStr">
        <is>
          <t>90 ML</t>
        </is>
      </c>
      <c r="G221" s="9" t="n">
        <v>3</v>
      </c>
      <c r="H221" s="21" t="n">
        <v>0</v>
      </c>
      <c r="I221" s="21" t="n">
        <v>0</v>
      </c>
      <c r="J221" s="21" t="n">
        <v>0</v>
      </c>
      <c r="K221" s="21" t="n">
        <v>0</v>
      </c>
      <c r="L221" s="21" t="n">
        <v>0</v>
      </c>
      <c r="M221" s="21" t="n">
        <v>1599</v>
      </c>
    </row>
    <row r="222">
      <c r="A222" s="9" t="inlineStr">
        <is>
          <t>ZOEY</t>
        </is>
      </c>
      <c r="B222" s="9" t="inlineStr">
        <is>
          <t>ZOEY 01/09/2025</t>
        </is>
      </c>
      <c r="C222" s="9" t="inlineStr">
        <is>
          <t>2025-09-01</t>
        </is>
      </c>
      <c r="D222" s="9" t="inlineStr">
        <is>
          <t>77763961743628</t>
        </is>
      </c>
      <c r="E222" s="9" t="inlineStr">
        <is>
          <t>PERFUME SANTAL 33</t>
        </is>
      </c>
      <c r="F222" s="9" t="inlineStr">
        <is>
          <t>100ml</t>
        </is>
      </c>
      <c r="G222" s="9" t="n">
        <v>5</v>
      </c>
      <c r="H222" s="21" t="n">
        <v>18</v>
      </c>
      <c r="I222" s="21" t="n">
        <v>452.12</v>
      </c>
      <c r="J222" s="21" t="n">
        <v>1356.36</v>
      </c>
      <c r="K222" s="21" t="n">
        <v>1582.42</v>
      </c>
      <c r="L222" s="21" t="n">
        <v>1808.48</v>
      </c>
      <c r="M222" s="21" t="n">
        <v>1510</v>
      </c>
    </row>
    <row r="223">
      <c r="A223" s="9" t="inlineStr">
        <is>
          <t>ZOEY</t>
        </is>
      </c>
      <c r="B223" s="9" t="inlineStr">
        <is>
          <t>ZOEY 01/09/2025</t>
        </is>
      </c>
      <c r="C223" s="9" t="inlineStr">
        <is>
          <t>2025-09-01</t>
        </is>
      </c>
      <c r="D223" s="9" t="inlineStr">
        <is>
          <t>48321437841036</t>
        </is>
      </c>
      <c r="E223" s="9" t="inlineStr">
        <is>
          <t>PERFUME SAUVAGE</t>
        </is>
      </c>
      <c r="F223" s="9" t="inlineStr">
        <is>
          <t>100ml</t>
        </is>
      </c>
      <c r="G223" s="9" t="n">
        <v>2</v>
      </c>
      <c r="H223" s="21" t="n">
        <v>18</v>
      </c>
      <c r="I223" s="21" t="n">
        <v>452.12</v>
      </c>
      <c r="J223" s="21" t="n">
        <v>1356.36</v>
      </c>
      <c r="K223" s="21" t="n">
        <v>1582.42</v>
      </c>
      <c r="L223" s="21" t="n">
        <v>1808.48</v>
      </c>
      <c r="M223" s="21" t="n">
        <v>1235</v>
      </c>
    </row>
    <row r="224">
      <c r="A224" s="9" t="inlineStr">
        <is>
          <t>ZOEY</t>
        </is>
      </c>
      <c r="B224" s="9" t="inlineStr">
        <is>
          <t>ZOEY 01/09/2025</t>
        </is>
      </c>
      <c r="C224" s="9" t="inlineStr">
        <is>
          <t>2025-09-01</t>
        </is>
      </c>
      <c r="D224" s="9" t="inlineStr">
        <is>
          <t>15711173480813</t>
        </is>
      </c>
      <c r="E224" s="9" t="inlineStr">
        <is>
          <t>PERFUME TERRE H</t>
        </is>
      </c>
      <c r="F224" s="9" t="inlineStr">
        <is>
          <t>100 ml</t>
        </is>
      </c>
      <c r="G224" s="9" t="n">
        <v>2</v>
      </c>
      <c r="H224" s="21" t="n">
        <v>18</v>
      </c>
      <c r="I224" s="21" t="n">
        <v>452.12</v>
      </c>
      <c r="J224" s="21" t="n">
        <v>1356.36</v>
      </c>
      <c r="K224" s="21" t="n">
        <v>1582.42</v>
      </c>
      <c r="L224" s="21" t="n">
        <v>1808.48</v>
      </c>
      <c r="M224" s="21" t="n">
        <v>1565</v>
      </c>
    </row>
    <row r="225">
      <c r="A225" s="9" t="inlineStr">
        <is>
          <t>ZOEY</t>
        </is>
      </c>
      <c r="B225" s="9" t="inlineStr">
        <is>
          <t>ZOEY 01/09/2025</t>
        </is>
      </c>
      <c r="C225" s="9" t="inlineStr">
        <is>
          <t>2025-09-01</t>
        </is>
      </c>
      <c r="D225" s="9" t="inlineStr">
        <is>
          <t>15711173666157</t>
        </is>
      </c>
      <c r="E225" s="9" t="inlineStr">
        <is>
          <t>PERFUME, DELINA EXCLUSIF EAU DE PARFUM, 75 ML</t>
        </is>
      </c>
      <c r="F225" s="9" t="inlineStr">
        <is>
          <t>75 ml</t>
        </is>
      </c>
      <c r="G225" s="9" t="n">
        <v>1</v>
      </c>
      <c r="H225" s="21" t="n">
        <v>18</v>
      </c>
      <c r="I225" s="21" t="n">
        <v>452.12</v>
      </c>
      <c r="J225" s="21" t="n">
        <v>1356.36</v>
      </c>
      <c r="K225" s="21" t="n">
        <v>1582.42</v>
      </c>
      <c r="L225" s="21" t="n">
        <v>1808.48</v>
      </c>
      <c r="M225" s="21" t="n">
        <v>1599</v>
      </c>
    </row>
    <row r="226">
      <c r="A226" s="9" t="inlineStr">
        <is>
          <t>ZOEY</t>
        </is>
      </c>
      <c r="B226" s="9" t="inlineStr">
        <is>
          <t>ZOEY 01/09/2025</t>
        </is>
      </c>
      <c r="C226" s="9" t="inlineStr">
        <is>
          <t>2025-09-01</t>
        </is>
      </c>
      <c r="D226" s="9" t="inlineStr">
        <is>
          <t>10473111097537</t>
        </is>
      </c>
      <c r="E226" s="9" t="inlineStr">
        <is>
          <t>PULSERA DE CUENTAS ROSEGOLD</t>
        </is>
      </c>
      <c r="F226" s="9" t="inlineStr">
        <is>
          <t>17cm</t>
        </is>
      </c>
      <c r="G226" s="9" t="n">
        <v>4</v>
      </c>
      <c r="H226" s="21" t="n">
        <v>9</v>
      </c>
      <c r="I226" s="21" t="n">
        <v>226.06</v>
      </c>
      <c r="J226" s="21" t="n">
        <v>678.1799999999999</v>
      </c>
      <c r="K226" s="21" t="n">
        <v>791.21</v>
      </c>
      <c r="L226" s="21" t="n">
        <v>904.24</v>
      </c>
      <c r="M226" s="21" t="n">
        <v>750</v>
      </c>
    </row>
    <row r="227">
      <c r="A227" s="9" t="inlineStr">
        <is>
          <t>ZOEY</t>
        </is>
      </c>
      <c r="B227" s="9" t="inlineStr">
        <is>
          <t>ZOEY 01/09/2025</t>
        </is>
      </c>
      <c r="C227" s="9" t="inlineStr">
        <is>
          <t>2025-09-01</t>
        </is>
      </c>
      <c r="D227" s="9" t="inlineStr">
        <is>
          <t>87401991025249</t>
        </is>
      </c>
      <c r="E227" s="9" t="inlineStr">
        <is>
          <t>PULSERA LOVESTRUCK</t>
        </is>
      </c>
      <c r="F227" s="9" t="inlineStr">
        <is>
          <t>16 cm</t>
        </is>
      </c>
      <c r="G227" s="9" t="n">
        <v>5</v>
      </c>
      <c r="H227" s="21" t="n">
        <v>9</v>
      </c>
      <c r="I227" s="21" t="n">
        <v>226.06</v>
      </c>
      <c r="J227" s="21" t="n">
        <v>678.1799999999999</v>
      </c>
      <c r="K227" s="21" t="n">
        <v>791.21</v>
      </c>
      <c r="L227" s="21" t="n">
        <v>904.24</v>
      </c>
      <c r="M227" s="21" t="n">
        <v>850</v>
      </c>
    </row>
    <row r="228">
      <c r="A228" s="9" t="inlineStr">
        <is>
          <t>ZOEY</t>
        </is>
      </c>
      <c r="B228" s="9" t="inlineStr">
        <is>
          <t>ZOEY 01/09/2025</t>
        </is>
      </c>
      <c r="C228" s="9" t="inlineStr">
        <is>
          <t>2025-09-01</t>
        </is>
      </c>
      <c r="D228" s="9" t="inlineStr">
        <is>
          <t>62328733504652</t>
        </is>
      </c>
      <c r="E228" s="9" t="inlineStr">
        <is>
          <t>PULSERAS CD PETIT</t>
        </is>
      </c>
      <c r="F228" s="9" t="inlineStr">
        <is>
          <t>16cm con 5cm de extensi√≥n</t>
        </is>
      </c>
      <c r="G228" s="9" t="n">
        <v>3</v>
      </c>
      <c r="H228" s="21" t="n">
        <v>7</v>
      </c>
      <c r="I228" s="21" t="n">
        <v>175.82</v>
      </c>
      <c r="J228" s="21" t="n">
        <v>527.47</v>
      </c>
      <c r="K228" s="21" t="n">
        <v>615.39</v>
      </c>
      <c r="L228" s="21" t="n">
        <v>703.3</v>
      </c>
      <c r="M228" s="21" t="n">
        <v>760</v>
      </c>
    </row>
    <row r="229">
      <c r="A229" s="9" t="inlineStr">
        <is>
          <t>ZOEY</t>
        </is>
      </c>
      <c r="B229" s="9" t="inlineStr">
        <is>
          <t>ZOEY 01/09/2025</t>
        </is>
      </c>
      <c r="C229" s="9" t="inlineStr">
        <is>
          <t>2025-09-01</t>
        </is>
      </c>
      <c r="D229" s="9" t="inlineStr">
        <is>
          <t>679be1fa82b97</t>
        </is>
      </c>
      <c r="E229" s="9" t="inlineStr">
        <is>
          <t>RELOJ C SANTOS BLACK</t>
        </is>
      </c>
      <c r="F229" s="9" t="inlineStr">
        <is>
          <t>Default Title</t>
        </is>
      </c>
      <c r="G229" s="9" t="n">
        <v>6</v>
      </c>
      <c r="H229" s="21" t="n">
        <v>35</v>
      </c>
      <c r="I229" s="21" t="n">
        <v>879.12</v>
      </c>
      <c r="J229" s="21" t="n">
        <v>2637.37</v>
      </c>
      <c r="K229" s="21" t="n">
        <v>3076.94</v>
      </c>
      <c r="L229" s="21" t="n">
        <v>3516.5</v>
      </c>
      <c r="M229" s="21" t="n">
        <v>3899</v>
      </c>
    </row>
    <row r="230">
      <c r="A230" s="9" t="inlineStr">
        <is>
          <t>ZOEY</t>
        </is>
      </c>
      <c r="B230" s="9" t="inlineStr">
        <is>
          <t>ZOEY 01/09/2025</t>
        </is>
      </c>
      <c r="C230" s="9" t="inlineStr">
        <is>
          <t>2025-09-01</t>
        </is>
      </c>
      <c r="D230" s="9" t="inlineStr">
        <is>
          <t>67535d2d7860a</t>
        </is>
      </c>
      <c r="E230" s="9" t="inlineStr">
        <is>
          <t>RELOJ PANTHERE GOLD SILVER</t>
        </is>
      </c>
      <c r="F230" s="9" t="inlineStr">
        <is>
          <t>Default Title</t>
        </is>
      </c>
      <c r="G230" s="9" t="n">
        <v>3</v>
      </c>
      <c r="H230" s="21" t="n">
        <v>58</v>
      </c>
      <c r="I230" s="21" t="n">
        <v>1456.83</v>
      </c>
      <c r="J230" s="21" t="n">
        <v>4370.5</v>
      </c>
      <c r="K230" s="21" t="n">
        <v>5098.92</v>
      </c>
      <c r="L230" s="21" t="n">
        <v>5827.34</v>
      </c>
      <c r="M230" s="21" t="n"/>
    </row>
    <row r="231">
      <c r="A231" s="9" t="inlineStr">
        <is>
          <t>ZOEY</t>
        </is>
      </c>
      <c r="B231" s="9" t="inlineStr">
        <is>
          <t>ZOEY 01/09/2025</t>
        </is>
      </c>
      <c r="C231" s="9" t="inlineStr">
        <is>
          <t>2025-09-01</t>
        </is>
      </c>
      <c r="D231" s="9" t="inlineStr">
        <is>
          <t>47030502675980</t>
        </is>
      </c>
      <c r="E231" s="9" t="inlineStr">
        <is>
          <t>RELOJ PANTHERE SILVER</t>
        </is>
      </c>
      <c r="F231" s="9" t="inlineStr">
        <is>
          <t>SIN CAJA</t>
        </is>
      </c>
      <c r="G231" s="9" t="n">
        <v>1</v>
      </c>
      <c r="H231" s="21" t="n">
        <v>0</v>
      </c>
      <c r="I231" s="21" t="n">
        <v>0</v>
      </c>
      <c r="J231" s="21" t="n">
        <v>0</v>
      </c>
      <c r="K231" s="21" t="n">
        <v>0</v>
      </c>
      <c r="L231" s="21" t="n">
        <v>0</v>
      </c>
      <c r="M231" s="21" t="n">
        <v>4250</v>
      </c>
    </row>
    <row r="232">
      <c r="A232" s="9" t="inlineStr">
        <is>
          <t>ZOEY</t>
        </is>
      </c>
      <c r="B232" s="9" t="inlineStr">
        <is>
          <t>ZOEY 01/09/2025</t>
        </is>
      </c>
      <c r="C232" s="9" t="inlineStr">
        <is>
          <t>2025-09-01</t>
        </is>
      </c>
      <c r="D232" s="9" t="inlineStr">
        <is>
          <t>679be1fb57d7e</t>
        </is>
      </c>
      <c r="E232" s="9" t="inlineStr">
        <is>
          <t>RELOJ RX DAY DATE ROSEGOLD</t>
        </is>
      </c>
      <c r="F232" s="9" t="inlineStr">
        <is>
          <t>Default Title</t>
        </is>
      </c>
      <c r="G232" s="9" t="n">
        <v>5</v>
      </c>
      <c r="H232" s="21" t="n">
        <v>48</v>
      </c>
      <c r="I232" s="21" t="n">
        <v>1205.66</v>
      </c>
      <c r="J232" s="21" t="n">
        <v>3616.97</v>
      </c>
      <c r="K232" s="21" t="n">
        <v>4219.8</v>
      </c>
      <c r="L232" s="21" t="n">
        <v>4822.63</v>
      </c>
      <c r="M232" s="21" t="n"/>
    </row>
    <row r="233">
      <c r="A233" s="9" t="inlineStr">
        <is>
          <t>ZOEY</t>
        </is>
      </c>
      <c r="B233" s="9" t="inlineStr">
        <is>
          <t>ZOEY 01/09/2025</t>
        </is>
      </c>
      <c r="C233" s="9" t="inlineStr">
        <is>
          <t>2025-09-01</t>
        </is>
      </c>
      <c r="D233" s="9" t="inlineStr">
        <is>
          <t>677c26b553b3f</t>
        </is>
      </c>
      <c r="E233" s="9" t="inlineStr">
        <is>
          <t>RELOJ RX OYSTER PERPETUAL BLACK</t>
        </is>
      </c>
      <c r="F233" s="9" t="inlineStr">
        <is>
          <t>Default Title</t>
        </is>
      </c>
      <c r="G233" s="9" t="n">
        <v>3</v>
      </c>
      <c r="H233" s="21" t="n">
        <v>42</v>
      </c>
      <c r="I233" s="21" t="n">
        <v>1054.95</v>
      </c>
      <c r="J233" s="21" t="n">
        <v>3164.85</v>
      </c>
      <c r="K233" s="21" t="n">
        <v>3692.32</v>
      </c>
      <c r="L233" s="21" t="n">
        <v>4219.8</v>
      </c>
      <c r="M233" s="21" t="n"/>
    </row>
    <row r="234">
      <c r="A234" s="9" t="inlineStr">
        <is>
          <t>ZOEY</t>
        </is>
      </c>
      <c r="B234" s="9" t="inlineStr">
        <is>
          <t>ZOEY 01/09/2025</t>
        </is>
      </c>
      <c r="C234" s="9" t="inlineStr">
        <is>
          <t>2025-09-01</t>
        </is>
      </c>
      <c r="D234" s="9" t="inlineStr">
        <is>
          <t>677c26b553b3f</t>
        </is>
      </c>
      <c r="E234" s="9" t="inlineStr">
        <is>
          <t>RELOJ RX OYSTER PERPETUAL BLACK</t>
        </is>
      </c>
      <c r="F234" s="9" t="inlineStr">
        <is>
          <t>Default Title</t>
        </is>
      </c>
      <c r="G234" s="9" t="n">
        <v>1</v>
      </c>
      <c r="H234" s="21" t="n">
        <v>0</v>
      </c>
      <c r="I234" s="21" t="n">
        <v>0</v>
      </c>
      <c r="J234" s="21" t="n">
        <v>0</v>
      </c>
      <c r="K234" s="21" t="n">
        <v>0</v>
      </c>
      <c r="L234" s="21" t="n">
        <v>0</v>
      </c>
      <c r="M234" s="21" t="n"/>
    </row>
    <row r="235">
      <c r="A235" s="9" t="inlineStr">
        <is>
          <t>ZOEY</t>
        </is>
      </c>
      <c r="B235" s="9" t="inlineStr">
        <is>
          <t>ZOEY 01/09/2025</t>
        </is>
      </c>
      <c r="C235" s="9" t="inlineStr">
        <is>
          <t>2025-09-01</t>
        </is>
      </c>
      <c r="D235" s="9" t="inlineStr">
        <is>
          <t>71264750638476</t>
        </is>
      </c>
      <c r="E235" s="9" t="inlineStr">
        <is>
          <t>RELOJ RX OYSTER PERPETUAL GREEN</t>
        </is>
      </c>
      <c r="F235" s="9" t="inlineStr">
        <is>
          <t>CON CAJA</t>
        </is>
      </c>
      <c r="G235" s="9" t="n">
        <v>5</v>
      </c>
      <c r="H235" s="21" t="n">
        <v>42</v>
      </c>
      <c r="I235" s="21" t="n">
        <v>1054.95</v>
      </c>
      <c r="J235" s="21" t="n">
        <v>3164.85</v>
      </c>
      <c r="K235" s="21" t="n">
        <v>3692.32</v>
      </c>
      <c r="L235" s="21" t="n">
        <v>4219.8</v>
      </c>
      <c r="M235" s="21" t="n">
        <v>4720</v>
      </c>
    </row>
    <row r="236">
      <c r="A236" s="9" t="inlineStr">
        <is>
          <t>ZOEY</t>
        </is>
      </c>
      <c r="B236" s="9" t="inlineStr">
        <is>
          <t>ZOEY 01/09/2025</t>
        </is>
      </c>
      <c r="C236" s="9" t="inlineStr">
        <is>
          <t>2025-09-01</t>
        </is>
      </c>
      <c r="D236" s="9" t="inlineStr">
        <is>
          <t>71264750638476</t>
        </is>
      </c>
      <c r="E236" s="9" t="inlineStr">
        <is>
          <t>RELOJ RX OYSTER PERPETUAL GREEN</t>
        </is>
      </c>
      <c r="F236" s="9" t="inlineStr">
        <is>
          <t>SIN CAJA</t>
        </is>
      </c>
      <c r="G236" s="9" t="n">
        <v>1</v>
      </c>
      <c r="H236" s="21" t="n">
        <v>0</v>
      </c>
      <c r="I236" s="21" t="n">
        <v>0</v>
      </c>
      <c r="J236" s="21" t="n">
        <v>0</v>
      </c>
      <c r="K236" s="21" t="n">
        <v>0</v>
      </c>
      <c r="L236" s="21" t="n">
        <v>0</v>
      </c>
      <c r="M236" s="21" t="n">
        <v>4720</v>
      </c>
    </row>
    <row r="237">
      <c r="A237" s="9" t="inlineStr">
        <is>
          <t>ZOEY</t>
        </is>
      </c>
      <c r="B237" s="9" t="inlineStr">
        <is>
          <t>ZOEY 01/09/2025</t>
        </is>
      </c>
      <c r="C237" s="9" t="inlineStr">
        <is>
          <t>2025-09-01</t>
        </is>
      </c>
      <c r="D237" s="9" t="inlineStr">
        <is>
          <t>10427542282892</t>
        </is>
      </c>
      <c r="E237" s="9" t="inlineStr">
        <is>
          <t>RELOJ SANTOS SILVER</t>
        </is>
      </c>
      <c r="F237" s="9" t="inlineStr">
        <is>
          <t>Default Title</t>
        </is>
      </c>
      <c r="G237" s="9" t="n">
        <v>2</v>
      </c>
      <c r="H237" s="21" t="n">
        <v>68</v>
      </c>
      <c r="I237" s="21" t="n">
        <v>1708.01</v>
      </c>
      <c r="J237" s="21" t="n">
        <v>5124.04</v>
      </c>
      <c r="K237" s="21" t="n">
        <v>5978.05</v>
      </c>
      <c r="L237" s="21" t="n">
        <v>6832.05</v>
      </c>
      <c r="M237" s="21" t="n">
        <v>5650</v>
      </c>
    </row>
    <row r="238">
      <c r="A238" s="9" t="inlineStr">
        <is>
          <t>ZOEY</t>
        </is>
      </c>
      <c r="B238" s="9" t="inlineStr">
        <is>
          <t>ZOEY 01/09/2025</t>
        </is>
      </c>
      <c r="C238" s="9" t="inlineStr">
        <is>
          <t>2025-09-01</t>
        </is>
      </c>
      <c r="D238" s="9" t="inlineStr">
        <is>
          <t>67535d35b8818</t>
        </is>
      </c>
      <c r="E238" s="9" t="inlineStr">
        <is>
          <t>RELOJ SERPENTI SEDUTTORI</t>
        </is>
      </c>
      <c r="F238" s="9" t="inlineStr">
        <is>
          <t>SIN CAJA</t>
        </is>
      </c>
      <c r="G238" s="9" t="n">
        <v>1</v>
      </c>
      <c r="H238" s="21" t="n">
        <v>0</v>
      </c>
      <c r="I238" s="21" t="n">
        <v>0</v>
      </c>
      <c r="J238" s="21" t="n">
        <v>0</v>
      </c>
      <c r="K238" s="21" t="n">
        <v>0</v>
      </c>
      <c r="L238" s="21" t="n">
        <v>0</v>
      </c>
      <c r="M238" s="21" t="n">
        <v>4999</v>
      </c>
    </row>
    <row r="239">
      <c r="A239" s="9" t="inlineStr">
        <is>
          <t>ZOEY</t>
        </is>
      </c>
      <c r="B239" s="9" t="inlineStr">
        <is>
          <t>ZOEY 01/09/2025</t>
        </is>
      </c>
      <c r="C239" s="9" t="inlineStr">
        <is>
          <t>2025-09-01</t>
        </is>
      </c>
      <c r="D239" s="9" t="inlineStr">
        <is>
          <t>42834310172300</t>
        </is>
      </c>
      <c r="E239" s="9" t="inlineStr">
        <is>
          <t>SANDALIAS CD MULE</t>
        </is>
      </c>
      <c r="F239" s="9" t="inlineStr">
        <is>
          <t>23cm</t>
        </is>
      </c>
      <c r="G239" s="9" t="n">
        <v>2</v>
      </c>
      <c r="H239" s="21" t="n">
        <v>35</v>
      </c>
      <c r="I239" s="21" t="n">
        <v>879.12</v>
      </c>
      <c r="J239" s="21" t="n">
        <v>2637.37</v>
      </c>
      <c r="K239" s="21" t="n">
        <v>3076.94</v>
      </c>
      <c r="L239" s="21" t="n">
        <v>3516.5</v>
      </c>
      <c r="M239" s="21" t="n">
        <v>3200</v>
      </c>
    </row>
    <row r="240">
      <c r="A240" s="9" t="inlineStr">
        <is>
          <t>ZOEY</t>
        </is>
      </c>
      <c r="B240" s="9" t="inlineStr">
        <is>
          <t>ZOEY 01/09/2025</t>
        </is>
      </c>
      <c r="C240" s="9" t="inlineStr">
        <is>
          <t>2025-09-01</t>
        </is>
      </c>
      <c r="D240" s="9" t="inlineStr">
        <is>
          <t>42834319871628</t>
        </is>
      </c>
      <c r="E240" s="9" t="inlineStr">
        <is>
          <t>SANDALIAS DG</t>
        </is>
      </c>
      <c r="F240" s="9" t="inlineStr">
        <is>
          <t>27cm</t>
        </is>
      </c>
      <c r="G240" s="9" t="n">
        <v>1</v>
      </c>
      <c r="H240" s="21" t="n">
        <v>40</v>
      </c>
      <c r="I240" s="21" t="n">
        <v>1004.71</v>
      </c>
      <c r="J240" s="21" t="n">
        <v>3014.14</v>
      </c>
      <c r="K240" s="21" t="n">
        <v>3516.5</v>
      </c>
      <c r="L240" s="21" t="n">
        <v>4018.86</v>
      </c>
      <c r="M240" s="21" t="n">
        <v>2999</v>
      </c>
    </row>
    <row r="241">
      <c r="A241" s="9" t="inlineStr">
        <is>
          <t>ZOEY</t>
        </is>
      </c>
      <c r="B241" s="9" t="inlineStr">
        <is>
          <t>ZOEY 01/09/2025</t>
        </is>
      </c>
      <c r="C241" s="9" t="inlineStr">
        <is>
          <t>2025-09-01</t>
        </is>
      </c>
      <c r="D241" s="9" t="inlineStr">
        <is>
          <t>42834319904396</t>
        </is>
      </c>
      <c r="E241" s="9" t="inlineStr">
        <is>
          <t>SANDALIAS DG</t>
        </is>
      </c>
      <c r="F241" s="9" t="inlineStr">
        <is>
          <t>28cm</t>
        </is>
      </c>
      <c r="G241" s="9" t="n">
        <v>1</v>
      </c>
      <c r="H241" s="21" t="n">
        <v>40</v>
      </c>
      <c r="I241" s="21" t="n">
        <v>1004.71</v>
      </c>
      <c r="J241" s="21" t="n">
        <v>3014.14</v>
      </c>
      <c r="K241" s="21" t="n">
        <v>3516.5</v>
      </c>
      <c r="L241" s="21" t="n">
        <v>4018.86</v>
      </c>
      <c r="M241" s="21" t="n">
        <v>2999</v>
      </c>
    </row>
    <row r="242">
      <c r="A242" s="9" t="inlineStr">
        <is>
          <t>ZOEY</t>
        </is>
      </c>
      <c r="B242" s="9" t="inlineStr">
        <is>
          <t>ZOEY 01/09/2025</t>
        </is>
      </c>
      <c r="C242" s="9" t="inlineStr">
        <is>
          <t>2025-09-01</t>
        </is>
      </c>
      <c r="D242" s="9" t="inlineStr">
        <is>
          <t>43728084854796</t>
        </is>
      </c>
      <c r="E242" s="9" t="inlineStr">
        <is>
          <t>SUETER YSL</t>
        </is>
      </c>
      <c r="F242" s="9" t="inlineStr">
        <is>
          <t>M</t>
        </is>
      </c>
      <c r="G242" s="9" t="n">
        <v>2</v>
      </c>
      <c r="H242" s="21" t="n">
        <v>38</v>
      </c>
      <c r="I242" s="21" t="n">
        <v>954.48</v>
      </c>
      <c r="J242" s="21" t="n">
        <v>2863.43</v>
      </c>
      <c r="K242" s="21" t="n">
        <v>3340.67</v>
      </c>
      <c r="L242" s="21" t="n">
        <v>3817.91</v>
      </c>
      <c r="M242" s="21" t="n">
        <v>2832</v>
      </c>
    </row>
    <row r="243">
      <c r="A243" s="9" t="inlineStr">
        <is>
          <t>ZOEY</t>
        </is>
      </c>
      <c r="B243" s="9" t="inlineStr">
        <is>
          <t>ZOEY 01/09/2025</t>
        </is>
      </c>
      <c r="C243" s="9" t="inlineStr">
        <is>
          <t>2025-09-01</t>
        </is>
      </c>
      <c r="D243" s="9" t="inlineStr">
        <is>
          <t>679be97ded7a3</t>
        </is>
      </c>
      <c r="E243" s="9" t="inlineStr">
        <is>
          <t>SU√âTER DE BOT√ìN YSL</t>
        </is>
      </c>
      <c r="F243" s="9" t="inlineStr">
        <is>
          <t>S</t>
        </is>
      </c>
      <c r="G243" s="9" t="n">
        <v>2</v>
      </c>
      <c r="H243" s="21" t="n">
        <v>0</v>
      </c>
      <c r="I243" s="21" t="n">
        <v>0</v>
      </c>
      <c r="J243" s="21" t="n">
        <v>0</v>
      </c>
      <c r="K243" s="21" t="n">
        <v>0</v>
      </c>
      <c r="L243" s="21" t="n">
        <v>0</v>
      </c>
      <c r="M243" s="21" t="n">
        <v>2832.1</v>
      </c>
    </row>
    <row r="244">
      <c r="A244" s="9" t="inlineStr">
        <is>
          <t>ZOEY</t>
        </is>
      </c>
      <c r="B244" s="9" t="inlineStr">
        <is>
          <t>ZOEY 01/09/2025</t>
        </is>
      </c>
      <c r="C244" s="9" t="inlineStr">
        <is>
          <t>2025-09-01</t>
        </is>
      </c>
      <c r="D244" s="9" t="inlineStr">
        <is>
          <t>679be97d4c737</t>
        </is>
      </c>
      <c r="E244" s="9" t="inlineStr">
        <is>
          <t>SU√âTER DE BOT√ìN YSL</t>
        </is>
      </c>
      <c r="F244" s="9" t="inlineStr">
        <is>
          <t>M</t>
        </is>
      </c>
      <c r="G244" s="9" t="n">
        <v>2</v>
      </c>
      <c r="H244" s="21" t="n">
        <v>0</v>
      </c>
      <c r="I244" s="21" t="n">
        <v>0</v>
      </c>
      <c r="J244" s="21" t="n">
        <v>0</v>
      </c>
      <c r="K244" s="21" t="n">
        <v>0</v>
      </c>
      <c r="L244" s="21" t="n">
        <v>0</v>
      </c>
      <c r="M244" s="21" t="n">
        <v>2832.1</v>
      </c>
    </row>
    <row r="245">
      <c r="A245" s="9" t="inlineStr">
        <is>
          <t>ZOEY</t>
        </is>
      </c>
      <c r="B245" s="9" t="inlineStr">
        <is>
          <t>ZOEY 01/09/2025</t>
        </is>
      </c>
      <c r="C245" s="9" t="inlineStr">
        <is>
          <t>2025-09-01</t>
        </is>
      </c>
      <c r="D245" s="9" t="inlineStr">
        <is>
          <t>47754352942988</t>
        </is>
      </c>
      <c r="E245" s="9" t="inlineStr">
        <is>
          <t>TARJETERO CD FREESIA</t>
        </is>
      </c>
      <c r="F245" s="9" t="inlineStr">
        <is>
          <t>10cm x 7.5cm</t>
        </is>
      </c>
      <c r="G245" s="9" t="n">
        <v>3</v>
      </c>
      <c r="H245" s="21" t="n">
        <v>13</v>
      </c>
      <c r="I245" s="21" t="n">
        <v>326.53</v>
      </c>
      <c r="J245" s="21" t="n">
        <v>979.6</v>
      </c>
      <c r="K245" s="21" t="n">
        <v>1142.86</v>
      </c>
      <c r="L245" s="21" t="n">
        <v>1306.13</v>
      </c>
      <c r="M245" s="21" t="n">
        <v>1199</v>
      </c>
    </row>
    <row r="246">
      <c r="A246" s="9" t="inlineStr">
        <is>
          <t>ZOEY</t>
        </is>
      </c>
      <c r="B246" s="9" t="inlineStr">
        <is>
          <t>ZOEY 01/09/2025</t>
        </is>
      </c>
      <c r="C246" s="9" t="inlineStr">
        <is>
          <t>2025-09-01</t>
        </is>
      </c>
      <c r="D246" s="9" t="inlineStr">
        <is>
          <t>6737d91d66417</t>
        </is>
      </c>
      <c r="E246" s="9" t="inlineStr">
        <is>
          <t>TARJETERO CD SADDLE</t>
        </is>
      </c>
      <c r="F246" s="9" t="inlineStr">
        <is>
          <t>11cm de largo x 8cm de Alto</t>
        </is>
      </c>
      <c r="G246" s="9" t="n">
        <v>3</v>
      </c>
      <c r="H246" s="21" t="n">
        <v>18</v>
      </c>
      <c r="I246" s="21" t="n">
        <v>452.12</v>
      </c>
      <c r="J246" s="21" t="n">
        <v>1356.36</v>
      </c>
      <c r="K246" s="21" t="n">
        <v>1582.42</v>
      </c>
      <c r="L246" s="21" t="n">
        <v>1808.48</v>
      </c>
      <c r="M246" s="21" t="n">
        <v>1520</v>
      </c>
    </row>
    <row r="247">
      <c r="A247" s="9" t="inlineStr">
        <is>
          <t>ZOEY</t>
        </is>
      </c>
      <c r="B247" s="9" t="inlineStr">
        <is>
          <t>ZOEY 01/09/2025</t>
        </is>
      </c>
      <c r="C247" s="9" t="inlineStr">
        <is>
          <t>2025-09-01</t>
        </is>
      </c>
      <c r="D247" s="9" t="inlineStr">
        <is>
          <t>43728117034540</t>
        </is>
      </c>
      <c r="E247" s="9" t="inlineStr">
        <is>
          <t>TARJETERO YSL GOLD</t>
        </is>
      </c>
      <c r="F247" s="9" t="inlineStr">
        <is>
          <t>HIGH QUALITY</t>
        </is>
      </c>
      <c r="G247" s="9" t="n">
        <v>15</v>
      </c>
      <c r="H247" s="21" t="n">
        <v>13</v>
      </c>
      <c r="I247" s="21" t="n">
        <v>326.53</v>
      </c>
      <c r="J247" s="21" t="n">
        <v>979.6</v>
      </c>
      <c r="K247" s="21" t="n">
        <v>1142.86</v>
      </c>
      <c r="L247" s="21" t="n">
        <v>1306.13</v>
      </c>
      <c r="M247" s="21" t="n">
        <v>1399</v>
      </c>
    </row>
    <row r="248">
      <c r="A248" s="9" t="inlineStr">
        <is>
          <t>ZOEY</t>
        </is>
      </c>
      <c r="B248" s="9" t="inlineStr">
        <is>
          <t>ZOEY 01/09/2025</t>
        </is>
      </c>
      <c r="C248" s="9" t="inlineStr">
        <is>
          <t>2025-09-01</t>
        </is>
      </c>
      <c r="D248" s="9" t="inlineStr">
        <is>
          <t>77590341697164</t>
        </is>
      </c>
      <c r="E248" s="9" t="inlineStr">
        <is>
          <t>TRAJE DE BA√ëO F MEN</t>
        </is>
      </c>
      <c r="F248" s="9" t="inlineStr">
        <is>
          <t>M</t>
        </is>
      </c>
      <c r="G248" s="9" t="n">
        <v>1</v>
      </c>
      <c r="H248" s="21" t="n">
        <v>30</v>
      </c>
      <c r="I248" s="21" t="n">
        <v>753.54</v>
      </c>
      <c r="J248" s="21" t="n">
        <v>2260.61</v>
      </c>
      <c r="K248" s="21" t="n">
        <v>2637.37</v>
      </c>
      <c r="L248" s="21" t="n">
        <v>3014.14</v>
      </c>
      <c r="M248" s="21" t="n">
        <v>2650</v>
      </c>
    </row>
    <row r="249">
      <c r="A249" s="9" t="inlineStr">
        <is>
          <t>ZOEY</t>
        </is>
      </c>
      <c r="B249" s="9" t="inlineStr">
        <is>
          <t>ZOEY 01/09/2025</t>
        </is>
      </c>
      <c r="C249" s="9" t="inlineStr">
        <is>
          <t>2025-09-01</t>
        </is>
      </c>
      <c r="D249" s="9" t="inlineStr">
        <is>
          <t>77590341729932</t>
        </is>
      </c>
      <c r="E249" s="9" t="inlineStr">
        <is>
          <t>TRAJE DE BA√ëO F MEN</t>
        </is>
      </c>
      <c r="F249" s="9" t="inlineStr">
        <is>
          <t>L</t>
        </is>
      </c>
      <c r="G249" s="9" t="n">
        <v>1</v>
      </c>
      <c r="H249" s="21" t="n">
        <v>30</v>
      </c>
      <c r="I249" s="21" t="n">
        <v>753.54</v>
      </c>
      <c r="J249" s="21" t="n">
        <v>2260.61</v>
      </c>
      <c r="K249" s="21" t="n">
        <v>2637.37</v>
      </c>
      <c r="L249" s="21" t="n">
        <v>3014.14</v>
      </c>
      <c r="M249" s="21" t="n">
        <v>2650</v>
      </c>
    </row>
    <row r="250">
      <c r="A250" s="9" t="inlineStr">
        <is>
          <t>ZOEY</t>
        </is>
      </c>
      <c r="B250" s="9" t="inlineStr">
        <is>
          <t>ZOEY 01/09/2025</t>
        </is>
      </c>
      <c r="C250" s="9" t="inlineStr">
        <is>
          <t>2025-09-01</t>
        </is>
      </c>
      <c r="D250" s="9" t="inlineStr">
        <is>
          <t>6748bba38eb40</t>
        </is>
      </c>
      <c r="E250" s="9" t="inlineStr">
        <is>
          <t>ZAPATILLAS YSL OPYUM BLACK</t>
        </is>
      </c>
      <c r="F250" s="9" t="inlineStr">
        <is>
          <t>24cm</t>
        </is>
      </c>
      <c r="G250" s="9" t="n">
        <v>1</v>
      </c>
      <c r="H250" s="21" t="n">
        <v>65</v>
      </c>
      <c r="I250" s="21" t="n">
        <v>1632.66</v>
      </c>
      <c r="J250" s="21" t="n">
        <v>4897.98</v>
      </c>
      <c r="K250" s="21" t="n">
        <v>5714.31</v>
      </c>
      <c r="L250" s="21" t="n">
        <v>6530.64</v>
      </c>
      <c r="M250" s="21" t="n">
        <v>5450</v>
      </c>
    </row>
    <row r="251">
      <c r="A251" s="9" t="inlineStr">
        <is>
          <t>CYNTHIA</t>
        </is>
      </c>
      <c r="B251" s="9" t="inlineStr">
        <is>
          <t>CYNTHIA 05/09/2025</t>
        </is>
      </c>
      <c r="C251" s="9" t="inlineStr">
        <is>
          <t>2025-09-05</t>
        </is>
      </c>
      <c r="D251" s="9" t="inlineStr">
        <is>
          <t>43047228014732</t>
        </is>
      </c>
      <c r="E251" s="9" t="inlineStr">
        <is>
          <t>ANILLO ONE T SILVER CON ZIRCONIA</t>
        </is>
      </c>
      <c r="F251" s="9" t="inlineStr">
        <is>
          <t>6</t>
        </is>
      </c>
      <c r="G251" s="9" t="n">
        <v>4</v>
      </c>
      <c r="H251" s="21" t="n">
        <v>9.800000000000001</v>
      </c>
      <c r="I251" s="21" t="n">
        <v>246.76</v>
      </c>
      <c r="J251" s="21" t="n">
        <v>740.27</v>
      </c>
      <c r="K251" s="21" t="n">
        <v>863.64</v>
      </c>
      <c r="L251" s="21" t="n">
        <v>987.02</v>
      </c>
      <c r="M251" s="21" t="n">
        <v>1039.33</v>
      </c>
    </row>
    <row r="252">
      <c r="A252" s="9" t="inlineStr">
        <is>
          <t>CYNTHIA</t>
        </is>
      </c>
      <c r="B252" s="9" t="inlineStr">
        <is>
          <t>CYNTHIA 05/09/2025</t>
        </is>
      </c>
      <c r="C252" s="9" t="inlineStr">
        <is>
          <t>2025-09-05</t>
        </is>
      </c>
      <c r="D252" s="9" t="inlineStr">
        <is>
          <t>43047228047500</t>
        </is>
      </c>
      <c r="E252" s="9" t="inlineStr">
        <is>
          <t>ANILLO ONE T SILVER CON ZIRCONIA</t>
        </is>
      </c>
      <c r="F252" s="9" t="inlineStr">
        <is>
          <t>7</t>
        </is>
      </c>
      <c r="G252" s="9" t="n">
        <v>2</v>
      </c>
      <c r="H252" s="21" t="n">
        <v>9.800000000000001</v>
      </c>
      <c r="I252" s="21" t="n">
        <v>246.76</v>
      </c>
      <c r="J252" s="21" t="n">
        <v>740.27</v>
      </c>
      <c r="K252" s="21" t="n">
        <v>863.64</v>
      </c>
      <c r="L252" s="21" t="n">
        <v>987.02</v>
      </c>
      <c r="M252" s="21" t="n">
        <v>1039.33</v>
      </c>
    </row>
    <row r="253">
      <c r="A253" s="9" t="inlineStr">
        <is>
          <t>CYNTHIA</t>
        </is>
      </c>
      <c r="B253" s="9" t="inlineStr">
        <is>
          <t>CYNTHIA 05/09/2025</t>
        </is>
      </c>
      <c r="C253" s="9" t="inlineStr">
        <is>
          <t>2025-09-05</t>
        </is>
      </c>
      <c r="D253" s="9" t="inlineStr">
        <is>
          <t>15711172030349</t>
        </is>
      </c>
      <c r="E253" s="9" t="inlineStr">
        <is>
          <t>ARETES BEAN GOLD T</t>
        </is>
      </c>
      <c r="F253" s="9" t="inlineStr">
        <is>
          <t>Default Title</t>
        </is>
      </c>
      <c r="G253" s="9" t="n">
        <v>3</v>
      </c>
      <c r="H253" s="21" t="n">
        <v>8</v>
      </c>
      <c r="I253" s="21" t="n">
        <v>201.43</v>
      </c>
      <c r="J253" s="21" t="n">
        <v>604.3</v>
      </c>
      <c r="K253" s="21" t="n">
        <v>705.01</v>
      </c>
      <c r="L253" s="21" t="n">
        <v>805.73</v>
      </c>
      <c r="M253" s="21" t="n">
        <v>935</v>
      </c>
    </row>
    <row r="254">
      <c r="A254" s="9" t="inlineStr">
        <is>
          <t>CYNTHIA</t>
        </is>
      </c>
      <c r="B254" s="9" t="inlineStr">
        <is>
          <t>CYNTHIA 05/09/2025</t>
        </is>
      </c>
      <c r="C254" s="9" t="inlineStr">
        <is>
          <t>2025-09-05</t>
        </is>
      </c>
      <c r="D254" s="9" t="inlineStr">
        <is>
          <t>62101481140653</t>
        </is>
      </c>
      <c r="E254" s="9" t="inlineStr">
        <is>
          <t>ARETES BEAN SILVER T</t>
        </is>
      </c>
      <c r="F254" s="9" t="inlineStr">
        <is>
          <t>Default Title</t>
        </is>
      </c>
      <c r="G254" s="9" t="n">
        <v>4</v>
      </c>
      <c r="H254" s="21" t="n">
        <v>8</v>
      </c>
      <c r="I254" s="21" t="n">
        <v>201.43</v>
      </c>
      <c r="J254" s="21" t="n">
        <v>604.3</v>
      </c>
      <c r="K254" s="21" t="n">
        <v>705.01</v>
      </c>
      <c r="L254" s="21" t="n">
        <v>805.73</v>
      </c>
      <c r="M254" s="21" t="n">
        <v>849</v>
      </c>
    </row>
    <row r="255">
      <c r="A255" s="9" t="inlineStr">
        <is>
          <t>CYNTHIA</t>
        </is>
      </c>
      <c r="B255" s="9" t="inlineStr">
        <is>
          <t>CYNTHIA 05/09/2025</t>
        </is>
      </c>
      <c r="C255" s="9" t="inlineStr">
        <is>
          <t>2025-09-05</t>
        </is>
      </c>
      <c r="D255" s="9" t="inlineStr">
        <is>
          <t>64e78d3bae5c1</t>
        </is>
      </c>
      <c r="E255" s="9" t="inlineStr">
        <is>
          <t>ARETES BLOSSOM STAR GOLD</t>
        </is>
      </c>
      <c r="F255" s="9" t="inlineStr"/>
      <c r="G255" s="9" t="n">
        <v>2</v>
      </c>
      <c r="H255" s="21" t="n">
        <v>6.8</v>
      </c>
      <c r="I255" s="21" t="n">
        <v>171.22</v>
      </c>
      <c r="J255" s="21" t="n">
        <v>513.65</v>
      </c>
      <c r="K255" s="21" t="n">
        <v>599.26</v>
      </c>
      <c r="L255" s="21" t="n">
        <v>684.87</v>
      </c>
      <c r="M255" s="21" t="n"/>
    </row>
    <row r="256">
      <c r="A256" s="9" t="inlineStr">
        <is>
          <t>CYNTHIA</t>
        </is>
      </c>
      <c r="B256" s="9" t="inlineStr">
        <is>
          <t>CYNTHIA 05/09/2025</t>
        </is>
      </c>
      <c r="C256" s="9" t="inlineStr">
        <is>
          <t>2025-09-05</t>
        </is>
      </c>
      <c r="D256" s="9" t="inlineStr">
        <is>
          <t>64e78d3baafe7</t>
        </is>
      </c>
      <c r="E256" s="9" t="inlineStr">
        <is>
          <t>ARETES BLOSSOM STAR ROSE GOLD</t>
        </is>
      </c>
      <c r="F256" s="9" t="inlineStr">
        <is>
          <t>Default Title</t>
        </is>
      </c>
      <c r="G256" s="9" t="n">
        <v>2</v>
      </c>
      <c r="H256" s="21" t="n">
        <v>6.8</v>
      </c>
      <c r="I256" s="21" t="n">
        <v>171.22</v>
      </c>
      <c r="J256" s="21" t="n">
        <v>513.65</v>
      </c>
      <c r="K256" s="21" t="n">
        <v>599.26</v>
      </c>
      <c r="L256" s="21" t="n">
        <v>684.87</v>
      </c>
      <c r="M256" s="21" t="n">
        <v>665.6799999999999</v>
      </c>
    </row>
    <row r="257">
      <c r="A257" s="9" t="inlineStr">
        <is>
          <t>CYNTHIA</t>
        </is>
      </c>
      <c r="B257" s="9" t="inlineStr">
        <is>
          <t>CYNTHIA 05/09/2025</t>
        </is>
      </c>
      <c r="C257" s="9" t="inlineStr">
        <is>
          <t>2025-09-05</t>
        </is>
      </c>
      <c r="D257" s="9" t="inlineStr">
        <is>
          <t>64e78d3c1c538</t>
        </is>
      </c>
      <c r="E257" s="9" t="inlineStr">
        <is>
          <t>ARETES BLOSSOM STAR SILVER</t>
        </is>
      </c>
      <c r="F257" s="9" t="inlineStr">
        <is>
          <t>Default Title</t>
        </is>
      </c>
      <c r="G257" s="9" t="n">
        <v>2</v>
      </c>
      <c r="H257" s="21" t="n">
        <v>6.8</v>
      </c>
      <c r="I257" s="21" t="n">
        <v>171.22</v>
      </c>
      <c r="J257" s="21" t="n">
        <v>513.65</v>
      </c>
      <c r="K257" s="21" t="n">
        <v>599.26</v>
      </c>
      <c r="L257" s="21" t="n">
        <v>684.87</v>
      </c>
      <c r="M257" s="21" t="n">
        <v>580</v>
      </c>
    </row>
    <row r="258">
      <c r="A258" s="9" t="inlineStr">
        <is>
          <t>CYNTHIA</t>
        </is>
      </c>
      <c r="B258" s="9" t="inlineStr">
        <is>
          <t>CYNTHIA 05/09/2025</t>
        </is>
      </c>
      <c r="C258" s="9" t="inlineStr">
        <is>
          <t>2025-09-05</t>
        </is>
      </c>
      <c r="D258" s="9" t="inlineStr">
        <is>
          <t>665bb4e06b7c8</t>
        </is>
      </c>
      <c r="E258" s="9" t="inlineStr">
        <is>
          <t>ARETES CC DORADO</t>
        </is>
      </c>
      <c r="F258" s="9" t="inlineStr">
        <is>
          <t>Regular</t>
        </is>
      </c>
      <c r="G258" s="9" t="n">
        <v>2</v>
      </c>
      <c r="H258" s="21" t="n">
        <v>2</v>
      </c>
      <c r="I258" s="21" t="n">
        <v>50.36</v>
      </c>
      <c r="J258" s="21" t="n">
        <v>151.07</v>
      </c>
      <c r="K258" s="21" t="n">
        <v>176.25</v>
      </c>
      <c r="L258" s="21" t="n">
        <v>201.43</v>
      </c>
      <c r="M258" s="21" t="n">
        <v>220</v>
      </c>
    </row>
    <row r="259">
      <c r="A259" s="9" t="inlineStr">
        <is>
          <t>CYNTHIA</t>
        </is>
      </c>
      <c r="B259" s="9" t="inlineStr">
        <is>
          <t>CYNTHIA 05/09/2025</t>
        </is>
      </c>
      <c r="C259" s="9" t="inlineStr">
        <is>
          <t>2025-09-05</t>
        </is>
      </c>
      <c r="D259" s="9" t="inlineStr">
        <is>
          <t>63ebd72976d60</t>
        </is>
      </c>
      <c r="E259" s="9" t="inlineStr">
        <is>
          <t>ARETES CC ROSE GOLD</t>
        </is>
      </c>
      <c r="F259" s="9" t="inlineStr">
        <is>
          <t>HIGH QUALITY</t>
        </is>
      </c>
      <c r="G259" s="9" t="n">
        <v>4</v>
      </c>
      <c r="H259" s="21" t="n">
        <v>2</v>
      </c>
      <c r="I259" s="21" t="n">
        <v>50.36</v>
      </c>
      <c r="J259" s="21" t="n">
        <v>151.07</v>
      </c>
      <c r="K259" s="21" t="n">
        <v>176.25</v>
      </c>
      <c r="L259" s="21" t="n">
        <v>201.43</v>
      </c>
      <c r="M259" s="21" t="n">
        <v>220</v>
      </c>
    </row>
    <row r="260">
      <c r="A260" s="9" t="inlineStr">
        <is>
          <t>CYNTHIA</t>
        </is>
      </c>
      <c r="B260" s="9" t="inlineStr">
        <is>
          <t>CYNTHIA 05/09/2025</t>
        </is>
      </c>
      <c r="C260" s="9" t="inlineStr">
        <is>
          <t>2025-09-05</t>
        </is>
      </c>
      <c r="D260" s="9" t="inlineStr">
        <is>
          <t>64e78e725d8db</t>
        </is>
      </c>
      <c r="E260" s="9" t="inlineStr">
        <is>
          <t>ARETES CD CON PERLA GOLD DR</t>
        </is>
      </c>
      <c r="F260" s="9" t="inlineStr">
        <is>
          <t>Default Title</t>
        </is>
      </c>
      <c r="G260" s="9" t="n">
        <v>3</v>
      </c>
      <c r="H260" s="21" t="n">
        <v>6.08</v>
      </c>
      <c r="I260" s="21" t="n">
        <v>153.09</v>
      </c>
      <c r="J260" s="21" t="n">
        <v>459.27</v>
      </c>
      <c r="K260" s="21" t="n">
        <v>535.8099999999999</v>
      </c>
      <c r="L260" s="21" t="n">
        <v>612.36</v>
      </c>
      <c r="M260" s="21" t="n">
        <v>650</v>
      </c>
    </row>
    <row r="261">
      <c r="A261" s="9" t="inlineStr">
        <is>
          <t>CYNTHIA</t>
        </is>
      </c>
      <c r="B261" s="9" t="inlineStr">
        <is>
          <t>CYNTHIA 05/09/2025</t>
        </is>
      </c>
      <c r="C261" s="9" t="inlineStr">
        <is>
          <t>2025-09-05</t>
        </is>
      </c>
      <c r="D261" s="9" t="inlineStr">
        <is>
          <t>665bb4e678422</t>
        </is>
      </c>
      <c r="E261" s="9" t="inlineStr">
        <is>
          <t>ARETES CD GOLD</t>
        </is>
      </c>
      <c r="F261" s="9" t="inlineStr">
        <is>
          <t>Default Title</t>
        </is>
      </c>
      <c r="G261" s="9" t="n">
        <v>3</v>
      </c>
      <c r="H261" s="21" t="n">
        <v>7</v>
      </c>
      <c r="I261" s="21" t="n">
        <v>176.25</v>
      </c>
      <c r="J261" s="21" t="n">
        <v>528.76</v>
      </c>
      <c r="K261" s="21" t="n">
        <v>616.89</v>
      </c>
      <c r="L261" s="21" t="n">
        <v>705.01</v>
      </c>
      <c r="M261" s="21" t="n">
        <v>745</v>
      </c>
    </row>
    <row r="262">
      <c r="A262" s="9" t="inlineStr">
        <is>
          <t>CYNTHIA</t>
        </is>
      </c>
      <c r="B262" s="9" t="inlineStr">
        <is>
          <t>CYNTHIA 05/09/2025</t>
        </is>
      </c>
      <c r="C262" s="9" t="inlineStr">
        <is>
          <t>2025-09-05</t>
        </is>
      </c>
      <c r="D262" s="9" t="inlineStr">
        <is>
          <t>677c26b6bfd93</t>
        </is>
      </c>
      <c r="E262" s="9" t="inlineStr">
        <is>
          <t>ARETES CD SILVER</t>
        </is>
      </c>
      <c r="F262" s="9" t="inlineStr">
        <is>
          <t>Default Title</t>
        </is>
      </c>
      <c r="G262" s="9" t="n">
        <v>5</v>
      </c>
      <c r="H262" s="21" t="n">
        <v>6.8</v>
      </c>
      <c r="I262" s="21" t="n">
        <v>171.22</v>
      </c>
      <c r="J262" s="21" t="n">
        <v>513.65</v>
      </c>
      <c r="K262" s="21" t="n">
        <v>599.26</v>
      </c>
      <c r="L262" s="21" t="n">
        <v>684.87</v>
      </c>
      <c r="M262" s="21" t="n">
        <v>745</v>
      </c>
    </row>
    <row r="263">
      <c r="A263" s="9" t="inlineStr">
        <is>
          <t>CYNTHIA</t>
        </is>
      </c>
      <c r="B263" s="9" t="inlineStr">
        <is>
          <t>CYNTHIA 05/09/2025</t>
        </is>
      </c>
      <c r="C263" s="9" t="inlineStr">
        <is>
          <t>2025-09-05</t>
        </is>
      </c>
      <c r="D263" s="9" t="inlineStr">
        <is>
          <t>66178b9555250</t>
        </is>
      </c>
      <c r="E263" s="9" t="inlineStr">
        <is>
          <t>ARETES CLASH ROSEGOLD ZIRCONIA</t>
        </is>
      </c>
      <c r="F263" s="9" t="inlineStr">
        <is>
          <t>Default Title</t>
        </is>
      </c>
      <c r="G263" s="9" t="n">
        <v>2</v>
      </c>
      <c r="H263" s="21" t="n">
        <v>5.3</v>
      </c>
      <c r="I263" s="21" t="n">
        <v>133.45</v>
      </c>
      <c r="J263" s="21" t="n">
        <v>400.35</v>
      </c>
      <c r="K263" s="21" t="n">
        <v>467.07</v>
      </c>
      <c r="L263" s="21" t="n">
        <v>533.8</v>
      </c>
      <c r="M263" s="21" t="n">
        <v>569</v>
      </c>
    </row>
    <row r="264">
      <c r="A264" s="9" t="inlineStr">
        <is>
          <t>CYNTHIA</t>
        </is>
      </c>
      <c r="B264" s="9" t="inlineStr">
        <is>
          <t>CYNTHIA 05/09/2025</t>
        </is>
      </c>
      <c r="C264" s="9" t="inlineStr">
        <is>
          <t>2025-09-05</t>
        </is>
      </c>
      <c r="D264" s="9" t="inlineStr">
        <is>
          <t>43047217758348</t>
        </is>
      </c>
      <c r="E264" s="9" t="inlineStr">
        <is>
          <t>ARETES CORAZÓN GRABADO GOLD</t>
        </is>
      </c>
      <c r="F264" s="9" t="inlineStr">
        <is>
          <t>HIGH QUALITY</t>
        </is>
      </c>
      <c r="G264" s="9" t="n">
        <v>3</v>
      </c>
      <c r="H264" s="21" t="n">
        <v>5.88</v>
      </c>
      <c r="I264" s="21" t="n">
        <v>148.05</v>
      </c>
      <c r="J264" s="21" t="n">
        <v>444.16</v>
      </c>
      <c r="K264" s="21" t="n">
        <v>518.1900000000001</v>
      </c>
      <c r="L264" s="21" t="n">
        <v>592.21</v>
      </c>
      <c r="M264" s="21" t="n">
        <v>550</v>
      </c>
    </row>
    <row r="265">
      <c r="A265" s="9" t="inlineStr">
        <is>
          <t>CYNTHIA</t>
        </is>
      </c>
      <c r="B265" s="9" t="inlineStr">
        <is>
          <t>CYNTHIA 05/09/2025</t>
        </is>
      </c>
      <c r="C265" s="9" t="inlineStr">
        <is>
          <t>2025-09-05</t>
        </is>
      </c>
      <c r="D265" s="9" t="inlineStr">
        <is>
          <t>43047204716684</t>
        </is>
      </c>
      <c r="E265" s="9" t="inlineStr">
        <is>
          <t>ARETES CORAZÓN GRABADO ROSE GOLD</t>
        </is>
      </c>
      <c r="F265" s="9" t="inlineStr">
        <is>
          <t>Default Title</t>
        </is>
      </c>
      <c r="G265" s="9" t="n">
        <v>3</v>
      </c>
      <c r="H265" s="21" t="n">
        <v>5.88</v>
      </c>
      <c r="I265" s="21" t="n">
        <v>148.05</v>
      </c>
      <c r="J265" s="21" t="n">
        <v>444.16</v>
      </c>
      <c r="K265" s="21" t="n">
        <v>518.1900000000001</v>
      </c>
      <c r="L265" s="21" t="n">
        <v>592.21</v>
      </c>
      <c r="M265" s="21" t="n">
        <v>599</v>
      </c>
    </row>
    <row r="266">
      <c r="A266" s="9" t="inlineStr">
        <is>
          <t>CYNTHIA</t>
        </is>
      </c>
      <c r="B266" s="9" t="inlineStr">
        <is>
          <t>CYNTHIA 05/09/2025</t>
        </is>
      </c>
      <c r="C266" s="9" t="inlineStr">
        <is>
          <t>2025-09-05</t>
        </is>
      </c>
      <c r="D266" s="9" t="inlineStr">
        <is>
          <t>43047196360844</t>
        </is>
      </c>
      <c r="E266" s="9" t="inlineStr">
        <is>
          <t>ARETES CORAZÓN GRABADO SILVER</t>
        </is>
      </c>
      <c r="F266" s="9" t="inlineStr">
        <is>
          <t>Default Title</t>
        </is>
      </c>
      <c r="G266" s="9" t="n">
        <v>3</v>
      </c>
      <c r="H266" s="21" t="n">
        <v>5.88</v>
      </c>
      <c r="I266" s="21" t="n">
        <v>148.05</v>
      </c>
      <c r="J266" s="21" t="n">
        <v>444.16</v>
      </c>
      <c r="K266" s="21" t="n">
        <v>518.1900000000001</v>
      </c>
      <c r="L266" s="21" t="n">
        <v>592.21</v>
      </c>
      <c r="M266" s="21" t="n">
        <v>550</v>
      </c>
    </row>
    <row r="267">
      <c r="A267" s="9" t="inlineStr">
        <is>
          <t>CYNTHIA</t>
        </is>
      </c>
      <c r="B267" s="9" t="inlineStr">
        <is>
          <t>CYNTHIA 05/09/2025</t>
        </is>
      </c>
      <c r="C267" s="9" t="inlineStr">
        <is>
          <t>2025-09-05</t>
        </is>
      </c>
      <c r="D267" s="9" t="inlineStr">
        <is>
          <t>43047211597964</t>
        </is>
      </c>
      <c r="E267" s="9" t="inlineStr">
        <is>
          <t>ARETES CORAZÓN PLACA GRABADO GOLD</t>
        </is>
      </c>
      <c r="F267" s="9" t="inlineStr">
        <is>
          <t>Regular</t>
        </is>
      </c>
      <c r="G267" s="9" t="n">
        <v>2</v>
      </c>
      <c r="H267" s="21" t="n">
        <v>7</v>
      </c>
      <c r="I267" s="21" t="n">
        <v>176.25</v>
      </c>
      <c r="J267" s="21" t="n">
        <v>528.76</v>
      </c>
      <c r="K267" s="21" t="n">
        <v>616.89</v>
      </c>
      <c r="L267" s="21" t="n">
        <v>705.01</v>
      </c>
      <c r="M267" s="21" t="n">
        <v>745</v>
      </c>
    </row>
    <row r="268">
      <c r="A268" s="9" t="inlineStr">
        <is>
          <t>CYNTHIA</t>
        </is>
      </c>
      <c r="B268" s="9" t="inlineStr">
        <is>
          <t>CYNTHIA 05/09/2025</t>
        </is>
      </c>
      <c r="C268" s="9" t="inlineStr">
        <is>
          <t>2025-09-05</t>
        </is>
      </c>
      <c r="D268" s="9" t="inlineStr">
        <is>
          <t>665bb51b8f87b-1</t>
        </is>
      </c>
      <c r="E268" s="9" t="inlineStr">
        <is>
          <t>ARETES LOVE DORADOS</t>
        </is>
      </c>
      <c r="F268" s="9" t="inlineStr">
        <is>
          <t>Regular</t>
        </is>
      </c>
      <c r="G268" s="9" t="n">
        <v>6</v>
      </c>
      <c r="H268" s="21" t="n">
        <v>2.6</v>
      </c>
      <c r="I268" s="21" t="n">
        <v>65.47</v>
      </c>
      <c r="J268" s="21" t="n">
        <v>196.4</v>
      </c>
      <c r="K268" s="21" t="n">
        <v>229.13</v>
      </c>
      <c r="L268" s="21" t="n">
        <v>261.86</v>
      </c>
      <c r="M268" s="21" t="n">
        <v>400</v>
      </c>
    </row>
    <row r="269">
      <c r="A269" s="9" t="inlineStr">
        <is>
          <t>CYNTHIA</t>
        </is>
      </c>
      <c r="B269" s="9" t="inlineStr">
        <is>
          <t>CYNTHIA 05/09/2025</t>
        </is>
      </c>
      <c r="C269" s="9" t="inlineStr">
        <is>
          <t>2025-09-05</t>
        </is>
      </c>
      <c r="D269" s="9" t="inlineStr">
        <is>
          <t>6617867e8acd0</t>
        </is>
      </c>
      <c r="E269" s="9" t="inlineStr">
        <is>
          <t>ARETES LOVE GOLD CON ZIRCONIA</t>
        </is>
      </c>
      <c r="F269" s="9" t="inlineStr">
        <is>
          <t>Default Title</t>
        </is>
      </c>
      <c r="G269" s="9" t="n">
        <v>4</v>
      </c>
      <c r="H269" s="21" t="n">
        <v>2.6</v>
      </c>
      <c r="I269" s="21" t="n">
        <v>65.47</v>
      </c>
      <c r="J269" s="21" t="n">
        <v>196.4</v>
      </c>
      <c r="K269" s="21" t="n">
        <v>229.13</v>
      </c>
      <c r="L269" s="21" t="n">
        <v>261.86</v>
      </c>
      <c r="M269" s="21" t="n">
        <v>420</v>
      </c>
    </row>
    <row r="270">
      <c r="A270" s="9" t="inlineStr">
        <is>
          <t>CYNTHIA</t>
        </is>
      </c>
      <c r="B270" s="9" t="inlineStr">
        <is>
          <t>CYNTHIA 05/09/2025</t>
        </is>
      </c>
      <c r="C270" s="9" t="inlineStr">
        <is>
          <t>2025-09-05</t>
        </is>
      </c>
      <c r="D270" s="9" t="inlineStr">
        <is>
          <t>665bb51ee66d3</t>
        </is>
      </c>
      <c r="E270" s="9" t="inlineStr">
        <is>
          <t>ARETES LOVE ROSE GOLD</t>
        </is>
      </c>
      <c r="F270" s="9" t="inlineStr">
        <is>
          <t>Default Title</t>
        </is>
      </c>
      <c r="G270" s="9" t="n">
        <v>6</v>
      </c>
      <c r="H270" s="21" t="n">
        <v>2.6</v>
      </c>
      <c r="I270" s="21" t="n">
        <v>65.47</v>
      </c>
      <c r="J270" s="21" t="n">
        <v>196.4</v>
      </c>
      <c r="K270" s="21" t="n">
        <v>229.13</v>
      </c>
      <c r="L270" s="21" t="n">
        <v>261.86</v>
      </c>
      <c r="M270" s="21" t="n">
        <v>400</v>
      </c>
    </row>
    <row r="271">
      <c r="A271" s="9" t="inlineStr">
        <is>
          <t>CYNTHIA</t>
        </is>
      </c>
      <c r="B271" s="9" t="inlineStr">
        <is>
          <t>CYNTHIA 05/09/2025</t>
        </is>
      </c>
      <c r="C271" s="9" t="inlineStr">
        <is>
          <t>2025-09-05</t>
        </is>
      </c>
      <c r="D271" s="9" t="inlineStr">
        <is>
          <t>6617867767475</t>
        </is>
      </c>
      <c r="E271" s="9" t="inlineStr">
        <is>
          <t>ARETES LOVE ROSEGOLD CON ZIRCONIA</t>
        </is>
      </c>
      <c r="F271" s="9" t="inlineStr">
        <is>
          <t>Regular</t>
        </is>
      </c>
      <c r="G271" s="9" t="n">
        <v>2</v>
      </c>
      <c r="H271" s="21" t="n">
        <v>2.6</v>
      </c>
      <c r="I271" s="21" t="n">
        <v>65.47</v>
      </c>
      <c r="J271" s="21" t="n">
        <v>196.4</v>
      </c>
      <c r="K271" s="21" t="n">
        <v>229.13</v>
      </c>
      <c r="L271" s="21" t="n">
        <v>261.86</v>
      </c>
      <c r="M271" s="21" t="n">
        <v>420</v>
      </c>
    </row>
    <row r="272">
      <c r="A272" s="9" t="inlineStr">
        <is>
          <t>CYNTHIA</t>
        </is>
      </c>
      <c r="B272" s="9" t="inlineStr">
        <is>
          <t>CYNTHIA 05/09/2025</t>
        </is>
      </c>
      <c r="C272" s="9" t="inlineStr">
        <is>
          <t>2025-09-05</t>
        </is>
      </c>
      <c r="D272" s="9" t="inlineStr">
        <is>
          <t>43071645614220</t>
        </is>
      </c>
      <c r="E272" s="9" t="inlineStr">
        <is>
          <t>ARETES LV CON ZIRCONIA</t>
        </is>
      </c>
      <c r="F272" s="9" t="inlineStr">
        <is>
          <t>Default Title</t>
        </is>
      </c>
      <c r="G272" s="9" t="n">
        <v>5</v>
      </c>
      <c r="H272" s="21" t="n">
        <v>8.800000000000001</v>
      </c>
      <c r="I272" s="21" t="n">
        <v>221.58</v>
      </c>
      <c r="J272" s="21" t="n">
        <v>664.73</v>
      </c>
      <c r="K272" s="21" t="n">
        <v>775.52</v>
      </c>
      <c r="L272" s="21" t="n">
        <v>886.3</v>
      </c>
      <c r="M272" s="21" t="n">
        <v>935</v>
      </c>
    </row>
    <row r="273">
      <c r="A273" s="9" t="inlineStr">
        <is>
          <t>CYNTHIA</t>
        </is>
      </c>
      <c r="B273" s="9" t="inlineStr">
        <is>
          <t>CYNTHIA 05/09/2025</t>
        </is>
      </c>
      <c r="C273" s="9" t="inlineStr">
        <is>
          <t>2025-09-05</t>
        </is>
      </c>
      <c r="D273" s="9" t="inlineStr">
        <is>
          <t>63e0bd172995f-1</t>
        </is>
      </c>
      <c r="E273" s="9" t="inlineStr">
        <is>
          <t>ARETES LV GOLD</t>
        </is>
      </c>
      <c r="F273" s="9" t="inlineStr">
        <is>
          <t>Regular</t>
        </is>
      </c>
      <c r="G273" s="9" t="n">
        <v>4</v>
      </c>
      <c r="H273" s="21" t="n">
        <v>5.18</v>
      </c>
      <c r="I273" s="21" t="n">
        <v>130.43</v>
      </c>
      <c r="J273" s="21" t="n">
        <v>391.28</v>
      </c>
      <c r="K273" s="21" t="n">
        <v>456.5</v>
      </c>
      <c r="L273" s="21" t="n">
        <v>521.71</v>
      </c>
      <c r="M273" s="21" t="n">
        <v>450</v>
      </c>
    </row>
    <row r="274">
      <c r="A274" s="9" t="inlineStr">
        <is>
          <t>CYNTHIA</t>
        </is>
      </c>
      <c r="B274" s="9" t="inlineStr">
        <is>
          <t>CYNTHIA 05/09/2025</t>
        </is>
      </c>
      <c r="C274" s="9" t="inlineStr">
        <is>
          <t>2025-09-05</t>
        </is>
      </c>
      <c r="D274" s="9" t="inlineStr">
        <is>
          <t>64e78e740ecaf-1</t>
        </is>
      </c>
      <c r="E274" s="9" t="inlineStr">
        <is>
          <t>ARETES LV LOGO GOLD</t>
        </is>
      </c>
      <c r="F274" s="9" t="inlineStr">
        <is>
          <t>Stainless steel</t>
        </is>
      </c>
      <c r="G274" s="9" t="n">
        <v>4</v>
      </c>
      <c r="H274" s="21" t="n">
        <v>6</v>
      </c>
      <c r="I274" s="21" t="n">
        <v>151.07</v>
      </c>
      <c r="J274" s="21" t="n">
        <v>453.22</v>
      </c>
      <c r="K274" s="21" t="n">
        <v>528.76</v>
      </c>
      <c r="L274" s="21" t="n">
        <v>604.3</v>
      </c>
      <c r="M274" s="21" t="n">
        <v>722</v>
      </c>
    </row>
    <row r="275">
      <c r="A275" s="9" t="inlineStr">
        <is>
          <t>CYNTHIA</t>
        </is>
      </c>
      <c r="B275" s="9" t="inlineStr">
        <is>
          <t>CYNTHIA 05/09/2025</t>
        </is>
      </c>
      <c r="C275" s="9" t="inlineStr">
        <is>
          <t>2025-09-05</t>
        </is>
      </c>
      <c r="D275" s="9" t="inlineStr">
        <is>
          <t>654bdb81039f7</t>
        </is>
      </c>
      <c r="E275" s="9" t="inlineStr">
        <is>
          <t>ARETES LV LOGO SILVER</t>
        </is>
      </c>
      <c r="F275" s="9" t="inlineStr">
        <is>
          <t>Stainless steel</t>
        </is>
      </c>
      <c r="G275" s="9" t="n">
        <v>3</v>
      </c>
      <c r="H275" s="21" t="n">
        <v>6</v>
      </c>
      <c r="I275" s="21" t="n">
        <v>151.07</v>
      </c>
      <c r="J275" s="21" t="n">
        <v>453.22</v>
      </c>
      <c r="K275" s="21" t="n">
        <v>528.76</v>
      </c>
      <c r="L275" s="21" t="n">
        <v>604.3</v>
      </c>
      <c r="M275" s="21" t="n">
        <v>722</v>
      </c>
    </row>
    <row r="276">
      <c r="A276" s="9" t="inlineStr">
        <is>
          <t>CYNTHIA</t>
        </is>
      </c>
      <c r="B276" s="9" t="inlineStr">
        <is>
          <t>CYNTHIA 05/09/2025</t>
        </is>
      </c>
      <c r="C276" s="9" t="inlineStr">
        <is>
          <t>2025-09-05</t>
        </is>
      </c>
      <c r="D276" s="9" t="inlineStr">
        <is>
          <t>43047214612620</t>
        </is>
      </c>
      <c r="E276" s="9" t="inlineStr">
        <is>
          <t>ARETES SIXTEEN STONE</t>
        </is>
      </c>
      <c r="F276" s="9" t="inlineStr">
        <is>
          <t>Default Title</t>
        </is>
      </c>
      <c r="G276" s="9" t="n">
        <v>5</v>
      </c>
      <c r="H276" s="21" t="n">
        <v>12.8</v>
      </c>
      <c r="I276" s="21" t="n">
        <v>322.29</v>
      </c>
      <c r="J276" s="21" t="n">
        <v>966.88</v>
      </c>
      <c r="K276" s="21" t="n">
        <v>1128.02</v>
      </c>
      <c r="L276" s="21" t="n">
        <v>1289.17</v>
      </c>
      <c r="M276" s="21" t="n">
        <v>1070</v>
      </c>
    </row>
    <row r="277">
      <c r="A277" s="9" t="inlineStr">
        <is>
          <t>CYNTHIA</t>
        </is>
      </c>
      <c r="B277" s="9" t="inlineStr">
        <is>
          <t>CYNTHIA 05/09/2025</t>
        </is>
      </c>
      <c r="C277" s="9" t="inlineStr">
        <is>
          <t>2025-09-05</t>
        </is>
      </c>
      <c r="D277" s="9" t="inlineStr">
        <is>
          <t>63e0bd216689b-2</t>
        </is>
      </c>
      <c r="E277" s="9" t="inlineStr">
        <is>
          <t>ARETES T-SMILE SILVER</t>
        </is>
      </c>
      <c r="F277" s="9" t="inlineStr">
        <is>
          <t>1cm</t>
        </is>
      </c>
      <c r="G277" s="9" t="n">
        <v>8</v>
      </c>
      <c r="H277" s="21" t="n">
        <v>3.88</v>
      </c>
      <c r="I277" s="21" t="n">
        <v>97.69</v>
      </c>
      <c r="J277" s="21" t="n">
        <v>293.08</v>
      </c>
      <c r="K277" s="21" t="n">
        <v>341.93</v>
      </c>
      <c r="L277" s="21" t="n">
        <v>390.78</v>
      </c>
      <c r="M277" s="21" t="n">
        <v>573</v>
      </c>
    </row>
    <row r="278">
      <c r="A278" s="9" t="inlineStr">
        <is>
          <t>CYNTHIA</t>
        </is>
      </c>
      <c r="B278" s="9" t="inlineStr">
        <is>
          <t>CYNTHIA 05/09/2025</t>
        </is>
      </c>
      <c r="C278" s="9" t="inlineStr">
        <is>
          <t>2025-09-05</t>
        </is>
      </c>
      <c r="D278" s="9" t="inlineStr">
        <is>
          <t>63ebd921017f7</t>
        </is>
      </c>
      <c r="E278" s="9" t="inlineStr">
        <is>
          <t>ARETES T-SMILE SILVER CON ZIRCONIA</t>
        </is>
      </c>
      <c r="F278" s="9" t="inlineStr">
        <is>
          <t>Default Title</t>
        </is>
      </c>
      <c r="G278" s="9" t="n">
        <v>2</v>
      </c>
      <c r="H278" s="21" t="n">
        <v>6.8</v>
      </c>
      <c r="I278" s="21" t="n">
        <v>171.22</v>
      </c>
      <c r="J278" s="21" t="n">
        <v>513.65</v>
      </c>
      <c r="K278" s="21" t="n">
        <v>599.26</v>
      </c>
      <c r="L278" s="21" t="n">
        <v>684.87</v>
      </c>
      <c r="M278" s="21" t="n">
        <v>722</v>
      </c>
    </row>
    <row r="279">
      <c r="A279" s="9" t="inlineStr">
        <is>
          <t>CYNTHIA</t>
        </is>
      </c>
      <c r="B279" s="9" t="inlineStr">
        <is>
          <t>CYNTHIA 05/09/2025</t>
        </is>
      </c>
      <c r="C279" s="9" t="inlineStr">
        <is>
          <t>2025-09-05</t>
        </is>
      </c>
      <c r="D279" s="9" t="inlineStr">
        <is>
          <t>94530225617804</t>
        </is>
      </c>
      <c r="E279" s="9" t="inlineStr">
        <is>
          <t>ARETES TRIBALES CD</t>
        </is>
      </c>
      <c r="F279" s="9" t="inlineStr">
        <is>
          <t>Default Title</t>
        </is>
      </c>
      <c r="G279" s="9" t="n">
        <v>4</v>
      </c>
      <c r="H279" s="21" t="n">
        <v>8.800000000000001</v>
      </c>
      <c r="I279" s="21" t="n">
        <v>221.58</v>
      </c>
      <c r="J279" s="21" t="n">
        <v>664.73</v>
      </c>
      <c r="K279" s="21" t="n">
        <v>775.52</v>
      </c>
      <c r="L279" s="21" t="n">
        <v>886.3</v>
      </c>
      <c r="M279" s="21" t="n">
        <v>250</v>
      </c>
    </row>
    <row r="280">
      <c r="A280" s="9" t="inlineStr">
        <is>
          <t>CYNTHIA</t>
        </is>
      </c>
      <c r="B280" s="9" t="inlineStr">
        <is>
          <t>CYNTHIA 05/09/2025</t>
        </is>
      </c>
      <c r="C280" s="9" t="inlineStr">
        <is>
          <t>2025-09-05</t>
        </is>
      </c>
      <c r="D280" s="9" t="inlineStr">
        <is>
          <t>677c26b82bccf</t>
        </is>
      </c>
      <c r="E280" s="9" t="inlineStr">
        <is>
          <t>ARETES TRÉBOL GOLD CON ZIRCONIA</t>
        </is>
      </c>
      <c r="F280" s="9" t="inlineStr"/>
      <c r="G280" s="9" t="n">
        <v>4</v>
      </c>
      <c r="H280" s="21" t="n">
        <v>8.800000000000001</v>
      </c>
      <c r="I280" s="21" t="n">
        <v>221.58</v>
      </c>
      <c r="J280" s="21" t="n">
        <v>664.73</v>
      </c>
      <c r="K280" s="21" t="n">
        <v>775.52</v>
      </c>
      <c r="L280" s="21" t="n">
        <v>886.3</v>
      </c>
      <c r="M280" s="21" t="n"/>
    </row>
    <row r="281">
      <c r="A281" s="9" t="inlineStr">
        <is>
          <t>CYNTHIA</t>
        </is>
      </c>
      <c r="B281" s="9" t="inlineStr">
        <is>
          <t>CYNTHIA 05/09/2025</t>
        </is>
      </c>
      <c r="C281" s="9" t="inlineStr">
        <is>
          <t>2025-09-05</t>
        </is>
      </c>
      <c r="D281" s="9" t="inlineStr">
        <is>
          <t>678a9af11a3e6</t>
        </is>
      </c>
      <c r="E281" s="9" t="inlineStr">
        <is>
          <t>ARETES TRÉBOL SILVER CON ZIRCONIA</t>
        </is>
      </c>
      <c r="F281" s="9" t="inlineStr">
        <is>
          <t>Default Title</t>
        </is>
      </c>
      <c r="G281" s="9" t="n">
        <v>2</v>
      </c>
      <c r="H281" s="21" t="n">
        <v>8.800000000000001</v>
      </c>
      <c r="I281" s="21" t="n">
        <v>221.58</v>
      </c>
      <c r="J281" s="21" t="n">
        <v>664.73</v>
      </c>
      <c r="K281" s="21" t="n">
        <v>775.52</v>
      </c>
      <c r="L281" s="21" t="n">
        <v>886.3</v>
      </c>
      <c r="M281" s="21" t="n">
        <v>750</v>
      </c>
    </row>
    <row r="282">
      <c r="A282" s="9" t="inlineStr">
        <is>
          <t>CYNTHIA</t>
        </is>
      </c>
      <c r="B282" s="9" t="inlineStr">
        <is>
          <t>CYNTHIA 05/09/2025</t>
        </is>
      </c>
      <c r="C282" s="9" t="inlineStr">
        <is>
          <t>2025-09-05</t>
        </is>
      </c>
      <c r="D282" s="9" t="inlineStr">
        <is>
          <t>64e78ed3b6948</t>
        </is>
      </c>
      <c r="E282" s="9" t="inlineStr">
        <is>
          <t>ARETES YSL</t>
        </is>
      </c>
      <c r="F282" s="9" t="inlineStr">
        <is>
          <t>Default Title</t>
        </is>
      </c>
      <c r="G282" s="9" t="n">
        <v>2</v>
      </c>
      <c r="H282" s="21" t="n">
        <v>9.800000000000001</v>
      </c>
      <c r="I282" s="21" t="n">
        <v>246.76</v>
      </c>
      <c r="J282" s="21" t="n">
        <v>740.27</v>
      </c>
      <c r="K282" s="21" t="n">
        <v>863.64</v>
      </c>
      <c r="L282" s="21" t="n">
        <v>987.02</v>
      </c>
      <c r="M282" s="21" t="n">
        <v>1049</v>
      </c>
    </row>
    <row r="283">
      <c r="A283" s="9" t="inlineStr">
        <is>
          <t>CYNTHIA</t>
        </is>
      </c>
      <c r="B283" s="9" t="inlineStr">
        <is>
          <t>CYNTHIA 05/09/2025</t>
        </is>
      </c>
      <c r="C283" s="9" t="inlineStr">
        <is>
          <t>2025-09-05</t>
        </is>
      </c>
      <c r="D283" s="9" t="inlineStr">
        <is>
          <t>42101481043501</t>
        </is>
      </c>
      <c r="E283" s="9" t="inlineStr">
        <is>
          <t>BOLSA CC Nº25</t>
        </is>
      </c>
      <c r="F283" s="9" t="inlineStr">
        <is>
          <t>HIGH QUALITY</t>
        </is>
      </c>
      <c r="G283" s="9" t="n">
        <v>1</v>
      </c>
      <c r="H283" s="21" t="n">
        <v>66</v>
      </c>
      <c r="I283" s="21" t="n">
        <v>1661.82</v>
      </c>
      <c r="J283" s="21" t="n">
        <v>4985.46</v>
      </c>
      <c r="K283" s="21" t="n">
        <v>5816.37</v>
      </c>
      <c r="L283" s="21" t="n">
        <v>6647.28</v>
      </c>
      <c r="M283" s="21" t="n">
        <v>5499</v>
      </c>
    </row>
    <row r="284">
      <c r="A284" s="9" t="inlineStr">
        <is>
          <t>CYNTHIA</t>
        </is>
      </c>
      <c r="B284" s="9" t="inlineStr">
        <is>
          <t>CYNTHIA 05/09/2025</t>
        </is>
      </c>
      <c r="C284" s="9" t="inlineStr">
        <is>
          <t>2025-09-05</t>
        </is>
      </c>
      <c r="D284" s="9" t="inlineStr">
        <is>
          <t>6701d26d1f472</t>
        </is>
      </c>
      <c r="E284" s="9" t="inlineStr">
        <is>
          <t>BOLSO DE VIAJE G BLACK</t>
        </is>
      </c>
      <c r="F284" s="9" t="inlineStr">
        <is>
          <t>49cm de largo x 28cm de alto x 22.5cm de ancho</t>
        </is>
      </c>
      <c r="G284" s="9" t="n">
        <v>2</v>
      </c>
      <c r="H284" s="21" t="n">
        <v>58</v>
      </c>
      <c r="I284" s="21" t="n">
        <v>1460.39</v>
      </c>
      <c r="J284" s="21" t="n">
        <v>4381.16</v>
      </c>
      <c r="K284" s="21" t="n">
        <v>5111.36</v>
      </c>
      <c r="L284" s="21" t="n">
        <v>5841.55</v>
      </c>
      <c r="M284" s="21" t="n">
        <v>9869</v>
      </c>
    </row>
    <row r="285">
      <c r="A285" s="9" t="inlineStr">
        <is>
          <t>CYNTHIA</t>
        </is>
      </c>
      <c r="B285" s="9" t="inlineStr">
        <is>
          <t>CYNTHIA 05/09/2025</t>
        </is>
      </c>
      <c r="C285" s="9" t="inlineStr">
        <is>
          <t>2025-09-05</t>
        </is>
      </c>
      <c r="D285" s="9" t="inlineStr">
        <is>
          <t>6701d26ca0522</t>
        </is>
      </c>
      <c r="E285" s="9" t="inlineStr">
        <is>
          <t>BOLSO DE VIAJE G GREEN</t>
        </is>
      </c>
      <c r="F285" s="9" t="inlineStr">
        <is>
          <t>49cm de largo x 28cm de alto x 22.5cm de ancho</t>
        </is>
      </c>
      <c r="G285" s="9" t="n">
        <v>3</v>
      </c>
      <c r="H285" s="21" t="n">
        <v>58</v>
      </c>
      <c r="I285" s="21" t="n">
        <v>1460.39</v>
      </c>
      <c r="J285" s="21" t="n">
        <v>4381.16</v>
      </c>
      <c r="K285" s="21" t="n">
        <v>5111.36</v>
      </c>
      <c r="L285" s="21" t="n">
        <v>5841.55</v>
      </c>
      <c r="M285" s="21" t="n">
        <v>9869</v>
      </c>
    </row>
    <row r="286">
      <c r="A286" s="9" t="inlineStr">
        <is>
          <t>CYNTHIA</t>
        </is>
      </c>
      <c r="B286" s="9" t="inlineStr">
        <is>
          <t>CYNTHIA 05/09/2025</t>
        </is>
      </c>
      <c r="C286" s="9" t="inlineStr">
        <is>
          <t>2025-09-05</t>
        </is>
      </c>
      <c r="D286" s="9" t="inlineStr">
        <is>
          <t>43026605146252</t>
        </is>
      </c>
      <c r="E286" s="9" t="inlineStr">
        <is>
          <t>BOLSO G BLACK</t>
        </is>
      </c>
      <c r="F286" s="9" t="inlineStr">
        <is>
          <t>Default Title</t>
        </is>
      </c>
      <c r="G286" s="9" t="n">
        <v>3</v>
      </c>
      <c r="H286" s="21" t="n">
        <v>40</v>
      </c>
      <c r="I286" s="21" t="n">
        <v>1007.16</v>
      </c>
      <c r="J286" s="21" t="n">
        <v>3021.49</v>
      </c>
      <c r="K286" s="21" t="n">
        <v>3525.07</v>
      </c>
      <c r="L286" s="21" t="n">
        <v>4028.66</v>
      </c>
      <c r="M286" s="21" t="n">
        <v>5200</v>
      </c>
    </row>
    <row r="287">
      <c r="A287" s="9" t="inlineStr">
        <is>
          <t>CYNTHIA</t>
        </is>
      </c>
      <c r="B287" s="9" t="inlineStr">
        <is>
          <t>CYNTHIA 05/09/2025</t>
        </is>
      </c>
      <c r="C287" s="9" t="inlineStr">
        <is>
          <t>2025-09-05</t>
        </is>
      </c>
      <c r="D287" s="9" t="inlineStr">
        <is>
          <t>677c26b31023a</t>
        </is>
      </c>
      <c r="E287" s="9" t="inlineStr">
        <is>
          <t>BOLSO LW GREEN</t>
        </is>
      </c>
      <c r="F287" s="9" t="inlineStr">
        <is>
          <t>28cmx20cm</t>
        </is>
      </c>
      <c r="G287" s="9" t="n">
        <v>1</v>
      </c>
      <c r="H287" s="21" t="n">
        <v>76</v>
      </c>
      <c r="I287" s="21" t="n">
        <v>1913.61</v>
      </c>
      <c r="J287" s="21" t="n">
        <v>5740.83</v>
      </c>
      <c r="K287" s="21" t="n">
        <v>6697.64</v>
      </c>
      <c r="L287" s="21" t="n">
        <v>7654.45</v>
      </c>
      <c r="M287" s="21" t="n">
        <v>6350</v>
      </c>
    </row>
    <row r="288">
      <c r="A288" s="9" t="inlineStr">
        <is>
          <t>CYNTHIA</t>
        </is>
      </c>
      <c r="B288" s="9" t="inlineStr">
        <is>
          <t>CYNTHIA 05/09/2025</t>
        </is>
      </c>
      <c r="C288" s="9" t="inlineStr">
        <is>
          <t>2025-09-05</t>
        </is>
      </c>
      <c r="D288" s="9" t="inlineStr">
        <is>
          <t>668eeef9cf7b1</t>
        </is>
      </c>
      <c r="E288" s="9" t="inlineStr">
        <is>
          <t>BOLSO SADDLE CD JACQUARD BLUE</t>
        </is>
      </c>
      <c r="F288" s="9" t="inlineStr">
        <is>
          <t>18cm de largo x 15cm de alto</t>
        </is>
      </c>
      <c r="G288" s="9" t="n">
        <v>8</v>
      </c>
      <c r="H288" s="21" t="n">
        <v>54</v>
      </c>
      <c r="I288" s="21" t="n">
        <v>1359.67</v>
      </c>
      <c r="J288" s="21" t="n">
        <v>4079.01</v>
      </c>
      <c r="K288" s="21" t="n">
        <v>4758.85</v>
      </c>
      <c r="L288" s="21" t="n">
        <v>5438.68</v>
      </c>
      <c r="M288" s="21" t="n">
        <v>4600</v>
      </c>
    </row>
    <row r="289">
      <c r="A289" s="9" t="inlineStr">
        <is>
          <t>CYNTHIA</t>
        </is>
      </c>
      <c r="B289" s="9" t="inlineStr">
        <is>
          <t>CYNTHIA 05/09/2025</t>
        </is>
      </c>
      <c r="C289" s="9" t="inlineStr">
        <is>
          <t>2025-09-05</t>
        </is>
      </c>
      <c r="D289" s="9" t="inlineStr">
        <is>
          <t>648cc614da168</t>
        </is>
      </c>
      <c r="E289" s="9" t="inlineStr">
        <is>
          <t>BOLSO YSL BLACK</t>
        </is>
      </c>
      <c r="F289" s="9" t="inlineStr">
        <is>
          <t>24cm x 15cm</t>
        </is>
      </c>
      <c r="G289" s="9" t="n">
        <v>3</v>
      </c>
      <c r="H289" s="21" t="n">
        <v>54</v>
      </c>
      <c r="I289" s="21" t="n">
        <v>1359.67</v>
      </c>
      <c r="J289" s="21" t="n">
        <v>4079.01</v>
      </c>
      <c r="K289" s="21" t="n">
        <v>4758.85</v>
      </c>
      <c r="L289" s="21" t="n">
        <v>5438.68</v>
      </c>
      <c r="M289" s="21" t="n">
        <v>3999</v>
      </c>
    </row>
    <row r="290">
      <c r="A290" s="9" t="inlineStr">
        <is>
          <t>CYNTHIA</t>
        </is>
      </c>
      <c r="B290" s="9" t="inlineStr">
        <is>
          <t>CYNTHIA 05/09/2025</t>
        </is>
      </c>
      <c r="C290" s="9" t="inlineStr">
        <is>
          <t>2025-09-05</t>
        </is>
      </c>
      <c r="D290" s="9" t="inlineStr">
        <is>
          <t>94350543859468</t>
        </is>
      </c>
      <c r="E290" s="9" t="inlineStr">
        <is>
          <t>BOLSO YSL CHAROL WHITE</t>
        </is>
      </c>
      <c r="F290" s="9" t="inlineStr">
        <is>
          <t>24cm x 15cm</t>
        </is>
      </c>
      <c r="G290" s="9" t="n">
        <v>3</v>
      </c>
      <c r="H290" s="21" t="n">
        <v>54</v>
      </c>
      <c r="I290" s="21" t="n">
        <v>1359.67</v>
      </c>
      <c r="J290" s="21" t="n">
        <v>4079.01</v>
      </c>
      <c r="K290" s="21" t="n">
        <v>4758.85</v>
      </c>
      <c r="L290" s="21" t="n">
        <v>5438.68</v>
      </c>
      <c r="M290" s="21" t="n">
        <v>4580</v>
      </c>
    </row>
    <row r="291">
      <c r="A291" s="9" t="inlineStr">
        <is>
          <t>CYNTHIA</t>
        </is>
      </c>
      <c r="B291" s="9" t="inlineStr">
        <is>
          <t>CYNTHIA 05/09/2025</t>
        </is>
      </c>
      <c r="C291" s="9" t="inlineStr">
        <is>
          <t>2025-09-05</t>
        </is>
      </c>
      <c r="D291" s="9" t="inlineStr">
        <is>
          <t>668eeefb6a924</t>
        </is>
      </c>
      <c r="E291" s="9" t="inlineStr">
        <is>
          <t>BOLSO YSL KATE</t>
        </is>
      </c>
      <c r="F291" s="9" t="inlineStr">
        <is>
          <t>27cm de largo x 18 cm de alto</t>
        </is>
      </c>
      <c r="G291" s="9" t="n">
        <v>2</v>
      </c>
      <c r="H291" s="21" t="n">
        <v>34</v>
      </c>
      <c r="I291" s="21" t="n">
        <v>856.09</v>
      </c>
      <c r="J291" s="21" t="n">
        <v>2568.27</v>
      </c>
      <c r="K291" s="21" t="n">
        <v>2996.31</v>
      </c>
      <c r="L291" s="21" t="n">
        <v>3424.36</v>
      </c>
      <c r="M291" s="21" t="n">
        <v>2899</v>
      </c>
    </row>
    <row r="292">
      <c r="A292" s="9" t="inlineStr">
        <is>
          <t>CYNTHIA</t>
        </is>
      </c>
      <c r="B292" s="9" t="inlineStr">
        <is>
          <t>CYNTHIA 05/09/2025</t>
        </is>
      </c>
      <c r="C292" s="9" t="inlineStr">
        <is>
          <t>2025-09-05</t>
        </is>
      </c>
      <c r="D292" s="9" t="inlineStr">
        <is>
          <t>64e78e722fe81</t>
        </is>
      </c>
      <c r="E292" s="9" t="inlineStr">
        <is>
          <t>BROCHE CD GOLD CON PERLA</t>
        </is>
      </c>
      <c r="F292" s="9" t="inlineStr">
        <is>
          <t>2.5cmx4cm</t>
        </is>
      </c>
      <c r="G292" s="9" t="n">
        <v>1</v>
      </c>
      <c r="H292" s="21" t="n">
        <v>8.800000000000001</v>
      </c>
      <c r="I292" s="21" t="n">
        <v>221.58</v>
      </c>
      <c r="J292" s="21" t="n">
        <v>664.73</v>
      </c>
      <c r="K292" s="21" t="n">
        <v>775.52</v>
      </c>
      <c r="L292" s="21" t="n">
        <v>886.3</v>
      </c>
      <c r="M292" s="21" t="n">
        <v>750</v>
      </c>
    </row>
    <row r="293">
      <c r="A293" s="9" t="inlineStr">
        <is>
          <t>CYNTHIA</t>
        </is>
      </c>
      <c r="B293" s="9" t="inlineStr">
        <is>
          <t>CYNTHIA 05/09/2025</t>
        </is>
      </c>
      <c r="C293" s="9" t="inlineStr">
        <is>
          <t>2025-09-05</t>
        </is>
      </c>
      <c r="D293" s="9" t="inlineStr">
        <is>
          <t>43728085170668</t>
        </is>
      </c>
      <c r="E293" s="9" t="inlineStr">
        <is>
          <t>COLLAR ESLABON DOBLE CADENA GOLD</t>
        </is>
      </c>
      <c r="F293" s="9" t="inlineStr">
        <is>
          <t>47cm HIGH QUALITY</t>
        </is>
      </c>
      <c r="G293" s="9" t="n">
        <v>5</v>
      </c>
      <c r="H293" s="21" t="n">
        <v>9.800000000000001</v>
      </c>
      <c r="I293" s="21" t="n">
        <v>246.76</v>
      </c>
      <c r="J293" s="21" t="n">
        <v>740.27</v>
      </c>
      <c r="K293" s="21" t="n">
        <v>863.64</v>
      </c>
      <c r="L293" s="21" t="n">
        <v>987.02</v>
      </c>
      <c r="M293" s="21" t="n">
        <v>999</v>
      </c>
    </row>
    <row r="294">
      <c r="A294" s="9" t="inlineStr">
        <is>
          <t>CYNTHIA</t>
        </is>
      </c>
      <c r="B294" s="9" t="inlineStr">
        <is>
          <t>CYNTHIA 05/09/2025</t>
        </is>
      </c>
      <c r="C294" s="9" t="inlineStr">
        <is>
          <t>2025-09-05</t>
        </is>
      </c>
      <c r="D294" s="9" t="inlineStr">
        <is>
          <t>668eee4037675</t>
        </is>
      </c>
      <c r="E294" s="9" t="inlineStr">
        <is>
          <t>COLLAR ESLABONES GOLD</t>
        </is>
      </c>
      <c r="F294" s="9" t="inlineStr">
        <is>
          <t>46cm</t>
        </is>
      </c>
      <c r="G294" s="9" t="n">
        <v>6</v>
      </c>
      <c r="H294" s="21" t="n">
        <v>13.8</v>
      </c>
      <c r="I294" s="21" t="n">
        <v>347.47</v>
      </c>
      <c r="J294" s="21" t="n">
        <v>1042.41</v>
      </c>
      <c r="K294" s="21" t="n">
        <v>1216.15</v>
      </c>
      <c r="L294" s="21" t="n">
        <v>1389.89</v>
      </c>
      <c r="M294" s="21" t="n">
        <v>1199</v>
      </c>
    </row>
    <row r="295">
      <c r="A295" s="9" t="inlineStr">
        <is>
          <t>CYNTHIA</t>
        </is>
      </c>
      <c r="B295" s="9" t="inlineStr">
        <is>
          <t>CYNTHIA 05/09/2025</t>
        </is>
      </c>
      <c r="C295" s="9" t="inlineStr">
        <is>
          <t>2025-09-05</t>
        </is>
      </c>
      <c r="D295" s="9" t="inlineStr">
        <is>
          <t>668eee3921529</t>
        </is>
      </c>
      <c r="E295" s="9" t="inlineStr">
        <is>
          <t>COLLAR ESLABONES SILVER</t>
        </is>
      </c>
      <c r="F295" s="9" t="inlineStr">
        <is>
          <t>HIGH QUALITY 46cm</t>
        </is>
      </c>
      <c r="G295" s="9" t="n">
        <v>6</v>
      </c>
      <c r="H295" s="21" t="n">
        <v>13.8</v>
      </c>
      <c r="I295" s="21" t="n">
        <v>347.47</v>
      </c>
      <c r="J295" s="21" t="n">
        <v>1042.41</v>
      </c>
      <c r="K295" s="21" t="n">
        <v>1216.15</v>
      </c>
      <c r="L295" s="21" t="n">
        <v>1389.89</v>
      </c>
      <c r="M295" s="21" t="n">
        <v>1199</v>
      </c>
    </row>
    <row r="296">
      <c r="A296" s="9" t="inlineStr">
        <is>
          <t>CYNTHIA</t>
        </is>
      </c>
      <c r="B296" s="9" t="inlineStr">
        <is>
          <t>CYNTHIA 05/09/2025</t>
        </is>
      </c>
      <c r="C296" s="9" t="inlineStr">
        <is>
          <t>2025-09-05</t>
        </is>
      </c>
      <c r="D296" s="9" t="inlineStr">
        <is>
          <t>71036878066828</t>
        </is>
      </c>
      <c r="E296" s="9" t="inlineStr">
        <is>
          <t>COLLAR GC INTERLOCKING</t>
        </is>
      </c>
      <c r="F296" s="9" t="inlineStr">
        <is>
          <t>59cm</t>
        </is>
      </c>
      <c r="G296" s="9" t="n">
        <v>2</v>
      </c>
      <c r="H296" s="21" t="n">
        <v>15.8</v>
      </c>
      <c r="I296" s="21" t="n">
        <v>397.83</v>
      </c>
      <c r="J296" s="21" t="n">
        <v>1193.49</v>
      </c>
      <c r="K296" s="21" t="n">
        <v>1392.4</v>
      </c>
      <c r="L296" s="21" t="n">
        <v>1591.32</v>
      </c>
      <c r="M296" s="21" t="n">
        <v>1102</v>
      </c>
    </row>
    <row r="297">
      <c r="A297" s="9" t="inlineStr">
        <is>
          <t>CYNTHIA</t>
        </is>
      </c>
      <c r="B297" s="9" t="inlineStr">
        <is>
          <t>CYNTHIA 05/09/2025</t>
        </is>
      </c>
      <c r="C297" s="9" t="inlineStr">
        <is>
          <t>2025-09-05</t>
        </is>
      </c>
      <c r="D297" s="9" t="inlineStr">
        <is>
          <t>15711172573869</t>
        </is>
      </c>
      <c r="E297" s="9" t="inlineStr">
        <is>
          <t>COLLAR JOLIE CD GOLD</t>
        </is>
      </c>
      <c r="F297" s="9" t="inlineStr">
        <is>
          <t>Default Title</t>
        </is>
      </c>
      <c r="G297" s="9" t="n">
        <v>2</v>
      </c>
      <c r="H297" s="21" t="n">
        <v>8.800000000000001</v>
      </c>
      <c r="I297" s="21" t="n">
        <v>221.58</v>
      </c>
      <c r="J297" s="21" t="n">
        <v>664.73</v>
      </c>
      <c r="K297" s="21" t="n">
        <v>775.52</v>
      </c>
      <c r="L297" s="21" t="n">
        <v>886.3</v>
      </c>
      <c r="M297" s="21" t="n">
        <v>760</v>
      </c>
    </row>
    <row r="298">
      <c r="A298" s="9" t="inlineStr">
        <is>
          <t>CYNTHIA</t>
        </is>
      </c>
      <c r="B298" s="9" t="inlineStr">
        <is>
          <t>CYNTHIA 05/09/2025</t>
        </is>
      </c>
      <c r="C298" s="9" t="inlineStr">
        <is>
          <t>2025-09-05</t>
        </is>
      </c>
      <c r="D298" s="9" t="inlineStr">
        <is>
          <t>15711172684525</t>
        </is>
      </c>
      <c r="E298" s="9" t="inlineStr">
        <is>
          <t>COLLAR LOGO CD CON ZIRCONIA SILVER</t>
        </is>
      </c>
      <c r="F298" s="9" t="inlineStr">
        <is>
          <t>Default Title</t>
        </is>
      </c>
      <c r="G298" s="9" t="n">
        <v>2</v>
      </c>
      <c r="H298" s="21" t="n">
        <v>8.800000000000001</v>
      </c>
      <c r="I298" s="21" t="n">
        <v>221.58</v>
      </c>
      <c r="J298" s="21" t="n">
        <v>664.73</v>
      </c>
      <c r="K298" s="21" t="n">
        <v>775.52</v>
      </c>
      <c r="L298" s="21" t="n">
        <v>886.3</v>
      </c>
      <c r="M298" s="21" t="n">
        <v>528</v>
      </c>
    </row>
    <row r="299">
      <c r="A299" s="9" t="inlineStr">
        <is>
          <t>CYNTHIA</t>
        </is>
      </c>
      <c r="B299" s="9" t="inlineStr">
        <is>
          <t>CYNTHIA 05/09/2025</t>
        </is>
      </c>
      <c r="C299" s="9" t="inlineStr">
        <is>
          <t>2025-09-05</t>
        </is>
      </c>
      <c r="D299" s="9" t="inlineStr">
        <is>
          <t>43047222083724</t>
        </is>
      </c>
      <c r="E299" s="9" t="inlineStr">
        <is>
          <t>COLLAR SMILE ROSE GOLD CON ZIRCONIA</t>
        </is>
      </c>
      <c r="F299" s="9" t="inlineStr">
        <is>
          <t>Ajustable</t>
        </is>
      </c>
      <c r="G299" s="9" t="n">
        <v>5</v>
      </c>
      <c r="H299" s="21" t="n">
        <v>12.8</v>
      </c>
      <c r="I299" s="21" t="n">
        <v>322.29</v>
      </c>
      <c r="J299" s="21" t="n">
        <v>966.88</v>
      </c>
      <c r="K299" s="21" t="n">
        <v>1128.02</v>
      </c>
      <c r="L299" s="21" t="n">
        <v>1289.17</v>
      </c>
      <c r="M299" s="21" t="n">
        <v>1150</v>
      </c>
    </row>
    <row r="300">
      <c r="A300" s="9" t="inlineStr">
        <is>
          <t>CYNTHIA</t>
        </is>
      </c>
      <c r="B300" s="9" t="inlineStr">
        <is>
          <t>CYNTHIA 05/09/2025</t>
        </is>
      </c>
      <c r="C300" s="9" t="inlineStr">
        <is>
          <t>2025-09-05</t>
        </is>
      </c>
      <c r="D300" s="9" t="inlineStr">
        <is>
          <t>66581907ee9cb-1</t>
        </is>
      </c>
      <c r="E300" s="9" t="inlineStr">
        <is>
          <t>LENTES C OVAL BROWN</t>
        </is>
      </c>
      <c r="F300" s="9" t="inlineStr">
        <is>
          <t>REGULAR</t>
        </is>
      </c>
      <c r="G300" s="9" t="n">
        <v>6</v>
      </c>
      <c r="H300" s="21" t="n">
        <v>29.5</v>
      </c>
      <c r="I300" s="21" t="n">
        <v>742.78</v>
      </c>
      <c r="J300" s="21" t="n">
        <v>2228.35</v>
      </c>
      <c r="K300" s="21" t="n">
        <v>2599.74</v>
      </c>
      <c r="L300" s="21" t="n">
        <v>2971.13</v>
      </c>
      <c r="M300" s="21" t="n">
        <v>2455</v>
      </c>
    </row>
    <row r="301">
      <c r="A301" s="9" t="inlineStr">
        <is>
          <t>CYNTHIA</t>
        </is>
      </c>
      <c r="B301" s="9" t="inlineStr">
        <is>
          <t>CYNTHIA 05/09/2025</t>
        </is>
      </c>
      <c r="C301" s="9" t="inlineStr">
        <is>
          <t>2025-09-05</t>
        </is>
      </c>
      <c r="D301" s="9" t="inlineStr">
        <is>
          <t>665bc0bb805f5</t>
        </is>
      </c>
      <c r="E301" s="9" t="inlineStr">
        <is>
          <t>LENTES C OVAL GOLD BLACK</t>
        </is>
      </c>
      <c r="F301" s="9" t="inlineStr">
        <is>
          <t>REGULAR</t>
        </is>
      </c>
      <c r="G301" s="9" t="n">
        <v>8</v>
      </c>
      <c r="H301" s="21" t="n">
        <v>29.5</v>
      </c>
      <c r="I301" s="21" t="n">
        <v>742.78</v>
      </c>
      <c r="J301" s="21" t="n">
        <v>2228.35</v>
      </c>
      <c r="K301" s="21" t="n">
        <v>2599.74</v>
      </c>
      <c r="L301" s="21" t="n">
        <v>2971.13</v>
      </c>
      <c r="M301" s="21" t="n">
        <v>2500</v>
      </c>
    </row>
    <row r="302">
      <c r="A302" s="9" t="inlineStr">
        <is>
          <t>CYNTHIA</t>
        </is>
      </c>
      <c r="B302" s="9" t="inlineStr">
        <is>
          <t>CYNTHIA 05/09/2025</t>
        </is>
      </c>
      <c r="C302" s="9" t="inlineStr">
        <is>
          <t>2025-09-05</t>
        </is>
      </c>
      <c r="D302" s="9" t="inlineStr">
        <is>
          <t>664fc85011676</t>
        </is>
      </c>
      <c r="E302" s="9" t="inlineStr">
        <is>
          <t>LENTES C THICK GOLD</t>
        </is>
      </c>
      <c r="F302" s="9" t="inlineStr">
        <is>
          <t>Default Title</t>
        </is>
      </c>
      <c r="G302" s="9" t="n">
        <v>3</v>
      </c>
      <c r="H302" s="21" t="n">
        <v>9</v>
      </c>
      <c r="I302" s="21" t="n">
        <v>226.61</v>
      </c>
      <c r="J302" s="21" t="n">
        <v>679.84</v>
      </c>
      <c r="K302" s="21" t="n">
        <v>793.14</v>
      </c>
      <c r="L302" s="21" t="n">
        <v>906.45</v>
      </c>
      <c r="M302" s="21" t="n">
        <v>850</v>
      </c>
    </row>
    <row r="303">
      <c r="A303" s="9" t="inlineStr">
        <is>
          <t>CYNTHIA</t>
        </is>
      </c>
      <c r="B303" s="9" t="inlineStr">
        <is>
          <t>CYNTHIA 05/09/2025</t>
        </is>
      </c>
      <c r="C303" s="9" t="inlineStr">
        <is>
          <t>2025-09-05</t>
        </is>
      </c>
      <c r="D303" s="9" t="inlineStr">
        <is>
          <t>11915813184811</t>
        </is>
      </c>
      <c r="E303" s="9" t="inlineStr">
        <is>
          <t>LENTES DE SOL MM BROWN</t>
        </is>
      </c>
      <c r="F303" s="9" t="inlineStr">
        <is>
          <t>Default Title</t>
        </is>
      </c>
      <c r="G303" s="9" t="n">
        <v>2</v>
      </c>
      <c r="H303" s="21" t="n">
        <v>28</v>
      </c>
      <c r="I303" s="21" t="n">
        <v>705.01</v>
      </c>
      <c r="J303" s="21" t="n">
        <v>2115.04</v>
      </c>
      <c r="K303" s="21" t="n">
        <v>2467.55</v>
      </c>
      <c r="L303" s="21" t="n">
        <v>2820.06</v>
      </c>
      <c r="M303" s="21" t="n">
        <v>2450</v>
      </c>
    </row>
    <row r="304">
      <c r="A304" s="9" t="inlineStr">
        <is>
          <t>CYNTHIA</t>
        </is>
      </c>
      <c r="B304" s="9" t="inlineStr">
        <is>
          <t>CYNTHIA 05/09/2025</t>
        </is>
      </c>
      <c r="C304" s="9" t="inlineStr">
        <is>
          <t>2025-09-05</t>
        </is>
      </c>
      <c r="D304" s="9" t="inlineStr">
        <is>
          <t>43728090185228</t>
        </is>
      </c>
      <c r="E304" s="9" t="inlineStr">
        <is>
          <t>LENTES DE SOL MM GLIMPSE BLACK</t>
        </is>
      </c>
      <c r="F304" s="9" t="inlineStr">
        <is>
          <t>REGULAR</t>
        </is>
      </c>
      <c r="G304" s="9" t="n">
        <v>2</v>
      </c>
      <c r="H304" s="21" t="n">
        <v>32</v>
      </c>
      <c r="I304" s="21" t="n">
        <v>805.73</v>
      </c>
      <c r="J304" s="21" t="n">
        <v>2417.19</v>
      </c>
      <c r="K304" s="21" t="n">
        <v>2820.06</v>
      </c>
      <c r="L304" s="21" t="n">
        <v>3222.92</v>
      </c>
      <c r="M304" s="21" t="n">
        <v>2699</v>
      </c>
    </row>
    <row r="305">
      <c r="A305" s="9" t="inlineStr">
        <is>
          <t>CYNTHIA</t>
        </is>
      </c>
      <c r="B305" s="9" t="inlineStr">
        <is>
          <t>CYNTHIA 05/09/2025</t>
        </is>
      </c>
      <c r="C305" s="9" t="inlineStr">
        <is>
          <t>2025-09-05</t>
        </is>
      </c>
      <c r="D305" s="9" t="inlineStr">
        <is>
          <t>11915826071979</t>
        </is>
      </c>
      <c r="E305" s="9" t="inlineStr">
        <is>
          <t>LENTES LV EVIDENCE</t>
        </is>
      </c>
      <c r="F305" s="9" t="inlineStr">
        <is>
          <t>HIGH QUALITY</t>
        </is>
      </c>
      <c r="G305" s="9" t="n">
        <v>4</v>
      </c>
      <c r="H305" s="21" t="n">
        <v>9</v>
      </c>
      <c r="I305" s="21" t="n">
        <v>226.61</v>
      </c>
      <c r="J305" s="21" t="n">
        <v>679.84</v>
      </c>
      <c r="K305" s="21" t="n">
        <v>793.14</v>
      </c>
      <c r="L305" s="21" t="n">
        <v>906.45</v>
      </c>
      <c r="M305" s="21" t="n">
        <v>860</v>
      </c>
    </row>
    <row r="306">
      <c r="A306" s="9" t="inlineStr">
        <is>
          <t>CYNTHIA</t>
        </is>
      </c>
      <c r="B306" s="9" t="inlineStr">
        <is>
          <t>CYNTHIA 05/09/2025</t>
        </is>
      </c>
      <c r="C306" s="9" t="inlineStr">
        <is>
          <t>2025-09-05</t>
        </is>
      </c>
      <c r="D306" s="9" t="inlineStr">
        <is>
          <t>11915820343339</t>
        </is>
      </c>
      <c r="E306" s="9" t="inlineStr">
        <is>
          <t>LENTES MM HAVANA</t>
        </is>
      </c>
      <c r="F306" s="9" t="inlineStr">
        <is>
          <t>Default Title</t>
        </is>
      </c>
      <c r="G306" s="9" t="n">
        <v>3</v>
      </c>
      <c r="H306" s="21" t="n">
        <v>27</v>
      </c>
      <c r="I306" s="21" t="n">
        <v>679.84</v>
      </c>
      <c r="J306" s="21" t="n">
        <v>2039.51</v>
      </c>
      <c r="K306" s="21" t="n">
        <v>2379.42</v>
      </c>
      <c r="L306" s="21" t="n">
        <v>2719.34</v>
      </c>
      <c r="M306" s="21" t="n">
        <v>2250</v>
      </c>
    </row>
    <row r="307">
      <c r="A307" s="9" t="inlineStr">
        <is>
          <t>CYNTHIA</t>
        </is>
      </c>
      <c r="B307" s="9" t="inlineStr">
        <is>
          <t>CYNTHIA 05/09/2025</t>
        </is>
      </c>
      <c r="C307" s="9" t="inlineStr">
        <is>
          <t>2025-09-05</t>
        </is>
      </c>
      <c r="D307" s="9" t="inlineStr">
        <is>
          <t>64e78dfc1baee</t>
        </is>
      </c>
      <c r="E307" s="9" t="inlineStr">
        <is>
          <t>LENTES PR MEN</t>
        </is>
      </c>
      <c r="F307" s="9" t="inlineStr"/>
      <c r="G307" s="9" t="n">
        <v>2</v>
      </c>
      <c r="H307" s="21" t="n">
        <v>11.5</v>
      </c>
      <c r="I307" s="21" t="n">
        <v>289.56</v>
      </c>
      <c r="J307" s="21" t="n">
        <v>868.6799999999999</v>
      </c>
      <c r="K307" s="21" t="n">
        <v>1013.46</v>
      </c>
      <c r="L307" s="21" t="n">
        <v>1158.24</v>
      </c>
      <c r="M307" s="21" t="n"/>
    </row>
    <row r="308">
      <c r="A308" s="9" t="inlineStr">
        <is>
          <t>CYNTHIA</t>
        </is>
      </c>
      <c r="B308" s="9" t="inlineStr">
        <is>
          <t>CYNTHIA 05/09/2025</t>
        </is>
      </c>
      <c r="C308" s="9" t="inlineStr">
        <is>
          <t>2025-09-05</t>
        </is>
      </c>
      <c r="D308" s="9" t="inlineStr">
        <is>
          <t>64e78ed47e099</t>
        </is>
      </c>
      <c r="E308" s="9" t="inlineStr">
        <is>
          <t>PULSERA BLOSSOM STAR ROSEGOLD</t>
        </is>
      </c>
      <c r="F308" s="9" t="inlineStr">
        <is>
          <t>16cm con extension 5cm</t>
        </is>
      </c>
      <c r="G308" s="9" t="n">
        <v>3</v>
      </c>
      <c r="H308" s="21" t="n">
        <v>3.98</v>
      </c>
      <c r="I308" s="21" t="n">
        <v>100.21</v>
      </c>
      <c r="J308" s="21" t="n">
        <v>300.64</v>
      </c>
      <c r="K308" s="21" t="n">
        <v>350.74</v>
      </c>
      <c r="L308" s="21" t="n">
        <v>400.85</v>
      </c>
      <c r="M308" s="21" t="n">
        <v>435</v>
      </c>
    </row>
    <row r="309">
      <c r="A309" s="9" t="inlineStr">
        <is>
          <t>CYNTHIA</t>
        </is>
      </c>
      <c r="B309" s="9" t="inlineStr">
        <is>
          <t>CYNTHIA 05/09/2025</t>
        </is>
      </c>
      <c r="C309" s="9" t="inlineStr">
        <is>
          <t>2025-09-05</t>
        </is>
      </c>
      <c r="D309" s="9" t="inlineStr">
        <is>
          <t>71036870763532</t>
        </is>
      </c>
      <c r="E309" s="9" t="inlineStr">
        <is>
          <t>PULSERA CC COMETE</t>
        </is>
      </c>
      <c r="F309" s="9" t="inlineStr">
        <is>
          <t>16cm</t>
        </is>
      </c>
      <c r="G309" s="9" t="n">
        <v>3</v>
      </c>
      <c r="H309" s="21" t="n">
        <v>9.800000000000001</v>
      </c>
      <c r="I309" s="21" t="n">
        <v>246.76</v>
      </c>
      <c r="J309" s="21" t="n">
        <v>740.27</v>
      </c>
      <c r="K309" s="21" t="n">
        <v>863.64</v>
      </c>
      <c r="L309" s="21" t="n">
        <v>987.02</v>
      </c>
      <c r="M309" s="21" t="n">
        <v>850</v>
      </c>
    </row>
    <row r="310">
      <c r="A310" s="9" t="inlineStr">
        <is>
          <t>CYNTHIA</t>
        </is>
      </c>
      <c r="B310" s="9" t="inlineStr">
        <is>
          <t>CYNTHIA 05/09/2025</t>
        </is>
      </c>
      <c r="C310" s="9" t="inlineStr">
        <is>
          <t>2025-09-05</t>
        </is>
      </c>
      <c r="D310" s="9" t="inlineStr">
        <is>
          <t>668eee41bab7a</t>
        </is>
      </c>
      <c r="E310" s="9" t="inlineStr">
        <is>
          <t>PULSERA ESLABONES GOLD</t>
        </is>
      </c>
      <c r="F310" s="9" t="inlineStr">
        <is>
          <t>High Quality 17.5cm</t>
        </is>
      </c>
      <c r="G310" s="9" t="n">
        <v>10</v>
      </c>
      <c r="H310" s="21" t="n">
        <v>12.8</v>
      </c>
      <c r="I310" s="21" t="n">
        <v>322.29</v>
      </c>
      <c r="J310" s="21" t="n">
        <v>966.88</v>
      </c>
      <c r="K310" s="21" t="n">
        <v>1128.02</v>
      </c>
      <c r="L310" s="21" t="n">
        <v>1289.17</v>
      </c>
      <c r="M310" s="21" t="n">
        <v>1250</v>
      </c>
    </row>
    <row r="311">
      <c r="A311" s="9" t="inlineStr">
        <is>
          <t>CYNTHIA</t>
        </is>
      </c>
      <c r="B311" s="9" t="inlineStr">
        <is>
          <t>CYNTHIA 05/09/2025</t>
        </is>
      </c>
      <c r="C311" s="9" t="inlineStr">
        <is>
          <t>2025-09-05</t>
        </is>
      </c>
      <c r="D311" s="9" t="inlineStr">
        <is>
          <t>668eee4272e66</t>
        </is>
      </c>
      <c r="E311" s="9" t="inlineStr">
        <is>
          <t>PULSERA ESLABONES GOLD</t>
        </is>
      </c>
      <c r="F311" s="9" t="inlineStr">
        <is>
          <t>High Quality 20.5cm</t>
        </is>
      </c>
      <c r="G311" s="9" t="n">
        <v>6</v>
      </c>
      <c r="H311" s="21" t="n">
        <v>15</v>
      </c>
      <c r="I311" s="21" t="n">
        <v>377.69</v>
      </c>
      <c r="J311" s="21" t="n">
        <v>1133.06</v>
      </c>
      <c r="K311" s="21" t="n">
        <v>1321.9</v>
      </c>
      <c r="L311" s="21" t="n">
        <v>1510.75</v>
      </c>
      <c r="M311" s="21" t="n">
        <v>1320</v>
      </c>
    </row>
    <row r="312">
      <c r="A312" s="9" t="inlineStr">
        <is>
          <t>CYNTHIA</t>
        </is>
      </c>
      <c r="B312" s="9" t="inlineStr">
        <is>
          <t>CYNTHIA 05/09/2025</t>
        </is>
      </c>
      <c r="C312" s="9" t="inlineStr">
        <is>
          <t>2025-09-05</t>
        </is>
      </c>
      <c r="D312" s="9" t="inlineStr">
        <is>
          <t>43047195574412</t>
        </is>
      </c>
      <c r="E312" s="9" t="inlineStr">
        <is>
          <t>PULSERA ESLABONES ROSE GOLD</t>
        </is>
      </c>
      <c r="F312" s="9" t="inlineStr">
        <is>
          <t>17.5cm</t>
        </is>
      </c>
      <c r="G312" s="9" t="n">
        <v>3</v>
      </c>
      <c r="H312" s="21" t="n">
        <v>12.8</v>
      </c>
      <c r="I312" s="21" t="n">
        <v>322.29</v>
      </c>
      <c r="J312" s="21" t="n">
        <v>966.88</v>
      </c>
      <c r="K312" s="21" t="n">
        <v>1128.02</v>
      </c>
      <c r="L312" s="21" t="n">
        <v>1289.17</v>
      </c>
      <c r="M312" s="21" t="n">
        <v>1200</v>
      </c>
    </row>
    <row r="313">
      <c r="A313" s="9" t="inlineStr">
        <is>
          <t>CYNTHIA</t>
        </is>
      </c>
      <c r="B313" s="9" t="inlineStr">
        <is>
          <t>CYNTHIA 05/09/2025</t>
        </is>
      </c>
      <c r="C313" s="9" t="inlineStr">
        <is>
          <t>2025-09-05</t>
        </is>
      </c>
      <c r="D313" s="9" t="inlineStr">
        <is>
          <t>668eee4ea136d</t>
        </is>
      </c>
      <c r="E313" s="9" t="inlineStr">
        <is>
          <t>PULSERA ESLABONES SILVER</t>
        </is>
      </c>
      <c r="F313" s="9" t="inlineStr">
        <is>
          <t>High Quality 20.5cm</t>
        </is>
      </c>
      <c r="G313" s="9" t="n">
        <v>5</v>
      </c>
      <c r="H313" s="21" t="n">
        <v>15</v>
      </c>
      <c r="I313" s="21" t="n">
        <v>377.69</v>
      </c>
      <c r="J313" s="21" t="n">
        <v>1133.06</v>
      </c>
      <c r="K313" s="21" t="n">
        <v>1321.9</v>
      </c>
      <c r="L313" s="21" t="n">
        <v>1510.75</v>
      </c>
      <c r="M313" s="21" t="n">
        <v>1350</v>
      </c>
    </row>
    <row r="314">
      <c r="A314" s="9" t="inlineStr">
        <is>
          <t>CYNTHIA</t>
        </is>
      </c>
      <c r="B314" s="9" t="inlineStr">
        <is>
          <t>CYNTHIA 05/09/2025</t>
        </is>
      </c>
      <c r="C314" s="9" t="inlineStr">
        <is>
          <t>2025-09-05</t>
        </is>
      </c>
      <c r="D314" s="9" t="inlineStr">
        <is>
          <t>668eee4e0326c</t>
        </is>
      </c>
      <c r="E314" s="9" t="inlineStr">
        <is>
          <t>PULSERA ESLABONES SILVER</t>
        </is>
      </c>
      <c r="F314" s="9" t="inlineStr">
        <is>
          <t>High Quality 17.5 cm</t>
        </is>
      </c>
      <c r="G314" s="9" t="n">
        <v>10</v>
      </c>
      <c r="H314" s="21" t="n">
        <v>12.8</v>
      </c>
      <c r="I314" s="21" t="n">
        <v>322.29</v>
      </c>
      <c r="J314" s="21" t="n">
        <v>966.88</v>
      </c>
      <c r="K314" s="21" t="n">
        <v>1128.02</v>
      </c>
      <c r="L314" s="21" t="n">
        <v>1289.17</v>
      </c>
      <c r="M314" s="21" t="n">
        <v>1350</v>
      </c>
    </row>
    <row r="315">
      <c r="A315" s="9" t="inlineStr">
        <is>
          <t>CYNTHIA</t>
        </is>
      </c>
      <c r="B315" s="9" t="inlineStr">
        <is>
          <t>CYNTHIA 05/09/2025</t>
        </is>
      </c>
      <c r="C315" s="9" t="inlineStr">
        <is>
          <t>2025-09-05</t>
        </is>
      </c>
      <c r="D315" s="9" t="inlineStr">
        <is>
          <t>71036872850956</t>
        </is>
      </c>
      <c r="E315" s="9" t="inlineStr">
        <is>
          <t>PULSERA GC INTERLOCKING</t>
        </is>
      </c>
      <c r="F315" s="9" t="inlineStr">
        <is>
          <t>18cm</t>
        </is>
      </c>
      <c r="G315" s="9" t="n">
        <v>2</v>
      </c>
      <c r="H315" s="21" t="n">
        <v>12.8</v>
      </c>
      <c r="I315" s="21" t="n">
        <v>322.29</v>
      </c>
      <c r="J315" s="21" t="n">
        <v>966.88</v>
      </c>
      <c r="K315" s="21" t="n">
        <v>1128.02</v>
      </c>
      <c r="L315" s="21" t="n">
        <v>1289.17</v>
      </c>
      <c r="M315" s="21" t="n">
        <v>1066</v>
      </c>
    </row>
    <row r="316">
      <c r="A316" s="9" t="inlineStr">
        <is>
          <t>CYNTHIA</t>
        </is>
      </c>
      <c r="B316" s="9" t="inlineStr">
        <is>
          <t>CYNTHIA 05/09/2025</t>
        </is>
      </c>
      <c r="C316" s="9" t="inlineStr">
        <is>
          <t>2025-09-05</t>
        </is>
      </c>
      <c r="D316" s="9" t="inlineStr">
        <is>
          <t>71036872883724</t>
        </is>
      </c>
      <c r="E316" s="9" t="inlineStr">
        <is>
          <t>PULSERA GC INTERLOCKING</t>
        </is>
      </c>
      <c r="F316" s="9" t="inlineStr">
        <is>
          <t>20cm</t>
        </is>
      </c>
      <c r="G316" s="9" t="n">
        <v>1</v>
      </c>
      <c r="H316" s="21" t="n">
        <v>12.8</v>
      </c>
      <c r="I316" s="21" t="n">
        <v>322.29</v>
      </c>
      <c r="J316" s="21" t="n">
        <v>966.88</v>
      </c>
      <c r="K316" s="21" t="n">
        <v>1128.02</v>
      </c>
      <c r="L316" s="21" t="n">
        <v>1289.17</v>
      </c>
      <c r="M316" s="21" t="n">
        <v>1066</v>
      </c>
    </row>
    <row r="317">
      <c r="A317" s="9" t="inlineStr">
        <is>
          <t>CYNTHIA</t>
        </is>
      </c>
      <c r="B317" s="9" t="inlineStr">
        <is>
          <t>CYNTHIA 05/09/2025</t>
        </is>
      </c>
      <c r="C317" s="9" t="inlineStr">
        <is>
          <t>2025-09-05</t>
        </is>
      </c>
      <c r="D317" s="9" t="inlineStr">
        <is>
          <t>43047213301900</t>
        </is>
      </c>
      <c r="E317" s="9" t="inlineStr">
        <is>
          <t>PULSERA KNOT GOLD</t>
        </is>
      </c>
      <c r="F317" s="9" t="inlineStr">
        <is>
          <t>17cm</t>
        </is>
      </c>
      <c r="G317" s="9" t="n">
        <v>3</v>
      </c>
      <c r="H317" s="21" t="n">
        <v>9.5</v>
      </c>
      <c r="I317" s="21" t="n">
        <v>239.2</v>
      </c>
      <c r="J317" s="21" t="n">
        <v>717.6</v>
      </c>
      <c r="K317" s="21" t="n">
        <v>837.2</v>
      </c>
      <c r="L317" s="21" t="n">
        <v>956.8099999999999</v>
      </c>
      <c r="M317" s="21" t="n">
        <v>1405</v>
      </c>
    </row>
    <row r="318">
      <c r="A318" s="9" t="inlineStr">
        <is>
          <t>CYNTHIA</t>
        </is>
      </c>
      <c r="B318" s="9" t="inlineStr">
        <is>
          <t>CYNTHIA 05/09/2025</t>
        </is>
      </c>
      <c r="C318" s="9" t="inlineStr">
        <is>
          <t>2025-09-05</t>
        </is>
      </c>
      <c r="D318" s="9" t="inlineStr">
        <is>
          <t>43047248920716</t>
        </is>
      </c>
      <c r="E318" s="9" t="inlineStr">
        <is>
          <t>PULSERA KNOT ROSE GOLD</t>
        </is>
      </c>
      <c r="F318" s="9" t="inlineStr">
        <is>
          <t>16cm</t>
        </is>
      </c>
      <c r="G318" s="9" t="n">
        <v>2</v>
      </c>
      <c r="H318" s="21" t="n">
        <v>9.5</v>
      </c>
      <c r="I318" s="21" t="n">
        <v>239.2</v>
      </c>
      <c r="J318" s="21" t="n">
        <v>717.6</v>
      </c>
      <c r="K318" s="21" t="n">
        <v>837.2</v>
      </c>
      <c r="L318" s="21" t="n">
        <v>956.8099999999999</v>
      </c>
      <c r="M318" s="21" t="n">
        <v>1333</v>
      </c>
    </row>
    <row r="319">
      <c r="A319" s="9" t="inlineStr">
        <is>
          <t>CYNTHIA</t>
        </is>
      </c>
      <c r="B319" s="9" t="inlineStr">
        <is>
          <t>CYNTHIA 05/09/2025</t>
        </is>
      </c>
      <c r="C319" s="9" t="inlineStr">
        <is>
          <t>2025-09-05</t>
        </is>
      </c>
      <c r="D319" s="9" t="inlineStr">
        <is>
          <t>8275735417996</t>
        </is>
      </c>
      <c r="E319" s="9" t="inlineStr">
        <is>
          <t>PULSERA LV BLOSSOM GOLD</t>
        </is>
      </c>
      <c r="F319" s="9" t="inlineStr">
        <is>
          <t>17cm</t>
        </is>
      </c>
      <c r="G319" s="9" t="n">
        <v>4</v>
      </c>
      <c r="H319" s="21" t="n">
        <v>12.8</v>
      </c>
      <c r="I319" s="21" t="n">
        <v>322.29</v>
      </c>
      <c r="J319" s="21" t="n">
        <v>966.88</v>
      </c>
      <c r="K319" s="21" t="n">
        <v>1128.02</v>
      </c>
      <c r="L319" s="21" t="n">
        <v>1289.17</v>
      </c>
      <c r="M319" s="21" t="n">
        <v>1099</v>
      </c>
    </row>
    <row r="320">
      <c r="A320" s="9" t="inlineStr">
        <is>
          <t>CYNTHIA</t>
        </is>
      </c>
      <c r="B320" s="9" t="inlineStr">
        <is>
          <t>CYNTHIA 05/09/2025</t>
        </is>
      </c>
      <c r="C320" s="9" t="inlineStr">
        <is>
          <t>2025-09-05</t>
        </is>
      </c>
      <c r="D320" s="9" t="inlineStr">
        <is>
          <t>77978447716236</t>
        </is>
      </c>
      <c r="E320" s="9" t="inlineStr">
        <is>
          <t>PULSERA LV CON INSIGNIA</t>
        </is>
      </c>
      <c r="F320" s="9" t="inlineStr">
        <is>
          <t>16cm high quality</t>
        </is>
      </c>
      <c r="G320" s="9" t="n">
        <v>2</v>
      </c>
      <c r="H320" s="21" t="n">
        <v>8.800000000000001</v>
      </c>
      <c r="I320" s="21" t="n">
        <v>221.58</v>
      </c>
      <c r="J320" s="21" t="n">
        <v>664.73</v>
      </c>
      <c r="K320" s="21" t="n">
        <v>775.52</v>
      </c>
      <c r="L320" s="21" t="n">
        <v>886.3</v>
      </c>
      <c r="M320" s="21" t="n">
        <v>750</v>
      </c>
    </row>
    <row r="321">
      <c r="A321" s="9" t="inlineStr">
        <is>
          <t>CYNTHIA</t>
        </is>
      </c>
      <c r="B321" s="9" t="inlineStr">
        <is>
          <t>CYNTHIA 05/09/2025</t>
        </is>
      </c>
      <c r="C321" s="9" t="inlineStr">
        <is>
          <t>2025-09-05</t>
        </is>
      </c>
      <c r="D321" s="9" t="inlineStr">
        <is>
          <t>43047220412556</t>
        </is>
      </c>
      <c r="E321" s="9" t="inlineStr">
        <is>
          <t>PULSERA ONE T DOBLE ZIRCONIA GOLD</t>
        </is>
      </c>
      <c r="F321" s="9" t="inlineStr">
        <is>
          <t>16.58cm</t>
        </is>
      </c>
      <c r="G321" s="9" t="n">
        <v>2</v>
      </c>
      <c r="H321" s="21" t="n">
        <v>14.8</v>
      </c>
      <c r="I321" s="21" t="n">
        <v>372.65</v>
      </c>
      <c r="J321" s="21" t="n">
        <v>1117.95</v>
      </c>
      <c r="K321" s="21" t="n">
        <v>1304.28</v>
      </c>
      <c r="L321" s="21" t="n">
        <v>1490.6</v>
      </c>
      <c r="M321" s="21" t="n">
        <v>1250</v>
      </c>
    </row>
    <row r="322">
      <c r="A322" s="9" t="inlineStr">
        <is>
          <t>CYNTHIA</t>
        </is>
      </c>
      <c r="B322" s="9" t="inlineStr">
        <is>
          <t>CYNTHIA 05/09/2025</t>
        </is>
      </c>
      <c r="C322" s="9" t="inlineStr">
        <is>
          <t>2025-09-05</t>
        </is>
      </c>
      <c r="D322" s="9" t="inlineStr">
        <is>
          <t>43047219789964</t>
        </is>
      </c>
      <c r="E322" s="9" t="inlineStr">
        <is>
          <t>PULSERA ONE T DOBLE ZIRCONIA SILVER</t>
        </is>
      </c>
      <c r="F322" s="9" t="inlineStr">
        <is>
          <t>16.58cm</t>
        </is>
      </c>
      <c r="G322" s="9" t="n">
        <v>2</v>
      </c>
      <c r="H322" s="21" t="n">
        <v>14.8</v>
      </c>
      <c r="I322" s="21" t="n">
        <v>372.65</v>
      </c>
      <c r="J322" s="21" t="n">
        <v>1117.95</v>
      </c>
      <c r="K322" s="21" t="n">
        <v>1304.28</v>
      </c>
      <c r="L322" s="21" t="n">
        <v>1490.6</v>
      </c>
      <c r="M322" s="21" t="n">
        <v>1150</v>
      </c>
    </row>
    <row r="323">
      <c r="A323" s="9" t="inlineStr">
        <is>
          <t>CYNTHIA</t>
        </is>
      </c>
      <c r="B323" s="9" t="inlineStr">
        <is>
          <t>CYNTHIA 05/09/2025</t>
        </is>
      </c>
      <c r="C323" s="9" t="inlineStr">
        <is>
          <t>2025-09-05</t>
        </is>
      </c>
      <c r="D323" s="9" t="inlineStr">
        <is>
          <t>6701d2626ff26</t>
        </is>
      </c>
      <c r="E323" s="9" t="inlineStr">
        <is>
          <t>PULSERA P DIAMOND</t>
        </is>
      </c>
      <c r="F323" s="9" t="inlineStr">
        <is>
          <t>16cm</t>
        </is>
      </c>
      <c r="G323" s="9" t="n">
        <v>2</v>
      </c>
      <c r="H323" s="21" t="n">
        <v>6</v>
      </c>
      <c r="I323" s="21" t="n">
        <v>151.07</v>
      </c>
      <c r="J323" s="21" t="n">
        <v>453.22</v>
      </c>
      <c r="K323" s="21" t="n">
        <v>528.76</v>
      </c>
      <c r="L323" s="21" t="n">
        <v>604.3</v>
      </c>
      <c r="M323" s="21" t="n">
        <v>750</v>
      </c>
    </row>
    <row r="324">
      <c r="A324" s="9" t="inlineStr">
        <is>
          <t>CYNTHIA</t>
        </is>
      </c>
      <c r="B324" s="9" t="inlineStr">
        <is>
          <t>CYNTHIA 05/09/2025</t>
        </is>
      </c>
      <c r="C324" s="9" t="inlineStr">
        <is>
          <t>2025-09-05</t>
        </is>
      </c>
      <c r="D324" s="9" t="inlineStr">
        <is>
          <t>665bce42479e9</t>
        </is>
      </c>
      <c r="E324" s="9" t="inlineStr">
        <is>
          <t>PULSERA P STARS</t>
        </is>
      </c>
      <c r="F324" s="9" t="inlineStr">
        <is>
          <t>16cm extensión de 4cm</t>
        </is>
      </c>
      <c r="G324" s="9" t="n">
        <v>2</v>
      </c>
      <c r="H324" s="21" t="n">
        <v>6</v>
      </c>
      <c r="I324" s="21" t="n">
        <v>151.07</v>
      </c>
      <c r="J324" s="21" t="n">
        <v>453.22</v>
      </c>
      <c r="K324" s="21" t="n">
        <v>528.76</v>
      </c>
      <c r="L324" s="21" t="n">
        <v>604.3</v>
      </c>
      <c r="M324" s="21" t="n">
        <v>499</v>
      </c>
    </row>
    <row r="325">
      <c r="A325" s="9" t="inlineStr">
        <is>
          <t>CYNTHIA</t>
        </is>
      </c>
      <c r="B325" s="9" t="inlineStr">
        <is>
          <t>CYNTHIA 05/09/2025</t>
        </is>
      </c>
      <c r="C325" s="9" t="inlineStr">
        <is>
          <t>2025-09-05</t>
        </is>
      </c>
      <c r="D325" s="9" t="inlineStr">
        <is>
          <t>15711172404461</t>
        </is>
      </c>
      <c r="E325" s="9" t="inlineStr">
        <is>
          <t>PULSERA PETIT CD JOLIE GOLD</t>
        </is>
      </c>
      <c r="F325" s="9" t="inlineStr">
        <is>
          <t>20 cm</t>
        </is>
      </c>
      <c r="G325" s="9" t="n">
        <v>2</v>
      </c>
      <c r="H325" s="21" t="n">
        <v>8.800000000000001</v>
      </c>
      <c r="I325" s="21" t="n">
        <v>221.58</v>
      </c>
      <c r="J325" s="21" t="n">
        <v>664.73</v>
      </c>
      <c r="K325" s="21" t="n">
        <v>775.52</v>
      </c>
      <c r="L325" s="21" t="n">
        <v>886.3</v>
      </c>
      <c r="M325" s="21" t="n">
        <v>750</v>
      </c>
    </row>
    <row r="326">
      <c r="A326" s="9" t="inlineStr">
        <is>
          <t>CYNTHIA</t>
        </is>
      </c>
      <c r="B326" s="9" t="inlineStr">
        <is>
          <t>CYNTHIA 05/09/2025</t>
        </is>
      </c>
      <c r="C326" s="9" t="inlineStr">
        <is>
          <t>2025-09-05</t>
        </is>
      </c>
      <c r="D326" s="9" t="inlineStr">
        <is>
          <t>43047214907532</t>
        </is>
      </c>
      <c r="E326" s="9" t="inlineStr">
        <is>
          <t>PULSERA SIXTEEN STONES</t>
        </is>
      </c>
      <c r="F326" s="9" t="inlineStr">
        <is>
          <t>19cm</t>
        </is>
      </c>
      <c r="G326" s="9" t="n">
        <v>3</v>
      </c>
      <c r="H326" s="21" t="n">
        <v>20</v>
      </c>
      <c r="I326" s="21" t="n">
        <v>503.58</v>
      </c>
      <c r="J326" s="21" t="n">
        <v>1510.75</v>
      </c>
      <c r="K326" s="21" t="n">
        <v>1762.54</v>
      </c>
      <c r="L326" s="21" t="n">
        <v>2014.33</v>
      </c>
      <c r="M326" s="21" t="n">
        <v>1666</v>
      </c>
    </row>
    <row r="327">
      <c r="A327" s="9" t="inlineStr">
        <is>
          <t>CYNTHIA</t>
        </is>
      </c>
      <c r="B327" s="9" t="inlineStr">
        <is>
          <t>CYNTHIA 05/09/2025</t>
        </is>
      </c>
      <c r="C327" s="9" t="inlineStr">
        <is>
          <t>2025-09-05</t>
        </is>
      </c>
      <c r="D327" s="9" t="inlineStr">
        <is>
          <t>668eee4d3cd9f</t>
        </is>
      </c>
      <c r="E327" s="9" t="inlineStr">
        <is>
          <t>PULSERA T ANGOSTA GOLD</t>
        </is>
      </c>
      <c r="F327" s="9" t="inlineStr">
        <is>
          <t>HIGH QUALITY</t>
        </is>
      </c>
      <c r="G327" s="9" t="n">
        <v>4</v>
      </c>
      <c r="H327" s="21" t="n">
        <v>14</v>
      </c>
      <c r="I327" s="21" t="n">
        <v>352.51</v>
      </c>
      <c r="J327" s="21" t="n">
        <v>1057.52</v>
      </c>
      <c r="K327" s="21" t="n">
        <v>1233.78</v>
      </c>
      <c r="L327" s="21" t="n">
        <v>1410.03</v>
      </c>
      <c r="M327" s="21" t="n">
        <v>1165</v>
      </c>
    </row>
    <row r="328">
      <c r="A328" s="9" t="inlineStr">
        <is>
          <t>CYNTHIA</t>
        </is>
      </c>
      <c r="B328" s="9" t="inlineStr">
        <is>
          <t>CYNTHIA 05/09/2025</t>
        </is>
      </c>
      <c r="C328" s="9" t="inlineStr">
        <is>
          <t>2025-09-05</t>
        </is>
      </c>
      <c r="D328" s="9" t="inlineStr">
        <is>
          <t>43047207010444</t>
        </is>
      </c>
      <c r="E328" s="9" t="inlineStr">
        <is>
          <t>PULSERA T ANGOSTA SILVER</t>
        </is>
      </c>
      <c r="F328" s="9" t="inlineStr">
        <is>
          <t>16cm</t>
        </is>
      </c>
      <c r="G328" s="9" t="n">
        <v>3</v>
      </c>
      <c r="H328" s="21" t="n">
        <v>14</v>
      </c>
      <c r="I328" s="21" t="n">
        <v>352.51</v>
      </c>
      <c r="J328" s="21" t="n">
        <v>1057.52</v>
      </c>
      <c r="K328" s="21" t="n">
        <v>1233.78</v>
      </c>
      <c r="L328" s="21" t="n">
        <v>1410.03</v>
      </c>
      <c r="M328" s="21" t="n">
        <v>1180</v>
      </c>
    </row>
    <row r="329">
      <c r="A329" s="9" t="inlineStr">
        <is>
          <t>CYNTHIA</t>
        </is>
      </c>
      <c r="B329" s="9" t="inlineStr">
        <is>
          <t>CYNTHIA 05/09/2025</t>
        </is>
      </c>
      <c r="C329" s="9" t="inlineStr">
        <is>
          <t>2025-09-05</t>
        </is>
      </c>
      <c r="D329" s="9" t="inlineStr">
        <is>
          <t>668eecb8df0eb</t>
        </is>
      </c>
      <c r="E329" s="9" t="inlineStr">
        <is>
          <t>PULSERA T GOLD</t>
        </is>
      </c>
      <c r="F329" s="9" t="inlineStr">
        <is>
          <t>16 cm</t>
        </is>
      </c>
      <c r="G329" s="9" t="n">
        <v>4</v>
      </c>
      <c r="H329" s="21" t="n">
        <v>9</v>
      </c>
      <c r="I329" s="21" t="n">
        <v>226.61</v>
      </c>
      <c r="J329" s="21" t="n">
        <v>679.84</v>
      </c>
      <c r="K329" s="21" t="n">
        <v>793.14</v>
      </c>
      <c r="L329" s="21" t="n">
        <v>906.45</v>
      </c>
      <c r="M329" s="21" t="n">
        <v>799</v>
      </c>
    </row>
    <row r="330">
      <c r="A330" s="9" t="inlineStr">
        <is>
          <t>CYNTHIA</t>
        </is>
      </c>
      <c r="B330" s="9" t="inlineStr">
        <is>
          <t>CYNTHIA 05/09/2025</t>
        </is>
      </c>
      <c r="C330" s="9" t="inlineStr">
        <is>
          <t>2025-09-05</t>
        </is>
      </c>
      <c r="D330" s="9" t="inlineStr">
        <is>
          <t>668eecc4d784e</t>
        </is>
      </c>
      <c r="E330" s="9" t="inlineStr">
        <is>
          <t>PULSERA T ROSE GOLD</t>
        </is>
      </c>
      <c r="F330" s="9" t="inlineStr">
        <is>
          <t>16 cm</t>
        </is>
      </c>
      <c r="G330" s="9" t="n">
        <v>5</v>
      </c>
      <c r="H330" s="21" t="n">
        <v>9</v>
      </c>
      <c r="I330" s="21" t="n">
        <v>226.61</v>
      </c>
      <c r="J330" s="21" t="n">
        <v>679.84</v>
      </c>
      <c r="K330" s="21" t="n">
        <v>793.14</v>
      </c>
      <c r="L330" s="21" t="n">
        <v>906.45</v>
      </c>
      <c r="M330" s="21" t="n">
        <v>799</v>
      </c>
    </row>
    <row r="331">
      <c r="A331" s="9" t="inlineStr">
        <is>
          <t>CYNTHIA</t>
        </is>
      </c>
      <c r="B331" s="9" t="inlineStr">
        <is>
          <t>CYNTHIA 05/09/2025</t>
        </is>
      </c>
      <c r="C331" s="9" t="inlineStr">
        <is>
          <t>2025-09-05</t>
        </is>
      </c>
      <c r="D331" s="9" t="inlineStr">
        <is>
          <t>668eeccb35ffc</t>
        </is>
      </c>
      <c r="E331" s="9" t="inlineStr">
        <is>
          <t>PULSERA T SILVER</t>
        </is>
      </c>
      <c r="F331" s="9" t="inlineStr">
        <is>
          <t>16 cm</t>
        </is>
      </c>
      <c r="G331" s="9" t="n">
        <v>8</v>
      </c>
      <c r="H331" s="21" t="n">
        <v>9</v>
      </c>
      <c r="I331" s="21" t="n">
        <v>226.61</v>
      </c>
      <c r="J331" s="21" t="n">
        <v>679.84</v>
      </c>
      <c r="K331" s="21" t="n">
        <v>793.14</v>
      </c>
      <c r="L331" s="21" t="n">
        <v>906.45</v>
      </c>
      <c r="M331" s="21" t="n">
        <v>799</v>
      </c>
    </row>
    <row r="332">
      <c r="A332" s="9" t="inlineStr">
        <is>
          <t>CYNTHIA</t>
        </is>
      </c>
      <c r="B332" s="9" t="inlineStr">
        <is>
          <t>CYNTHIA 05/09/2025</t>
        </is>
      </c>
      <c r="C332" s="9" t="inlineStr">
        <is>
          <t>2025-09-05</t>
        </is>
      </c>
      <c r="D332" s="9" t="inlineStr">
        <is>
          <t>71628204927116</t>
        </is>
      </c>
      <c r="E332" s="9" t="inlineStr">
        <is>
          <t>SANDALIAS H BLACK</t>
        </is>
      </c>
      <c r="F332" s="9" t="inlineStr">
        <is>
          <t>37 (23 cm)</t>
        </is>
      </c>
      <c r="G332" s="9" t="n">
        <v>1</v>
      </c>
      <c r="H332" s="21" t="n">
        <v>34</v>
      </c>
      <c r="I332" s="21" t="n">
        <v>856.09</v>
      </c>
      <c r="J332" s="21" t="n">
        <v>2568.27</v>
      </c>
      <c r="K332" s="21" t="n">
        <v>2996.31</v>
      </c>
      <c r="L332" s="21" t="n">
        <v>3424.36</v>
      </c>
      <c r="M332" s="21" t="n">
        <v>2850</v>
      </c>
    </row>
    <row r="333">
      <c r="A333" s="9" t="inlineStr">
        <is>
          <t>CYNTHIA</t>
        </is>
      </c>
      <c r="B333" s="9" t="inlineStr">
        <is>
          <t>CYNTHIA 05/09/2025</t>
        </is>
      </c>
      <c r="C333" s="9" t="inlineStr">
        <is>
          <t>2025-09-05</t>
        </is>
      </c>
      <c r="D333" s="9" t="inlineStr">
        <is>
          <t>71628204959884</t>
        </is>
      </c>
      <c r="E333" s="9" t="inlineStr">
        <is>
          <t>SANDALIAS H BLACK</t>
        </is>
      </c>
      <c r="F333" s="9" t="inlineStr">
        <is>
          <t>38 (24cm)</t>
        </is>
      </c>
      <c r="G333" s="9" t="n">
        <v>1</v>
      </c>
      <c r="H333" s="21" t="n">
        <v>34</v>
      </c>
      <c r="I333" s="21" t="n">
        <v>856.09</v>
      </c>
      <c r="J333" s="21" t="n">
        <v>2568.27</v>
      </c>
      <c r="K333" s="21" t="n">
        <v>2996.31</v>
      </c>
      <c r="L333" s="21" t="n">
        <v>3424.36</v>
      </c>
      <c r="M333" s="21" t="n">
        <v>2850</v>
      </c>
    </row>
    <row r="334">
      <c r="A334" s="9" t="inlineStr">
        <is>
          <t>CYNTHIA</t>
        </is>
      </c>
      <c r="B334" s="9" t="inlineStr">
        <is>
          <t>CYNTHIA 05/09/2025</t>
        </is>
      </c>
      <c r="C334" s="9" t="inlineStr">
        <is>
          <t>2025-09-05</t>
        </is>
      </c>
      <c r="D334" s="9" t="inlineStr">
        <is>
          <t>6701d26098e78</t>
        </is>
      </c>
      <c r="E334" s="9" t="inlineStr">
        <is>
          <t>SANDALIAS H BLACK</t>
        </is>
      </c>
      <c r="F334" s="9" t="inlineStr">
        <is>
          <t>40 (25cm)</t>
        </is>
      </c>
      <c r="G334" s="9" t="n">
        <v>1</v>
      </c>
      <c r="H334" s="21" t="n">
        <v>34</v>
      </c>
      <c r="I334" s="21" t="n">
        <v>856.09</v>
      </c>
      <c r="J334" s="21" t="n">
        <v>2568.27</v>
      </c>
      <c r="K334" s="21" t="n">
        <v>2996.31</v>
      </c>
      <c r="L334" s="21" t="n">
        <v>3424.36</v>
      </c>
      <c r="M334" s="21" t="n">
        <v>2850</v>
      </c>
    </row>
    <row r="335">
      <c r="A335" s="9" t="inlineStr">
        <is>
          <t>CYNTHIA</t>
        </is>
      </c>
      <c r="B335" s="9" t="inlineStr">
        <is>
          <t>CYNTHIA 05/09/2025</t>
        </is>
      </c>
      <c r="C335" s="9" t="inlineStr">
        <is>
          <t>2025-09-05</t>
        </is>
      </c>
      <c r="D335" s="9" t="inlineStr">
        <is>
          <t>71628205615244</t>
        </is>
      </c>
      <c r="E335" s="9" t="inlineStr">
        <is>
          <t>SANDALIAS H BROWN</t>
        </is>
      </c>
      <c r="F335" s="9" t="inlineStr">
        <is>
          <t>37 (23cm)</t>
        </is>
      </c>
      <c r="G335" s="9" t="n">
        <v>1</v>
      </c>
      <c r="H335" s="21" t="n">
        <v>30</v>
      </c>
      <c r="I335" s="21" t="n">
        <v>755.37</v>
      </c>
      <c r="J335" s="21" t="n">
        <v>2266.12</v>
      </c>
      <c r="K335" s="21" t="n">
        <v>2643.81</v>
      </c>
      <c r="L335" s="21" t="n">
        <v>3021.49</v>
      </c>
      <c r="M335" s="21" t="n">
        <v>2699</v>
      </c>
    </row>
    <row r="336">
      <c r="A336" s="9" t="inlineStr">
        <is>
          <t>CYNTHIA</t>
        </is>
      </c>
      <c r="B336" s="9" t="inlineStr">
        <is>
          <t>CYNTHIA 05/09/2025</t>
        </is>
      </c>
      <c r="C336" s="9" t="inlineStr">
        <is>
          <t>2025-09-05</t>
        </is>
      </c>
      <c r="D336" s="9" t="inlineStr">
        <is>
          <t>6701d26146e52</t>
        </is>
      </c>
      <c r="E336" s="9" t="inlineStr">
        <is>
          <t>SANDALIAS H WHITE</t>
        </is>
      </c>
      <c r="F336" s="9" t="inlineStr">
        <is>
          <t>38 (24cm)</t>
        </is>
      </c>
      <c r="G336" s="9" t="n">
        <v>2</v>
      </c>
      <c r="H336" s="21" t="n">
        <v>30</v>
      </c>
      <c r="I336" s="21" t="n">
        <v>755.37</v>
      </c>
      <c r="J336" s="21" t="n">
        <v>2266.12</v>
      </c>
      <c r="K336" s="21" t="n">
        <v>2643.81</v>
      </c>
      <c r="L336" s="21" t="n">
        <v>3021.49</v>
      </c>
      <c r="M336" s="21" t="n">
        <v>2699</v>
      </c>
    </row>
    <row r="337">
      <c r="A337" s="9" t="inlineStr">
        <is>
          <t>CYNTHIA</t>
        </is>
      </c>
      <c r="B337" s="9" t="inlineStr">
        <is>
          <t>CYNTHIA 05/09/2025</t>
        </is>
      </c>
      <c r="C337" s="9" t="inlineStr">
        <is>
          <t>2025-09-05</t>
        </is>
      </c>
      <c r="D337" s="9" t="inlineStr">
        <is>
          <t>81712806121228</t>
        </is>
      </c>
      <c r="E337" s="9" t="inlineStr">
        <is>
          <t>SANDALIAS MM</t>
        </is>
      </c>
      <c r="F337" s="9" t="inlineStr">
        <is>
          <t>38/ 24cm</t>
        </is>
      </c>
      <c r="G337" s="9" t="n">
        <v>2</v>
      </c>
      <c r="H337" s="21" t="n">
        <v>28</v>
      </c>
      <c r="I337" s="21" t="n">
        <v>705.01</v>
      </c>
      <c r="J337" s="21" t="n">
        <v>2115.04</v>
      </c>
      <c r="K337" s="21" t="n">
        <v>2467.55</v>
      </c>
      <c r="L337" s="21" t="n">
        <v>2820.06</v>
      </c>
      <c r="M337" s="21" t="n">
        <v>2499</v>
      </c>
    </row>
    <row r="338">
      <c r="A338" s="9" t="inlineStr">
        <is>
          <t>CYNTHIA</t>
        </is>
      </c>
      <c r="B338" s="9" t="inlineStr">
        <is>
          <t>CYNTHIA 05/09/2025</t>
        </is>
      </c>
      <c r="C338" s="9" t="inlineStr">
        <is>
          <t>2025-09-05</t>
        </is>
      </c>
      <c r="D338" s="9" t="inlineStr">
        <is>
          <t>81712806153996</t>
        </is>
      </c>
      <c r="E338" s="9" t="inlineStr">
        <is>
          <t>SANDALIAS MM</t>
        </is>
      </c>
      <c r="F338" s="9" t="inlineStr">
        <is>
          <t>40/ 25cm</t>
        </is>
      </c>
      <c r="G338" s="9" t="n">
        <v>1</v>
      </c>
      <c r="H338" s="21" t="n">
        <v>28</v>
      </c>
      <c r="I338" s="21" t="n">
        <v>705.01</v>
      </c>
      <c r="J338" s="21" t="n">
        <v>2115.04</v>
      </c>
      <c r="K338" s="21" t="n">
        <v>2467.55</v>
      </c>
      <c r="L338" s="21" t="n">
        <v>2820.06</v>
      </c>
      <c r="M338" s="21" t="n">
        <v>2499</v>
      </c>
    </row>
    <row r="339">
      <c r="A339" s="9" t="inlineStr">
        <is>
          <t>CYNTHIA</t>
        </is>
      </c>
      <c r="B339" s="9" t="inlineStr">
        <is>
          <t>CYNTHIA 05/09/2025</t>
        </is>
      </c>
      <c r="C339" s="9" t="inlineStr">
        <is>
          <t>2025-09-05</t>
        </is>
      </c>
      <c r="D339" s="9" t="inlineStr">
        <is>
          <t>66f1ed2f6cfb6</t>
        </is>
      </c>
      <c r="E339" s="9" t="inlineStr">
        <is>
          <t>TARJETERO G GRAY</t>
        </is>
      </c>
      <c r="F339" s="9" t="inlineStr">
        <is>
          <t>10.5cm de largo x 7.6cm de alto</t>
        </is>
      </c>
      <c r="G339" s="9" t="n">
        <v>2</v>
      </c>
      <c r="H339" s="21" t="n">
        <v>26</v>
      </c>
      <c r="I339" s="21" t="n">
        <v>654.66</v>
      </c>
      <c r="J339" s="21" t="n">
        <v>1963.97</v>
      </c>
      <c r="K339" s="21" t="n">
        <v>2291.3</v>
      </c>
      <c r="L339" s="21" t="n">
        <v>2618.63</v>
      </c>
      <c r="M339" s="21" t="n">
        <v>2199</v>
      </c>
    </row>
    <row r="340">
      <c r="A340" s="9" t="inlineStr">
        <is>
          <t>CYNTHIA</t>
        </is>
      </c>
      <c r="B340" s="9" t="inlineStr">
        <is>
          <t>CYNTHIA 05/09/2025</t>
        </is>
      </c>
      <c r="C340" s="9" t="inlineStr">
        <is>
          <t>2025-09-05</t>
        </is>
      </c>
      <c r="D340" s="9" t="inlineStr">
        <is>
          <t>16572644603404</t>
        </is>
      </c>
      <c r="E340" s="9" t="inlineStr">
        <is>
          <t>TRAJE DE BANO GC</t>
        </is>
      </c>
      <c r="F340" s="9" t="inlineStr">
        <is>
          <t>XL</t>
        </is>
      </c>
      <c r="G340" s="9" t="n">
        <v>2</v>
      </c>
      <c r="H340" s="21" t="n">
        <v>10.8</v>
      </c>
      <c r="I340" s="21" t="n">
        <v>271.93</v>
      </c>
      <c r="J340" s="21" t="n">
        <v>815.8</v>
      </c>
      <c r="K340" s="21" t="n">
        <v>951.77</v>
      </c>
      <c r="L340" s="21" t="n">
        <v>1087.74</v>
      </c>
      <c r="M340" s="21" t="n">
        <v>1099</v>
      </c>
    </row>
    <row r="341">
      <c r="A341" s="9" t="inlineStr">
        <is>
          <t>CYNTHIA</t>
        </is>
      </c>
      <c r="B341" s="9" t="inlineStr">
        <is>
          <t>CYNTHIA 05/09/2025</t>
        </is>
      </c>
      <c r="C341" s="9" t="inlineStr">
        <is>
          <t>2025-09-05</t>
        </is>
      </c>
      <c r="D341" s="9" t="inlineStr">
        <is>
          <t>16572647978508</t>
        </is>
      </c>
      <c r="E341" s="9" t="inlineStr">
        <is>
          <t>TRAJE DE BAÑO COMPLETO VC</t>
        </is>
      </c>
      <c r="F341" s="9" t="inlineStr">
        <is>
          <t>L</t>
        </is>
      </c>
      <c r="G341" s="9" t="n">
        <v>2</v>
      </c>
      <c r="H341" s="21" t="n">
        <v>12.8</v>
      </c>
      <c r="I341" s="21" t="n">
        <v>322.29</v>
      </c>
      <c r="J341" s="21" t="n">
        <v>966.88</v>
      </c>
      <c r="K341" s="21" t="n">
        <v>1128.02</v>
      </c>
      <c r="L341" s="21" t="n">
        <v>1289.17</v>
      </c>
      <c r="M341" s="21" t="n">
        <v>1066</v>
      </c>
    </row>
    <row r="342">
      <c r="A342" s="9" t="inlineStr">
        <is>
          <t>CYNTHIA</t>
        </is>
      </c>
      <c r="B342" s="9" t="inlineStr">
        <is>
          <t>CYNTHIA 05/09/2025</t>
        </is>
      </c>
      <c r="C342" s="9" t="inlineStr">
        <is>
          <t>2025-09-05</t>
        </is>
      </c>
      <c r="D342" s="9" t="inlineStr">
        <is>
          <t>16572648011276</t>
        </is>
      </c>
      <c r="E342" s="9" t="inlineStr">
        <is>
          <t>TRAJE DE BAÑO COMPLETO VC</t>
        </is>
      </c>
      <c r="F342" s="9" t="inlineStr">
        <is>
          <t>XL</t>
        </is>
      </c>
      <c r="G342" s="9" t="n">
        <v>1</v>
      </c>
      <c r="H342" s="21" t="n">
        <v>12.8</v>
      </c>
      <c r="I342" s="21" t="n">
        <v>322.29</v>
      </c>
      <c r="J342" s="21" t="n">
        <v>966.88</v>
      </c>
      <c r="K342" s="21" t="n">
        <v>1128.02</v>
      </c>
      <c r="L342" s="21" t="n">
        <v>1289.17</v>
      </c>
      <c r="M342" s="21" t="n">
        <v>858</v>
      </c>
    </row>
    <row r="343">
      <c r="A343" s="9" t="inlineStr">
        <is>
          <t>CYNTHIA</t>
        </is>
      </c>
      <c r="B343" s="9" t="inlineStr">
        <is>
          <t>CYNTHIA 05/09/2025</t>
        </is>
      </c>
      <c r="C343" s="9" t="inlineStr">
        <is>
          <t>2025-09-05</t>
        </is>
      </c>
      <c r="D343" s="9" t="inlineStr">
        <is>
          <t>11915828105387</t>
        </is>
      </c>
      <c r="E343" s="9" t="inlineStr">
        <is>
          <t>TRAJE DE BAÑO V</t>
        </is>
      </c>
      <c r="F343" s="9" t="inlineStr">
        <is>
          <t>M</t>
        </is>
      </c>
      <c r="G343" s="9" t="n">
        <v>2</v>
      </c>
      <c r="H343" s="21" t="n">
        <v>9.800000000000001</v>
      </c>
      <c r="I343" s="21" t="n">
        <v>246.76</v>
      </c>
      <c r="J343" s="21" t="n">
        <v>740.27</v>
      </c>
      <c r="K343" s="21" t="n">
        <v>863.64</v>
      </c>
      <c r="L343" s="21" t="n">
        <v>987.02</v>
      </c>
      <c r="M343" s="21" t="n">
        <v>1099</v>
      </c>
    </row>
    <row r="344">
      <c r="A344" s="9" t="inlineStr">
        <is>
          <t>CYNTHIA</t>
        </is>
      </c>
      <c r="B344" s="9" t="inlineStr">
        <is>
          <t>CYNTHIA 05/09/2025</t>
        </is>
      </c>
      <c r="C344" s="9" t="inlineStr">
        <is>
          <t>2025-09-05</t>
        </is>
      </c>
      <c r="D344" s="9" t="inlineStr">
        <is>
          <t>11915828138155</t>
        </is>
      </c>
      <c r="E344" s="9" t="inlineStr">
        <is>
          <t>TRAJE DE BAÑO V</t>
        </is>
      </c>
      <c r="F344" s="9" t="inlineStr">
        <is>
          <t>L</t>
        </is>
      </c>
      <c r="G344" s="9" t="n">
        <v>1</v>
      </c>
      <c r="H344" s="21" t="n">
        <v>9.800000000000001</v>
      </c>
      <c r="I344" s="21" t="n">
        <v>246.76</v>
      </c>
      <c r="J344" s="21" t="n">
        <v>740.27</v>
      </c>
      <c r="K344" s="21" t="n">
        <v>863.64</v>
      </c>
      <c r="L344" s="21" t="n">
        <v>987.02</v>
      </c>
      <c r="M344" s="21" t="n">
        <v>1099</v>
      </c>
    </row>
    <row r="345">
      <c r="A345" s="9" t="inlineStr">
        <is>
          <t>NANCY</t>
        </is>
      </c>
      <c r="B345" s="9" t="inlineStr">
        <is>
          <t>NANCY 06/09/2025</t>
        </is>
      </c>
      <c r="C345" s="9" t="inlineStr">
        <is>
          <t>2025-09-06</t>
        </is>
      </c>
      <c r="D345" s="9" t="inlineStr">
        <is>
          <t>42981628018828</t>
        </is>
      </c>
      <c r="E345" s="9" t="inlineStr">
        <is>
          <t>ANILLO BLOSSOM STAR ROSEGOLD</t>
        </is>
      </c>
      <c r="F345" s="9" t="inlineStr">
        <is>
          <t>Regular</t>
        </is>
      </c>
      <c r="G345" s="9" t="n">
        <v>4</v>
      </c>
      <c r="H345" s="21" t="n">
        <v>4.99</v>
      </c>
      <c r="I345" s="21" t="n">
        <v>116.2</v>
      </c>
      <c r="J345" s="21" t="n">
        <v>348.59</v>
      </c>
      <c r="K345" s="21" t="n">
        <v>406.68</v>
      </c>
      <c r="L345" s="21" t="n">
        <v>464.78</v>
      </c>
      <c r="M345" s="21" t="n">
        <v>479</v>
      </c>
    </row>
    <row r="346">
      <c r="A346" s="9" t="inlineStr">
        <is>
          <t>NANCY</t>
        </is>
      </c>
      <c r="B346" s="9" t="inlineStr">
        <is>
          <t>NANCY 06/09/2025</t>
        </is>
      </c>
      <c r="C346" s="9" t="inlineStr">
        <is>
          <t>2025-09-06</t>
        </is>
      </c>
      <c r="D346" s="9" t="inlineStr">
        <is>
          <t>42951547486348</t>
        </is>
      </c>
      <c r="E346" s="9" t="inlineStr">
        <is>
          <t>ANILLO CD REVOLUTION</t>
        </is>
      </c>
      <c r="F346" s="9" t="inlineStr">
        <is>
          <t>8</t>
        </is>
      </c>
      <c r="G346" s="9" t="n">
        <v>2</v>
      </c>
      <c r="H346" s="21" t="n">
        <v>3.49</v>
      </c>
      <c r="I346" s="21" t="n">
        <v>81.27</v>
      </c>
      <c r="J346" s="21" t="n">
        <v>243.8</v>
      </c>
      <c r="K346" s="21" t="n">
        <v>284.43</v>
      </c>
      <c r="L346" s="21" t="n">
        <v>325.07</v>
      </c>
      <c r="M346" s="21" t="n">
        <v>499</v>
      </c>
    </row>
    <row r="347">
      <c r="A347" s="9" t="inlineStr">
        <is>
          <t>NANCY</t>
        </is>
      </c>
      <c r="B347" s="9" t="inlineStr">
        <is>
          <t>NANCY 06/09/2025</t>
        </is>
      </c>
      <c r="C347" s="9" t="inlineStr">
        <is>
          <t>2025-09-06</t>
        </is>
      </c>
      <c r="D347" s="9" t="inlineStr">
        <is>
          <t>42981601575052</t>
        </is>
      </c>
      <c r="E347" s="9" t="inlineStr">
        <is>
          <t>ANILLO ESSENTIAL V PERLE</t>
        </is>
      </c>
      <c r="F347" s="9" t="inlineStr">
        <is>
          <t>Default Title</t>
        </is>
      </c>
      <c r="G347" s="9" t="n">
        <v>2</v>
      </c>
      <c r="H347" s="21" t="n">
        <v>4.99</v>
      </c>
      <c r="I347" s="21" t="n">
        <v>116.2</v>
      </c>
      <c r="J347" s="21" t="n">
        <v>348.59</v>
      </c>
      <c r="K347" s="21" t="n">
        <v>406.68</v>
      </c>
      <c r="L347" s="21" t="n">
        <v>464.78</v>
      </c>
      <c r="M347" s="21" t="n">
        <v>250</v>
      </c>
    </row>
    <row r="348">
      <c r="A348" s="9" t="inlineStr">
        <is>
          <t>NANCY</t>
        </is>
      </c>
      <c r="B348" s="9" t="inlineStr">
        <is>
          <t>NANCY 06/09/2025</t>
        </is>
      </c>
      <c r="C348" s="9" t="inlineStr">
        <is>
          <t>2025-09-06</t>
        </is>
      </c>
      <c r="D348" s="9" t="inlineStr">
        <is>
          <t>97902501045901</t>
        </is>
      </c>
      <c r="E348" s="9" t="inlineStr">
        <is>
          <t>ANILLO TB GOLD</t>
        </is>
      </c>
      <c r="F348" s="9" t="inlineStr">
        <is>
          <t>6</t>
        </is>
      </c>
      <c r="G348" s="9" t="n">
        <v>3</v>
      </c>
      <c r="H348" s="21" t="n">
        <v>2.99</v>
      </c>
      <c r="I348" s="21" t="n">
        <v>69.62</v>
      </c>
      <c r="J348" s="21" t="n">
        <v>208.87</v>
      </c>
      <c r="K348" s="21" t="n">
        <v>243.68</v>
      </c>
      <c r="L348" s="21" t="n">
        <v>278.5</v>
      </c>
      <c r="M348" s="21" t="n">
        <v>450</v>
      </c>
    </row>
    <row r="349">
      <c r="A349" s="9" t="inlineStr">
        <is>
          <t>NANCY</t>
        </is>
      </c>
      <c r="B349" s="9" t="inlineStr">
        <is>
          <t>NANCY 06/09/2025</t>
        </is>
      </c>
      <c r="C349" s="9" t="inlineStr">
        <is>
          <t>2025-09-06</t>
        </is>
      </c>
      <c r="D349" s="9" t="inlineStr">
        <is>
          <t>42981951111308</t>
        </is>
      </c>
      <c r="E349" s="9" t="inlineStr">
        <is>
          <t>ANILLO TB GOLD</t>
        </is>
      </c>
      <c r="F349" s="9" t="inlineStr">
        <is>
          <t>7</t>
        </is>
      </c>
      <c r="G349" s="9" t="n">
        <v>3</v>
      </c>
      <c r="H349" s="21" t="n">
        <v>2.99</v>
      </c>
      <c r="I349" s="21" t="n">
        <v>69.62</v>
      </c>
      <c r="J349" s="21" t="n">
        <v>208.87</v>
      </c>
      <c r="K349" s="21" t="n">
        <v>243.68</v>
      </c>
      <c r="L349" s="21" t="n">
        <v>278.5</v>
      </c>
      <c r="M349" s="21" t="n">
        <v>250</v>
      </c>
    </row>
    <row r="350">
      <c r="A350" s="9" t="inlineStr">
        <is>
          <t>NANCY</t>
        </is>
      </c>
      <c r="B350" s="9" t="inlineStr">
        <is>
          <t>NANCY 06/09/2025</t>
        </is>
      </c>
      <c r="C350" s="9" t="inlineStr">
        <is>
          <t>2025-09-06</t>
        </is>
      </c>
      <c r="D350" s="9" t="inlineStr">
        <is>
          <t>42981951144076</t>
        </is>
      </c>
      <c r="E350" s="9" t="inlineStr">
        <is>
          <t>ANILLO TB GOLD</t>
        </is>
      </c>
      <c r="F350" s="9" t="inlineStr">
        <is>
          <t>8</t>
        </is>
      </c>
      <c r="G350" s="9" t="n">
        <v>3</v>
      </c>
      <c r="H350" s="21" t="n">
        <v>2.99</v>
      </c>
      <c r="I350" s="21" t="n">
        <v>69.62</v>
      </c>
      <c r="J350" s="21" t="n">
        <v>208.87</v>
      </c>
      <c r="K350" s="21" t="n">
        <v>243.68</v>
      </c>
      <c r="L350" s="21" t="n">
        <v>278.5</v>
      </c>
      <c r="M350" s="21" t="n">
        <v>200</v>
      </c>
    </row>
    <row r="351">
      <c r="A351" s="9" t="inlineStr">
        <is>
          <t>NANCY</t>
        </is>
      </c>
      <c r="B351" s="9" t="inlineStr">
        <is>
          <t>NANCY 06/09/2025</t>
        </is>
      </c>
      <c r="C351" s="9" t="inlineStr">
        <is>
          <t>2025-09-06</t>
        </is>
      </c>
      <c r="D351" s="9" t="inlineStr">
        <is>
          <t>42981955862668</t>
        </is>
      </c>
      <c r="E351" s="9" t="inlineStr">
        <is>
          <t>ANILLO TB SILVER</t>
        </is>
      </c>
      <c r="F351" s="9" t="inlineStr">
        <is>
          <t>6</t>
        </is>
      </c>
      <c r="G351" s="9" t="n">
        <v>3</v>
      </c>
      <c r="H351" s="21" t="n">
        <v>2.99</v>
      </c>
      <c r="I351" s="21" t="n">
        <v>69.62</v>
      </c>
      <c r="J351" s="21" t="n">
        <v>208.87</v>
      </c>
      <c r="K351" s="21" t="n">
        <v>243.68</v>
      </c>
      <c r="L351" s="21" t="n">
        <v>278.5</v>
      </c>
      <c r="M351" s="21" t="n">
        <v>450</v>
      </c>
    </row>
    <row r="352">
      <c r="A352" s="9" t="inlineStr">
        <is>
          <t>NANCY</t>
        </is>
      </c>
      <c r="B352" s="9" t="inlineStr">
        <is>
          <t>NANCY 06/09/2025</t>
        </is>
      </c>
      <c r="C352" s="9" t="inlineStr">
        <is>
          <t>2025-09-06</t>
        </is>
      </c>
      <c r="D352" s="9" t="inlineStr">
        <is>
          <t>42981955895436</t>
        </is>
      </c>
      <c r="E352" s="9" t="inlineStr">
        <is>
          <t>ANILLO TB SILVER</t>
        </is>
      </c>
      <c r="F352" s="9" t="inlineStr">
        <is>
          <t>7</t>
        </is>
      </c>
      <c r="G352" s="9" t="n">
        <v>3</v>
      </c>
      <c r="H352" s="21" t="n">
        <v>2.99</v>
      </c>
      <c r="I352" s="21" t="n">
        <v>69.62</v>
      </c>
      <c r="J352" s="21" t="n">
        <v>208.87</v>
      </c>
      <c r="K352" s="21" t="n">
        <v>243.68</v>
      </c>
      <c r="L352" s="21" t="n">
        <v>278.5</v>
      </c>
      <c r="M352" s="21" t="n">
        <v>450</v>
      </c>
    </row>
    <row r="353">
      <c r="A353" s="9" t="inlineStr">
        <is>
          <t>NANCY</t>
        </is>
      </c>
      <c r="B353" s="9" t="inlineStr">
        <is>
          <t>NANCY 06/09/2025</t>
        </is>
      </c>
      <c r="C353" s="9" t="inlineStr">
        <is>
          <t>2025-09-06</t>
        </is>
      </c>
      <c r="D353" s="9" t="inlineStr">
        <is>
          <t>42981955928204</t>
        </is>
      </c>
      <c r="E353" s="9" t="inlineStr">
        <is>
          <t>ANILLO TB SILVER</t>
        </is>
      </c>
      <c r="F353" s="9" t="inlineStr">
        <is>
          <t>8</t>
        </is>
      </c>
      <c r="G353" s="9" t="n">
        <v>3</v>
      </c>
      <c r="H353" s="21" t="n">
        <v>2.99</v>
      </c>
      <c r="I353" s="21" t="n">
        <v>69.62</v>
      </c>
      <c r="J353" s="21" t="n">
        <v>208.87</v>
      </c>
      <c r="K353" s="21" t="n">
        <v>243.68</v>
      </c>
      <c r="L353" s="21" t="n">
        <v>278.5</v>
      </c>
      <c r="M353" s="21" t="n">
        <v>225</v>
      </c>
    </row>
    <row r="354">
      <c r="A354" s="9" t="inlineStr">
        <is>
          <t>NANCY</t>
        </is>
      </c>
      <c r="B354" s="9" t="inlineStr">
        <is>
          <t>NANCY 06/09/2025</t>
        </is>
      </c>
      <c r="C354" s="9" t="inlineStr">
        <is>
          <t>2025-09-06</t>
        </is>
      </c>
      <c r="D354" s="9" t="inlineStr">
        <is>
          <t>646f84c300fa5</t>
        </is>
      </c>
      <c r="E354" s="9" t="inlineStr">
        <is>
          <t>ARETES BV GOLD-BLACK</t>
        </is>
      </c>
      <c r="F354" s="9" t="inlineStr">
        <is>
          <t>0.7cm</t>
        </is>
      </c>
      <c r="G354" s="9" t="n">
        <v>2</v>
      </c>
      <c r="H354" s="21" t="n">
        <v>3.69</v>
      </c>
      <c r="I354" s="21" t="n">
        <v>85.92</v>
      </c>
      <c r="J354" s="21" t="n">
        <v>257.77</v>
      </c>
      <c r="K354" s="21" t="n">
        <v>300.73</v>
      </c>
      <c r="L354" s="21" t="n">
        <v>343.7</v>
      </c>
      <c r="M354" s="21" t="n">
        <v>450</v>
      </c>
    </row>
    <row r="355">
      <c r="A355" s="9" t="inlineStr">
        <is>
          <t>NANCY</t>
        </is>
      </c>
      <c r="B355" s="9" t="inlineStr">
        <is>
          <t>NANCY 06/09/2025</t>
        </is>
      </c>
      <c r="C355" s="9" t="inlineStr">
        <is>
          <t>2025-09-06</t>
        </is>
      </c>
      <c r="D355" s="9" t="inlineStr">
        <is>
          <t>52064791097837</t>
        </is>
      </c>
      <c r="E355" s="9" t="inlineStr">
        <is>
          <t>ARETES BV GOLD-WHITE</t>
        </is>
      </c>
      <c r="F355" s="9" t="inlineStr">
        <is>
          <t>Default Title</t>
        </is>
      </c>
      <c r="G355" s="9" t="n">
        <v>2</v>
      </c>
      <c r="H355" s="21" t="n">
        <v>3.69</v>
      </c>
      <c r="I355" s="21" t="n">
        <v>85.92</v>
      </c>
      <c r="J355" s="21" t="n">
        <v>257.77</v>
      </c>
      <c r="K355" s="21" t="n">
        <v>300.73</v>
      </c>
      <c r="L355" s="21" t="n">
        <v>343.7</v>
      </c>
      <c r="M355" s="21" t="n">
        <v>450</v>
      </c>
    </row>
    <row r="356">
      <c r="A356" s="9" t="inlineStr">
        <is>
          <t>NANCY</t>
        </is>
      </c>
      <c r="B356" s="9" t="inlineStr">
        <is>
          <t>NANCY 06/09/2025</t>
        </is>
      </c>
      <c r="C356" s="9" t="inlineStr">
        <is>
          <t>2025-09-06</t>
        </is>
      </c>
      <c r="D356" s="9" t="inlineStr">
        <is>
          <t>42981640208524</t>
        </is>
      </c>
      <c r="E356" s="9" t="inlineStr">
        <is>
          <t>ARETES CD GOLD CON PERLA COLGANTE</t>
        </is>
      </c>
      <c r="F356" s="9" t="inlineStr">
        <is>
          <t>Default Title</t>
        </is>
      </c>
      <c r="G356" s="9" t="n">
        <v>3</v>
      </c>
      <c r="H356" s="21" t="n">
        <v>4.49</v>
      </c>
      <c r="I356" s="21" t="n">
        <v>104.55</v>
      </c>
      <c r="J356" s="21" t="n">
        <v>313.66</v>
      </c>
      <c r="K356" s="21" t="n">
        <v>365.93</v>
      </c>
      <c r="L356" s="21" t="n">
        <v>418.21</v>
      </c>
      <c r="M356" s="21" t="n">
        <v>466</v>
      </c>
    </row>
    <row r="357">
      <c r="A357" s="9" t="inlineStr">
        <is>
          <t>NANCY</t>
        </is>
      </c>
      <c r="B357" s="9" t="inlineStr">
        <is>
          <t>NANCY 06/09/2025</t>
        </is>
      </c>
      <c r="C357" s="9" t="inlineStr">
        <is>
          <t>2025-09-06</t>
        </is>
      </c>
      <c r="D357" s="9" t="inlineStr">
        <is>
          <t>43047196360844</t>
        </is>
      </c>
      <c r="E357" s="9" t="inlineStr">
        <is>
          <t>ARETES CORAZÓN GRABADO SILVER</t>
        </is>
      </c>
      <c r="F357" s="9" t="inlineStr">
        <is>
          <t>Default Title</t>
        </is>
      </c>
      <c r="G357" s="9" t="n">
        <v>2</v>
      </c>
      <c r="H357" s="21" t="n">
        <v>2.39</v>
      </c>
      <c r="I357" s="21" t="n">
        <v>55.65</v>
      </c>
      <c r="J357" s="21" t="n">
        <v>166.96</v>
      </c>
      <c r="K357" s="21" t="n">
        <v>194.78</v>
      </c>
      <c r="L357" s="21" t="n">
        <v>222.61</v>
      </c>
      <c r="M357" s="21" t="n">
        <v>550</v>
      </c>
    </row>
    <row r="358">
      <c r="A358" s="9" t="inlineStr">
        <is>
          <t>NANCY</t>
        </is>
      </c>
      <c r="B358" s="9" t="inlineStr">
        <is>
          <t>NANCY 06/09/2025</t>
        </is>
      </c>
      <c r="C358" s="9" t="inlineStr">
        <is>
          <t>2025-09-06</t>
        </is>
      </c>
      <c r="D358" s="9" t="inlineStr">
        <is>
          <t>42981553012876</t>
        </is>
      </c>
      <c r="E358" s="9" t="inlineStr">
        <is>
          <t>ARETES ESSENTIAL LV GOLD</t>
        </is>
      </c>
      <c r="F358" s="9" t="inlineStr">
        <is>
          <t>Default Title</t>
        </is>
      </c>
      <c r="G358" s="9" t="n">
        <v>1</v>
      </c>
      <c r="H358" s="21" t="n">
        <v>4.19</v>
      </c>
      <c r="I358" s="21" t="n">
        <v>97.56999999999999</v>
      </c>
      <c r="J358" s="21" t="n">
        <v>292.7</v>
      </c>
      <c r="K358" s="21" t="n">
        <v>341.48</v>
      </c>
      <c r="L358" s="21" t="n">
        <v>390.27</v>
      </c>
      <c r="M358" s="21" t="n">
        <v>499</v>
      </c>
    </row>
    <row r="359">
      <c r="A359" s="9" t="inlineStr">
        <is>
          <t>NANCY</t>
        </is>
      </c>
      <c r="B359" s="9" t="inlineStr">
        <is>
          <t>NANCY 06/09/2025</t>
        </is>
      </c>
      <c r="C359" s="9" t="inlineStr">
        <is>
          <t>2025-09-06</t>
        </is>
      </c>
      <c r="D359" s="9" t="inlineStr">
        <is>
          <t>42981998657676</t>
        </is>
      </c>
      <c r="E359" s="9" t="inlineStr">
        <is>
          <t>ARETES FR GOLD</t>
        </is>
      </c>
      <c r="F359" s="9" t="inlineStr">
        <is>
          <t>Regular</t>
        </is>
      </c>
      <c r="G359" s="9" t="n">
        <v>30</v>
      </c>
      <c r="H359" s="21" t="n">
        <v>4.49</v>
      </c>
      <c r="I359" s="21" t="n">
        <v>104.55</v>
      </c>
      <c r="J359" s="21" t="n">
        <v>313.66</v>
      </c>
      <c r="K359" s="21" t="n">
        <v>365.93</v>
      </c>
      <c r="L359" s="21" t="n">
        <v>418.21</v>
      </c>
      <c r="M359" s="21" t="n">
        <v>499</v>
      </c>
    </row>
    <row r="360">
      <c r="A360" s="9" t="inlineStr">
        <is>
          <t>NANCY</t>
        </is>
      </c>
      <c r="B360" s="9" t="inlineStr">
        <is>
          <t>NANCY 06/09/2025</t>
        </is>
      </c>
      <c r="C360" s="9" t="inlineStr">
        <is>
          <t>2025-09-06</t>
        </is>
      </c>
      <c r="D360" s="9" t="inlineStr">
        <is>
          <t>42982006882444</t>
        </is>
      </c>
      <c r="E360" s="9" t="inlineStr">
        <is>
          <t>ARETES FR GOLD CON PERLA</t>
        </is>
      </c>
      <c r="F360" s="9" t="inlineStr">
        <is>
          <t>Default Title</t>
        </is>
      </c>
      <c r="G360" s="9" t="n">
        <v>2</v>
      </c>
      <c r="H360" s="21" t="n">
        <v>4.49</v>
      </c>
      <c r="I360" s="21" t="n">
        <v>104.55</v>
      </c>
      <c r="J360" s="21" t="n">
        <v>313.66</v>
      </c>
      <c r="K360" s="21" t="n">
        <v>365.93</v>
      </c>
      <c r="L360" s="21" t="n">
        <v>418.21</v>
      </c>
      <c r="M360" s="21" t="n">
        <v>499</v>
      </c>
    </row>
    <row r="361">
      <c r="A361" s="9" t="inlineStr">
        <is>
          <t>NANCY</t>
        </is>
      </c>
      <c r="B361" s="9" t="inlineStr">
        <is>
          <t>NANCY 06/09/2025</t>
        </is>
      </c>
      <c r="C361" s="9" t="inlineStr">
        <is>
          <t>2025-09-06</t>
        </is>
      </c>
      <c r="D361" s="9" t="inlineStr">
        <is>
          <t>665bd22d2f1c6</t>
        </is>
      </c>
      <c r="E361" s="9" t="inlineStr">
        <is>
          <t>ARETES FR GOLD CON ZIRCONIA</t>
        </is>
      </c>
      <c r="F361" s="9" t="inlineStr">
        <is>
          <t>Regular</t>
        </is>
      </c>
      <c r="G361" s="9" t="n">
        <v>15</v>
      </c>
      <c r="H361" s="21" t="n">
        <v>4.99</v>
      </c>
      <c r="I361" s="21" t="n">
        <v>116.2</v>
      </c>
      <c r="J361" s="21" t="n">
        <v>348.59</v>
      </c>
      <c r="K361" s="21" t="n">
        <v>406.68</v>
      </c>
      <c r="L361" s="21" t="n">
        <v>464.78</v>
      </c>
      <c r="M361" s="21" t="n">
        <v>550</v>
      </c>
    </row>
    <row r="362">
      <c r="A362" s="9" t="inlineStr">
        <is>
          <t>NANCY</t>
        </is>
      </c>
      <c r="B362" s="9" t="inlineStr">
        <is>
          <t>NANCY 06/09/2025</t>
        </is>
      </c>
      <c r="C362" s="9" t="inlineStr">
        <is>
          <t>2025-09-06</t>
        </is>
      </c>
      <c r="D362" s="9" t="inlineStr">
        <is>
          <t>68431135029516</t>
        </is>
      </c>
      <c r="E362" s="9" t="inlineStr">
        <is>
          <t>ARETES GC COLGANTES PERLA</t>
        </is>
      </c>
      <c r="F362" s="9" t="inlineStr">
        <is>
          <t>Default Title</t>
        </is>
      </c>
      <c r="G362" s="9" t="n">
        <v>4</v>
      </c>
      <c r="H362" s="21" t="n">
        <v>4.49</v>
      </c>
      <c r="I362" s="21" t="n">
        <v>104.55</v>
      </c>
      <c r="J362" s="21" t="n">
        <v>313.66</v>
      </c>
      <c r="K362" s="21" t="n">
        <v>365.93</v>
      </c>
      <c r="L362" s="21" t="n">
        <v>418.21</v>
      </c>
      <c r="M362" s="21" t="n">
        <v>620</v>
      </c>
    </row>
    <row r="363">
      <c r="A363" s="9" t="inlineStr">
        <is>
          <t>NANCY</t>
        </is>
      </c>
      <c r="B363" s="9" t="inlineStr">
        <is>
          <t>NANCY 06/09/2025</t>
        </is>
      </c>
      <c r="C363" s="9" t="inlineStr">
        <is>
          <t>2025-09-06</t>
        </is>
      </c>
      <c r="D363" s="9" t="inlineStr">
        <is>
          <t>665bb512aacaa</t>
        </is>
      </c>
      <c r="E363" s="9" t="inlineStr">
        <is>
          <t>ARETES GC LOGO GOLD</t>
        </is>
      </c>
      <c r="F363" s="9" t="inlineStr">
        <is>
          <t>Default Title</t>
        </is>
      </c>
      <c r="G363" s="9" t="n">
        <v>3</v>
      </c>
      <c r="H363" s="21" t="n">
        <v>3.99</v>
      </c>
      <c r="I363" s="21" t="n">
        <v>92.91</v>
      </c>
      <c r="J363" s="21" t="n">
        <v>278.73</v>
      </c>
      <c r="K363" s="21" t="n">
        <v>325.18</v>
      </c>
      <c r="L363" s="21" t="n">
        <v>371.64</v>
      </c>
      <c r="M363" s="21" t="n">
        <v>480</v>
      </c>
    </row>
    <row r="364">
      <c r="A364" s="9" t="inlineStr">
        <is>
          <t>NANCY</t>
        </is>
      </c>
      <c r="B364" s="9" t="inlineStr">
        <is>
          <t>NANCY 06/09/2025</t>
        </is>
      </c>
      <c r="C364" s="9" t="inlineStr">
        <is>
          <t>2025-09-06</t>
        </is>
      </c>
      <c r="D364" s="9" t="inlineStr">
        <is>
          <t>648cc5b33a8a2</t>
        </is>
      </c>
      <c r="E364" s="9" t="inlineStr">
        <is>
          <t>ARETES SQUARE V GOLD</t>
        </is>
      </c>
      <c r="F364" s="9" t="inlineStr">
        <is>
          <t>Small 4cm</t>
        </is>
      </c>
      <c r="G364" s="9" t="n">
        <v>3</v>
      </c>
      <c r="H364" s="21" t="n">
        <v>5.99</v>
      </c>
      <c r="I364" s="21" t="n">
        <v>139.48</v>
      </c>
      <c r="J364" s="21" t="n">
        <v>418.44</v>
      </c>
      <c r="K364" s="21" t="n">
        <v>488.18</v>
      </c>
      <c r="L364" s="21" t="n">
        <v>557.92</v>
      </c>
      <c r="M364" s="21" t="n">
        <v>550</v>
      </c>
    </row>
    <row r="365">
      <c r="A365" s="9" t="inlineStr">
        <is>
          <t>NANCY</t>
        </is>
      </c>
      <c r="B365" s="9" t="inlineStr">
        <is>
          <t>NANCY 06/09/2025</t>
        </is>
      </c>
      <c r="C365" s="9" t="inlineStr">
        <is>
          <t>2025-09-06</t>
        </is>
      </c>
      <c r="D365" s="9" t="inlineStr">
        <is>
          <t>665bb79224272</t>
        </is>
      </c>
      <c r="E365" s="9" t="inlineStr">
        <is>
          <t>ARRACADAS CD GOLD BLACK</t>
        </is>
      </c>
      <c r="F365" s="9" t="inlineStr">
        <is>
          <t>Default Title</t>
        </is>
      </c>
      <c r="G365" s="9" t="n">
        <v>2</v>
      </c>
      <c r="H365" s="21" t="n">
        <v>5.59</v>
      </c>
      <c r="I365" s="21" t="n">
        <v>130.17</v>
      </c>
      <c r="J365" s="21" t="n">
        <v>390.5</v>
      </c>
      <c r="K365" s="21" t="n">
        <v>455.58</v>
      </c>
      <c r="L365" s="21" t="n">
        <v>520.67</v>
      </c>
      <c r="M365" s="21" t="n">
        <v>649</v>
      </c>
    </row>
    <row r="366">
      <c r="A366" s="9" t="inlineStr">
        <is>
          <t>NANCY</t>
        </is>
      </c>
      <c r="B366" s="9" t="inlineStr">
        <is>
          <t>NANCY 06/09/2025</t>
        </is>
      </c>
      <c r="C366" s="9" t="inlineStr">
        <is>
          <t>2025-09-06</t>
        </is>
      </c>
      <c r="D366" s="9" t="inlineStr">
        <is>
          <t>654bdb241005f</t>
        </is>
      </c>
      <c r="E366" s="9" t="inlineStr">
        <is>
          <t>ARRACADAS GC GOLD</t>
        </is>
      </c>
      <c r="F366" s="9" t="inlineStr">
        <is>
          <t>Default Title</t>
        </is>
      </c>
      <c r="G366" s="9" t="n">
        <v>4</v>
      </c>
      <c r="H366" s="21" t="n">
        <v>6.39</v>
      </c>
      <c r="I366" s="21" t="n">
        <v>148.8</v>
      </c>
      <c r="J366" s="21" t="n">
        <v>446.39</v>
      </c>
      <c r="K366" s="21" t="n">
        <v>520.78</v>
      </c>
      <c r="L366" s="21" t="n">
        <v>595.1799999999999</v>
      </c>
      <c r="M366" s="21" t="n">
        <v>550</v>
      </c>
    </row>
    <row r="367">
      <c r="A367" s="9" t="inlineStr">
        <is>
          <t>NANCY</t>
        </is>
      </c>
      <c r="B367" s="9" t="inlineStr">
        <is>
          <t>NANCY 06/09/2025</t>
        </is>
      </c>
      <c r="C367" s="9" t="inlineStr">
        <is>
          <t>2025-09-06</t>
        </is>
      </c>
      <c r="D367" s="9" t="inlineStr">
        <is>
          <t>43047204749452</t>
        </is>
      </c>
      <c r="E367" s="9" t="inlineStr">
        <is>
          <t>ARRACADAS T CORAZÓN</t>
        </is>
      </c>
      <c r="F367" s="9" t="inlineStr">
        <is>
          <t>Regular</t>
        </is>
      </c>
      <c r="G367" s="9" t="n">
        <v>1</v>
      </c>
      <c r="H367" s="21" t="n">
        <v>4.29</v>
      </c>
      <c r="I367" s="21" t="n">
        <v>99.90000000000001</v>
      </c>
      <c r="J367" s="21" t="n">
        <v>299.69</v>
      </c>
      <c r="K367" s="21" t="n">
        <v>349.63</v>
      </c>
      <c r="L367" s="21" t="n">
        <v>399.58</v>
      </c>
      <c r="M367" s="21" t="n">
        <v>499</v>
      </c>
    </row>
    <row r="368">
      <c r="A368" s="9" t="inlineStr">
        <is>
          <t>NANCY</t>
        </is>
      </c>
      <c r="B368" s="9" t="inlineStr">
        <is>
          <t>NANCY 06/09/2025</t>
        </is>
      </c>
      <c r="C368" s="9" t="inlineStr">
        <is>
          <t>2025-09-06</t>
        </is>
      </c>
      <c r="D368" s="9" t="inlineStr">
        <is>
          <t>66177be17fc51</t>
        </is>
      </c>
      <c r="E368" s="9" t="inlineStr">
        <is>
          <t>COLLAR CLAVO ROUND GOLD</t>
        </is>
      </c>
      <c r="F368" s="9" t="inlineStr">
        <is>
          <t>Regular</t>
        </is>
      </c>
      <c r="G368" s="9" t="n">
        <v>8</v>
      </c>
      <c r="H368" s="21" t="n">
        <v>7.59</v>
      </c>
      <c r="I368" s="21" t="n">
        <v>176.74</v>
      </c>
      <c r="J368" s="21" t="n">
        <v>530.21</v>
      </c>
      <c r="K368" s="21" t="n">
        <v>618.58</v>
      </c>
      <c r="L368" s="21" t="n">
        <v>706.95</v>
      </c>
      <c r="M368" s="21" t="n">
        <v>650</v>
      </c>
    </row>
    <row r="369">
      <c r="A369" s="9" t="inlineStr">
        <is>
          <t>NANCY</t>
        </is>
      </c>
      <c r="B369" s="9" t="inlineStr">
        <is>
          <t>NANCY 06/09/2025</t>
        </is>
      </c>
      <c r="C369" s="9" t="inlineStr">
        <is>
          <t>2025-09-06</t>
        </is>
      </c>
      <c r="D369" s="9" t="inlineStr">
        <is>
          <t>66177be046ec0-1</t>
        </is>
      </c>
      <c r="E369" s="9" t="inlineStr">
        <is>
          <t>COLLAR CLAVO ROUND ROSEGOLD</t>
        </is>
      </c>
      <c r="F369" s="9" t="inlineStr">
        <is>
          <t>Regular</t>
        </is>
      </c>
      <c r="G369" s="9" t="n">
        <v>3</v>
      </c>
      <c r="H369" s="21" t="n">
        <v>7.59</v>
      </c>
      <c r="I369" s="21" t="n">
        <v>176.74</v>
      </c>
      <c r="J369" s="21" t="n">
        <v>530.21</v>
      </c>
      <c r="K369" s="21" t="n">
        <v>618.58</v>
      </c>
      <c r="L369" s="21" t="n">
        <v>706.95</v>
      </c>
      <c r="M369" s="21" t="n">
        <v>650</v>
      </c>
    </row>
    <row r="370">
      <c r="A370" s="9" t="inlineStr">
        <is>
          <t>NANCY</t>
        </is>
      </c>
      <c r="B370" s="9" t="inlineStr">
        <is>
          <t>NANCY 06/09/2025</t>
        </is>
      </c>
      <c r="C370" s="9" t="inlineStr">
        <is>
          <t>2025-09-06</t>
        </is>
      </c>
      <c r="D370" s="9" t="inlineStr">
        <is>
          <t>42833577705612</t>
        </is>
      </c>
      <c r="E370" s="9" t="inlineStr">
        <is>
          <t>COLLAR CLAVO ROUND SILVER</t>
        </is>
      </c>
      <c r="F370" s="9" t="inlineStr">
        <is>
          <t>Stainless steel</t>
        </is>
      </c>
      <c r="G370" s="9" t="n">
        <v>6</v>
      </c>
      <c r="H370" s="21" t="n">
        <v>7.59</v>
      </c>
      <c r="I370" s="21" t="n">
        <v>176.74</v>
      </c>
      <c r="J370" s="21" t="n">
        <v>530.21</v>
      </c>
      <c r="K370" s="21" t="n">
        <v>618.58</v>
      </c>
      <c r="L370" s="21" t="n">
        <v>706.95</v>
      </c>
      <c r="M370" s="21" t="n">
        <v>650</v>
      </c>
    </row>
    <row r="371">
      <c r="A371" s="9" t="inlineStr">
        <is>
          <t>NANCY</t>
        </is>
      </c>
      <c r="B371" s="9" t="inlineStr">
        <is>
          <t>NANCY 06/09/2025</t>
        </is>
      </c>
      <c r="C371" s="9" t="inlineStr">
        <is>
          <t>2025-09-06</t>
        </is>
      </c>
      <c r="D371" s="9" t="inlineStr">
        <is>
          <t>43728096383020</t>
        </is>
      </c>
      <c r="E371" s="9" t="inlineStr">
        <is>
          <t>COLLAR FR GOLD</t>
        </is>
      </c>
      <c r="F371" s="9" t="inlineStr">
        <is>
          <t>46cm de largo con 5 cm de Extension</t>
        </is>
      </c>
      <c r="G371" s="9" t="n">
        <v>5</v>
      </c>
      <c r="H371" s="21" t="n"/>
      <c r="I371" s="21" t="n">
        <v>0</v>
      </c>
      <c r="J371" s="21" t="n">
        <v>0</v>
      </c>
      <c r="K371" s="21" t="n">
        <v>0</v>
      </c>
      <c r="L371" s="21" t="n">
        <v>0</v>
      </c>
      <c r="M371" s="21" t="n">
        <v>599</v>
      </c>
    </row>
    <row r="372">
      <c r="A372" s="9" t="inlineStr">
        <is>
          <t>NANCY</t>
        </is>
      </c>
      <c r="B372" s="9" t="inlineStr">
        <is>
          <t>NANCY 06/09/2025</t>
        </is>
      </c>
      <c r="C372" s="9" t="inlineStr">
        <is>
          <t>2025-09-06</t>
        </is>
      </c>
      <c r="D372" s="9" t="inlineStr">
        <is>
          <t>43728096469580</t>
        </is>
      </c>
      <c r="E372" s="9" t="inlineStr">
        <is>
          <t>COLLAR FR SILVER</t>
        </is>
      </c>
      <c r="F372" s="9" t="inlineStr">
        <is>
          <t>46cm de largo con 5 cm de Extension</t>
        </is>
      </c>
      <c r="G372" s="9" t="n">
        <v>10</v>
      </c>
      <c r="H372" s="21" t="n">
        <v>5.59</v>
      </c>
      <c r="I372" s="21" t="n">
        <v>130.17</v>
      </c>
      <c r="J372" s="21" t="n">
        <v>390.5</v>
      </c>
      <c r="K372" s="21" t="n">
        <v>455.58</v>
      </c>
      <c r="L372" s="21" t="n">
        <v>520.67</v>
      </c>
      <c r="M372" s="21" t="n">
        <v>580</v>
      </c>
    </row>
    <row r="373">
      <c r="A373" s="9" t="inlineStr">
        <is>
          <t>NANCY</t>
        </is>
      </c>
      <c r="B373" s="9" t="inlineStr">
        <is>
          <t>NANCY 06/09/2025</t>
        </is>
      </c>
      <c r="C373" s="9" t="inlineStr">
        <is>
          <t>2025-09-06</t>
        </is>
      </c>
      <c r="D373" s="9" t="inlineStr">
        <is>
          <t>64e78caeba151</t>
        </is>
      </c>
      <c r="E373" s="9" t="inlineStr">
        <is>
          <t>COLLAR LV FLOWER ROSE-GOLD</t>
        </is>
      </c>
      <c r="F373" s="9" t="inlineStr">
        <is>
          <t>Default Title</t>
        </is>
      </c>
      <c r="G373" s="9" t="n">
        <v>1</v>
      </c>
      <c r="H373" s="21" t="n">
        <v>7.39</v>
      </c>
      <c r="I373" s="21" t="n">
        <v>172.08</v>
      </c>
      <c r="J373" s="21" t="n">
        <v>516.24</v>
      </c>
      <c r="K373" s="21" t="n">
        <v>602.28</v>
      </c>
      <c r="L373" s="21" t="n">
        <v>688.3200000000001</v>
      </c>
      <c r="M373" s="21" t="n">
        <v>650</v>
      </c>
    </row>
    <row r="374">
      <c r="A374" s="9" t="inlineStr">
        <is>
          <t>NANCY</t>
        </is>
      </c>
      <c r="B374" s="9" t="inlineStr">
        <is>
          <t>NANCY 06/09/2025</t>
        </is>
      </c>
      <c r="C374" s="9" t="inlineStr">
        <is>
          <t>2025-09-06</t>
        </is>
      </c>
      <c r="D374" s="9" t="inlineStr">
        <is>
          <t>42981966872716</t>
        </is>
      </c>
      <c r="E374" s="9" t="inlineStr">
        <is>
          <t>COLLAR POP H GOLD BLACK</t>
        </is>
      </c>
      <c r="F374" s="9" t="inlineStr">
        <is>
          <t>MEDIUM QUALITY</t>
        </is>
      </c>
      <c r="G374" s="9" t="n">
        <v>2</v>
      </c>
      <c r="H374" s="21" t="n">
        <v>3.99</v>
      </c>
      <c r="I374" s="21" t="n">
        <v>92.91</v>
      </c>
      <c r="J374" s="21" t="n">
        <v>278.73</v>
      </c>
      <c r="K374" s="21" t="n">
        <v>325.18</v>
      </c>
      <c r="L374" s="21" t="n">
        <v>371.64</v>
      </c>
      <c r="M374" s="21" t="n">
        <v>499</v>
      </c>
    </row>
    <row r="375">
      <c r="A375" s="9" t="inlineStr">
        <is>
          <t>NANCY</t>
        </is>
      </c>
      <c r="B375" s="9" t="inlineStr">
        <is>
          <t>NANCY 06/09/2025</t>
        </is>
      </c>
      <c r="C375" s="9" t="inlineStr">
        <is>
          <t>2025-09-06</t>
        </is>
      </c>
      <c r="D375" s="9" t="inlineStr">
        <is>
          <t>42981975064716</t>
        </is>
      </c>
      <c r="E375" s="9" t="inlineStr">
        <is>
          <t>COLLAR POP H GOLD WHITE</t>
        </is>
      </c>
      <c r="F375" s="9" t="inlineStr">
        <is>
          <t>Regular</t>
        </is>
      </c>
      <c r="G375" s="9" t="n">
        <v>2</v>
      </c>
      <c r="H375" s="21" t="n">
        <v>3.99</v>
      </c>
      <c r="I375" s="21" t="n">
        <v>92.91</v>
      </c>
      <c r="J375" s="21" t="n">
        <v>278.73</v>
      </c>
      <c r="K375" s="21" t="n">
        <v>325.18</v>
      </c>
      <c r="L375" s="21" t="n">
        <v>371.64</v>
      </c>
      <c r="M375" s="21" t="n">
        <v>550</v>
      </c>
    </row>
    <row r="376">
      <c r="A376" s="9" t="inlineStr">
        <is>
          <t>NANCY</t>
        </is>
      </c>
      <c r="B376" s="9" t="inlineStr">
        <is>
          <t>NANCY 06/09/2025</t>
        </is>
      </c>
      <c r="C376" s="9" t="inlineStr">
        <is>
          <t>2025-09-06</t>
        </is>
      </c>
      <c r="D376" s="9" t="inlineStr">
        <is>
          <t>42981964578956</t>
        </is>
      </c>
      <c r="E376" s="9" t="inlineStr">
        <is>
          <t>COLLAR POP H SILVER BLACK</t>
        </is>
      </c>
      <c r="F376" s="9" t="inlineStr">
        <is>
          <t>MEDIUM QUALITY</t>
        </is>
      </c>
      <c r="G376" s="9" t="n">
        <v>2</v>
      </c>
      <c r="H376" s="21" t="n">
        <v>3.99</v>
      </c>
      <c r="I376" s="21" t="n">
        <v>92.91</v>
      </c>
      <c r="J376" s="21" t="n">
        <v>278.73</v>
      </c>
      <c r="K376" s="21" t="n">
        <v>325.18</v>
      </c>
      <c r="L376" s="21" t="n">
        <v>371.64</v>
      </c>
      <c r="M376" s="21" t="n">
        <v>499</v>
      </c>
    </row>
    <row r="377">
      <c r="A377" s="9" t="inlineStr">
        <is>
          <t>NANCY</t>
        </is>
      </c>
      <c r="B377" s="9" t="inlineStr">
        <is>
          <t>NANCY 06/09/2025</t>
        </is>
      </c>
      <c r="C377" s="9" t="inlineStr">
        <is>
          <t>2025-09-06</t>
        </is>
      </c>
      <c r="D377" s="9" t="inlineStr">
        <is>
          <t>65786751076141</t>
        </is>
      </c>
      <c r="E377" s="9" t="inlineStr">
        <is>
          <t>COLLAR POP H SILVER WHITE</t>
        </is>
      </c>
      <c r="F377" s="9" t="inlineStr">
        <is>
          <t>MEDIUM QUALITY</t>
        </is>
      </c>
      <c r="G377" s="9" t="n">
        <v>2</v>
      </c>
      <c r="H377" s="21" t="n">
        <v>3.99</v>
      </c>
      <c r="I377" s="21" t="n">
        <v>92.91</v>
      </c>
      <c r="J377" s="21" t="n">
        <v>278.73</v>
      </c>
      <c r="K377" s="21" t="n">
        <v>325.18</v>
      </c>
      <c r="L377" s="21" t="n">
        <v>371.64</v>
      </c>
      <c r="M377" s="21" t="n">
        <v>499</v>
      </c>
    </row>
    <row r="378">
      <c r="A378" s="9" t="inlineStr">
        <is>
          <t>NANCY</t>
        </is>
      </c>
      <c r="B378" s="9" t="inlineStr">
        <is>
          <t>NANCY 06/09/2025</t>
        </is>
      </c>
      <c r="C378" s="9" t="inlineStr">
        <is>
          <t>2025-09-06</t>
        </is>
      </c>
      <c r="D378" s="9" t="inlineStr">
        <is>
          <t>66178423967c9</t>
        </is>
      </c>
      <c r="E378" s="9" t="inlineStr">
        <is>
          <t>COLLAR SERPENTI CON ZIRCONIA</t>
        </is>
      </c>
      <c r="F378" s="9" t="inlineStr">
        <is>
          <t>46cm</t>
        </is>
      </c>
      <c r="G378" s="9" t="n">
        <v>2</v>
      </c>
      <c r="H378" s="21" t="n">
        <v>19.99</v>
      </c>
      <c r="I378" s="21" t="n">
        <v>465.48</v>
      </c>
      <c r="J378" s="21" t="n">
        <v>1396.44</v>
      </c>
      <c r="K378" s="21" t="n">
        <v>1629.18</v>
      </c>
      <c r="L378" s="21" t="n">
        <v>1861.92</v>
      </c>
      <c r="M378" s="21" t="n">
        <v>2650</v>
      </c>
    </row>
    <row r="379">
      <c r="A379" s="9" t="inlineStr">
        <is>
          <t>NANCY</t>
        </is>
      </c>
      <c r="B379" s="9" t="inlineStr">
        <is>
          <t>NANCY 06/09/2025</t>
        </is>
      </c>
      <c r="C379" s="9" t="inlineStr">
        <is>
          <t>2025-09-06</t>
        </is>
      </c>
      <c r="D379" s="9" t="inlineStr">
        <is>
          <t>36002950539532</t>
        </is>
      </c>
      <c r="E379" s="9" t="inlineStr">
        <is>
          <t>COLLAR T CORAZÓN</t>
        </is>
      </c>
      <c r="F379" s="9" t="inlineStr">
        <is>
          <t>Default Title</t>
        </is>
      </c>
      <c r="G379" s="9" t="n">
        <v>3</v>
      </c>
      <c r="H379" s="21" t="n">
        <v>6.99</v>
      </c>
      <c r="I379" s="21" t="n">
        <v>162.77</v>
      </c>
      <c r="J379" s="21" t="n">
        <v>488.3</v>
      </c>
      <c r="K379" s="21" t="n">
        <v>569.6799999999999</v>
      </c>
      <c r="L379" s="21" t="n">
        <v>651.0700000000001</v>
      </c>
      <c r="M379" s="21" t="n">
        <v>850</v>
      </c>
    </row>
    <row r="380">
      <c r="A380" s="9" t="inlineStr">
        <is>
          <t>NANCY</t>
        </is>
      </c>
      <c r="B380" s="9" t="inlineStr">
        <is>
          <t>NANCY 06/09/2025</t>
        </is>
      </c>
      <c r="C380" s="9" t="inlineStr">
        <is>
          <t>2025-09-06</t>
        </is>
      </c>
      <c r="D380" s="9" t="inlineStr">
        <is>
          <t>42982026674316</t>
        </is>
      </c>
      <c r="E380" s="9" t="inlineStr">
        <is>
          <t>COLLAR V ROUND GOLD</t>
        </is>
      </c>
      <c r="F380" s="9" t="inlineStr">
        <is>
          <t>51cm de largo</t>
        </is>
      </c>
      <c r="G380" s="9" t="n">
        <v>3</v>
      </c>
      <c r="H380" s="21" t="n">
        <v>5.59</v>
      </c>
      <c r="I380" s="21" t="n">
        <v>130.17</v>
      </c>
      <c r="J380" s="21" t="n">
        <v>390.5</v>
      </c>
      <c r="K380" s="21" t="n">
        <v>455.58</v>
      </c>
      <c r="L380" s="21" t="n">
        <v>520.67</v>
      </c>
      <c r="M380" s="21" t="n">
        <v>580</v>
      </c>
    </row>
    <row r="381">
      <c r="A381" s="9" t="inlineStr">
        <is>
          <t>NANCY</t>
        </is>
      </c>
      <c r="B381" s="9" t="inlineStr">
        <is>
          <t>NANCY 06/09/2025</t>
        </is>
      </c>
      <c r="C381" s="9" t="inlineStr">
        <is>
          <t>2025-09-06</t>
        </is>
      </c>
      <c r="D381" s="9" t="inlineStr">
        <is>
          <t>66745adaed578</t>
        </is>
      </c>
      <c r="E381" s="9" t="inlineStr">
        <is>
          <t>GARGANTILLA 10 TRÉBOLES GOLD RED</t>
        </is>
      </c>
      <c r="F381" s="9" t="inlineStr">
        <is>
          <t>15mm</t>
        </is>
      </c>
      <c r="G381" s="9" t="n">
        <v>1</v>
      </c>
      <c r="H381" s="21" t="n">
        <v>16.59</v>
      </c>
      <c r="I381" s="21" t="n">
        <v>386.31</v>
      </c>
      <c r="J381" s="21" t="n">
        <v>1158.93</v>
      </c>
      <c r="K381" s="21" t="n">
        <v>1352.08</v>
      </c>
      <c r="L381" s="21" t="n">
        <v>1545.24</v>
      </c>
      <c r="M381" s="21" t="n">
        <v>750</v>
      </c>
    </row>
    <row r="382">
      <c r="A382" s="9" t="inlineStr">
        <is>
          <t>NANCY</t>
        </is>
      </c>
      <c r="B382" s="9" t="inlineStr">
        <is>
          <t>NANCY 06/09/2025</t>
        </is>
      </c>
      <c r="C382" s="9" t="inlineStr">
        <is>
          <t>2025-09-06</t>
        </is>
      </c>
      <c r="D382" s="9" t="inlineStr">
        <is>
          <t>63e0c0ed991c0</t>
        </is>
      </c>
      <c r="E382" s="9" t="inlineStr">
        <is>
          <t>PULSERA CLAVO GOLD</t>
        </is>
      </c>
      <c r="F382" s="9" t="inlineStr">
        <is>
          <t>17 cm</t>
        </is>
      </c>
      <c r="G382" s="9" t="n">
        <v>10</v>
      </c>
      <c r="H382" s="21" t="n">
        <v>2.99</v>
      </c>
      <c r="I382" s="21" t="n">
        <v>69.62</v>
      </c>
      <c r="J382" s="21" t="n">
        <v>208.87</v>
      </c>
      <c r="K382" s="21" t="n">
        <v>243.68</v>
      </c>
      <c r="L382" s="21" t="n">
        <v>278.5</v>
      </c>
      <c r="M382" s="21" t="n">
        <v>450</v>
      </c>
    </row>
    <row r="383">
      <c r="A383" s="9" t="inlineStr">
        <is>
          <t>NANCY</t>
        </is>
      </c>
      <c r="B383" s="9" t="inlineStr">
        <is>
          <t>NANCY 06/09/2025</t>
        </is>
      </c>
      <c r="C383" s="9" t="inlineStr">
        <is>
          <t>2025-09-06</t>
        </is>
      </c>
      <c r="D383" s="9" t="inlineStr">
        <is>
          <t>63e0c0ee76103</t>
        </is>
      </c>
      <c r="E383" s="9" t="inlineStr">
        <is>
          <t>PULSERA CLAVO GOLD</t>
        </is>
      </c>
      <c r="F383" s="9" t="inlineStr">
        <is>
          <t>19 cm</t>
        </is>
      </c>
      <c r="G383" s="9" t="n">
        <v>8</v>
      </c>
      <c r="H383" s="21" t="n">
        <v>2.99</v>
      </c>
      <c r="I383" s="21" t="n">
        <v>69.62</v>
      </c>
      <c r="J383" s="21" t="n">
        <v>208.87</v>
      </c>
      <c r="K383" s="21" t="n">
        <v>243.68</v>
      </c>
      <c r="L383" s="21" t="n">
        <v>278.5</v>
      </c>
      <c r="M383" s="21" t="n">
        <v>450</v>
      </c>
    </row>
    <row r="384">
      <c r="A384" s="9" t="inlineStr">
        <is>
          <t>NANCY</t>
        </is>
      </c>
      <c r="B384" s="9" t="inlineStr">
        <is>
          <t>NANCY 06/09/2025</t>
        </is>
      </c>
      <c r="C384" s="9" t="inlineStr">
        <is>
          <t>2025-09-06</t>
        </is>
      </c>
      <c r="D384" s="9" t="inlineStr">
        <is>
          <t>63e0c0f1b69e8</t>
        </is>
      </c>
      <c r="E384" s="9" t="inlineStr">
        <is>
          <t>PULSERA CLAVO GOLD CON ZIRCONIA</t>
        </is>
      </c>
      <c r="F384" s="9" t="inlineStr">
        <is>
          <t>17cm</t>
        </is>
      </c>
      <c r="G384" s="9" t="n">
        <v>15</v>
      </c>
      <c r="H384" s="21" t="n">
        <v>3.99</v>
      </c>
      <c r="I384" s="21" t="n">
        <v>92.91</v>
      </c>
      <c r="J384" s="21" t="n">
        <v>278.73</v>
      </c>
      <c r="K384" s="21" t="n">
        <v>325.18</v>
      </c>
      <c r="L384" s="21" t="n">
        <v>371.64</v>
      </c>
      <c r="M384" s="21" t="n">
        <v>450</v>
      </c>
    </row>
    <row r="385">
      <c r="A385" s="9" t="inlineStr">
        <is>
          <t>NANCY</t>
        </is>
      </c>
      <c r="B385" s="9" t="inlineStr">
        <is>
          <t>NANCY 06/09/2025</t>
        </is>
      </c>
      <c r="C385" s="9" t="inlineStr">
        <is>
          <t>2025-09-06</t>
        </is>
      </c>
      <c r="D385" s="9" t="inlineStr">
        <is>
          <t>63e0c0f2996bf</t>
        </is>
      </c>
      <c r="E385" s="9" t="inlineStr">
        <is>
          <t>PULSERA CLAVO GOLD CON ZIRCONIA</t>
        </is>
      </c>
      <c r="F385" s="9" t="inlineStr">
        <is>
          <t>19 cm</t>
        </is>
      </c>
      <c r="G385" s="9" t="n">
        <v>10</v>
      </c>
      <c r="H385" s="21" t="n">
        <v>3.99</v>
      </c>
      <c r="I385" s="21" t="n">
        <v>92.91</v>
      </c>
      <c r="J385" s="21" t="n">
        <v>278.73</v>
      </c>
      <c r="K385" s="21" t="n">
        <v>325.18</v>
      </c>
      <c r="L385" s="21" t="n">
        <v>371.64</v>
      </c>
      <c r="M385" s="21" t="n">
        <v>450</v>
      </c>
    </row>
    <row r="386">
      <c r="A386" s="9" t="inlineStr">
        <is>
          <t>NANCY</t>
        </is>
      </c>
      <c r="B386" s="9" t="inlineStr">
        <is>
          <t>NANCY 06/09/2025</t>
        </is>
      </c>
      <c r="C386" s="9" t="inlineStr">
        <is>
          <t>2025-09-06</t>
        </is>
      </c>
      <c r="D386" s="9" t="inlineStr">
        <is>
          <t>63e0c0e97703d</t>
        </is>
      </c>
      <c r="E386" s="9" t="inlineStr">
        <is>
          <t>PULSERA CLAVO GOLD DELGADA</t>
        </is>
      </c>
      <c r="F386" s="9" t="inlineStr">
        <is>
          <t>16cm</t>
        </is>
      </c>
      <c r="G386" s="9" t="n">
        <v>12</v>
      </c>
      <c r="H386" s="21" t="n">
        <v>2.99</v>
      </c>
      <c r="I386" s="21" t="n">
        <v>69.62</v>
      </c>
      <c r="J386" s="21" t="n">
        <v>208.87</v>
      </c>
      <c r="K386" s="21" t="n">
        <v>243.68</v>
      </c>
      <c r="L386" s="21" t="n">
        <v>278.5</v>
      </c>
      <c r="M386" s="21" t="n">
        <v>550</v>
      </c>
    </row>
    <row r="387">
      <c r="A387" s="9" t="inlineStr">
        <is>
          <t>NANCY</t>
        </is>
      </c>
      <c r="B387" s="9" t="inlineStr">
        <is>
          <t>NANCY 06/09/2025</t>
        </is>
      </c>
      <c r="C387" s="9" t="inlineStr">
        <is>
          <t>2025-09-06</t>
        </is>
      </c>
      <c r="D387" s="9" t="inlineStr">
        <is>
          <t>63e0c0ea219d0</t>
        </is>
      </c>
      <c r="E387" s="9" t="inlineStr">
        <is>
          <t>PULSERA CLAVO GOLD DELGADA CON ZIRCONIA</t>
        </is>
      </c>
      <c r="F387" s="9" t="inlineStr">
        <is>
          <t>17cm</t>
        </is>
      </c>
      <c r="G387" s="9" t="n">
        <v>15</v>
      </c>
      <c r="H387" s="21" t="n">
        <v>3.99</v>
      </c>
      <c r="I387" s="21" t="n">
        <v>92.91</v>
      </c>
      <c r="J387" s="21" t="n">
        <v>278.73</v>
      </c>
      <c r="K387" s="21" t="n">
        <v>325.18</v>
      </c>
      <c r="L387" s="21" t="n">
        <v>371.64</v>
      </c>
      <c r="M387" s="21" t="n">
        <v>480</v>
      </c>
    </row>
    <row r="388">
      <c r="A388" s="9" t="inlineStr">
        <is>
          <t>NANCY</t>
        </is>
      </c>
      <c r="B388" s="9" t="inlineStr">
        <is>
          <t>NANCY 06/09/2025</t>
        </is>
      </c>
      <c r="C388" s="9" t="inlineStr">
        <is>
          <t>2025-09-06</t>
        </is>
      </c>
      <c r="D388" s="9" t="inlineStr">
        <is>
          <t>82224432971117</t>
        </is>
      </c>
      <c r="E388" s="9" t="inlineStr">
        <is>
          <t>PULSERA CLAVO ROSE GOLD CON ZIRCONIA</t>
        </is>
      </c>
      <c r="F388" s="9" t="inlineStr">
        <is>
          <t>17 cm</t>
        </is>
      </c>
      <c r="G388" s="9" t="n">
        <v>5</v>
      </c>
      <c r="H388" s="21" t="n">
        <v>3.99</v>
      </c>
      <c r="I388" s="21" t="n">
        <v>92.91</v>
      </c>
      <c r="J388" s="21" t="n">
        <v>278.73</v>
      </c>
      <c r="K388" s="21" t="n">
        <v>325.18</v>
      </c>
      <c r="L388" s="21" t="n">
        <v>371.64</v>
      </c>
      <c r="M388" s="21" t="n">
        <v>430</v>
      </c>
    </row>
    <row r="389">
      <c r="A389" s="9" t="inlineStr">
        <is>
          <t>NANCY</t>
        </is>
      </c>
      <c r="B389" s="9" t="inlineStr">
        <is>
          <t>NANCY 06/09/2025</t>
        </is>
      </c>
      <c r="C389" s="9" t="inlineStr">
        <is>
          <t>2025-09-06</t>
        </is>
      </c>
      <c r="D389" s="9" t="inlineStr">
        <is>
          <t>82224433003885</t>
        </is>
      </c>
      <c r="E389" s="9" t="inlineStr">
        <is>
          <t>PULSERA CLAVO ROSE GOLD CON ZIRCONIA</t>
        </is>
      </c>
      <c r="F389" s="9" t="inlineStr">
        <is>
          <t>19 cm</t>
        </is>
      </c>
      <c r="G389" s="9" t="n">
        <v>3</v>
      </c>
      <c r="H389" s="21" t="n">
        <v>3.99</v>
      </c>
      <c r="I389" s="21" t="n">
        <v>92.91</v>
      </c>
      <c r="J389" s="21" t="n">
        <v>278.73</v>
      </c>
      <c r="K389" s="21" t="n">
        <v>325.18</v>
      </c>
      <c r="L389" s="21" t="n">
        <v>371.64</v>
      </c>
      <c r="M389" s="21" t="n">
        <v>250</v>
      </c>
    </row>
    <row r="390">
      <c r="A390" s="9" t="inlineStr">
        <is>
          <t>NANCY</t>
        </is>
      </c>
      <c r="B390" s="9" t="inlineStr">
        <is>
          <t>NANCY 06/09/2025</t>
        </is>
      </c>
      <c r="C390" s="9" t="inlineStr">
        <is>
          <t>2025-09-06</t>
        </is>
      </c>
      <c r="D390" s="9" t="inlineStr">
        <is>
          <t>63e0c2284930d</t>
        </is>
      </c>
      <c r="E390" s="9" t="inlineStr">
        <is>
          <t>PULSERA CLAVO ROSE GOLD DELGADA</t>
        </is>
      </c>
      <c r="F390" s="9" t="inlineStr">
        <is>
          <t>17cm</t>
        </is>
      </c>
      <c r="G390" s="9" t="n">
        <v>10</v>
      </c>
      <c r="H390" s="21" t="n">
        <v>2.99</v>
      </c>
      <c r="I390" s="21" t="n">
        <v>69.62</v>
      </c>
      <c r="J390" s="21" t="n">
        <v>208.87</v>
      </c>
      <c r="K390" s="21" t="n">
        <v>243.68</v>
      </c>
      <c r="L390" s="21" t="n">
        <v>278.5</v>
      </c>
      <c r="M390" s="21" t="n">
        <v>480</v>
      </c>
    </row>
    <row r="391">
      <c r="A391" s="9" t="inlineStr">
        <is>
          <t>NANCY</t>
        </is>
      </c>
      <c r="B391" s="9" t="inlineStr">
        <is>
          <t>NANCY 06/09/2025</t>
        </is>
      </c>
      <c r="C391" s="9" t="inlineStr">
        <is>
          <t>2025-09-06</t>
        </is>
      </c>
      <c r="D391" s="9" t="inlineStr">
        <is>
          <t>63e0c0e63c828</t>
        </is>
      </c>
      <c r="E391" s="9" t="inlineStr">
        <is>
          <t>PULSERA CLAVO ROSE GOLD DELGADA CON ZIRCONIA</t>
        </is>
      </c>
      <c r="F391" s="9" t="inlineStr">
        <is>
          <t>17cm</t>
        </is>
      </c>
      <c r="G391" s="9" t="n">
        <v>10</v>
      </c>
      <c r="H391" s="21" t="n">
        <v>3.99</v>
      </c>
      <c r="I391" s="21" t="n">
        <v>92.91</v>
      </c>
      <c r="J391" s="21" t="n">
        <v>278.73</v>
      </c>
      <c r="K391" s="21" t="n">
        <v>325.18</v>
      </c>
      <c r="L391" s="21" t="n">
        <v>371.64</v>
      </c>
      <c r="M391" s="21" t="n">
        <v>480</v>
      </c>
    </row>
    <row r="392">
      <c r="A392" s="9" t="inlineStr">
        <is>
          <t>NANCY</t>
        </is>
      </c>
      <c r="B392" s="9" t="inlineStr">
        <is>
          <t>NANCY 06/09/2025</t>
        </is>
      </c>
      <c r="C392" s="9" t="inlineStr">
        <is>
          <t>2025-09-06</t>
        </is>
      </c>
      <c r="D392" s="9" t="inlineStr">
        <is>
          <t>661770f08cba3</t>
        </is>
      </c>
      <c r="E392" s="9" t="inlineStr">
        <is>
          <t>PULSERA CLAVO SILVER</t>
        </is>
      </c>
      <c r="F392" s="9" t="inlineStr">
        <is>
          <t>17 CM</t>
        </is>
      </c>
      <c r="G392" s="9" t="n">
        <v>15</v>
      </c>
      <c r="H392" s="21" t="n">
        <v>2.99</v>
      </c>
      <c r="I392" s="21" t="n">
        <v>69.62</v>
      </c>
      <c r="J392" s="21" t="n">
        <v>208.87</v>
      </c>
      <c r="K392" s="21" t="n">
        <v>243.68</v>
      </c>
      <c r="L392" s="21" t="n">
        <v>278.5</v>
      </c>
      <c r="M392" s="21" t="n">
        <v>430</v>
      </c>
    </row>
    <row r="393">
      <c r="A393" s="9" t="inlineStr">
        <is>
          <t>NANCY</t>
        </is>
      </c>
      <c r="B393" s="9" t="inlineStr">
        <is>
          <t>NANCY 06/09/2025</t>
        </is>
      </c>
      <c r="C393" s="9" t="inlineStr">
        <is>
          <t>2025-09-06</t>
        </is>
      </c>
      <c r="D393" s="9" t="inlineStr">
        <is>
          <t>661770f12a6a9</t>
        </is>
      </c>
      <c r="E393" s="9" t="inlineStr">
        <is>
          <t>PULSERA CLAVO SILVER</t>
        </is>
      </c>
      <c r="F393" s="9" t="inlineStr">
        <is>
          <t>19 CM</t>
        </is>
      </c>
      <c r="G393" s="9" t="n">
        <v>10</v>
      </c>
      <c r="H393" s="21" t="n">
        <v>2.99</v>
      </c>
      <c r="I393" s="21" t="n">
        <v>69.62</v>
      </c>
      <c r="J393" s="21" t="n">
        <v>208.87</v>
      </c>
      <c r="K393" s="21" t="n">
        <v>243.68</v>
      </c>
      <c r="L393" s="21" t="n">
        <v>278.5</v>
      </c>
      <c r="M393" s="21" t="n">
        <v>450</v>
      </c>
    </row>
    <row r="394">
      <c r="A394" s="9" t="inlineStr">
        <is>
          <t>NANCY</t>
        </is>
      </c>
      <c r="B394" s="9" t="inlineStr">
        <is>
          <t>NANCY 06/09/2025</t>
        </is>
      </c>
      <c r="C394" s="9" t="inlineStr">
        <is>
          <t>2025-09-06</t>
        </is>
      </c>
      <c r="D394" s="9" t="inlineStr">
        <is>
          <t>63e0c22967d6a</t>
        </is>
      </c>
      <c r="E394" s="9" t="inlineStr">
        <is>
          <t>PULSERA CLAVO SILVER CON ZIRCONIA</t>
        </is>
      </c>
      <c r="F394" s="9" t="inlineStr">
        <is>
          <t>19CM</t>
        </is>
      </c>
      <c r="G394" s="9" t="n">
        <v>8</v>
      </c>
      <c r="H394" s="21" t="n">
        <v>3.99</v>
      </c>
      <c r="I394" s="21" t="n">
        <v>92.91</v>
      </c>
      <c r="J394" s="21" t="n">
        <v>278.73</v>
      </c>
      <c r="K394" s="21" t="n">
        <v>325.18</v>
      </c>
      <c r="L394" s="21" t="n">
        <v>371.64</v>
      </c>
      <c r="M394" s="21" t="n">
        <v>450</v>
      </c>
    </row>
    <row r="395">
      <c r="A395" s="9" t="inlineStr">
        <is>
          <t>NANCY</t>
        </is>
      </c>
      <c r="B395" s="9" t="inlineStr">
        <is>
          <t>NANCY 06/09/2025</t>
        </is>
      </c>
      <c r="C395" s="9" t="inlineStr">
        <is>
          <t>2025-09-06</t>
        </is>
      </c>
      <c r="D395" s="9" t="inlineStr">
        <is>
          <t>63e0c22875cb9</t>
        </is>
      </c>
      <c r="E395" s="9" t="inlineStr">
        <is>
          <t>PULSERA CLAVO SILVER DELGADA</t>
        </is>
      </c>
      <c r="F395" s="9" t="inlineStr">
        <is>
          <t>17cm</t>
        </is>
      </c>
      <c r="G395" s="9" t="n">
        <v>15</v>
      </c>
      <c r="H395" s="21" t="n">
        <v>2.99</v>
      </c>
      <c r="I395" s="21" t="n">
        <v>69.62</v>
      </c>
      <c r="J395" s="21" t="n">
        <v>208.87</v>
      </c>
      <c r="K395" s="21" t="n">
        <v>243.68</v>
      </c>
      <c r="L395" s="21" t="n">
        <v>278.5</v>
      </c>
      <c r="M395" s="21" t="n">
        <v>525</v>
      </c>
    </row>
    <row r="396">
      <c r="A396" s="9" t="inlineStr">
        <is>
          <t>NANCY</t>
        </is>
      </c>
      <c r="B396" s="9" t="inlineStr">
        <is>
          <t>NANCY 06/09/2025</t>
        </is>
      </c>
      <c r="C396" s="9" t="inlineStr">
        <is>
          <t>2025-09-06</t>
        </is>
      </c>
      <c r="D396" s="9" t="inlineStr">
        <is>
          <t>63ebddd057ca2</t>
        </is>
      </c>
      <c r="E396" s="9" t="inlineStr">
        <is>
          <t>PULSERA CLAVO SILVER DELGADA CON ZIRCONIA</t>
        </is>
      </c>
      <c r="F396" s="9" t="inlineStr">
        <is>
          <t>17cm</t>
        </is>
      </c>
      <c r="G396" s="9" t="n">
        <v>12</v>
      </c>
      <c r="H396" s="21" t="n">
        <v>3.99</v>
      </c>
      <c r="I396" s="21" t="n">
        <v>92.91</v>
      </c>
      <c r="J396" s="21" t="n">
        <v>278.73</v>
      </c>
      <c r="K396" s="21" t="n">
        <v>325.18</v>
      </c>
      <c r="L396" s="21" t="n">
        <v>371.64</v>
      </c>
      <c r="M396" s="21" t="n">
        <v>480</v>
      </c>
    </row>
    <row r="397">
      <c r="A397" s="9" t="inlineStr">
        <is>
          <t>NANCY</t>
        </is>
      </c>
      <c r="B397" s="9" t="inlineStr">
        <is>
          <t>NANCY 06/09/2025</t>
        </is>
      </c>
      <c r="C397" s="9" t="inlineStr">
        <is>
          <t>2025-09-06</t>
        </is>
      </c>
      <c r="D397" s="9" t="inlineStr">
        <is>
          <t>661774c19f755</t>
        </is>
      </c>
      <c r="E397" s="9" t="inlineStr">
        <is>
          <t>PULSERA ECROU ROSEGOLD</t>
        </is>
      </c>
      <c r="F397" s="9" t="inlineStr">
        <is>
          <t>16cm</t>
        </is>
      </c>
      <c r="G397" s="9" t="n">
        <v>3</v>
      </c>
      <c r="H397" s="21" t="n">
        <v>5.39</v>
      </c>
      <c r="I397" s="21" t="n">
        <v>125.51</v>
      </c>
      <c r="J397" s="21" t="n">
        <v>376.53</v>
      </c>
      <c r="K397" s="21" t="n">
        <v>439.28</v>
      </c>
      <c r="L397" s="21" t="n">
        <v>502.04</v>
      </c>
      <c r="M397" s="21" t="n">
        <v>479</v>
      </c>
    </row>
    <row r="398">
      <c r="A398" s="9" t="inlineStr">
        <is>
          <t>NANCY</t>
        </is>
      </c>
      <c r="B398" s="9" t="inlineStr">
        <is>
          <t>NANCY 06/09/2025</t>
        </is>
      </c>
      <c r="C398" s="9" t="inlineStr">
        <is>
          <t>2025-09-06</t>
        </is>
      </c>
      <c r="D398" s="9" t="inlineStr">
        <is>
          <t>661774c249e2a</t>
        </is>
      </c>
      <c r="E398" s="9" t="inlineStr">
        <is>
          <t>PULSERA ECROU ROSEGOLD</t>
        </is>
      </c>
      <c r="F398" s="9" t="inlineStr">
        <is>
          <t>20cm</t>
        </is>
      </c>
      <c r="G398" s="9" t="n">
        <v>2</v>
      </c>
      <c r="H398" s="21" t="n">
        <v>5.39</v>
      </c>
      <c r="I398" s="21" t="n">
        <v>125.51</v>
      </c>
      <c r="J398" s="21" t="n">
        <v>376.53</v>
      </c>
      <c r="K398" s="21" t="n">
        <v>439.28</v>
      </c>
      <c r="L398" s="21" t="n">
        <v>502.04</v>
      </c>
      <c r="M398" s="21" t="n">
        <v>479</v>
      </c>
    </row>
    <row r="399">
      <c r="A399" s="9" t="inlineStr">
        <is>
          <t>NANCY</t>
        </is>
      </c>
      <c r="B399" s="9" t="inlineStr">
        <is>
          <t>NANCY 06/09/2025</t>
        </is>
      </c>
      <c r="C399" s="9" t="inlineStr">
        <is>
          <t>2025-09-06</t>
        </is>
      </c>
      <c r="D399" s="9" t="inlineStr">
        <is>
          <t>661774c181d21</t>
        </is>
      </c>
      <c r="E399" s="9" t="inlineStr">
        <is>
          <t>PULSERA ECROU SILVER</t>
        </is>
      </c>
      <c r="F399" s="9" t="inlineStr">
        <is>
          <t>16cm</t>
        </is>
      </c>
      <c r="G399" s="9" t="n">
        <v>1</v>
      </c>
      <c r="H399" s="21" t="n">
        <v>5.39</v>
      </c>
      <c r="I399" s="21" t="n">
        <v>125.51</v>
      </c>
      <c r="J399" s="21" t="n">
        <v>376.53</v>
      </c>
      <c r="K399" s="21" t="n">
        <v>439.28</v>
      </c>
      <c r="L399" s="21" t="n">
        <v>502.04</v>
      </c>
      <c r="M399" s="21" t="n">
        <v>499</v>
      </c>
    </row>
    <row r="400">
      <c r="A400" s="9" t="inlineStr">
        <is>
          <t>NANCY</t>
        </is>
      </c>
      <c r="B400" s="9" t="inlineStr">
        <is>
          <t>NANCY 06/09/2025</t>
        </is>
      </c>
      <c r="C400" s="9" t="inlineStr">
        <is>
          <t>2025-09-06</t>
        </is>
      </c>
      <c r="D400" s="9" t="inlineStr">
        <is>
          <t>661774c22d9a0</t>
        </is>
      </c>
      <c r="E400" s="9" t="inlineStr">
        <is>
          <t>PULSERA ECROU SILVER</t>
        </is>
      </c>
      <c r="F400" s="9" t="inlineStr">
        <is>
          <t>20cm</t>
        </is>
      </c>
      <c r="G400" s="9" t="n">
        <v>5</v>
      </c>
      <c r="H400" s="21" t="n">
        <v>5.39</v>
      </c>
      <c r="I400" s="21" t="n">
        <v>125.51</v>
      </c>
      <c r="J400" s="21" t="n">
        <v>376.53</v>
      </c>
      <c r="K400" s="21" t="n">
        <v>439.28</v>
      </c>
      <c r="L400" s="21" t="n">
        <v>502.04</v>
      </c>
      <c r="M400" s="21" t="n">
        <v>499</v>
      </c>
    </row>
    <row r="401">
      <c r="A401" s="9" t="inlineStr">
        <is>
          <t>NANCY</t>
        </is>
      </c>
      <c r="B401" s="9" t="inlineStr">
        <is>
          <t>NANCY 06/09/2025</t>
        </is>
      </c>
      <c r="C401" s="9" t="inlineStr">
        <is>
          <t>2025-09-06</t>
        </is>
      </c>
      <c r="D401" s="9" t="inlineStr">
        <is>
          <t>43047201243276</t>
        </is>
      </c>
      <c r="E401" s="9" t="inlineStr">
        <is>
          <t>PULSERA LOCK SILVER CON ZIRCONIAS</t>
        </is>
      </c>
      <c r="F401" s="9" t="inlineStr">
        <is>
          <t>17cm</t>
        </is>
      </c>
      <c r="G401" s="9" t="n">
        <v>3</v>
      </c>
      <c r="H401" s="21" t="n">
        <v>10.59</v>
      </c>
      <c r="I401" s="21" t="n">
        <v>246.6</v>
      </c>
      <c r="J401" s="21" t="n">
        <v>739.79</v>
      </c>
      <c r="K401" s="21" t="n">
        <v>863.08</v>
      </c>
      <c r="L401" s="21" t="n">
        <v>986.38</v>
      </c>
      <c r="M401" s="21" t="n">
        <v>650</v>
      </c>
    </row>
    <row r="402">
      <c r="A402" s="9" t="inlineStr">
        <is>
          <t>NANCY</t>
        </is>
      </c>
      <c r="B402" s="9" t="inlineStr">
        <is>
          <t>NANCY 06/09/2025</t>
        </is>
      </c>
      <c r="C402" s="9" t="inlineStr">
        <is>
          <t>2025-09-06</t>
        </is>
      </c>
      <c r="D402" s="9" t="inlineStr">
        <is>
          <t>64e78e7d211b8</t>
        </is>
      </c>
      <c r="E402" s="9" t="inlineStr">
        <is>
          <t>PULSERA ONE TRÉBOL GOLD</t>
        </is>
      </c>
      <c r="F402" s="9" t="inlineStr">
        <is>
          <t>17cm Con extension 2.5m</t>
        </is>
      </c>
      <c r="G402" s="9" t="n">
        <v>12</v>
      </c>
      <c r="H402" s="21" t="n">
        <v>5.59</v>
      </c>
      <c r="I402" s="21" t="n">
        <v>130.17</v>
      </c>
      <c r="J402" s="21" t="n">
        <v>390.5</v>
      </c>
      <c r="K402" s="21" t="n">
        <v>455.58</v>
      </c>
      <c r="L402" s="21" t="n">
        <v>520.67</v>
      </c>
      <c r="M402" s="21" t="n">
        <v>780</v>
      </c>
    </row>
    <row r="403">
      <c r="A403" s="9" t="inlineStr">
        <is>
          <t>NANCY</t>
        </is>
      </c>
      <c r="B403" s="9" t="inlineStr">
        <is>
          <t>NANCY 06/09/2025</t>
        </is>
      </c>
      <c r="C403" s="9" t="inlineStr">
        <is>
          <t>2025-09-06</t>
        </is>
      </c>
      <c r="D403" s="9" t="inlineStr">
        <is>
          <t>58501868312588</t>
        </is>
      </c>
      <c r="E403" s="9" t="inlineStr">
        <is>
          <t>PULSERA PERLEÉ ROSEGOLD ANCHA</t>
        </is>
      </c>
      <c r="F403" s="9" t="inlineStr">
        <is>
          <t>16cm</t>
        </is>
      </c>
      <c r="G403" s="9" t="n">
        <v>2</v>
      </c>
      <c r="H403" s="21" t="n">
        <v>12.99</v>
      </c>
      <c r="I403" s="21" t="n">
        <v>302.48</v>
      </c>
      <c r="J403" s="21" t="n">
        <v>907.4400000000001</v>
      </c>
      <c r="K403" s="21" t="n">
        <v>1058.68</v>
      </c>
      <c r="L403" s="21" t="n">
        <v>1209.92</v>
      </c>
      <c r="M403" s="21" t="n">
        <v>1199</v>
      </c>
    </row>
    <row r="404">
      <c r="A404" s="9" t="inlineStr">
        <is>
          <t>NANCY</t>
        </is>
      </c>
      <c r="B404" s="9" t="inlineStr">
        <is>
          <t>NANCY 06/09/2025</t>
        </is>
      </c>
      <c r="C404" s="9" t="inlineStr">
        <is>
          <t>2025-09-06</t>
        </is>
      </c>
      <c r="D404" s="9" t="inlineStr">
        <is>
          <t>665bce65c57fd</t>
        </is>
      </c>
      <c r="E404" s="9" t="inlineStr">
        <is>
          <t>PULSERA SERPENTI LISA SILVER</t>
        </is>
      </c>
      <c r="F404" s="9" t="inlineStr">
        <is>
          <t>18cm</t>
        </is>
      </c>
      <c r="G404" s="9" t="n">
        <v>6</v>
      </c>
      <c r="H404" s="21" t="n">
        <v>9.390000000000001</v>
      </c>
      <c r="I404" s="21" t="n">
        <v>218.65</v>
      </c>
      <c r="J404" s="21" t="n">
        <v>655.96</v>
      </c>
      <c r="K404" s="21" t="n">
        <v>765.28</v>
      </c>
      <c r="L404" s="21" t="n">
        <v>874.61</v>
      </c>
      <c r="M404" s="21" t="n">
        <v>789</v>
      </c>
    </row>
    <row r="405">
      <c r="A405" s="9" t="inlineStr">
        <is>
          <t>NANCY</t>
        </is>
      </c>
      <c r="B405" s="9" t="inlineStr">
        <is>
          <t>NANCY 06/09/2025</t>
        </is>
      </c>
      <c r="C405" s="9" t="inlineStr">
        <is>
          <t>2025-09-06</t>
        </is>
      </c>
      <c r="D405" s="9" t="inlineStr">
        <is>
          <t>665bd055c2e65</t>
        </is>
      </c>
      <c r="E405" s="9" t="inlineStr">
        <is>
          <t>PULSERA TB CON UNA INSIGNIA BLACK</t>
        </is>
      </c>
      <c r="F405" s="9" t="inlineStr">
        <is>
          <t>17cm</t>
        </is>
      </c>
      <c r="G405" s="9" t="n">
        <v>2</v>
      </c>
      <c r="H405" s="21" t="n">
        <v>5.59</v>
      </c>
      <c r="I405" s="21" t="n">
        <v>130.17</v>
      </c>
      <c r="J405" s="21" t="n">
        <v>390.5</v>
      </c>
      <c r="K405" s="21" t="n">
        <v>455.58</v>
      </c>
      <c r="L405" s="21" t="n">
        <v>520.67</v>
      </c>
      <c r="M405" s="21" t="n">
        <v>350</v>
      </c>
    </row>
    <row r="406">
      <c r="A406" s="9" t="inlineStr">
        <is>
          <t>NANCY</t>
        </is>
      </c>
      <c r="B406" s="9" t="inlineStr">
        <is>
          <t>NANCY 06/09/2025</t>
        </is>
      </c>
      <c r="C406" s="9" t="inlineStr">
        <is>
          <t>2025-09-06</t>
        </is>
      </c>
      <c r="D406" s="9" t="inlineStr">
        <is>
          <t>665bd055d2452</t>
        </is>
      </c>
      <c r="E406" s="9" t="inlineStr">
        <is>
          <t>PULSERA TB CON UNA INSIGNIA WHITE</t>
        </is>
      </c>
      <c r="F406" s="9" t="inlineStr">
        <is>
          <t>17cm</t>
        </is>
      </c>
      <c r="G406" s="9" t="n">
        <v>2</v>
      </c>
      <c r="H406" s="21" t="n">
        <v>5.59</v>
      </c>
      <c r="I406" s="21" t="n">
        <v>130.17</v>
      </c>
      <c r="J406" s="21" t="n">
        <v>390.5</v>
      </c>
      <c r="K406" s="21" t="n">
        <v>455.58</v>
      </c>
      <c r="L406" s="21" t="n">
        <v>520.67</v>
      </c>
      <c r="M406" s="21" t="n">
        <v>500</v>
      </c>
    </row>
    <row r="407">
      <c r="A407" s="9" t="inlineStr">
        <is>
          <t>NANCY</t>
        </is>
      </c>
      <c r="B407" s="9" t="inlineStr">
        <is>
          <t>NANCY 06/09/2025</t>
        </is>
      </c>
      <c r="C407" s="9" t="inlineStr">
        <is>
          <t>2025-09-06</t>
        </is>
      </c>
      <c r="D407" s="9" t="inlineStr">
        <is>
          <t>665bd05b5a37f</t>
        </is>
      </c>
      <c r="E407" s="9" t="inlineStr">
        <is>
          <t>PULSERA TB GOLD</t>
        </is>
      </c>
      <c r="F407" s="9" t="inlineStr">
        <is>
          <t>17cm</t>
        </is>
      </c>
      <c r="G407" s="9" t="n">
        <v>5</v>
      </c>
      <c r="H407" s="21" t="n">
        <v>5.39</v>
      </c>
      <c r="I407" s="21" t="n">
        <v>125.51</v>
      </c>
      <c r="J407" s="21" t="n">
        <v>376.53</v>
      </c>
      <c r="K407" s="21" t="n">
        <v>439.28</v>
      </c>
      <c r="L407" s="21" t="n">
        <v>502.04</v>
      </c>
      <c r="M407" s="21" t="n">
        <v>499</v>
      </c>
    </row>
    <row r="408">
      <c r="A408" s="9" t="inlineStr">
        <is>
          <t>NANCY</t>
        </is>
      </c>
      <c r="B408" s="9" t="inlineStr">
        <is>
          <t>NANCY 06/09/2025</t>
        </is>
      </c>
      <c r="C408" s="9" t="inlineStr">
        <is>
          <t>2025-09-06</t>
        </is>
      </c>
      <c r="D408" s="9" t="inlineStr">
        <is>
          <t>63ebe03ea2adc</t>
        </is>
      </c>
      <c r="E408" s="9" t="inlineStr">
        <is>
          <t>PULSERA V GOLD CON ZIRCONIA</t>
        </is>
      </c>
      <c r="F408" s="9" t="inlineStr">
        <is>
          <t>18cm</t>
        </is>
      </c>
      <c r="G408" s="9" t="n">
        <v>5</v>
      </c>
      <c r="H408" s="21" t="n">
        <v>6.19</v>
      </c>
      <c r="I408" s="21" t="n">
        <v>144.14</v>
      </c>
      <c r="J408" s="21" t="n">
        <v>432.41</v>
      </c>
      <c r="K408" s="21" t="n">
        <v>504.48</v>
      </c>
      <c r="L408" s="21" t="n">
        <v>576.55</v>
      </c>
      <c r="M408" s="21" t="n">
        <v>599</v>
      </c>
    </row>
    <row r="409">
      <c r="A409" s="9" t="inlineStr">
        <is>
          <t>NANCY</t>
        </is>
      </c>
      <c r="B409" s="9" t="inlineStr">
        <is>
          <t>NANCY 06/09/2025</t>
        </is>
      </c>
      <c r="C409" s="9" t="inlineStr">
        <is>
          <t>2025-09-06</t>
        </is>
      </c>
      <c r="D409" s="9" t="inlineStr">
        <is>
          <t>69645921049005</t>
        </is>
      </c>
      <c r="E409" s="9" t="inlineStr">
        <is>
          <t>PULSERA YSL GOLD</t>
        </is>
      </c>
      <c r="F409" s="9" t="inlineStr">
        <is>
          <t>Default Title</t>
        </is>
      </c>
      <c r="G409" s="9" t="n">
        <v>12</v>
      </c>
      <c r="H409" s="21" t="n">
        <v>2.99</v>
      </c>
      <c r="I409" s="21" t="n">
        <v>69.62</v>
      </c>
      <c r="J409" s="21" t="n">
        <v>208.87</v>
      </c>
      <c r="K409" s="21" t="n">
        <v>243.68</v>
      </c>
      <c r="L409" s="21" t="n">
        <v>278.5</v>
      </c>
      <c r="M409" s="21" t="n">
        <v>380</v>
      </c>
    </row>
    <row r="410">
      <c r="A410" s="9" t="inlineStr">
        <is>
          <t>HAIFENG</t>
        </is>
      </c>
      <c r="B410" s="9" t="inlineStr">
        <is>
          <t>HAIFENG 25/09/2025</t>
        </is>
      </c>
      <c r="C410" s="9" t="inlineStr">
        <is>
          <t>2025-09-25</t>
        </is>
      </c>
      <c r="D410" s="9" t="inlineStr">
        <is>
          <t>PANDORA</t>
        </is>
      </c>
      <c r="E410" s="9" t="inlineStr"/>
      <c r="F410" s="9" t="inlineStr"/>
      <c r="G410" s="9" t="n">
        <v>1</v>
      </c>
      <c r="H410" s="21" t="n">
        <v>4.99</v>
      </c>
      <c r="I410" s="21" t="n">
        <v>105.27</v>
      </c>
      <c r="J410" s="21" t="n">
        <v>315.82</v>
      </c>
      <c r="K410" s="21" t="n">
        <v>368.46</v>
      </c>
      <c r="L410" s="21" t="n">
        <v>421.09</v>
      </c>
      <c r="M410" s="21" t="n"/>
    </row>
    <row r="411">
      <c r="A411" s="9" t="inlineStr">
        <is>
          <t>HAIFENG</t>
        </is>
      </c>
      <c r="B411" s="9" t="inlineStr">
        <is>
          <t>HAIFENG 25/09/2025</t>
        </is>
      </c>
      <c r="C411" s="9" t="inlineStr">
        <is>
          <t>2025-09-25</t>
        </is>
      </c>
      <c r="D411" s="9" t="inlineStr">
        <is>
          <t>64085742311277</t>
        </is>
      </c>
      <c r="E411" s="9" t="inlineStr">
        <is>
          <t>ANILLO ALLIANCE CON ZIRCONIA C</t>
        </is>
      </c>
      <c r="F411" s="9" t="inlineStr">
        <is>
          <t>5</t>
        </is>
      </c>
      <c r="G411" s="9" t="n">
        <v>3</v>
      </c>
      <c r="H411" s="21" t="n">
        <v>2</v>
      </c>
      <c r="I411" s="21" t="n">
        <v>42.19</v>
      </c>
      <c r="J411" s="21" t="n">
        <v>126.58</v>
      </c>
      <c r="K411" s="21" t="n">
        <v>147.68</v>
      </c>
      <c r="L411" s="21" t="n">
        <v>168.78</v>
      </c>
      <c r="M411" s="21" t="n">
        <v>450</v>
      </c>
    </row>
    <row r="412">
      <c r="A412" s="9" t="inlineStr">
        <is>
          <t>HAIFENG</t>
        </is>
      </c>
      <c r="B412" s="9" t="inlineStr">
        <is>
          <t>HAIFENG 25/09/2025</t>
        </is>
      </c>
      <c r="C412" s="9" t="inlineStr">
        <is>
          <t>2025-09-25</t>
        </is>
      </c>
      <c r="D412" s="9" t="inlineStr">
        <is>
          <t>64085742444045</t>
        </is>
      </c>
      <c r="E412" s="9" t="inlineStr">
        <is>
          <t>ANILLO ALLIANCE CON ZIRCONIA C</t>
        </is>
      </c>
      <c r="F412" s="9" t="inlineStr">
        <is>
          <t>6</t>
        </is>
      </c>
      <c r="G412" s="9" t="n">
        <v>3</v>
      </c>
      <c r="H412" s="21" t="n">
        <v>2</v>
      </c>
      <c r="I412" s="21" t="n">
        <v>42.19</v>
      </c>
      <c r="J412" s="21" t="n">
        <v>126.58</v>
      </c>
      <c r="K412" s="21" t="n">
        <v>147.68</v>
      </c>
      <c r="L412" s="21" t="n">
        <v>168.78</v>
      </c>
      <c r="M412" s="21" t="n">
        <v>450</v>
      </c>
    </row>
    <row r="413">
      <c r="A413" s="9" t="inlineStr">
        <is>
          <t>HAIFENG</t>
        </is>
      </c>
      <c r="B413" s="9" t="inlineStr">
        <is>
          <t>HAIFENG 25/09/2025</t>
        </is>
      </c>
      <c r="C413" s="9" t="inlineStr">
        <is>
          <t>2025-09-25</t>
        </is>
      </c>
      <c r="D413" s="9" t="inlineStr">
        <is>
          <t>64085742794061</t>
        </is>
      </c>
      <c r="E413" s="9" t="inlineStr">
        <is>
          <t>ANILLO ALLIANCE ROSE GOLD C</t>
        </is>
      </c>
      <c r="F413" s="9" t="inlineStr">
        <is>
          <t>6</t>
        </is>
      </c>
      <c r="G413" s="9" t="n">
        <v>3</v>
      </c>
      <c r="H413" s="21" t="n">
        <v>2</v>
      </c>
      <c r="I413" s="21" t="n">
        <v>42.19</v>
      </c>
      <c r="J413" s="21" t="n">
        <v>126.58</v>
      </c>
      <c r="K413" s="21" t="n">
        <v>147.68</v>
      </c>
      <c r="L413" s="21" t="n">
        <v>168.78</v>
      </c>
      <c r="M413" s="21" t="n">
        <v>400</v>
      </c>
    </row>
    <row r="414">
      <c r="A414" s="9" t="inlineStr">
        <is>
          <t>HAIFENG</t>
        </is>
      </c>
      <c r="B414" s="9" t="inlineStr">
        <is>
          <t>HAIFENG 25/09/2025</t>
        </is>
      </c>
      <c r="C414" s="9" t="inlineStr">
        <is>
          <t>2025-09-25</t>
        </is>
      </c>
      <c r="D414" s="9" t="inlineStr">
        <is>
          <t>21605761269037</t>
        </is>
      </c>
      <c r="E414" s="9" t="inlineStr">
        <is>
          <t>ANILLO BACK SOON T ROSE GOLD</t>
        </is>
      </c>
      <c r="F414" s="9" t="inlineStr">
        <is>
          <t>5</t>
        </is>
      </c>
      <c r="G414" s="9" t="n">
        <v>3</v>
      </c>
      <c r="H414" s="21" t="n">
        <v>3</v>
      </c>
      <c r="I414" s="21" t="n">
        <v>63.29</v>
      </c>
      <c r="J414" s="21" t="n">
        <v>189.87</v>
      </c>
      <c r="K414" s="21" t="n">
        <v>221.52</v>
      </c>
      <c r="L414" s="21" t="n">
        <v>253.16</v>
      </c>
      <c r="M414" s="21" t="n">
        <v>400</v>
      </c>
    </row>
    <row r="415">
      <c r="A415" s="9" t="inlineStr">
        <is>
          <t>HAIFENG</t>
        </is>
      </c>
      <c r="B415" s="9" t="inlineStr">
        <is>
          <t>HAIFENG 25/09/2025</t>
        </is>
      </c>
      <c r="C415" s="9" t="inlineStr">
        <is>
          <t>2025-09-25</t>
        </is>
      </c>
      <c r="D415" s="9" t="inlineStr">
        <is>
          <t>21605771301805</t>
        </is>
      </c>
      <c r="E415" s="9" t="inlineStr">
        <is>
          <t>ANILLO BACK SOON T ROSE GOLD</t>
        </is>
      </c>
      <c r="F415" s="9" t="inlineStr">
        <is>
          <t>6</t>
        </is>
      </c>
      <c r="G415" s="9" t="n">
        <v>3</v>
      </c>
      <c r="H415" s="21" t="n">
        <v>3</v>
      </c>
      <c r="I415" s="21" t="n">
        <v>63.29</v>
      </c>
      <c r="J415" s="21" t="n">
        <v>189.87</v>
      </c>
      <c r="K415" s="21" t="n">
        <v>221.52</v>
      </c>
      <c r="L415" s="21" t="n">
        <v>253.16</v>
      </c>
      <c r="M415" s="21" t="n">
        <v>400</v>
      </c>
    </row>
    <row r="416">
      <c r="A416" s="9" t="inlineStr">
        <is>
          <t>HAIFENG</t>
        </is>
      </c>
      <c r="B416" s="9" t="inlineStr">
        <is>
          <t>HAIFENG 25/09/2025</t>
        </is>
      </c>
      <c r="C416" s="9" t="inlineStr">
        <is>
          <t>2025-09-25</t>
        </is>
      </c>
      <c r="D416" s="9" t="inlineStr">
        <is>
          <t>21605774283693</t>
        </is>
      </c>
      <c r="E416" s="9" t="inlineStr">
        <is>
          <t>ANILLO BACK SOON T SILVER</t>
        </is>
      </c>
      <c r="F416" s="9" t="inlineStr">
        <is>
          <t>6</t>
        </is>
      </c>
      <c r="G416" s="9" t="n">
        <v>3</v>
      </c>
      <c r="H416" s="21" t="n">
        <v>3</v>
      </c>
      <c r="I416" s="21" t="n">
        <v>63.29</v>
      </c>
      <c r="J416" s="21" t="n">
        <v>189.87</v>
      </c>
      <c r="K416" s="21" t="n">
        <v>221.52</v>
      </c>
      <c r="L416" s="21" t="n">
        <v>253.16</v>
      </c>
      <c r="M416" s="21" t="n">
        <v>450</v>
      </c>
    </row>
    <row r="417">
      <c r="A417" s="9" t="inlineStr">
        <is>
          <t>HAIFENG</t>
        </is>
      </c>
      <c r="B417" s="9" t="inlineStr">
        <is>
          <t>HAIFENG 25/09/2025</t>
        </is>
      </c>
      <c r="C417" s="9" t="inlineStr">
        <is>
          <t>2025-09-25</t>
        </is>
      </c>
      <c r="D417" s="9" t="inlineStr">
        <is>
          <t>21605774349229</t>
        </is>
      </c>
      <c r="E417" s="9" t="inlineStr">
        <is>
          <t>ANILLO BACK SOON T SILVER</t>
        </is>
      </c>
      <c r="F417" s="9" t="inlineStr">
        <is>
          <t>8</t>
        </is>
      </c>
      <c r="G417" s="9" t="n">
        <v>8</v>
      </c>
      <c r="H417" s="21" t="n">
        <v>3</v>
      </c>
      <c r="I417" s="21" t="n">
        <v>63.29</v>
      </c>
      <c r="J417" s="21" t="n">
        <v>189.87</v>
      </c>
      <c r="K417" s="21" t="n">
        <v>221.52</v>
      </c>
      <c r="L417" s="21" t="n">
        <v>253.16</v>
      </c>
      <c r="M417" s="21" t="n">
        <v>450</v>
      </c>
    </row>
    <row r="418">
      <c r="A418" s="9" t="inlineStr">
        <is>
          <t>HAIFENG</t>
        </is>
      </c>
      <c r="B418" s="9" t="inlineStr">
        <is>
          <t>HAIFENG 25/09/2025</t>
        </is>
      </c>
      <c r="C418" s="9" t="inlineStr">
        <is>
          <t>2025-09-25</t>
        </is>
      </c>
      <c r="D418" s="9" t="inlineStr">
        <is>
          <t>67201533809613</t>
        </is>
      </c>
      <c r="E418" s="9" t="inlineStr">
        <is>
          <t>ANILLO BEAN CON ZIRCONIA GOLD</t>
        </is>
      </c>
      <c r="F418" s="9" t="inlineStr">
        <is>
          <t>7</t>
        </is>
      </c>
      <c r="G418" s="9" t="n">
        <v>3</v>
      </c>
      <c r="H418" s="21" t="n">
        <v>5</v>
      </c>
      <c r="I418" s="21" t="n">
        <v>105.48</v>
      </c>
      <c r="J418" s="21" t="n">
        <v>316.45</v>
      </c>
      <c r="K418" s="21" t="n">
        <v>369.2</v>
      </c>
      <c r="L418" s="21" t="n">
        <v>421.94</v>
      </c>
      <c r="M418" s="21" t="n">
        <v>450</v>
      </c>
    </row>
    <row r="419">
      <c r="A419" s="9" t="inlineStr">
        <is>
          <t>HAIFENG</t>
        </is>
      </c>
      <c r="B419" s="9" t="inlineStr">
        <is>
          <t>HAIFENG 25/09/2025</t>
        </is>
      </c>
      <c r="C419" s="9" t="inlineStr">
        <is>
          <t>2025-09-25</t>
        </is>
      </c>
      <c r="D419" s="9" t="inlineStr">
        <is>
          <t>654bd7ac2dee3</t>
        </is>
      </c>
      <c r="E419" s="9" t="inlineStr">
        <is>
          <t>ANILLO BV 3 OROS-5</t>
        </is>
      </c>
      <c r="F419" s="9" t="inlineStr">
        <is>
          <t>5</t>
        </is>
      </c>
      <c r="G419" s="9" t="n">
        <v>4</v>
      </c>
      <c r="H419" s="21" t="n">
        <v>8</v>
      </c>
      <c r="I419" s="21" t="n">
        <v>168.78</v>
      </c>
      <c r="J419" s="21" t="n">
        <v>506.33</v>
      </c>
      <c r="K419" s="21" t="n">
        <v>590.71</v>
      </c>
      <c r="L419" s="21" t="n">
        <v>675.1</v>
      </c>
      <c r="M419" s="21" t="n">
        <v>520</v>
      </c>
    </row>
    <row r="420">
      <c r="A420" s="9" t="inlineStr">
        <is>
          <t>HAIFENG</t>
        </is>
      </c>
      <c r="B420" s="9" t="inlineStr">
        <is>
          <t>HAIFENG 25/09/2025</t>
        </is>
      </c>
      <c r="C420" s="9" t="inlineStr">
        <is>
          <t>2025-09-25</t>
        </is>
      </c>
      <c r="D420" s="9" t="inlineStr">
        <is>
          <t>64e78e7b03ab1</t>
        </is>
      </c>
      <c r="E420" s="9" t="inlineStr">
        <is>
          <t>ANILLO BV 3 OROS-8</t>
        </is>
      </c>
      <c r="F420" s="9" t="inlineStr">
        <is>
          <t>8</t>
        </is>
      </c>
      <c r="G420" s="9" t="n">
        <v>4</v>
      </c>
      <c r="H420" s="21" t="n">
        <v>8</v>
      </c>
      <c r="I420" s="21" t="n">
        <v>168.78</v>
      </c>
      <c r="J420" s="21" t="n">
        <v>506.33</v>
      </c>
      <c r="K420" s="21" t="n">
        <v>590.71</v>
      </c>
      <c r="L420" s="21" t="n">
        <v>675.1</v>
      </c>
      <c r="M420" s="21" t="n">
        <v>520</v>
      </c>
    </row>
    <row r="421">
      <c r="A421" s="9" t="inlineStr">
        <is>
          <t>HAIFENG</t>
        </is>
      </c>
      <c r="B421" s="9" t="inlineStr">
        <is>
          <t>HAIFENG 25/09/2025</t>
        </is>
      </c>
      <c r="C421" s="9" t="inlineStr">
        <is>
          <t>2025-09-25</t>
        </is>
      </c>
      <c r="D421" s="9" t="inlineStr">
        <is>
          <t>64e78e7bb52a6</t>
        </is>
      </c>
      <c r="E421" s="9" t="inlineStr">
        <is>
          <t>ANILLO BV 3 OROS-9</t>
        </is>
      </c>
      <c r="F421" s="9" t="inlineStr">
        <is>
          <t>9</t>
        </is>
      </c>
      <c r="G421" s="9" t="n">
        <v>4</v>
      </c>
      <c r="H421" s="21" t="n">
        <v>8</v>
      </c>
      <c r="I421" s="21" t="n">
        <v>168.78</v>
      </c>
      <c r="J421" s="21" t="n">
        <v>506.33</v>
      </c>
      <c r="K421" s="21" t="n">
        <v>590.71</v>
      </c>
      <c r="L421" s="21" t="n">
        <v>675.1</v>
      </c>
      <c r="M421" s="21" t="n">
        <v>364</v>
      </c>
    </row>
    <row r="422">
      <c r="A422" s="9" t="inlineStr">
        <is>
          <t>HAIFENG</t>
        </is>
      </c>
      <c r="B422" s="9" t="inlineStr">
        <is>
          <t>HAIFENG 25/09/2025</t>
        </is>
      </c>
      <c r="C422" s="9" t="inlineStr">
        <is>
          <t>2025-09-25</t>
        </is>
      </c>
      <c r="D422" s="9" t="inlineStr">
        <is>
          <t>6</t>
        </is>
      </c>
      <c r="E422" s="9" t="inlineStr">
        <is>
          <t>ANILLO BV BROWN-6</t>
        </is>
      </c>
      <c r="F422" s="9" t="inlineStr"/>
      <c r="G422" s="9" t="n">
        <v>2</v>
      </c>
      <c r="H422" s="21" t="n">
        <v>7</v>
      </c>
      <c r="I422" s="21" t="n">
        <v>147.68</v>
      </c>
      <c r="J422" s="21" t="n">
        <v>443.03</v>
      </c>
      <c r="K422" s="21" t="n">
        <v>516.87</v>
      </c>
      <c r="L422" s="21" t="n">
        <v>590.71</v>
      </c>
      <c r="M422" s="21" t="n"/>
    </row>
    <row r="423">
      <c r="A423" s="9" t="inlineStr">
        <is>
          <t>HAIFENG</t>
        </is>
      </c>
      <c r="B423" s="9" t="inlineStr">
        <is>
          <t>HAIFENG 25/09/2025</t>
        </is>
      </c>
      <c r="C423" s="9" t="inlineStr">
        <is>
          <t>2025-09-25</t>
        </is>
      </c>
      <c r="D423" s="9" t="inlineStr">
        <is>
          <t>7</t>
        </is>
      </c>
      <c r="E423" s="9" t="inlineStr">
        <is>
          <t>ANILLO BV BROWN-7</t>
        </is>
      </c>
      <c r="F423" s="9" t="inlineStr"/>
      <c r="G423" s="9" t="n">
        <v>2</v>
      </c>
      <c r="H423" s="21" t="n">
        <v>7</v>
      </c>
      <c r="I423" s="21" t="n">
        <v>147.68</v>
      </c>
      <c r="J423" s="21" t="n">
        <v>443.03</v>
      </c>
      <c r="K423" s="21" t="n">
        <v>516.87</v>
      </c>
      <c r="L423" s="21" t="n">
        <v>590.71</v>
      </c>
      <c r="M423" s="21" t="n"/>
    </row>
    <row r="424">
      <c r="A424" s="9" t="inlineStr">
        <is>
          <t>HAIFENG</t>
        </is>
      </c>
      <c r="B424" s="9" t="inlineStr">
        <is>
          <t>HAIFENG 25/09/2025</t>
        </is>
      </c>
      <c r="C424" s="9" t="inlineStr">
        <is>
          <t>2025-09-25</t>
        </is>
      </c>
      <c r="D424" s="9" t="inlineStr">
        <is>
          <t>8</t>
        </is>
      </c>
      <c r="E424" s="9" t="inlineStr">
        <is>
          <t>ANILLO BV BROWN-8</t>
        </is>
      </c>
      <c r="F424" s="9" t="inlineStr"/>
      <c r="G424" s="9" t="n">
        <v>2</v>
      </c>
      <c r="H424" s="21" t="n">
        <v>7</v>
      </c>
      <c r="I424" s="21" t="n">
        <v>147.68</v>
      </c>
      <c r="J424" s="21" t="n">
        <v>443.03</v>
      </c>
      <c r="K424" s="21" t="n">
        <v>516.87</v>
      </c>
      <c r="L424" s="21" t="n">
        <v>590.71</v>
      </c>
      <c r="M424" s="21" t="n"/>
    </row>
    <row r="425">
      <c r="A425" s="9" t="inlineStr">
        <is>
          <t>HAIFENG</t>
        </is>
      </c>
      <c r="B425" s="9" t="inlineStr">
        <is>
          <t>HAIFENG 25/09/2025</t>
        </is>
      </c>
      <c r="C425" s="9" t="inlineStr">
        <is>
          <t>2025-09-25</t>
        </is>
      </c>
      <c r="D425" s="9" t="inlineStr">
        <is>
          <t>10956321024557</t>
        </is>
      </c>
      <c r="E425" s="9" t="inlineStr">
        <is>
          <t>ANILLO BV BUMPS GOLD ZIRCONIAS-6</t>
        </is>
      </c>
      <c r="F425" s="9" t="inlineStr">
        <is>
          <t>6</t>
        </is>
      </c>
      <c r="G425" s="9" t="n">
        <v>2</v>
      </c>
      <c r="H425" s="21" t="n">
        <v>10</v>
      </c>
      <c r="I425" s="21" t="n">
        <v>210.97</v>
      </c>
      <c r="J425" s="21" t="n">
        <v>632.91</v>
      </c>
      <c r="K425" s="21" t="n">
        <v>738.39</v>
      </c>
      <c r="L425" s="21" t="n">
        <v>843.88</v>
      </c>
      <c r="M425" s="21" t="n">
        <v>999</v>
      </c>
    </row>
    <row r="426">
      <c r="A426" s="9" t="inlineStr">
        <is>
          <t>HAIFENG</t>
        </is>
      </c>
      <c r="B426" s="9" t="inlineStr">
        <is>
          <t>HAIFENG 25/09/2025</t>
        </is>
      </c>
      <c r="C426" s="9" t="inlineStr">
        <is>
          <t>2025-09-25</t>
        </is>
      </c>
      <c r="D426" s="9" t="inlineStr">
        <is>
          <t>10956321157325</t>
        </is>
      </c>
      <c r="E426" s="9" t="inlineStr">
        <is>
          <t>ANILLO BV BUMPS GOLD ZIRCONIAS.7</t>
        </is>
      </c>
      <c r="F426" s="9" t="inlineStr">
        <is>
          <t>7</t>
        </is>
      </c>
      <c r="G426" s="9" t="n">
        <v>2</v>
      </c>
      <c r="H426" s="21" t="n">
        <v>10</v>
      </c>
      <c r="I426" s="21" t="n">
        <v>210.97</v>
      </c>
      <c r="J426" s="21" t="n">
        <v>632.91</v>
      </c>
      <c r="K426" s="21" t="n">
        <v>738.39</v>
      </c>
      <c r="L426" s="21" t="n">
        <v>843.88</v>
      </c>
      <c r="M426" s="21" t="n">
        <v>999</v>
      </c>
    </row>
    <row r="427">
      <c r="A427" s="9" t="inlineStr">
        <is>
          <t>HAIFENG</t>
        </is>
      </c>
      <c r="B427" s="9" t="inlineStr">
        <is>
          <t>HAIFENG 25/09/2025</t>
        </is>
      </c>
      <c r="C427" s="9" t="inlineStr">
        <is>
          <t>2025-09-25</t>
        </is>
      </c>
      <c r="D427" s="9" t="inlineStr">
        <is>
          <t>13667531088813</t>
        </is>
      </c>
      <c r="E427" s="9" t="inlineStr">
        <is>
          <t>ANILLO BV BUMPS GOLD-BLACK-8</t>
        </is>
      </c>
      <c r="F427" s="9" t="inlineStr">
        <is>
          <t>8</t>
        </is>
      </c>
      <c r="G427" s="9" t="n">
        <v>1</v>
      </c>
      <c r="H427" s="21" t="n">
        <v>9</v>
      </c>
      <c r="I427" s="21" t="n">
        <v>189.87</v>
      </c>
      <c r="J427" s="21" t="n">
        <v>569.62</v>
      </c>
      <c r="K427" s="21" t="n">
        <v>664.55</v>
      </c>
      <c r="L427" s="21" t="n">
        <v>759.49</v>
      </c>
      <c r="M427" s="21" t="n">
        <v>750</v>
      </c>
    </row>
    <row r="428">
      <c r="A428" s="9" t="inlineStr">
        <is>
          <t>HAIFENG</t>
        </is>
      </c>
      <c r="B428" s="9" t="inlineStr">
        <is>
          <t>HAIFENG 25/09/2025</t>
        </is>
      </c>
      <c r="C428" s="9" t="inlineStr">
        <is>
          <t>2025-09-25</t>
        </is>
      </c>
      <c r="D428" s="9" t="inlineStr">
        <is>
          <t>10956321291309</t>
        </is>
      </c>
      <c r="E428" s="9" t="inlineStr">
        <is>
          <t>ANILLO BV BUMPS SILVER ZIRCONIAS-6</t>
        </is>
      </c>
      <c r="F428" s="9" t="inlineStr">
        <is>
          <t>6</t>
        </is>
      </c>
      <c r="G428" s="9" t="n">
        <v>2</v>
      </c>
      <c r="H428" s="21" t="n">
        <v>10</v>
      </c>
      <c r="I428" s="21" t="n">
        <v>210.97</v>
      </c>
      <c r="J428" s="21" t="n">
        <v>632.91</v>
      </c>
      <c r="K428" s="21" t="n">
        <v>738.39</v>
      </c>
      <c r="L428" s="21" t="n">
        <v>843.88</v>
      </c>
      <c r="M428" s="21" t="n">
        <v>850</v>
      </c>
    </row>
    <row r="429">
      <c r="A429" s="9" t="inlineStr">
        <is>
          <t>HAIFENG</t>
        </is>
      </c>
      <c r="B429" s="9" t="inlineStr">
        <is>
          <t>HAIFENG 25/09/2025</t>
        </is>
      </c>
      <c r="C429" s="9" t="inlineStr">
        <is>
          <t>2025-09-25</t>
        </is>
      </c>
      <c r="D429" s="9" t="inlineStr">
        <is>
          <t>10956321324077</t>
        </is>
      </c>
      <c r="E429" s="9" t="inlineStr">
        <is>
          <t>ANILLO BV BUMPS SILVER ZIRCONIAS-7</t>
        </is>
      </c>
      <c r="F429" s="9" t="inlineStr">
        <is>
          <t>7</t>
        </is>
      </c>
      <c r="G429" s="9" t="n">
        <v>2</v>
      </c>
      <c r="H429" s="21" t="n">
        <v>10</v>
      </c>
      <c r="I429" s="21" t="n">
        <v>210.97</v>
      </c>
      <c r="J429" s="21" t="n">
        <v>632.91</v>
      </c>
      <c r="K429" s="21" t="n">
        <v>738.39</v>
      </c>
      <c r="L429" s="21" t="n">
        <v>843.88</v>
      </c>
      <c r="M429" s="21" t="n">
        <v>850</v>
      </c>
    </row>
    <row r="430">
      <c r="A430" s="9" t="inlineStr">
        <is>
          <t>HAIFENG</t>
        </is>
      </c>
      <c r="B430" s="9" t="inlineStr">
        <is>
          <t>HAIFENG 25/09/2025</t>
        </is>
      </c>
      <c r="C430" s="9" t="inlineStr">
        <is>
          <t>2025-09-25</t>
        </is>
      </c>
      <c r="D430" s="9" t="inlineStr">
        <is>
          <t>16117871577997</t>
        </is>
      </c>
      <c r="E430" s="9" t="inlineStr">
        <is>
          <t>ANILLO BV ZERO 1 BLACK-ROSEGOLD-7</t>
        </is>
      </c>
      <c r="F430" s="9" t="inlineStr">
        <is>
          <t>7</t>
        </is>
      </c>
      <c r="G430" s="9" t="n">
        <v>1</v>
      </c>
      <c r="H430" s="21" t="n">
        <v>9</v>
      </c>
      <c r="I430" s="21" t="n">
        <v>189.87</v>
      </c>
      <c r="J430" s="21" t="n">
        <v>569.62</v>
      </c>
      <c r="K430" s="21" t="n">
        <v>664.55</v>
      </c>
      <c r="L430" s="21" t="n">
        <v>759.49</v>
      </c>
      <c r="M430" s="21" t="n">
        <v>580</v>
      </c>
    </row>
    <row r="431">
      <c r="A431" s="9" t="inlineStr">
        <is>
          <t>HAIFENG</t>
        </is>
      </c>
      <c r="B431" s="9" t="inlineStr">
        <is>
          <t>HAIFENG 25/09/2025</t>
        </is>
      </c>
      <c r="C431" s="9" t="inlineStr">
        <is>
          <t>2025-09-25</t>
        </is>
      </c>
      <c r="D431" s="9" t="inlineStr">
        <is>
          <t>16117871610765</t>
        </is>
      </c>
      <c r="E431" s="9" t="inlineStr">
        <is>
          <t>ANILLO BV ZERO 1 BLACK-ROSEGOLD-8</t>
        </is>
      </c>
      <c r="F431" s="9" t="inlineStr">
        <is>
          <t>8</t>
        </is>
      </c>
      <c r="G431" s="9" t="n">
        <v>2</v>
      </c>
      <c r="H431" s="21" t="n">
        <v>9</v>
      </c>
      <c r="I431" s="21" t="n">
        <v>189.87</v>
      </c>
      <c r="J431" s="21" t="n">
        <v>569.62</v>
      </c>
      <c r="K431" s="21" t="n">
        <v>664.55</v>
      </c>
      <c r="L431" s="21" t="n">
        <v>759.49</v>
      </c>
      <c r="M431" s="21" t="n">
        <v>580</v>
      </c>
    </row>
    <row r="432">
      <c r="A432" s="9" t="inlineStr">
        <is>
          <t>HAIFENG</t>
        </is>
      </c>
      <c r="B432" s="9" t="inlineStr">
        <is>
          <t>HAIFENG 25/09/2025</t>
        </is>
      </c>
      <c r="C432" s="9" t="inlineStr">
        <is>
          <t>2025-09-25</t>
        </is>
      </c>
      <c r="D432" s="9" t="inlineStr">
        <is>
          <t>94122711058029</t>
        </is>
      </c>
      <c r="E432" s="9" t="inlineStr">
        <is>
          <t>ANILLO BV ZERO 1 SILVER-7</t>
        </is>
      </c>
      <c r="F432" s="9" t="inlineStr">
        <is>
          <t>7</t>
        </is>
      </c>
      <c r="G432" s="9" t="n">
        <v>2</v>
      </c>
      <c r="H432" s="21" t="n">
        <v>7</v>
      </c>
      <c r="I432" s="21" t="n">
        <v>147.68</v>
      </c>
      <c r="J432" s="21" t="n">
        <v>443.03</v>
      </c>
      <c r="K432" s="21" t="n">
        <v>516.87</v>
      </c>
      <c r="L432" s="21" t="n">
        <v>590.71</v>
      </c>
      <c r="M432" s="21" t="n">
        <v>500</v>
      </c>
    </row>
    <row r="433">
      <c r="A433" s="9" t="inlineStr">
        <is>
          <t>HAIFENG</t>
        </is>
      </c>
      <c r="B433" s="9" t="inlineStr">
        <is>
          <t>HAIFENG 25/09/2025</t>
        </is>
      </c>
      <c r="C433" s="9" t="inlineStr">
        <is>
          <t>2025-09-25</t>
        </is>
      </c>
      <c r="D433" s="9" t="inlineStr">
        <is>
          <t>94122711058030</t>
        </is>
      </c>
      <c r="E433" s="9" t="inlineStr">
        <is>
          <t>ANILLO BV ZERO 1 SILVER-8</t>
        </is>
      </c>
      <c r="F433" s="9" t="inlineStr">
        <is>
          <t>8</t>
        </is>
      </c>
      <c r="G433" s="9" t="n">
        <v>2</v>
      </c>
      <c r="H433" s="21" t="n">
        <v>6</v>
      </c>
      <c r="I433" s="21" t="n">
        <v>126.58</v>
      </c>
      <c r="J433" s="21" t="n">
        <v>379.74</v>
      </c>
      <c r="K433" s="21" t="n">
        <v>443.03</v>
      </c>
      <c r="L433" s="21" t="n">
        <v>506.33</v>
      </c>
      <c r="M433" s="21" t="n">
        <v>500</v>
      </c>
    </row>
    <row r="434">
      <c r="A434" s="9" t="inlineStr">
        <is>
          <t>HAIFENG</t>
        </is>
      </c>
      <c r="B434" s="9" t="inlineStr">
        <is>
          <t>HAIFENG 25/09/2025</t>
        </is>
      </c>
      <c r="C434" s="9" t="inlineStr">
        <is>
          <t>2025-09-25</t>
        </is>
      </c>
      <c r="D434" s="9" t="inlineStr">
        <is>
          <t>94122711058031</t>
        </is>
      </c>
      <c r="E434" s="9" t="inlineStr">
        <is>
          <t>ANILLO BV ZERO 1 SILVER-9</t>
        </is>
      </c>
      <c r="F434" s="9" t="inlineStr">
        <is>
          <t>9</t>
        </is>
      </c>
      <c r="G434" s="9" t="n">
        <v>2</v>
      </c>
      <c r="H434" s="21" t="n">
        <v>6</v>
      </c>
      <c r="I434" s="21" t="n">
        <v>126.58</v>
      </c>
      <c r="J434" s="21" t="n">
        <v>379.74</v>
      </c>
      <c r="K434" s="21" t="n">
        <v>443.03</v>
      </c>
      <c r="L434" s="21" t="n">
        <v>506.33</v>
      </c>
      <c r="M434" s="21" t="n">
        <v>500</v>
      </c>
    </row>
    <row r="435">
      <c r="A435" s="9" t="inlineStr">
        <is>
          <t>HAIFENG</t>
        </is>
      </c>
      <c r="B435" s="9" t="inlineStr">
        <is>
          <t>HAIFENG 25/09/2025</t>
        </is>
      </c>
      <c r="C435" s="9" t="inlineStr">
        <is>
          <t>2025-09-25</t>
        </is>
      </c>
      <c r="D435" s="9" t="inlineStr">
        <is>
          <t>61222821052141</t>
        </is>
      </c>
      <c r="E435" s="9" t="inlineStr">
        <is>
          <t>ANILLO CD GRABADO GOLD BLACK ZIRCONIAS</t>
        </is>
      </c>
      <c r="F435" s="9" t="inlineStr">
        <is>
          <t>6</t>
        </is>
      </c>
      <c r="G435" s="9" t="n">
        <v>2</v>
      </c>
      <c r="H435" s="21" t="n">
        <v>6.9</v>
      </c>
      <c r="I435" s="21" t="n">
        <v>145.57</v>
      </c>
      <c r="J435" s="21" t="n">
        <v>436.71</v>
      </c>
      <c r="K435" s="21" t="n">
        <v>509.49</v>
      </c>
      <c r="L435" s="21" t="n">
        <v>582.27</v>
      </c>
      <c r="M435" s="21" t="n">
        <v>660</v>
      </c>
    </row>
    <row r="436">
      <c r="A436" s="9" t="inlineStr">
        <is>
          <t>HAIFENG</t>
        </is>
      </c>
      <c r="B436" s="9" t="inlineStr">
        <is>
          <t>HAIFENG 25/09/2025</t>
        </is>
      </c>
      <c r="C436" s="9" t="inlineStr">
        <is>
          <t>2025-09-25</t>
        </is>
      </c>
      <c r="D436" s="9" t="inlineStr">
        <is>
          <t>61222821166797</t>
        </is>
      </c>
      <c r="E436" s="9" t="inlineStr">
        <is>
          <t>ANILLO CD GRABADO GOLD BLACK ZIRCONIAS</t>
        </is>
      </c>
      <c r="F436" s="9" t="inlineStr">
        <is>
          <t>8</t>
        </is>
      </c>
      <c r="G436" s="9" t="n">
        <v>2</v>
      </c>
      <c r="H436" s="21" t="n">
        <v>6.9</v>
      </c>
      <c r="I436" s="21" t="n">
        <v>145.57</v>
      </c>
      <c r="J436" s="21" t="n">
        <v>436.71</v>
      </c>
      <c r="K436" s="21" t="n">
        <v>509.49</v>
      </c>
      <c r="L436" s="21" t="n">
        <v>582.27</v>
      </c>
      <c r="M436" s="21" t="n">
        <v>660</v>
      </c>
    </row>
    <row r="437">
      <c r="A437" s="9" t="inlineStr">
        <is>
          <t>HAIFENG</t>
        </is>
      </c>
      <c r="B437" s="9" t="inlineStr">
        <is>
          <t>HAIFENG 25/09/2025</t>
        </is>
      </c>
      <c r="C437" s="9" t="inlineStr">
        <is>
          <t>2025-09-25</t>
        </is>
      </c>
      <c r="D437" s="9" t="inlineStr">
        <is>
          <t>66176e609b95a</t>
        </is>
      </c>
      <c r="E437" s="9" t="inlineStr">
        <is>
          <t>ANILLO CLASH GOLD</t>
        </is>
      </c>
      <c r="F437" s="9" t="inlineStr">
        <is>
          <t>8</t>
        </is>
      </c>
      <c r="G437" s="9" t="n">
        <v>2</v>
      </c>
      <c r="H437" s="21" t="n">
        <v>10</v>
      </c>
      <c r="I437" s="21" t="n">
        <v>210.97</v>
      </c>
      <c r="J437" s="21" t="n">
        <v>632.91</v>
      </c>
      <c r="K437" s="21" t="n">
        <v>738.39</v>
      </c>
      <c r="L437" s="21" t="n">
        <v>843.88</v>
      </c>
      <c r="M437" s="21" t="n">
        <v>850</v>
      </c>
    </row>
    <row r="438">
      <c r="A438" s="9" t="inlineStr">
        <is>
          <t>HAIFENG</t>
        </is>
      </c>
      <c r="B438" s="9" t="inlineStr">
        <is>
          <t>HAIFENG 25/09/2025</t>
        </is>
      </c>
      <c r="C438" s="9" t="inlineStr">
        <is>
          <t>2025-09-25</t>
        </is>
      </c>
      <c r="D438" s="9" t="inlineStr">
        <is>
          <t>66176e602b0bf</t>
        </is>
      </c>
      <c r="E438" s="9" t="inlineStr">
        <is>
          <t>ANILLO CLASH ROSEGOLD</t>
        </is>
      </c>
      <c r="F438" s="9" t="inlineStr">
        <is>
          <t>7</t>
        </is>
      </c>
      <c r="G438" s="9" t="n">
        <v>3</v>
      </c>
      <c r="H438" s="21" t="n">
        <v>10</v>
      </c>
      <c r="I438" s="21" t="n">
        <v>210.97</v>
      </c>
      <c r="J438" s="21" t="n">
        <v>632.91</v>
      </c>
      <c r="K438" s="21" t="n">
        <v>738.39</v>
      </c>
      <c r="L438" s="21" t="n">
        <v>843.88</v>
      </c>
      <c r="M438" s="21" t="n">
        <v>850</v>
      </c>
    </row>
    <row r="439">
      <c r="A439" s="9" t="inlineStr">
        <is>
          <t>HAIFENG</t>
        </is>
      </c>
      <c r="B439" s="9" t="inlineStr">
        <is>
          <t>HAIFENG 25/09/2025</t>
        </is>
      </c>
      <c r="C439" s="9" t="inlineStr">
        <is>
          <t>2025-09-25</t>
        </is>
      </c>
      <c r="D439" s="9" t="inlineStr">
        <is>
          <t>66176e616caf6</t>
        </is>
      </c>
      <c r="E439" s="9" t="inlineStr">
        <is>
          <t>ANILLO CLASH ROSEGOLD</t>
        </is>
      </c>
      <c r="F439" s="9" t="inlineStr">
        <is>
          <t>9</t>
        </is>
      </c>
      <c r="G439" s="9" t="n">
        <v>2</v>
      </c>
      <c r="H439" s="21" t="n">
        <v>10</v>
      </c>
      <c r="I439" s="21" t="n">
        <v>210.97</v>
      </c>
      <c r="J439" s="21" t="n">
        <v>632.91</v>
      </c>
      <c r="K439" s="21" t="n">
        <v>738.39</v>
      </c>
      <c r="L439" s="21" t="n">
        <v>843.88</v>
      </c>
      <c r="M439" s="21" t="n">
        <v>850</v>
      </c>
    </row>
    <row r="440">
      <c r="A440" s="9" t="inlineStr">
        <is>
          <t>HAIFENG</t>
        </is>
      </c>
      <c r="B440" s="9" t="inlineStr">
        <is>
          <t>HAIFENG 25/09/2025</t>
        </is>
      </c>
      <c r="C440" s="9" t="inlineStr">
        <is>
          <t>2025-09-25</t>
        </is>
      </c>
      <c r="D440" s="9" t="inlineStr">
        <is>
          <t>63ebd3f635fb6</t>
        </is>
      </c>
      <c r="E440" s="9" t="inlineStr">
        <is>
          <t>ANILLO CLASH SILVER</t>
        </is>
      </c>
      <c r="F440" s="9" t="inlineStr">
        <is>
          <t>10</t>
        </is>
      </c>
      <c r="G440" s="9" t="n">
        <v>2</v>
      </c>
      <c r="H440" s="21" t="n">
        <v>10</v>
      </c>
      <c r="I440" s="21" t="n">
        <v>210.97</v>
      </c>
      <c r="J440" s="21" t="n">
        <v>632.91</v>
      </c>
      <c r="K440" s="21" t="n">
        <v>738.39</v>
      </c>
      <c r="L440" s="21" t="n">
        <v>843.88</v>
      </c>
      <c r="M440" s="21" t="n">
        <v>850</v>
      </c>
    </row>
    <row r="441">
      <c r="A441" s="9" t="inlineStr">
        <is>
          <t>HAIFENG</t>
        </is>
      </c>
      <c r="B441" s="9" t="inlineStr">
        <is>
          <t>HAIFENG 25/09/2025</t>
        </is>
      </c>
      <c r="C441" s="9" t="inlineStr">
        <is>
          <t>2025-09-25</t>
        </is>
      </c>
      <c r="D441" s="9" t="inlineStr">
        <is>
          <t>66176cdb9f129</t>
        </is>
      </c>
      <c r="E441" s="9" t="inlineStr">
        <is>
          <t>ANILLO CLAVO GOLD</t>
        </is>
      </c>
      <c r="F441" s="9" t="inlineStr">
        <is>
          <t>6 HIGH QUALITY</t>
        </is>
      </c>
      <c r="G441" s="9" t="n">
        <v>2</v>
      </c>
      <c r="H441" s="21" t="n">
        <v>2.5</v>
      </c>
      <c r="I441" s="21" t="n">
        <v>52.74</v>
      </c>
      <c r="J441" s="21" t="n">
        <v>158.23</v>
      </c>
      <c r="K441" s="21" t="n">
        <v>184.6</v>
      </c>
      <c r="L441" s="21" t="n">
        <v>210.97</v>
      </c>
      <c r="M441" s="21" t="n">
        <v>400</v>
      </c>
    </row>
    <row r="442">
      <c r="A442" s="9" t="inlineStr">
        <is>
          <t>HAIFENG</t>
        </is>
      </c>
      <c r="B442" s="9" t="inlineStr">
        <is>
          <t>HAIFENG 25/09/2025</t>
        </is>
      </c>
      <c r="C442" s="9" t="inlineStr">
        <is>
          <t>2025-09-25</t>
        </is>
      </c>
      <c r="D442" s="9" t="inlineStr">
        <is>
          <t>66176cdc59c57</t>
        </is>
      </c>
      <c r="E442" s="9" t="inlineStr">
        <is>
          <t>ANILLO CLAVO GOLD</t>
        </is>
      </c>
      <c r="F442" s="9" t="inlineStr">
        <is>
          <t>7 HIGH QUALITY</t>
        </is>
      </c>
      <c r="G442" s="9" t="n">
        <v>2</v>
      </c>
      <c r="H442" s="21" t="n">
        <v>2.5</v>
      </c>
      <c r="I442" s="21" t="n">
        <v>52.74</v>
      </c>
      <c r="J442" s="21" t="n">
        <v>158.23</v>
      </c>
      <c r="K442" s="21" t="n">
        <v>184.6</v>
      </c>
      <c r="L442" s="21" t="n">
        <v>210.97</v>
      </c>
      <c r="M442" s="21" t="n">
        <v>400</v>
      </c>
    </row>
    <row r="443">
      <c r="A443" s="9" t="inlineStr">
        <is>
          <t>HAIFENG</t>
        </is>
      </c>
      <c r="B443" s="9" t="inlineStr">
        <is>
          <t>HAIFENG 25/09/2025</t>
        </is>
      </c>
      <c r="C443" s="9" t="inlineStr">
        <is>
          <t>2025-09-25</t>
        </is>
      </c>
      <c r="D443" s="9" t="inlineStr">
        <is>
          <t>66176ce1d817d</t>
        </is>
      </c>
      <c r="E443" s="9" t="inlineStr">
        <is>
          <t>ANILLO CLAVO ROSE GOLD</t>
        </is>
      </c>
      <c r="F443" s="9" t="inlineStr">
        <is>
          <t>7 HIGH QUALITY</t>
        </is>
      </c>
      <c r="G443" s="9" t="n">
        <v>6</v>
      </c>
      <c r="H443" s="21" t="n">
        <v>2.5</v>
      </c>
      <c r="I443" s="21" t="n">
        <v>52.74</v>
      </c>
      <c r="J443" s="21" t="n">
        <v>158.23</v>
      </c>
      <c r="K443" s="21" t="n">
        <v>184.6</v>
      </c>
      <c r="L443" s="21" t="n">
        <v>210.97</v>
      </c>
      <c r="M443" s="21" t="n">
        <v>400</v>
      </c>
    </row>
    <row r="444">
      <c r="A444" s="9" t="inlineStr">
        <is>
          <t>HAIFENG</t>
        </is>
      </c>
      <c r="B444" s="9" t="inlineStr">
        <is>
          <t>HAIFENG 25/09/2025</t>
        </is>
      </c>
      <c r="C444" s="9" t="inlineStr">
        <is>
          <t>2025-09-25</t>
        </is>
      </c>
      <c r="D444" s="9" t="inlineStr">
        <is>
          <t>66176ce38fa21</t>
        </is>
      </c>
      <c r="E444" s="9" t="inlineStr">
        <is>
          <t>ANILLO CLAVO ROSE GOLD</t>
        </is>
      </c>
      <c r="F444" s="9" t="inlineStr">
        <is>
          <t>10 HIGH QUALITY</t>
        </is>
      </c>
      <c r="G444" s="9" t="n">
        <v>2</v>
      </c>
      <c r="H444" s="21" t="n">
        <v>2.5</v>
      </c>
      <c r="I444" s="21" t="n">
        <v>52.74</v>
      </c>
      <c r="J444" s="21" t="n">
        <v>158.23</v>
      </c>
      <c r="K444" s="21" t="n">
        <v>184.6</v>
      </c>
      <c r="L444" s="21" t="n">
        <v>210.97</v>
      </c>
      <c r="M444" s="21" t="n">
        <v>400</v>
      </c>
    </row>
    <row r="445">
      <c r="A445" s="9" t="inlineStr">
        <is>
          <t>HAIFENG</t>
        </is>
      </c>
      <c r="B445" s="9" t="inlineStr">
        <is>
          <t>HAIFENG 25/09/2025</t>
        </is>
      </c>
      <c r="C445" s="9" t="inlineStr">
        <is>
          <t>2025-09-25</t>
        </is>
      </c>
      <c r="D445" s="9" t="inlineStr">
        <is>
          <t>66176cdcae75a</t>
        </is>
      </c>
      <c r="E445" s="9" t="inlineStr">
        <is>
          <t>ANILLO CLAVO SILVER</t>
        </is>
      </c>
      <c r="F445" s="9" t="inlineStr">
        <is>
          <t>8 HIGH QUALITY</t>
        </is>
      </c>
      <c r="G445" s="9" t="n">
        <v>12</v>
      </c>
      <c r="H445" s="21" t="n">
        <v>2.5</v>
      </c>
      <c r="I445" s="21" t="n">
        <v>52.74</v>
      </c>
      <c r="J445" s="21" t="n">
        <v>158.23</v>
      </c>
      <c r="K445" s="21" t="n">
        <v>184.6</v>
      </c>
      <c r="L445" s="21" t="n">
        <v>210.97</v>
      </c>
      <c r="M445" s="21" t="n">
        <v>400</v>
      </c>
    </row>
    <row r="446">
      <c r="A446" s="9" t="inlineStr">
        <is>
          <t>HAIFENG</t>
        </is>
      </c>
      <c r="B446" s="9" t="inlineStr">
        <is>
          <t>HAIFENG 25/09/2025</t>
        </is>
      </c>
      <c r="C446" s="9" t="inlineStr">
        <is>
          <t>2025-09-25</t>
        </is>
      </c>
      <c r="D446" s="9" t="inlineStr">
        <is>
          <t>66176cdd461aa</t>
        </is>
      </c>
      <c r="E446" s="9" t="inlineStr">
        <is>
          <t>ANILLO CLAVO SILVER</t>
        </is>
      </c>
      <c r="F446" s="9" t="inlineStr">
        <is>
          <t>9 HIGH QUALITY</t>
        </is>
      </c>
      <c r="G446" s="9" t="n">
        <v>2</v>
      </c>
      <c r="H446" s="21" t="n">
        <v>2.5</v>
      </c>
      <c r="I446" s="21" t="n">
        <v>52.74</v>
      </c>
      <c r="J446" s="21" t="n">
        <v>158.23</v>
      </c>
      <c r="K446" s="21" t="n">
        <v>184.6</v>
      </c>
      <c r="L446" s="21" t="n">
        <v>210.97</v>
      </c>
      <c r="M446" s="21" t="n">
        <v>400</v>
      </c>
    </row>
    <row r="447">
      <c r="A447" s="9" t="inlineStr">
        <is>
          <t>HAIFENG</t>
        </is>
      </c>
      <c r="B447" s="9" t="inlineStr">
        <is>
          <t>HAIFENG 25/09/2025</t>
        </is>
      </c>
      <c r="C447" s="9" t="inlineStr">
        <is>
          <t>2025-09-25</t>
        </is>
      </c>
      <c r="D447" s="9" t="inlineStr">
        <is>
          <t>63e0b72b646a2</t>
        </is>
      </c>
      <c r="E447" s="9" t="inlineStr">
        <is>
          <t>ANILLO COCO GOLD</t>
        </is>
      </c>
      <c r="F447" s="9" t="inlineStr">
        <is>
          <t>6</t>
        </is>
      </c>
      <c r="G447" s="9" t="n">
        <v>1</v>
      </c>
      <c r="H447" s="21" t="n">
        <v>1.8</v>
      </c>
      <c r="I447" s="21" t="n">
        <v>37.97</v>
      </c>
      <c r="J447" s="21" t="n">
        <v>113.92</v>
      </c>
      <c r="K447" s="21" t="n">
        <v>132.91</v>
      </c>
      <c r="L447" s="21" t="n">
        <v>151.9</v>
      </c>
      <c r="M447" s="21" t="n">
        <v>400</v>
      </c>
    </row>
    <row r="448">
      <c r="A448" s="9" t="inlineStr">
        <is>
          <t>HAIFENG</t>
        </is>
      </c>
      <c r="B448" s="9" t="inlineStr">
        <is>
          <t>HAIFENG 25/09/2025</t>
        </is>
      </c>
      <c r="C448" s="9" t="inlineStr">
        <is>
          <t>2025-09-25</t>
        </is>
      </c>
      <c r="D448" s="9" t="inlineStr">
        <is>
          <t>63e0b731a865e</t>
        </is>
      </c>
      <c r="E448" s="9" t="inlineStr">
        <is>
          <t>ANILLO COCO SILVER</t>
        </is>
      </c>
      <c r="F448" s="9" t="inlineStr">
        <is>
          <t>7</t>
        </is>
      </c>
      <c r="G448" s="9" t="n">
        <v>4</v>
      </c>
      <c r="H448" s="21" t="n">
        <v>1.8</v>
      </c>
      <c r="I448" s="21" t="n">
        <v>37.97</v>
      </c>
      <c r="J448" s="21" t="n">
        <v>113.92</v>
      </c>
      <c r="K448" s="21" t="n">
        <v>132.91</v>
      </c>
      <c r="L448" s="21" t="n">
        <v>151.9</v>
      </c>
      <c r="M448" s="21" t="n">
        <v>400</v>
      </c>
    </row>
    <row r="449">
      <c r="A449" s="9" t="inlineStr">
        <is>
          <t>HAIFENG</t>
        </is>
      </c>
      <c r="B449" s="9" t="inlineStr">
        <is>
          <t>HAIFENG 25/09/2025</t>
        </is>
      </c>
      <c r="C449" s="9" t="inlineStr">
        <is>
          <t>2025-09-25</t>
        </is>
      </c>
      <c r="D449" s="9" t="inlineStr">
        <is>
          <t>56481450531724</t>
        </is>
      </c>
      <c r="E449" s="9" t="inlineStr">
        <is>
          <t>ANILLO CORAZ√ìN GRABADO</t>
        </is>
      </c>
      <c r="F449" s="9" t="inlineStr">
        <is>
          <t>7</t>
        </is>
      </c>
      <c r="G449" s="9" t="n">
        <v>1</v>
      </c>
      <c r="H449" s="21" t="n">
        <v>5</v>
      </c>
      <c r="I449" s="21" t="n">
        <v>105.48</v>
      </c>
      <c r="J449" s="21" t="n">
        <v>316.45</v>
      </c>
      <c r="K449" s="21" t="n">
        <v>369.2</v>
      </c>
      <c r="L449" s="21" t="n">
        <v>421.94</v>
      </c>
      <c r="M449" s="21" t="n">
        <v>450</v>
      </c>
    </row>
    <row r="450">
      <c r="A450" s="9" t="inlineStr">
        <is>
          <t>HAIFENG</t>
        </is>
      </c>
      <c r="B450" s="9" t="inlineStr">
        <is>
          <t>HAIFENG 25/09/2025</t>
        </is>
      </c>
      <c r="C450" s="9" t="inlineStr">
        <is>
          <t>2025-09-25</t>
        </is>
      </c>
      <c r="D450" s="9" t="inlineStr">
        <is>
          <t>56481450564492</t>
        </is>
      </c>
      <c r="E450" s="9" t="inlineStr">
        <is>
          <t>ANILLO CORAZ√ìN GRABADO</t>
        </is>
      </c>
      <c r="F450" s="9" t="inlineStr">
        <is>
          <t>8</t>
        </is>
      </c>
      <c r="G450" s="9" t="n">
        <v>2</v>
      </c>
      <c r="H450" s="21" t="n">
        <v>5</v>
      </c>
      <c r="I450" s="21" t="n">
        <v>105.48</v>
      </c>
      <c r="J450" s="21" t="n">
        <v>316.45</v>
      </c>
      <c r="K450" s="21" t="n">
        <v>369.2</v>
      </c>
      <c r="L450" s="21" t="n">
        <v>421.94</v>
      </c>
      <c r="M450" s="21" t="n">
        <v>450</v>
      </c>
    </row>
    <row r="451">
      <c r="A451" s="9" t="inlineStr">
        <is>
          <t>HAIFENG</t>
        </is>
      </c>
      <c r="B451" s="9" t="inlineStr">
        <is>
          <t>HAIFENG 25/09/2025</t>
        </is>
      </c>
      <c r="C451" s="9" t="inlineStr">
        <is>
          <t>2025-09-25</t>
        </is>
      </c>
      <c r="D451" s="9" t="inlineStr">
        <is>
          <t>56481473264780</t>
        </is>
      </c>
      <c r="E451" s="9" t="inlineStr">
        <is>
          <t>ANILLO ESLAB√ìN GOLD</t>
        </is>
      </c>
      <c r="F451" s="9" t="inlineStr">
        <is>
          <t>8</t>
        </is>
      </c>
      <c r="G451" s="9" t="n">
        <v>1</v>
      </c>
      <c r="H451" s="21" t="n">
        <v>6</v>
      </c>
      <c r="I451" s="21" t="n">
        <v>126.58</v>
      </c>
      <c r="J451" s="21" t="n">
        <v>379.74</v>
      </c>
      <c r="K451" s="21" t="n">
        <v>443.03</v>
      </c>
      <c r="L451" s="21" t="n">
        <v>506.33</v>
      </c>
      <c r="M451" s="21" t="n">
        <v>520</v>
      </c>
    </row>
    <row r="452">
      <c r="A452" s="9" t="inlineStr">
        <is>
          <t>HAIFENG</t>
        </is>
      </c>
      <c r="B452" s="9" t="inlineStr">
        <is>
          <t>HAIFENG 25/09/2025</t>
        </is>
      </c>
      <c r="C452" s="9" t="inlineStr">
        <is>
          <t>2025-09-25</t>
        </is>
      </c>
      <c r="D452" s="9" t="inlineStr">
        <is>
          <t>56481471878796</t>
        </is>
      </c>
      <c r="E452" s="9" t="inlineStr">
        <is>
          <t>ANILLO FORGE</t>
        </is>
      </c>
      <c r="F452" s="9" t="inlineStr">
        <is>
          <t>6</t>
        </is>
      </c>
      <c r="G452" s="9" t="n">
        <v>3</v>
      </c>
      <c r="H452" s="21" t="n">
        <v>0</v>
      </c>
      <c r="I452" s="21" t="n">
        <v>0</v>
      </c>
      <c r="J452" s="21" t="n">
        <v>0</v>
      </c>
      <c r="K452" s="21" t="n">
        <v>0</v>
      </c>
      <c r="L452" s="21" t="n">
        <v>0</v>
      </c>
      <c r="M452" s="21" t="n">
        <v>520</v>
      </c>
    </row>
    <row r="453">
      <c r="A453" s="9" t="inlineStr">
        <is>
          <t>HAIFENG</t>
        </is>
      </c>
      <c r="B453" s="9" t="inlineStr">
        <is>
          <t>HAIFENG 25/09/2025</t>
        </is>
      </c>
      <c r="C453" s="9" t="inlineStr">
        <is>
          <t>2025-09-25</t>
        </is>
      </c>
      <c r="D453" s="9" t="inlineStr">
        <is>
          <t>46509631089741</t>
        </is>
      </c>
      <c r="E453" s="9" t="inlineStr">
        <is>
          <t>ANILLO JUSTE UN CLOU GOLD CON ZIRCONIA-6</t>
        </is>
      </c>
      <c r="F453" s="9" t="inlineStr">
        <is>
          <t>6</t>
        </is>
      </c>
      <c r="G453" s="9" t="n">
        <v>2</v>
      </c>
      <c r="H453" s="21" t="n">
        <v>7.5</v>
      </c>
      <c r="I453" s="21" t="n">
        <v>158.23</v>
      </c>
      <c r="J453" s="21" t="n">
        <v>474.68</v>
      </c>
      <c r="K453" s="21" t="n">
        <v>553.79</v>
      </c>
      <c r="L453" s="21" t="n">
        <v>632.91</v>
      </c>
      <c r="M453" s="21" t="n">
        <v>650</v>
      </c>
    </row>
    <row r="454">
      <c r="A454" s="9" t="inlineStr">
        <is>
          <t>HAIFENG</t>
        </is>
      </c>
      <c r="B454" s="9" t="inlineStr">
        <is>
          <t>HAIFENG 25/09/2025</t>
        </is>
      </c>
      <c r="C454" s="9" t="inlineStr">
        <is>
          <t>2025-09-25</t>
        </is>
      </c>
      <c r="D454" s="9" t="inlineStr">
        <is>
          <t>47396161022509</t>
        </is>
      </c>
      <c r="E454" s="9" t="inlineStr">
        <is>
          <t>ANILLO JUSTE UN CLOU GOLD CON ZIRCONIA-7</t>
        </is>
      </c>
      <c r="F454" s="9" t="inlineStr">
        <is>
          <t>7</t>
        </is>
      </c>
      <c r="G454" s="9" t="n">
        <v>2</v>
      </c>
      <c r="H454" s="21" t="n">
        <v>7.5</v>
      </c>
      <c r="I454" s="21" t="n">
        <v>158.23</v>
      </c>
      <c r="J454" s="21" t="n">
        <v>474.68</v>
      </c>
      <c r="K454" s="21" t="n">
        <v>553.79</v>
      </c>
      <c r="L454" s="21" t="n">
        <v>632.91</v>
      </c>
      <c r="M454" s="21" t="n">
        <v>650</v>
      </c>
    </row>
    <row r="455">
      <c r="A455" s="9" t="inlineStr">
        <is>
          <t>HAIFENG</t>
        </is>
      </c>
      <c r="B455" s="9" t="inlineStr">
        <is>
          <t>HAIFENG 25/09/2025</t>
        </is>
      </c>
      <c r="C455" s="9" t="inlineStr">
        <is>
          <t>2025-09-25</t>
        </is>
      </c>
      <c r="D455" s="9" t="inlineStr">
        <is>
          <t>49975331055277</t>
        </is>
      </c>
      <c r="E455" s="9" t="inlineStr">
        <is>
          <t>ANILLO JUSTE UN CLOU GOLD CON ZIRCONIA-8</t>
        </is>
      </c>
      <c r="F455" s="9" t="inlineStr">
        <is>
          <t>8</t>
        </is>
      </c>
      <c r="G455" s="9" t="n">
        <v>2</v>
      </c>
      <c r="H455" s="21" t="n">
        <v>7.5</v>
      </c>
      <c r="I455" s="21" t="n">
        <v>158.23</v>
      </c>
      <c r="J455" s="21" t="n">
        <v>474.68</v>
      </c>
      <c r="K455" s="21" t="n">
        <v>553.79</v>
      </c>
      <c r="L455" s="21" t="n">
        <v>632.91</v>
      </c>
      <c r="M455" s="21" t="n">
        <v>650</v>
      </c>
    </row>
    <row r="456">
      <c r="A456" s="9" t="inlineStr">
        <is>
          <t>HAIFENG</t>
        </is>
      </c>
      <c r="B456" s="9" t="inlineStr">
        <is>
          <t>HAIFENG 25/09/2025</t>
        </is>
      </c>
      <c r="C456" s="9" t="inlineStr">
        <is>
          <t>2025-09-25</t>
        </is>
      </c>
      <c r="D456" s="9" t="inlineStr">
        <is>
          <t>35997321035725</t>
        </is>
      </c>
      <c r="E456" s="9" t="inlineStr">
        <is>
          <t>ANILLO JUSTE UN CLOU SILVER CON ZIRCONIA-6</t>
        </is>
      </c>
      <c r="F456" s="9" t="inlineStr">
        <is>
          <t>6</t>
        </is>
      </c>
      <c r="G456" s="9" t="n">
        <v>2</v>
      </c>
      <c r="H456" s="21" t="n">
        <v>7.5</v>
      </c>
      <c r="I456" s="21" t="n">
        <v>158.23</v>
      </c>
      <c r="J456" s="21" t="n">
        <v>474.68</v>
      </c>
      <c r="K456" s="21" t="n">
        <v>553.79</v>
      </c>
      <c r="L456" s="21" t="n">
        <v>632.91</v>
      </c>
      <c r="M456" s="21" t="n">
        <v>650</v>
      </c>
    </row>
    <row r="457">
      <c r="A457" s="9" t="inlineStr">
        <is>
          <t>HAIFENG</t>
        </is>
      </c>
      <c r="B457" s="9" t="inlineStr">
        <is>
          <t>HAIFENG 25/09/2025</t>
        </is>
      </c>
      <c r="C457" s="9" t="inlineStr">
        <is>
          <t>2025-09-25</t>
        </is>
      </c>
      <c r="D457" s="9" t="inlineStr">
        <is>
          <t>38367871068493</t>
        </is>
      </c>
      <c r="E457" s="9" t="inlineStr">
        <is>
          <t>ANILLO JUSTE UN CLOU SILVER CON ZIRCONIA-7</t>
        </is>
      </c>
      <c r="F457" s="9" t="inlineStr">
        <is>
          <t>7</t>
        </is>
      </c>
      <c r="G457" s="9" t="n">
        <v>2</v>
      </c>
      <c r="H457" s="21" t="n">
        <v>7.5</v>
      </c>
      <c r="I457" s="21" t="n">
        <v>158.23</v>
      </c>
      <c r="J457" s="21" t="n">
        <v>474.68</v>
      </c>
      <c r="K457" s="21" t="n">
        <v>553.79</v>
      </c>
      <c r="L457" s="21" t="n">
        <v>632.91</v>
      </c>
      <c r="M457" s="21" t="n">
        <v>650</v>
      </c>
    </row>
    <row r="458">
      <c r="A458" s="9" t="inlineStr">
        <is>
          <t>HAIFENG</t>
        </is>
      </c>
      <c r="B458" s="9" t="inlineStr">
        <is>
          <t>HAIFENG 25/09/2025</t>
        </is>
      </c>
      <c r="C458" s="9" t="inlineStr">
        <is>
          <t>2025-09-25</t>
        </is>
      </c>
      <c r="D458" s="9" t="inlineStr">
        <is>
          <t>39129741001261</t>
        </is>
      </c>
      <c r="E458" s="9" t="inlineStr">
        <is>
          <t>ANILLO JUSTE UN CLOU SILVER CON ZIRCONIA-8</t>
        </is>
      </c>
      <c r="F458" s="9" t="inlineStr">
        <is>
          <t>8</t>
        </is>
      </c>
      <c r="G458" s="9" t="n">
        <v>2</v>
      </c>
      <c r="H458" s="21" t="n">
        <v>7.5</v>
      </c>
      <c r="I458" s="21" t="n">
        <v>158.23</v>
      </c>
      <c r="J458" s="21" t="n">
        <v>474.68</v>
      </c>
      <c r="K458" s="21" t="n">
        <v>553.79</v>
      </c>
      <c r="L458" s="21" t="n">
        <v>632.91</v>
      </c>
      <c r="M458" s="21" t="n">
        <v>650</v>
      </c>
    </row>
    <row r="459">
      <c r="A459" s="9" t="inlineStr">
        <is>
          <t>HAIFENG</t>
        </is>
      </c>
      <c r="B459" s="9" t="inlineStr">
        <is>
          <t>HAIFENG 25/09/2025</t>
        </is>
      </c>
      <c r="C459" s="9" t="inlineStr">
        <is>
          <t>2025-09-25</t>
        </is>
      </c>
      <c r="D459" s="9" t="inlineStr">
        <is>
          <t>89205551037229</t>
        </is>
      </c>
      <c r="E459" s="9" t="inlineStr">
        <is>
          <t>ANILLO KNOT SILVER</t>
        </is>
      </c>
      <c r="F459" s="9" t="inlineStr">
        <is>
          <t>6</t>
        </is>
      </c>
      <c r="G459" s="9" t="n">
        <v>2</v>
      </c>
      <c r="H459" s="21" t="n">
        <v>5</v>
      </c>
      <c r="I459" s="21" t="n">
        <v>105.48</v>
      </c>
      <c r="J459" s="21" t="n">
        <v>316.45</v>
      </c>
      <c r="K459" s="21" t="n">
        <v>369.2</v>
      </c>
      <c r="L459" s="21" t="n">
        <v>421.94</v>
      </c>
      <c r="M459" s="21" t="n">
        <v>450</v>
      </c>
    </row>
    <row r="460">
      <c r="A460" s="9" t="inlineStr">
        <is>
          <t>HAIFENG</t>
        </is>
      </c>
      <c r="B460" s="9" t="inlineStr">
        <is>
          <t>HAIFENG 25/09/2025</t>
        </is>
      </c>
      <c r="C460" s="9" t="inlineStr">
        <is>
          <t>2025-09-25</t>
        </is>
      </c>
      <c r="D460" s="9" t="inlineStr">
        <is>
          <t>89205551169997</t>
        </is>
      </c>
      <c r="E460" s="9" t="inlineStr">
        <is>
          <t>ANILLO KNOT SILVER</t>
        </is>
      </c>
      <c r="F460" s="9" t="inlineStr">
        <is>
          <t>7</t>
        </is>
      </c>
      <c r="G460" s="9" t="n">
        <v>2</v>
      </c>
      <c r="H460" s="21" t="n">
        <v>5</v>
      </c>
      <c r="I460" s="21" t="n">
        <v>105.48</v>
      </c>
      <c r="J460" s="21" t="n">
        <v>316.45</v>
      </c>
      <c r="K460" s="21" t="n">
        <v>369.2</v>
      </c>
      <c r="L460" s="21" t="n">
        <v>421.94</v>
      </c>
      <c r="M460" s="21" t="n">
        <v>450</v>
      </c>
    </row>
    <row r="461">
      <c r="A461" s="9" t="inlineStr">
        <is>
          <t>HAIFENG</t>
        </is>
      </c>
      <c r="B461" s="9" t="inlineStr">
        <is>
          <t>HAIFENG 25/09/2025</t>
        </is>
      </c>
      <c r="C461" s="9" t="inlineStr">
        <is>
          <t>2025-09-25</t>
        </is>
      </c>
      <c r="D461" s="9" t="inlineStr">
        <is>
          <t>89205551202765</t>
        </is>
      </c>
      <c r="E461" s="9" t="inlineStr">
        <is>
          <t>ANILLO KNOT SILVER</t>
        </is>
      </c>
      <c r="F461" s="9" t="inlineStr">
        <is>
          <t>8</t>
        </is>
      </c>
      <c r="G461" s="9" t="n">
        <v>2</v>
      </c>
      <c r="H461" s="21" t="n">
        <v>5</v>
      </c>
      <c r="I461" s="21" t="n">
        <v>105.48</v>
      </c>
      <c r="J461" s="21" t="n">
        <v>316.45</v>
      </c>
      <c r="K461" s="21" t="n">
        <v>369.2</v>
      </c>
      <c r="L461" s="21" t="n">
        <v>421.94</v>
      </c>
      <c r="M461" s="21" t="n">
        <v>450</v>
      </c>
    </row>
    <row r="462">
      <c r="A462" s="9" t="inlineStr">
        <is>
          <t>HAIFENG</t>
        </is>
      </c>
      <c r="B462" s="9" t="inlineStr">
        <is>
          <t>HAIFENG 25/09/2025</t>
        </is>
      </c>
      <c r="C462" s="9" t="inlineStr">
        <is>
          <t>2025-09-25</t>
        </is>
      </c>
      <c r="D462" s="9" t="inlineStr">
        <is>
          <t>89205551347661</t>
        </is>
      </c>
      <c r="E462" s="9" t="inlineStr">
        <is>
          <t>ANILLO KNOT SILVER ZIRCONIAS</t>
        </is>
      </c>
      <c r="F462" s="9" t="inlineStr">
        <is>
          <t>6</t>
        </is>
      </c>
      <c r="G462" s="9" t="n">
        <v>2</v>
      </c>
      <c r="H462" s="21" t="n">
        <v>6.5</v>
      </c>
      <c r="I462" s="21" t="n">
        <v>137.13</v>
      </c>
      <c r="J462" s="21" t="n">
        <v>411.39</v>
      </c>
      <c r="K462" s="21" t="n">
        <v>479.95</v>
      </c>
      <c r="L462" s="21" t="n">
        <v>548.52</v>
      </c>
      <c r="M462" s="21" t="n">
        <v>550</v>
      </c>
    </row>
    <row r="463">
      <c r="A463" s="9" t="inlineStr">
        <is>
          <t>HAIFENG</t>
        </is>
      </c>
      <c r="B463" s="9" t="inlineStr">
        <is>
          <t>HAIFENG 25/09/2025</t>
        </is>
      </c>
      <c r="C463" s="9" t="inlineStr">
        <is>
          <t>2025-09-25</t>
        </is>
      </c>
      <c r="D463" s="9" t="inlineStr">
        <is>
          <t>89205551480429</t>
        </is>
      </c>
      <c r="E463" s="9" t="inlineStr">
        <is>
          <t>ANILLO KNOT SILVER ZIRCONIAS</t>
        </is>
      </c>
      <c r="F463" s="9" t="inlineStr">
        <is>
          <t>7</t>
        </is>
      </c>
      <c r="G463" s="9" t="n">
        <v>2</v>
      </c>
      <c r="H463" s="21" t="n">
        <v>6.5</v>
      </c>
      <c r="I463" s="21" t="n">
        <v>137.13</v>
      </c>
      <c r="J463" s="21" t="n">
        <v>411.39</v>
      </c>
      <c r="K463" s="21" t="n">
        <v>479.95</v>
      </c>
      <c r="L463" s="21" t="n">
        <v>548.52</v>
      </c>
      <c r="M463" s="21" t="n">
        <v>550</v>
      </c>
    </row>
    <row r="464">
      <c r="A464" s="9" t="inlineStr">
        <is>
          <t>HAIFENG</t>
        </is>
      </c>
      <c r="B464" s="9" t="inlineStr">
        <is>
          <t>HAIFENG 25/09/2025</t>
        </is>
      </c>
      <c r="C464" s="9" t="inlineStr">
        <is>
          <t>2025-09-25</t>
        </is>
      </c>
      <c r="D464" s="9" t="inlineStr">
        <is>
          <t>89205551513197</t>
        </is>
      </c>
      <c r="E464" s="9" t="inlineStr">
        <is>
          <t>ANILLO KNOT SILVER ZIRCONIAS</t>
        </is>
      </c>
      <c r="F464" s="9" t="inlineStr">
        <is>
          <t>8</t>
        </is>
      </c>
      <c r="G464" s="9" t="n">
        <v>2</v>
      </c>
      <c r="H464" s="21" t="n">
        <v>6.5</v>
      </c>
      <c r="I464" s="21" t="n">
        <v>137.13</v>
      </c>
      <c r="J464" s="21" t="n">
        <v>411.39</v>
      </c>
      <c r="K464" s="21" t="n">
        <v>479.95</v>
      </c>
      <c r="L464" s="21" t="n">
        <v>548.52</v>
      </c>
      <c r="M464" s="21" t="n">
        <v>550</v>
      </c>
    </row>
    <row r="465">
      <c r="A465" s="9" t="inlineStr">
        <is>
          <t>HAIFENG</t>
        </is>
      </c>
      <c r="B465" s="9" t="inlineStr">
        <is>
          <t>HAIFENG 25/09/2025</t>
        </is>
      </c>
      <c r="C465" s="9" t="inlineStr">
        <is>
          <t>2025-09-25</t>
        </is>
      </c>
      <c r="D465" s="9" t="inlineStr">
        <is>
          <t>71036874448396</t>
        </is>
      </c>
      <c r="E465" s="9" t="inlineStr">
        <is>
          <t>ANILLO LOCK GOLD</t>
        </is>
      </c>
      <c r="F465" s="9" t="inlineStr">
        <is>
          <t>7</t>
        </is>
      </c>
      <c r="G465" s="9" t="n">
        <v>1</v>
      </c>
      <c r="H465" s="21" t="n">
        <v>5</v>
      </c>
      <c r="I465" s="21" t="n">
        <v>105.48</v>
      </c>
      <c r="J465" s="21" t="n">
        <v>316.45</v>
      </c>
      <c r="K465" s="21" t="n">
        <v>369.2</v>
      </c>
      <c r="L465" s="21" t="n">
        <v>421.94</v>
      </c>
      <c r="M465" s="21" t="n">
        <v>454</v>
      </c>
    </row>
    <row r="466">
      <c r="A466" s="9" t="inlineStr">
        <is>
          <t>HAIFENG</t>
        </is>
      </c>
      <c r="B466" s="9" t="inlineStr">
        <is>
          <t>HAIFENG 25/09/2025</t>
        </is>
      </c>
      <c r="C466" s="9" t="inlineStr">
        <is>
          <t>2025-09-25</t>
        </is>
      </c>
      <c r="D466" s="9" t="inlineStr">
        <is>
          <t>71036876250636</t>
        </is>
      </c>
      <c r="E466" s="9" t="inlineStr">
        <is>
          <t>ANILLO LOCK SILVER</t>
        </is>
      </c>
      <c r="F466" s="9" t="inlineStr">
        <is>
          <t>7</t>
        </is>
      </c>
      <c r="G466" s="9" t="n">
        <v>2</v>
      </c>
      <c r="H466" s="21" t="n">
        <v>5</v>
      </c>
      <c r="I466" s="21" t="n">
        <v>105.48</v>
      </c>
      <c r="J466" s="21" t="n">
        <v>316.45</v>
      </c>
      <c r="K466" s="21" t="n">
        <v>369.2</v>
      </c>
      <c r="L466" s="21" t="n">
        <v>421.94</v>
      </c>
      <c r="M466" s="21" t="n">
        <v>455</v>
      </c>
    </row>
    <row r="467">
      <c r="A467" s="9" t="inlineStr">
        <is>
          <t>HAIFENG</t>
        </is>
      </c>
      <c r="B467" s="9" t="inlineStr">
        <is>
          <t>HAIFENG 25/09/2025</t>
        </is>
      </c>
      <c r="C467" s="9" t="inlineStr">
        <is>
          <t>2025-09-25</t>
        </is>
      </c>
      <c r="D467" s="9" t="inlineStr">
        <is>
          <t>82224433533261</t>
        </is>
      </c>
      <c r="E467" s="9" t="inlineStr">
        <is>
          <t>ANILLO LOVE CON ZIRCONIA GOLD</t>
        </is>
      </c>
      <c r="F467" s="9" t="inlineStr">
        <is>
          <t>6</t>
        </is>
      </c>
      <c r="G467" s="9" t="n">
        <v>4</v>
      </c>
      <c r="H467" s="21" t="n">
        <v>1.8</v>
      </c>
      <c r="I467" s="21" t="n">
        <v>37.97</v>
      </c>
      <c r="J467" s="21" t="n">
        <v>113.92</v>
      </c>
      <c r="K467" s="21" t="n">
        <v>132.91</v>
      </c>
      <c r="L467" s="21" t="n">
        <v>151.9</v>
      </c>
      <c r="M467" s="21" t="n">
        <v>450</v>
      </c>
    </row>
    <row r="468">
      <c r="A468" s="9" t="inlineStr">
        <is>
          <t>HAIFENG</t>
        </is>
      </c>
      <c r="B468" s="9" t="inlineStr">
        <is>
          <t>HAIFENG 25/09/2025</t>
        </is>
      </c>
      <c r="C468" s="9" t="inlineStr">
        <is>
          <t>2025-09-25</t>
        </is>
      </c>
      <c r="D468" s="9" t="inlineStr">
        <is>
          <t>82224433831565</t>
        </is>
      </c>
      <c r="E468" s="9" t="inlineStr">
        <is>
          <t>ANILLO LOVE CON ZIRCONIA GOLD</t>
        </is>
      </c>
      <c r="F468" s="9" t="inlineStr">
        <is>
          <t>9</t>
        </is>
      </c>
      <c r="G468" s="9" t="n">
        <v>2</v>
      </c>
      <c r="H468" s="21" t="n">
        <v>1.8</v>
      </c>
      <c r="I468" s="21" t="n">
        <v>37.97</v>
      </c>
      <c r="J468" s="21" t="n">
        <v>113.92</v>
      </c>
      <c r="K468" s="21" t="n">
        <v>132.91</v>
      </c>
      <c r="L468" s="21" t="n">
        <v>151.9</v>
      </c>
      <c r="M468" s="21" t="n">
        <v>450</v>
      </c>
    </row>
    <row r="469">
      <c r="A469" s="9" t="inlineStr">
        <is>
          <t>HAIFENG</t>
        </is>
      </c>
      <c r="B469" s="9" t="inlineStr">
        <is>
          <t>HAIFENG 25/09/2025</t>
        </is>
      </c>
      <c r="C469" s="9" t="inlineStr">
        <is>
          <t>2025-09-25</t>
        </is>
      </c>
      <c r="D469" s="9" t="inlineStr">
        <is>
          <t>59436481029869</t>
        </is>
      </c>
      <c r="E469" s="9" t="inlineStr">
        <is>
          <t>ANILLO LOVE CON ZIRCONIA SILVER</t>
        </is>
      </c>
      <c r="F469" s="9" t="inlineStr">
        <is>
          <t>5</t>
        </is>
      </c>
      <c r="G469" s="9" t="n">
        <v>4</v>
      </c>
      <c r="H469" s="21" t="n">
        <v>1.8</v>
      </c>
      <c r="I469" s="21" t="n">
        <v>37.97</v>
      </c>
      <c r="J469" s="21" t="n">
        <v>113.92</v>
      </c>
      <c r="K469" s="21" t="n">
        <v>132.91</v>
      </c>
      <c r="L469" s="21" t="n">
        <v>151.9</v>
      </c>
      <c r="M469" s="21" t="n">
        <v>450</v>
      </c>
    </row>
    <row r="470">
      <c r="A470" s="9" t="inlineStr">
        <is>
          <t>HAIFENG</t>
        </is>
      </c>
      <c r="B470" s="9" t="inlineStr">
        <is>
          <t>HAIFENG 25/09/2025</t>
        </is>
      </c>
      <c r="C470" s="9" t="inlineStr">
        <is>
          <t>2025-09-25</t>
        </is>
      </c>
      <c r="D470" s="9" t="inlineStr">
        <is>
          <t>59436481328173</t>
        </is>
      </c>
      <c r="E470" s="9" t="inlineStr">
        <is>
          <t>ANILLO LOVE CON ZIRCONIA SILVER</t>
        </is>
      </c>
      <c r="F470" s="9" t="inlineStr">
        <is>
          <t>8</t>
        </is>
      </c>
      <c r="G470" s="9" t="n">
        <v>2</v>
      </c>
      <c r="H470" s="21" t="n">
        <v>1.8</v>
      </c>
      <c r="I470" s="21" t="n">
        <v>37.97</v>
      </c>
      <c r="J470" s="21" t="n">
        <v>113.92</v>
      </c>
      <c r="K470" s="21" t="n">
        <v>132.91</v>
      </c>
      <c r="L470" s="21" t="n">
        <v>151.9</v>
      </c>
      <c r="M470" s="21" t="n">
        <v>450</v>
      </c>
    </row>
    <row r="471">
      <c r="A471" s="9" t="inlineStr">
        <is>
          <t>HAIFENG</t>
        </is>
      </c>
      <c r="B471" s="9" t="inlineStr">
        <is>
          <t>HAIFENG 25/09/2025</t>
        </is>
      </c>
      <c r="C471" s="9" t="inlineStr">
        <is>
          <t>2025-09-25</t>
        </is>
      </c>
      <c r="D471" s="9" t="inlineStr">
        <is>
          <t>59436481460941</t>
        </is>
      </c>
      <c r="E471" s="9" t="inlineStr">
        <is>
          <t>ANILLO LOVE CON ZIRCONIA SILVER</t>
        </is>
      </c>
      <c r="F471" s="9" t="inlineStr">
        <is>
          <t>9</t>
        </is>
      </c>
      <c r="G471" s="9" t="n">
        <v>2</v>
      </c>
      <c r="H471" s="21" t="n">
        <v>1.8</v>
      </c>
      <c r="I471" s="21" t="n">
        <v>37.97</v>
      </c>
      <c r="J471" s="21" t="n">
        <v>113.92</v>
      </c>
      <c r="K471" s="21" t="n">
        <v>132.91</v>
      </c>
      <c r="L471" s="21" t="n">
        <v>151.9</v>
      </c>
      <c r="M471" s="21" t="n">
        <v>450</v>
      </c>
    </row>
    <row r="472">
      <c r="A472" s="9" t="inlineStr">
        <is>
          <t>HAIFENG</t>
        </is>
      </c>
      <c r="B472" s="9" t="inlineStr">
        <is>
          <t>HAIFENG 25/09/2025</t>
        </is>
      </c>
      <c r="C472" s="9" t="inlineStr">
        <is>
          <t>2025-09-25</t>
        </is>
      </c>
      <c r="D472" s="9" t="inlineStr">
        <is>
          <t>66176a393a025</t>
        </is>
      </c>
      <c r="E472" s="9" t="inlineStr">
        <is>
          <t>ANILLO LOVE GOLD</t>
        </is>
      </c>
      <c r="F472" s="9" t="inlineStr">
        <is>
          <t>5</t>
        </is>
      </c>
      <c r="G472" s="9" t="n">
        <v>3</v>
      </c>
      <c r="H472" s="21" t="n">
        <v>1.8</v>
      </c>
      <c r="I472" s="21" t="n">
        <v>37.97</v>
      </c>
      <c r="J472" s="21" t="n">
        <v>113.92</v>
      </c>
      <c r="K472" s="21" t="n">
        <v>132.91</v>
      </c>
      <c r="L472" s="21" t="n">
        <v>151.9</v>
      </c>
      <c r="M472" s="21" t="n">
        <v>400</v>
      </c>
    </row>
    <row r="473">
      <c r="A473" s="9" t="inlineStr">
        <is>
          <t>HAIFENG</t>
        </is>
      </c>
      <c r="B473" s="9" t="inlineStr">
        <is>
          <t>HAIFENG 25/09/2025</t>
        </is>
      </c>
      <c r="C473" s="9" t="inlineStr">
        <is>
          <t>2025-09-25</t>
        </is>
      </c>
      <c r="D473" s="9" t="inlineStr">
        <is>
          <t>66176a39da1f0</t>
        </is>
      </c>
      <c r="E473" s="9" t="inlineStr">
        <is>
          <t>ANILLO LOVE GOLD</t>
        </is>
      </c>
      <c r="F473" s="9" t="inlineStr">
        <is>
          <t>6</t>
        </is>
      </c>
      <c r="G473" s="9" t="n">
        <v>4</v>
      </c>
      <c r="H473" s="21" t="n">
        <v>1.8</v>
      </c>
      <c r="I473" s="21" t="n">
        <v>37.97</v>
      </c>
      <c r="J473" s="21" t="n">
        <v>113.92</v>
      </c>
      <c r="K473" s="21" t="n">
        <v>132.91</v>
      </c>
      <c r="L473" s="21" t="n">
        <v>151.9</v>
      </c>
      <c r="M473" s="21" t="n">
        <v>400</v>
      </c>
    </row>
    <row r="474">
      <c r="A474" s="9" t="inlineStr">
        <is>
          <t>HAIFENG</t>
        </is>
      </c>
      <c r="B474" s="9" t="inlineStr">
        <is>
          <t>HAIFENG 25/09/2025</t>
        </is>
      </c>
      <c r="C474" s="9" t="inlineStr">
        <is>
          <t>2025-09-25</t>
        </is>
      </c>
      <c r="D474" s="9" t="inlineStr">
        <is>
          <t>66176a3b97be5</t>
        </is>
      </c>
      <c r="E474" s="9" t="inlineStr">
        <is>
          <t>ANILLO LOVE GOLD</t>
        </is>
      </c>
      <c r="F474" s="9" t="inlineStr">
        <is>
          <t>9</t>
        </is>
      </c>
      <c r="G474" s="9" t="n">
        <v>4</v>
      </c>
      <c r="H474" s="21" t="n">
        <v>1.8</v>
      </c>
      <c r="I474" s="21" t="n">
        <v>37.97</v>
      </c>
      <c r="J474" s="21" t="n">
        <v>113.92</v>
      </c>
      <c r="K474" s="21" t="n">
        <v>132.91</v>
      </c>
      <c r="L474" s="21" t="n">
        <v>151.9</v>
      </c>
      <c r="M474" s="21" t="n">
        <v>400</v>
      </c>
    </row>
    <row r="475">
      <c r="A475" s="9" t="inlineStr">
        <is>
          <t>HAIFENG</t>
        </is>
      </c>
      <c r="B475" s="9" t="inlineStr">
        <is>
          <t>HAIFENG 25/09/2025</t>
        </is>
      </c>
      <c r="C475" s="9" t="inlineStr">
        <is>
          <t>2025-09-25</t>
        </is>
      </c>
      <c r="D475" s="9" t="inlineStr">
        <is>
          <t>2653021483532</t>
        </is>
      </c>
      <c r="E475" s="9" t="inlineStr">
        <is>
          <t>ANILLO LOVE GOLD ANCHO</t>
        </is>
      </c>
      <c r="F475" s="9" t="inlineStr">
        <is>
          <t>7</t>
        </is>
      </c>
      <c r="G475" s="9" t="n">
        <v>2</v>
      </c>
      <c r="H475" s="21" t="n">
        <v>1.8</v>
      </c>
      <c r="I475" s="21" t="n">
        <v>37.97</v>
      </c>
      <c r="J475" s="21" t="n">
        <v>113.92</v>
      </c>
      <c r="K475" s="21" t="n">
        <v>132.91</v>
      </c>
      <c r="L475" s="21" t="n">
        <v>151.9</v>
      </c>
      <c r="M475" s="21" t="n">
        <v>400</v>
      </c>
    </row>
    <row r="476">
      <c r="A476" s="9" t="inlineStr">
        <is>
          <t>HAIFENG</t>
        </is>
      </c>
      <c r="B476" s="9" t="inlineStr">
        <is>
          <t>HAIFENG 25/09/2025</t>
        </is>
      </c>
      <c r="C476" s="9" t="inlineStr">
        <is>
          <t>2025-09-25</t>
        </is>
      </c>
      <c r="D476" s="9" t="inlineStr">
        <is>
          <t>2653021516300</t>
        </is>
      </c>
      <c r="E476" s="9" t="inlineStr">
        <is>
          <t>ANILLO LOVE GOLD ANCHO</t>
        </is>
      </c>
      <c r="F476" s="9" t="inlineStr">
        <is>
          <t>8</t>
        </is>
      </c>
      <c r="G476" s="9" t="n">
        <v>4</v>
      </c>
      <c r="H476" s="21" t="n">
        <v>1.8</v>
      </c>
      <c r="I476" s="21" t="n">
        <v>37.97</v>
      </c>
      <c r="J476" s="21" t="n">
        <v>113.92</v>
      </c>
      <c r="K476" s="21" t="n">
        <v>132.91</v>
      </c>
      <c r="L476" s="21" t="n">
        <v>151.9</v>
      </c>
      <c r="M476" s="21" t="n">
        <v>400</v>
      </c>
    </row>
    <row r="477">
      <c r="A477" s="9" t="inlineStr">
        <is>
          <t>HAIFENG</t>
        </is>
      </c>
      <c r="B477" s="9" t="inlineStr">
        <is>
          <t>HAIFENG 25/09/2025</t>
        </is>
      </c>
      <c r="C477" s="9" t="inlineStr">
        <is>
          <t>2025-09-25</t>
        </is>
      </c>
      <c r="D477" s="9" t="inlineStr">
        <is>
          <t>2653021549068</t>
        </is>
      </c>
      <c r="E477" s="9" t="inlineStr">
        <is>
          <t>ANILLO LOVE GOLD ANCHO</t>
        </is>
      </c>
      <c r="F477" s="9" t="inlineStr">
        <is>
          <t>9</t>
        </is>
      </c>
      <c r="G477" s="9" t="n">
        <v>2</v>
      </c>
      <c r="H477" s="21" t="n">
        <v>1.8</v>
      </c>
      <c r="I477" s="21" t="n">
        <v>37.97</v>
      </c>
      <c r="J477" s="21" t="n">
        <v>113.92</v>
      </c>
      <c r="K477" s="21" t="n">
        <v>132.91</v>
      </c>
      <c r="L477" s="21" t="n">
        <v>151.9</v>
      </c>
      <c r="M477" s="21" t="n">
        <v>400</v>
      </c>
    </row>
    <row r="478">
      <c r="A478" s="9" t="inlineStr">
        <is>
          <t>HAIFENG</t>
        </is>
      </c>
      <c r="B478" s="9" t="inlineStr">
        <is>
          <t>HAIFENG 25/09/2025</t>
        </is>
      </c>
      <c r="C478" s="9" t="inlineStr">
        <is>
          <t>2025-09-25</t>
        </is>
      </c>
      <c r="D478" s="9" t="inlineStr">
        <is>
          <t>2653021581836</t>
        </is>
      </c>
      <c r="E478" s="9" t="inlineStr">
        <is>
          <t>ANILLO LOVE GOLD ANCHO</t>
        </is>
      </c>
      <c r="F478" s="9" t="inlineStr">
        <is>
          <t>10</t>
        </is>
      </c>
      <c r="G478" s="9" t="n">
        <v>1</v>
      </c>
      <c r="H478" s="21" t="n">
        <v>1.8</v>
      </c>
      <c r="I478" s="21" t="n">
        <v>37.97</v>
      </c>
      <c r="J478" s="21" t="n">
        <v>113.92</v>
      </c>
      <c r="K478" s="21" t="n">
        <v>132.91</v>
      </c>
      <c r="L478" s="21" t="n">
        <v>151.9</v>
      </c>
      <c r="M478" s="21" t="n">
        <v>400</v>
      </c>
    </row>
    <row r="479">
      <c r="A479" s="9" t="inlineStr">
        <is>
          <t>HAIFENG</t>
        </is>
      </c>
      <c r="B479" s="9" t="inlineStr">
        <is>
          <t>HAIFENG 25/09/2025</t>
        </is>
      </c>
      <c r="C479" s="9" t="inlineStr">
        <is>
          <t>2025-09-25</t>
        </is>
      </c>
      <c r="D479" s="9" t="inlineStr">
        <is>
          <t>66176c91b3d77</t>
        </is>
      </c>
      <c r="E479" s="9" t="inlineStr">
        <is>
          <t>ANILLO LOVE GOLD ANCHO CON ZIRCONIA</t>
        </is>
      </c>
      <c r="F479" s="9" t="inlineStr">
        <is>
          <t>7</t>
        </is>
      </c>
      <c r="G479" s="9" t="n">
        <v>1</v>
      </c>
      <c r="H479" s="21" t="n">
        <v>1.8</v>
      </c>
      <c r="I479" s="21" t="n">
        <v>37.97</v>
      </c>
      <c r="J479" s="21" t="n">
        <v>113.92</v>
      </c>
      <c r="K479" s="21" t="n">
        <v>132.91</v>
      </c>
      <c r="L479" s="21" t="n">
        <v>151.9</v>
      </c>
      <c r="M479" s="21" t="n">
        <v>450</v>
      </c>
    </row>
    <row r="480">
      <c r="A480" s="9" t="inlineStr">
        <is>
          <t>HAIFENG</t>
        </is>
      </c>
      <c r="B480" s="9" t="inlineStr">
        <is>
          <t>HAIFENG 25/09/2025</t>
        </is>
      </c>
      <c r="C480" s="9" t="inlineStr">
        <is>
          <t>2025-09-25</t>
        </is>
      </c>
      <c r="D480" s="9" t="inlineStr">
        <is>
          <t>56481480643724</t>
        </is>
      </c>
      <c r="E480" s="9" t="inlineStr">
        <is>
          <t>ANILLO LOVE LOVE ROSEGOLD-SILVER ZIRCONIAS</t>
        </is>
      </c>
      <c r="F480" s="9" t="inlineStr">
        <is>
          <t>7</t>
        </is>
      </c>
      <c r="G480" s="9" t="n">
        <v>2</v>
      </c>
      <c r="H480" s="21" t="n">
        <v>7.5</v>
      </c>
      <c r="I480" s="21" t="n">
        <v>158.23</v>
      </c>
      <c r="J480" s="21" t="n">
        <v>474.68</v>
      </c>
      <c r="K480" s="21" t="n">
        <v>553.79</v>
      </c>
      <c r="L480" s="21" t="n">
        <v>632.91</v>
      </c>
      <c r="M480" s="21" t="n">
        <v>620</v>
      </c>
    </row>
    <row r="481">
      <c r="A481" s="9" t="inlineStr">
        <is>
          <t>HAIFENG</t>
        </is>
      </c>
      <c r="B481" s="9" t="inlineStr">
        <is>
          <t>HAIFENG 25/09/2025</t>
        </is>
      </c>
      <c r="C481" s="9" t="inlineStr">
        <is>
          <t>2025-09-25</t>
        </is>
      </c>
      <c r="D481" s="9" t="inlineStr">
        <is>
          <t>66593bc3b73c7</t>
        </is>
      </c>
      <c r="E481" s="9" t="inlineStr">
        <is>
          <t>ANILLO LOVE MZ GOLD</t>
        </is>
      </c>
      <c r="F481" s="9" t="inlineStr">
        <is>
          <t>8</t>
        </is>
      </c>
      <c r="G481" s="9" t="n">
        <v>1</v>
      </c>
      <c r="H481" s="21" t="n">
        <v>5.8</v>
      </c>
      <c r="I481" s="21" t="n">
        <v>122.36</v>
      </c>
      <c r="J481" s="21" t="n">
        <v>367.09</v>
      </c>
      <c r="K481" s="21" t="n">
        <v>428.27</v>
      </c>
      <c r="L481" s="21" t="n">
        <v>489.45</v>
      </c>
      <c r="M481" s="21" t="n">
        <v>550</v>
      </c>
    </row>
    <row r="482">
      <c r="A482" s="9" t="inlineStr">
        <is>
          <t>HAIFENG</t>
        </is>
      </c>
      <c r="B482" s="9" t="inlineStr">
        <is>
          <t>HAIFENG 25/09/2025</t>
        </is>
      </c>
      <c r="C482" s="9" t="inlineStr">
        <is>
          <t>2025-09-25</t>
        </is>
      </c>
      <c r="D482" s="9" t="inlineStr">
        <is>
          <t>66593bc59b5a1</t>
        </is>
      </c>
      <c r="E482" s="9" t="inlineStr">
        <is>
          <t>ANILLO LOVE MZ GOLD</t>
        </is>
      </c>
      <c r="F482" s="9" t="inlineStr">
        <is>
          <t>11</t>
        </is>
      </c>
      <c r="G482" s="9" t="n">
        <v>3</v>
      </c>
      <c r="H482" s="21" t="n">
        <v>5.8</v>
      </c>
      <c r="I482" s="21" t="n">
        <v>122.36</v>
      </c>
      <c r="J482" s="21" t="n">
        <v>367.09</v>
      </c>
      <c r="K482" s="21" t="n">
        <v>428.27</v>
      </c>
      <c r="L482" s="21" t="n">
        <v>489.45</v>
      </c>
      <c r="M482" s="21" t="n">
        <v>550</v>
      </c>
    </row>
    <row r="483">
      <c r="A483" s="9" t="inlineStr">
        <is>
          <t>HAIFENG</t>
        </is>
      </c>
      <c r="B483" s="9" t="inlineStr">
        <is>
          <t>HAIFENG 25/09/2025</t>
        </is>
      </c>
      <c r="C483" s="9" t="inlineStr">
        <is>
          <t>2025-09-25</t>
        </is>
      </c>
      <c r="D483" s="9" t="inlineStr">
        <is>
          <t>66176c8b55e0c</t>
        </is>
      </c>
      <c r="E483" s="9" t="inlineStr">
        <is>
          <t>ANILLO LOVE ROSE GOLD ANCHO</t>
        </is>
      </c>
      <c r="F483" s="9" t="inlineStr">
        <is>
          <t>7</t>
        </is>
      </c>
      <c r="G483" s="9" t="n">
        <v>1</v>
      </c>
      <c r="H483" s="21" t="n">
        <v>2</v>
      </c>
      <c r="I483" s="21" t="n">
        <v>42.19</v>
      </c>
      <c r="J483" s="21" t="n">
        <v>126.58</v>
      </c>
      <c r="K483" s="21" t="n">
        <v>147.68</v>
      </c>
      <c r="L483" s="21" t="n">
        <v>168.78</v>
      </c>
      <c r="M483" s="21" t="n">
        <v>400</v>
      </c>
    </row>
    <row r="484">
      <c r="A484" s="9" t="inlineStr">
        <is>
          <t>HAIFENG</t>
        </is>
      </c>
      <c r="B484" s="9" t="inlineStr">
        <is>
          <t>HAIFENG 25/09/2025</t>
        </is>
      </c>
      <c r="C484" s="9" t="inlineStr">
        <is>
          <t>2025-09-25</t>
        </is>
      </c>
      <c r="D484" s="9" t="inlineStr">
        <is>
          <t>94256261066701</t>
        </is>
      </c>
      <c r="E484" s="9" t="inlineStr">
        <is>
          <t>ANILLO LV IDYLLE BLOSSOM TRICOLOR</t>
        </is>
      </c>
      <c r="F484" s="9" t="inlineStr">
        <is>
          <t>Default Title</t>
        </is>
      </c>
      <c r="G484" s="9" t="n">
        <v>2</v>
      </c>
      <c r="H484" s="21" t="n">
        <v>5.99</v>
      </c>
      <c r="I484" s="21" t="n">
        <v>126.37</v>
      </c>
      <c r="J484" s="21" t="n">
        <v>379.11</v>
      </c>
      <c r="K484" s="21" t="n">
        <v>442.3</v>
      </c>
      <c r="L484" s="21" t="n">
        <v>505.48</v>
      </c>
      <c r="M484" s="21" t="n">
        <v>1250</v>
      </c>
    </row>
    <row r="485">
      <c r="A485" s="9" t="inlineStr">
        <is>
          <t>HAIFENG</t>
        </is>
      </c>
      <c r="B485" s="9" t="inlineStr">
        <is>
          <t>HAIFENG 25/09/2025</t>
        </is>
      </c>
      <c r="C485" s="9" t="inlineStr">
        <is>
          <t>2025-09-25</t>
        </is>
      </c>
      <c r="D485" s="9" t="inlineStr">
        <is>
          <t>94256261066701</t>
        </is>
      </c>
      <c r="E485" s="9" t="inlineStr">
        <is>
          <t>ANILLO LV IDYLLE BLOSSOM TRICOLOR</t>
        </is>
      </c>
      <c r="F485" s="9" t="inlineStr">
        <is>
          <t>Default Title</t>
        </is>
      </c>
      <c r="G485" s="9" t="n">
        <v>2</v>
      </c>
      <c r="H485" s="21" t="n">
        <v>5.99</v>
      </c>
      <c r="I485" s="21" t="n">
        <v>126.37</v>
      </c>
      <c r="J485" s="21" t="n">
        <v>379.11</v>
      </c>
      <c r="K485" s="21" t="n">
        <v>442.3</v>
      </c>
      <c r="L485" s="21" t="n">
        <v>505.48</v>
      </c>
      <c r="M485" s="21" t="n">
        <v>1250</v>
      </c>
    </row>
    <row r="486">
      <c r="A486" s="9" t="inlineStr">
        <is>
          <t>HAIFENG</t>
        </is>
      </c>
      <c r="B486" s="9" t="inlineStr">
        <is>
          <t>HAIFENG 25/09/2025</t>
        </is>
      </c>
      <c r="C486" s="9" t="inlineStr">
        <is>
          <t>2025-09-25</t>
        </is>
      </c>
      <c r="D486" s="9" t="inlineStr">
        <is>
          <t>94256261066701</t>
        </is>
      </c>
      <c r="E486" s="9" t="inlineStr">
        <is>
          <t>ANILLO LV IDYLLE BLOSSOM TRICOLOR</t>
        </is>
      </c>
      <c r="F486" s="9" t="inlineStr">
        <is>
          <t>Default Title</t>
        </is>
      </c>
      <c r="G486" s="9" t="n">
        <v>2</v>
      </c>
      <c r="H486" s="21" t="n">
        <v>5.99</v>
      </c>
      <c r="I486" s="21" t="n">
        <v>126.37</v>
      </c>
      <c r="J486" s="21" t="n">
        <v>379.11</v>
      </c>
      <c r="K486" s="21" t="n">
        <v>442.3</v>
      </c>
      <c r="L486" s="21" t="n">
        <v>505.48</v>
      </c>
      <c r="M486" s="21" t="n">
        <v>1250</v>
      </c>
    </row>
    <row r="487">
      <c r="A487" s="9" t="inlineStr">
        <is>
          <t>HAIFENG</t>
        </is>
      </c>
      <c r="B487" s="9" t="inlineStr">
        <is>
          <t>HAIFENG 25/09/2025</t>
        </is>
      </c>
      <c r="C487" s="9" t="inlineStr">
        <is>
          <t>2025-09-25</t>
        </is>
      </c>
      <c r="D487" s="9" t="inlineStr">
        <is>
          <t>82112081096013</t>
        </is>
      </c>
      <c r="E487" s="9" t="inlineStr">
        <is>
          <t>ANILLO LV INSTICT GOLD-8</t>
        </is>
      </c>
      <c r="F487" s="9" t="inlineStr">
        <is>
          <t>8</t>
        </is>
      </c>
      <c r="G487" s="9" t="n">
        <v>2</v>
      </c>
      <c r="H487" s="21" t="n">
        <v>5.99</v>
      </c>
      <c r="I487" s="21" t="n">
        <v>126.37</v>
      </c>
      <c r="J487" s="21" t="n">
        <v>379.11</v>
      </c>
      <c r="K487" s="21" t="n">
        <v>442.3</v>
      </c>
      <c r="L487" s="21" t="n">
        <v>505.48</v>
      </c>
      <c r="M487" s="21" t="n">
        <v>493.58</v>
      </c>
    </row>
    <row r="488">
      <c r="A488" s="9" t="inlineStr">
        <is>
          <t>HAIFENG</t>
        </is>
      </c>
      <c r="B488" s="9" t="inlineStr">
        <is>
          <t>HAIFENG 25/09/2025</t>
        </is>
      </c>
      <c r="C488" s="9" t="inlineStr">
        <is>
          <t>2025-09-25</t>
        </is>
      </c>
      <c r="D488" s="9" t="inlineStr">
        <is>
          <t>82112081096014</t>
        </is>
      </c>
      <c r="E488" s="9" t="inlineStr">
        <is>
          <t>ANILLO LV INSTICT GOLD-9</t>
        </is>
      </c>
      <c r="F488" s="9" t="inlineStr">
        <is>
          <t>9</t>
        </is>
      </c>
      <c r="G488" s="9" t="n">
        <v>2</v>
      </c>
      <c r="H488" s="21" t="n">
        <v>5.99</v>
      </c>
      <c r="I488" s="21" t="n">
        <v>126.37</v>
      </c>
      <c r="J488" s="21" t="n">
        <v>379.11</v>
      </c>
      <c r="K488" s="21" t="n">
        <v>442.3</v>
      </c>
      <c r="L488" s="21" t="n">
        <v>505.48</v>
      </c>
      <c r="M488" s="21" t="n">
        <v>493.58</v>
      </c>
    </row>
    <row r="489">
      <c r="A489" s="9" t="inlineStr">
        <is>
          <t>HAIFENG</t>
        </is>
      </c>
      <c r="B489" s="9" t="inlineStr">
        <is>
          <t>HAIFENG 25/09/2025</t>
        </is>
      </c>
      <c r="C489" s="9" t="inlineStr">
        <is>
          <t>2025-09-25</t>
        </is>
      </c>
      <c r="D489" s="9" t="inlineStr">
        <is>
          <t>83765241087533</t>
        </is>
      </c>
      <c r="E489" s="9" t="inlineStr">
        <is>
          <t>ANILLO LV INSTICT SILVER-8</t>
        </is>
      </c>
      <c r="F489" s="9" t="inlineStr">
        <is>
          <t>8</t>
        </is>
      </c>
      <c r="G489" s="9" t="n">
        <v>2</v>
      </c>
      <c r="H489" s="21" t="n">
        <v>5.99</v>
      </c>
      <c r="I489" s="21" t="n">
        <v>126.37</v>
      </c>
      <c r="J489" s="21" t="n">
        <v>379.11</v>
      </c>
      <c r="K489" s="21" t="n">
        <v>442.3</v>
      </c>
      <c r="L489" s="21" t="n">
        <v>505.48</v>
      </c>
      <c r="M489" s="21" t="n">
        <v>560</v>
      </c>
    </row>
    <row r="490">
      <c r="A490" s="9" t="inlineStr">
        <is>
          <t>HAIFENG</t>
        </is>
      </c>
      <c r="B490" s="9" t="inlineStr">
        <is>
          <t>HAIFENG 25/09/2025</t>
        </is>
      </c>
      <c r="C490" s="9" t="inlineStr">
        <is>
          <t>2025-09-25</t>
        </is>
      </c>
      <c r="D490" s="9" t="inlineStr">
        <is>
          <t>33765241120301</t>
        </is>
      </c>
      <c r="E490" s="9" t="inlineStr">
        <is>
          <t>ANILLO LV INSTICT SILVER-9</t>
        </is>
      </c>
      <c r="F490" s="9" t="inlineStr">
        <is>
          <t>9</t>
        </is>
      </c>
      <c r="G490" s="9" t="n">
        <v>2</v>
      </c>
      <c r="H490" s="21" t="n">
        <v>5.99</v>
      </c>
      <c r="I490" s="21" t="n">
        <v>126.37</v>
      </c>
      <c r="J490" s="21" t="n">
        <v>379.11</v>
      </c>
      <c r="K490" s="21" t="n">
        <v>442.3</v>
      </c>
      <c r="L490" s="21" t="n">
        <v>505.48</v>
      </c>
      <c r="M490" s="21" t="n">
        <v>560</v>
      </c>
    </row>
    <row r="491">
      <c r="A491" s="9" t="inlineStr">
        <is>
          <t>HAIFENG</t>
        </is>
      </c>
      <c r="B491" s="9" t="inlineStr">
        <is>
          <t>HAIFENG 25/09/2025</t>
        </is>
      </c>
      <c r="C491" s="9" t="inlineStr">
        <is>
          <t>2025-09-25</t>
        </is>
      </c>
      <c r="D491" s="9" t="inlineStr">
        <is>
          <t>53073321001165</t>
        </is>
      </c>
      <c r="E491" s="9" t="inlineStr">
        <is>
          <t>ANILLO LV SELLO GOLD-8</t>
        </is>
      </c>
      <c r="F491" s="9" t="inlineStr">
        <is>
          <t>8</t>
        </is>
      </c>
      <c r="G491" s="9" t="n">
        <v>2</v>
      </c>
      <c r="H491" s="21" t="n">
        <v>8.99</v>
      </c>
      <c r="I491" s="21" t="n">
        <v>189.66</v>
      </c>
      <c r="J491" s="21" t="n">
        <v>568.98</v>
      </c>
      <c r="K491" s="21" t="n">
        <v>663.8099999999999</v>
      </c>
      <c r="L491" s="21" t="n">
        <v>758.64</v>
      </c>
      <c r="M491" s="21" t="n">
        <v>750</v>
      </c>
    </row>
    <row r="492">
      <c r="A492" s="9" t="inlineStr">
        <is>
          <t>HAIFENG</t>
        </is>
      </c>
      <c r="B492" s="9" t="inlineStr">
        <is>
          <t>HAIFENG 25/09/2025</t>
        </is>
      </c>
      <c r="C492" s="9" t="inlineStr">
        <is>
          <t>2025-09-25</t>
        </is>
      </c>
      <c r="D492" s="9" t="inlineStr">
        <is>
          <t>63220631032173</t>
        </is>
      </c>
      <c r="E492" s="9" t="inlineStr">
        <is>
          <t>ANILLO LV SELLO GOLD-9</t>
        </is>
      </c>
      <c r="F492" s="9" t="inlineStr">
        <is>
          <t>9</t>
        </is>
      </c>
      <c r="G492" s="9" t="n">
        <v>2</v>
      </c>
      <c r="H492" s="21" t="n">
        <v>8.99</v>
      </c>
      <c r="I492" s="21" t="n">
        <v>189.66</v>
      </c>
      <c r="J492" s="21" t="n">
        <v>568.98</v>
      </c>
      <c r="K492" s="21" t="n">
        <v>663.8099999999999</v>
      </c>
      <c r="L492" s="21" t="n">
        <v>758.64</v>
      </c>
      <c r="M492" s="21" t="n">
        <v>750</v>
      </c>
    </row>
    <row r="493">
      <c r="A493" s="9" t="inlineStr">
        <is>
          <t>HAIFENG</t>
        </is>
      </c>
      <c r="B493" s="9" t="inlineStr">
        <is>
          <t>HAIFENG 25/09/2025</t>
        </is>
      </c>
      <c r="C493" s="9" t="inlineStr">
        <is>
          <t>2025-09-25</t>
        </is>
      </c>
      <c r="D493" s="9" t="inlineStr">
        <is>
          <t>64155891097709</t>
        </is>
      </c>
      <c r="E493" s="9" t="inlineStr">
        <is>
          <t>ANILLO LV SELLO SILVER-8</t>
        </is>
      </c>
      <c r="F493" s="9" t="inlineStr">
        <is>
          <t>8</t>
        </is>
      </c>
      <c r="G493" s="9" t="n">
        <v>2</v>
      </c>
      <c r="H493" s="21" t="n">
        <v>5.99</v>
      </c>
      <c r="I493" s="21" t="n">
        <v>126.37</v>
      </c>
      <c r="J493" s="21" t="n">
        <v>379.11</v>
      </c>
      <c r="K493" s="21" t="n">
        <v>442.3</v>
      </c>
      <c r="L493" s="21" t="n">
        <v>505.48</v>
      </c>
      <c r="M493" s="21" t="n">
        <v>750</v>
      </c>
    </row>
    <row r="494">
      <c r="A494" s="9" t="inlineStr">
        <is>
          <t>HAIFENG</t>
        </is>
      </c>
      <c r="B494" s="9" t="inlineStr">
        <is>
          <t>HAIFENG 25/09/2025</t>
        </is>
      </c>
      <c r="C494" s="9" t="inlineStr">
        <is>
          <t>2025-09-25</t>
        </is>
      </c>
      <c r="D494" s="9" t="inlineStr">
        <is>
          <t>65654871016909</t>
        </is>
      </c>
      <c r="E494" s="9" t="inlineStr">
        <is>
          <t>ANILLO LV SELLO SILVER-9</t>
        </is>
      </c>
      <c r="F494" s="9" t="inlineStr">
        <is>
          <t>9</t>
        </is>
      </c>
      <c r="G494" s="9" t="n">
        <v>2</v>
      </c>
      <c r="H494" s="21" t="n">
        <v>5.99</v>
      </c>
      <c r="I494" s="21" t="n">
        <v>126.37</v>
      </c>
      <c r="J494" s="21" t="n">
        <v>379.11</v>
      </c>
      <c r="K494" s="21" t="n">
        <v>442.3</v>
      </c>
      <c r="L494" s="21" t="n">
        <v>505.48</v>
      </c>
      <c r="M494" s="21" t="n">
        <v>525</v>
      </c>
    </row>
    <row r="495">
      <c r="A495" s="9" t="inlineStr">
        <is>
          <t>HAIFENG</t>
        </is>
      </c>
      <c r="B495" s="9" t="inlineStr">
        <is>
          <t>HAIFENG 25/09/2025</t>
        </is>
      </c>
      <c r="C495" s="9" t="inlineStr">
        <is>
          <t>2025-09-25</t>
        </is>
      </c>
      <c r="D495" s="9" t="inlineStr">
        <is>
          <t>43047225917580</t>
        </is>
      </c>
      <c r="E495" s="9" t="inlineStr">
        <is>
          <t>ANILLO ONE T GOLD</t>
        </is>
      </c>
      <c r="F495" s="9" t="inlineStr">
        <is>
          <t>7</t>
        </is>
      </c>
      <c r="G495" s="9" t="n">
        <v>1</v>
      </c>
      <c r="H495" s="21" t="n">
        <v>5</v>
      </c>
      <c r="I495" s="21" t="n">
        <v>105.48</v>
      </c>
      <c r="J495" s="21" t="n">
        <v>316.45</v>
      </c>
      <c r="K495" s="21" t="n">
        <v>369.2</v>
      </c>
      <c r="L495" s="21" t="n">
        <v>421.94</v>
      </c>
      <c r="M495" s="21" t="n">
        <v>499</v>
      </c>
    </row>
    <row r="496">
      <c r="A496" s="9" t="inlineStr">
        <is>
          <t>HAIFENG</t>
        </is>
      </c>
      <c r="B496" s="9" t="inlineStr">
        <is>
          <t>HAIFENG 25/09/2025</t>
        </is>
      </c>
      <c r="C496" s="9" t="inlineStr">
        <is>
          <t>2025-09-25</t>
        </is>
      </c>
      <c r="D496" s="9" t="inlineStr">
        <is>
          <t>673cd55d87e7f</t>
        </is>
      </c>
      <c r="E496" s="9" t="inlineStr">
        <is>
          <t>ANILLO ONE T ROSEGOLD</t>
        </is>
      </c>
      <c r="F496" s="9" t="inlineStr">
        <is>
          <t>7</t>
        </is>
      </c>
      <c r="G496" s="9" t="n">
        <v>1</v>
      </c>
      <c r="H496" s="21" t="n">
        <v>5</v>
      </c>
      <c r="I496" s="21" t="n">
        <v>105.48</v>
      </c>
      <c r="J496" s="21" t="n">
        <v>316.45</v>
      </c>
      <c r="K496" s="21" t="n">
        <v>369.2</v>
      </c>
      <c r="L496" s="21" t="n">
        <v>421.94</v>
      </c>
      <c r="M496" s="21" t="n">
        <v>400</v>
      </c>
    </row>
    <row r="497">
      <c r="A497" s="9" t="inlineStr">
        <is>
          <t>HAIFENG</t>
        </is>
      </c>
      <c r="B497" s="9" t="inlineStr">
        <is>
          <t>HAIFENG 25/09/2025</t>
        </is>
      </c>
      <c r="C497" s="9" t="inlineStr">
        <is>
          <t>2025-09-25</t>
        </is>
      </c>
      <c r="D497" s="9" t="inlineStr">
        <is>
          <t>67201535429901</t>
        </is>
      </c>
      <c r="E497" s="9" t="inlineStr">
        <is>
          <t>ANILLO PERLEE SIGNATURE SILVER VF</t>
        </is>
      </c>
      <c r="F497" s="9" t="inlineStr">
        <is>
          <t>7</t>
        </is>
      </c>
      <c r="G497" s="9" t="n">
        <v>3</v>
      </c>
      <c r="H497" s="21" t="n">
        <v>6.99</v>
      </c>
      <c r="I497" s="21" t="n">
        <v>147.47</v>
      </c>
      <c r="J497" s="21" t="n">
        <v>442.4</v>
      </c>
      <c r="K497" s="21" t="n">
        <v>516.14</v>
      </c>
      <c r="L497" s="21" t="n">
        <v>589.87</v>
      </c>
      <c r="M497" s="21" t="n">
        <v>412</v>
      </c>
    </row>
    <row r="498">
      <c r="A498" s="9" t="inlineStr">
        <is>
          <t>HAIFENG</t>
        </is>
      </c>
      <c r="B498" s="9" t="inlineStr">
        <is>
          <t>HAIFENG 25/09/2025</t>
        </is>
      </c>
      <c r="C498" s="9" t="inlineStr">
        <is>
          <t>2025-09-25</t>
        </is>
      </c>
      <c r="D498" s="9" t="inlineStr">
        <is>
          <t>43047226572940</t>
        </is>
      </c>
      <c r="E498" s="9" t="inlineStr">
        <is>
          <t>ANILLO SIXTEEN STONE</t>
        </is>
      </c>
      <c r="F498" s="9" t="inlineStr">
        <is>
          <t>HIGH QUALITY 7</t>
        </is>
      </c>
      <c r="G498" s="9" t="n">
        <v>11</v>
      </c>
      <c r="H498" s="21" t="n">
        <v>6</v>
      </c>
      <c r="I498" s="21" t="n">
        <v>126.58</v>
      </c>
      <c r="J498" s="21" t="n">
        <v>379.74</v>
      </c>
      <c r="K498" s="21" t="n">
        <v>443.03</v>
      </c>
      <c r="L498" s="21" t="n">
        <v>506.33</v>
      </c>
      <c r="M498" s="21" t="n">
        <v>550</v>
      </c>
    </row>
    <row r="499">
      <c r="A499" s="9" t="inlineStr">
        <is>
          <t>HAIFENG</t>
        </is>
      </c>
      <c r="B499" s="9" t="inlineStr">
        <is>
          <t>HAIFENG 25/09/2025</t>
        </is>
      </c>
      <c r="C499" s="9" t="inlineStr">
        <is>
          <t>2025-09-25</t>
        </is>
      </c>
      <c r="D499" s="9" t="inlineStr">
        <is>
          <t>43047226638476</t>
        </is>
      </c>
      <c r="E499" s="9" t="inlineStr">
        <is>
          <t>ANILLO SIXTEEN STONE</t>
        </is>
      </c>
      <c r="F499" s="9" t="inlineStr">
        <is>
          <t>HIGH QUALITY 9</t>
        </is>
      </c>
      <c r="G499" s="9" t="n">
        <v>1</v>
      </c>
      <c r="H499" s="21" t="n">
        <v>6</v>
      </c>
      <c r="I499" s="21" t="n">
        <v>126.58</v>
      </c>
      <c r="J499" s="21" t="n">
        <v>379.74</v>
      </c>
      <c r="K499" s="21" t="n">
        <v>443.03</v>
      </c>
      <c r="L499" s="21" t="n">
        <v>506.33</v>
      </c>
      <c r="M499" s="21" t="n">
        <v>550</v>
      </c>
    </row>
    <row r="500">
      <c r="A500" s="9" t="inlineStr">
        <is>
          <t>HAIFENG</t>
        </is>
      </c>
      <c r="B500" s="9" t="inlineStr">
        <is>
          <t>HAIFENG 25/09/2025</t>
        </is>
      </c>
      <c r="C500" s="9" t="inlineStr">
        <is>
          <t>2025-09-25</t>
        </is>
      </c>
      <c r="D500" s="9" t="inlineStr">
        <is>
          <t>56481484278796</t>
        </is>
      </c>
      <c r="E500" s="9" t="inlineStr">
        <is>
          <t>ANILLO SIXTEEN STONE GOLD/RED</t>
        </is>
      </c>
      <c r="F500" s="9" t="inlineStr">
        <is>
          <t>7</t>
        </is>
      </c>
      <c r="G500" s="9" t="n">
        <v>2</v>
      </c>
      <c r="H500" s="21" t="n">
        <v>6</v>
      </c>
      <c r="I500" s="21" t="n">
        <v>126.58</v>
      </c>
      <c r="J500" s="21" t="n">
        <v>379.74</v>
      </c>
      <c r="K500" s="21" t="n">
        <v>443.03</v>
      </c>
      <c r="L500" s="21" t="n">
        <v>506.33</v>
      </c>
      <c r="M500" s="21" t="n">
        <v>550</v>
      </c>
    </row>
    <row r="501">
      <c r="A501" s="9" t="inlineStr">
        <is>
          <t>HAIFENG</t>
        </is>
      </c>
      <c r="B501" s="9" t="inlineStr">
        <is>
          <t>HAIFENG 25/09/2025</t>
        </is>
      </c>
      <c r="C501" s="9" t="inlineStr">
        <is>
          <t>2025-09-25</t>
        </is>
      </c>
      <c r="D501" s="9" t="inlineStr">
        <is>
          <t>2653019542284</t>
        </is>
      </c>
      <c r="E501" s="9" t="inlineStr">
        <is>
          <t>ANILLO SIXTEEN STONE SILVER</t>
        </is>
      </c>
      <c r="F501" s="9" t="inlineStr">
        <is>
          <t>HIGH QUALITY 7</t>
        </is>
      </c>
      <c r="G501" s="9" t="n">
        <v>2</v>
      </c>
      <c r="H501" s="21" t="n">
        <v>6</v>
      </c>
      <c r="I501" s="21" t="n">
        <v>126.58</v>
      </c>
      <c r="J501" s="21" t="n">
        <v>379.74</v>
      </c>
      <c r="K501" s="21" t="n">
        <v>443.03</v>
      </c>
      <c r="L501" s="21" t="n">
        <v>506.33</v>
      </c>
      <c r="M501" s="21" t="n">
        <v>999</v>
      </c>
    </row>
    <row r="502">
      <c r="A502" s="9" t="inlineStr">
        <is>
          <t>HAIFENG</t>
        </is>
      </c>
      <c r="B502" s="9" t="inlineStr">
        <is>
          <t>HAIFENG 25/09/2025</t>
        </is>
      </c>
      <c r="C502" s="9" t="inlineStr">
        <is>
          <t>2025-09-25</t>
        </is>
      </c>
      <c r="D502" s="9" t="inlineStr">
        <is>
          <t>668eee497dfb4</t>
        </is>
      </c>
      <c r="E502" s="9" t="inlineStr">
        <is>
          <t>ANILLO T CON TURQUESA Y ZIRCONIA</t>
        </is>
      </c>
      <c r="F502" s="9" t="inlineStr">
        <is>
          <t>AJUSTABLE</t>
        </is>
      </c>
      <c r="G502" s="9" t="n">
        <v>8</v>
      </c>
      <c r="H502" s="21" t="n">
        <v>5</v>
      </c>
      <c r="I502" s="21" t="n">
        <v>105.48</v>
      </c>
      <c r="J502" s="21" t="n">
        <v>316.45</v>
      </c>
      <c r="K502" s="21" t="n">
        <v>369.2</v>
      </c>
      <c r="L502" s="21" t="n">
        <v>421.94</v>
      </c>
      <c r="M502" s="21" t="n">
        <v>450</v>
      </c>
    </row>
    <row r="503">
      <c r="A503" s="9" t="inlineStr">
        <is>
          <t>HAIFENG</t>
        </is>
      </c>
      <c r="B503" s="9" t="inlineStr">
        <is>
          <t>HAIFENG 25/09/2025</t>
        </is>
      </c>
      <c r="C503" s="9" t="inlineStr">
        <is>
          <t>2025-09-25</t>
        </is>
      </c>
      <c r="D503" s="9" t="inlineStr">
        <is>
          <t>668eee34483a2</t>
        </is>
      </c>
      <c r="E503" s="9" t="inlineStr">
        <is>
          <t>ANILLO T SILVER</t>
        </is>
      </c>
      <c r="F503" s="9" t="inlineStr">
        <is>
          <t>7</t>
        </is>
      </c>
      <c r="G503" s="9" t="n">
        <v>4</v>
      </c>
      <c r="H503" s="21" t="n">
        <v>5</v>
      </c>
      <c r="I503" s="21" t="n">
        <v>105.48</v>
      </c>
      <c r="J503" s="21" t="n">
        <v>316.45</v>
      </c>
      <c r="K503" s="21" t="n">
        <v>369.2</v>
      </c>
      <c r="L503" s="21" t="n">
        <v>421.94</v>
      </c>
      <c r="M503" s="21" t="n">
        <v>450</v>
      </c>
    </row>
    <row r="504">
      <c r="A504" s="9" t="inlineStr">
        <is>
          <t>HAIFENG</t>
        </is>
      </c>
      <c r="B504" s="9" t="inlineStr">
        <is>
          <t>HAIFENG 25/09/2025</t>
        </is>
      </c>
      <c r="C504" s="9" t="inlineStr">
        <is>
          <t>2025-09-25</t>
        </is>
      </c>
      <c r="D504" s="9" t="inlineStr">
        <is>
          <t>38334521007073</t>
        </is>
      </c>
      <c r="E504" s="9" t="inlineStr">
        <is>
          <t>ANILLO TREBOL GOLD</t>
        </is>
      </c>
      <c r="F504" s="9" t="inlineStr">
        <is>
          <t>7</t>
        </is>
      </c>
      <c r="G504" s="9" t="n">
        <v>4</v>
      </c>
      <c r="H504" s="21" t="n">
        <v>5.99</v>
      </c>
      <c r="I504" s="21" t="n">
        <v>126.37</v>
      </c>
      <c r="J504" s="21" t="n">
        <v>379.11</v>
      </c>
      <c r="K504" s="21" t="n">
        <v>442.3</v>
      </c>
      <c r="L504" s="21" t="n">
        <v>505.48</v>
      </c>
      <c r="M504" s="21" t="n">
        <v>599</v>
      </c>
    </row>
    <row r="505">
      <c r="A505" s="9" t="inlineStr">
        <is>
          <t>HAIFENG</t>
        </is>
      </c>
      <c r="B505" s="9" t="inlineStr">
        <is>
          <t>HAIFENG 25/09/2025</t>
        </is>
      </c>
      <c r="C505" s="9" t="inlineStr">
        <is>
          <t>2025-09-25</t>
        </is>
      </c>
      <c r="D505" s="9" t="inlineStr">
        <is>
          <t>15857683908876</t>
        </is>
      </c>
      <c r="E505" s="9" t="inlineStr">
        <is>
          <t>ANILLO TRES AROS</t>
        </is>
      </c>
      <c r="F505" s="9" t="inlineStr">
        <is>
          <t>7</t>
        </is>
      </c>
      <c r="G505" s="9" t="n">
        <v>3</v>
      </c>
      <c r="H505" s="21" t="n">
        <v>4.7</v>
      </c>
      <c r="I505" s="21" t="n">
        <v>99.16</v>
      </c>
      <c r="J505" s="21" t="n">
        <v>297.47</v>
      </c>
      <c r="K505" s="21" t="n">
        <v>347.04</v>
      </c>
      <c r="L505" s="21" t="n">
        <v>396.62</v>
      </c>
      <c r="M505" s="21" t="n">
        <v>650</v>
      </c>
    </row>
    <row r="506">
      <c r="A506" s="9" t="inlineStr">
        <is>
          <t>HAIFENG</t>
        </is>
      </c>
      <c r="B506" s="9" t="inlineStr">
        <is>
          <t>HAIFENG 25/09/2025</t>
        </is>
      </c>
      <c r="C506" s="9" t="inlineStr">
        <is>
          <t>2025-09-25</t>
        </is>
      </c>
      <c r="D506" s="9" t="inlineStr">
        <is>
          <t>56481488554124</t>
        </is>
      </c>
      <c r="E506" s="9" t="inlineStr">
        <is>
          <t>ANILLO TRES AROS CON ZIRCONIA</t>
        </is>
      </c>
      <c r="F506" s="9" t="inlineStr">
        <is>
          <t>6</t>
        </is>
      </c>
      <c r="G506" s="9" t="n">
        <v>3</v>
      </c>
      <c r="H506" s="21" t="n">
        <v>9</v>
      </c>
      <c r="I506" s="21" t="n">
        <v>189.87</v>
      </c>
      <c r="J506" s="21" t="n">
        <v>569.62</v>
      </c>
      <c r="K506" s="21" t="n">
        <v>664.55</v>
      </c>
      <c r="L506" s="21" t="n">
        <v>759.49</v>
      </c>
      <c r="M506" s="21" t="n">
        <v>1405</v>
      </c>
    </row>
    <row r="507">
      <c r="A507" s="9" t="inlineStr">
        <is>
          <t>HAIFENG</t>
        </is>
      </c>
      <c r="B507" s="9" t="inlineStr">
        <is>
          <t>HAIFENG 25/09/2025</t>
        </is>
      </c>
      <c r="C507" s="9" t="inlineStr">
        <is>
          <t>2025-09-25</t>
        </is>
      </c>
      <c r="D507" s="9" t="inlineStr">
        <is>
          <t>56481485096204</t>
        </is>
      </c>
      <c r="E507" s="9" t="inlineStr">
        <is>
          <t>ANILLO TRES AROS SILVER/BLACK</t>
        </is>
      </c>
      <c r="F507" s="9" t="inlineStr">
        <is>
          <t>10</t>
        </is>
      </c>
      <c r="G507" s="9" t="n">
        <v>3</v>
      </c>
      <c r="H507" s="21" t="n">
        <v>5</v>
      </c>
      <c r="I507" s="21" t="n">
        <v>105.48</v>
      </c>
      <c r="J507" s="21" t="n">
        <v>316.45</v>
      </c>
      <c r="K507" s="21" t="n">
        <v>369.2</v>
      </c>
      <c r="L507" s="21" t="n">
        <v>421.94</v>
      </c>
      <c r="M507" s="21" t="n">
        <v>500</v>
      </c>
    </row>
    <row r="508">
      <c r="A508" s="9" t="inlineStr">
        <is>
          <t>HAIFENG</t>
        </is>
      </c>
      <c r="B508" s="9" t="inlineStr">
        <is>
          <t>HAIFENG 25/09/2025</t>
        </is>
      </c>
      <c r="C508" s="9" t="inlineStr">
        <is>
          <t>2025-09-25</t>
        </is>
      </c>
      <c r="D508" s="9" t="inlineStr">
        <is>
          <t>64085742114861</t>
        </is>
      </c>
      <c r="E508" s="9" t="inlineStr">
        <is>
          <t>ANILLO VENDOME TRICOLOR C</t>
        </is>
      </c>
      <c r="F508" s="9" t="inlineStr">
        <is>
          <t>6</t>
        </is>
      </c>
      <c r="G508" s="9" t="n">
        <v>3</v>
      </c>
      <c r="H508" s="21" t="n">
        <v>6</v>
      </c>
      <c r="I508" s="21" t="n">
        <v>126.58</v>
      </c>
      <c r="J508" s="21" t="n">
        <v>379.74</v>
      </c>
      <c r="K508" s="21" t="n">
        <v>443.03</v>
      </c>
      <c r="L508" s="21" t="n">
        <v>506.33</v>
      </c>
      <c r="M508" s="21" t="n">
        <v>499</v>
      </c>
    </row>
    <row r="509">
      <c r="A509" s="9" t="inlineStr">
        <is>
          <t>HAIFENG</t>
        </is>
      </c>
      <c r="B509" s="9" t="inlineStr">
        <is>
          <t>HAIFENG 25/09/2025</t>
        </is>
      </c>
      <c r="C509" s="9" t="inlineStr">
        <is>
          <t>2025-09-25</t>
        </is>
      </c>
      <c r="D509" s="9" t="inlineStr">
        <is>
          <t>89205551641453</t>
        </is>
      </c>
      <c r="E509" s="9" t="inlineStr">
        <is>
          <t>ARETES BV ROSEGOLD-WHITE</t>
        </is>
      </c>
      <c r="F509" s="9" t="inlineStr">
        <is>
          <t>Default Title</t>
        </is>
      </c>
      <c r="G509" s="9" t="n">
        <v>2</v>
      </c>
      <c r="H509" s="21" t="n">
        <v>6</v>
      </c>
      <c r="I509" s="21" t="n">
        <v>126.58</v>
      </c>
      <c r="J509" s="21" t="n">
        <v>379.74</v>
      </c>
      <c r="K509" s="21" t="n">
        <v>443.03</v>
      </c>
      <c r="L509" s="21" t="n">
        <v>506.33</v>
      </c>
      <c r="M509" s="21" t="n">
        <v>575</v>
      </c>
    </row>
    <row r="510">
      <c r="A510" s="9" t="inlineStr">
        <is>
          <t>HAIFENG</t>
        </is>
      </c>
      <c r="B510" s="9" t="inlineStr">
        <is>
          <t>HAIFENG 25/09/2025</t>
        </is>
      </c>
      <c r="C510" s="9" t="inlineStr">
        <is>
          <t>2025-09-25</t>
        </is>
      </c>
      <c r="D510" s="9" t="inlineStr">
        <is>
          <t>60255941038093</t>
        </is>
      </c>
      <c r="E510" s="9" t="inlineStr">
        <is>
          <t>ARETES BV ROUND ROSEGOLD CON ZIRCONIA</t>
        </is>
      </c>
      <c r="F510" s="9" t="inlineStr">
        <is>
          <t>Default Title</t>
        </is>
      </c>
      <c r="G510" s="9" t="n">
        <v>3</v>
      </c>
      <c r="H510" s="21" t="n">
        <v>7</v>
      </c>
      <c r="I510" s="21" t="n">
        <v>147.68</v>
      </c>
      <c r="J510" s="21" t="n">
        <v>443.03</v>
      </c>
      <c r="K510" s="21" t="n">
        <v>516.87</v>
      </c>
      <c r="L510" s="21" t="n">
        <v>590.71</v>
      </c>
      <c r="M510" s="21" t="n">
        <v>576.8</v>
      </c>
    </row>
    <row r="511">
      <c r="A511" s="9" t="inlineStr">
        <is>
          <t>HAIFENG</t>
        </is>
      </c>
      <c r="B511" s="9" t="inlineStr">
        <is>
          <t>HAIFENG 25/09/2025</t>
        </is>
      </c>
      <c r="C511" s="9" t="inlineStr">
        <is>
          <t>2025-09-25</t>
        </is>
      </c>
      <c r="D511" s="9" t="inlineStr">
        <is>
          <t>49680571041677</t>
        </is>
      </c>
      <c r="E511" s="9" t="inlineStr">
        <is>
          <t>ARETES BV ROUND SILVER CON ZIRCONIA</t>
        </is>
      </c>
      <c r="F511" s="9" t="inlineStr">
        <is>
          <t>Default Title</t>
        </is>
      </c>
      <c r="G511" s="9" t="n">
        <v>3</v>
      </c>
      <c r="H511" s="21" t="n">
        <v>7</v>
      </c>
      <c r="I511" s="21" t="n">
        <v>147.68</v>
      </c>
      <c r="J511" s="21" t="n">
        <v>443.03</v>
      </c>
      <c r="K511" s="21" t="n">
        <v>516.87</v>
      </c>
      <c r="L511" s="21" t="n">
        <v>590.71</v>
      </c>
      <c r="M511" s="21" t="n">
        <v>576.8</v>
      </c>
    </row>
    <row r="512">
      <c r="A512" s="9" t="inlineStr">
        <is>
          <t>HAIFENG</t>
        </is>
      </c>
      <c r="B512" s="9" t="inlineStr">
        <is>
          <t>HAIFENG 25/09/2025</t>
        </is>
      </c>
      <c r="C512" s="9" t="inlineStr">
        <is>
          <t>2025-09-25</t>
        </is>
      </c>
      <c r="D512" s="9" t="inlineStr">
        <is>
          <t>64e78ca690d8e</t>
        </is>
      </c>
      <c r="E512" s="9" t="inlineStr">
        <is>
          <t>ARETES BV SILVER-BLACK</t>
        </is>
      </c>
      <c r="F512" s="9" t="inlineStr">
        <is>
          <t>0.7 cm</t>
        </is>
      </c>
      <c r="G512" s="9" t="n">
        <v>3</v>
      </c>
      <c r="H512" s="21" t="n">
        <v>6</v>
      </c>
      <c r="I512" s="21" t="n">
        <v>126.58</v>
      </c>
      <c r="J512" s="21" t="n">
        <v>379.74</v>
      </c>
      <c r="K512" s="21" t="n">
        <v>443.03</v>
      </c>
      <c r="L512" s="21" t="n">
        <v>506.33</v>
      </c>
      <c r="M512" s="21" t="n">
        <v>450</v>
      </c>
    </row>
    <row r="513">
      <c r="A513" s="9" t="inlineStr">
        <is>
          <t>HAIFENG</t>
        </is>
      </c>
      <c r="B513" s="9" t="inlineStr">
        <is>
          <t>HAIFENG 25/09/2025</t>
        </is>
      </c>
      <c r="C513" s="9" t="inlineStr">
        <is>
          <t>2025-09-25</t>
        </is>
      </c>
      <c r="D513" s="9" t="inlineStr">
        <is>
          <t>16117871063213</t>
        </is>
      </c>
      <c r="E513" s="9" t="inlineStr">
        <is>
          <t>ARETES CD SASOM PEARL BLUE</t>
        </is>
      </c>
      <c r="F513" s="9" t="inlineStr">
        <is>
          <t>Default Title</t>
        </is>
      </c>
      <c r="G513" s="9" t="n">
        <v>3</v>
      </c>
      <c r="H513" s="21" t="n">
        <v>6</v>
      </c>
      <c r="I513" s="21" t="n">
        <v>126.58</v>
      </c>
      <c r="J513" s="21" t="n">
        <v>379.74</v>
      </c>
      <c r="K513" s="21" t="n">
        <v>443.03</v>
      </c>
      <c r="L513" s="21" t="n">
        <v>506.33</v>
      </c>
      <c r="M513" s="21" t="n">
        <v>0</v>
      </c>
    </row>
    <row r="514">
      <c r="A514" s="9" t="inlineStr">
        <is>
          <t>HAIFENG</t>
        </is>
      </c>
      <c r="B514" s="9" t="inlineStr">
        <is>
          <t>HAIFENG 25/09/2025</t>
        </is>
      </c>
      <c r="C514" s="9" t="inlineStr">
        <is>
          <t>2025-09-25</t>
        </is>
      </c>
      <c r="D514" s="9" t="inlineStr">
        <is>
          <t>66075802035149</t>
        </is>
      </c>
      <c r="E514" s="9" t="inlineStr">
        <is>
          <t>ARETES CLAIR D LUNE GOLD CD</t>
        </is>
      </c>
      <c r="F514" s="9" t="inlineStr">
        <is>
          <t>Default Title</t>
        </is>
      </c>
      <c r="G514" s="9" t="n">
        <v>4</v>
      </c>
      <c r="H514" s="21" t="n">
        <v>5</v>
      </c>
      <c r="I514" s="21" t="n">
        <v>105.48</v>
      </c>
      <c r="J514" s="21" t="n">
        <v>316.45</v>
      </c>
      <c r="K514" s="21" t="n">
        <v>369.2</v>
      </c>
      <c r="L514" s="21" t="n">
        <v>421.94</v>
      </c>
      <c r="M514" s="21" t="n">
        <v>450</v>
      </c>
    </row>
    <row r="515">
      <c r="A515" s="9" t="inlineStr">
        <is>
          <t>HAIFENG</t>
        </is>
      </c>
      <c r="B515" s="9" t="inlineStr">
        <is>
          <t>HAIFENG 25/09/2025</t>
        </is>
      </c>
      <c r="C515" s="9" t="inlineStr">
        <is>
          <t>2025-09-25</t>
        </is>
      </c>
      <c r="D515" s="9" t="inlineStr">
        <is>
          <t>64085741294285</t>
        </is>
      </c>
      <c r="E515" s="9" t="inlineStr">
        <is>
          <t>ARETES CLASH GOLD C</t>
        </is>
      </c>
      <c r="F515" s="9" t="inlineStr">
        <is>
          <t>Default Title</t>
        </is>
      </c>
      <c r="G515" s="9" t="n">
        <v>2</v>
      </c>
      <c r="H515" s="21" t="n">
        <v>9</v>
      </c>
      <c r="I515" s="21" t="n">
        <v>189.87</v>
      </c>
      <c r="J515" s="21" t="n">
        <v>569.62</v>
      </c>
      <c r="K515" s="21" t="n">
        <v>664.55</v>
      </c>
      <c r="L515" s="21" t="n">
        <v>759.49</v>
      </c>
      <c r="M515" s="21" t="n">
        <v>750</v>
      </c>
    </row>
    <row r="516">
      <c r="A516" s="9" t="inlineStr">
        <is>
          <t>HAIFENG</t>
        </is>
      </c>
      <c r="B516" s="9" t="inlineStr">
        <is>
          <t>HAIFENG 25/09/2025</t>
        </is>
      </c>
      <c r="C516" s="9" t="inlineStr">
        <is>
          <t>2025-09-25</t>
        </is>
      </c>
      <c r="D516" s="9" t="inlineStr">
        <is>
          <t>64085741359693</t>
        </is>
      </c>
      <c r="E516" s="9" t="inlineStr">
        <is>
          <t>ARETES CLASH ROSE GOLD C</t>
        </is>
      </c>
      <c r="F516" s="9" t="inlineStr">
        <is>
          <t>Default Title</t>
        </is>
      </c>
      <c r="G516" s="9" t="n">
        <v>2</v>
      </c>
      <c r="H516" s="21" t="n">
        <v>9</v>
      </c>
      <c r="I516" s="21" t="n">
        <v>189.87</v>
      </c>
      <c r="J516" s="21" t="n">
        <v>569.62</v>
      </c>
      <c r="K516" s="21" t="n">
        <v>664.55</v>
      </c>
      <c r="L516" s="21" t="n">
        <v>759.49</v>
      </c>
      <c r="M516" s="21" t="n">
        <v>742</v>
      </c>
    </row>
    <row r="517">
      <c r="A517" s="9" t="inlineStr">
        <is>
          <t>HAIFENG</t>
        </is>
      </c>
      <c r="B517" s="9" t="inlineStr">
        <is>
          <t>HAIFENG 25/09/2025</t>
        </is>
      </c>
      <c r="C517" s="9" t="inlineStr">
        <is>
          <t>2025-09-25</t>
        </is>
      </c>
      <c r="D517" s="9" t="inlineStr">
        <is>
          <t>64085741420077</t>
        </is>
      </c>
      <c r="E517" s="9" t="inlineStr">
        <is>
          <t>ARETES CLASH SILVER C</t>
        </is>
      </c>
      <c r="F517" s="9" t="inlineStr">
        <is>
          <t>Default Title</t>
        </is>
      </c>
      <c r="G517" s="9" t="n">
        <v>7</v>
      </c>
      <c r="H517" s="21" t="n">
        <v>9</v>
      </c>
      <c r="I517" s="21" t="n">
        <v>189.87</v>
      </c>
      <c r="J517" s="21" t="n">
        <v>569.62</v>
      </c>
      <c r="K517" s="21" t="n">
        <v>664.55</v>
      </c>
      <c r="L517" s="21" t="n">
        <v>759.49</v>
      </c>
      <c r="M517" s="21" t="n">
        <v>750</v>
      </c>
    </row>
    <row r="518">
      <c r="A518" s="9" t="inlineStr">
        <is>
          <t>HAIFENG</t>
        </is>
      </c>
      <c r="B518" s="9" t="inlineStr">
        <is>
          <t>HAIFENG 25/09/2025</t>
        </is>
      </c>
      <c r="C518" s="9" t="inlineStr">
        <is>
          <t>2025-09-25</t>
        </is>
      </c>
      <c r="D518" s="9" t="inlineStr">
        <is>
          <t>665bd4a63435b</t>
        </is>
      </c>
      <c r="E518" s="9" t="inlineStr">
        <is>
          <t>ARETES CLAVO GOLD</t>
        </is>
      </c>
      <c r="F518" s="9" t="inlineStr">
        <is>
          <t>Default Title</t>
        </is>
      </c>
      <c r="G518" s="9" t="n">
        <v>5</v>
      </c>
      <c r="H518" s="21" t="n">
        <v>2.99</v>
      </c>
      <c r="I518" s="21" t="n">
        <v>63.08</v>
      </c>
      <c r="J518" s="21" t="n">
        <v>189.24</v>
      </c>
      <c r="K518" s="21" t="n">
        <v>220.78</v>
      </c>
      <c r="L518" s="21" t="n">
        <v>252.32</v>
      </c>
      <c r="M518" s="21" t="n">
        <v>400</v>
      </c>
    </row>
    <row r="519">
      <c r="A519" s="9" t="inlineStr">
        <is>
          <t>HAIFENG</t>
        </is>
      </c>
      <c r="B519" s="9" t="inlineStr">
        <is>
          <t>HAIFENG 25/09/2025</t>
        </is>
      </c>
      <c r="C519" s="9" t="inlineStr">
        <is>
          <t>2025-09-25</t>
        </is>
      </c>
      <c r="D519" s="9" t="inlineStr">
        <is>
          <t>37491250366220</t>
        </is>
      </c>
      <c r="E519" s="9" t="inlineStr">
        <is>
          <t>ARETES FLOWER VF</t>
        </is>
      </c>
      <c r="F519" s="9" t="inlineStr">
        <is>
          <t>Default Title</t>
        </is>
      </c>
      <c r="G519" s="9" t="n">
        <v>2</v>
      </c>
      <c r="H519" s="21" t="n">
        <v>8</v>
      </c>
      <c r="I519" s="21" t="n">
        <v>168.78</v>
      </c>
      <c r="J519" s="21" t="n">
        <v>506.33</v>
      </c>
      <c r="K519" s="21" t="n">
        <v>590.71</v>
      </c>
      <c r="L519" s="21" t="n">
        <v>675.1</v>
      </c>
      <c r="M519" s="21" t="n">
        <v>699</v>
      </c>
    </row>
    <row r="520">
      <c r="A520" s="9" t="inlineStr">
        <is>
          <t>HAIFENG</t>
        </is>
      </c>
      <c r="B520" s="9" t="inlineStr">
        <is>
          <t>HAIFENG 25/09/2025</t>
        </is>
      </c>
      <c r="C520" s="9" t="inlineStr">
        <is>
          <t>2025-09-25</t>
        </is>
      </c>
      <c r="D520" s="9" t="inlineStr">
        <is>
          <t>56481477937932</t>
        </is>
      </c>
      <c r="E520" s="9" t="inlineStr">
        <is>
          <t>ARETES FULL HEART SILVER</t>
        </is>
      </c>
      <c r="F520" s="9" t="inlineStr">
        <is>
          <t>Default Title</t>
        </is>
      </c>
      <c r="G520" s="9" t="n">
        <v>3</v>
      </c>
      <c r="H520" s="21" t="n">
        <v>5</v>
      </c>
      <c r="I520" s="21" t="n">
        <v>105.48</v>
      </c>
      <c r="J520" s="21" t="n">
        <v>316.45</v>
      </c>
      <c r="K520" s="21" t="n">
        <v>369.2</v>
      </c>
      <c r="L520" s="21" t="n">
        <v>421.94</v>
      </c>
      <c r="M520" s="21" t="n">
        <v>450</v>
      </c>
    </row>
    <row r="521">
      <c r="A521" s="9" t="inlineStr">
        <is>
          <t>HAIFENG</t>
        </is>
      </c>
      <c r="B521" s="9" t="inlineStr">
        <is>
          <t>HAIFENG 25/09/2025</t>
        </is>
      </c>
      <c r="C521" s="9" t="inlineStr">
        <is>
          <t>2025-09-25</t>
        </is>
      </c>
      <c r="D521" s="9" t="inlineStr">
        <is>
          <t>56481478255884</t>
        </is>
      </c>
      <c r="E521" s="9" t="inlineStr">
        <is>
          <t>ARETES KNOT GOLD CON ZIRCONIA</t>
        </is>
      </c>
      <c r="F521" s="9" t="inlineStr">
        <is>
          <t>Default Title</t>
        </is>
      </c>
      <c r="G521" s="9" t="n">
        <v>3</v>
      </c>
      <c r="H521" s="21" t="n">
        <v>7</v>
      </c>
      <c r="I521" s="21" t="n">
        <v>147.68</v>
      </c>
      <c r="J521" s="21" t="n">
        <v>443.03</v>
      </c>
      <c r="K521" s="21" t="n">
        <v>516.87</v>
      </c>
      <c r="L521" s="21" t="n">
        <v>590.71</v>
      </c>
      <c r="M521" s="21" t="n">
        <v>780</v>
      </c>
    </row>
    <row r="522">
      <c r="A522" s="9" t="inlineStr">
        <is>
          <t>HAIFENG</t>
        </is>
      </c>
      <c r="B522" s="9" t="inlineStr">
        <is>
          <t>HAIFENG 25/09/2025</t>
        </is>
      </c>
      <c r="C522" s="9" t="inlineStr">
        <is>
          <t>2025-09-25</t>
        </is>
      </c>
      <c r="D522" s="9" t="inlineStr">
        <is>
          <t>56481478255884</t>
        </is>
      </c>
      <c r="E522" s="9" t="inlineStr">
        <is>
          <t>ARETES KNOT GOLD CON ZIRCONIA</t>
        </is>
      </c>
      <c r="F522" s="9" t="inlineStr">
        <is>
          <t>Default Title</t>
        </is>
      </c>
      <c r="G522" s="9" t="n">
        <v>3</v>
      </c>
      <c r="H522" s="21" t="n">
        <v>7</v>
      </c>
      <c r="I522" s="21" t="n">
        <v>147.68</v>
      </c>
      <c r="J522" s="21" t="n">
        <v>443.03</v>
      </c>
      <c r="K522" s="21" t="n">
        <v>516.87</v>
      </c>
      <c r="L522" s="21" t="n">
        <v>590.71</v>
      </c>
      <c r="M522" s="21" t="n">
        <v>780</v>
      </c>
    </row>
    <row r="523">
      <c r="A523" s="9" t="inlineStr">
        <is>
          <t>HAIFENG</t>
        </is>
      </c>
      <c r="B523" s="9" t="inlineStr">
        <is>
          <t>HAIFENG 25/09/2025</t>
        </is>
      </c>
      <c r="C523" s="9" t="inlineStr">
        <is>
          <t>2025-09-25</t>
        </is>
      </c>
      <c r="D523" s="9" t="inlineStr">
        <is>
          <t>89790741347789</t>
        </is>
      </c>
      <c r="E523" s="9" t="inlineStr">
        <is>
          <t>ARETES KNOT SILVER CON ZIRCONIA</t>
        </is>
      </c>
      <c r="F523" s="9" t="inlineStr">
        <is>
          <t>Default Title</t>
        </is>
      </c>
      <c r="G523" s="9" t="n">
        <v>2</v>
      </c>
      <c r="H523" s="21" t="n">
        <v>7.5</v>
      </c>
      <c r="I523" s="21" t="n">
        <v>158.23</v>
      </c>
      <c r="J523" s="21" t="n">
        <v>474.68</v>
      </c>
      <c r="K523" s="21" t="n">
        <v>553.79</v>
      </c>
      <c r="L523" s="21" t="n">
        <v>632.91</v>
      </c>
      <c r="M523" s="21" t="n">
        <v>750</v>
      </c>
    </row>
    <row r="524">
      <c r="A524" s="9" t="inlineStr">
        <is>
          <t>HAIFENG</t>
        </is>
      </c>
      <c r="B524" s="9" t="inlineStr">
        <is>
          <t>HAIFENG 25/09/2025</t>
        </is>
      </c>
      <c r="C524" s="9" t="inlineStr">
        <is>
          <t>2025-09-25</t>
        </is>
      </c>
      <c r="D524" s="9" t="inlineStr">
        <is>
          <t>20002741079437</t>
        </is>
      </c>
      <c r="E524" s="9" t="inlineStr">
        <is>
          <t>ARETES LV PADLOCK SILVER CON ZIRCONIA</t>
        </is>
      </c>
      <c r="F524" s="9" t="inlineStr">
        <is>
          <t>Default Title</t>
        </is>
      </c>
      <c r="G524" s="9" t="n">
        <v>2</v>
      </c>
      <c r="H524" s="21" t="n">
        <v>15</v>
      </c>
      <c r="I524" s="21" t="n">
        <v>316.45</v>
      </c>
      <c r="J524" s="21" t="n">
        <v>949.36</v>
      </c>
      <c r="K524" s="21" t="n">
        <v>1107.59</v>
      </c>
      <c r="L524" s="21" t="n">
        <v>1265.81</v>
      </c>
      <c r="M524" s="21" t="n">
        <v>1236</v>
      </c>
    </row>
    <row r="525">
      <c r="A525" s="9" t="inlineStr">
        <is>
          <t>HAIFENG</t>
        </is>
      </c>
      <c r="B525" s="9" t="inlineStr">
        <is>
          <t>HAIFENG 25/09/2025</t>
        </is>
      </c>
      <c r="C525" s="9" t="inlineStr">
        <is>
          <t>2025-09-25</t>
        </is>
      </c>
      <c r="D525" s="9" t="inlineStr">
        <is>
          <t>67201535108205</t>
        </is>
      </c>
      <c r="E525" s="9" t="inlineStr">
        <is>
          <t>ARETES MARIPOSA BICOLOR GOLD BLUE VF</t>
        </is>
      </c>
      <c r="F525" s="9" t="inlineStr">
        <is>
          <t>Default Title</t>
        </is>
      </c>
      <c r="G525" s="9" t="n">
        <v>1</v>
      </c>
      <c r="H525" s="21" t="n">
        <v>7</v>
      </c>
      <c r="I525" s="21" t="n">
        <v>147.68</v>
      </c>
      <c r="J525" s="21" t="n">
        <v>443.03</v>
      </c>
      <c r="K525" s="21" t="n">
        <v>516.87</v>
      </c>
      <c r="L525" s="21" t="n">
        <v>590.71</v>
      </c>
      <c r="M525" s="21" t="n">
        <v>599</v>
      </c>
    </row>
    <row r="526">
      <c r="A526" s="9" t="inlineStr">
        <is>
          <t>HAIFENG</t>
        </is>
      </c>
      <c r="B526" s="9" t="inlineStr">
        <is>
          <t>HAIFENG 25/09/2025</t>
        </is>
      </c>
      <c r="C526" s="9" t="inlineStr">
        <is>
          <t>2025-09-25</t>
        </is>
      </c>
      <c r="D526" s="9" t="inlineStr">
        <is>
          <t>67201535022509</t>
        </is>
      </c>
      <c r="E526" s="9" t="inlineStr">
        <is>
          <t>ARETES MARIPOSA ROSE GOLD WHITE VF</t>
        </is>
      </c>
      <c r="F526" s="9" t="inlineStr">
        <is>
          <t>Default Title</t>
        </is>
      </c>
      <c r="G526" s="9" t="n">
        <v>8</v>
      </c>
      <c r="H526" s="21" t="n">
        <v>7</v>
      </c>
      <c r="I526" s="21" t="n">
        <v>147.68</v>
      </c>
      <c r="J526" s="21" t="n">
        <v>443.03</v>
      </c>
      <c r="K526" s="21" t="n">
        <v>516.87</v>
      </c>
      <c r="L526" s="21" t="n">
        <v>590.71</v>
      </c>
      <c r="M526" s="21" t="n">
        <v>599</v>
      </c>
    </row>
    <row r="527">
      <c r="A527" s="9" t="inlineStr">
        <is>
          <t>HAIFENG</t>
        </is>
      </c>
      <c r="B527" s="9" t="inlineStr">
        <is>
          <t>HAIFENG 25/09/2025</t>
        </is>
      </c>
      <c r="C527" s="9" t="inlineStr">
        <is>
          <t>2025-09-25</t>
        </is>
      </c>
      <c r="D527" s="9" t="inlineStr">
        <is>
          <t>64085741126029</t>
        </is>
      </c>
      <c r="E527" s="9" t="inlineStr">
        <is>
          <t>ARETES PANTHERE GOLD C</t>
        </is>
      </c>
      <c r="F527" s="9" t="inlineStr">
        <is>
          <t>Default Title</t>
        </is>
      </c>
      <c r="G527" s="9" t="n">
        <v>7</v>
      </c>
      <c r="H527" s="21" t="n">
        <v>6</v>
      </c>
      <c r="I527" s="21" t="n">
        <v>126.58</v>
      </c>
      <c r="J527" s="21" t="n">
        <v>379.74</v>
      </c>
      <c r="K527" s="21" t="n">
        <v>443.03</v>
      </c>
      <c r="L527" s="21" t="n">
        <v>506.33</v>
      </c>
      <c r="M527" s="21" t="n">
        <v>499</v>
      </c>
    </row>
    <row r="528">
      <c r="A528" s="9" t="inlineStr">
        <is>
          <t>HAIFENG</t>
        </is>
      </c>
      <c r="B528" s="9" t="inlineStr">
        <is>
          <t>HAIFENG 25/09/2025</t>
        </is>
      </c>
      <c r="C528" s="9" t="inlineStr">
        <is>
          <t>2025-09-25</t>
        </is>
      </c>
      <c r="D528" s="9" t="inlineStr">
        <is>
          <t>665bb75f8312e</t>
        </is>
      </c>
      <c r="E528" s="9" t="inlineStr">
        <is>
          <t>ARETES SCREW LOVE ROSE GOLD</t>
        </is>
      </c>
      <c r="F528" s="9" t="inlineStr">
        <is>
          <t>MEDIUM</t>
        </is>
      </c>
      <c r="G528" s="9" t="n">
        <v>3</v>
      </c>
      <c r="H528" s="21" t="n">
        <v>2.99</v>
      </c>
      <c r="I528" s="21" t="n">
        <v>63.08</v>
      </c>
      <c r="J528" s="21" t="n">
        <v>189.24</v>
      </c>
      <c r="K528" s="21" t="n">
        <v>220.78</v>
      </c>
      <c r="L528" s="21" t="n">
        <v>252.32</v>
      </c>
      <c r="M528" s="21" t="n">
        <v>550</v>
      </c>
    </row>
    <row r="529">
      <c r="A529" s="9" t="inlineStr">
        <is>
          <t>HAIFENG</t>
        </is>
      </c>
      <c r="B529" s="9" t="inlineStr">
        <is>
          <t>HAIFENG 25/09/2025</t>
        </is>
      </c>
      <c r="C529" s="9" t="inlineStr">
        <is>
          <t>2025-09-25</t>
        </is>
      </c>
      <c r="D529" s="9" t="inlineStr">
        <is>
          <t>665bb7668ef3c</t>
        </is>
      </c>
      <c r="E529" s="9" t="inlineStr">
        <is>
          <t>ARETES SCREW LOVE SILVER</t>
        </is>
      </c>
      <c r="F529" s="9" t="inlineStr">
        <is>
          <t>MEDIUM</t>
        </is>
      </c>
      <c r="G529" s="9" t="n">
        <v>2</v>
      </c>
      <c r="H529" s="21" t="n">
        <v>2.99</v>
      </c>
      <c r="I529" s="21" t="n">
        <v>63.08</v>
      </c>
      <c r="J529" s="21" t="n">
        <v>189.24</v>
      </c>
      <c r="K529" s="21" t="n">
        <v>220.78</v>
      </c>
      <c r="L529" s="21" t="n">
        <v>252.32</v>
      </c>
      <c r="M529" s="21" t="n">
        <v>550</v>
      </c>
    </row>
    <row r="530">
      <c r="A530" s="9" t="inlineStr">
        <is>
          <t>HAIFENG</t>
        </is>
      </c>
      <c r="B530" s="9" t="inlineStr">
        <is>
          <t>HAIFENG 25/09/2025</t>
        </is>
      </c>
      <c r="C530" s="9" t="inlineStr">
        <is>
          <t>2025-09-25</t>
        </is>
      </c>
      <c r="D530" s="9" t="inlineStr">
        <is>
          <t>45043621046701</t>
        </is>
      </c>
      <c r="E530" s="9" t="inlineStr">
        <is>
          <t>ARETES T GOLD CON ZIRCONIA</t>
        </is>
      </c>
      <c r="F530" s="9" t="inlineStr">
        <is>
          <t>Default Title</t>
        </is>
      </c>
      <c r="G530" s="9" t="n">
        <v>3</v>
      </c>
      <c r="H530" s="21" t="n">
        <v>7</v>
      </c>
      <c r="I530" s="21" t="n">
        <v>147.68</v>
      </c>
      <c r="J530" s="21" t="n">
        <v>443.03</v>
      </c>
      <c r="K530" s="21" t="n">
        <v>516.87</v>
      </c>
      <c r="L530" s="21" t="n">
        <v>590.71</v>
      </c>
      <c r="M530" s="21" t="n">
        <v>749</v>
      </c>
    </row>
    <row r="531">
      <c r="A531" s="9" t="inlineStr">
        <is>
          <t>HAIFENG</t>
        </is>
      </c>
      <c r="B531" s="9" t="inlineStr">
        <is>
          <t>HAIFENG 25/09/2025</t>
        </is>
      </c>
      <c r="C531" s="9" t="inlineStr">
        <is>
          <t>2025-09-25</t>
        </is>
      </c>
      <c r="D531" s="9" t="inlineStr">
        <is>
          <t>46636991009581</t>
        </is>
      </c>
      <c r="E531" s="9" t="inlineStr">
        <is>
          <t>ARETES T SILVER CON ZIRCONIA</t>
        </is>
      </c>
      <c r="F531" s="9" t="inlineStr">
        <is>
          <t>Default Title</t>
        </is>
      </c>
      <c r="G531" s="9" t="n">
        <v>3</v>
      </c>
      <c r="H531" s="21" t="n">
        <v>7</v>
      </c>
      <c r="I531" s="21" t="n">
        <v>147.68</v>
      </c>
      <c r="J531" s="21" t="n">
        <v>443.03</v>
      </c>
      <c r="K531" s="21" t="n">
        <v>516.87</v>
      </c>
      <c r="L531" s="21" t="n">
        <v>590.71</v>
      </c>
      <c r="M531" s="21" t="n">
        <v>749</v>
      </c>
    </row>
    <row r="532">
      <c r="A532" s="9" t="inlineStr">
        <is>
          <t>HAIFENG</t>
        </is>
      </c>
      <c r="B532" s="9" t="inlineStr">
        <is>
          <t>HAIFENG 25/09/2025</t>
        </is>
      </c>
      <c r="C532" s="9" t="inlineStr">
        <is>
          <t>2025-09-25</t>
        </is>
      </c>
      <c r="D532" s="9" t="inlineStr">
        <is>
          <t>89790741157517</t>
        </is>
      </c>
      <c r="E532" s="9" t="inlineStr">
        <is>
          <t>ARETES T SILVER GOLD</t>
        </is>
      </c>
      <c r="F532" s="9" t="inlineStr">
        <is>
          <t>Default Title</t>
        </is>
      </c>
      <c r="G532" s="9" t="n">
        <v>3</v>
      </c>
      <c r="H532" s="21" t="n">
        <v>5</v>
      </c>
      <c r="I532" s="21" t="n">
        <v>105.48</v>
      </c>
      <c r="J532" s="21" t="n">
        <v>316.45</v>
      </c>
      <c r="K532" s="21" t="n">
        <v>369.2</v>
      </c>
      <c r="L532" s="21" t="n">
        <v>421.94</v>
      </c>
      <c r="M532" s="21" t="n">
        <v>599</v>
      </c>
    </row>
    <row r="533">
      <c r="A533" s="9" t="inlineStr">
        <is>
          <t>HAIFENG</t>
        </is>
      </c>
      <c r="B533" s="9" t="inlineStr">
        <is>
          <t>HAIFENG 25/09/2025</t>
        </is>
      </c>
      <c r="C533" s="9" t="inlineStr">
        <is>
          <t>2025-09-25</t>
        </is>
      </c>
      <c r="D533" s="9" t="inlineStr">
        <is>
          <t>89790741012877</t>
        </is>
      </c>
      <c r="E533" s="9" t="inlineStr">
        <is>
          <t>ARETES T SILVER LISO</t>
        </is>
      </c>
      <c r="F533" s="9" t="inlineStr">
        <is>
          <t>Default Title</t>
        </is>
      </c>
      <c r="G533" s="9" t="n">
        <v>3</v>
      </c>
      <c r="H533" s="21" t="n">
        <v>5</v>
      </c>
      <c r="I533" s="21" t="n">
        <v>105.48</v>
      </c>
      <c r="J533" s="21" t="n">
        <v>316.45</v>
      </c>
      <c r="K533" s="21" t="n">
        <v>369.2</v>
      </c>
      <c r="L533" s="21" t="n">
        <v>421.94</v>
      </c>
      <c r="M533" s="21" t="n">
        <v>580</v>
      </c>
    </row>
    <row r="534">
      <c r="A534" s="9" t="inlineStr">
        <is>
          <t>HAIFENG</t>
        </is>
      </c>
      <c r="B534" s="9" t="inlineStr">
        <is>
          <t>HAIFENG 25/09/2025</t>
        </is>
      </c>
      <c r="C534" s="9" t="inlineStr">
        <is>
          <t>2025-09-25</t>
        </is>
      </c>
      <c r="D534" s="9" t="inlineStr">
        <is>
          <t>665bb7808142d</t>
        </is>
      </c>
      <c r="E534" s="9" t="inlineStr">
        <is>
          <t>ARETES TRES AROS</t>
        </is>
      </c>
      <c r="F534" s="9" t="inlineStr">
        <is>
          <t>Default Title</t>
        </is>
      </c>
      <c r="G534" s="9" t="n">
        <v>1</v>
      </c>
      <c r="H534" s="21" t="n">
        <v>7.9</v>
      </c>
      <c r="I534" s="21" t="n">
        <v>166.67</v>
      </c>
      <c r="J534" s="21" t="n">
        <v>500</v>
      </c>
      <c r="K534" s="21" t="n">
        <v>583.33</v>
      </c>
      <c r="L534" s="21" t="n">
        <v>666.66</v>
      </c>
      <c r="M534" s="21" t="n">
        <v>651</v>
      </c>
    </row>
    <row r="535">
      <c r="A535" s="9" t="inlineStr">
        <is>
          <t>HAIFENG</t>
        </is>
      </c>
      <c r="B535" s="9" t="inlineStr">
        <is>
          <t>HAIFENG 25/09/2025</t>
        </is>
      </c>
      <c r="C535" s="9" t="inlineStr">
        <is>
          <t>2025-09-25</t>
        </is>
      </c>
      <c r="D535" s="9" t="inlineStr">
        <is>
          <t>16117871175085</t>
        </is>
      </c>
      <c r="E535" s="9" t="inlineStr">
        <is>
          <t>ARRACADAS CD GOLD BLACK ZIRCONIAS</t>
        </is>
      </c>
      <c r="F535" s="9" t="inlineStr"/>
      <c r="G535" s="9" t="n">
        <v>3</v>
      </c>
      <c r="H535" s="21" t="n">
        <v>7</v>
      </c>
      <c r="I535" s="21" t="n">
        <v>147.68</v>
      </c>
      <c r="J535" s="21" t="n">
        <v>443.03</v>
      </c>
      <c r="K535" s="21" t="n">
        <v>516.87</v>
      </c>
      <c r="L535" s="21" t="n">
        <v>590.71</v>
      </c>
      <c r="M535" s="21" t="n"/>
    </row>
    <row r="536">
      <c r="A536" s="9" t="inlineStr">
        <is>
          <t>HAIFENG</t>
        </is>
      </c>
      <c r="B536" s="9" t="inlineStr">
        <is>
          <t>HAIFENG 25/09/2025</t>
        </is>
      </c>
      <c r="C536" s="9" t="inlineStr">
        <is>
          <t>2025-09-25</t>
        </is>
      </c>
      <c r="D536" s="9" t="inlineStr">
        <is>
          <t>89790741422093</t>
        </is>
      </c>
      <c r="E536" s="9" t="inlineStr">
        <is>
          <t>ARRACADAS CD GOLD WHITE ZIRCONIAS</t>
        </is>
      </c>
      <c r="F536" s="9" t="inlineStr">
        <is>
          <t>Default Title</t>
        </is>
      </c>
      <c r="G536" s="9" t="n">
        <v>3</v>
      </c>
      <c r="H536" s="21" t="n">
        <v>7</v>
      </c>
      <c r="I536" s="21" t="n">
        <v>147.68</v>
      </c>
      <c r="J536" s="21" t="n">
        <v>443.03</v>
      </c>
      <c r="K536" s="21" t="n">
        <v>516.87</v>
      </c>
      <c r="L536" s="21" t="n">
        <v>590.71</v>
      </c>
      <c r="M536" s="21" t="n">
        <v>580</v>
      </c>
    </row>
    <row r="537">
      <c r="A537" s="9" t="inlineStr">
        <is>
          <t>HAIFENG</t>
        </is>
      </c>
      <c r="B537" s="9" t="inlineStr">
        <is>
          <t>HAIFENG 25/09/2025</t>
        </is>
      </c>
      <c r="C537" s="9" t="inlineStr">
        <is>
          <t>2025-09-25</t>
        </is>
      </c>
      <c r="D537" s="9" t="inlineStr">
        <is>
          <t>47076841262765</t>
        </is>
      </c>
      <c r="E537" s="9" t="inlineStr">
        <is>
          <t>ARRACADAS T GOLD CON ZIRCONIA</t>
        </is>
      </c>
      <c r="F537" s="9" t="inlineStr">
        <is>
          <t>Default Title</t>
        </is>
      </c>
      <c r="G537" s="9" t="n">
        <v>3</v>
      </c>
      <c r="H537" s="21" t="n">
        <v>7</v>
      </c>
      <c r="I537" s="21" t="n">
        <v>147.68</v>
      </c>
      <c r="J537" s="21" t="n">
        <v>443.03</v>
      </c>
      <c r="K537" s="21" t="n">
        <v>516.87</v>
      </c>
      <c r="L537" s="21" t="n">
        <v>590.71</v>
      </c>
      <c r="M537" s="21" t="n">
        <v>580</v>
      </c>
    </row>
    <row r="538">
      <c r="A538" s="9" t="inlineStr">
        <is>
          <t>HAIFENG</t>
        </is>
      </c>
      <c r="B538" s="9" t="inlineStr">
        <is>
          <t>HAIFENG 25/09/2025</t>
        </is>
      </c>
      <c r="C538" s="9" t="inlineStr">
        <is>
          <t>2025-09-25</t>
        </is>
      </c>
      <c r="D538" s="9" t="inlineStr">
        <is>
          <t>47076841105709</t>
        </is>
      </c>
      <c r="E538" s="9" t="inlineStr">
        <is>
          <t>ARRACADAS T ROSE GOLD CON ZIRCONIA</t>
        </is>
      </c>
      <c r="F538" s="9" t="inlineStr">
        <is>
          <t>Default Title</t>
        </is>
      </c>
      <c r="G538" s="9" t="n">
        <v>2</v>
      </c>
      <c r="H538" s="21" t="n">
        <v>7</v>
      </c>
      <c r="I538" s="21" t="n">
        <v>147.68</v>
      </c>
      <c r="J538" s="21" t="n">
        <v>443.03</v>
      </c>
      <c r="K538" s="21" t="n">
        <v>516.87</v>
      </c>
      <c r="L538" s="21" t="n">
        <v>590.71</v>
      </c>
      <c r="M538" s="21" t="n">
        <v>579</v>
      </c>
    </row>
    <row r="539">
      <c r="A539" s="9" t="inlineStr">
        <is>
          <t>HAIFENG</t>
        </is>
      </c>
      <c r="B539" s="9" t="inlineStr">
        <is>
          <t>HAIFENG 25/09/2025</t>
        </is>
      </c>
      <c r="C539" s="9" t="inlineStr">
        <is>
          <t>2025-09-25</t>
        </is>
      </c>
      <c r="D539" s="9" t="inlineStr">
        <is>
          <t>47076841081421</t>
        </is>
      </c>
      <c r="E539" s="9" t="inlineStr">
        <is>
          <t>ARRACADAS T SILVER CON ZIRCONIA</t>
        </is>
      </c>
      <c r="F539" s="9" t="inlineStr">
        <is>
          <t>Default Title</t>
        </is>
      </c>
      <c r="G539" s="9" t="n">
        <v>2</v>
      </c>
      <c r="H539" s="21" t="n">
        <v>7</v>
      </c>
      <c r="I539" s="21" t="n">
        <v>147.68</v>
      </c>
      <c r="J539" s="21" t="n">
        <v>443.03</v>
      </c>
      <c r="K539" s="21" t="n">
        <v>516.87</v>
      </c>
      <c r="L539" s="21" t="n">
        <v>590.71</v>
      </c>
      <c r="M539" s="21" t="n">
        <v>599</v>
      </c>
    </row>
    <row r="540">
      <c r="A540" s="9" t="inlineStr">
        <is>
          <t>HAIFENG</t>
        </is>
      </c>
      <c r="B540" s="9" t="inlineStr">
        <is>
          <t>HAIFENG 25/09/2025</t>
        </is>
      </c>
      <c r="C540" s="9" t="inlineStr">
        <is>
          <t>2025-09-25</t>
        </is>
      </c>
      <c r="D540" s="9" t="inlineStr">
        <is>
          <t>64361211541581</t>
        </is>
      </c>
      <c r="E540" s="9" t="inlineStr">
        <is>
          <t>BRAZALETE BV ROSEGOLD WHITE</t>
        </is>
      </c>
      <c r="F540" s="9" t="inlineStr">
        <is>
          <t>19</t>
        </is>
      </c>
      <c r="G540" s="9" t="n">
        <v>2</v>
      </c>
      <c r="H540" s="21" t="n">
        <v>10</v>
      </c>
      <c r="I540" s="21" t="n">
        <v>210.97</v>
      </c>
      <c r="J540" s="21" t="n">
        <v>632.91</v>
      </c>
      <c r="K540" s="21" t="n">
        <v>738.39</v>
      </c>
      <c r="L540" s="21" t="n">
        <v>843.88</v>
      </c>
      <c r="M540" s="21" t="n">
        <v>850</v>
      </c>
    </row>
    <row r="541">
      <c r="A541" s="9" t="inlineStr">
        <is>
          <t>HAIFENG</t>
        </is>
      </c>
      <c r="B541" s="9" t="inlineStr">
        <is>
          <t>HAIFENG 25/09/2025</t>
        </is>
      </c>
      <c r="C541" s="9" t="inlineStr">
        <is>
          <t>2025-09-25</t>
        </is>
      </c>
      <c r="D541" s="9" t="inlineStr">
        <is>
          <t>14361211408813</t>
        </is>
      </c>
      <c r="E541" s="9" t="inlineStr">
        <is>
          <t>BRAZALETE BV ROSEGOLD WHITE</t>
        </is>
      </c>
      <c r="F541" s="9" t="inlineStr">
        <is>
          <t>17</t>
        </is>
      </c>
      <c r="G541" s="9" t="n">
        <v>2</v>
      </c>
      <c r="H541" s="21" t="n">
        <v>10</v>
      </c>
      <c r="I541" s="21" t="n">
        <v>210.97</v>
      </c>
      <c r="J541" s="21" t="n">
        <v>632.91</v>
      </c>
      <c r="K541" s="21" t="n">
        <v>738.39</v>
      </c>
      <c r="L541" s="21" t="n">
        <v>843.88</v>
      </c>
      <c r="M541" s="21" t="n">
        <v>850</v>
      </c>
    </row>
    <row r="542">
      <c r="A542" s="9" t="inlineStr">
        <is>
          <t>HAIFENG</t>
        </is>
      </c>
      <c r="B542" s="9" t="inlineStr">
        <is>
          <t>HAIFENG 25/09/2025</t>
        </is>
      </c>
      <c r="C542" s="9" t="inlineStr">
        <is>
          <t>2025-09-25</t>
        </is>
      </c>
      <c r="D542" s="9" t="inlineStr">
        <is>
          <t>54361211302573</t>
        </is>
      </c>
      <c r="E542" s="9" t="inlineStr">
        <is>
          <t>BRAZALETE BV SILVER WHITE</t>
        </is>
      </c>
      <c r="F542" s="9" t="inlineStr">
        <is>
          <t>19</t>
        </is>
      </c>
      <c r="G542" s="9" t="n">
        <v>2</v>
      </c>
      <c r="H542" s="21" t="n">
        <v>10</v>
      </c>
      <c r="I542" s="21" t="n">
        <v>210.97</v>
      </c>
      <c r="J542" s="21" t="n">
        <v>632.91</v>
      </c>
      <c r="K542" s="21" t="n">
        <v>738.39</v>
      </c>
      <c r="L542" s="21" t="n">
        <v>843.88</v>
      </c>
      <c r="M542" s="21" t="n">
        <v>850</v>
      </c>
    </row>
    <row r="543">
      <c r="A543" s="9" t="inlineStr">
        <is>
          <t>HAIFENG</t>
        </is>
      </c>
      <c r="B543" s="9" t="inlineStr">
        <is>
          <t>HAIFENG 25/09/2025</t>
        </is>
      </c>
      <c r="C543" s="9" t="inlineStr">
        <is>
          <t>2025-09-25</t>
        </is>
      </c>
      <c r="D543" s="9" t="inlineStr">
        <is>
          <t>14361211269805</t>
        </is>
      </c>
      <c r="E543" s="9" t="inlineStr">
        <is>
          <t>BRAZALETE BV SILVER WHITE</t>
        </is>
      </c>
      <c r="F543" s="9" t="inlineStr">
        <is>
          <t>17</t>
        </is>
      </c>
      <c r="G543" s="9" t="n">
        <v>2</v>
      </c>
      <c r="H543" s="21" t="n">
        <v>10</v>
      </c>
      <c r="I543" s="21" t="n">
        <v>210.97</v>
      </c>
      <c r="J543" s="21" t="n">
        <v>632.91</v>
      </c>
      <c r="K543" s="21" t="n">
        <v>738.39</v>
      </c>
      <c r="L543" s="21" t="n">
        <v>843.88</v>
      </c>
      <c r="M543" s="21" t="n">
        <v>850</v>
      </c>
    </row>
    <row r="544">
      <c r="A544" s="9" t="inlineStr">
        <is>
          <t>HAIFENG</t>
        </is>
      </c>
      <c r="B544" s="9" t="inlineStr">
        <is>
          <t>HAIFENG 25/09/2025</t>
        </is>
      </c>
      <c r="C544" s="9" t="inlineStr">
        <is>
          <t>2025-09-25</t>
        </is>
      </c>
      <c r="D544" s="9" t="inlineStr">
        <is>
          <t>64e78ca4a13f0</t>
        </is>
      </c>
      <c r="E544" s="9" t="inlineStr">
        <is>
          <t>BRAZALETE CD BLACK</t>
        </is>
      </c>
      <c r="F544" s="9" t="inlineStr">
        <is>
          <t>AJUSTABLE</t>
        </is>
      </c>
      <c r="G544" s="9" t="n">
        <v>4</v>
      </c>
      <c r="H544" s="21" t="n">
        <v>6</v>
      </c>
      <c r="I544" s="21" t="n">
        <v>126.58</v>
      </c>
      <c r="J544" s="21" t="n">
        <v>379.74</v>
      </c>
      <c r="K544" s="21" t="n">
        <v>443.03</v>
      </c>
      <c r="L544" s="21" t="n">
        <v>506.33</v>
      </c>
      <c r="M544" s="21" t="n">
        <v>720</v>
      </c>
    </row>
    <row r="545">
      <c r="A545" s="9" t="inlineStr">
        <is>
          <t>HAIFENG</t>
        </is>
      </c>
      <c r="B545" s="9" t="inlineStr">
        <is>
          <t>HAIFENG 25/09/2025</t>
        </is>
      </c>
      <c r="C545" s="9" t="inlineStr">
        <is>
          <t>2025-09-25</t>
        </is>
      </c>
      <c r="D545" s="9" t="inlineStr">
        <is>
          <t>665bb91f1ebf4</t>
        </is>
      </c>
      <c r="E545" s="9" t="inlineStr">
        <is>
          <t>BRAZALETE CLASH ROSE GOLD</t>
        </is>
      </c>
      <c r="F545" s="9" t="inlineStr">
        <is>
          <t>16CM</t>
        </is>
      </c>
      <c r="G545" s="9" t="n">
        <v>2</v>
      </c>
      <c r="H545" s="21" t="n">
        <v>22</v>
      </c>
      <c r="I545" s="21" t="n">
        <v>464.13</v>
      </c>
      <c r="J545" s="21" t="n">
        <v>1392.39</v>
      </c>
      <c r="K545" s="21" t="n">
        <v>1624.46</v>
      </c>
      <c r="L545" s="21" t="n">
        <v>1856.53</v>
      </c>
      <c r="M545" s="21" t="n">
        <v>1840</v>
      </c>
    </row>
    <row r="546">
      <c r="A546" s="9" t="inlineStr">
        <is>
          <t>HAIFENG</t>
        </is>
      </c>
      <c r="B546" s="9" t="inlineStr">
        <is>
          <t>HAIFENG 25/09/2025</t>
        </is>
      </c>
      <c r="C546" s="9" t="inlineStr">
        <is>
          <t>2025-09-25</t>
        </is>
      </c>
      <c r="D546" s="9" t="inlineStr">
        <is>
          <t>Default Title</t>
        </is>
      </c>
      <c r="E546" s="9" t="inlineStr">
        <is>
          <t>BRAZALETE H  GOLD ZIRCONIAS</t>
        </is>
      </c>
      <c r="F546" s="9" t="inlineStr"/>
      <c r="G546" s="9" t="n">
        <v>3</v>
      </c>
      <c r="H546" s="21" t="n">
        <v>15</v>
      </c>
      <c r="I546" s="21" t="n">
        <v>316.45</v>
      </c>
      <c r="J546" s="21" t="n">
        <v>949.36</v>
      </c>
      <c r="K546" s="21" t="n">
        <v>1107.59</v>
      </c>
      <c r="L546" s="21" t="n">
        <v>1265.81</v>
      </c>
      <c r="M546" s="21" t="n"/>
    </row>
    <row r="547">
      <c r="A547" s="9" t="inlineStr">
        <is>
          <t>HAIFENG</t>
        </is>
      </c>
      <c r="B547" s="9" t="inlineStr">
        <is>
          <t>HAIFENG 25/09/2025</t>
        </is>
      </c>
      <c r="C547" s="9" t="inlineStr">
        <is>
          <t>2025-09-25</t>
        </is>
      </c>
      <c r="D547" s="9" t="inlineStr">
        <is>
          <t>Default Title</t>
        </is>
      </c>
      <c r="E547" s="9" t="inlineStr">
        <is>
          <t>BRAZALETE H ROSE GOLD ZIRCONIAS</t>
        </is>
      </c>
      <c r="F547" s="9" t="inlineStr"/>
      <c r="G547" s="9" t="n">
        <v>2</v>
      </c>
      <c r="H547" s="21" t="n">
        <v>15</v>
      </c>
      <c r="I547" s="21" t="n">
        <v>316.45</v>
      </c>
      <c r="J547" s="21" t="n">
        <v>949.36</v>
      </c>
      <c r="K547" s="21" t="n">
        <v>1107.59</v>
      </c>
      <c r="L547" s="21" t="n">
        <v>1265.81</v>
      </c>
      <c r="M547" s="21" t="n"/>
    </row>
    <row r="548">
      <c r="A548" s="9" t="inlineStr">
        <is>
          <t>HAIFENG</t>
        </is>
      </c>
      <c r="B548" s="9" t="inlineStr">
        <is>
          <t>HAIFENG 25/09/2025</t>
        </is>
      </c>
      <c r="C548" s="9" t="inlineStr">
        <is>
          <t>2025-09-25</t>
        </is>
      </c>
      <c r="D548" s="9" t="inlineStr">
        <is>
          <t>66768001258381</t>
        </is>
      </c>
      <c r="E548" s="9" t="inlineStr">
        <is>
          <t>BRAZALETE KELLY CLIC H GOLD</t>
        </is>
      </c>
      <c r="F548" s="9" t="inlineStr">
        <is>
          <t>Default Title</t>
        </is>
      </c>
      <c r="G548" s="9" t="n">
        <v>3</v>
      </c>
      <c r="H548" s="21" t="n">
        <v>10</v>
      </c>
      <c r="I548" s="21" t="n">
        <v>210.97</v>
      </c>
      <c r="J548" s="21" t="n">
        <v>632.91</v>
      </c>
      <c r="K548" s="21" t="n">
        <v>738.39</v>
      </c>
      <c r="L548" s="21" t="n">
        <v>843.88</v>
      </c>
      <c r="M548" s="21" t="n">
        <v>824</v>
      </c>
    </row>
    <row r="549">
      <c r="A549" s="9" t="inlineStr">
        <is>
          <t>HAIFENG</t>
        </is>
      </c>
      <c r="B549" s="9" t="inlineStr">
        <is>
          <t>HAIFENG 25/09/2025</t>
        </is>
      </c>
      <c r="C549" s="9" t="inlineStr">
        <is>
          <t>2025-09-25</t>
        </is>
      </c>
      <c r="D549" s="9" t="inlineStr">
        <is>
          <t>67201531837869</t>
        </is>
      </c>
      <c r="E549" s="9" t="inlineStr">
        <is>
          <t>BRAZALETE KELLY CLIC H ROSE GOLD</t>
        </is>
      </c>
      <c r="F549" s="9" t="inlineStr">
        <is>
          <t>HIGH QUALITY</t>
        </is>
      </c>
      <c r="G549" s="9" t="n">
        <v>2</v>
      </c>
      <c r="H549" s="21" t="n">
        <v>10</v>
      </c>
      <c r="I549" s="21" t="n">
        <v>210.97</v>
      </c>
      <c r="J549" s="21" t="n">
        <v>632.91</v>
      </c>
      <c r="K549" s="21" t="n">
        <v>738.39</v>
      </c>
      <c r="L549" s="21" t="n">
        <v>843.88</v>
      </c>
      <c r="M549" s="21" t="n">
        <v>824</v>
      </c>
    </row>
    <row r="550">
      <c r="A550" s="9" t="inlineStr">
        <is>
          <t>HAIFENG</t>
        </is>
      </c>
      <c r="B550" s="9" t="inlineStr">
        <is>
          <t>HAIFENG 25/09/2025</t>
        </is>
      </c>
      <c r="C550" s="9" t="inlineStr">
        <is>
          <t>2025-09-25</t>
        </is>
      </c>
      <c r="D550" s="9" t="inlineStr">
        <is>
          <t>13798161017037</t>
        </is>
      </c>
      <c r="E550" s="9" t="inlineStr">
        <is>
          <t>CADENA H GOLD</t>
        </is>
      </c>
      <c r="F550" s="9" t="inlineStr">
        <is>
          <t>Default Title</t>
        </is>
      </c>
      <c r="G550" s="9" t="n">
        <v>2</v>
      </c>
      <c r="H550" s="21" t="n">
        <v>12.99</v>
      </c>
      <c r="I550" s="21" t="n">
        <v>274.05</v>
      </c>
      <c r="J550" s="21" t="n">
        <v>822.15</v>
      </c>
      <c r="K550" s="21" t="n">
        <v>959.17</v>
      </c>
      <c r="L550" s="21" t="n">
        <v>1096.19</v>
      </c>
      <c r="M550" s="21" t="n">
        <v>1099</v>
      </c>
    </row>
    <row r="551">
      <c r="A551" s="9" t="inlineStr">
        <is>
          <t>HAIFENG</t>
        </is>
      </c>
      <c r="B551" s="9" t="inlineStr">
        <is>
          <t>HAIFENG 25/09/2025</t>
        </is>
      </c>
      <c r="C551" s="9" t="inlineStr">
        <is>
          <t>2025-09-25</t>
        </is>
      </c>
      <c r="D551" s="9" t="inlineStr">
        <is>
          <t>22649971041005</t>
        </is>
      </c>
      <c r="E551" s="9" t="inlineStr">
        <is>
          <t>CADENA H SILVER</t>
        </is>
      </c>
      <c r="F551" s="9" t="inlineStr">
        <is>
          <t>Default Title</t>
        </is>
      </c>
      <c r="G551" s="9" t="n">
        <v>1</v>
      </c>
      <c r="H551" s="21" t="n">
        <v>12.99</v>
      </c>
      <c r="I551" s="21" t="n">
        <v>274.05</v>
      </c>
      <c r="J551" s="21" t="n">
        <v>822.15</v>
      </c>
      <c r="K551" s="21" t="n">
        <v>959.17</v>
      </c>
      <c r="L551" s="21" t="n">
        <v>1096.19</v>
      </c>
      <c r="M551" s="21" t="n">
        <v>1099</v>
      </c>
    </row>
    <row r="552">
      <c r="A552" s="9" t="inlineStr">
        <is>
          <t>HAIFENG</t>
        </is>
      </c>
      <c r="B552" s="9" t="inlineStr">
        <is>
          <t>HAIFENG 25/09/2025</t>
        </is>
      </c>
      <c r="C552" s="9" t="inlineStr">
        <is>
          <t>2025-09-25</t>
        </is>
      </c>
      <c r="D552" s="9" t="inlineStr">
        <is>
          <t>673cd62fa988f</t>
        </is>
      </c>
      <c r="E552" s="9" t="inlineStr">
        <is>
          <t>COLLAR B zero SILVER CON ZIRCONIAS</t>
        </is>
      </c>
      <c r="F552" s="9" t="inlineStr">
        <is>
          <t>41cm de largo con 8cm de extensi√≥n</t>
        </is>
      </c>
      <c r="G552" s="9" t="n">
        <v>5</v>
      </c>
      <c r="H552" s="21" t="n">
        <v>7</v>
      </c>
      <c r="I552" s="21" t="n">
        <v>147.68</v>
      </c>
      <c r="J552" s="21" t="n">
        <v>443.03</v>
      </c>
      <c r="K552" s="21" t="n">
        <v>516.87</v>
      </c>
      <c r="L552" s="21" t="n">
        <v>590.71</v>
      </c>
      <c r="M552" s="21" t="n">
        <v>550</v>
      </c>
    </row>
    <row r="553">
      <c r="A553" s="9" t="inlineStr">
        <is>
          <t>HAIFENG</t>
        </is>
      </c>
      <c r="B553" s="9" t="inlineStr">
        <is>
          <t>HAIFENG 25/09/2025</t>
        </is>
      </c>
      <c r="C553" s="9" t="inlineStr">
        <is>
          <t>2025-09-25</t>
        </is>
      </c>
      <c r="D553" s="9" t="inlineStr">
        <is>
          <t>56481484584844</t>
        </is>
      </c>
      <c r="E553" s="9" t="inlineStr">
        <is>
          <t>COLLAR BEAN GOLD</t>
        </is>
      </c>
      <c r="F553" s="9" t="inlineStr">
        <is>
          <t>41cm con 5cm de extensi√≥n</t>
        </is>
      </c>
      <c r="G553" s="9" t="n">
        <v>2</v>
      </c>
      <c r="H553" s="21" t="n">
        <v>6</v>
      </c>
      <c r="I553" s="21" t="n">
        <v>126.58</v>
      </c>
      <c r="J553" s="21" t="n">
        <v>379.74</v>
      </c>
      <c r="K553" s="21" t="n">
        <v>443.03</v>
      </c>
      <c r="L553" s="21" t="n">
        <v>506.33</v>
      </c>
      <c r="M553" s="21" t="n">
        <v>520</v>
      </c>
    </row>
    <row r="554">
      <c r="A554" s="9" t="inlineStr">
        <is>
          <t>HAIFENG</t>
        </is>
      </c>
      <c r="B554" s="9" t="inlineStr">
        <is>
          <t>HAIFENG 25/09/2025</t>
        </is>
      </c>
      <c r="C554" s="9" t="inlineStr">
        <is>
          <t>2025-09-25</t>
        </is>
      </c>
      <c r="D554" s="9" t="inlineStr">
        <is>
          <t>56481482264076</t>
        </is>
      </c>
      <c r="E554" s="9" t="inlineStr">
        <is>
          <t>COLLAR BEAN SILVER</t>
        </is>
      </c>
      <c r="F554" s="9" t="inlineStr">
        <is>
          <t>41cm con 5cm de extensi√≥n</t>
        </is>
      </c>
      <c r="G554" s="9" t="n">
        <v>2</v>
      </c>
      <c r="H554" s="21" t="n">
        <v>6</v>
      </c>
      <c r="I554" s="21" t="n">
        <v>126.58</v>
      </c>
      <c r="J554" s="21" t="n">
        <v>379.74</v>
      </c>
      <c r="K554" s="21" t="n">
        <v>443.03</v>
      </c>
      <c r="L554" s="21" t="n">
        <v>506.33</v>
      </c>
      <c r="M554" s="21" t="n">
        <v>520</v>
      </c>
    </row>
    <row r="555">
      <c r="A555" s="9" t="inlineStr">
        <is>
          <t>HAIFENG</t>
        </is>
      </c>
      <c r="B555" s="9" t="inlineStr">
        <is>
          <t>HAIFENG 25/09/2025</t>
        </is>
      </c>
      <c r="C555" s="9" t="inlineStr">
        <is>
          <t>2025-09-25</t>
        </is>
      </c>
      <c r="D555" s="9" t="inlineStr">
        <is>
          <t>89790741679565</t>
        </is>
      </c>
      <c r="E555" s="9" t="inlineStr">
        <is>
          <t>COLLAR BV GOLD PEARL ZIRCONIA</t>
        </is>
      </c>
      <c r="F555" s="9" t="inlineStr">
        <is>
          <t>Default Title</t>
        </is>
      </c>
      <c r="G555" s="9" t="n">
        <v>2</v>
      </c>
      <c r="H555" s="21" t="n">
        <v>7</v>
      </c>
      <c r="I555" s="21" t="n">
        <v>147.68</v>
      </c>
      <c r="J555" s="21" t="n">
        <v>443.03</v>
      </c>
      <c r="K555" s="21" t="n">
        <v>516.87</v>
      </c>
      <c r="L555" s="21" t="n">
        <v>590.71</v>
      </c>
      <c r="M555" s="21" t="n">
        <v>599</v>
      </c>
    </row>
    <row r="556">
      <c r="A556" s="9" t="inlineStr">
        <is>
          <t>HAIFENG</t>
        </is>
      </c>
      <c r="B556" s="9" t="inlineStr">
        <is>
          <t>HAIFENG 25/09/2025</t>
        </is>
      </c>
      <c r="C556" s="9" t="inlineStr">
        <is>
          <t>2025-09-25</t>
        </is>
      </c>
      <c r="D556" s="9" t="inlineStr">
        <is>
          <t>648cc31f234b1</t>
        </is>
      </c>
      <c r="E556" s="9" t="inlineStr">
        <is>
          <t>COLLAR BV ROSE GOLD</t>
        </is>
      </c>
      <c r="F556" s="9" t="inlineStr">
        <is>
          <t>Largo de cadena total 40cm  Extensión 8 cm  Dije 1 cm</t>
        </is>
      </c>
      <c r="G556" s="9" t="n">
        <v>2</v>
      </c>
      <c r="H556" s="21" t="n">
        <v>6</v>
      </c>
      <c r="I556" s="21" t="n">
        <v>126.58</v>
      </c>
      <c r="J556" s="21" t="n">
        <v>379.74</v>
      </c>
      <c r="K556" s="21" t="n">
        <v>443.03</v>
      </c>
      <c r="L556" s="21" t="n">
        <v>506.33</v>
      </c>
      <c r="M556" s="21" t="n">
        <v>499</v>
      </c>
    </row>
    <row r="557">
      <c r="A557" s="9" t="inlineStr">
        <is>
          <t>HAIFENG</t>
        </is>
      </c>
      <c r="B557" s="9" t="inlineStr">
        <is>
          <t>HAIFENG 25/09/2025</t>
        </is>
      </c>
      <c r="C557" s="9" t="inlineStr">
        <is>
          <t>2025-09-25</t>
        </is>
      </c>
      <c r="D557" s="9" t="inlineStr">
        <is>
          <t>33089531091469</t>
        </is>
      </c>
      <c r="E557" s="9" t="inlineStr">
        <is>
          <t>COLLAR BV ROSEGOLD CON ZIRCONIA ALREDEDOR</t>
        </is>
      </c>
      <c r="F557" s="9" t="inlineStr">
        <is>
          <t>Default Title</t>
        </is>
      </c>
      <c r="G557" s="9" t="n">
        <v>2</v>
      </c>
      <c r="H557" s="21" t="n">
        <v>7.5</v>
      </c>
      <c r="I557" s="21" t="n">
        <v>158.23</v>
      </c>
      <c r="J557" s="21" t="n">
        <v>474.68</v>
      </c>
      <c r="K557" s="21" t="n">
        <v>553.79</v>
      </c>
      <c r="L557" s="21" t="n">
        <v>632.91</v>
      </c>
      <c r="M557" s="21" t="n">
        <v>335</v>
      </c>
    </row>
    <row r="558">
      <c r="A558" s="9" t="inlineStr">
        <is>
          <t>HAIFENG</t>
        </is>
      </c>
      <c r="B558" s="9" t="inlineStr">
        <is>
          <t>HAIFENG 25/09/2025</t>
        </is>
      </c>
      <c r="C558" s="9" t="inlineStr">
        <is>
          <t>2025-09-25</t>
        </is>
      </c>
      <c r="D558" s="9" t="inlineStr">
        <is>
          <t>89790741914029</t>
        </is>
      </c>
      <c r="E558" s="9" t="inlineStr">
        <is>
          <t>COLLAR BV ROSEGOLD GRABADO CON ZIRCONIA</t>
        </is>
      </c>
      <c r="F558" s="9" t="inlineStr">
        <is>
          <t>Default Title</t>
        </is>
      </c>
      <c r="G558" s="9" t="n">
        <v>3</v>
      </c>
      <c r="H558" s="21" t="n">
        <v>7</v>
      </c>
      <c r="I558" s="21" t="n">
        <v>147.68</v>
      </c>
      <c r="J558" s="21" t="n">
        <v>443.03</v>
      </c>
      <c r="K558" s="21" t="n">
        <v>516.87</v>
      </c>
      <c r="L558" s="21" t="n">
        <v>590.71</v>
      </c>
      <c r="M558" s="21" t="n">
        <v>577</v>
      </c>
    </row>
    <row r="559">
      <c r="A559" s="9" t="inlineStr">
        <is>
          <t>HAIFENG</t>
        </is>
      </c>
      <c r="B559" s="9" t="inlineStr">
        <is>
          <t>HAIFENG 25/09/2025</t>
        </is>
      </c>
      <c r="C559" s="9" t="inlineStr">
        <is>
          <t>2025-09-25</t>
        </is>
      </c>
      <c r="D559" s="9" t="inlineStr">
        <is>
          <t>89790741558733</t>
        </is>
      </c>
      <c r="E559" s="9" t="inlineStr">
        <is>
          <t>COLLAR BV ROSEGOLD PEARL ZIRCONIA</t>
        </is>
      </c>
      <c r="F559" s="9" t="inlineStr">
        <is>
          <t>Default Title</t>
        </is>
      </c>
      <c r="G559" s="9" t="n">
        <v>2</v>
      </c>
      <c r="H559" s="21" t="n">
        <v>7</v>
      </c>
      <c r="I559" s="21" t="n">
        <v>147.68</v>
      </c>
      <c r="J559" s="21" t="n">
        <v>443.03</v>
      </c>
      <c r="K559" s="21" t="n">
        <v>516.87</v>
      </c>
      <c r="L559" s="21" t="n">
        <v>590.71</v>
      </c>
      <c r="M559" s="21" t="n">
        <v>599</v>
      </c>
    </row>
    <row r="560">
      <c r="A560" s="9" t="inlineStr">
        <is>
          <t>HAIFENG</t>
        </is>
      </c>
      <c r="B560" s="9" t="inlineStr">
        <is>
          <t>HAIFENG 25/09/2025</t>
        </is>
      </c>
      <c r="C560" s="9" t="inlineStr">
        <is>
          <t>2025-09-25</t>
        </is>
      </c>
      <c r="D560" s="9" t="inlineStr">
        <is>
          <t>52306841075693</t>
        </is>
      </c>
      <c r="E560" s="9" t="inlineStr">
        <is>
          <t>COLLAR BV ROSEGOLD SERPIENTE</t>
        </is>
      </c>
      <c r="F560" s="9" t="inlineStr">
        <is>
          <t>Default Title</t>
        </is>
      </c>
      <c r="G560" s="9" t="n">
        <v>2</v>
      </c>
      <c r="H560" s="21" t="n">
        <v>7</v>
      </c>
      <c r="I560" s="21" t="n">
        <v>147.68</v>
      </c>
      <c r="J560" s="21" t="n">
        <v>443.03</v>
      </c>
      <c r="K560" s="21" t="n">
        <v>516.87</v>
      </c>
      <c r="L560" s="21" t="n">
        <v>590.71</v>
      </c>
      <c r="M560" s="21" t="n">
        <v>576.8</v>
      </c>
    </row>
    <row r="561">
      <c r="A561" s="9" t="inlineStr">
        <is>
          <t>HAIFENG</t>
        </is>
      </c>
      <c r="B561" s="9" t="inlineStr">
        <is>
          <t>HAIFENG 25/09/2025</t>
        </is>
      </c>
      <c r="C561" s="9" t="inlineStr">
        <is>
          <t>2025-09-25</t>
        </is>
      </c>
      <c r="D561" s="9" t="inlineStr">
        <is>
          <t>643ec10bc63f5</t>
        </is>
      </c>
      <c r="E561" s="9" t="inlineStr">
        <is>
          <t>COLLAR BV SILVER</t>
        </is>
      </c>
      <c r="F561" s="9" t="inlineStr">
        <is>
          <t>Largo de cadena total 40cm  Extensión 8 cm  Dije 1 cm</t>
        </is>
      </c>
      <c r="G561" s="9" t="n">
        <v>2</v>
      </c>
      <c r="H561" s="21" t="n">
        <v>6</v>
      </c>
      <c r="I561" s="21" t="n">
        <v>126.58</v>
      </c>
      <c r="J561" s="21" t="n">
        <v>379.74</v>
      </c>
      <c r="K561" s="21" t="n">
        <v>443.03</v>
      </c>
      <c r="L561" s="21" t="n">
        <v>506.33</v>
      </c>
      <c r="M561" s="21" t="n">
        <v>450</v>
      </c>
    </row>
    <row r="562">
      <c r="A562" s="9" t="inlineStr">
        <is>
          <t>HAIFENG</t>
        </is>
      </c>
      <c r="B562" s="9" t="inlineStr">
        <is>
          <t>HAIFENG 25/09/2025</t>
        </is>
      </c>
      <c r="C562" s="9" t="inlineStr">
        <is>
          <t>2025-09-25</t>
        </is>
      </c>
      <c r="D562" s="9" t="inlineStr">
        <is>
          <t>89695511098893</t>
        </is>
      </c>
      <c r="E562" s="9" t="inlineStr">
        <is>
          <t>COLLAR BV SILVER CON ZIRCONIA ALREDEDOR</t>
        </is>
      </c>
      <c r="F562" s="9" t="inlineStr">
        <is>
          <t>Default Title</t>
        </is>
      </c>
      <c r="G562" s="9" t="n">
        <v>2</v>
      </c>
      <c r="H562" s="21" t="n">
        <v>7.5</v>
      </c>
      <c r="I562" s="21" t="n">
        <v>158.23</v>
      </c>
      <c r="J562" s="21" t="n">
        <v>474.68</v>
      </c>
      <c r="K562" s="21" t="n">
        <v>553.79</v>
      </c>
      <c r="L562" s="21" t="n">
        <v>632.91</v>
      </c>
      <c r="M562" s="21" t="n">
        <v>659</v>
      </c>
    </row>
    <row r="563">
      <c r="A563" s="9" t="inlineStr">
        <is>
          <t>HAIFENG</t>
        </is>
      </c>
      <c r="B563" s="9" t="inlineStr">
        <is>
          <t>HAIFENG 25/09/2025</t>
        </is>
      </c>
      <c r="C563" s="9" t="inlineStr">
        <is>
          <t>2025-09-25</t>
        </is>
      </c>
      <c r="D563" s="9" t="inlineStr">
        <is>
          <t>89790741803853</t>
        </is>
      </c>
      <c r="E563" s="9" t="inlineStr">
        <is>
          <t>COLLAR BV SILVER GRABADO CON ZIRCONIA</t>
        </is>
      </c>
      <c r="F563" s="9" t="inlineStr"/>
      <c r="G563" s="9" t="n">
        <v>3</v>
      </c>
      <c r="H563" s="21" t="n">
        <v>7</v>
      </c>
      <c r="I563" s="21" t="n">
        <v>147.68</v>
      </c>
      <c r="J563" s="21" t="n">
        <v>443.03</v>
      </c>
      <c r="K563" s="21" t="n">
        <v>516.87</v>
      </c>
      <c r="L563" s="21" t="n">
        <v>590.71</v>
      </c>
      <c r="M563" s="21" t="n"/>
    </row>
    <row r="564">
      <c r="A564" s="9" t="inlineStr">
        <is>
          <t>HAIFENG</t>
        </is>
      </c>
      <c r="B564" s="9" t="inlineStr">
        <is>
          <t>HAIFENG 25/09/2025</t>
        </is>
      </c>
      <c r="C564" s="9" t="inlineStr">
        <is>
          <t>2025-09-25</t>
        </is>
      </c>
      <c r="D564" s="9" t="inlineStr">
        <is>
          <t>89790741719597</t>
        </is>
      </c>
      <c r="E564" s="9" t="inlineStr">
        <is>
          <t>COLLAR BV SILVER PEARL ZIRCONIA</t>
        </is>
      </c>
      <c r="F564" s="9" t="inlineStr">
        <is>
          <t>Default Title</t>
        </is>
      </c>
      <c r="G564" s="9" t="n">
        <v>2</v>
      </c>
      <c r="H564" s="21" t="n">
        <v>7</v>
      </c>
      <c r="I564" s="21" t="n">
        <v>147.68</v>
      </c>
      <c r="J564" s="21" t="n">
        <v>443.03</v>
      </c>
      <c r="K564" s="21" t="n">
        <v>516.87</v>
      </c>
      <c r="L564" s="21" t="n">
        <v>590.71</v>
      </c>
      <c r="M564" s="21" t="n">
        <v>599</v>
      </c>
    </row>
    <row r="565">
      <c r="A565" s="9" t="inlineStr">
        <is>
          <t>HAIFENG</t>
        </is>
      </c>
      <c r="B565" s="9" t="inlineStr">
        <is>
          <t>HAIFENG 25/09/2025</t>
        </is>
      </c>
      <c r="C565" s="9" t="inlineStr">
        <is>
          <t>2025-09-25</t>
        </is>
      </c>
      <c r="D565" s="9" t="inlineStr">
        <is>
          <t>33801891077645</t>
        </is>
      </c>
      <c r="E565" s="9" t="inlineStr">
        <is>
          <t>COLLAR BV SILVER SERPIENTE</t>
        </is>
      </c>
      <c r="F565" s="9" t="inlineStr">
        <is>
          <t>Default Title</t>
        </is>
      </c>
      <c r="G565" s="9" t="n">
        <v>2</v>
      </c>
      <c r="H565" s="21" t="n">
        <v>7</v>
      </c>
      <c r="I565" s="21" t="n">
        <v>147.68</v>
      </c>
      <c r="J565" s="21" t="n">
        <v>443.03</v>
      </c>
      <c r="K565" s="21" t="n">
        <v>516.87</v>
      </c>
      <c r="L565" s="21" t="n">
        <v>590.71</v>
      </c>
      <c r="M565" s="21" t="n">
        <v>576.8</v>
      </c>
    </row>
    <row r="566">
      <c r="A566" s="9" t="inlineStr">
        <is>
          <t>HAIFENG</t>
        </is>
      </c>
      <c r="B566" s="9" t="inlineStr">
        <is>
          <t>HAIFENG 25/09/2025</t>
        </is>
      </c>
      <c r="C566" s="9" t="inlineStr">
        <is>
          <t>2025-09-25</t>
        </is>
      </c>
      <c r="D566" s="9" t="inlineStr">
        <is>
          <t>36002951405580</t>
        </is>
      </c>
      <c r="E566" s="9" t="inlineStr">
        <is>
          <t>COLLAR CLAVO GOLD CON ZIRCONIA</t>
        </is>
      </c>
      <c r="F566" s="9" t="inlineStr">
        <is>
          <t>40cm de largo x 5cm de extensión</t>
        </is>
      </c>
      <c r="G566" s="9" t="n">
        <v>3</v>
      </c>
      <c r="H566" s="21" t="n">
        <v>7.5</v>
      </c>
      <c r="I566" s="21" t="n">
        <v>158.23</v>
      </c>
      <c r="J566" s="21" t="n">
        <v>474.68</v>
      </c>
      <c r="K566" s="21" t="n">
        <v>553.79</v>
      </c>
      <c r="L566" s="21" t="n">
        <v>632.91</v>
      </c>
      <c r="M566" s="21" t="n">
        <v>618</v>
      </c>
    </row>
    <row r="567">
      <c r="A567" s="9" t="inlineStr">
        <is>
          <t>HAIFENG</t>
        </is>
      </c>
      <c r="B567" s="9" t="inlineStr">
        <is>
          <t>HAIFENG 25/09/2025</t>
        </is>
      </c>
      <c r="C567" s="9" t="inlineStr">
        <is>
          <t>2025-09-25</t>
        </is>
      </c>
      <c r="D567" s="9" t="inlineStr">
        <is>
          <t>36002958128780</t>
        </is>
      </c>
      <c r="E567" s="9" t="inlineStr">
        <is>
          <t>COLLAR CLAVO GOLD MZ</t>
        </is>
      </c>
      <c r="F567" s="9" t="inlineStr">
        <is>
          <t>40cm de largo x 5cm de extensi√≥n</t>
        </is>
      </c>
      <c r="G567" s="9" t="n">
        <v>3</v>
      </c>
      <c r="H567" s="21" t="n">
        <v>7</v>
      </c>
      <c r="I567" s="21" t="n">
        <v>147.68</v>
      </c>
      <c r="J567" s="21" t="n">
        <v>443.03</v>
      </c>
      <c r="K567" s="21" t="n">
        <v>516.87</v>
      </c>
      <c r="L567" s="21" t="n">
        <v>590.71</v>
      </c>
      <c r="M567" s="21" t="n">
        <v>599</v>
      </c>
    </row>
    <row r="568">
      <c r="A568" s="9" t="inlineStr">
        <is>
          <t>HAIFENG</t>
        </is>
      </c>
      <c r="B568" s="9" t="inlineStr">
        <is>
          <t>HAIFENG 25/09/2025</t>
        </is>
      </c>
      <c r="C568" s="9" t="inlineStr">
        <is>
          <t>2025-09-25</t>
        </is>
      </c>
      <c r="D568" s="9" t="inlineStr">
        <is>
          <t>67201534708013</t>
        </is>
      </c>
      <c r="E568" s="9" t="inlineStr">
        <is>
          <t>COLLAR CRUZ T GOLD</t>
        </is>
      </c>
      <c r="F568" s="9" t="inlineStr">
        <is>
          <t>Default Title</t>
        </is>
      </c>
      <c r="G568" s="9" t="n">
        <v>3</v>
      </c>
      <c r="H568" s="21" t="n">
        <v>7</v>
      </c>
      <c r="I568" s="21" t="n">
        <v>147.68</v>
      </c>
      <c r="J568" s="21" t="n">
        <v>443.03</v>
      </c>
      <c r="K568" s="21" t="n">
        <v>516.87</v>
      </c>
      <c r="L568" s="21" t="n">
        <v>590.71</v>
      </c>
      <c r="M568" s="21" t="n">
        <v>577</v>
      </c>
    </row>
    <row r="569">
      <c r="A569" s="9" t="inlineStr">
        <is>
          <t>HAIFENG</t>
        </is>
      </c>
      <c r="B569" s="9" t="inlineStr">
        <is>
          <t>HAIFENG 25/09/2025</t>
        </is>
      </c>
      <c r="C569" s="9" t="inlineStr">
        <is>
          <t>2025-09-25</t>
        </is>
      </c>
      <c r="D569" s="9" t="inlineStr">
        <is>
          <t>668eee3e3e067</t>
        </is>
      </c>
      <c r="E569" s="9" t="inlineStr">
        <is>
          <t>COLLAR DOBLE PLACA CORAZON TURQUESA-PLATA</t>
        </is>
      </c>
      <c r="F569" s="9" t="inlineStr">
        <is>
          <t>Copper</t>
        </is>
      </c>
      <c r="G569" s="9" t="n">
        <v>2</v>
      </c>
      <c r="H569" s="21" t="n">
        <v>5</v>
      </c>
      <c r="I569" s="21" t="n">
        <v>105.48</v>
      </c>
      <c r="J569" s="21" t="n">
        <v>316.45</v>
      </c>
      <c r="K569" s="21" t="n">
        <v>369.2</v>
      </c>
      <c r="L569" s="21" t="n">
        <v>421.94</v>
      </c>
      <c r="M569" s="21" t="n">
        <v>550</v>
      </c>
    </row>
    <row r="570">
      <c r="A570" s="9" t="inlineStr">
        <is>
          <t>HAIFENG</t>
        </is>
      </c>
      <c r="B570" s="9" t="inlineStr">
        <is>
          <t>HAIFENG 25/09/2025</t>
        </is>
      </c>
      <c r="C570" s="9" t="inlineStr">
        <is>
          <t>2025-09-25</t>
        </is>
      </c>
      <c r="D570" s="9" t="inlineStr">
        <is>
          <t>56481489561612</t>
        </is>
      </c>
      <c r="E570" s="9" t="inlineStr">
        <is>
          <t>COLLAR DOBLE PLACA ROSEGOLD</t>
        </is>
      </c>
      <c r="F570" s="9" t="inlineStr">
        <is>
          <t>39cm con 5cm de extensi√≥n</t>
        </is>
      </c>
      <c r="G570" s="9" t="n">
        <v>10</v>
      </c>
      <c r="H570" s="21" t="n">
        <v>5</v>
      </c>
      <c r="I570" s="21" t="n">
        <v>105.48</v>
      </c>
      <c r="J570" s="21" t="n">
        <v>316.45</v>
      </c>
      <c r="K570" s="21" t="n">
        <v>369.2</v>
      </c>
      <c r="L570" s="21" t="n">
        <v>421.94</v>
      </c>
      <c r="M570" s="21" t="n">
        <v>550</v>
      </c>
    </row>
    <row r="571">
      <c r="A571" s="9" t="inlineStr">
        <is>
          <t>HAIFENG</t>
        </is>
      </c>
      <c r="B571" s="9" t="inlineStr">
        <is>
          <t>HAIFENG 25/09/2025</t>
        </is>
      </c>
      <c r="C571" s="9" t="inlineStr">
        <is>
          <t>2025-09-25</t>
        </is>
      </c>
      <c r="D571" s="9" t="inlineStr">
        <is>
          <t>63e0beee6c617</t>
        </is>
      </c>
      <c r="E571" s="9" t="inlineStr">
        <is>
          <t>COLLAR LOVE GOLD</t>
        </is>
      </c>
      <c r="F571" s="9" t="inlineStr">
        <is>
          <t>42cm</t>
        </is>
      </c>
      <c r="G571" s="9" t="n">
        <v>3</v>
      </c>
      <c r="H571" s="21" t="n">
        <v>5</v>
      </c>
      <c r="I571" s="21" t="n">
        <v>105.48</v>
      </c>
      <c r="J571" s="21" t="n">
        <v>316.45</v>
      </c>
      <c r="K571" s="21" t="n">
        <v>369.2</v>
      </c>
      <c r="L571" s="21" t="n">
        <v>421.94</v>
      </c>
      <c r="M571" s="21" t="n">
        <v>550</v>
      </c>
    </row>
    <row r="572">
      <c r="A572" s="9" t="inlineStr">
        <is>
          <t>HAIFENG</t>
        </is>
      </c>
      <c r="B572" s="9" t="inlineStr">
        <is>
          <t>HAIFENG 25/09/2025</t>
        </is>
      </c>
      <c r="C572" s="9" t="inlineStr">
        <is>
          <t>2025-09-25</t>
        </is>
      </c>
      <c r="D572" s="9" t="inlineStr">
        <is>
          <t>23663391024461</t>
        </is>
      </c>
      <c r="E572" s="9" t="inlineStr">
        <is>
          <t>COLLAR LOVE ROSEGOLD CON ZIRCONIA</t>
        </is>
      </c>
      <c r="F572" s="9" t="inlineStr">
        <is>
          <t>Default Title</t>
        </is>
      </c>
      <c r="G572" s="9" t="n">
        <v>3</v>
      </c>
      <c r="H572" s="21" t="n">
        <v>5</v>
      </c>
      <c r="I572" s="21" t="n">
        <v>105.48</v>
      </c>
      <c r="J572" s="21" t="n">
        <v>316.45</v>
      </c>
      <c r="K572" s="21" t="n">
        <v>369.2</v>
      </c>
      <c r="L572" s="21" t="n">
        <v>421.94</v>
      </c>
      <c r="M572" s="21" t="n">
        <v>450</v>
      </c>
    </row>
    <row r="573">
      <c r="A573" s="9" t="inlineStr">
        <is>
          <t>HAIFENG</t>
        </is>
      </c>
      <c r="B573" s="9" t="inlineStr">
        <is>
          <t>HAIFENG 25/09/2025</t>
        </is>
      </c>
      <c r="C573" s="9" t="inlineStr">
        <is>
          <t>2025-09-25</t>
        </is>
      </c>
      <c r="D573" s="9" t="inlineStr">
        <is>
          <t>64085741986765</t>
        </is>
      </c>
      <c r="E573" s="9" t="inlineStr">
        <is>
          <t>COLLAR PANTHERE GOLD C</t>
        </is>
      </c>
      <c r="F573" s="9" t="inlineStr">
        <is>
          <t>Default Title</t>
        </is>
      </c>
      <c r="G573" s="9" t="n">
        <v>8</v>
      </c>
      <c r="H573" s="21" t="n">
        <v>7</v>
      </c>
      <c r="I573" s="21" t="n">
        <v>147.68</v>
      </c>
      <c r="J573" s="21" t="n">
        <v>443.03</v>
      </c>
      <c r="K573" s="21" t="n">
        <v>516.87</v>
      </c>
      <c r="L573" s="21" t="n">
        <v>590.71</v>
      </c>
      <c r="M573" s="21" t="n">
        <v>577</v>
      </c>
    </row>
    <row r="574">
      <c r="A574" s="9" t="inlineStr">
        <is>
          <t>HAIFENG</t>
        </is>
      </c>
      <c r="B574" s="9" t="inlineStr">
        <is>
          <t>HAIFENG 25/09/2025</t>
        </is>
      </c>
      <c r="C574" s="9" t="inlineStr">
        <is>
          <t>2025-09-25</t>
        </is>
      </c>
      <c r="D574" s="9" t="inlineStr">
        <is>
          <t>43016706621580</t>
        </is>
      </c>
      <c r="E574" s="9" t="inlineStr">
        <is>
          <t>COLLAR ROUND T ROSEGOLD CON ZIRCONIAS</t>
        </is>
      </c>
      <c r="F574" s="9" t="inlineStr">
        <is>
          <t>47cm de cadena   dije: 3cm</t>
        </is>
      </c>
      <c r="G574" s="9" t="n">
        <v>4</v>
      </c>
      <c r="H574" s="21" t="n">
        <v>8.5</v>
      </c>
      <c r="I574" s="21" t="n">
        <v>179.32</v>
      </c>
      <c r="J574" s="21" t="n">
        <v>537.97</v>
      </c>
      <c r="K574" s="21" t="n">
        <v>627.63</v>
      </c>
      <c r="L574" s="21" t="n">
        <v>717.29</v>
      </c>
      <c r="M574" s="21" t="n">
        <v>750</v>
      </c>
    </row>
    <row r="575">
      <c r="A575" s="9" t="inlineStr">
        <is>
          <t>HAIFENG</t>
        </is>
      </c>
      <c r="B575" s="9" t="inlineStr">
        <is>
          <t>HAIFENG 25/09/2025</t>
        </is>
      </c>
      <c r="C575" s="9" t="inlineStr">
        <is>
          <t>2025-09-25</t>
        </is>
      </c>
      <c r="D575" s="9" t="inlineStr">
        <is>
          <t>668eee443df70</t>
        </is>
      </c>
      <c r="E575" s="9" t="inlineStr">
        <is>
          <t>COLLAR SMILE SILVER</t>
        </is>
      </c>
      <c r="F575" s="9" t="inlineStr">
        <is>
          <t>Cadena ajustable de 40.6 a 45.7 cm</t>
        </is>
      </c>
      <c r="G575" s="9" t="n">
        <v>6</v>
      </c>
      <c r="H575" s="21" t="n">
        <v>3.8</v>
      </c>
      <c r="I575" s="21" t="n">
        <v>80.17</v>
      </c>
      <c r="J575" s="21" t="n">
        <v>240.5</v>
      </c>
      <c r="K575" s="21" t="n">
        <v>280.59</v>
      </c>
      <c r="L575" s="21" t="n">
        <v>320.67</v>
      </c>
      <c r="M575" s="21" t="n">
        <v>460</v>
      </c>
    </row>
    <row r="576">
      <c r="A576" s="9" t="inlineStr">
        <is>
          <t>HAIFENG</t>
        </is>
      </c>
      <c r="B576" s="9" t="inlineStr">
        <is>
          <t>HAIFENG 25/09/2025</t>
        </is>
      </c>
      <c r="C576" s="9" t="inlineStr">
        <is>
          <t>2025-09-25</t>
        </is>
      </c>
      <c r="D576" s="9" t="inlineStr">
        <is>
          <t>641887036d043</t>
        </is>
      </c>
      <c r="E576" s="9" t="inlineStr">
        <is>
          <t>COLLAR TREBOL GOLD-RED</t>
        </is>
      </c>
      <c r="F576" s="9" t="inlineStr">
        <is>
          <t>40cm con extensión de 5cm</t>
        </is>
      </c>
      <c r="G576" s="9" t="n">
        <v>2</v>
      </c>
      <c r="H576" s="21" t="n">
        <v>11</v>
      </c>
      <c r="I576" s="21" t="n">
        <v>232.07</v>
      </c>
      <c r="J576" s="21" t="n">
        <v>696.2</v>
      </c>
      <c r="K576" s="21" t="n">
        <v>812.23</v>
      </c>
      <c r="L576" s="21" t="n">
        <v>928.26</v>
      </c>
      <c r="M576" s="21" t="n">
        <v>699</v>
      </c>
    </row>
    <row r="577">
      <c r="A577" s="9" t="inlineStr">
        <is>
          <t>HAIFENG</t>
        </is>
      </c>
      <c r="B577" s="9" t="inlineStr">
        <is>
          <t>HAIFENG 25/09/2025</t>
        </is>
      </c>
      <c r="C577" s="9" t="inlineStr">
        <is>
          <t>2025-09-25</t>
        </is>
      </c>
      <c r="D577" s="9" t="inlineStr">
        <is>
          <t>43010669576332</t>
        </is>
      </c>
      <c r="E577" s="9" t="inlineStr">
        <is>
          <t>COLLAR TREBOL GREEN-ROSE GOLD</t>
        </is>
      </c>
      <c r="F577" s="9" t="inlineStr">
        <is>
          <t>HIGH QUALITY 45cm</t>
        </is>
      </c>
      <c r="G577" s="9" t="n">
        <v>4</v>
      </c>
      <c r="H577" s="21" t="n">
        <v>11</v>
      </c>
      <c r="I577" s="21" t="n">
        <v>232.07</v>
      </c>
      <c r="J577" s="21" t="n">
        <v>696.2</v>
      </c>
      <c r="K577" s="21" t="n">
        <v>812.23</v>
      </c>
      <c r="L577" s="21" t="n">
        <v>928.26</v>
      </c>
      <c r="M577" s="21" t="n">
        <v>899</v>
      </c>
    </row>
    <row r="578">
      <c r="A578" s="9" t="inlineStr">
        <is>
          <t>HAIFENG</t>
        </is>
      </c>
      <c r="B578" s="9" t="inlineStr">
        <is>
          <t>HAIFENG 25/09/2025</t>
        </is>
      </c>
      <c r="C578" s="9" t="inlineStr">
        <is>
          <t>2025-09-25</t>
        </is>
      </c>
      <c r="D578" s="9" t="inlineStr">
        <is>
          <t>66177b572d821</t>
        </is>
      </c>
      <c r="E578" s="9" t="inlineStr">
        <is>
          <t>COLLAR TREBOL ROSEGOLD</t>
        </is>
      </c>
      <c r="F578" s="9" t="inlineStr">
        <is>
          <t>HIGH QUALITY 41cm con extensi√≥n de 3cm</t>
        </is>
      </c>
      <c r="G578" s="9" t="n">
        <v>5</v>
      </c>
      <c r="H578" s="21" t="n">
        <v>12</v>
      </c>
      <c r="I578" s="21" t="n">
        <v>253.16</v>
      </c>
      <c r="J578" s="21" t="n">
        <v>759.49</v>
      </c>
      <c r="K578" s="21" t="n">
        <v>886.0700000000001</v>
      </c>
      <c r="L578" s="21" t="n">
        <v>1012.65</v>
      </c>
      <c r="M578" s="21" t="n">
        <v>899</v>
      </c>
    </row>
    <row r="579">
      <c r="A579" s="9" t="inlineStr">
        <is>
          <t>HAIFENG</t>
        </is>
      </c>
      <c r="B579" s="9" t="inlineStr">
        <is>
          <t>HAIFENG 25/09/2025</t>
        </is>
      </c>
      <c r="C579" s="9" t="inlineStr">
        <is>
          <t>2025-09-25</t>
        </is>
      </c>
      <c r="D579" s="9" t="inlineStr">
        <is>
          <t>82224434630413</t>
        </is>
      </c>
      <c r="E579" s="9" t="inlineStr">
        <is>
          <t>COLLAR TREBOL ROSEGOLD WHITE</t>
        </is>
      </c>
      <c r="F579" s="9" t="inlineStr">
        <is>
          <t>45cm</t>
        </is>
      </c>
      <c r="G579" s="9" t="n">
        <v>1</v>
      </c>
      <c r="H579" s="21" t="n">
        <v>11</v>
      </c>
      <c r="I579" s="21" t="n">
        <v>232.07</v>
      </c>
      <c r="J579" s="21" t="n">
        <v>696.2</v>
      </c>
      <c r="K579" s="21" t="n">
        <v>812.23</v>
      </c>
      <c r="L579" s="21" t="n">
        <v>928.26</v>
      </c>
      <c r="M579" s="21" t="n">
        <v>693</v>
      </c>
    </row>
    <row r="580">
      <c r="A580" s="9" t="inlineStr">
        <is>
          <t>HAIFENG</t>
        </is>
      </c>
      <c r="B580" s="9" t="inlineStr">
        <is>
          <t>HAIFENG 25/09/2025</t>
        </is>
      </c>
      <c r="C580" s="9" t="inlineStr">
        <is>
          <t>2025-09-25</t>
        </is>
      </c>
      <c r="D580" s="9" t="inlineStr">
        <is>
          <t>665bbe801cd41</t>
        </is>
      </c>
      <c r="E580" s="9" t="inlineStr">
        <is>
          <t>COLLAR TREBOL ROSEGOLD-RED</t>
        </is>
      </c>
      <c r="F580" s="9" t="inlineStr">
        <is>
          <t>High Quality 45cm</t>
        </is>
      </c>
      <c r="G580" s="9" t="n">
        <v>8</v>
      </c>
      <c r="H580" s="21" t="n">
        <v>11</v>
      </c>
      <c r="I580" s="21" t="n">
        <v>232.07</v>
      </c>
      <c r="J580" s="21" t="n">
        <v>696.2</v>
      </c>
      <c r="K580" s="21" t="n">
        <v>812.23</v>
      </c>
      <c r="L580" s="21" t="n">
        <v>928.26</v>
      </c>
      <c r="M580" s="21" t="n">
        <v>899</v>
      </c>
    </row>
    <row r="581">
      <c r="A581" s="9" t="inlineStr">
        <is>
          <t>HAIFENG</t>
        </is>
      </c>
      <c r="B581" s="9" t="inlineStr">
        <is>
          <t>HAIFENG 25/09/2025</t>
        </is>
      </c>
      <c r="C581" s="9" t="inlineStr">
        <is>
          <t>2025-09-25</t>
        </is>
      </c>
      <c r="D581" s="9" t="inlineStr">
        <is>
          <t>63ebdbffe0b2d</t>
        </is>
      </c>
      <c r="E581" s="9" t="inlineStr">
        <is>
          <t>GARGANTILLA CD PERLAS</t>
        </is>
      </c>
      <c r="F581" s="9" t="inlineStr">
        <is>
          <t>Largo 43 cm  Más Extensión 5 cm</t>
        </is>
      </c>
      <c r="G581" s="9" t="n">
        <v>2</v>
      </c>
      <c r="H581" s="21" t="n">
        <v>12.9</v>
      </c>
      <c r="I581" s="21" t="n">
        <v>272.15</v>
      </c>
      <c r="J581" s="21" t="n">
        <v>816.45</v>
      </c>
      <c r="K581" s="21" t="n">
        <v>952.52</v>
      </c>
      <c r="L581" s="21" t="n">
        <v>1088.6</v>
      </c>
      <c r="M581" s="21" t="n">
        <v>1062</v>
      </c>
    </row>
    <row r="582">
      <c r="A582" s="9" t="inlineStr">
        <is>
          <t>HAIFENG</t>
        </is>
      </c>
      <c r="B582" s="9" t="inlineStr">
        <is>
          <t>HAIFENG 25/09/2025</t>
        </is>
      </c>
      <c r="C582" s="9" t="inlineStr">
        <is>
          <t>2025-09-25</t>
        </is>
      </c>
      <c r="D582" s="9" t="inlineStr">
        <is>
          <t>16117871722093</t>
        </is>
      </c>
      <c r="E582" s="9" t="inlineStr">
        <is>
          <t>PULSERA BV GOLD CON ZIRCONIA</t>
        </is>
      </c>
      <c r="F582" s="9" t="inlineStr">
        <is>
          <t>Default Title</t>
        </is>
      </c>
      <c r="G582" s="9" t="n">
        <v>3</v>
      </c>
      <c r="H582" s="21" t="n">
        <v>7</v>
      </c>
      <c r="I582" s="21" t="n">
        <v>147.68</v>
      </c>
      <c r="J582" s="21" t="n">
        <v>443.03</v>
      </c>
      <c r="K582" s="21" t="n">
        <v>516.87</v>
      </c>
      <c r="L582" s="21" t="n">
        <v>590.71</v>
      </c>
      <c r="M582" s="21" t="n">
        <v>430</v>
      </c>
    </row>
    <row r="583">
      <c r="A583" s="9" t="inlineStr">
        <is>
          <t>HAIFENG</t>
        </is>
      </c>
      <c r="B583" s="9" t="inlineStr">
        <is>
          <t>HAIFENG 25/09/2025</t>
        </is>
      </c>
      <c r="C583" s="9" t="inlineStr">
        <is>
          <t>2025-09-25</t>
        </is>
      </c>
      <c r="D583" s="9" t="inlineStr">
        <is>
          <t>22731921054541</t>
        </is>
      </c>
      <c r="E583" s="9" t="inlineStr">
        <is>
          <t>PULSERA BV ROSEGOLD BLACK CON ZIRCONIA</t>
        </is>
      </c>
      <c r="F583" s="9" t="inlineStr">
        <is>
          <t>Default Title</t>
        </is>
      </c>
      <c r="G583" s="9" t="n">
        <v>3</v>
      </c>
      <c r="H583" s="21" t="n">
        <v>8</v>
      </c>
      <c r="I583" s="21" t="n">
        <v>168.78</v>
      </c>
      <c r="J583" s="21" t="n">
        <v>506.33</v>
      </c>
      <c r="K583" s="21" t="n">
        <v>590.71</v>
      </c>
      <c r="L583" s="21" t="n">
        <v>675.1</v>
      </c>
      <c r="M583" s="21" t="n">
        <v>670</v>
      </c>
    </row>
    <row r="584">
      <c r="A584" s="9" t="inlineStr">
        <is>
          <t>HAIFENG</t>
        </is>
      </c>
      <c r="B584" s="9" t="inlineStr">
        <is>
          <t>HAIFENG 25/09/2025</t>
        </is>
      </c>
      <c r="C584" s="9" t="inlineStr">
        <is>
          <t>2025-09-25</t>
        </is>
      </c>
      <c r="D584" s="9" t="inlineStr">
        <is>
          <t>64361211113837</t>
        </is>
      </c>
      <c r="E584" s="9" t="inlineStr">
        <is>
          <t>PULSERA BV ROSEGOLD BLACK-WHITE</t>
        </is>
      </c>
      <c r="F584" s="9" t="inlineStr">
        <is>
          <t>Default Title</t>
        </is>
      </c>
      <c r="G584" s="9" t="n">
        <v>2</v>
      </c>
      <c r="H584" s="21" t="n">
        <v>7.5</v>
      </c>
      <c r="I584" s="21" t="n">
        <v>158.23</v>
      </c>
      <c r="J584" s="21" t="n">
        <v>474.68</v>
      </c>
      <c r="K584" s="21" t="n">
        <v>553.79</v>
      </c>
      <c r="L584" s="21" t="n">
        <v>632.91</v>
      </c>
      <c r="M584" s="21" t="n">
        <v>650</v>
      </c>
    </row>
    <row r="585">
      <c r="A585" s="9" t="inlineStr">
        <is>
          <t>HAIFENG</t>
        </is>
      </c>
      <c r="B585" s="9" t="inlineStr">
        <is>
          <t>HAIFENG 25/09/2025</t>
        </is>
      </c>
      <c r="C585" s="9" t="inlineStr">
        <is>
          <t>2025-09-25</t>
        </is>
      </c>
      <c r="D585" s="9" t="inlineStr">
        <is>
          <t>72293841002509</t>
        </is>
      </c>
      <c r="E585" s="9" t="inlineStr">
        <is>
          <t>PULSERA BV ROSEGOLD CON ZIRCONIA</t>
        </is>
      </c>
      <c r="F585" s="9" t="inlineStr">
        <is>
          <t>Default Title</t>
        </is>
      </c>
      <c r="G585" s="9" t="n">
        <v>3</v>
      </c>
      <c r="H585" s="21" t="n">
        <v>7</v>
      </c>
      <c r="I585" s="21" t="n">
        <v>147.68</v>
      </c>
      <c r="J585" s="21" t="n">
        <v>443.03</v>
      </c>
      <c r="K585" s="21" t="n">
        <v>516.87</v>
      </c>
      <c r="L585" s="21" t="n">
        <v>590.71</v>
      </c>
      <c r="M585" s="21" t="n">
        <v>599</v>
      </c>
    </row>
    <row r="586">
      <c r="A586" s="9" t="inlineStr">
        <is>
          <t>HAIFENG</t>
        </is>
      </c>
      <c r="B586" s="9" t="inlineStr">
        <is>
          <t>HAIFENG 25/09/2025</t>
        </is>
      </c>
      <c r="C586" s="9" t="inlineStr">
        <is>
          <t>2025-09-25</t>
        </is>
      </c>
      <c r="D586" s="9" t="inlineStr">
        <is>
          <t>Default Title</t>
        </is>
      </c>
      <c r="E586" s="9" t="inlineStr">
        <is>
          <t>PULSERA BV ROSEGOLD PEARL ZIRCONIA</t>
        </is>
      </c>
      <c r="F586" s="9" t="inlineStr"/>
      <c r="G586" s="9" t="n">
        <v>3</v>
      </c>
      <c r="H586" s="21" t="n">
        <v>7.5</v>
      </c>
      <c r="I586" s="21" t="n">
        <v>158.23</v>
      </c>
      <c r="J586" s="21" t="n">
        <v>474.68</v>
      </c>
      <c r="K586" s="21" t="n">
        <v>553.79</v>
      </c>
      <c r="L586" s="21" t="n">
        <v>632.91</v>
      </c>
      <c r="M586" s="21" t="n"/>
    </row>
    <row r="587">
      <c r="A587" s="9" t="inlineStr">
        <is>
          <t>HAIFENG</t>
        </is>
      </c>
      <c r="B587" s="9" t="inlineStr">
        <is>
          <t>HAIFENG 25/09/2025</t>
        </is>
      </c>
      <c r="C587" s="9" t="inlineStr">
        <is>
          <t>2025-09-25</t>
        </is>
      </c>
      <c r="D587" s="9" t="inlineStr">
        <is>
          <t>22351461089709</t>
        </is>
      </c>
      <c r="E587" s="9" t="inlineStr">
        <is>
          <t>PULSERA BV ROSEGOLD WHITE CON ZIRCONIA</t>
        </is>
      </c>
      <c r="F587" s="9" t="inlineStr">
        <is>
          <t>Default Title</t>
        </is>
      </c>
      <c r="G587" s="9" t="n">
        <v>3</v>
      </c>
      <c r="H587" s="21" t="n">
        <v>8</v>
      </c>
      <c r="I587" s="21" t="n">
        <v>168.78</v>
      </c>
      <c r="J587" s="21" t="n">
        <v>506.33</v>
      </c>
      <c r="K587" s="21" t="n">
        <v>590.71</v>
      </c>
      <c r="L587" s="21" t="n">
        <v>675.1</v>
      </c>
      <c r="M587" s="21" t="n">
        <v>699</v>
      </c>
    </row>
    <row r="588">
      <c r="A588" s="9" t="inlineStr">
        <is>
          <t>HAIFENG</t>
        </is>
      </c>
      <c r="B588" s="9" t="inlineStr">
        <is>
          <t>HAIFENG 25/09/2025</t>
        </is>
      </c>
      <c r="C588" s="9" t="inlineStr">
        <is>
          <t>2025-09-25</t>
        </is>
      </c>
      <c r="D588" s="9" t="inlineStr">
        <is>
          <t>77000701043565</t>
        </is>
      </c>
      <c r="E588" s="9" t="inlineStr">
        <is>
          <t>PULSERA BV SILVER CON ZIRCONIA</t>
        </is>
      </c>
      <c r="F588" s="9" t="inlineStr">
        <is>
          <t>Default Title</t>
        </is>
      </c>
      <c r="G588" s="9" t="n">
        <v>3</v>
      </c>
      <c r="H588" s="21" t="n">
        <v>7</v>
      </c>
      <c r="I588" s="21" t="n">
        <v>147.68</v>
      </c>
      <c r="J588" s="21" t="n">
        <v>443.03</v>
      </c>
      <c r="K588" s="21" t="n">
        <v>516.87</v>
      </c>
      <c r="L588" s="21" t="n">
        <v>590.71</v>
      </c>
      <c r="M588" s="21" t="n">
        <v>680</v>
      </c>
    </row>
    <row r="589">
      <c r="A589" s="9" t="inlineStr">
        <is>
          <t>HAIFENG</t>
        </is>
      </c>
      <c r="B589" s="9" t="inlineStr">
        <is>
          <t>HAIFENG 25/09/2025</t>
        </is>
      </c>
      <c r="C589" s="9" t="inlineStr">
        <is>
          <t>2025-09-25</t>
        </is>
      </c>
      <c r="D589" s="9" t="inlineStr">
        <is>
          <t>Default Title</t>
        </is>
      </c>
      <c r="E589" s="9" t="inlineStr">
        <is>
          <t>PULSERA BV SILVER PEARL ZIRCONIA</t>
        </is>
      </c>
      <c r="F589" s="9" t="inlineStr"/>
      <c r="G589" s="9" t="n">
        <v>3</v>
      </c>
      <c r="H589" s="21" t="n">
        <v>7.5</v>
      </c>
      <c r="I589" s="21" t="n">
        <v>158.23</v>
      </c>
      <c r="J589" s="21" t="n">
        <v>474.68</v>
      </c>
      <c r="K589" s="21" t="n">
        <v>553.79</v>
      </c>
      <c r="L589" s="21" t="n">
        <v>632.91</v>
      </c>
      <c r="M589" s="21" t="n"/>
    </row>
    <row r="590">
      <c r="A590" s="9" t="inlineStr">
        <is>
          <t>HAIFENG</t>
        </is>
      </c>
      <c r="B590" s="9" t="inlineStr">
        <is>
          <t>HAIFENG 25/09/2025</t>
        </is>
      </c>
      <c r="C590" s="9" t="inlineStr">
        <is>
          <t>2025-09-25</t>
        </is>
      </c>
      <c r="D590" s="9" t="inlineStr">
        <is>
          <t>66075802428173</t>
        </is>
      </c>
      <c r="E590" s="9" t="inlineStr">
        <is>
          <t>PULSERA CHAIN GOLD CD</t>
        </is>
      </c>
      <c r="F590" s="9" t="inlineStr">
        <is>
          <t>Default Title</t>
        </is>
      </c>
      <c r="G590" s="9" t="n">
        <v>2</v>
      </c>
      <c r="H590" s="21" t="n">
        <v>7.9</v>
      </c>
      <c r="I590" s="21" t="n">
        <v>166.67</v>
      </c>
      <c r="J590" s="21" t="n">
        <v>500</v>
      </c>
      <c r="K590" s="21" t="n">
        <v>583.33</v>
      </c>
      <c r="L590" s="21" t="n">
        <v>666.66</v>
      </c>
      <c r="M590" s="21" t="n">
        <v>651</v>
      </c>
    </row>
    <row r="591">
      <c r="A591" s="9" t="inlineStr">
        <is>
          <t>HAIFENG</t>
        </is>
      </c>
      <c r="B591" s="9" t="inlineStr">
        <is>
          <t>HAIFENG 25/09/2025</t>
        </is>
      </c>
      <c r="C591" s="9" t="inlineStr">
        <is>
          <t>2025-09-25</t>
        </is>
      </c>
      <c r="D591" s="9" t="inlineStr">
        <is>
          <t>63e0c23442e74</t>
        </is>
      </c>
      <c r="E591" s="9" t="inlineStr">
        <is>
          <t>PULSERA CLIC H GOLD BLACK</t>
        </is>
      </c>
      <c r="F591" s="9" t="inlineStr">
        <is>
          <t>16.8 cm</t>
        </is>
      </c>
      <c r="G591" s="9" t="n">
        <v>5</v>
      </c>
      <c r="H591" s="21" t="n">
        <v>5</v>
      </c>
      <c r="I591" s="21" t="n">
        <v>105.48</v>
      </c>
      <c r="J591" s="21" t="n">
        <v>316.45</v>
      </c>
      <c r="K591" s="21" t="n">
        <v>369.2</v>
      </c>
      <c r="L591" s="21" t="n">
        <v>421.94</v>
      </c>
      <c r="M591" s="21" t="n">
        <v>569</v>
      </c>
    </row>
    <row r="592">
      <c r="A592" s="9" t="inlineStr">
        <is>
          <t>HAIFENG</t>
        </is>
      </c>
      <c r="B592" s="9" t="inlineStr">
        <is>
          <t>HAIFENG 25/09/2025</t>
        </is>
      </c>
      <c r="C592" s="9" t="inlineStr">
        <is>
          <t>2025-09-25</t>
        </is>
      </c>
      <c r="D592" s="9" t="inlineStr">
        <is>
          <t>63e0c2310d7f4</t>
        </is>
      </c>
      <c r="E592" s="9" t="inlineStr">
        <is>
          <t>PULSERA CLIC H SILVER WHITE</t>
        </is>
      </c>
      <c r="F592" s="9" t="inlineStr">
        <is>
          <t>16.8 cm</t>
        </is>
      </c>
      <c r="G592" s="9" t="n">
        <v>1</v>
      </c>
      <c r="H592" s="21" t="n">
        <v>5</v>
      </c>
      <c r="I592" s="21" t="n">
        <v>105.48</v>
      </c>
      <c r="J592" s="21" t="n">
        <v>316.45</v>
      </c>
      <c r="K592" s="21" t="n">
        <v>369.2</v>
      </c>
      <c r="L592" s="21" t="n">
        <v>421.94</v>
      </c>
      <c r="M592" s="21" t="n">
        <v>569</v>
      </c>
    </row>
    <row r="593">
      <c r="A593" s="9" t="inlineStr">
        <is>
          <t>HAIFENG</t>
        </is>
      </c>
      <c r="B593" s="9" t="inlineStr">
        <is>
          <t>HAIFENG 25/09/2025</t>
        </is>
      </c>
      <c r="C593" s="9" t="inlineStr">
        <is>
          <t>2025-09-25</t>
        </is>
      </c>
      <c r="D593" s="9" t="inlineStr">
        <is>
          <t>43728081992652</t>
        </is>
      </c>
      <c r="E593" s="9" t="inlineStr">
        <is>
          <t>PULSERA CON PASADOR Y PLACA ESTILO CORAZON SILVER</t>
        </is>
      </c>
      <c r="F593" s="9" t="inlineStr">
        <is>
          <t>17cm</t>
        </is>
      </c>
      <c r="G593" s="9" t="n">
        <v>3</v>
      </c>
      <c r="H593" s="21" t="n">
        <v>7</v>
      </c>
      <c r="I593" s="21" t="n">
        <v>147.68</v>
      </c>
      <c r="J593" s="21" t="n">
        <v>443.03</v>
      </c>
      <c r="K593" s="21" t="n">
        <v>516.87</v>
      </c>
      <c r="L593" s="21" t="n">
        <v>590.71</v>
      </c>
      <c r="M593" s="21" t="n">
        <v>699</v>
      </c>
    </row>
    <row r="594">
      <c r="A594" s="9" t="inlineStr">
        <is>
          <t>HAIFENG</t>
        </is>
      </c>
      <c r="B594" s="9" t="inlineStr">
        <is>
          <t>HAIFENG 25/09/2025</t>
        </is>
      </c>
      <c r="C594" s="9" t="inlineStr">
        <is>
          <t>2025-09-25</t>
        </is>
      </c>
      <c r="D594" s="9" t="inlineStr">
        <is>
          <t>668eee34bc314</t>
        </is>
      </c>
      <c r="E594" s="9" t="inlineStr">
        <is>
          <t>PULSERA DE CUENTAS CON INSIGNIA DE CORAZON BLUE</t>
        </is>
      </c>
      <c r="F594" s="9" t="inlineStr">
        <is>
          <t>16 cm</t>
        </is>
      </c>
      <c r="G594" s="9" t="n">
        <v>26</v>
      </c>
      <c r="H594" s="21" t="n">
        <v>5</v>
      </c>
      <c r="I594" s="21" t="n">
        <v>105.48</v>
      </c>
      <c r="J594" s="21" t="n">
        <v>316.45</v>
      </c>
      <c r="K594" s="21" t="n">
        <v>369.2</v>
      </c>
      <c r="L594" s="21" t="n">
        <v>421.94</v>
      </c>
      <c r="M594" s="21" t="n">
        <v>550</v>
      </c>
    </row>
    <row r="595">
      <c r="A595" s="9" t="inlineStr">
        <is>
          <t>HAIFENG</t>
        </is>
      </c>
      <c r="B595" s="9" t="inlineStr">
        <is>
          <t>HAIFENG 25/09/2025</t>
        </is>
      </c>
      <c r="C595" s="9" t="inlineStr">
        <is>
          <t>2025-09-25</t>
        </is>
      </c>
      <c r="D595" s="9" t="inlineStr">
        <is>
          <t>18652671095713</t>
        </is>
      </c>
      <c r="E595" s="9" t="inlineStr">
        <is>
          <t>PULSERA DE TELA TRES AROS GREY</t>
        </is>
      </c>
      <c r="F595" s="9" t="inlineStr">
        <is>
          <t>Default Title</t>
        </is>
      </c>
      <c r="G595" s="9" t="n">
        <v>4</v>
      </c>
      <c r="H595" s="21" t="n">
        <v>4.7</v>
      </c>
      <c r="I595" s="21" t="n">
        <v>99.16</v>
      </c>
      <c r="J595" s="21" t="n">
        <v>297.47</v>
      </c>
      <c r="K595" s="21" t="n">
        <v>347.04</v>
      </c>
      <c r="L595" s="21" t="n">
        <v>396.62</v>
      </c>
      <c r="M595" s="21" t="n">
        <v>399</v>
      </c>
    </row>
    <row r="596">
      <c r="A596" s="9" t="inlineStr">
        <is>
          <t>HAIFENG</t>
        </is>
      </c>
      <c r="B596" s="9" t="inlineStr">
        <is>
          <t>HAIFENG 25/09/2025</t>
        </is>
      </c>
      <c r="C596" s="9" t="inlineStr">
        <is>
          <t>2025-09-25</t>
        </is>
      </c>
      <c r="D596" s="9" t="inlineStr">
        <is>
          <t>34361211039213</t>
        </is>
      </c>
      <c r="E596" s="9" t="inlineStr">
        <is>
          <t>PULSERA DIVAS DREAM SILVER</t>
        </is>
      </c>
      <c r="F596" s="9" t="inlineStr">
        <is>
          <t>Default Title</t>
        </is>
      </c>
      <c r="G596" s="9" t="n">
        <v>2</v>
      </c>
      <c r="H596" s="21" t="n">
        <v>7.5</v>
      </c>
      <c r="I596" s="21" t="n">
        <v>158.23</v>
      </c>
      <c r="J596" s="21" t="n">
        <v>474.68</v>
      </c>
      <c r="K596" s="21" t="n">
        <v>553.79</v>
      </c>
      <c r="L596" s="21" t="n">
        <v>632.91</v>
      </c>
      <c r="M596" s="21" t="n">
        <v>620</v>
      </c>
    </row>
    <row r="597">
      <c r="A597" s="9" t="inlineStr">
        <is>
          <t>HAIFENG</t>
        </is>
      </c>
      <c r="B597" s="9" t="inlineStr">
        <is>
          <t>HAIFENG 25/09/2025</t>
        </is>
      </c>
      <c r="C597" s="9" t="inlineStr">
        <is>
          <t>2025-09-25</t>
        </is>
      </c>
      <c r="D597" s="9" t="inlineStr">
        <is>
          <t>67201534427213</t>
        </is>
      </c>
      <c r="E597" s="9" t="inlineStr">
        <is>
          <t>PULSERA DOBLE CADENA Y PLACA ESTILO CORAZON T SILVER</t>
        </is>
      </c>
      <c r="F597" s="9" t="inlineStr">
        <is>
          <t>Default Title</t>
        </is>
      </c>
      <c r="G597" s="9" t="n">
        <v>3</v>
      </c>
      <c r="H597" s="21" t="n">
        <v>5</v>
      </c>
      <c r="I597" s="21" t="n">
        <v>105.48</v>
      </c>
      <c r="J597" s="21" t="n">
        <v>316.45</v>
      </c>
      <c r="K597" s="21" t="n">
        <v>369.2</v>
      </c>
      <c r="L597" s="21" t="n">
        <v>421.94</v>
      </c>
      <c r="M597" s="21" t="n">
        <v>525</v>
      </c>
    </row>
    <row r="598">
      <c r="A598" s="9" t="inlineStr">
        <is>
          <t>HAIFENG</t>
        </is>
      </c>
      <c r="B598" s="9" t="inlineStr">
        <is>
          <t>HAIFENG 25/09/2025</t>
        </is>
      </c>
      <c r="C598" s="9" t="inlineStr">
        <is>
          <t>2025-09-25</t>
        </is>
      </c>
      <c r="D598" s="9" t="inlineStr">
        <is>
          <t>67201534427213</t>
        </is>
      </c>
      <c r="E598" s="9" t="inlineStr">
        <is>
          <t>PULSERA DOBLE CADENA Y PLACA ESTILO CORAZ√ìN T SILVER</t>
        </is>
      </c>
      <c r="F598" s="9" t="inlineStr">
        <is>
          <t>Default Title</t>
        </is>
      </c>
      <c r="G598" s="9" t="n">
        <v>2</v>
      </c>
      <c r="H598" s="21" t="n">
        <v>5</v>
      </c>
      <c r="I598" s="21" t="n">
        <v>105.48</v>
      </c>
      <c r="J598" s="21" t="n">
        <v>316.45</v>
      </c>
      <c r="K598" s="21" t="n">
        <v>369.2</v>
      </c>
      <c r="L598" s="21" t="n">
        <v>421.94</v>
      </c>
      <c r="M598" s="21" t="n">
        <v>525</v>
      </c>
    </row>
    <row r="599">
      <c r="A599" s="9" t="inlineStr">
        <is>
          <t>HAIFENG</t>
        </is>
      </c>
      <c r="B599" s="9" t="inlineStr">
        <is>
          <t>HAIFENG 25/09/2025</t>
        </is>
      </c>
      <c r="C599" s="9" t="inlineStr">
        <is>
          <t>2025-09-25</t>
        </is>
      </c>
      <c r="D599" s="9" t="inlineStr">
        <is>
          <t>75330961067949</t>
        </is>
      </c>
      <c r="E599" s="9" t="inlineStr">
        <is>
          <t>PULSERA DOS VUELTAS SERPENTI ROSEGOLD CON ZIRCONIA</t>
        </is>
      </c>
      <c r="F599" s="9" t="inlineStr">
        <is>
          <t>Default Title</t>
        </is>
      </c>
      <c r="G599" s="9" t="n">
        <v>2</v>
      </c>
      <c r="H599" s="21" t="n">
        <v>25</v>
      </c>
      <c r="I599" s="21" t="n">
        <v>527.42</v>
      </c>
      <c r="J599" s="21" t="n">
        <v>1582.27</v>
      </c>
      <c r="K599" s="21" t="n">
        <v>1845.98</v>
      </c>
      <c r="L599" s="21" t="n">
        <v>2109.69</v>
      </c>
      <c r="M599" s="21" t="n">
        <v>2099</v>
      </c>
    </row>
    <row r="600">
      <c r="A600" s="9" t="inlineStr">
        <is>
          <t>HAIFENG</t>
        </is>
      </c>
      <c r="B600" s="9" t="inlineStr">
        <is>
          <t>HAIFENG 25/09/2025</t>
        </is>
      </c>
      <c r="C600" s="9" t="inlineStr">
        <is>
          <t>2025-09-25</t>
        </is>
      </c>
      <c r="D600" s="9" t="inlineStr">
        <is>
          <t>39396101044045</t>
        </is>
      </c>
      <c r="E600" s="9" t="inlineStr">
        <is>
          <t>PULSERA KNOT GOLD CON ZIRCONIA</t>
        </is>
      </c>
      <c r="F600" s="9" t="inlineStr">
        <is>
          <t>Default Title</t>
        </is>
      </c>
      <c r="G600" s="9" t="n">
        <v>2</v>
      </c>
      <c r="H600" s="21" t="n">
        <v>13</v>
      </c>
      <c r="I600" s="21" t="n">
        <v>274.26</v>
      </c>
      <c r="J600" s="21" t="n">
        <v>822.78</v>
      </c>
      <c r="K600" s="21" t="n">
        <v>959.91</v>
      </c>
      <c r="L600" s="21" t="n">
        <v>1097.04</v>
      </c>
      <c r="M600" s="21" t="n">
        <v>1199</v>
      </c>
    </row>
    <row r="601">
      <c r="A601" s="9" t="inlineStr">
        <is>
          <t>HAIFENG</t>
        </is>
      </c>
      <c r="B601" s="9" t="inlineStr">
        <is>
          <t>HAIFENG 25/09/2025</t>
        </is>
      </c>
      <c r="C601" s="9" t="inlineStr">
        <is>
          <t>2025-09-25</t>
        </is>
      </c>
      <c r="D601" s="9" t="inlineStr">
        <is>
          <t>30410821083277</t>
        </is>
      </c>
      <c r="E601" s="9" t="inlineStr">
        <is>
          <t>PULSERA KNOT ONE GOLD CON ZIRCONIA</t>
        </is>
      </c>
      <c r="F601" s="9" t="inlineStr">
        <is>
          <t>Default Title</t>
        </is>
      </c>
      <c r="G601" s="9" t="n">
        <v>2</v>
      </c>
      <c r="H601" s="21" t="n">
        <v>10</v>
      </c>
      <c r="I601" s="21" t="n">
        <v>210.97</v>
      </c>
      <c r="J601" s="21" t="n">
        <v>632.91</v>
      </c>
      <c r="K601" s="21" t="n">
        <v>738.39</v>
      </c>
      <c r="L601" s="21" t="n">
        <v>843.88</v>
      </c>
      <c r="M601" s="21" t="n">
        <v>577</v>
      </c>
    </row>
    <row r="602">
      <c r="A602" s="9" t="inlineStr">
        <is>
          <t>HAIFENG</t>
        </is>
      </c>
      <c r="B602" s="9" t="inlineStr">
        <is>
          <t>HAIFENG 25/09/2025</t>
        </is>
      </c>
      <c r="C602" s="9" t="inlineStr">
        <is>
          <t>2025-09-25</t>
        </is>
      </c>
      <c r="D602" s="9" t="inlineStr">
        <is>
          <t>16117871480237</t>
        </is>
      </c>
      <c r="E602" s="9" t="inlineStr">
        <is>
          <t>PULSERA KNOT ONE ROSE GOLD CON ZIRCONIA</t>
        </is>
      </c>
      <c r="F602" s="9" t="inlineStr">
        <is>
          <t>Default Title</t>
        </is>
      </c>
      <c r="G602" s="9" t="n">
        <v>2</v>
      </c>
      <c r="H602" s="21" t="n">
        <v>10</v>
      </c>
      <c r="I602" s="21" t="n">
        <v>210.97</v>
      </c>
      <c r="J602" s="21" t="n">
        <v>632.91</v>
      </c>
      <c r="K602" s="21" t="n">
        <v>738.39</v>
      </c>
      <c r="L602" s="21" t="n">
        <v>843.88</v>
      </c>
      <c r="M602" s="21" t="n">
        <v>577</v>
      </c>
    </row>
    <row r="603">
      <c r="A603" s="9" t="inlineStr">
        <is>
          <t>HAIFENG</t>
        </is>
      </c>
      <c r="B603" s="9" t="inlineStr">
        <is>
          <t>HAIFENG 25/09/2025</t>
        </is>
      </c>
      <c r="C603" s="9" t="inlineStr">
        <is>
          <t>2025-09-25</t>
        </is>
      </c>
      <c r="D603" s="9" t="inlineStr">
        <is>
          <t>79274691241741</t>
        </is>
      </c>
      <c r="E603" s="9" t="inlineStr">
        <is>
          <t>PULSERA LOVE DELGADA GOLD</t>
        </is>
      </c>
      <c r="F603" s="9" t="inlineStr">
        <is>
          <t>18cm</t>
        </is>
      </c>
      <c r="G603" s="9" t="n">
        <v>8</v>
      </c>
      <c r="H603" s="21" t="n">
        <v>5</v>
      </c>
      <c r="I603" s="21" t="n">
        <v>105.48</v>
      </c>
      <c r="J603" s="21" t="n">
        <v>316.45</v>
      </c>
      <c r="K603" s="21" t="n">
        <v>369.2</v>
      </c>
      <c r="L603" s="21" t="n">
        <v>421.94</v>
      </c>
      <c r="M603" s="21" t="n">
        <v>499</v>
      </c>
    </row>
    <row r="604">
      <c r="A604" s="9" t="inlineStr">
        <is>
          <t>HAIFENG</t>
        </is>
      </c>
      <c r="B604" s="9" t="inlineStr">
        <is>
          <t>HAIFENG 25/09/2025</t>
        </is>
      </c>
      <c r="C604" s="9" t="inlineStr">
        <is>
          <t>2025-09-25</t>
        </is>
      </c>
      <c r="D604" s="9" t="inlineStr">
        <is>
          <t>63e0c58da8cda</t>
        </is>
      </c>
      <c r="E604" s="9" t="inlineStr">
        <is>
          <t>PULSERA LOVE DELGADA ROSE GOLD</t>
        </is>
      </c>
      <c r="F604" s="9" t="inlineStr">
        <is>
          <t>17cm</t>
        </is>
      </c>
      <c r="G604" s="9" t="n">
        <v>12</v>
      </c>
      <c r="H604" s="21" t="n">
        <v>5</v>
      </c>
      <c r="I604" s="21" t="n">
        <v>105.48</v>
      </c>
      <c r="J604" s="21" t="n">
        <v>316.45</v>
      </c>
      <c r="K604" s="21" t="n">
        <v>369.2</v>
      </c>
      <c r="L604" s="21" t="n">
        <v>421.94</v>
      </c>
      <c r="M604" s="21" t="n">
        <v>499</v>
      </c>
    </row>
    <row r="605">
      <c r="A605" s="9" t="inlineStr">
        <is>
          <t>HAIFENG</t>
        </is>
      </c>
      <c r="B605" s="9" t="inlineStr">
        <is>
          <t>HAIFENG 25/09/2025</t>
        </is>
      </c>
      <c r="C605" s="9" t="inlineStr">
        <is>
          <t>2025-09-25</t>
        </is>
      </c>
      <c r="D605" s="9" t="inlineStr">
        <is>
          <t>63ebdf25cba1e</t>
        </is>
      </c>
      <c r="E605" s="9" t="inlineStr">
        <is>
          <t>PULSERA LOVE DELGADA SILVER CON MICRO ZIRCONIAS</t>
        </is>
      </c>
      <c r="F605" s="9" t="inlineStr">
        <is>
          <t>19 cm</t>
        </is>
      </c>
      <c r="G605" s="9" t="n">
        <v>3</v>
      </c>
      <c r="H605" s="21" t="n">
        <v>13</v>
      </c>
      <c r="I605" s="21" t="n">
        <v>274.26</v>
      </c>
      <c r="J605" s="21" t="n">
        <v>822.78</v>
      </c>
      <c r="K605" s="21" t="n">
        <v>959.91</v>
      </c>
      <c r="L605" s="21" t="n">
        <v>1097.04</v>
      </c>
      <c r="M605" s="21" t="n">
        <v>1099</v>
      </c>
    </row>
    <row r="606">
      <c r="A606" s="9" t="inlineStr">
        <is>
          <t>HAIFENG</t>
        </is>
      </c>
      <c r="B606" s="9" t="inlineStr">
        <is>
          <t>HAIFENG 25/09/2025</t>
        </is>
      </c>
      <c r="C606" s="9" t="inlineStr">
        <is>
          <t>2025-09-25</t>
        </is>
      </c>
      <c r="D606" s="9" t="inlineStr">
        <is>
          <t>66177006d3573</t>
        </is>
      </c>
      <c r="E606" s="9" t="inlineStr">
        <is>
          <t>PULSERA LOVE GOLD</t>
        </is>
      </c>
      <c r="F606" s="9" t="inlineStr">
        <is>
          <t>16 CM</t>
        </is>
      </c>
      <c r="G606" s="9" t="n">
        <v>14</v>
      </c>
      <c r="H606" s="21" t="n">
        <v>5</v>
      </c>
      <c r="I606" s="21" t="n">
        <v>105.48</v>
      </c>
      <c r="J606" s="21" t="n">
        <v>316.45</v>
      </c>
      <c r="K606" s="21" t="n">
        <v>369.2</v>
      </c>
      <c r="L606" s="21" t="n">
        <v>421.94</v>
      </c>
      <c r="M606" s="21" t="n">
        <v>499</v>
      </c>
    </row>
    <row r="607">
      <c r="A607" s="9" t="inlineStr">
        <is>
          <t>HAIFENG</t>
        </is>
      </c>
      <c r="B607" s="9" t="inlineStr">
        <is>
          <t>HAIFENG 25/09/2025</t>
        </is>
      </c>
      <c r="C607" s="9" t="inlineStr">
        <is>
          <t>2025-09-25</t>
        </is>
      </c>
      <c r="D607" s="9" t="inlineStr">
        <is>
          <t>56481495914636</t>
        </is>
      </c>
      <c r="E607" s="9" t="inlineStr">
        <is>
          <t>PULSERA LOVE LOVE GOLD</t>
        </is>
      </c>
      <c r="F607" s="9" t="inlineStr">
        <is>
          <t>17cm con 5cm de Extension</t>
        </is>
      </c>
      <c r="G607" s="9" t="n">
        <v>12</v>
      </c>
      <c r="H607" s="21" t="n">
        <v>5</v>
      </c>
      <c r="I607" s="21" t="n">
        <v>105.48</v>
      </c>
      <c r="J607" s="21" t="n">
        <v>316.45</v>
      </c>
      <c r="K607" s="21" t="n">
        <v>369.2</v>
      </c>
      <c r="L607" s="21" t="n">
        <v>421.94</v>
      </c>
      <c r="M607" s="21" t="n">
        <v>412</v>
      </c>
    </row>
    <row r="608">
      <c r="A608" s="9" t="inlineStr">
        <is>
          <t>HAIFENG</t>
        </is>
      </c>
      <c r="B608" s="9" t="inlineStr">
        <is>
          <t>HAIFENG 25/09/2025</t>
        </is>
      </c>
      <c r="C608" s="9" t="inlineStr">
        <is>
          <t>2025-09-25</t>
        </is>
      </c>
      <c r="D608" s="9" t="inlineStr">
        <is>
          <t>63e0c59590d66</t>
        </is>
      </c>
      <c r="E608" s="9" t="inlineStr">
        <is>
          <t>PULSERA LOVE ROSE GOLD</t>
        </is>
      </c>
      <c r="F608" s="9" t="inlineStr">
        <is>
          <t>16 cm</t>
        </is>
      </c>
      <c r="G608" s="9" t="n">
        <v>13</v>
      </c>
      <c r="H608" s="21" t="n">
        <v>5</v>
      </c>
      <c r="I608" s="21" t="n">
        <v>105.48</v>
      </c>
      <c r="J608" s="21" t="n">
        <v>316.45</v>
      </c>
      <c r="K608" s="21" t="n">
        <v>369.2</v>
      </c>
      <c r="L608" s="21" t="n">
        <v>421.94</v>
      </c>
      <c r="M608" s="21" t="n">
        <v>499</v>
      </c>
    </row>
    <row r="609">
      <c r="A609" s="9" t="inlineStr">
        <is>
          <t>HAIFENG</t>
        </is>
      </c>
      <c r="B609" s="9" t="inlineStr">
        <is>
          <t>HAIFENG 25/09/2025</t>
        </is>
      </c>
      <c r="C609" s="9" t="inlineStr">
        <is>
          <t>2025-09-25</t>
        </is>
      </c>
      <c r="D609" s="9" t="inlineStr">
        <is>
          <t>89845001062349</t>
        </is>
      </c>
      <c r="E609" s="9" t="inlineStr">
        <is>
          <t>PULSERA LV FLOWER ROSEGOLD CON ZIRCONIAS</t>
        </is>
      </c>
      <c r="F609" s="9" t="inlineStr">
        <is>
          <t>Default Title</t>
        </is>
      </c>
      <c r="G609" s="9" t="n">
        <v>2</v>
      </c>
      <c r="H609" s="21" t="n">
        <v>11</v>
      </c>
      <c r="I609" s="21" t="n">
        <v>232.07</v>
      </c>
      <c r="J609" s="21" t="n">
        <v>696.2</v>
      </c>
      <c r="K609" s="21" t="n">
        <v>812.23</v>
      </c>
      <c r="L609" s="21" t="n">
        <v>928.26</v>
      </c>
      <c r="M609" s="21" t="n">
        <v>910</v>
      </c>
    </row>
    <row r="610">
      <c r="A610" s="9" t="inlineStr">
        <is>
          <t>HAIFENG</t>
        </is>
      </c>
      <c r="B610" s="9" t="inlineStr">
        <is>
          <t>HAIFENG 25/09/2025</t>
        </is>
      </c>
      <c r="C610" s="9" t="inlineStr">
        <is>
          <t>2025-09-25</t>
        </is>
      </c>
      <c r="D610" s="9" t="inlineStr">
        <is>
          <t>14512841047597</t>
        </is>
      </c>
      <c r="E610" s="9" t="inlineStr">
        <is>
          <t>PULSERA LV IDYLLE BLOSSOM GOLD</t>
        </is>
      </c>
      <c r="F610" s="9" t="inlineStr">
        <is>
          <t>Default Title</t>
        </is>
      </c>
      <c r="G610" s="9" t="n">
        <v>3</v>
      </c>
      <c r="H610" s="21" t="n">
        <v>11</v>
      </c>
      <c r="I610" s="21" t="n">
        <v>232.07</v>
      </c>
      <c r="J610" s="21" t="n">
        <v>696.2</v>
      </c>
      <c r="K610" s="21" t="n">
        <v>812.23</v>
      </c>
      <c r="L610" s="21" t="n">
        <v>928.26</v>
      </c>
      <c r="M610" s="21" t="n">
        <v>950</v>
      </c>
    </row>
    <row r="611">
      <c r="A611" s="9" t="inlineStr">
        <is>
          <t>HAIFENG</t>
        </is>
      </c>
      <c r="B611" s="9" t="inlineStr">
        <is>
          <t>HAIFENG 25/09/2025</t>
        </is>
      </c>
      <c r="C611" s="9" t="inlineStr">
        <is>
          <t>2025-09-25</t>
        </is>
      </c>
      <c r="D611" s="9" t="inlineStr">
        <is>
          <t>67201532004237</t>
        </is>
      </c>
      <c r="E611" s="9" t="inlineStr">
        <is>
          <t>PULSERA MSS SILVER</t>
        </is>
      </c>
      <c r="F611" s="9" t="inlineStr">
        <is>
          <t>Default Title</t>
        </is>
      </c>
      <c r="G611" s="9" t="n">
        <v>7</v>
      </c>
      <c r="H611" s="21" t="n">
        <v>7</v>
      </c>
      <c r="I611" s="21" t="n">
        <v>147.68</v>
      </c>
      <c r="J611" s="21" t="n">
        <v>443.03</v>
      </c>
      <c r="K611" s="21" t="n">
        <v>516.87</v>
      </c>
      <c r="L611" s="21" t="n">
        <v>590.71</v>
      </c>
      <c r="M611" s="21" t="n">
        <v>599</v>
      </c>
    </row>
    <row r="612">
      <c r="A612" s="9" t="inlineStr">
        <is>
          <t>HAIFENG</t>
        </is>
      </c>
      <c r="B612" s="9" t="inlineStr">
        <is>
          <t>HAIFENG 25/09/2025</t>
        </is>
      </c>
      <c r="C612" s="9" t="inlineStr">
        <is>
          <t>2025-09-25</t>
        </is>
      </c>
      <c r="D612" s="9" t="inlineStr">
        <is>
          <t>67201535328333</t>
        </is>
      </c>
      <c r="E612" s="9" t="inlineStr">
        <is>
          <t>PULSERA SWEET BUTTERFLY WHITE VF</t>
        </is>
      </c>
      <c r="F612" s="9" t="inlineStr">
        <is>
          <t>Default Title</t>
        </is>
      </c>
      <c r="G612" s="9" t="n">
        <v>2</v>
      </c>
      <c r="H612" s="21" t="n">
        <v>6</v>
      </c>
      <c r="I612" s="21" t="n">
        <v>126.58</v>
      </c>
      <c r="J612" s="21" t="n">
        <v>379.74</v>
      </c>
      <c r="K612" s="21" t="n">
        <v>443.03</v>
      </c>
      <c r="L612" s="21" t="n">
        <v>506.33</v>
      </c>
      <c r="M612" s="21" t="n">
        <v>499</v>
      </c>
    </row>
    <row r="613">
      <c r="A613" s="9" t="inlineStr">
        <is>
          <t>HAIFENG</t>
        </is>
      </c>
      <c r="B613" s="9" t="inlineStr">
        <is>
          <t>HAIFENG 25/09/2025</t>
        </is>
      </c>
      <c r="C613" s="9" t="inlineStr">
        <is>
          <t>2025-09-25</t>
        </is>
      </c>
      <c r="D613" s="9" t="inlineStr">
        <is>
          <t>66075801824557</t>
        </is>
      </c>
      <c r="E613" s="9" t="inlineStr">
        <is>
          <t>PULSERA TRES AROS</t>
        </is>
      </c>
      <c r="F613" s="9" t="inlineStr">
        <is>
          <t>Default Title</t>
        </is>
      </c>
      <c r="G613" s="9" t="n">
        <v>3</v>
      </c>
      <c r="H613" s="21" t="n">
        <v>7.5</v>
      </c>
      <c r="I613" s="21" t="n">
        <v>158.23</v>
      </c>
      <c r="J613" s="21" t="n">
        <v>474.68</v>
      </c>
      <c r="K613" s="21" t="n">
        <v>553.79</v>
      </c>
      <c r="L613" s="21" t="n">
        <v>632.91</v>
      </c>
      <c r="M613" s="21" t="n">
        <v>650</v>
      </c>
    </row>
    <row r="614">
      <c r="A614" s="9" t="inlineStr">
        <is>
          <t>HAIFENG</t>
        </is>
      </c>
      <c r="B614" s="9" t="inlineStr">
        <is>
          <t>HAIFENG 25/09/2025</t>
        </is>
      </c>
      <c r="C614" s="9" t="inlineStr">
        <is>
          <t>2025-09-25</t>
        </is>
      </c>
      <c r="D614" s="9" t="inlineStr">
        <is>
          <t>66075801824557</t>
        </is>
      </c>
      <c r="E614" s="9" t="inlineStr">
        <is>
          <t>PULSERA TRES AROS</t>
        </is>
      </c>
      <c r="F614" s="9" t="inlineStr">
        <is>
          <t>Default Title</t>
        </is>
      </c>
      <c r="G614" s="9" t="n">
        <v>3</v>
      </c>
      <c r="H614" s="21" t="n">
        <v>7.5</v>
      </c>
      <c r="I614" s="21" t="n">
        <v>158.23</v>
      </c>
      <c r="J614" s="21" t="n">
        <v>474.68</v>
      </c>
      <c r="K614" s="21" t="n">
        <v>553.79</v>
      </c>
      <c r="L614" s="21" t="n">
        <v>632.91</v>
      </c>
      <c r="M614" s="21" t="n">
        <v>650</v>
      </c>
    </row>
    <row r="615">
      <c r="A615" s="9" t="inlineStr">
        <is>
          <t>ZOEY</t>
        </is>
      </c>
      <c r="B615" s="9" t="inlineStr">
        <is>
          <t>ZOEY 02/10/2025</t>
        </is>
      </c>
      <c r="C615" s="9" t="inlineStr">
        <is>
          <t>2025-10-02</t>
        </is>
      </c>
      <c r="D615" s="9" t="inlineStr">
        <is>
          <t>67308101075310</t>
        </is>
      </c>
      <c r="E615" s="9" t="inlineStr"/>
      <c r="F615" s="9" t="inlineStr">
        <is>
          <t>8</t>
        </is>
      </c>
      <c r="G615" s="9" t="n">
        <v>3</v>
      </c>
      <c r="H615" s="21" t="n">
        <v>9</v>
      </c>
      <c r="I615" s="21" t="n">
        <v>212.62</v>
      </c>
      <c r="J615" s="21" t="n">
        <v>637.85</v>
      </c>
      <c r="K615" s="21" t="n">
        <v>744.15</v>
      </c>
      <c r="L615" s="21" t="n">
        <v>850.46</v>
      </c>
      <c r="M615" s="21" t="n">
        <v>652</v>
      </c>
    </row>
    <row r="616">
      <c r="A616" s="9" t="inlineStr">
        <is>
          <t>ZOEY</t>
        </is>
      </c>
      <c r="B616" s="9" t="inlineStr">
        <is>
          <t>ZOEY 02/10/2025</t>
        </is>
      </c>
      <c r="C616" s="9" t="inlineStr">
        <is>
          <t>2025-10-02</t>
        </is>
      </c>
      <c r="D616" s="9" t="inlineStr">
        <is>
          <t>72142921022126</t>
        </is>
      </c>
      <c r="E616" s="9" t="inlineStr"/>
      <c r="F616" s="9" t="inlineStr">
        <is>
          <t>7</t>
        </is>
      </c>
      <c r="G616" s="9" t="n">
        <v>3</v>
      </c>
      <c r="H616" s="21" t="n">
        <v>9</v>
      </c>
      <c r="I616" s="21" t="n">
        <v>212.62</v>
      </c>
      <c r="J616" s="21" t="n">
        <v>637.85</v>
      </c>
      <c r="K616" s="21" t="n">
        <v>744.15</v>
      </c>
      <c r="L616" s="21" t="n">
        <v>850.46</v>
      </c>
      <c r="M616" s="21" t="n">
        <v>755</v>
      </c>
    </row>
    <row r="617">
      <c r="A617" s="9" t="inlineStr">
        <is>
          <t>ZOEY</t>
        </is>
      </c>
      <c r="B617" s="9" t="inlineStr">
        <is>
          <t>ZOEY 02/10/2025</t>
        </is>
      </c>
      <c r="C617" s="9" t="inlineStr">
        <is>
          <t>2025-10-02</t>
        </is>
      </c>
      <c r="D617" s="9" t="inlineStr">
        <is>
          <t>72142921022127</t>
        </is>
      </c>
      <c r="E617" s="9" t="inlineStr"/>
      <c r="F617" s="9" t="inlineStr">
        <is>
          <t>8</t>
        </is>
      </c>
      <c r="G617" s="9" t="n">
        <v>3</v>
      </c>
      <c r="H617" s="21" t="n">
        <v>9</v>
      </c>
      <c r="I617" s="21" t="n">
        <v>212.62</v>
      </c>
      <c r="J617" s="21" t="n">
        <v>637.85</v>
      </c>
      <c r="K617" s="21" t="n">
        <v>744.15</v>
      </c>
      <c r="L617" s="21" t="n">
        <v>850.46</v>
      </c>
      <c r="M617" s="21" t="n">
        <v>755</v>
      </c>
    </row>
    <row r="618">
      <c r="A618" s="9" t="inlineStr">
        <is>
          <t>ZOEY</t>
        </is>
      </c>
      <c r="B618" s="9" t="inlineStr">
        <is>
          <t>ZOEY 02/10/2025</t>
        </is>
      </c>
      <c r="C618" s="9" t="inlineStr">
        <is>
          <t>2025-10-02</t>
        </is>
      </c>
      <c r="D618" s="9" t="inlineStr">
        <is>
          <t>79684371047438</t>
        </is>
      </c>
      <c r="E618" s="9" t="inlineStr"/>
      <c r="F618" s="9" t="inlineStr">
        <is>
          <t>7</t>
        </is>
      </c>
      <c r="G618" s="9" t="n">
        <v>3</v>
      </c>
      <c r="H618" s="21" t="n">
        <v>12</v>
      </c>
      <c r="I618" s="21" t="n">
        <v>283.49</v>
      </c>
      <c r="J618" s="21" t="n">
        <v>850.46</v>
      </c>
      <c r="K618" s="21" t="n">
        <v>992.21</v>
      </c>
      <c r="L618" s="21" t="n">
        <v>1133.95</v>
      </c>
      <c r="M618" s="21" t="n">
        <v>799</v>
      </c>
    </row>
    <row r="619">
      <c r="A619" s="9" t="inlineStr">
        <is>
          <t>ZOEY</t>
        </is>
      </c>
      <c r="B619" s="9" t="inlineStr">
        <is>
          <t>ZOEY 02/10/2025</t>
        </is>
      </c>
      <c r="C619" s="9" t="inlineStr">
        <is>
          <t>2025-10-02</t>
        </is>
      </c>
      <c r="D619" s="9" t="inlineStr">
        <is>
          <t>29502191036206</t>
        </is>
      </c>
      <c r="E619" s="9" t="inlineStr"/>
      <c r="F619" s="9" t="inlineStr">
        <is>
          <t>9</t>
        </is>
      </c>
      <c r="G619" s="9" t="n">
        <v>2</v>
      </c>
      <c r="H619" s="21" t="n">
        <v>9</v>
      </c>
      <c r="I619" s="21" t="n">
        <v>212.62</v>
      </c>
      <c r="J619" s="21" t="n">
        <v>637.85</v>
      </c>
      <c r="K619" s="21" t="n">
        <v>744.15</v>
      </c>
      <c r="L619" s="21" t="n">
        <v>850.46</v>
      </c>
      <c r="M619" s="21" t="n">
        <v>652</v>
      </c>
    </row>
    <row r="620">
      <c r="A620" s="9" t="inlineStr">
        <is>
          <t>ZOEY</t>
        </is>
      </c>
      <c r="B620" s="9" t="inlineStr">
        <is>
          <t>ZOEY 02/10/2025</t>
        </is>
      </c>
      <c r="C620" s="9" t="inlineStr">
        <is>
          <t>2025-10-02</t>
        </is>
      </c>
      <c r="D620" s="9" t="inlineStr">
        <is>
          <t>80490861139117</t>
        </is>
      </c>
      <c r="E620" s="9" t="inlineStr"/>
      <c r="F620" s="9" t="inlineStr">
        <is>
          <t>m</t>
        </is>
      </c>
      <c r="G620" s="9" t="n">
        <v>3</v>
      </c>
      <c r="H620" s="21" t="n">
        <v>27</v>
      </c>
      <c r="I620" s="21" t="n">
        <v>637.85</v>
      </c>
      <c r="J620" s="21" t="n">
        <v>1913.54</v>
      </c>
      <c r="K620" s="21" t="n">
        <v>2232.46</v>
      </c>
      <c r="L620" s="21" t="n">
        <v>2551.39</v>
      </c>
      <c r="M620" s="21" t="n">
        <v>1370</v>
      </c>
    </row>
    <row r="621">
      <c r="A621" s="9" t="inlineStr">
        <is>
          <t>ZOEY</t>
        </is>
      </c>
      <c r="B621" s="9" t="inlineStr">
        <is>
          <t>ZOEY 02/10/2025</t>
        </is>
      </c>
      <c r="C621" s="9" t="inlineStr">
        <is>
          <t>2025-10-02</t>
        </is>
      </c>
      <c r="D621" s="9" t="inlineStr">
        <is>
          <t>60477551054606</t>
        </is>
      </c>
      <c r="E621" s="9" t="inlineStr"/>
      <c r="F621" s="9" t="inlineStr">
        <is>
          <t>L</t>
        </is>
      </c>
      <c r="G621" s="9" t="n">
        <v>2</v>
      </c>
      <c r="H621" s="21" t="n">
        <v>27</v>
      </c>
      <c r="I621" s="21" t="n">
        <v>637.85</v>
      </c>
      <c r="J621" s="21" t="n">
        <v>1913.54</v>
      </c>
      <c r="K621" s="21" t="n">
        <v>2232.46</v>
      </c>
      <c r="L621" s="21" t="n">
        <v>2551.39</v>
      </c>
      <c r="M621" s="21" t="n">
        <v>1370</v>
      </c>
    </row>
    <row r="622">
      <c r="A622" s="9" t="inlineStr">
        <is>
          <t>ZOEY</t>
        </is>
      </c>
      <c r="B622" s="9" t="inlineStr">
        <is>
          <t>ZOEY 02/10/2025</t>
        </is>
      </c>
      <c r="C622" s="9" t="inlineStr">
        <is>
          <t>2025-10-02</t>
        </is>
      </c>
      <c r="D622" s="9" t="inlineStr">
        <is>
          <t>21120091008141</t>
        </is>
      </c>
      <c r="E622" s="9" t="inlineStr"/>
      <c r="F622" s="9" t="inlineStr">
        <is>
          <t>L</t>
        </is>
      </c>
      <c r="G622" s="9" t="n">
        <v>2</v>
      </c>
      <c r="H622" s="21" t="n">
        <v>35</v>
      </c>
      <c r="I622" s="21" t="n">
        <v>826.84</v>
      </c>
      <c r="J622" s="21" t="n">
        <v>2480.51</v>
      </c>
      <c r="K622" s="21" t="n">
        <v>2893.93</v>
      </c>
      <c r="L622" s="21" t="n">
        <v>3307.35</v>
      </c>
      <c r="M622" s="21" t="n">
        <v>2899</v>
      </c>
    </row>
    <row r="623">
      <c r="A623" s="9" t="inlineStr">
        <is>
          <t>ZOEY</t>
        </is>
      </c>
      <c r="B623" s="9" t="inlineStr">
        <is>
          <t>ZOEY 02/10/2025</t>
        </is>
      </c>
      <c r="C623" s="9" t="inlineStr">
        <is>
          <t>2025-10-02</t>
        </is>
      </c>
      <c r="D623" s="9" t="inlineStr">
        <is>
          <t>88016261004302</t>
        </is>
      </c>
      <c r="E623" s="9" t="inlineStr"/>
      <c r="F623" s="9" t="inlineStr">
        <is>
          <t>M</t>
        </is>
      </c>
      <c r="G623" s="9" t="n">
        <v>2</v>
      </c>
      <c r="H623" s="21" t="n">
        <v>35</v>
      </c>
      <c r="I623" s="21" t="n">
        <v>826.84</v>
      </c>
      <c r="J623" s="21" t="n">
        <v>2480.51</v>
      </c>
      <c r="K623" s="21" t="n">
        <v>2893.93</v>
      </c>
      <c r="L623" s="21" t="n">
        <v>3307.35</v>
      </c>
      <c r="M623" s="21" t="n">
        <v>2898.67</v>
      </c>
    </row>
    <row r="624">
      <c r="A624" s="9" t="inlineStr">
        <is>
          <t>ZOEY</t>
        </is>
      </c>
      <c r="B624" s="9" t="inlineStr">
        <is>
          <t>ZOEY 02/10/2025</t>
        </is>
      </c>
      <c r="C624" s="9" t="inlineStr">
        <is>
          <t>2025-10-02</t>
        </is>
      </c>
      <c r="D624" s="9" t="inlineStr">
        <is>
          <t>48915671144269</t>
        </is>
      </c>
      <c r="E624" s="9" t="inlineStr"/>
      <c r="F624" s="9" t="inlineStr">
        <is>
          <t>M OVERSIZE</t>
        </is>
      </c>
      <c r="G624" s="9" t="n">
        <v>2</v>
      </c>
      <c r="H624" s="21" t="n">
        <v>27</v>
      </c>
      <c r="I624" s="21" t="n">
        <v>637.85</v>
      </c>
      <c r="J624" s="21" t="n">
        <v>1913.54</v>
      </c>
      <c r="K624" s="21" t="n">
        <v>2232.46</v>
      </c>
      <c r="L624" s="21" t="n">
        <v>2551.39</v>
      </c>
      <c r="M624" s="21" t="n">
        <v>2250</v>
      </c>
    </row>
    <row r="625">
      <c r="A625" s="9" t="inlineStr">
        <is>
          <t>ZOEY</t>
        </is>
      </c>
      <c r="B625" s="9" t="inlineStr">
        <is>
          <t>ZOEY 02/10/2025</t>
        </is>
      </c>
      <c r="C625" s="9" t="inlineStr">
        <is>
          <t>2025-10-02</t>
        </is>
      </c>
      <c r="D625" s="9" t="inlineStr">
        <is>
          <t>10427542282893</t>
        </is>
      </c>
      <c r="E625" s="9" t="inlineStr"/>
      <c r="F625" s="9" t="inlineStr">
        <is>
          <t>39mm Hombre Con Caja</t>
        </is>
      </c>
      <c r="G625" s="9" t="n">
        <v>5</v>
      </c>
      <c r="H625" s="21" t="n">
        <v>68</v>
      </c>
      <c r="I625" s="21" t="n">
        <v>1606.43</v>
      </c>
      <c r="J625" s="21" t="n">
        <v>4819.28</v>
      </c>
      <c r="K625" s="21" t="n">
        <v>5622.5</v>
      </c>
      <c r="L625" s="21" t="n">
        <v>6425.71</v>
      </c>
      <c r="M625" s="21" t="n">
        <v>5650</v>
      </c>
    </row>
    <row r="626">
      <c r="A626" s="9" t="inlineStr">
        <is>
          <t>ZOEY</t>
        </is>
      </c>
      <c r="B626" s="9" t="inlineStr">
        <is>
          <t>ZOEY 02/10/2025</t>
        </is>
      </c>
      <c r="C626" s="9" t="inlineStr">
        <is>
          <t>2025-10-02</t>
        </is>
      </c>
      <c r="D626" s="9" t="inlineStr">
        <is>
          <t>67308101075309</t>
        </is>
      </c>
      <c r="E626" s="9" t="inlineStr">
        <is>
          <t>ANILLO CD GOLD BLACK CON ZIRCONIA ANCHO</t>
        </is>
      </c>
      <c r="F626" s="9" t="inlineStr">
        <is>
          <t>7</t>
        </is>
      </c>
      <c r="G626" s="9" t="n">
        <v>3</v>
      </c>
      <c r="H626" s="21" t="n">
        <v>9</v>
      </c>
      <c r="I626" s="21" t="n">
        <v>212.62</v>
      </c>
      <c r="J626" s="21" t="n">
        <v>637.85</v>
      </c>
      <c r="K626" s="21" t="n">
        <v>744.15</v>
      </c>
      <c r="L626" s="21" t="n">
        <v>850.46</v>
      </c>
      <c r="M626" s="21" t="n">
        <v>652</v>
      </c>
    </row>
    <row r="627">
      <c r="A627" s="9" t="inlineStr">
        <is>
          <t>ZOEY</t>
        </is>
      </c>
      <c r="B627" s="9" t="inlineStr">
        <is>
          <t>ZOEY 02/10/2025</t>
        </is>
      </c>
      <c r="C627" s="9" t="inlineStr">
        <is>
          <t>2025-10-02</t>
        </is>
      </c>
      <c r="D627" s="9" t="inlineStr">
        <is>
          <t>72142921022125</t>
        </is>
      </c>
      <c r="E627" s="9" t="inlineStr">
        <is>
          <t>ANILLO CD GOLD WHITE CON ZIRCONIA</t>
        </is>
      </c>
      <c r="F627" s="9" t="inlineStr">
        <is>
          <t>6</t>
        </is>
      </c>
      <c r="G627" s="9" t="n">
        <v>3</v>
      </c>
      <c r="H627" s="21" t="n">
        <v>9</v>
      </c>
      <c r="I627" s="21" t="n">
        <v>212.62</v>
      </c>
      <c r="J627" s="21" t="n">
        <v>637.85</v>
      </c>
      <c r="K627" s="21" t="n">
        <v>744.15</v>
      </c>
      <c r="L627" s="21" t="n">
        <v>850.46</v>
      </c>
      <c r="M627" s="21" t="n">
        <v>975</v>
      </c>
    </row>
    <row r="628">
      <c r="A628" s="9" t="inlineStr">
        <is>
          <t>ZOEY</t>
        </is>
      </c>
      <c r="B628" s="9" t="inlineStr">
        <is>
          <t>ZOEY 02/10/2025</t>
        </is>
      </c>
      <c r="C628" s="9" t="inlineStr">
        <is>
          <t>2025-10-02</t>
        </is>
      </c>
      <c r="D628" s="9" t="inlineStr">
        <is>
          <t>79684371047437</t>
        </is>
      </c>
      <c r="E628" s="9" t="inlineStr">
        <is>
          <t>ANILLO GC BLONDIE ANCHO CON ZIRCONIA</t>
        </is>
      </c>
      <c r="F628" s="9" t="inlineStr">
        <is>
          <t>8</t>
        </is>
      </c>
      <c r="G628" s="9" t="n">
        <v>2</v>
      </c>
      <c r="H628" s="21" t="n">
        <v>9</v>
      </c>
      <c r="I628" s="21" t="n">
        <v>212.62</v>
      </c>
      <c r="J628" s="21" t="n">
        <v>637.85</v>
      </c>
      <c r="K628" s="21" t="n">
        <v>744.15</v>
      </c>
      <c r="L628" s="21" t="n">
        <v>850.46</v>
      </c>
      <c r="M628" s="21" t="n">
        <v>799</v>
      </c>
    </row>
    <row r="629">
      <c r="A629" s="9" t="inlineStr">
        <is>
          <t>ZOEY</t>
        </is>
      </c>
      <c r="B629" s="9" t="inlineStr">
        <is>
          <t>ZOEY 02/10/2025</t>
        </is>
      </c>
      <c r="C629" s="9" t="inlineStr">
        <is>
          <t>2025-10-02</t>
        </is>
      </c>
      <c r="D629" s="9" t="inlineStr">
        <is>
          <t>29502191036205</t>
        </is>
      </c>
      <c r="E629" s="9" t="inlineStr">
        <is>
          <t>ANILLO LV LES GASTONS SILVER</t>
        </is>
      </c>
      <c r="F629" s="9" t="inlineStr">
        <is>
          <t>8</t>
        </is>
      </c>
      <c r="G629" s="9" t="n">
        <v>3</v>
      </c>
      <c r="H629" s="21" t="n">
        <v>9</v>
      </c>
      <c r="I629" s="21" t="n">
        <v>212.62</v>
      </c>
      <c r="J629" s="21" t="n">
        <v>637.85</v>
      </c>
      <c r="K629" s="21" t="n">
        <v>744.15</v>
      </c>
      <c r="L629" s="21" t="n">
        <v>850.46</v>
      </c>
      <c r="M629" s="21" t="n">
        <v>652</v>
      </c>
    </row>
    <row r="630">
      <c r="A630" s="9" t="inlineStr">
        <is>
          <t>ZOEY</t>
        </is>
      </c>
      <c r="B630" s="9" t="inlineStr">
        <is>
          <t>ZOEY 02/10/2025</t>
        </is>
      </c>
      <c r="C630" s="9" t="inlineStr">
        <is>
          <t>2025-10-02</t>
        </is>
      </c>
      <c r="D630" s="9" t="inlineStr">
        <is>
          <t>88201821024717</t>
        </is>
      </c>
      <c r="E630" s="9" t="inlineStr">
        <is>
          <t>ANILLO LV SILVER MICROZIRCONIAS</t>
        </is>
      </c>
      <c r="F630" s="9" t="inlineStr">
        <is>
          <t>8</t>
        </is>
      </c>
      <c r="G630" s="9" t="n">
        <v>2</v>
      </c>
      <c r="H630" s="21" t="n">
        <v>9</v>
      </c>
      <c r="I630" s="21" t="n">
        <v>212.62</v>
      </c>
      <c r="J630" s="21" t="n">
        <v>637.85</v>
      </c>
      <c r="K630" s="21" t="n">
        <v>744.15</v>
      </c>
      <c r="L630" s="21" t="n">
        <v>850.46</v>
      </c>
      <c r="M630" s="21" t="n">
        <v>652</v>
      </c>
    </row>
    <row r="631">
      <c r="A631" s="9" t="inlineStr">
        <is>
          <t>ZOEY</t>
        </is>
      </c>
      <c r="B631" s="9" t="inlineStr">
        <is>
          <t>ZOEY 02/10/2025</t>
        </is>
      </c>
      <c r="C631" s="9" t="inlineStr">
        <is>
          <t>2025-10-02</t>
        </is>
      </c>
      <c r="D631" s="9" t="inlineStr">
        <is>
          <t>75249151006253</t>
        </is>
      </c>
      <c r="E631" s="9" t="inlineStr">
        <is>
          <t>ARETES BV ZERO 1 GOLD CON ZIRCONIA</t>
        </is>
      </c>
      <c r="F631" s="9" t="inlineStr">
        <is>
          <t>Default Title</t>
        </is>
      </c>
      <c r="G631" s="9" t="n">
        <v>2</v>
      </c>
      <c r="H631" s="21" t="n">
        <v>9</v>
      </c>
      <c r="I631" s="21" t="n">
        <v>212.62</v>
      </c>
      <c r="J631" s="21" t="n">
        <v>637.85</v>
      </c>
      <c r="K631" s="21" t="n">
        <v>744.15</v>
      </c>
      <c r="L631" s="21" t="n">
        <v>850.46</v>
      </c>
      <c r="M631" s="21" t="n">
        <v>745</v>
      </c>
    </row>
    <row r="632">
      <c r="A632" s="9" t="inlineStr">
        <is>
          <t>ZOEY</t>
        </is>
      </c>
      <c r="B632" s="9" t="inlineStr">
        <is>
          <t>ZOEY 02/10/2025</t>
        </is>
      </c>
      <c r="C632" s="9" t="inlineStr">
        <is>
          <t>2025-10-02</t>
        </is>
      </c>
      <c r="D632" s="9" t="inlineStr">
        <is>
          <t>66148671022797</t>
        </is>
      </c>
      <c r="E632" s="9" t="inlineStr">
        <is>
          <t>ARETES CD GOLD BLACK CON ZIRCONIA</t>
        </is>
      </c>
      <c r="F632" s="9" t="inlineStr">
        <is>
          <t>Default Title</t>
        </is>
      </c>
      <c r="G632" s="9" t="n">
        <v>3</v>
      </c>
      <c r="H632" s="21" t="n">
        <v>9</v>
      </c>
      <c r="I632" s="21" t="n">
        <v>212.62</v>
      </c>
      <c r="J632" s="21" t="n">
        <v>637.85</v>
      </c>
      <c r="K632" s="21" t="n">
        <v>744.15</v>
      </c>
      <c r="L632" s="21" t="n">
        <v>850.46</v>
      </c>
      <c r="M632" s="21" t="n">
        <v>799</v>
      </c>
    </row>
    <row r="633">
      <c r="A633" s="9" t="inlineStr">
        <is>
          <t>ZOEY</t>
        </is>
      </c>
      <c r="B633" s="9" t="inlineStr">
        <is>
          <t>ZOEY 02/10/2025</t>
        </is>
      </c>
      <c r="C633" s="9" t="inlineStr">
        <is>
          <t>2025-10-02</t>
        </is>
      </c>
      <c r="D633" s="9" t="inlineStr">
        <is>
          <t>69612281066221</t>
        </is>
      </c>
      <c r="E633" s="9" t="inlineStr">
        <is>
          <t>ARETES CD GOLD WHITE CON ZIRCONIA</t>
        </is>
      </c>
      <c r="F633" s="9" t="inlineStr">
        <is>
          <t>Default Title</t>
        </is>
      </c>
      <c r="G633" s="9" t="n">
        <v>3</v>
      </c>
      <c r="H633" s="21" t="n">
        <v>9</v>
      </c>
      <c r="I633" s="21" t="n">
        <v>212.62</v>
      </c>
      <c r="J633" s="21" t="n">
        <v>637.85</v>
      </c>
      <c r="K633" s="21" t="n">
        <v>744.15</v>
      </c>
      <c r="L633" s="21" t="n">
        <v>850.46</v>
      </c>
      <c r="M633" s="21" t="n">
        <v>959</v>
      </c>
    </row>
    <row r="634">
      <c r="A634" s="9" t="inlineStr">
        <is>
          <t>ZOEY</t>
        </is>
      </c>
      <c r="B634" s="9" t="inlineStr">
        <is>
          <t>ZOEY 02/10/2025</t>
        </is>
      </c>
      <c r="C634" s="9" t="inlineStr">
        <is>
          <t>2025-10-02</t>
        </is>
      </c>
      <c r="D634" s="9" t="inlineStr">
        <is>
          <t>85409401017325</t>
        </is>
      </c>
      <c r="E634" s="9" t="inlineStr">
        <is>
          <t>ARETES F OVAL GOLD CON ZIRCONIA</t>
        </is>
      </c>
      <c r="F634" s="9" t="inlineStr">
        <is>
          <t>Default Title</t>
        </is>
      </c>
      <c r="G634" s="9" t="n">
        <v>3</v>
      </c>
      <c r="H634" s="21" t="n">
        <v>8</v>
      </c>
      <c r="I634" s="21" t="n">
        <v>188.99</v>
      </c>
      <c r="J634" s="21" t="n">
        <v>566.97</v>
      </c>
      <c r="K634" s="21" t="n">
        <v>661.47</v>
      </c>
      <c r="L634" s="21" t="n">
        <v>755.97</v>
      </c>
      <c r="M634" s="21" t="n">
        <v>850</v>
      </c>
    </row>
    <row r="635">
      <c r="A635" s="9" t="inlineStr">
        <is>
          <t>ZOEY</t>
        </is>
      </c>
      <c r="B635" s="9" t="inlineStr">
        <is>
          <t>ZOEY 02/10/2025</t>
        </is>
      </c>
      <c r="C635" s="9" t="inlineStr">
        <is>
          <t>2025-10-02</t>
        </is>
      </c>
      <c r="D635" s="9" t="inlineStr">
        <is>
          <t>83445961082989</t>
        </is>
      </c>
      <c r="E635" s="9" t="inlineStr">
        <is>
          <t>ARETES GC MARMONT GOLD CON PERLA</t>
        </is>
      </c>
      <c r="F635" s="9" t="inlineStr">
        <is>
          <t>Default Title</t>
        </is>
      </c>
      <c r="G635" s="9" t="n">
        <v>3</v>
      </c>
      <c r="H635" s="21" t="n">
        <v>9</v>
      </c>
      <c r="I635" s="21" t="n">
        <v>212.62</v>
      </c>
      <c r="J635" s="21" t="n">
        <v>637.85</v>
      </c>
      <c r="K635" s="21" t="n">
        <v>744.15</v>
      </c>
      <c r="L635" s="21" t="n">
        <v>850.46</v>
      </c>
      <c r="M635" s="21" t="n">
        <v>580</v>
      </c>
    </row>
    <row r="636">
      <c r="A636" s="9" t="inlineStr">
        <is>
          <t>ZOEY</t>
        </is>
      </c>
      <c r="B636" s="9" t="inlineStr">
        <is>
          <t>ZOEY 02/10/2025</t>
        </is>
      </c>
      <c r="C636" s="9" t="inlineStr">
        <is>
          <t>2025-10-02</t>
        </is>
      </c>
      <c r="D636" s="9" t="inlineStr">
        <is>
          <t>77275241042893</t>
        </is>
      </c>
      <c r="E636" s="9" t="inlineStr">
        <is>
          <t>ARETES MM HEART GOLD WHITE</t>
        </is>
      </c>
      <c r="F636" s="9" t="inlineStr">
        <is>
          <t>2cm</t>
        </is>
      </c>
      <c r="G636" s="9" t="n">
        <v>4</v>
      </c>
      <c r="H636" s="21" t="n">
        <v>8</v>
      </c>
      <c r="I636" s="21" t="n">
        <v>188.99</v>
      </c>
      <c r="J636" s="21" t="n">
        <v>566.97</v>
      </c>
      <c r="K636" s="21" t="n">
        <v>661.47</v>
      </c>
      <c r="L636" s="21" t="n">
        <v>755.97</v>
      </c>
      <c r="M636" s="21" t="n">
        <v>850</v>
      </c>
    </row>
    <row r="637">
      <c r="A637" s="9" t="inlineStr">
        <is>
          <t>ZOEY</t>
        </is>
      </c>
      <c r="B637" s="9" t="inlineStr">
        <is>
          <t>ZOEY 02/10/2025</t>
        </is>
      </c>
      <c r="C637" s="9" t="inlineStr">
        <is>
          <t>2025-10-02</t>
        </is>
      </c>
      <c r="D637" s="9" t="inlineStr">
        <is>
          <t>82310551082381</t>
        </is>
      </c>
      <c r="E637" s="9" t="inlineStr">
        <is>
          <t>ARRACADAS F LOGO GOLD</t>
        </is>
      </c>
      <c r="F637" s="9" t="inlineStr">
        <is>
          <t>Default Title</t>
        </is>
      </c>
      <c r="G637" s="9" t="n">
        <v>4</v>
      </c>
      <c r="H637" s="21" t="n">
        <v>9</v>
      </c>
      <c r="I637" s="21" t="n">
        <v>212.62</v>
      </c>
      <c r="J637" s="21" t="n">
        <v>637.85</v>
      </c>
      <c r="K637" s="21" t="n">
        <v>744.15</v>
      </c>
      <c r="L637" s="21" t="n">
        <v>850.46</v>
      </c>
      <c r="M637" s="21" t="n">
        <v>652.2</v>
      </c>
    </row>
    <row r="638">
      <c r="A638" s="9" t="inlineStr">
        <is>
          <t>ZOEY</t>
        </is>
      </c>
      <c r="B638" s="9" t="inlineStr">
        <is>
          <t>ZOEY 02/10/2025</t>
        </is>
      </c>
      <c r="C638" s="9" t="inlineStr">
        <is>
          <t>2025-10-02</t>
        </is>
      </c>
      <c r="D638" s="9" t="inlineStr">
        <is>
          <t>76327071018669</t>
        </is>
      </c>
      <c r="E638" s="9" t="inlineStr">
        <is>
          <t>ARRACADAS SERPENTI VIPPER GOLD CON ZIRCONIA</t>
        </is>
      </c>
      <c r="F638" s="9" t="inlineStr">
        <is>
          <t>Default Title</t>
        </is>
      </c>
      <c r="G638" s="9" t="n">
        <v>3</v>
      </c>
      <c r="H638" s="21" t="n">
        <v>9</v>
      </c>
      <c r="I638" s="21" t="n">
        <v>212.62</v>
      </c>
      <c r="J638" s="21" t="n">
        <v>637.85</v>
      </c>
      <c r="K638" s="21" t="n">
        <v>744.15</v>
      </c>
      <c r="L638" s="21" t="n">
        <v>850.46</v>
      </c>
      <c r="M638" s="21" t="n">
        <v>799</v>
      </c>
    </row>
    <row r="639">
      <c r="A639" s="9" t="inlineStr">
        <is>
          <t>ZOEY</t>
        </is>
      </c>
      <c r="B639" s="9" t="inlineStr">
        <is>
          <t>ZOEY 02/10/2025</t>
        </is>
      </c>
      <c r="C639" s="9" t="inlineStr">
        <is>
          <t>2025-10-02</t>
        </is>
      </c>
      <c r="D639" s="9" t="inlineStr">
        <is>
          <t>46740671064493</t>
        </is>
      </c>
      <c r="E639" s="9" t="inlineStr">
        <is>
          <t>BOLSA DE DEPORTE BLACK</t>
        </is>
      </c>
      <c r="F639" s="9" t="inlineStr">
        <is>
          <t>Default Title</t>
        </is>
      </c>
      <c r="G639" s="9" t="n">
        <v>2</v>
      </c>
      <c r="H639" s="21" t="n">
        <v>15</v>
      </c>
      <c r="I639" s="21" t="n">
        <v>354.36</v>
      </c>
      <c r="J639" s="21" t="n">
        <v>1063.08</v>
      </c>
      <c r="K639" s="21" t="n">
        <v>1240.26</v>
      </c>
      <c r="L639" s="21" t="n">
        <v>1417.44</v>
      </c>
      <c r="M639" s="21" t="n">
        <v>3330</v>
      </c>
    </row>
    <row r="640">
      <c r="A640" s="9" t="inlineStr">
        <is>
          <t>ZOEY</t>
        </is>
      </c>
      <c r="B640" s="9" t="inlineStr">
        <is>
          <t>ZOEY 02/10/2025</t>
        </is>
      </c>
      <c r="C640" s="9" t="inlineStr">
        <is>
          <t>2025-10-02</t>
        </is>
      </c>
      <c r="D640" s="9" t="inlineStr">
        <is>
          <t>73626631067117</t>
        </is>
      </c>
      <c r="E640" s="9" t="inlineStr">
        <is>
          <t>BOLSA DE MANO G GREEN</t>
        </is>
      </c>
      <c r="F640" s="9" t="inlineStr">
        <is>
          <t>Default Title</t>
        </is>
      </c>
      <c r="G640" s="9" t="n">
        <v>2</v>
      </c>
      <c r="H640" s="21" t="n">
        <v>46</v>
      </c>
      <c r="I640" s="21" t="n">
        <v>1086.7</v>
      </c>
      <c r="J640" s="21" t="n">
        <v>3260.1</v>
      </c>
      <c r="K640" s="21" t="n">
        <v>3803.45</v>
      </c>
      <c r="L640" s="21" t="n">
        <v>4346.8</v>
      </c>
      <c r="M640" s="21" t="n">
        <v>2999</v>
      </c>
    </row>
    <row r="641">
      <c r="A641" s="9" t="inlineStr">
        <is>
          <t>ZOEY</t>
        </is>
      </c>
      <c r="B641" s="9" t="inlineStr">
        <is>
          <t>ZOEY 02/10/2025</t>
        </is>
      </c>
      <c r="C641" s="9" t="inlineStr">
        <is>
          <t>2025-10-02</t>
        </is>
      </c>
      <c r="D641" s="9" t="inlineStr">
        <is>
          <t>58450831080173</t>
        </is>
      </c>
      <c r="E641" s="9" t="inlineStr">
        <is>
          <t>BOLSA DE RAQUETA LLM CREAM</t>
        </is>
      </c>
      <c r="F641" s="9" t="inlineStr">
        <is>
          <t>Default Title</t>
        </is>
      </c>
      <c r="G641" s="9" t="n">
        <v>2</v>
      </c>
      <c r="H641" s="21" t="n">
        <v>8</v>
      </c>
      <c r="I641" s="21" t="n">
        <v>188.99</v>
      </c>
      <c r="J641" s="21" t="n">
        <v>566.97</v>
      </c>
      <c r="K641" s="21" t="n">
        <v>661.47</v>
      </c>
      <c r="L641" s="21" t="n">
        <v>755.97</v>
      </c>
      <c r="M641" s="21" t="n">
        <v>2500</v>
      </c>
    </row>
    <row r="642">
      <c r="A642" s="9" t="inlineStr">
        <is>
          <t>ZOEY</t>
        </is>
      </c>
      <c r="B642" s="9" t="inlineStr">
        <is>
          <t>ZOEY 02/10/2025</t>
        </is>
      </c>
      <c r="C642" s="9" t="inlineStr">
        <is>
          <t>2025-10-02</t>
        </is>
      </c>
      <c r="D642" s="9" t="inlineStr">
        <is>
          <t>27168511089165</t>
        </is>
      </c>
      <c r="E642" s="9" t="inlineStr">
        <is>
          <t>BOLSA GG SMALL BROWN</t>
        </is>
      </c>
      <c r="F642" s="9" t="inlineStr">
        <is>
          <t>Default Title</t>
        </is>
      </c>
      <c r="G642" s="9" t="n">
        <v>3</v>
      </c>
      <c r="H642" s="21" t="n">
        <v>28</v>
      </c>
      <c r="I642" s="21" t="n">
        <v>661.47</v>
      </c>
      <c r="J642" s="21" t="n">
        <v>1984.41</v>
      </c>
      <c r="K642" s="21" t="n">
        <v>2315.15</v>
      </c>
      <c r="L642" s="21" t="n">
        <v>2645.88</v>
      </c>
      <c r="M642" s="21" t="n">
        <v>3850</v>
      </c>
    </row>
    <row r="643">
      <c r="A643" s="9" t="inlineStr">
        <is>
          <t>ZOEY</t>
        </is>
      </c>
      <c r="B643" s="9" t="inlineStr">
        <is>
          <t>ZOEY 02/10/2025</t>
        </is>
      </c>
      <c r="C643" s="9" t="inlineStr">
        <is>
          <t>2025-10-02</t>
        </is>
      </c>
      <c r="D643" s="9" t="inlineStr">
        <is>
          <t>62571331097101</t>
        </is>
      </c>
      <c r="E643" s="9" t="inlineStr">
        <is>
          <t>BOLSA LLM BLACK</t>
        </is>
      </c>
      <c r="F643" s="9" t="inlineStr">
        <is>
          <t>Default Title</t>
        </is>
      </c>
      <c r="G643" s="9" t="n">
        <v>2</v>
      </c>
      <c r="H643" s="21" t="n">
        <v>35</v>
      </c>
      <c r="I643" s="21" t="n">
        <v>826.84</v>
      </c>
      <c r="J643" s="21" t="n">
        <v>2480.51</v>
      </c>
      <c r="K643" s="21" t="n">
        <v>2893.93</v>
      </c>
      <c r="L643" s="21" t="n">
        <v>3307.35</v>
      </c>
      <c r="M643" s="21" t="n">
        <v>667</v>
      </c>
    </row>
    <row r="644">
      <c r="A644" s="9" t="inlineStr">
        <is>
          <t>ZOEY</t>
        </is>
      </c>
      <c r="B644" s="9" t="inlineStr">
        <is>
          <t>ZOEY 02/10/2025</t>
        </is>
      </c>
      <c r="C644" s="9" t="inlineStr">
        <is>
          <t>2025-10-02</t>
        </is>
      </c>
      <c r="D644" s="9" t="inlineStr">
        <is>
          <t>83188051093645</t>
        </is>
      </c>
      <c r="E644" s="9" t="inlineStr">
        <is>
          <t>BRAZALETE F GOLD BLACK</t>
        </is>
      </c>
      <c r="F644" s="9" t="inlineStr">
        <is>
          <t>HIGH QUALITY</t>
        </is>
      </c>
      <c r="G644" s="9" t="n">
        <v>4</v>
      </c>
      <c r="H644" s="21" t="n">
        <v>11</v>
      </c>
      <c r="I644" s="21" t="n">
        <v>259.86</v>
      </c>
      <c r="J644" s="21" t="n">
        <v>779.59</v>
      </c>
      <c r="K644" s="21" t="n">
        <v>909.52</v>
      </c>
      <c r="L644" s="21" t="n">
        <v>1039.45</v>
      </c>
      <c r="M644" s="21" t="n">
        <v>911.01</v>
      </c>
    </row>
    <row r="645">
      <c r="A645" s="9" t="inlineStr">
        <is>
          <t>ZOEY</t>
        </is>
      </c>
      <c r="B645" s="9" t="inlineStr">
        <is>
          <t>ZOEY 02/10/2025</t>
        </is>
      </c>
      <c r="C645" s="9" t="inlineStr">
        <is>
          <t>2025-10-02</t>
        </is>
      </c>
      <c r="D645" s="9" t="inlineStr">
        <is>
          <t>86312001095277</t>
        </is>
      </c>
      <c r="E645" s="9" t="inlineStr">
        <is>
          <t>BRAZALETE F SILVER CON MICROZIRCONIAS</t>
        </is>
      </c>
      <c r="F645" s="9" t="inlineStr">
        <is>
          <t>Default Title</t>
        </is>
      </c>
      <c r="G645" s="9" t="n">
        <v>4</v>
      </c>
      <c r="H645" s="21" t="n">
        <v>8</v>
      </c>
      <c r="I645" s="21" t="n">
        <v>188.99</v>
      </c>
      <c r="J645" s="21" t="n">
        <v>566.97</v>
      </c>
      <c r="K645" s="21" t="n">
        <v>661.47</v>
      </c>
      <c r="L645" s="21" t="n">
        <v>755.97</v>
      </c>
      <c r="M645" s="21" t="n">
        <v>663</v>
      </c>
    </row>
    <row r="646">
      <c r="A646" s="9" t="inlineStr">
        <is>
          <t>ZOEY</t>
        </is>
      </c>
      <c r="B646" s="9" t="inlineStr">
        <is>
          <t>ZOEY 02/10/2025</t>
        </is>
      </c>
      <c r="C646" s="9" t="inlineStr">
        <is>
          <t>2025-10-02</t>
        </is>
      </c>
      <c r="D646" s="9" t="inlineStr">
        <is>
          <t>80380861033869</t>
        </is>
      </c>
      <c r="E646" s="9" t="inlineStr">
        <is>
          <t>BRAZALETE GC BLONDIE CRISTAL BANGLE GOLD</t>
        </is>
      </c>
      <c r="F646" s="9" t="inlineStr">
        <is>
          <t>HIGH QUALITY</t>
        </is>
      </c>
      <c r="G646" s="9" t="n">
        <v>2</v>
      </c>
      <c r="H646" s="21" t="n">
        <v>11</v>
      </c>
      <c r="I646" s="21" t="n">
        <v>259.86</v>
      </c>
      <c r="J646" s="21" t="n">
        <v>779.59</v>
      </c>
      <c r="K646" s="21" t="n">
        <v>909.52</v>
      </c>
      <c r="L646" s="21" t="n">
        <v>1039.45</v>
      </c>
      <c r="M646" s="21" t="n">
        <v>1020</v>
      </c>
    </row>
    <row r="647">
      <c r="A647" s="9" t="inlineStr">
        <is>
          <t>ZOEY</t>
        </is>
      </c>
      <c r="B647" s="9" t="inlineStr">
        <is>
          <t>ZOEY 02/10/2025</t>
        </is>
      </c>
      <c r="C647" s="9" t="inlineStr">
        <is>
          <t>2025-10-02</t>
        </is>
      </c>
      <c r="D647" s="9" t="inlineStr">
        <is>
          <t>80490861006349</t>
        </is>
      </c>
      <c r="E647" s="9" t="inlineStr">
        <is>
          <t>CAMISETA ALLS BLACK</t>
        </is>
      </c>
      <c r="F647" s="9" t="inlineStr">
        <is>
          <t>l</t>
        </is>
      </c>
      <c r="G647" s="9" t="n">
        <v>2</v>
      </c>
      <c r="H647" s="21" t="n">
        <v>27</v>
      </c>
      <c r="I647" s="21" t="n">
        <v>637.85</v>
      </c>
      <c r="J647" s="21" t="n">
        <v>1913.54</v>
      </c>
      <c r="K647" s="21" t="n">
        <v>2232.46</v>
      </c>
      <c r="L647" s="21" t="n">
        <v>2551.39</v>
      </c>
      <c r="M647" s="21" t="n">
        <v>1370</v>
      </c>
    </row>
    <row r="648">
      <c r="A648" s="9" t="inlineStr">
        <is>
          <t>ZOEY</t>
        </is>
      </c>
      <c r="B648" s="9" t="inlineStr">
        <is>
          <t>ZOEY 02/10/2025</t>
        </is>
      </c>
      <c r="C648" s="9" t="inlineStr">
        <is>
          <t>2025-10-02</t>
        </is>
      </c>
      <c r="D648" s="9" t="inlineStr">
        <is>
          <t>60477551054605</t>
        </is>
      </c>
      <c r="E648" s="9" t="inlineStr">
        <is>
          <t>CAMISETA ALLS WHITE</t>
        </is>
      </c>
      <c r="F648" s="9" t="inlineStr">
        <is>
          <t>M</t>
        </is>
      </c>
      <c r="G648" s="9" t="n">
        <v>3</v>
      </c>
      <c r="H648" s="21" t="n">
        <v>27</v>
      </c>
      <c r="I648" s="21" t="n">
        <v>637.85</v>
      </c>
      <c r="J648" s="21" t="n">
        <v>1913.54</v>
      </c>
      <c r="K648" s="21" t="n">
        <v>2232.46</v>
      </c>
      <c r="L648" s="21" t="n">
        <v>2551.39</v>
      </c>
      <c r="M648" s="21" t="n">
        <v>1370</v>
      </c>
    </row>
    <row r="649">
      <c r="A649" s="9" t="inlineStr">
        <is>
          <t>ZOEY</t>
        </is>
      </c>
      <c r="B649" s="9" t="inlineStr">
        <is>
          <t>ZOEY 02/10/2025</t>
        </is>
      </c>
      <c r="C649" s="9" t="inlineStr">
        <is>
          <t>2025-10-02</t>
        </is>
      </c>
      <c r="D649" s="9" t="inlineStr">
        <is>
          <t>48915671011501</t>
        </is>
      </c>
      <c r="E649" s="9" t="inlineStr">
        <is>
          <t>CAMISETA CD OBLIQUE BLACK</t>
        </is>
      </c>
      <c r="F649" s="9" t="inlineStr">
        <is>
          <t>L OVERSIZE</t>
        </is>
      </c>
      <c r="G649" s="9" t="n">
        <v>4</v>
      </c>
      <c r="H649" s="21" t="n">
        <v>10</v>
      </c>
      <c r="I649" s="21" t="n">
        <v>236.24</v>
      </c>
      <c r="J649" s="21" t="n">
        <v>708.72</v>
      </c>
      <c r="K649" s="21" t="n">
        <v>826.84</v>
      </c>
      <c r="L649" s="21" t="n">
        <v>944.96</v>
      </c>
      <c r="M649" s="21" t="n">
        <v>2250</v>
      </c>
    </row>
    <row r="650">
      <c r="A650" s="9" t="inlineStr">
        <is>
          <t>ZOEY</t>
        </is>
      </c>
      <c r="B650" s="9" t="inlineStr">
        <is>
          <t>ZOEY 02/10/2025</t>
        </is>
      </c>
      <c r="C650" s="9" t="inlineStr">
        <is>
          <t>2025-10-02</t>
        </is>
      </c>
      <c r="D650" s="9" t="inlineStr">
        <is>
          <t>63264441047757</t>
        </is>
      </c>
      <c r="E650" s="9" t="inlineStr">
        <is>
          <t>COLLAR CD GOLD CON PERLAS</t>
        </is>
      </c>
      <c r="F650" s="9" t="inlineStr">
        <is>
          <t>Default Title</t>
        </is>
      </c>
      <c r="G650" s="9" t="n">
        <v>3</v>
      </c>
      <c r="H650" s="21" t="n">
        <v>9</v>
      </c>
      <c r="I650" s="21" t="n">
        <v>212.62</v>
      </c>
      <c r="J650" s="21" t="n">
        <v>637.85</v>
      </c>
      <c r="K650" s="21" t="n">
        <v>744.15</v>
      </c>
      <c r="L650" s="21" t="n">
        <v>850.46</v>
      </c>
      <c r="M650" s="21" t="n">
        <v>959</v>
      </c>
    </row>
    <row r="651">
      <c r="A651" s="9" t="inlineStr">
        <is>
          <t>ZOEY</t>
        </is>
      </c>
      <c r="B651" s="9" t="inlineStr">
        <is>
          <t>ZOEY 02/10/2025</t>
        </is>
      </c>
      <c r="C651" s="9" t="inlineStr">
        <is>
          <t>2025-10-02</t>
        </is>
      </c>
      <c r="D651" s="9" t="inlineStr">
        <is>
          <t>81420901016909</t>
        </is>
      </c>
      <c r="E651" s="9" t="inlineStr">
        <is>
          <t>COLLAR DE CADENA GC SCRIPT GOLD</t>
        </is>
      </c>
      <c r="F651" s="9" t="inlineStr">
        <is>
          <t>Default Title</t>
        </is>
      </c>
      <c r="G651" s="9" t="n">
        <v>2</v>
      </c>
      <c r="H651" s="21" t="n">
        <v>9</v>
      </c>
      <c r="I651" s="21" t="n">
        <v>212.62</v>
      </c>
      <c r="J651" s="21" t="n">
        <v>637.85</v>
      </c>
      <c r="K651" s="21" t="n">
        <v>744.15</v>
      </c>
      <c r="L651" s="21" t="n">
        <v>850.46</v>
      </c>
      <c r="M651" s="21" t="n">
        <v>1199</v>
      </c>
    </row>
    <row r="652">
      <c r="A652" s="9" t="inlineStr">
        <is>
          <t>ZOEY</t>
        </is>
      </c>
      <c r="B652" s="9" t="inlineStr">
        <is>
          <t>ZOEY 02/10/2025</t>
        </is>
      </c>
      <c r="C652" s="9" t="inlineStr">
        <is>
          <t>2025-10-02</t>
        </is>
      </c>
      <c r="D652" s="9" t="inlineStr">
        <is>
          <t>87084241011085</t>
        </is>
      </c>
      <c r="E652" s="9" t="inlineStr">
        <is>
          <t>COLLAR F SILVER CON ZIRCONIA</t>
        </is>
      </c>
      <c r="F652" s="9" t="inlineStr">
        <is>
          <t>Default Title</t>
        </is>
      </c>
      <c r="G652" s="9" t="n">
        <v>3</v>
      </c>
      <c r="H652" s="21" t="n">
        <v>9</v>
      </c>
      <c r="I652" s="21" t="n">
        <v>212.62</v>
      </c>
      <c r="J652" s="21" t="n">
        <v>637.85</v>
      </c>
      <c r="K652" s="21" t="n">
        <v>744.15</v>
      </c>
      <c r="L652" s="21" t="n">
        <v>850.46</v>
      </c>
      <c r="M652" s="21" t="n">
        <v>755</v>
      </c>
    </row>
    <row r="653">
      <c r="A653" s="9" t="inlineStr">
        <is>
          <t>ZOEY</t>
        </is>
      </c>
      <c r="B653" s="9" t="inlineStr">
        <is>
          <t>ZOEY 02/10/2025</t>
        </is>
      </c>
      <c r="C653" s="9" t="inlineStr">
        <is>
          <t>2025-10-02</t>
        </is>
      </c>
      <c r="D653" s="9" t="inlineStr">
        <is>
          <t>86290411075053</t>
        </is>
      </c>
      <c r="E653" s="9" t="inlineStr">
        <is>
          <t>COLLAR LV EVER BLOSSOM GOLD BLACK</t>
        </is>
      </c>
      <c r="F653" s="9" t="inlineStr">
        <is>
          <t>Default Title</t>
        </is>
      </c>
      <c r="G653" s="9" t="n">
        <v>3</v>
      </c>
      <c r="H653" s="21" t="n">
        <v>8</v>
      </c>
      <c r="I653" s="21" t="n">
        <v>188.99</v>
      </c>
      <c r="J653" s="21" t="n">
        <v>566.97</v>
      </c>
      <c r="K653" s="21" t="n">
        <v>661.47</v>
      </c>
      <c r="L653" s="21" t="n">
        <v>755.97</v>
      </c>
      <c r="M653" s="21" t="n">
        <v>850</v>
      </c>
    </row>
    <row r="654">
      <c r="A654" s="9" t="inlineStr">
        <is>
          <t>ZOEY</t>
        </is>
      </c>
      <c r="B654" s="9" t="inlineStr">
        <is>
          <t>ZOEY 02/10/2025</t>
        </is>
      </c>
      <c r="C654" s="9" t="inlineStr">
        <is>
          <t>2025-10-02</t>
        </is>
      </c>
      <c r="D654" s="9" t="inlineStr">
        <is>
          <t>85563421017997</t>
        </is>
      </c>
      <c r="E654" s="9" t="inlineStr">
        <is>
          <t>COLLAR LV INSIGNIAS BLOSSOM GOLD BLACK</t>
        </is>
      </c>
      <c r="F654" s="9" t="inlineStr">
        <is>
          <t>Default Title</t>
        </is>
      </c>
      <c r="G654" s="9" t="n">
        <v>2</v>
      </c>
      <c r="H654" s="21" t="n">
        <v>11</v>
      </c>
      <c r="I654" s="21" t="n">
        <v>259.86</v>
      </c>
      <c r="J654" s="21" t="n">
        <v>779.59</v>
      </c>
      <c r="K654" s="21" t="n">
        <v>909.52</v>
      </c>
      <c r="L654" s="21" t="n">
        <v>1039.45</v>
      </c>
      <c r="M654" s="21" t="n">
        <v>1242</v>
      </c>
    </row>
    <row r="655">
      <c r="A655" s="9" t="inlineStr">
        <is>
          <t>ZOEY</t>
        </is>
      </c>
      <c r="B655" s="9" t="inlineStr">
        <is>
          <t>ZOEY 02/10/2025</t>
        </is>
      </c>
      <c r="C655" s="9" t="inlineStr">
        <is>
          <t>2025-10-02</t>
        </is>
      </c>
      <c r="D655" s="9" t="inlineStr">
        <is>
          <t>79416181049069</t>
        </is>
      </c>
      <c r="E655" s="9" t="inlineStr">
        <is>
          <t>COLLAR MM GOLD BLACK</t>
        </is>
      </c>
      <c r="F655" s="9" t="inlineStr">
        <is>
          <t>BRASS</t>
        </is>
      </c>
      <c r="G655" s="9" t="n">
        <v>5</v>
      </c>
      <c r="H655" s="21" t="n">
        <v>8</v>
      </c>
      <c r="I655" s="21" t="n">
        <v>188.99</v>
      </c>
      <c r="J655" s="21" t="n">
        <v>566.97</v>
      </c>
      <c r="K655" s="21" t="n">
        <v>661.47</v>
      </c>
      <c r="L655" s="21" t="n">
        <v>755.97</v>
      </c>
      <c r="M655" s="21" t="n">
        <v>575</v>
      </c>
    </row>
    <row r="656">
      <c r="A656" s="9" t="inlineStr">
        <is>
          <t>ZOEY</t>
        </is>
      </c>
      <c r="B656" s="9" t="inlineStr">
        <is>
          <t>ZOEY 02/10/2025</t>
        </is>
      </c>
      <c r="C656" s="9" t="inlineStr">
        <is>
          <t>2025-10-02</t>
        </is>
      </c>
      <c r="D656" s="9" t="inlineStr">
        <is>
          <t>79958551028717</t>
        </is>
      </c>
      <c r="E656" s="9" t="inlineStr">
        <is>
          <t>COLLAR MM HEART GOLD BLUE</t>
        </is>
      </c>
      <c r="F656" s="9" t="inlineStr">
        <is>
          <t>Default Title</t>
        </is>
      </c>
      <c r="G656" s="9" t="n">
        <v>4</v>
      </c>
      <c r="H656" s="21" t="n">
        <v>9</v>
      </c>
      <c r="I656" s="21" t="n">
        <v>212.62</v>
      </c>
      <c r="J656" s="21" t="n">
        <v>637.85</v>
      </c>
      <c r="K656" s="21" t="n">
        <v>744.15</v>
      </c>
      <c r="L656" s="21" t="n">
        <v>850.46</v>
      </c>
      <c r="M656" s="21" t="n">
        <v>652.2</v>
      </c>
    </row>
    <row r="657">
      <c r="A657" s="9" t="inlineStr">
        <is>
          <t>ZOEY</t>
        </is>
      </c>
      <c r="B657" s="9" t="inlineStr">
        <is>
          <t>ZOEY 02/10/2025</t>
        </is>
      </c>
      <c r="C657" s="9" t="inlineStr">
        <is>
          <t>2025-10-02</t>
        </is>
      </c>
      <c r="D657" s="9" t="inlineStr">
        <is>
          <t>34241171019789</t>
        </is>
      </c>
      <c r="E657" s="9" t="inlineStr">
        <is>
          <t>COLLAR MM LOGO SILVER CON ZIRCONIA</t>
        </is>
      </c>
      <c r="F657" s="9" t="inlineStr">
        <is>
          <t>Default Title</t>
        </is>
      </c>
      <c r="G657" s="9" t="n">
        <v>3</v>
      </c>
      <c r="H657" s="21" t="n">
        <v>10</v>
      </c>
      <c r="I657" s="21" t="n">
        <v>236.24</v>
      </c>
      <c r="J657" s="21" t="n">
        <v>708.72</v>
      </c>
      <c r="K657" s="21" t="n">
        <v>826.84</v>
      </c>
      <c r="L657" s="21" t="n">
        <v>944.96</v>
      </c>
      <c r="M657" s="21" t="n">
        <v>725</v>
      </c>
    </row>
    <row r="658">
      <c r="A658" s="9" t="inlineStr">
        <is>
          <t>ZOEY</t>
        </is>
      </c>
      <c r="B658" s="9" t="inlineStr">
        <is>
          <t>ZOEY 02/10/2025</t>
        </is>
      </c>
      <c r="C658" s="9" t="inlineStr">
        <is>
          <t>2025-10-02</t>
        </is>
      </c>
      <c r="D658" s="9" t="inlineStr">
        <is>
          <t>78439551060397</t>
        </is>
      </c>
      <c r="E658" s="9" t="inlineStr">
        <is>
          <t>COLLAR MM SILVER WHITE</t>
        </is>
      </c>
      <c r="F658" s="9" t="inlineStr">
        <is>
          <t>Default Title</t>
        </is>
      </c>
      <c r="G658" s="9" t="n">
        <v>5</v>
      </c>
      <c r="H658" s="21" t="n">
        <v>8</v>
      </c>
      <c r="I658" s="21" t="n">
        <v>188.99</v>
      </c>
      <c r="J658" s="21" t="n">
        <v>566.97</v>
      </c>
      <c r="K658" s="21" t="n">
        <v>661.47</v>
      </c>
      <c r="L658" s="21" t="n">
        <v>755.97</v>
      </c>
      <c r="M658" s="21" t="n">
        <v>662.55</v>
      </c>
    </row>
    <row r="659">
      <c r="A659" s="9" t="inlineStr">
        <is>
          <t>ZOEY</t>
        </is>
      </c>
      <c r="B659" s="9" t="inlineStr">
        <is>
          <t>ZOEY 02/10/2025</t>
        </is>
      </c>
      <c r="C659" s="9" t="inlineStr">
        <is>
          <t>2025-10-02</t>
        </is>
      </c>
      <c r="D659" s="9" t="inlineStr">
        <is>
          <t>57913391088461</t>
        </is>
      </c>
      <c r="E659" s="9" t="inlineStr">
        <is>
          <t>COLLAR T ESLABONES GOLD CON PEARL</t>
        </is>
      </c>
      <c r="F659" s="9" t="inlineStr">
        <is>
          <t>HIGH QUALITY</t>
        </is>
      </c>
      <c r="G659" s="9" t="n">
        <v>2</v>
      </c>
      <c r="H659" s="21" t="n">
        <v>17</v>
      </c>
      <c r="I659" s="21" t="n">
        <v>401.61</v>
      </c>
      <c r="J659" s="21" t="n">
        <v>1204.82</v>
      </c>
      <c r="K659" s="21" t="n">
        <v>1405.62</v>
      </c>
      <c r="L659" s="21" t="n">
        <v>1606.43</v>
      </c>
      <c r="M659" s="21" t="n">
        <v>1450</v>
      </c>
    </row>
    <row r="660">
      <c r="A660" s="9" t="inlineStr">
        <is>
          <t>ZOEY</t>
        </is>
      </c>
      <c r="B660" s="9" t="inlineStr">
        <is>
          <t>ZOEY 02/10/2025</t>
        </is>
      </c>
      <c r="C660" s="9" t="inlineStr">
        <is>
          <t>2025-10-02</t>
        </is>
      </c>
      <c r="D660" s="9" t="inlineStr">
        <is>
          <t>87904131075277</t>
        </is>
      </c>
      <c r="E660" s="9" t="inlineStr">
        <is>
          <t>GORRA A BLACK</t>
        </is>
      </c>
      <c r="F660" s="9" t="inlineStr">
        <is>
          <t>Default Title</t>
        </is>
      </c>
      <c r="G660" s="9" t="n">
        <v>4</v>
      </c>
      <c r="H660" s="21" t="n">
        <v>10</v>
      </c>
      <c r="I660" s="21" t="n">
        <v>236.24</v>
      </c>
      <c r="J660" s="21" t="n">
        <v>708.72</v>
      </c>
      <c r="K660" s="21" t="n">
        <v>826.84</v>
      </c>
      <c r="L660" s="21" t="n">
        <v>944.96</v>
      </c>
      <c r="M660" s="21" t="n">
        <v>1069</v>
      </c>
    </row>
    <row r="661">
      <c r="A661" s="9" t="inlineStr">
        <is>
          <t>ZOEY</t>
        </is>
      </c>
      <c r="B661" s="9" t="inlineStr">
        <is>
          <t>ZOEY 02/10/2025</t>
        </is>
      </c>
      <c r="C661" s="9" t="inlineStr">
        <is>
          <t>2025-10-02</t>
        </is>
      </c>
      <c r="D661" s="9" t="inlineStr">
        <is>
          <t>18936841085197</t>
        </is>
      </c>
      <c r="E661" s="9" t="inlineStr">
        <is>
          <t>GORRA A BLACK AND WHITE</t>
        </is>
      </c>
      <c r="F661" s="9" t="inlineStr">
        <is>
          <t>Default Title</t>
        </is>
      </c>
      <c r="G661" s="9" t="n">
        <v>4</v>
      </c>
      <c r="H661" s="21" t="n">
        <v>10</v>
      </c>
      <c r="I661" s="21" t="n">
        <v>236.24</v>
      </c>
      <c r="J661" s="21" t="n">
        <v>708.72</v>
      </c>
      <c r="K661" s="21" t="n">
        <v>826.84</v>
      </c>
      <c r="L661" s="21" t="n">
        <v>944.96</v>
      </c>
      <c r="M661" s="21" t="n">
        <v>850</v>
      </c>
    </row>
    <row r="662">
      <c r="A662" s="9" t="inlineStr">
        <is>
          <t>ZOEY</t>
        </is>
      </c>
      <c r="B662" s="9" t="inlineStr">
        <is>
          <t>ZOEY 02/10/2025</t>
        </is>
      </c>
      <c r="C662" s="9" t="inlineStr">
        <is>
          <t>2025-10-02</t>
        </is>
      </c>
      <c r="D662" s="9" t="inlineStr">
        <is>
          <t>69943351015917</t>
        </is>
      </c>
      <c r="E662" s="9" t="inlineStr">
        <is>
          <t>GORRA A BROWN</t>
        </is>
      </c>
      <c r="F662" s="9" t="inlineStr">
        <is>
          <t>Default Title</t>
        </is>
      </c>
      <c r="G662" s="9" t="n">
        <v>4</v>
      </c>
      <c r="H662" s="21" t="n">
        <v>10</v>
      </c>
      <c r="I662" s="21" t="n">
        <v>236.24</v>
      </c>
      <c r="J662" s="21" t="n">
        <v>708.72</v>
      </c>
      <c r="K662" s="21" t="n">
        <v>826.84</v>
      </c>
      <c r="L662" s="21" t="n">
        <v>944.96</v>
      </c>
      <c r="M662" s="21" t="n">
        <v>1069</v>
      </c>
    </row>
    <row r="663">
      <c r="A663" s="9" t="inlineStr">
        <is>
          <t>ZOEY</t>
        </is>
      </c>
      <c r="B663" s="9" t="inlineStr">
        <is>
          <t>ZOEY 02/10/2025</t>
        </is>
      </c>
      <c r="C663" s="9" t="inlineStr">
        <is>
          <t>2025-10-02</t>
        </is>
      </c>
      <c r="D663" s="9" t="inlineStr">
        <is>
          <t>19874081084045</t>
        </is>
      </c>
      <c r="E663" s="9" t="inlineStr">
        <is>
          <t>GORRA A WHITE</t>
        </is>
      </c>
      <c r="F663" s="9" t="inlineStr">
        <is>
          <t>Default Title</t>
        </is>
      </c>
      <c r="G663" s="9" t="n">
        <v>2</v>
      </c>
      <c r="H663" s="21" t="n">
        <v>40</v>
      </c>
      <c r="I663" s="21" t="n">
        <v>944.96</v>
      </c>
      <c r="J663" s="21" t="n">
        <v>2834.87</v>
      </c>
      <c r="K663" s="21" t="n">
        <v>3307.35</v>
      </c>
      <c r="L663" s="21" t="n">
        <v>3779.83</v>
      </c>
      <c r="M663" s="21" t="n">
        <v>1069</v>
      </c>
    </row>
    <row r="664">
      <c r="A664" s="9" t="inlineStr">
        <is>
          <t>ZOEY</t>
        </is>
      </c>
      <c r="B664" s="9" t="inlineStr">
        <is>
          <t>ZOEY 02/10/2025</t>
        </is>
      </c>
      <c r="C664" s="9" t="inlineStr">
        <is>
          <t>2025-10-02</t>
        </is>
      </c>
      <c r="D664" s="9" t="inlineStr">
        <is>
          <t>37309581067981</t>
        </is>
      </c>
      <c r="E664" s="9" t="inlineStr">
        <is>
          <t>HOODIE ALLS BLACK</t>
        </is>
      </c>
      <c r="F664" s="9" t="inlineStr">
        <is>
          <t>M</t>
        </is>
      </c>
      <c r="G664" s="9" t="n">
        <v>2</v>
      </c>
      <c r="H664" s="21" t="n">
        <v>35</v>
      </c>
      <c r="I664" s="21" t="n">
        <v>826.84</v>
      </c>
      <c r="J664" s="21" t="n">
        <v>2480.51</v>
      </c>
      <c r="K664" s="21" t="n">
        <v>2893.93</v>
      </c>
      <c r="L664" s="21" t="n">
        <v>3307.35</v>
      </c>
      <c r="M664" s="21" t="n">
        <v>1449</v>
      </c>
    </row>
    <row r="665">
      <c r="A665" s="9" t="inlineStr">
        <is>
          <t>ZOEY</t>
        </is>
      </c>
      <c r="B665" s="9" t="inlineStr">
        <is>
          <t>ZOEY 02/10/2025</t>
        </is>
      </c>
      <c r="C665" s="9" t="inlineStr">
        <is>
          <t>2025-10-02</t>
        </is>
      </c>
      <c r="D665" s="9" t="inlineStr">
        <is>
          <t>61050601014957</t>
        </is>
      </c>
      <c r="E665" s="9" t="inlineStr">
        <is>
          <t>LEGGINGS LLM BLACK</t>
        </is>
      </c>
      <c r="F665" s="9" t="inlineStr">
        <is>
          <t>Default Title</t>
        </is>
      </c>
      <c r="G665" s="9" t="n">
        <v>2</v>
      </c>
      <c r="H665" s="21" t="n">
        <v>25</v>
      </c>
      <c r="I665" s="21" t="n">
        <v>590.6</v>
      </c>
      <c r="J665" s="21" t="n">
        <v>1771.8</v>
      </c>
      <c r="K665" s="21" t="n">
        <v>2067.09</v>
      </c>
      <c r="L665" s="21" t="n">
        <v>2362.39</v>
      </c>
      <c r="M665" s="21" t="n">
        <v>2660</v>
      </c>
    </row>
    <row r="666">
      <c r="A666" s="9" t="inlineStr">
        <is>
          <t>ZOEY</t>
        </is>
      </c>
      <c r="B666" s="9" t="inlineStr">
        <is>
          <t>ZOEY 02/10/2025</t>
        </is>
      </c>
      <c r="C666" s="9" t="inlineStr">
        <is>
          <t>2025-10-02</t>
        </is>
      </c>
      <c r="D666" s="9" t="inlineStr">
        <is>
          <t>61744051068109</t>
        </is>
      </c>
      <c r="E666" s="9" t="inlineStr">
        <is>
          <t>PULSERA CD GOLD CON ZIRCONIA</t>
        </is>
      </c>
      <c r="F666" s="9" t="inlineStr">
        <is>
          <t>Default Title</t>
        </is>
      </c>
      <c r="G666" s="9" t="n">
        <v>2</v>
      </c>
      <c r="H666" s="21" t="n">
        <v>9</v>
      </c>
      <c r="I666" s="21" t="n">
        <v>212.62</v>
      </c>
      <c r="J666" s="21" t="n">
        <v>637.85</v>
      </c>
      <c r="K666" s="21" t="n">
        <v>744.15</v>
      </c>
      <c r="L666" s="21" t="n">
        <v>850.46</v>
      </c>
      <c r="M666" s="21" t="n">
        <v>1499</v>
      </c>
    </row>
    <row r="667">
      <c r="A667" s="9" t="inlineStr">
        <is>
          <t>ZOEY</t>
        </is>
      </c>
      <c r="B667" s="9" t="inlineStr">
        <is>
          <t>ZOEY 02/10/2025</t>
        </is>
      </c>
      <c r="C667" s="9" t="inlineStr">
        <is>
          <t>2025-10-02</t>
        </is>
      </c>
      <c r="D667" s="9" t="inlineStr">
        <is>
          <t>60411861009357</t>
        </is>
      </c>
      <c r="E667" s="9" t="inlineStr">
        <is>
          <t>PULSERA CLAIR DE LUNE SILVER CON ZIRCONIA</t>
        </is>
      </c>
      <c r="F667" s="9" t="inlineStr">
        <is>
          <t>Default Title</t>
        </is>
      </c>
      <c r="G667" s="9" t="n">
        <v>3</v>
      </c>
      <c r="H667" s="21" t="n">
        <v>8</v>
      </c>
      <c r="I667" s="21" t="n">
        <v>188.99</v>
      </c>
      <c r="J667" s="21" t="n">
        <v>566.97</v>
      </c>
      <c r="K667" s="21" t="n">
        <v>661.47</v>
      </c>
      <c r="L667" s="21" t="n">
        <v>755.97</v>
      </c>
      <c r="M667" s="21" t="n">
        <v>580</v>
      </c>
    </row>
    <row r="668">
      <c r="A668" s="9" t="inlineStr">
        <is>
          <t>ZOEY</t>
        </is>
      </c>
      <c r="B668" s="9" t="inlineStr">
        <is>
          <t>ZOEY 02/10/2025</t>
        </is>
      </c>
      <c r="C668" s="9" t="inlineStr">
        <is>
          <t>2025-10-02</t>
        </is>
      </c>
      <c r="D668" s="9" t="inlineStr">
        <is>
          <t>83844901025261</t>
        </is>
      </c>
      <c r="E668" s="9" t="inlineStr">
        <is>
          <t>PULSERA DE TELA F GOLD BLACK</t>
        </is>
      </c>
      <c r="F668" s="9" t="inlineStr">
        <is>
          <t>Default Title</t>
        </is>
      </c>
      <c r="G668" s="9" t="n">
        <v>2</v>
      </c>
      <c r="H668" s="21" t="n">
        <v>8</v>
      </c>
      <c r="I668" s="21" t="n">
        <v>188.99</v>
      </c>
      <c r="J668" s="21" t="n">
        <v>566.97</v>
      </c>
      <c r="K668" s="21" t="n">
        <v>661.47</v>
      </c>
      <c r="L668" s="21" t="n">
        <v>755.97</v>
      </c>
      <c r="M668" s="21" t="n">
        <v>599</v>
      </c>
    </row>
    <row r="669">
      <c r="A669" s="9" t="inlineStr">
        <is>
          <t>ZOEY</t>
        </is>
      </c>
      <c r="B669" s="9" t="inlineStr">
        <is>
          <t>ZOEY 02/10/2025</t>
        </is>
      </c>
      <c r="C669" s="9" t="inlineStr">
        <is>
          <t>2025-10-02</t>
        </is>
      </c>
      <c r="D669" s="9" t="inlineStr">
        <is>
          <t>84911031092013</t>
        </is>
      </c>
      <c r="E669" s="9" t="inlineStr">
        <is>
          <t>PULSERA GC GOLD BLONDIE CON ZIRCONIAS</t>
        </is>
      </c>
      <c r="F669" s="9" t="inlineStr">
        <is>
          <t>MEDIUM QUALITY</t>
        </is>
      </c>
      <c r="G669" s="9" t="n">
        <v>1</v>
      </c>
      <c r="H669" s="21" t="n">
        <v>15</v>
      </c>
      <c r="I669" s="21" t="n">
        <v>354.36</v>
      </c>
      <c r="J669" s="21" t="n">
        <v>1063.08</v>
      </c>
      <c r="K669" s="21" t="n">
        <v>1240.26</v>
      </c>
      <c r="L669" s="21" t="n">
        <v>1417.44</v>
      </c>
      <c r="M669" s="21" t="n">
        <v>1215</v>
      </c>
    </row>
    <row r="670">
      <c r="A670" s="9" t="inlineStr">
        <is>
          <t>ZOEY</t>
        </is>
      </c>
      <c r="B670" s="9" t="inlineStr">
        <is>
          <t>ZOEY 02/10/2025</t>
        </is>
      </c>
      <c r="C670" s="9" t="inlineStr">
        <is>
          <t>2025-10-02</t>
        </is>
      </c>
      <c r="D670" s="9" t="inlineStr">
        <is>
          <t>84159921033261</t>
        </is>
      </c>
      <c r="E670" s="9" t="inlineStr">
        <is>
          <t>PULSERA GC ROSE GOLD BLONDIE CON ZIRCONIAS</t>
        </is>
      </c>
      <c r="F670" s="9" t="inlineStr">
        <is>
          <t>Default Title</t>
        </is>
      </c>
      <c r="G670" s="9" t="n">
        <v>3</v>
      </c>
      <c r="H670" s="21" t="n">
        <v>8</v>
      </c>
      <c r="I670" s="21" t="n">
        <v>188.99</v>
      </c>
      <c r="J670" s="21" t="n">
        <v>566.97</v>
      </c>
      <c r="K670" s="21" t="n">
        <v>661.47</v>
      </c>
      <c r="L670" s="21" t="n">
        <v>755.97</v>
      </c>
      <c r="M670" s="21" t="n">
        <v>652</v>
      </c>
    </row>
    <row r="671">
      <c r="A671" s="9" t="inlineStr">
        <is>
          <t>ZOEY</t>
        </is>
      </c>
      <c r="B671" s="9" t="inlineStr">
        <is>
          <t>ZOEY 02/10/2025</t>
        </is>
      </c>
      <c r="C671" s="9" t="inlineStr">
        <is>
          <t>2025-10-02</t>
        </is>
      </c>
      <c r="D671" s="9" t="inlineStr">
        <is>
          <t>82350491022541</t>
        </is>
      </c>
      <c r="E671" s="9" t="inlineStr">
        <is>
          <t>PULSERA GC SCRIPT DE CADENA GOLD</t>
        </is>
      </c>
      <c r="F671" s="9" t="inlineStr">
        <is>
          <t>Default Title</t>
        </is>
      </c>
      <c r="G671" s="9" t="n">
        <v>4</v>
      </c>
      <c r="H671" s="21" t="n">
        <v>8</v>
      </c>
      <c r="I671" s="21" t="n">
        <v>188.99</v>
      </c>
      <c r="J671" s="21" t="n">
        <v>566.97</v>
      </c>
      <c r="K671" s="21" t="n">
        <v>661.47</v>
      </c>
      <c r="L671" s="21" t="n">
        <v>755.97</v>
      </c>
      <c r="M671" s="21" t="n">
        <v>652.2</v>
      </c>
    </row>
    <row r="672">
      <c r="A672" s="9" t="inlineStr">
        <is>
          <t>ZOEY</t>
        </is>
      </c>
      <c r="B672" s="9" t="inlineStr">
        <is>
          <t>ZOEY 02/10/2025</t>
        </is>
      </c>
      <c r="C672" s="9" t="inlineStr">
        <is>
          <t>2025-10-02</t>
        </is>
      </c>
      <c r="D672" s="9" t="inlineStr">
        <is>
          <t>87045211023629</t>
        </is>
      </c>
      <c r="E672" s="9" t="inlineStr">
        <is>
          <t>PULSERA LV BLOSSOM TWIST GOLD</t>
        </is>
      </c>
      <c r="F672" s="9" t="inlineStr">
        <is>
          <t>Default Title</t>
        </is>
      </c>
      <c r="G672" s="9" t="n">
        <v>2</v>
      </c>
      <c r="H672" s="21" t="n">
        <v>9</v>
      </c>
      <c r="I672" s="21" t="n">
        <v>212.62</v>
      </c>
      <c r="J672" s="21" t="n">
        <v>637.85</v>
      </c>
      <c r="K672" s="21" t="n">
        <v>744.15</v>
      </c>
      <c r="L672" s="21" t="n">
        <v>850.46</v>
      </c>
      <c r="M672" s="21" t="n">
        <v>975</v>
      </c>
    </row>
    <row r="673">
      <c r="A673" s="9" t="inlineStr">
        <is>
          <t>ZOEY</t>
        </is>
      </c>
      <c r="B673" s="9" t="inlineStr">
        <is>
          <t>ZOEY 02/10/2025</t>
        </is>
      </c>
      <c r="C673" s="9" t="inlineStr">
        <is>
          <t>2025-10-02</t>
        </is>
      </c>
      <c r="D673" s="9" t="inlineStr">
        <is>
          <t>87725181046765</t>
        </is>
      </c>
      <c r="E673" s="9" t="inlineStr">
        <is>
          <t>PULSERA LV IDYLLE BLOSSOM TRES OROS</t>
        </is>
      </c>
      <c r="F673" s="9" t="inlineStr">
        <is>
          <t>HIGH QUALITY</t>
        </is>
      </c>
      <c r="G673" s="9" t="n">
        <v>2</v>
      </c>
      <c r="H673" s="21" t="n">
        <v>9</v>
      </c>
      <c r="I673" s="21" t="n">
        <v>212.62</v>
      </c>
      <c r="J673" s="21" t="n">
        <v>637.85</v>
      </c>
      <c r="K673" s="21" t="n">
        <v>744.15</v>
      </c>
      <c r="L673" s="21" t="n">
        <v>850.46</v>
      </c>
      <c r="M673" s="21" t="n">
        <v>975</v>
      </c>
    </row>
    <row r="674">
      <c r="A674" s="9" t="inlineStr">
        <is>
          <t>ZOEY</t>
        </is>
      </c>
      <c r="B674" s="9" t="inlineStr">
        <is>
          <t>ZOEY 02/10/2025</t>
        </is>
      </c>
      <c r="C674" s="9" t="inlineStr">
        <is>
          <t>2025-10-02</t>
        </is>
      </c>
      <c r="D674" s="9" t="inlineStr">
        <is>
          <t>17360611212237</t>
        </is>
      </c>
      <c r="E674" s="9" t="inlineStr">
        <is>
          <t>RELOJ BALLON BLUE C</t>
        </is>
      </c>
      <c r="F674" s="9" t="inlineStr">
        <is>
          <t>RELOJ SIN CAJA</t>
        </is>
      </c>
      <c r="G674" s="9" t="n">
        <v>3</v>
      </c>
      <c r="H674" s="21" t="n">
        <v>68</v>
      </c>
      <c r="I674" s="21" t="n">
        <v>1606.43</v>
      </c>
      <c r="J674" s="21" t="n">
        <v>4819.28</v>
      </c>
      <c r="K674" s="21" t="n">
        <v>5622.5</v>
      </c>
      <c r="L674" s="21" t="n">
        <v>6425.71</v>
      </c>
      <c r="M674" s="21" t="n">
        <v>3999</v>
      </c>
    </row>
    <row r="675">
      <c r="A675" s="9" t="inlineStr">
        <is>
          <t>ZOEY</t>
        </is>
      </c>
      <c r="B675" s="9" t="inlineStr">
        <is>
          <t>ZOEY 02/10/2025</t>
        </is>
      </c>
      <c r="C675" s="9" t="inlineStr">
        <is>
          <t>2025-10-02</t>
        </is>
      </c>
      <c r="D675" s="9" t="inlineStr">
        <is>
          <t>10427542282892</t>
        </is>
      </c>
      <c r="E675" s="9" t="inlineStr">
        <is>
          <t>RELOJ SANTOS SILVER</t>
        </is>
      </c>
      <c r="F675" s="9" t="inlineStr">
        <is>
          <t>34mm Mujer Con Caja</t>
        </is>
      </c>
      <c r="G675" s="9" t="n">
        <v>2</v>
      </c>
      <c r="H675" s="21" t="n">
        <v>58</v>
      </c>
      <c r="I675" s="21" t="n">
        <v>1370.19</v>
      </c>
      <c r="J675" s="21" t="n">
        <v>4110.56</v>
      </c>
      <c r="K675" s="21" t="n">
        <v>4795.66</v>
      </c>
      <c r="L675" s="21" t="n">
        <v>5480.75</v>
      </c>
      <c r="M675" s="21" t="n">
        <v>5650</v>
      </c>
    </row>
    <row r="676">
      <c r="A676" s="9" t="inlineStr">
        <is>
          <t>ZOEY</t>
        </is>
      </c>
      <c r="B676" s="9" t="inlineStr">
        <is>
          <t>ZOEY 02/10/2025</t>
        </is>
      </c>
      <c r="C676" s="9" t="inlineStr">
        <is>
          <t>2025-10-02</t>
        </is>
      </c>
      <c r="D676" s="9" t="inlineStr">
        <is>
          <t>67535d35b8818</t>
        </is>
      </c>
      <c r="E676" s="9" t="inlineStr">
        <is>
          <t>RELOJ SERPENTI SEDUTTORI</t>
        </is>
      </c>
      <c r="F676" s="9" t="inlineStr">
        <is>
          <t>RELOJ SIN CAJA</t>
        </is>
      </c>
      <c r="G676" s="9" t="n">
        <v>2</v>
      </c>
      <c r="H676" s="21" t="n">
        <v>0</v>
      </c>
      <c r="I676" s="21" t="n">
        <v>0</v>
      </c>
      <c r="J676" s="21" t="n">
        <v>0</v>
      </c>
      <c r="K676" s="21" t="n">
        <v>0</v>
      </c>
      <c r="L676" s="21" t="n">
        <v>0</v>
      </c>
      <c r="M676" s="21" t="n">
        <v>4999</v>
      </c>
    </row>
    <row r="677">
      <c r="A677" s="9" t="inlineStr">
        <is>
          <t>ZOEY</t>
        </is>
      </c>
      <c r="B677" s="9" t="inlineStr">
        <is>
          <t>ZOEY 02/10/2025</t>
        </is>
      </c>
      <c r="C677" s="9" t="inlineStr">
        <is>
          <t>2025-10-02</t>
        </is>
      </c>
      <c r="D677" s="9" t="inlineStr">
        <is>
          <t>42283701061581</t>
        </is>
      </c>
      <c r="E677" s="9" t="inlineStr">
        <is>
          <t>RELOJ TANK CR BLACK GOLD</t>
        </is>
      </c>
      <c r="F677" s="9" t="inlineStr">
        <is>
          <t>Default Title</t>
        </is>
      </c>
      <c r="G677" s="9" t="n">
        <v>2</v>
      </c>
      <c r="H677" s="21" t="n">
        <v>35</v>
      </c>
      <c r="I677" s="21" t="n">
        <v>826.84</v>
      </c>
      <c r="J677" s="21" t="n">
        <v>2480.51</v>
      </c>
      <c r="K677" s="21" t="n">
        <v>2893.93</v>
      </c>
      <c r="L677" s="21" t="n">
        <v>3307.35</v>
      </c>
      <c r="M677" s="21" t="n">
        <v>3500</v>
      </c>
    </row>
    <row r="678">
      <c r="A678" s="9" t="inlineStr">
        <is>
          <t>ZOEY</t>
        </is>
      </c>
      <c r="B678" s="9" t="inlineStr">
        <is>
          <t>ZOEY 02/10/2025</t>
        </is>
      </c>
      <c r="C678" s="9" t="inlineStr">
        <is>
          <t>2025-10-02</t>
        </is>
      </c>
      <c r="D678" s="9" t="inlineStr">
        <is>
          <t>57465711014125</t>
        </is>
      </c>
      <c r="E678" s="9" t="inlineStr">
        <is>
          <t>SET DEPORTIVO LLM CON ESCOTE V PINK</t>
        </is>
      </c>
      <c r="F678" s="9" t="inlineStr">
        <is>
          <t>m</t>
        </is>
      </c>
      <c r="G678" s="9" t="n">
        <v>2</v>
      </c>
      <c r="H678" s="21" t="n">
        <v>30</v>
      </c>
      <c r="I678" s="21" t="n">
        <v>708.72</v>
      </c>
      <c r="J678" s="21" t="n">
        <v>2126.15</v>
      </c>
      <c r="K678" s="21" t="n">
        <v>2480.51</v>
      </c>
      <c r="L678" s="21" t="n">
        <v>2834.87</v>
      </c>
      <c r="M678" s="21" t="n">
        <v>2099</v>
      </c>
    </row>
    <row r="679">
      <c r="A679" s="9" t="inlineStr">
        <is>
          <t>ZOEY</t>
        </is>
      </c>
      <c r="B679" s="9" t="inlineStr">
        <is>
          <t>ZOEY 02/10/2025</t>
        </is>
      </c>
      <c r="C679" s="9" t="inlineStr">
        <is>
          <t>2025-10-02</t>
        </is>
      </c>
      <c r="D679" s="9" t="inlineStr">
        <is>
          <t>60739441017133</t>
        </is>
      </c>
      <c r="E679" s="9" t="inlineStr">
        <is>
          <t>SHORT DEPORTIVO ALLS BLACK</t>
        </is>
      </c>
      <c r="F679" s="9" t="inlineStr">
        <is>
          <t>L</t>
        </is>
      </c>
      <c r="G679" s="9" t="n">
        <v>2</v>
      </c>
      <c r="H679" s="21" t="n">
        <v>32</v>
      </c>
      <c r="I679" s="21" t="n">
        <v>755.97</v>
      </c>
      <c r="J679" s="21" t="n">
        <v>2267.9</v>
      </c>
      <c r="K679" s="21" t="n">
        <v>2645.88</v>
      </c>
      <c r="L679" s="21" t="n">
        <v>3023.86</v>
      </c>
      <c r="M679" s="21" t="n">
        <v>2318.94</v>
      </c>
    </row>
    <row r="680">
      <c r="A680" s="9" t="inlineStr">
        <is>
          <t>ZOEY</t>
        </is>
      </c>
      <c r="B680" s="9" t="inlineStr">
        <is>
          <t>ZOEY 02/10/2025</t>
        </is>
      </c>
      <c r="C680" s="9" t="inlineStr">
        <is>
          <t>2025-10-02</t>
        </is>
      </c>
      <c r="D680" s="9" t="inlineStr">
        <is>
          <t>88016261004301</t>
        </is>
      </c>
      <c r="E680" s="9" t="inlineStr">
        <is>
          <t>SUDADERA ALLS BLACK</t>
        </is>
      </c>
      <c r="F680" s="9" t="inlineStr">
        <is>
          <t>L</t>
        </is>
      </c>
      <c r="G680" s="9" t="n">
        <v>2</v>
      </c>
      <c r="H680" s="21" t="n">
        <v>35</v>
      </c>
      <c r="I680" s="21" t="n">
        <v>826.84</v>
      </c>
      <c r="J680" s="21" t="n">
        <v>2480.51</v>
      </c>
      <c r="K680" s="21" t="n">
        <v>2893.93</v>
      </c>
      <c r="L680" s="21" t="n">
        <v>3307.35</v>
      </c>
      <c r="M680" s="21" t="n">
        <v>2536</v>
      </c>
    </row>
    <row r="681">
      <c r="A681" s="9" t="inlineStr">
        <is>
          <t>ZOEY</t>
        </is>
      </c>
      <c r="B681" s="9" t="inlineStr">
        <is>
          <t>ZOEY 02/10/2025</t>
        </is>
      </c>
      <c r="C681" s="9" t="inlineStr">
        <is>
          <t>2025-10-02</t>
        </is>
      </c>
      <c r="D681" s="9" t="inlineStr">
        <is>
          <t>73812531045133</t>
        </is>
      </c>
      <c r="E681" s="9" t="inlineStr">
        <is>
          <t>SUETER LV BLACK CON EFECTO DEGRADADO</t>
        </is>
      </c>
      <c r="F681" s="9" t="inlineStr">
        <is>
          <t>Default Title</t>
        </is>
      </c>
      <c r="G681" s="9" t="n">
        <v>2</v>
      </c>
      <c r="H681" s="21" t="n">
        <v>27</v>
      </c>
      <c r="I681" s="21" t="n">
        <v>637.85</v>
      </c>
      <c r="J681" s="21" t="n">
        <v>1913.54</v>
      </c>
      <c r="K681" s="21" t="n">
        <v>2232.46</v>
      </c>
      <c r="L681" s="21" t="n">
        <v>2551.39</v>
      </c>
      <c r="M681" s="21" t="n">
        <v>2898.67</v>
      </c>
    </row>
    <row r="682">
      <c r="A682" s="9" t="inlineStr">
        <is>
          <t>MOLLY</t>
        </is>
      </c>
      <c r="B682" s="9" t="inlineStr">
        <is>
          <t>MOLLY 10/10/2025</t>
        </is>
      </c>
      <c r="C682" s="9" t="inlineStr">
        <is>
          <t>2025-10-10</t>
        </is>
      </c>
      <c r="D682" s="9" t="inlineStr">
        <is>
          <t>85887251053901</t>
        </is>
      </c>
      <c r="E682" s="9" t="inlineStr">
        <is>
          <t>ABRIGO CAQUI JW</t>
        </is>
      </c>
      <c r="F682" s="9" t="inlineStr">
        <is>
          <t>M</t>
        </is>
      </c>
      <c r="G682" s="9" t="n">
        <v>2</v>
      </c>
      <c r="H682" s="21" t="n">
        <v>7.9</v>
      </c>
      <c r="I682" s="21" t="n">
        <v>225.72</v>
      </c>
      <c r="J682" s="21" t="n">
        <v>677.16</v>
      </c>
      <c r="K682" s="21" t="n">
        <v>790.03</v>
      </c>
      <c r="L682" s="21" t="n">
        <v>902.89</v>
      </c>
      <c r="M682" s="21" t="n">
        <v>662.05</v>
      </c>
    </row>
    <row r="683">
      <c r="A683" s="9" t="inlineStr">
        <is>
          <t>MOLLY</t>
        </is>
      </c>
      <c r="B683" s="9" t="inlineStr">
        <is>
          <t>MOLLY 10/10/2025</t>
        </is>
      </c>
      <c r="C683" s="9" t="inlineStr">
        <is>
          <t>2025-10-10</t>
        </is>
      </c>
      <c r="D683" s="9" t="inlineStr">
        <is>
          <t>85887251172013</t>
        </is>
      </c>
      <c r="E683" s="9" t="inlineStr">
        <is>
          <t>ABRIGO WHITE JW</t>
        </is>
      </c>
      <c r="F683" s="9" t="inlineStr">
        <is>
          <t>M</t>
        </is>
      </c>
      <c r="G683" s="9" t="n">
        <v>2</v>
      </c>
      <c r="H683" s="21" t="n">
        <v>14.8</v>
      </c>
      <c r="I683" s="21" t="n">
        <v>422.87</v>
      </c>
      <c r="J683" s="21" t="n">
        <v>1268.61</v>
      </c>
      <c r="K683" s="21" t="n">
        <v>1480.05</v>
      </c>
      <c r="L683" s="21" t="n">
        <v>1691.48</v>
      </c>
      <c r="M683" s="21" t="n">
        <v>930.22</v>
      </c>
    </row>
    <row r="684">
      <c r="A684" s="9" t="inlineStr">
        <is>
          <t>MOLLY</t>
        </is>
      </c>
      <c r="B684" s="9" t="inlineStr">
        <is>
          <t>MOLLY 10/10/2025</t>
        </is>
      </c>
      <c r="C684" s="9" t="inlineStr">
        <is>
          <t>2025-10-10</t>
        </is>
      </c>
      <c r="D684" s="9" t="inlineStr">
        <is>
          <t>85887251265229</t>
        </is>
      </c>
      <c r="E684" s="9" t="inlineStr">
        <is>
          <t>ABRIGO WHITE-BLACK JW</t>
        </is>
      </c>
      <c r="F684" s="9" t="inlineStr">
        <is>
          <t>S</t>
        </is>
      </c>
      <c r="G684" s="9" t="n">
        <v>2</v>
      </c>
      <c r="H684" s="21" t="n">
        <v>5.12</v>
      </c>
      <c r="I684" s="21" t="n">
        <v>146.29</v>
      </c>
      <c r="J684" s="21" t="n">
        <v>438.87</v>
      </c>
      <c r="K684" s="21" t="n">
        <v>512.02</v>
      </c>
      <c r="L684" s="21" t="n">
        <v>585.16</v>
      </c>
      <c r="M684" s="21" t="n">
        <v>675.4400000000001</v>
      </c>
    </row>
    <row r="685">
      <c r="A685" s="9" t="inlineStr">
        <is>
          <t>MOLLY</t>
        </is>
      </c>
      <c r="B685" s="9" t="inlineStr">
        <is>
          <t>MOLLY 10/10/2025</t>
        </is>
      </c>
      <c r="C685" s="9" t="inlineStr">
        <is>
          <t>2025-10-10</t>
        </is>
      </c>
      <c r="D685" s="9" t="inlineStr">
        <is>
          <t>85887252613805</t>
        </is>
      </c>
      <c r="E685" s="9" t="inlineStr">
        <is>
          <t>BLAZER BLACK FEATHERS JW</t>
        </is>
      </c>
      <c r="F685" s="9" t="inlineStr">
        <is>
          <t>M</t>
        </is>
      </c>
      <c r="G685" s="9" t="n">
        <v>2</v>
      </c>
      <c r="H685" s="21" t="n">
        <v>20</v>
      </c>
      <c r="I685" s="21" t="n">
        <v>571.45</v>
      </c>
      <c r="J685" s="21" t="n">
        <v>1714.34</v>
      </c>
      <c r="K685" s="21" t="n">
        <v>2000.06</v>
      </c>
      <c r="L685" s="21" t="n">
        <v>2285.79</v>
      </c>
      <c r="M685" s="21" t="n">
        <v>1676.07</v>
      </c>
    </row>
    <row r="686">
      <c r="A686" s="9" t="inlineStr">
        <is>
          <t>MOLLY</t>
        </is>
      </c>
      <c r="B686" s="9" t="inlineStr">
        <is>
          <t>MOLLY 10/10/2025</t>
        </is>
      </c>
      <c r="C686" s="9" t="inlineStr">
        <is>
          <t>2025-10-10</t>
        </is>
      </c>
      <c r="D686" s="9" t="inlineStr">
        <is>
          <t>85887252823437</t>
        </is>
      </c>
      <c r="E686" s="9" t="inlineStr">
        <is>
          <t>BLUSA WHITE-BLACK JW</t>
        </is>
      </c>
      <c r="F686" s="9" t="inlineStr">
        <is>
          <t>M</t>
        </is>
      </c>
      <c r="G686" s="9" t="n">
        <v>2</v>
      </c>
      <c r="H686" s="21" t="n">
        <v>10.9</v>
      </c>
      <c r="I686" s="21" t="n">
        <v>311.44</v>
      </c>
      <c r="J686" s="21" t="n">
        <v>934.3200000000001</v>
      </c>
      <c r="K686" s="21" t="n">
        <v>1090.03</v>
      </c>
      <c r="L686" s="21" t="n">
        <v>1245.75</v>
      </c>
      <c r="M686" s="21" t="n">
        <v>1000</v>
      </c>
    </row>
    <row r="687">
      <c r="A687" s="9" t="inlineStr">
        <is>
          <t>MOLLY</t>
        </is>
      </c>
      <c r="B687" s="9" t="inlineStr">
        <is>
          <t>MOLLY 10/10/2025</t>
        </is>
      </c>
      <c r="C687" s="9" t="inlineStr">
        <is>
          <t>2025-10-10</t>
        </is>
      </c>
      <c r="D687" s="9" t="inlineStr">
        <is>
          <t>85887251827853</t>
        </is>
      </c>
      <c r="E687" s="9" t="inlineStr">
        <is>
          <t>CAMISETA BLUE JW</t>
        </is>
      </c>
      <c r="F687" s="9" t="inlineStr">
        <is>
          <t>L</t>
        </is>
      </c>
      <c r="G687" s="9" t="n">
        <v>2</v>
      </c>
      <c r="H687" s="21" t="n">
        <v>14.2</v>
      </c>
      <c r="I687" s="21" t="n">
        <v>405.73</v>
      </c>
      <c r="J687" s="21" t="n">
        <v>1217.18</v>
      </c>
      <c r="K687" s="21" t="n">
        <v>1420.05</v>
      </c>
      <c r="L687" s="21" t="n">
        <v>1622.91</v>
      </c>
      <c r="M687" s="21" t="n">
        <v>1041.26</v>
      </c>
    </row>
    <row r="688">
      <c r="A688" s="9" t="inlineStr">
        <is>
          <t>MOLLY</t>
        </is>
      </c>
      <c r="B688" s="9" t="inlineStr">
        <is>
          <t>MOLLY 10/10/2025</t>
        </is>
      </c>
      <c r="C688" s="9" t="inlineStr">
        <is>
          <t>2025-10-10</t>
        </is>
      </c>
      <c r="D688" s="9" t="inlineStr">
        <is>
          <t>85887251787565</t>
        </is>
      </c>
      <c r="E688" s="9" t="inlineStr">
        <is>
          <t>CAMISETA GREEN JW</t>
        </is>
      </c>
      <c r="F688" s="9" t="inlineStr">
        <is>
          <t>M</t>
        </is>
      </c>
      <c r="G688" s="9" t="n">
        <v>2</v>
      </c>
      <c r="H688" s="21" t="n">
        <v>14.2</v>
      </c>
      <c r="I688" s="21" t="n">
        <v>405.73</v>
      </c>
      <c r="J688" s="21" t="n">
        <v>1217.18</v>
      </c>
      <c r="K688" s="21" t="n">
        <v>1420.05</v>
      </c>
      <c r="L688" s="21" t="n">
        <v>1622.91</v>
      </c>
      <c r="M688" s="21" t="n">
        <v>1190.01</v>
      </c>
    </row>
    <row r="689">
      <c r="A689" s="9" t="inlineStr">
        <is>
          <t>MOLLY</t>
        </is>
      </c>
      <c r="B689" s="9" t="inlineStr">
        <is>
          <t>MOLLY 10/10/2025</t>
        </is>
      </c>
      <c r="C689" s="9" t="inlineStr">
        <is>
          <t>2025-10-10</t>
        </is>
      </c>
      <c r="D689" s="9" t="inlineStr">
        <is>
          <t>85887251964013</t>
        </is>
      </c>
      <c r="E689" s="9" t="inlineStr">
        <is>
          <t>CAMISETA WHITE JW</t>
        </is>
      </c>
      <c r="F689" s="9" t="inlineStr">
        <is>
          <t>M</t>
        </is>
      </c>
      <c r="G689" s="9" t="n">
        <v>2</v>
      </c>
      <c r="H689" s="21" t="n">
        <v>14.2</v>
      </c>
      <c r="I689" s="21" t="n">
        <v>405.73</v>
      </c>
      <c r="J689" s="21" t="n">
        <v>1217.18</v>
      </c>
      <c r="K689" s="21" t="n">
        <v>1420.05</v>
      </c>
      <c r="L689" s="21" t="n">
        <v>1622.91</v>
      </c>
      <c r="M689" s="21" t="n">
        <v>1190.01</v>
      </c>
    </row>
    <row r="690">
      <c r="A690" s="9" t="inlineStr">
        <is>
          <t>MOLLY</t>
        </is>
      </c>
      <c r="B690" s="9" t="inlineStr">
        <is>
          <t>MOLLY 10/10/2025</t>
        </is>
      </c>
      <c r="C690" s="9" t="inlineStr">
        <is>
          <t>2025-10-10</t>
        </is>
      </c>
      <c r="D690" s="9" t="inlineStr">
        <is>
          <t>85887252483277</t>
        </is>
      </c>
      <c r="E690" s="9" t="inlineStr">
        <is>
          <t>CHAMARRA BLACK JW</t>
        </is>
      </c>
      <c r="F690" s="9" t="inlineStr">
        <is>
          <t>L</t>
        </is>
      </c>
      <c r="G690" s="9" t="n">
        <v>2</v>
      </c>
      <c r="H690" s="21" t="n">
        <v>20.8</v>
      </c>
      <c r="I690" s="21" t="n">
        <v>594.3</v>
      </c>
      <c r="J690" s="21" t="n">
        <v>1782.91</v>
      </c>
      <c r="K690" s="21" t="n">
        <v>2080.07</v>
      </c>
      <c r="L690" s="21" t="n">
        <v>2377.22</v>
      </c>
      <c r="M690" s="21" t="n">
        <v>899</v>
      </c>
    </row>
    <row r="691">
      <c r="A691" s="9" t="inlineStr">
        <is>
          <t>MOLLY</t>
        </is>
      </c>
      <c r="B691" s="9" t="inlineStr">
        <is>
          <t>MOLLY 10/10/2025</t>
        </is>
      </c>
      <c r="C691" s="9" t="inlineStr">
        <is>
          <t>2025-10-10</t>
        </is>
      </c>
      <c r="D691" s="9" t="inlineStr">
        <is>
          <t>85887252725133</t>
        </is>
      </c>
      <c r="E691" s="9" t="inlineStr">
        <is>
          <t>CONJUNTO WHITE CASHMERE</t>
        </is>
      </c>
      <c r="F691" s="9" t="inlineStr">
        <is>
          <t>M</t>
        </is>
      </c>
      <c r="G691" s="9" t="n">
        <v>2</v>
      </c>
      <c r="H691" s="21" t="n">
        <v>16.9</v>
      </c>
      <c r="I691" s="21" t="n">
        <v>482.87</v>
      </c>
      <c r="J691" s="21" t="n">
        <v>1448.62</v>
      </c>
      <c r="K691" s="21" t="n">
        <v>1690.05</v>
      </c>
      <c r="L691" s="21" t="n">
        <v>1931.49</v>
      </c>
      <c r="M691" s="21" t="n">
        <v>1416.28</v>
      </c>
    </row>
    <row r="692">
      <c r="A692" s="9" t="inlineStr">
        <is>
          <t>MOLLY</t>
        </is>
      </c>
      <c r="B692" s="9" t="inlineStr">
        <is>
          <t>MOLLY 10/10/2025</t>
        </is>
      </c>
      <c r="C692" s="9" t="inlineStr">
        <is>
          <t>2025-10-10</t>
        </is>
      </c>
      <c r="D692" s="9" t="inlineStr">
        <is>
          <t>85887251331053</t>
        </is>
      </c>
      <c r="E692" s="9" t="inlineStr">
        <is>
          <t>SUDADERA ZIPPER BEIGE JW</t>
        </is>
      </c>
      <c r="F692" s="9" t="inlineStr">
        <is>
          <t>M</t>
        </is>
      </c>
      <c r="G692" s="9" t="n">
        <v>2</v>
      </c>
      <c r="H692" s="21" t="n">
        <v>18.9</v>
      </c>
      <c r="I692" s="21" t="n">
        <v>540.02</v>
      </c>
      <c r="J692" s="21" t="n">
        <v>1620.05</v>
      </c>
      <c r="K692" s="21" t="n">
        <v>1890.06</v>
      </c>
      <c r="L692" s="21" t="n">
        <v>2160.07</v>
      </c>
      <c r="M692" s="21" t="n">
        <v>950</v>
      </c>
    </row>
    <row r="693">
      <c r="A693" s="9" t="inlineStr">
        <is>
          <t>MOLLY</t>
        </is>
      </c>
      <c r="B693" s="9" t="inlineStr">
        <is>
          <t>MOLLY 10/10/2025</t>
        </is>
      </c>
      <c r="C693" s="9" t="inlineStr">
        <is>
          <t>2025-10-10</t>
        </is>
      </c>
      <c r="D693" s="9" t="inlineStr">
        <is>
          <t>85887252087757</t>
        </is>
      </c>
      <c r="E693" s="9" t="inlineStr">
        <is>
          <t>SUETER BONE JW</t>
        </is>
      </c>
      <c r="F693" s="9" t="inlineStr">
        <is>
          <t>L</t>
        </is>
      </c>
      <c r="G693" s="9" t="n">
        <v>2</v>
      </c>
      <c r="H693" s="21" t="n">
        <v>17.5</v>
      </c>
      <c r="I693" s="21" t="n">
        <v>500.02</v>
      </c>
      <c r="J693" s="21" t="n">
        <v>1500.05</v>
      </c>
      <c r="K693" s="21" t="n">
        <v>1750.06</v>
      </c>
      <c r="L693" s="21" t="n">
        <v>2000.06</v>
      </c>
      <c r="M693" s="21" t="n">
        <v>1283.24</v>
      </c>
    </row>
    <row r="694">
      <c r="A694" s="9" t="inlineStr">
        <is>
          <t>MOLLY</t>
        </is>
      </c>
      <c r="B694" s="9" t="inlineStr">
        <is>
          <t>MOLLY 10/10/2025</t>
        </is>
      </c>
      <c r="C694" s="9" t="inlineStr">
        <is>
          <t>2025-10-10</t>
        </is>
      </c>
      <c r="D694" s="9" t="inlineStr">
        <is>
          <t>85887252596845</t>
        </is>
      </c>
      <c r="E694" s="9" t="inlineStr">
        <is>
          <t>SUETER BROWN CASHMERE</t>
        </is>
      </c>
      <c r="F694" s="9" t="inlineStr">
        <is>
          <t>S</t>
        </is>
      </c>
      <c r="G694" s="9" t="n">
        <v>2</v>
      </c>
      <c r="H694" s="21" t="n">
        <v>16</v>
      </c>
      <c r="I694" s="21" t="n">
        <v>457.16</v>
      </c>
      <c r="J694" s="21" t="n">
        <v>1371.47</v>
      </c>
      <c r="K694" s="21" t="n">
        <v>1600.05</v>
      </c>
      <c r="L694" s="21" t="n">
        <v>1828.63</v>
      </c>
      <c r="M694" s="21" t="n">
        <v>1340.85</v>
      </c>
    </row>
    <row r="695">
      <c r="A695" s="9" t="inlineStr">
        <is>
          <t>MOLLY</t>
        </is>
      </c>
      <c r="B695" s="9" t="inlineStr">
        <is>
          <t>MOLLY 10/10/2025</t>
        </is>
      </c>
      <c r="C695" s="9" t="inlineStr">
        <is>
          <t>2025-10-10</t>
        </is>
      </c>
      <c r="D695" s="9" t="inlineStr">
        <is>
          <t>85887251403373</t>
        </is>
      </c>
      <c r="E695" s="9" t="inlineStr">
        <is>
          <t>SUETER CLASSIC BLACK CASHMERE</t>
        </is>
      </c>
      <c r="F695" s="9" t="inlineStr">
        <is>
          <t>M</t>
        </is>
      </c>
      <c r="G695" s="9" t="n">
        <v>2</v>
      </c>
      <c r="H695" s="21" t="n">
        <v>18</v>
      </c>
      <c r="I695" s="21" t="n">
        <v>514.3</v>
      </c>
      <c r="J695" s="21" t="n">
        <v>1542.91</v>
      </c>
      <c r="K695" s="21" t="n">
        <v>1800.06</v>
      </c>
      <c r="L695" s="21" t="n">
        <v>2057.21</v>
      </c>
      <c r="M695" s="21" t="n">
        <v>1508.46</v>
      </c>
    </row>
    <row r="696">
      <c r="A696" s="9" t="inlineStr">
        <is>
          <t>MOLLY</t>
        </is>
      </c>
      <c r="B696" s="9" t="inlineStr">
        <is>
          <t>MOLLY 10/10/2025</t>
        </is>
      </c>
      <c r="C696" s="9" t="inlineStr">
        <is>
          <t>2025-10-10</t>
        </is>
      </c>
      <c r="D696" s="9" t="inlineStr">
        <is>
          <t>85887251539533</t>
        </is>
      </c>
      <c r="E696" s="9" t="inlineStr">
        <is>
          <t>SUETER CLASSIC CAQUI CASHMERE</t>
        </is>
      </c>
      <c r="F696" s="9" t="inlineStr">
        <is>
          <t>M</t>
        </is>
      </c>
      <c r="G696" s="9" t="n">
        <v>2</v>
      </c>
      <c r="H696" s="21" t="n">
        <v>18</v>
      </c>
      <c r="I696" s="21" t="n">
        <v>514.3</v>
      </c>
      <c r="J696" s="21" t="n">
        <v>1542.91</v>
      </c>
      <c r="K696" s="21" t="n">
        <v>1800.06</v>
      </c>
      <c r="L696" s="21" t="n">
        <v>2057.21</v>
      </c>
      <c r="M696" s="21" t="n">
        <v>1508.46</v>
      </c>
    </row>
    <row r="697">
      <c r="A697" s="9" t="inlineStr">
        <is>
          <t>MOLLY</t>
        </is>
      </c>
      <c r="B697" s="9" t="inlineStr">
        <is>
          <t>MOLLY 10/10/2025</t>
        </is>
      </c>
      <c r="C697" s="9" t="inlineStr">
        <is>
          <t>2025-10-10</t>
        </is>
      </c>
      <c r="D697" s="9" t="inlineStr">
        <is>
          <t>85887251610157</t>
        </is>
      </c>
      <c r="E697" s="9" t="inlineStr">
        <is>
          <t>SUETER CLASSIC GREY CASHMERE</t>
        </is>
      </c>
      <c r="F697" s="9" t="inlineStr">
        <is>
          <t>M</t>
        </is>
      </c>
      <c r="G697" s="9" t="n">
        <v>2</v>
      </c>
      <c r="H697" s="21" t="n">
        <v>18</v>
      </c>
      <c r="I697" s="21" t="n">
        <v>514.3</v>
      </c>
      <c r="J697" s="21" t="n">
        <v>1542.91</v>
      </c>
      <c r="K697" s="21" t="n">
        <v>1800.06</v>
      </c>
      <c r="L697" s="21" t="n">
        <v>2057.21</v>
      </c>
      <c r="M697" s="21" t="n">
        <v>1508.46</v>
      </c>
    </row>
    <row r="698">
      <c r="A698" s="9" t="inlineStr">
        <is>
          <t>MOLLY</t>
        </is>
      </c>
      <c r="B698" s="9" t="inlineStr">
        <is>
          <t>MOLLY 10/10/2025</t>
        </is>
      </c>
      <c r="C698" s="9" t="inlineStr">
        <is>
          <t>2025-10-10</t>
        </is>
      </c>
      <c r="D698" s="9" t="inlineStr">
        <is>
          <t>85887252166317</t>
        </is>
      </c>
      <c r="E698" s="9" t="inlineStr">
        <is>
          <t>SUETER GREY CASHMERE</t>
        </is>
      </c>
      <c r="F698" s="9" t="inlineStr">
        <is>
          <t>L</t>
        </is>
      </c>
      <c r="G698" s="9" t="n">
        <v>2</v>
      </c>
      <c r="H698" s="21" t="n">
        <v>17.5</v>
      </c>
      <c r="I698" s="21" t="n">
        <v>500.02</v>
      </c>
      <c r="J698" s="21" t="n">
        <v>1500.05</v>
      </c>
      <c r="K698" s="21" t="n">
        <v>1750.06</v>
      </c>
      <c r="L698" s="21" t="n">
        <v>2000.06</v>
      </c>
      <c r="M698" s="21" t="n">
        <v>1283.24</v>
      </c>
    </row>
    <row r="699">
      <c r="A699" s="9" t="inlineStr">
        <is>
          <t>MOLLY</t>
        </is>
      </c>
      <c r="B699" s="9" t="inlineStr">
        <is>
          <t>MOLLY 10/10/2025</t>
        </is>
      </c>
      <c r="C699" s="9" t="inlineStr">
        <is>
          <t>2025-10-10</t>
        </is>
      </c>
      <c r="D699" s="9" t="inlineStr">
        <is>
          <t>85887252207565</t>
        </is>
      </c>
      <c r="E699" s="9" t="inlineStr">
        <is>
          <t>SUETER GREY PEARL JW</t>
        </is>
      </c>
      <c r="F699" s="9" t="inlineStr">
        <is>
          <t>M</t>
        </is>
      </c>
      <c r="G699" s="9" t="n">
        <v>2</v>
      </c>
      <c r="H699" s="21" t="n">
        <v>16</v>
      </c>
      <c r="I699" s="21" t="n">
        <v>457.16</v>
      </c>
      <c r="J699" s="21" t="n">
        <v>1371.47</v>
      </c>
      <c r="K699" s="21" t="n">
        <v>1600.05</v>
      </c>
      <c r="L699" s="21" t="n">
        <v>1828.63</v>
      </c>
      <c r="M699" s="21" t="n">
        <v>1340.85</v>
      </c>
    </row>
    <row r="700">
      <c r="A700" s="9" t="inlineStr">
        <is>
          <t>MOLLY</t>
        </is>
      </c>
      <c r="B700" s="9" t="inlineStr">
        <is>
          <t>MOLLY 10/10/2025</t>
        </is>
      </c>
      <c r="C700" s="9" t="inlineStr">
        <is>
          <t>2025-10-10</t>
        </is>
      </c>
      <c r="D700" s="9" t="inlineStr">
        <is>
          <t>85887252345421</t>
        </is>
      </c>
      <c r="E700" s="9" t="inlineStr">
        <is>
          <t>SUETER ZIPPER WHITE JW</t>
        </is>
      </c>
      <c r="F700" s="9" t="inlineStr">
        <is>
          <t>M</t>
        </is>
      </c>
      <c r="G700" s="9" t="n">
        <v>2</v>
      </c>
      <c r="H700" s="21" t="n">
        <v>8.800000000000001</v>
      </c>
      <c r="I700" s="21" t="n">
        <v>251.44</v>
      </c>
      <c r="J700" s="21" t="n">
        <v>754.3099999999999</v>
      </c>
      <c r="K700" s="21" t="n">
        <v>880.03</v>
      </c>
      <c r="L700" s="21" t="n">
        <v>1005.75</v>
      </c>
      <c r="M700" s="21" t="n">
        <v>737.47</v>
      </c>
    </row>
    <row r="701">
      <c r="A701" s="9" t="inlineStr">
        <is>
          <t>DINA DU</t>
        </is>
      </c>
      <c r="B701" s="9" t="inlineStr">
        <is>
          <t>DINA DU 21/10/2025</t>
        </is>
      </c>
      <c r="C701" s="9" t="inlineStr">
        <is>
          <t>2025-10-21</t>
        </is>
      </c>
      <c r="D701" s="9" t="inlineStr">
        <is>
          <t>648cc5b58feaa</t>
        </is>
      </c>
      <c r="E701" s="9" t="inlineStr">
        <is>
          <t>ARETES MM COLGANTE</t>
        </is>
      </c>
      <c r="F701" s="9" t="inlineStr">
        <is>
          <t>Default Title</t>
        </is>
      </c>
      <c r="G701" s="9" t="n">
        <v>3</v>
      </c>
      <c r="H701" s="21" t="n">
        <v>2.39</v>
      </c>
      <c r="I701" s="21" t="n">
        <v>67</v>
      </c>
      <c r="J701" s="21" t="n">
        <v>201.01</v>
      </c>
      <c r="K701" s="21" t="n">
        <v>234.51</v>
      </c>
      <c r="L701" s="21" t="n">
        <v>268.01</v>
      </c>
      <c r="M701" s="21" t="n">
        <v>499</v>
      </c>
    </row>
    <row r="702">
      <c r="A702" s="9" t="inlineStr">
        <is>
          <t>DINA DU</t>
        </is>
      </c>
      <c r="B702" s="9" t="inlineStr">
        <is>
          <t>DINA DU 21/10/2025</t>
        </is>
      </c>
      <c r="C702" s="9" t="inlineStr">
        <is>
          <t>2025-10-21</t>
        </is>
      </c>
      <c r="D702" s="9" t="inlineStr">
        <is>
          <t>43124008910988</t>
        </is>
      </c>
      <c r="E702" s="9" t="inlineStr">
        <is>
          <t>BOLSO C CLAUDE</t>
        </is>
      </c>
      <c r="F702" s="9" t="inlineStr">
        <is>
          <t>13.5cm de alto x 22cm de largo x 5cm de ancho</t>
        </is>
      </c>
      <c r="G702" s="9" t="n">
        <v>2</v>
      </c>
      <c r="H702" s="21" t="n">
        <v>45</v>
      </c>
      <c r="I702" s="21" t="n">
        <v>1261.55</v>
      </c>
      <c r="J702" s="21" t="n">
        <v>3784.66</v>
      </c>
      <c r="K702" s="21" t="n">
        <v>4415.44</v>
      </c>
      <c r="L702" s="21" t="n">
        <v>5046.21</v>
      </c>
      <c r="M702" s="21" t="n">
        <v>3999</v>
      </c>
    </row>
    <row r="703">
      <c r="A703" s="9" t="inlineStr">
        <is>
          <t>DINA DU</t>
        </is>
      </c>
      <c r="B703" s="9" t="inlineStr">
        <is>
          <t>DINA DU 21/10/2025</t>
        </is>
      </c>
      <c r="C703" s="9" t="inlineStr">
        <is>
          <t>2025-10-21</t>
        </is>
      </c>
      <c r="D703" s="9" t="inlineStr">
        <is>
          <t>44504631084621</t>
        </is>
      </c>
      <c r="E703" s="9" t="inlineStr">
        <is>
          <t>BOLSO C TILLY BROWN</t>
        </is>
      </c>
      <c r="F703" s="9" t="inlineStr">
        <is>
          <t>15cm de alto x 19.5cm de largo x 7.5cm de ancho</t>
        </is>
      </c>
      <c r="G703" s="9" t="n">
        <v>1</v>
      </c>
      <c r="H703" s="21" t="n">
        <v>42</v>
      </c>
      <c r="I703" s="21" t="n">
        <v>1177.45</v>
      </c>
      <c r="J703" s="21" t="n">
        <v>3532.35</v>
      </c>
      <c r="K703" s="21" t="n">
        <v>4121.07</v>
      </c>
      <c r="L703" s="21" t="n">
        <v>4709.8</v>
      </c>
      <c r="M703" s="21" t="n">
        <v>3076.23</v>
      </c>
    </row>
    <row r="704">
      <c r="A704" s="9" t="inlineStr">
        <is>
          <t>DINA DU</t>
        </is>
      </c>
      <c r="B704" s="9" t="inlineStr">
        <is>
          <t>DINA DU 21/10/2025</t>
        </is>
      </c>
      <c r="C704" s="9" t="inlineStr">
        <is>
          <t>2025-10-21</t>
        </is>
      </c>
      <c r="D704" s="9" t="inlineStr">
        <is>
          <t>654bdbd5ab77d</t>
        </is>
      </c>
      <c r="E704" s="9" t="inlineStr">
        <is>
          <t>BOLSO CC BOY MINI BLACK</t>
        </is>
      </c>
      <c r="F704" s="9" t="inlineStr">
        <is>
          <t>24.8cm de largo x 16cm de alto x 7.5cm de ancho</t>
        </is>
      </c>
      <c r="G704" s="9" t="n">
        <v>9</v>
      </c>
      <c r="H704" s="21" t="n">
        <v>15</v>
      </c>
      <c r="I704" s="21" t="n">
        <v>420.52</v>
      </c>
      <c r="J704" s="21" t="n">
        <v>1261.55</v>
      </c>
      <c r="K704" s="21" t="n">
        <v>1471.81</v>
      </c>
      <c r="L704" s="21" t="n">
        <v>1682.07</v>
      </c>
      <c r="M704" s="21" t="n">
        <v>1299</v>
      </c>
    </row>
    <row r="705">
      <c r="A705" s="9" t="inlineStr">
        <is>
          <t>DINA DU</t>
        </is>
      </c>
      <c r="B705" s="9" t="inlineStr">
        <is>
          <t>DINA DU 21/10/2025</t>
        </is>
      </c>
      <c r="C705" s="9" t="inlineStr">
        <is>
          <t>2025-10-21</t>
        </is>
      </c>
      <c r="D705" s="9" t="inlineStr">
        <is>
          <t>665bb9079b157</t>
        </is>
      </c>
      <c r="E705" s="9" t="inlineStr">
        <is>
          <t>BOLSO DOUBLE V LV</t>
        </is>
      </c>
      <c r="F705" s="9" t="inlineStr">
        <is>
          <t>17cm de alto x 23cm de largo x 9.5cm de ancho</t>
        </is>
      </c>
      <c r="G705" s="9" t="n">
        <v>3</v>
      </c>
      <c r="H705" s="21" t="n">
        <v>45</v>
      </c>
      <c r="I705" s="21" t="n">
        <v>1261.55</v>
      </c>
      <c r="J705" s="21" t="n">
        <v>3784.66</v>
      </c>
      <c r="K705" s="21" t="n">
        <v>4415.44</v>
      </c>
      <c r="L705" s="21" t="n">
        <v>5046.21</v>
      </c>
      <c r="M705" s="21" t="n">
        <v>3766.82</v>
      </c>
    </row>
    <row r="706">
      <c r="A706" s="9" t="inlineStr">
        <is>
          <t>DINA DU</t>
        </is>
      </c>
      <c r="B706" s="9" t="inlineStr">
        <is>
          <t>DINA DU 21/10/2025</t>
        </is>
      </c>
      <c r="C706" s="9" t="inlineStr">
        <is>
          <t>2025-10-21</t>
        </is>
      </c>
      <c r="D706" s="9" t="inlineStr">
        <is>
          <t>677c26ae9f248</t>
        </is>
      </c>
      <c r="E706" s="9" t="inlineStr">
        <is>
          <t>BOLSO LV BAGATELLE</t>
        </is>
      </c>
      <c r="F706" s="9" t="inlineStr">
        <is>
          <t>23cm de largo x 20cm de alto x 8.5cm</t>
        </is>
      </c>
      <c r="G706" s="9" t="n">
        <v>3</v>
      </c>
      <c r="H706" s="21" t="n">
        <v>43</v>
      </c>
      <c r="I706" s="21" t="n">
        <v>1205.48</v>
      </c>
      <c r="J706" s="21" t="n">
        <v>3616.45</v>
      </c>
      <c r="K706" s="21" t="n">
        <v>4219.19</v>
      </c>
      <c r="L706" s="21" t="n">
        <v>4821.94</v>
      </c>
      <c r="M706" s="21" t="n">
        <v>3599</v>
      </c>
    </row>
    <row r="707">
      <c r="A707" s="9" t="inlineStr">
        <is>
          <t>DINA DU</t>
        </is>
      </c>
      <c r="B707" s="9" t="inlineStr">
        <is>
          <t>DINA DU 21/10/2025</t>
        </is>
      </c>
      <c r="C707" s="9" t="inlineStr">
        <is>
          <t>2025-10-21</t>
        </is>
      </c>
      <c r="D707" s="9" t="inlineStr">
        <is>
          <t>43728084218572</t>
        </is>
      </c>
      <c r="E707" s="9" t="inlineStr">
        <is>
          <t>BOLSO LV DISTRICT BLACK</t>
        </is>
      </c>
      <c r="F707" s="9" t="inlineStr">
        <is>
          <t>25cm de largo x 23cm de alto x 6.5cm de ancho (REMATE)</t>
        </is>
      </c>
      <c r="G707" s="9" t="n">
        <v>5</v>
      </c>
      <c r="H707" s="21" t="n">
        <v>21</v>
      </c>
      <c r="I707" s="21" t="n">
        <v>588.72</v>
      </c>
      <c r="J707" s="21" t="n">
        <v>1766.17</v>
      </c>
      <c r="K707" s="21" t="n">
        <v>2060.54</v>
      </c>
      <c r="L707" s="21" t="n">
        <v>2354.9</v>
      </c>
      <c r="M707" s="21" t="n">
        <v>1758</v>
      </c>
    </row>
    <row r="708">
      <c r="A708" s="9" t="inlineStr">
        <is>
          <t>DINA DU</t>
        </is>
      </c>
      <c r="B708" s="9" t="inlineStr">
        <is>
          <t>DINA DU 21/10/2025</t>
        </is>
      </c>
      <c r="C708" s="9" t="inlineStr">
        <is>
          <t>2025-10-21</t>
        </is>
      </c>
      <c r="D708" s="9" t="inlineStr">
        <is>
          <t>654bdc44be732</t>
        </is>
      </c>
      <c r="E708" s="9" t="inlineStr">
        <is>
          <t>BOLSO LV PÉGASE BLACK</t>
        </is>
      </c>
      <c r="F708" s="9" t="inlineStr">
        <is>
          <t>25.5cm de largo x 26cm de alto x 6.cm de ancho</t>
        </is>
      </c>
      <c r="G708" s="9" t="n">
        <v>4</v>
      </c>
      <c r="H708" s="21" t="n">
        <v>21</v>
      </c>
      <c r="I708" s="21" t="n">
        <v>588.72</v>
      </c>
      <c r="J708" s="21" t="n">
        <v>1766.17</v>
      </c>
      <c r="K708" s="21" t="n">
        <v>2060.54</v>
      </c>
      <c r="L708" s="21" t="n">
        <v>2354.9</v>
      </c>
      <c r="M708" s="21" t="n">
        <v>1000</v>
      </c>
    </row>
    <row r="709">
      <c r="A709" s="9" t="inlineStr">
        <is>
          <t>DINA DU</t>
        </is>
      </c>
      <c r="B709" s="9" t="inlineStr">
        <is>
          <t>DINA DU 21/10/2025</t>
        </is>
      </c>
      <c r="C709" s="9" t="inlineStr">
        <is>
          <t>2025-10-21</t>
        </is>
      </c>
      <c r="D709" s="9" t="inlineStr">
        <is>
          <t>64e78f9336406</t>
        </is>
      </c>
      <c r="E709" s="9" t="inlineStr">
        <is>
          <t>BOLSO V BLACK</t>
        </is>
      </c>
      <c r="F709" s="9" t="inlineStr">
        <is>
          <t>20.5cmx14cm</t>
        </is>
      </c>
      <c r="G709" s="9" t="n">
        <v>2</v>
      </c>
      <c r="H709" s="21" t="n">
        <v>46</v>
      </c>
      <c r="I709" s="21" t="n">
        <v>1289.59</v>
      </c>
      <c r="J709" s="21" t="n">
        <v>3868.76</v>
      </c>
      <c r="K709" s="21" t="n">
        <v>4513.56</v>
      </c>
      <c r="L709" s="21" t="n">
        <v>5158.35</v>
      </c>
      <c r="M709" s="21" t="n">
        <v>3899</v>
      </c>
    </row>
    <row r="710">
      <c r="A710" s="9" t="inlineStr">
        <is>
          <t>DINA DU</t>
        </is>
      </c>
      <c r="B710" s="9" t="inlineStr">
        <is>
          <t>DINA DU 21/10/2025</t>
        </is>
      </c>
      <c r="C710" s="9" t="inlineStr">
        <is>
          <t>2025-10-21</t>
        </is>
      </c>
      <c r="D710" s="9" t="inlineStr">
        <is>
          <t>64e78f941b012</t>
        </is>
      </c>
      <c r="E710" s="9" t="inlineStr">
        <is>
          <t>BOLSO V WHITE</t>
        </is>
      </c>
      <c r="F710" s="9" t="inlineStr">
        <is>
          <t>20.5cmx14cm</t>
        </is>
      </c>
      <c r="G710" s="9" t="n">
        <v>2</v>
      </c>
      <c r="H710" s="21" t="n">
        <v>46</v>
      </c>
      <c r="I710" s="21" t="n">
        <v>1289.59</v>
      </c>
      <c r="J710" s="21" t="n">
        <v>3868.76</v>
      </c>
      <c r="K710" s="21" t="n">
        <v>4513.56</v>
      </c>
      <c r="L710" s="21" t="n">
        <v>5158.35</v>
      </c>
      <c r="M710" s="21" t="n">
        <v>3369</v>
      </c>
    </row>
    <row r="711">
      <c r="A711" s="9" t="inlineStr">
        <is>
          <t>DINA DU</t>
        </is>
      </c>
      <c r="B711" s="9" t="inlineStr">
        <is>
          <t>DINA DU 21/10/2025</t>
        </is>
      </c>
      <c r="C711" s="9" t="inlineStr">
        <is>
          <t>2025-10-21</t>
        </is>
      </c>
      <c r="D711" s="9" t="inlineStr">
        <is>
          <t>67572cbd4a7ca</t>
        </is>
      </c>
      <c r="E711" s="9" t="inlineStr">
        <is>
          <t>BOLSO YSL CON CADENA BLACK</t>
        </is>
      </c>
      <c r="F711" s="9" t="inlineStr">
        <is>
          <t>Regular</t>
        </is>
      </c>
      <c r="G711" s="9" t="n">
        <v>6</v>
      </c>
      <c r="H711" s="21" t="n">
        <v>46</v>
      </c>
      <c r="I711" s="21" t="n">
        <v>1289.59</v>
      </c>
      <c r="J711" s="21" t="n">
        <v>3868.76</v>
      </c>
      <c r="K711" s="21" t="n">
        <v>4513.56</v>
      </c>
      <c r="L711" s="21" t="n">
        <v>5158.35</v>
      </c>
      <c r="M711" s="21" t="n">
        <v>3850</v>
      </c>
    </row>
    <row r="712">
      <c r="A712" s="9" t="inlineStr">
        <is>
          <t>DINA DU</t>
        </is>
      </c>
      <c r="B712" s="9" t="inlineStr">
        <is>
          <t>DINA DU 21/10/2025</t>
        </is>
      </c>
      <c r="C712" s="9" t="inlineStr">
        <is>
          <t>2025-10-21</t>
        </is>
      </c>
      <c r="D712" s="9" t="inlineStr">
        <is>
          <t>94350532835596</t>
        </is>
      </c>
      <c r="E712" s="9" t="inlineStr">
        <is>
          <t>BOLSO YSL CON CADENA NUDE</t>
        </is>
      </c>
      <c r="F712" s="9" t="inlineStr">
        <is>
          <t>REGULAR</t>
        </is>
      </c>
      <c r="G712" s="9" t="n">
        <v>2</v>
      </c>
      <c r="H712" s="21" t="n">
        <v>46</v>
      </c>
      <c r="I712" s="21" t="n">
        <v>1289.59</v>
      </c>
      <c r="J712" s="21" t="n">
        <v>3868.76</v>
      </c>
      <c r="K712" s="21" t="n">
        <v>4513.56</v>
      </c>
      <c r="L712" s="21" t="n">
        <v>5158.35</v>
      </c>
      <c r="M712" s="21" t="n">
        <v>3850</v>
      </c>
    </row>
    <row r="713">
      <c r="A713" s="9" t="inlineStr">
        <is>
          <t>DINA DU</t>
        </is>
      </c>
      <c r="B713" s="9" t="inlineStr">
        <is>
          <t>DINA DU 21/10/2025</t>
        </is>
      </c>
      <c r="C713" s="9" t="inlineStr">
        <is>
          <t>2025-10-21</t>
        </is>
      </c>
      <c r="D713" s="9" t="inlineStr">
        <is>
          <t>654bdc38b0ca9</t>
        </is>
      </c>
      <c r="E713" s="9" t="inlineStr">
        <is>
          <t>BOLSO YSL CON CADENA RED</t>
        </is>
      </c>
      <c r="F713" s="9" t="inlineStr">
        <is>
          <t>17.5cm de alto x 23.5cm de largo x 6cm de ancho</t>
        </is>
      </c>
      <c r="G713" s="9" t="n">
        <v>3</v>
      </c>
      <c r="H713" s="21" t="n">
        <v>46</v>
      </c>
      <c r="I713" s="21" t="n">
        <v>1289.59</v>
      </c>
      <c r="J713" s="21" t="n">
        <v>3868.76</v>
      </c>
      <c r="K713" s="21" t="n">
        <v>4513.56</v>
      </c>
      <c r="L713" s="21" t="n">
        <v>5158.35</v>
      </c>
      <c r="M713" s="21" t="n">
        <v>3899</v>
      </c>
    </row>
    <row r="714">
      <c r="A714" s="9" t="inlineStr">
        <is>
          <t>DINA DU</t>
        </is>
      </c>
      <c r="B714" s="9" t="inlineStr">
        <is>
          <t>DINA DU 21/10/2025</t>
        </is>
      </c>
      <c r="C714" s="9" t="inlineStr">
        <is>
          <t>2025-10-21</t>
        </is>
      </c>
      <c r="D714" s="9" t="inlineStr">
        <is>
          <t>43728091877228</t>
        </is>
      </c>
      <c r="E714" s="9" t="inlineStr">
        <is>
          <t>CARTERA CC BLACK</t>
        </is>
      </c>
      <c r="F714" s="9" t="inlineStr">
        <is>
          <t>13cmx13cm</t>
        </is>
      </c>
      <c r="G714" s="9" t="n">
        <v>15</v>
      </c>
      <c r="H714" s="21" t="n">
        <v>24</v>
      </c>
      <c r="I714" s="21" t="n">
        <v>672.83</v>
      </c>
      <c r="J714" s="21" t="n">
        <v>2018.48</v>
      </c>
      <c r="K714" s="21" t="n">
        <v>2354.9</v>
      </c>
      <c r="L714" s="21" t="n">
        <v>2691.31</v>
      </c>
      <c r="M714" s="21" t="n">
        <v>2099</v>
      </c>
    </row>
    <row r="715">
      <c r="A715" s="9" t="inlineStr">
        <is>
          <t>DINA DU</t>
        </is>
      </c>
      <c r="B715" s="9" t="inlineStr">
        <is>
          <t>DINA DU 21/10/2025</t>
        </is>
      </c>
      <c r="C715" s="9" t="inlineStr">
        <is>
          <t>2025-10-21</t>
        </is>
      </c>
      <c r="D715" s="9" t="inlineStr">
        <is>
          <t>43728091639180</t>
        </is>
      </c>
      <c r="E715" s="9" t="inlineStr">
        <is>
          <t>CARTERA LV BLUE</t>
        </is>
      </c>
      <c r="F715" s="9" t="inlineStr">
        <is>
          <t>12cmx9cm</t>
        </is>
      </c>
      <c r="G715" s="9" t="n">
        <v>5</v>
      </c>
      <c r="H715" s="21" t="n">
        <v>13</v>
      </c>
      <c r="I715" s="21" t="n">
        <v>364.45</v>
      </c>
      <c r="J715" s="21" t="n">
        <v>1093.35</v>
      </c>
      <c r="K715" s="21" t="n">
        <v>1275.57</v>
      </c>
      <c r="L715" s="21" t="n">
        <v>1457.79</v>
      </c>
      <c r="M715" s="21" t="n">
        <v>1299</v>
      </c>
    </row>
    <row r="716">
      <c r="A716" s="9" t="inlineStr">
        <is>
          <t>DINA DU</t>
        </is>
      </c>
      <c r="B716" s="9" t="inlineStr">
        <is>
          <t>DINA DU 21/10/2025</t>
        </is>
      </c>
      <c r="C716" s="9" t="inlineStr">
        <is>
          <t>2025-10-21</t>
        </is>
      </c>
      <c r="D716" s="9" t="inlineStr">
        <is>
          <t>648cc60ce32b1</t>
        </is>
      </c>
      <c r="E716" s="9" t="inlineStr">
        <is>
          <t>CARTERA LV BROWN</t>
        </is>
      </c>
      <c r="F716" s="9" t="inlineStr">
        <is>
          <t>12cmx9cm</t>
        </is>
      </c>
      <c r="G716" s="9" t="n">
        <v>1</v>
      </c>
      <c r="H716" s="21" t="n">
        <v>13</v>
      </c>
      <c r="I716" s="21" t="n">
        <v>364.45</v>
      </c>
      <c r="J716" s="21" t="n">
        <v>1093.35</v>
      </c>
      <c r="K716" s="21" t="n">
        <v>1275.57</v>
      </c>
      <c r="L716" s="21" t="n">
        <v>1457.79</v>
      </c>
      <c r="M716" s="21" t="n">
        <v>1099</v>
      </c>
    </row>
    <row r="717">
      <c r="A717" s="9" t="inlineStr">
        <is>
          <t>DINA DU</t>
        </is>
      </c>
      <c r="B717" s="9" t="inlineStr">
        <is>
          <t>DINA DU 21/10/2025</t>
        </is>
      </c>
      <c r="C717" s="9" t="inlineStr">
        <is>
          <t>2025-10-21</t>
        </is>
      </c>
      <c r="D717" s="9" t="inlineStr">
        <is>
          <t>42556045426828</t>
        </is>
      </c>
      <c r="E717" s="9" t="inlineStr">
        <is>
          <t>CINTO FR ROSEGOLD</t>
        </is>
      </c>
      <c r="F717" s="9" t="inlineStr">
        <is>
          <t>100cm</t>
        </is>
      </c>
      <c r="G717" s="9" t="n">
        <v>2</v>
      </c>
      <c r="H717" s="21" t="n">
        <v>12</v>
      </c>
      <c r="I717" s="21" t="n">
        <v>336.41</v>
      </c>
      <c r="J717" s="21" t="n">
        <v>1009.24</v>
      </c>
      <c r="K717" s="21" t="n">
        <v>1177.45</v>
      </c>
      <c r="L717" s="21" t="n">
        <v>1345.66</v>
      </c>
      <c r="M717" s="21" t="n">
        <v>1099</v>
      </c>
    </row>
    <row r="718">
      <c r="A718" s="9" t="inlineStr">
        <is>
          <t>DINA DU</t>
        </is>
      </c>
      <c r="B718" s="9" t="inlineStr">
        <is>
          <t>DINA DU 21/10/2025</t>
        </is>
      </c>
      <c r="C718" s="9" t="inlineStr">
        <is>
          <t>2025-10-21</t>
        </is>
      </c>
      <c r="D718" s="9" t="inlineStr">
        <is>
          <t>648cc60e5d7a4</t>
        </is>
      </c>
      <c r="E718" s="9" t="inlineStr">
        <is>
          <t>CINTO GC BLACK</t>
        </is>
      </c>
      <c r="F718" s="9" t="inlineStr">
        <is>
          <t>100cm</t>
        </is>
      </c>
      <c r="G718" s="9" t="n">
        <v>6</v>
      </c>
      <c r="H718" s="21" t="n">
        <v>12</v>
      </c>
      <c r="I718" s="21" t="n">
        <v>336.41</v>
      </c>
      <c r="J718" s="21" t="n">
        <v>1009.24</v>
      </c>
      <c r="K718" s="21" t="n">
        <v>1177.45</v>
      </c>
      <c r="L718" s="21" t="n">
        <v>1345.66</v>
      </c>
      <c r="M718" s="21" t="n">
        <v>1495</v>
      </c>
    </row>
    <row r="719">
      <c r="A719" s="9" t="inlineStr">
        <is>
          <t>DINA DU</t>
        </is>
      </c>
      <c r="B719" s="9" t="inlineStr">
        <is>
          <t>DINA DU 21/10/2025</t>
        </is>
      </c>
      <c r="C719" s="9" t="inlineStr">
        <is>
          <t>2025-10-21</t>
        </is>
      </c>
      <c r="D719" s="9" t="inlineStr">
        <is>
          <t>654bdbcfd9269</t>
        </is>
      </c>
      <c r="E719" s="9" t="inlineStr">
        <is>
          <t>CINTO H BLACK</t>
        </is>
      </c>
      <c r="F719" s="9" t="inlineStr">
        <is>
          <t>100cm con extension</t>
        </is>
      </c>
      <c r="G719" s="9" t="n">
        <v>3</v>
      </c>
      <c r="H719" s="21" t="n">
        <v>15</v>
      </c>
      <c r="I719" s="21" t="n">
        <v>420.52</v>
      </c>
      <c r="J719" s="21" t="n">
        <v>1261.55</v>
      </c>
      <c r="K719" s="21" t="n">
        <v>1471.81</v>
      </c>
      <c r="L719" s="21" t="n">
        <v>1682.07</v>
      </c>
      <c r="M719" s="21" t="n">
        <v>1146</v>
      </c>
    </row>
    <row r="720">
      <c r="A720" s="9" t="inlineStr">
        <is>
          <t>DINA DU</t>
        </is>
      </c>
      <c r="B720" s="9" t="inlineStr">
        <is>
          <t>DINA DU 21/10/2025</t>
        </is>
      </c>
      <c r="C720" s="9" t="inlineStr">
        <is>
          <t>2025-10-21</t>
        </is>
      </c>
      <c r="D720" s="9" t="inlineStr">
        <is>
          <t>654bdbcfde867</t>
        </is>
      </c>
      <c r="E720" s="9" t="inlineStr">
        <is>
          <t>CINTO YSL GOLD BLACK</t>
        </is>
      </c>
      <c r="F720" s="9" t="inlineStr">
        <is>
          <t>100cm</t>
        </is>
      </c>
      <c r="G720" s="9" t="n">
        <v>12</v>
      </c>
      <c r="H720" s="21" t="n">
        <v>12</v>
      </c>
      <c r="I720" s="21" t="n">
        <v>336.41</v>
      </c>
      <c r="J720" s="21" t="n">
        <v>1009.24</v>
      </c>
      <c r="K720" s="21" t="n">
        <v>1177.45</v>
      </c>
      <c r="L720" s="21" t="n">
        <v>1345.66</v>
      </c>
      <c r="M720" s="21" t="n">
        <v>1099</v>
      </c>
    </row>
    <row r="721">
      <c r="A721" s="9" t="inlineStr">
        <is>
          <t>DINA DU</t>
        </is>
      </c>
      <c r="B721" s="9" t="inlineStr">
        <is>
          <t>DINA DU 21/10/2025</t>
        </is>
      </c>
      <c r="C721" s="9" t="inlineStr">
        <is>
          <t>2025-10-21</t>
        </is>
      </c>
      <c r="D721" s="9" t="inlineStr">
        <is>
          <t>42265107366028</t>
        </is>
      </c>
      <c r="E721" s="9" t="inlineStr">
        <is>
          <t>HOODIE C BLACK</t>
        </is>
      </c>
      <c r="F721" s="9" t="inlineStr">
        <is>
          <t>M</t>
        </is>
      </c>
      <c r="G721" s="9" t="n">
        <v>4</v>
      </c>
      <c r="H721" s="21" t="n">
        <v>27</v>
      </c>
      <c r="I721" s="21" t="n">
        <v>756.9299999999999</v>
      </c>
      <c r="J721" s="21" t="n">
        <v>2270.8</v>
      </c>
      <c r="K721" s="21" t="n">
        <v>2649.26</v>
      </c>
      <c r="L721" s="21" t="n">
        <v>3027.73</v>
      </c>
      <c r="M721" s="21" t="n">
        <v>1977</v>
      </c>
    </row>
    <row r="722">
      <c r="A722" s="9" t="inlineStr">
        <is>
          <t>DINA DU</t>
        </is>
      </c>
      <c r="B722" s="9" t="inlineStr">
        <is>
          <t>DINA DU 21/10/2025</t>
        </is>
      </c>
      <c r="C722" s="9" t="inlineStr">
        <is>
          <t>2025-10-21</t>
        </is>
      </c>
      <c r="D722" s="9" t="inlineStr">
        <is>
          <t>95383471436684</t>
        </is>
      </c>
      <c r="E722" s="9" t="inlineStr">
        <is>
          <t>HOODIE C BLACK</t>
        </is>
      </c>
      <c r="F722" s="9" t="inlineStr">
        <is>
          <t>L</t>
        </is>
      </c>
      <c r="G722" s="9" t="n">
        <v>5</v>
      </c>
      <c r="H722" s="21" t="n">
        <v>27</v>
      </c>
      <c r="I722" s="21" t="n">
        <v>756.9299999999999</v>
      </c>
      <c r="J722" s="21" t="n">
        <v>2270.8</v>
      </c>
      <c r="K722" s="21" t="n">
        <v>2649.26</v>
      </c>
      <c r="L722" s="21" t="n">
        <v>3027.73</v>
      </c>
      <c r="M722" s="21" t="n">
        <v>1977</v>
      </c>
    </row>
    <row r="723">
      <c r="A723" s="9" t="inlineStr">
        <is>
          <t>DINA DU</t>
        </is>
      </c>
      <c r="B723" s="9" t="inlineStr">
        <is>
          <t>DINA DU 21/10/2025</t>
        </is>
      </c>
      <c r="C723" s="9" t="inlineStr">
        <is>
          <t>2025-10-21</t>
        </is>
      </c>
      <c r="D723" s="9" t="inlineStr">
        <is>
          <t>42556129345676</t>
        </is>
      </c>
      <c r="E723" s="9" t="inlineStr">
        <is>
          <t>HOODIE C WHITE</t>
        </is>
      </c>
      <c r="F723" s="9" t="inlineStr">
        <is>
          <t>M</t>
        </is>
      </c>
      <c r="G723" s="9" t="n">
        <v>4</v>
      </c>
      <c r="H723" s="21" t="n">
        <v>27</v>
      </c>
      <c r="I723" s="21" t="n">
        <v>756.9299999999999</v>
      </c>
      <c r="J723" s="21" t="n">
        <v>2270.8</v>
      </c>
      <c r="K723" s="21" t="n">
        <v>2649.26</v>
      </c>
      <c r="L723" s="21" t="n">
        <v>3027.73</v>
      </c>
      <c r="M723" s="21" t="n">
        <v>2299</v>
      </c>
    </row>
    <row r="724">
      <c r="A724" s="9" t="inlineStr">
        <is>
          <t>DINA DU</t>
        </is>
      </c>
      <c r="B724" s="9" t="inlineStr">
        <is>
          <t>DINA DU 21/10/2025</t>
        </is>
      </c>
      <c r="C724" s="9" t="inlineStr">
        <is>
          <t>2025-10-21</t>
        </is>
      </c>
      <c r="D724" s="9" t="inlineStr">
        <is>
          <t>665bd49b4a58a</t>
        </is>
      </c>
      <c r="E724" s="9" t="inlineStr">
        <is>
          <t>TARJETERO LV BLUE</t>
        </is>
      </c>
      <c r="F724" s="9" t="inlineStr">
        <is>
          <t>8cm x 11cm</t>
        </is>
      </c>
      <c r="G724" s="9" t="n">
        <v>10</v>
      </c>
      <c r="H724" s="21" t="n">
        <v>17</v>
      </c>
      <c r="I724" s="21" t="n">
        <v>476.59</v>
      </c>
      <c r="J724" s="21" t="n">
        <v>1429.76</v>
      </c>
      <c r="K724" s="21" t="n">
        <v>1668.05</v>
      </c>
      <c r="L724" s="21" t="n">
        <v>1906.35</v>
      </c>
      <c r="M724" s="21" t="n">
        <v>1245</v>
      </c>
    </row>
    <row r="725">
      <c r="A725" s="9" t="inlineStr">
        <is>
          <t>DINA DU</t>
        </is>
      </c>
      <c r="B725" s="9" t="inlineStr">
        <is>
          <t>DINA DU 21/10/2025</t>
        </is>
      </c>
      <c r="C725" s="9" t="inlineStr">
        <is>
          <t>2025-10-21</t>
        </is>
      </c>
      <c r="D725" s="9" t="inlineStr">
        <is>
          <t>665bd4a0c3b63</t>
        </is>
      </c>
      <c r="E725" s="9" t="inlineStr">
        <is>
          <t>TARJETERO LV BROWN</t>
        </is>
      </c>
      <c r="F725" s="9" t="inlineStr">
        <is>
          <t>8cm x 11cm</t>
        </is>
      </c>
      <c r="G725" s="9" t="n">
        <v>7</v>
      </c>
      <c r="H725" s="21" t="n">
        <v>17</v>
      </c>
      <c r="I725" s="21" t="n">
        <v>476.59</v>
      </c>
      <c r="J725" s="21" t="n">
        <v>1429.76</v>
      </c>
      <c r="K725" s="21" t="n">
        <v>1668.05</v>
      </c>
      <c r="L725" s="21" t="n">
        <v>1906.35</v>
      </c>
      <c r="M725" s="21" t="n">
        <v>1245</v>
      </c>
    </row>
    <row r="726">
      <c r="A726" s="9" t="inlineStr">
        <is>
          <t>HAIFENG</t>
        </is>
      </c>
      <c r="B726" s="9" t="inlineStr">
        <is>
          <t>HAIFENG 22/10/2025</t>
        </is>
      </c>
      <c r="C726" s="9" t="inlineStr">
        <is>
          <t>2025-10-22</t>
        </is>
      </c>
      <c r="D726" s="9" t="inlineStr">
        <is>
          <t>SIN SKU</t>
        </is>
      </c>
      <c r="E726" s="9" t="inlineStr"/>
      <c r="F726" s="9" t="inlineStr"/>
      <c r="G726" s="9" t="n">
        <v>2</v>
      </c>
      <c r="H726" s="21" t="n">
        <v>6</v>
      </c>
      <c r="I726" s="21" t="n">
        <v>126.77</v>
      </c>
      <c r="J726" s="21" t="n">
        <v>380.31</v>
      </c>
      <c r="K726" s="21" t="n">
        <v>443.69</v>
      </c>
      <c r="L726" s="21" t="n">
        <v>507.08</v>
      </c>
      <c r="M726" s="21" t="n"/>
    </row>
    <row r="727">
      <c r="A727" s="9" t="inlineStr">
        <is>
          <t>HAIFENG</t>
        </is>
      </c>
      <c r="B727" s="9" t="inlineStr">
        <is>
          <t>HAIFENG 22/10/2025</t>
        </is>
      </c>
      <c r="C727" s="9" t="inlineStr">
        <is>
          <t>2025-10-22</t>
        </is>
      </c>
      <c r="D727" s="9" t="inlineStr">
        <is>
          <t>SIN SKU</t>
        </is>
      </c>
      <c r="E727" s="9" t="inlineStr"/>
      <c r="F727" s="9" t="inlineStr"/>
      <c r="G727" s="9" t="n">
        <v>2</v>
      </c>
      <c r="H727" s="21" t="n">
        <v>7.99</v>
      </c>
      <c r="I727" s="21" t="n">
        <v>168.81</v>
      </c>
      <c r="J727" s="21" t="n">
        <v>506.44</v>
      </c>
      <c r="K727" s="21" t="n">
        <v>590.85</v>
      </c>
      <c r="L727" s="21" t="n">
        <v>675.26</v>
      </c>
      <c r="M727" s="21" t="n"/>
    </row>
    <row r="728">
      <c r="A728" s="9" t="inlineStr">
        <is>
          <t>HAIFENG</t>
        </is>
      </c>
      <c r="B728" s="9" t="inlineStr">
        <is>
          <t>HAIFENG 22/10/2025</t>
        </is>
      </c>
      <c r="C728" s="9" t="inlineStr">
        <is>
          <t>2025-10-22</t>
        </is>
      </c>
      <c r="D728" s="9" t="inlineStr">
        <is>
          <t>SIN SKU</t>
        </is>
      </c>
      <c r="E728" s="9" t="inlineStr"/>
      <c r="F728" s="9" t="inlineStr"/>
      <c r="G728" s="9" t="n">
        <v>2</v>
      </c>
      <c r="H728" s="21" t="n">
        <v>8</v>
      </c>
      <c r="I728" s="21" t="n">
        <v>169.03</v>
      </c>
      <c r="J728" s="21" t="n">
        <v>507.08</v>
      </c>
      <c r="K728" s="21" t="n">
        <v>591.59</v>
      </c>
      <c r="L728" s="21" t="n">
        <v>676.1</v>
      </c>
      <c r="M728" s="21" t="n"/>
    </row>
    <row r="729">
      <c r="A729" s="9" t="inlineStr">
        <is>
          <t>HAIFENG</t>
        </is>
      </c>
      <c r="B729" s="9" t="inlineStr">
        <is>
          <t>HAIFENG 22/10/2025</t>
        </is>
      </c>
      <c r="C729" s="9" t="inlineStr">
        <is>
          <t>2025-10-22</t>
        </is>
      </c>
      <c r="D729" s="9" t="inlineStr">
        <is>
          <t>SIN SKU</t>
        </is>
      </c>
      <c r="E729" s="9" t="inlineStr"/>
      <c r="F729" s="9" t="inlineStr"/>
      <c r="G729" s="9" t="n">
        <v>2</v>
      </c>
      <c r="H729" s="21" t="n">
        <v>8</v>
      </c>
      <c r="I729" s="21" t="n">
        <v>169.03</v>
      </c>
      <c r="J729" s="21" t="n">
        <v>507.08</v>
      </c>
      <c r="K729" s="21" t="n">
        <v>591.59</v>
      </c>
      <c r="L729" s="21" t="n">
        <v>676.1</v>
      </c>
      <c r="M729" s="21" t="n"/>
    </row>
    <row r="730">
      <c r="A730" s="9" t="inlineStr">
        <is>
          <t>HAIFENG</t>
        </is>
      </c>
      <c r="B730" s="9" t="inlineStr">
        <is>
          <t>HAIFENG 22/10/2025</t>
        </is>
      </c>
      <c r="C730" s="9" t="inlineStr">
        <is>
          <t>2025-10-22</t>
        </is>
      </c>
      <c r="D730" s="9" t="inlineStr">
        <is>
          <t>SIN SKU</t>
        </is>
      </c>
      <c r="E730" s="9" t="inlineStr"/>
      <c r="F730" s="9" t="inlineStr"/>
      <c r="G730" s="9" t="n">
        <v>2</v>
      </c>
      <c r="H730" s="21" t="n">
        <v>6</v>
      </c>
      <c r="I730" s="21" t="n">
        <v>126.77</v>
      </c>
      <c r="J730" s="21" t="n">
        <v>380.31</v>
      </c>
      <c r="K730" s="21" t="n">
        <v>443.69</v>
      </c>
      <c r="L730" s="21" t="n">
        <v>507.08</v>
      </c>
      <c r="M730" s="21" t="n"/>
    </row>
    <row r="731">
      <c r="A731" s="9" t="inlineStr">
        <is>
          <t>HAIFENG</t>
        </is>
      </c>
      <c r="B731" s="9" t="inlineStr">
        <is>
          <t>HAIFENG 22/10/2025</t>
        </is>
      </c>
      <c r="C731" s="9" t="inlineStr">
        <is>
          <t>2025-10-22</t>
        </is>
      </c>
      <c r="D731" s="9" t="inlineStr">
        <is>
          <t>SIN SKU</t>
        </is>
      </c>
      <c r="E731" s="9" t="inlineStr"/>
      <c r="F731" s="9" t="inlineStr"/>
      <c r="G731" s="9" t="n">
        <v>2</v>
      </c>
      <c r="H731" s="21" t="n">
        <v>6</v>
      </c>
      <c r="I731" s="21" t="n">
        <v>126.77</v>
      </c>
      <c r="J731" s="21" t="n">
        <v>380.31</v>
      </c>
      <c r="K731" s="21" t="n">
        <v>443.69</v>
      </c>
      <c r="L731" s="21" t="n">
        <v>507.08</v>
      </c>
      <c r="M731" s="21" t="n"/>
    </row>
    <row r="732">
      <c r="A732" s="9" t="inlineStr">
        <is>
          <t>HAIFENG</t>
        </is>
      </c>
      <c r="B732" s="9" t="inlineStr">
        <is>
          <t>HAIFENG 22/10/2025</t>
        </is>
      </c>
      <c r="C732" s="9" t="inlineStr">
        <is>
          <t>2025-10-22</t>
        </is>
      </c>
      <c r="D732" s="9" t="inlineStr">
        <is>
          <t>SIN SKU</t>
        </is>
      </c>
      <c r="E732" s="9" t="inlineStr"/>
      <c r="F732" s="9" t="inlineStr"/>
      <c r="G732" s="9" t="n">
        <v>2</v>
      </c>
      <c r="H732" s="21" t="n">
        <v>7</v>
      </c>
      <c r="I732" s="21" t="n">
        <v>147.9</v>
      </c>
      <c r="J732" s="21" t="n">
        <v>443.69</v>
      </c>
      <c r="K732" s="21" t="n">
        <v>517.64</v>
      </c>
      <c r="L732" s="21" t="n">
        <v>591.59</v>
      </c>
      <c r="M732" s="21" t="n"/>
    </row>
    <row r="733">
      <c r="A733" s="9" t="inlineStr">
        <is>
          <t>HAIFENG</t>
        </is>
      </c>
      <c r="B733" s="9" t="inlineStr">
        <is>
          <t>HAIFENG 22/10/2025</t>
        </is>
      </c>
      <c r="C733" s="9" t="inlineStr">
        <is>
          <t>2025-10-22</t>
        </is>
      </c>
      <c r="D733" s="9" t="inlineStr">
        <is>
          <t>SIN SKU</t>
        </is>
      </c>
      <c r="E733" s="9" t="inlineStr"/>
      <c r="F733" s="9" t="inlineStr"/>
      <c r="G733" s="9" t="n">
        <v>2</v>
      </c>
      <c r="H733" s="21" t="n">
        <v>7</v>
      </c>
      <c r="I733" s="21" t="n">
        <v>147.9</v>
      </c>
      <c r="J733" s="21" t="n">
        <v>443.69</v>
      </c>
      <c r="K733" s="21" t="n">
        <v>517.64</v>
      </c>
      <c r="L733" s="21" t="n">
        <v>591.59</v>
      </c>
      <c r="M733" s="21" t="n"/>
    </row>
    <row r="734">
      <c r="A734" s="9" t="inlineStr">
        <is>
          <t>HAIFENG</t>
        </is>
      </c>
      <c r="B734" s="9" t="inlineStr">
        <is>
          <t>HAIFENG 22/10/2025</t>
        </is>
      </c>
      <c r="C734" s="9" t="inlineStr">
        <is>
          <t>2025-10-22</t>
        </is>
      </c>
      <c r="D734" s="9" t="inlineStr">
        <is>
          <t>2314362835885</t>
        </is>
      </c>
      <c r="E734" s="9" t="inlineStr"/>
      <c r="F734" s="9" t="inlineStr"/>
      <c r="G734" s="9" t="n">
        <v>1</v>
      </c>
      <c r="H734" s="21" t="n">
        <v>7</v>
      </c>
      <c r="I734" s="21" t="n">
        <v>147.9</v>
      </c>
      <c r="J734" s="21" t="n">
        <v>443.69</v>
      </c>
      <c r="K734" s="21" t="n">
        <v>517.64</v>
      </c>
      <c r="L734" s="21" t="n">
        <v>591.59</v>
      </c>
      <c r="M734" s="21" t="n"/>
    </row>
    <row r="735">
      <c r="A735" s="9" t="inlineStr">
        <is>
          <t>HAIFENG</t>
        </is>
      </c>
      <c r="B735" s="9" t="inlineStr">
        <is>
          <t>HAIFENG 22/10/2025</t>
        </is>
      </c>
      <c r="C735" s="9" t="inlineStr">
        <is>
          <t>2025-10-22</t>
        </is>
      </c>
      <c r="D735" s="9" t="inlineStr">
        <is>
          <t>SIN SKU</t>
        </is>
      </c>
      <c r="E735" s="9" t="inlineStr"/>
      <c r="F735" s="9" t="inlineStr"/>
      <c r="G735" s="9" t="n">
        <v>2</v>
      </c>
      <c r="H735" s="21" t="n">
        <v>7</v>
      </c>
      <c r="I735" s="21" t="n">
        <v>147.9</v>
      </c>
      <c r="J735" s="21" t="n">
        <v>443.69</v>
      </c>
      <c r="K735" s="21" t="n">
        <v>517.64</v>
      </c>
      <c r="L735" s="21" t="n">
        <v>591.59</v>
      </c>
      <c r="M735" s="21" t="n"/>
    </row>
    <row r="736">
      <c r="A736" s="9" t="inlineStr">
        <is>
          <t>HAIFENG</t>
        </is>
      </c>
      <c r="B736" s="9" t="inlineStr">
        <is>
          <t>HAIFENG 22/10/2025</t>
        </is>
      </c>
      <c r="C736" s="9" t="inlineStr">
        <is>
          <t>2025-10-22</t>
        </is>
      </c>
      <c r="D736" s="9" t="inlineStr">
        <is>
          <t>SIN SKU</t>
        </is>
      </c>
      <c r="E736" s="9" t="inlineStr"/>
      <c r="F736" s="9" t="inlineStr"/>
      <c r="G736" s="9" t="n">
        <v>2</v>
      </c>
      <c r="H736" s="21" t="n">
        <v>7</v>
      </c>
      <c r="I736" s="21" t="n">
        <v>147.9</v>
      </c>
      <c r="J736" s="21" t="n">
        <v>443.69</v>
      </c>
      <c r="K736" s="21" t="n">
        <v>517.64</v>
      </c>
      <c r="L736" s="21" t="n">
        <v>591.59</v>
      </c>
      <c r="M736" s="21" t="n"/>
    </row>
    <row r="737">
      <c r="A737" s="9" t="inlineStr">
        <is>
          <t>HAIFENG</t>
        </is>
      </c>
      <c r="B737" s="9" t="inlineStr">
        <is>
          <t>HAIFENG 22/10/2025</t>
        </is>
      </c>
      <c r="C737" s="9" t="inlineStr">
        <is>
          <t>2025-10-22</t>
        </is>
      </c>
      <c r="D737" s="9" t="inlineStr">
        <is>
          <t>SIN SKU</t>
        </is>
      </c>
      <c r="E737" s="9" t="inlineStr"/>
      <c r="F737" s="9" t="inlineStr"/>
      <c r="G737" s="9" t="n">
        <v>2</v>
      </c>
      <c r="H737" s="21" t="n">
        <v>6</v>
      </c>
      <c r="I737" s="21" t="n">
        <v>126.77</v>
      </c>
      <c r="J737" s="21" t="n">
        <v>380.31</v>
      </c>
      <c r="K737" s="21" t="n">
        <v>443.69</v>
      </c>
      <c r="L737" s="21" t="n">
        <v>507.08</v>
      </c>
      <c r="M737" s="21" t="n"/>
    </row>
    <row r="738">
      <c r="A738" s="9" t="inlineStr">
        <is>
          <t>HAIFENG</t>
        </is>
      </c>
      <c r="B738" s="9" t="inlineStr">
        <is>
          <t>HAIFENG 22/10/2025</t>
        </is>
      </c>
      <c r="C738" s="9" t="inlineStr">
        <is>
          <t>2025-10-22</t>
        </is>
      </c>
      <c r="D738" s="9" t="inlineStr">
        <is>
          <t>SIN SKU</t>
        </is>
      </c>
      <c r="E738" s="9" t="inlineStr"/>
      <c r="F738" s="9" t="inlineStr"/>
      <c r="G738" s="9" t="n">
        <v>2</v>
      </c>
      <c r="H738" s="21" t="n">
        <v>8</v>
      </c>
      <c r="I738" s="21" t="n">
        <v>169.03</v>
      </c>
      <c r="J738" s="21" t="n">
        <v>507.08</v>
      </c>
      <c r="K738" s="21" t="n">
        <v>591.59</v>
      </c>
      <c r="L738" s="21" t="n">
        <v>676.1</v>
      </c>
      <c r="M738" s="21" t="n"/>
    </row>
    <row r="739">
      <c r="A739" s="9" t="inlineStr">
        <is>
          <t>HAIFENG</t>
        </is>
      </c>
      <c r="B739" s="9" t="inlineStr">
        <is>
          <t>HAIFENG 22/10/2025</t>
        </is>
      </c>
      <c r="C739" s="9" t="inlineStr">
        <is>
          <t>2025-10-22</t>
        </is>
      </c>
      <c r="D739" s="9" t="inlineStr">
        <is>
          <t>SIN SKU</t>
        </is>
      </c>
      <c r="E739" s="9" t="inlineStr"/>
      <c r="F739" s="9" t="inlineStr"/>
      <c r="G739" s="9" t="n">
        <v>1</v>
      </c>
      <c r="H739" s="21" t="n">
        <v>8</v>
      </c>
      <c r="I739" s="21" t="n">
        <v>169.03</v>
      </c>
      <c r="J739" s="21" t="n">
        <v>507.08</v>
      </c>
      <c r="K739" s="21" t="n">
        <v>591.59</v>
      </c>
      <c r="L739" s="21" t="n">
        <v>676.1</v>
      </c>
      <c r="M739" s="21" t="n"/>
    </row>
    <row r="740">
      <c r="A740" s="9" t="inlineStr">
        <is>
          <t>HAIFENG</t>
        </is>
      </c>
      <c r="B740" s="9" t="inlineStr">
        <is>
          <t>HAIFENG 22/10/2025</t>
        </is>
      </c>
      <c r="C740" s="9" t="inlineStr">
        <is>
          <t>2025-10-22</t>
        </is>
      </c>
      <c r="D740" s="9" t="inlineStr">
        <is>
          <t>86347032550093</t>
        </is>
      </c>
      <c r="E740" s="9" t="inlineStr">
        <is>
          <t>ANILLO CD DIAMOND ZIRCONIAS</t>
        </is>
      </c>
      <c r="F740" s="9" t="inlineStr">
        <is>
          <t>7</t>
        </is>
      </c>
      <c r="G740" s="9" t="n">
        <v>2</v>
      </c>
      <c r="H740" s="21" t="n">
        <v>6</v>
      </c>
      <c r="I740" s="21" t="n">
        <v>126.77</v>
      </c>
      <c r="J740" s="21" t="n">
        <v>380.31</v>
      </c>
      <c r="K740" s="21" t="n">
        <v>443.69</v>
      </c>
      <c r="L740" s="21" t="n">
        <v>507.08</v>
      </c>
      <c r="M740" s="21" t="n">
        <v>499</v>
      </c>
    </row>
    <row r="741">
      <c r="A741" s="9" t="inlineStr">
        <is>
          <t>HAIFENG</t>
        </is>
      </c>
      <c r="B741" s="9" t="inlineStr">
        <is>
          <t>HAIFENG 22/10/2025</t>
        </is>
      </c>
      <c r="C741" s="9" t="inlineStr">
        <is>
          <t>2025-10-22</t>
        </is>
      </c>
      <c r="D741" s="9" t="inlineStr">
        <is>
          <t>24703361096333</t>
        </is>
      </c>
      <c r="E741" s="9" t="inlineStr">
        <is>
          <t>ANILLO DELGADO T TRUE GOLD</t>
        </is>
      </c>
      <c r="F741" s="9" t="inlineStr">
        <is>
          <t>7</t>
        </is>
      </c>
      <c r="G741" s="9" t="n">
        <v>2</v>
      </c>
      <c r="H741" s="21" t="n">
        <v>6.5</v>
      </c>
      <c r="I741" s="21" t="n">
        <v>137.33</v>
      </c>
      <c r="J741" s="21" t="n">
        <v>412</v>
      </c>
      <c r="K741" s="21" t="n">
        <v>480.67</v>
      </c>
      <c r="L741" s="21" t="n">
        <v>549.33</v>
      </c>
      <c r="M741" s="21" t="n">
        <v>535.6</v>
      </c>
    </row>
    <row r="742">
      <c r="A742" s="9" t="inlineStr">
        <is>
          <t>HAIFENG</t>
        </is>
      </c>
      <c r="B742" s="9" t="inlineStr">
        <is>
          <t>HAIFENG 22/10/2025</t>
        </is>
      </c>
      <c r="C742" s="9" t="inlineStr">
        <is>
          <t>2025-10-22</t>
        </is>
      </c>
      <c r="D742" s="9" t="inlineStr">
        <is>
          <t>24703361129101</t>
        </is>
      </c>
      <c r="E742" s="9" t="inlineStr">
        <is>
          <t>ANILLO DELGADO T TRUE GOLD</t>
        </is>
      </c>
      <c r="F742" s="9" t="inlineStr">
        <is>
          <t>8</t>
        </is>
      </c>
      <c r="G742" s="9" t="n">
        <v>2</v>
      </c>
      <c r="H742" s="21" t="n">
        <v>6.5</v>
      </c>
      <c r="I742" s="21" t="n">
        <v>137.33</v>
      </c>
      <c r="J742" s="21" t="n">
        <v>412</v>
      </c>
      <c r="K742" s="21" t="n">
        <v>480.67</v>
      </c>
      <c r="L742" s="21" t="n">
        <v>549.33</v>
      </c>
      <c r="M742" s="21" t="n">
        <v>535.6</v>
      </c>
    </row>
    <row r="743">
      <c r="A743" s="9" t="inlineStr">
        <is>
          <t>HAIFENG</t>
        </is>
      </c>
      <c r="B743" s="9" t="inlineStr">
        <is>
          <t>HAIFENG 22/10/2025</t>
        </is>
      </c>
      <c r="C743" s="9" t="inlineStr">
        <is>
          <t>2025-10-22</t>
        </is>
      </c>
      <c r="D743" s="9" t="inlineStr">
        <is>
          <t>86347032827501</t>
        </is>
      </c>
      <c r="E743" s="9" t="inlineStr">
        <is>
          <t>ANILLO ESLABONES ROSEGOLD ZIRCONIAS</t>
        </is>
      </c>
      <c r="F743" s="9" t="inlineStr">
        <is>
          <t>7</t>
        </is>
      </c>
      <c r="G743" s="9" t="n">
        <v>2</v>
      </c>
      <c r="H743" s="21" t="n">
        <v>7</v>
      </c>
      <c r="I743" s="21" t="n">
        <v>147.9</v>
      </c>
      <c r="J743" s="21" t="n">
        <v>443.69</v>
      </c>
      <c r="K743" s="21" t="n">
        <v>517.64</v>
      </c>
      <c r="L743" s="21" t="n">
        <v>591.59</v>
      </c>
      <c r="M743" s="21" t="n">
        <v>580</v>
      </c>
    </row>
    <row r="744">
      <c r="A744" s="9" t="inlineStr">
        <is>
          <t>HAIFENG</t>
        </is>
      </c>
      <c r="B744" s="9" t="inlineStr">
        <is>
          <t>HAIFENG 22/10/2025</t>
        </is>
      </c>
      <c r="C744" s="9" t="inlineStr">
        <is>
          <t>2025-10-22</t>
        </is>
      </c>
      <c r="D744" s="9" t="inlineStr">
        <is>
          <t>86347032960269</t>
        </is>
      </c>
      <c r="E744" s="9" t="inlineStr">
        <is>
          <t>ANILLO ESLABONES ROSEGOLD ZIRCONIAS</t>
        </is>
      </c>
      <c r="F744" s="9" t="inlineStr">
        <is>
          <t>9</t>
        </is>
      </c>
      <c r="G744" s="9" t="n">
        <v>2</v>
      </c>
      <c r="H744" s="21" t="n">
        <v>7</v>
      </c>
      <c r="I744" s="21" t="n">
        <v>147.9</v>
      </c>
      <c r="J744" s="21" t="n">
        <v>443.69</v>
      </c>
      <c r="K744" s="21" t="n">
        <v>517.64</v>
      </c>
      <c r="L744" s="21" t="n">
        <v>591.59</v>
      </c>
      <c r="M744" s="21" t="n">
        <v>580</v>
      </c>
    </row>
    <row r="745">
      <c r="A745" s="9" t="inlineStr">
        <is>
          <t>HAIFENG</t>
        </is>
      </c>
      <c r="B745" s="9" t="inlineStr">
        <is>
          <t>HAIFENG 22/10/2025</t>
        </is>
      </c>
      <c r="C745" s="9" t="inlineStr">
        <is>
          <t>2025-10-22</t>
        </is>
      </c>
      <c r="D745" s="9" t="inlineStr">
        <is>
          <t>12314361063501</t>
        </is>
      </c>
      <c r="E745" s="9" t="inlineStr">
        <is>
          <t>ANILLO F DOBLE GOLD</t>
        </is>
      </c>
      <c r="F745" s="9" t="inlineStr">
        <is>
          <t>AJUSTABLE</t>
        </is>
      </c>
      <c r="G745" s="9" t="n">
        <v>2</v>
      </c>
      <c r="H745" s="21" t="n">
        <v>7</v>
      </c>
      <c r="I745" s="21" t="n">
        <v>147.9</v>
      </c>
      <c r="J745" s="21" t="n">
        <v>443.69</v>
      </c>
      <c r="K745" s="21" t="n">
        <v>517.64</v>
      </c>
      <c r="L745" s="21" t="n">
        <v>591.59</v>
      </c>
      <c r="M745" s="21" t="n">
        <v>620</v>
      </c>
    </row>
    <row r="746">
      <c r="A746" s="9" t="inlineStr">
        <is>
          <t>HAIFENG</t>
        </is>
      </c>
      <c r="B746" s="9" t="inlineStr">
        <is>
          <t>HAIFENG 22/10/2025</t>
        </is>
      </c>
      <c r="C746" s="9" t="inlineStr">
        <is>
          <t>2025-10-22</t>
        </is>
      </c>
      <c r="D746" s="9" t="inlineStr">
        <is>
          <t>12314361063501</t>
        </is>
      </c>
      <c r="E746" s="9" t="inlineStr">
        <is>
          <t>ANILLO F DOBLE GOLD</t>
        </is>
      </c>
      <c r="F746" s="9" t="inlineStr">
        <is>
          <t>AJUSTABLE</t>
        </is>
      </c>
      <c r="G746" s="9" t="n">
        <v>2</v>
      </c>
      <c r="H746" s="21" t="n">
        <v>7</v>
      </c>
      <c r="I746" s="21" t="n">
        <v>147.9</v>
      </c>
      <c r="J746" s="21" t="n">
        <v>443.69</v>
      </c>
      <c r="K746" s="21" t="n">
        <v>517.64</v>
      </c>
      <c r="L746" s="21" t="n">
        <v>591.59</v>
      </c>
      <c r="M746" s="21" t="n">
        <v>620</v>
      </c>
    </row>
    <row r="747">
      <c r="A747" s="9" t="inlineStr">
        <is>
          <t>HAIFENG</t>
        </is>
      </c>
      <c r="B747" s="9" t="inlineStr">
        <is>
          <t>HAIFENG 22/10/2025</t>
        </is>
      </c>
      <c r="C747" s="9" t="inlineStr">
        <is>
          <t>2025-10-22</t>
        </is>
      </c>
      <c r="D747" s="9" t="inlineStr">
        <is>
          <t>12314362703117</t>
        </is>
      </c>
      <c r="E747" s="9" t="inlineStr">
        <is>
          <t>ANILLO F GOLD ZIRCONIAS</t>
        </is>
      </c>
      <c r="F747" s="9" t="inlineStr">
        <is>
          <t>6</t>
        </is>
      </c>
      <c r="G747" s="9" t="n">
        <v>2</v>
      </c>
      <c r="H747" s="21" t="n">
        <v>7</v>
      </c>
      <c r="I747" s="21" t="n">
        <v>147.9</v>
      </c>
      <c r="J747" s="21" t="n">
        <v>443.69</v>
      </c>
      <c r="K747" s="21" t="n">
        <v>517.64</v>
      </c>
      <c r="L747" s="21" t="n">
        <v>591.59</v>
      </c>
      <c r="M747" s="21" t="n">
        <v>576.8</v>
      </c>
    </row>
    <row r="748">
      <c r="A748" s="9" t="inlineStr">
        <is>
          <t>HAIFENG</t>
        </is>
      </c>
      <c r="B748" s="9" t="inlineStr">
        <is>
          <t>HAIFENG 22/10/2025</t>
        </is>
      </c>
      <c r="C748" s="9" t="inlineStr">
        <is>
          <t>2025-10-22</t>
        </is>
      </c>
      <c r="D748" s="9" t="inlineStr">
        <is>
          <t>12314361504205</t>
        </is>
      </c>
      <c r="E748" s="9" t="inlineStr">
        <is>
          <t>ANILLO F SILVER ZIRCONIAS</t>
        </is>
      </c>
      <c r="F748" s="9" t="inlineStr">
        <is>
          <t>8</t>
        </is>
      </c>
      <c r="G748" s="9" t="n">
        <v>2</v>
      </c>
      <c r="H748" s="21" t="n">
        <v>7</v>
      </c>
      <c r="I748" s="21" t="n">
        <v>147.9</v>
      </c>
      <c r="J748" s="21" t="n">
        <v>443.69</v>
      </c>
      <c r="K748" s="21" t="n">
        <v>517.64</v>
      </c>
      <c r="L748" s="21" t="n">
        <v>591.59</v>
      </c>
      <c r="M748" s="21" t="n">
        <v>404</v>
      </c>
    </row>
    <row r="749">
      <c r="A749" s="9" t="inlineStr">
        <is>
          <t>HAIFENG</t>
        </is>
      </c>
      <c r="B749" s="9" t="inlineStr">
        <is>
          <t>HAIFENG 22/10/2025</t>
        </is>
      </c>
      <c r="C749" s="9" t="inlineStr">
        <is>
          <t>2025-10-22</t>
        </is>
      </c>
      <c r="D749" s="9" t="inlineStr">
        <is>
          <t>12314361636973</t>
        </is>
      </c>
      <c r="E749" s="9" t="inlineStr">
        <is>
          <t>ANILLO F SILVER ZIRCONIAS</t>
        </is>
      </c>
      <c r="F749" s="9" t="inlineStr">
        <is>
          <t>9</t>
        </is>
      </c>
      <c r="G749" s="9" t="n">
        <v>2</v>
      </c>
      <c r="H749" s="21" t="n">
        <v>7</v>
      </c>
      <c r="I749" s="21" t="n">
        <v>147.9</v>
      </c>
      <c r="J749" s="21" t="n">
        <v>443.69</v>
      </c>
      <c r="K749" s="21" t="n">
        <v>517.64</v>
      </c>
      <c r="L749" s="21" t="n">
        <v>591.59</v>
      </c>
      <c r="M749" s="21" t="n">
        <v>404</v>
      </c>
    </row>
    <row r="750">
      <c r="A750" s="9" t="inlineStr">
        <is>
          <t>HAIFENG</t>
        </is>
      </c>
      <c r="B750" s="9" t="inlineStr">
        <is>
          <t>HAIFENG 22/10/2025</t>
        </is>
      </c>
      <c r="C750" s="9" t="inlineStr">
        <is>
          <t>2025-10-22</t>
        </is>
      </c>
      <c r="D750" s="9" t="inlineStr">
        <is>
          <t>86347033266957</t>
        </is>
      </c>
      <c r="E750" s="9" t="inlineStr">
        <is>
          <t>ANILLO KNOT DOBLE GOLD ZIRCONIAS</t>
        </is>
      </c>
      <c r="F750" s="9" t="inlineStr">
        <is>
          <t>6</t>
        </is>
      </c>
      <c r="G750" s="9" t="n">
        <v>2</v>
      </c>
      <c r="H750" s="21" t="n">
        <v>6.5</v>
      </c>
      <c r="I750" s="21" t="n">
        <v>137.33</v>
      </c>
      <c r="J750" s="21" t="n">
        <v>412</v>
      </c>
      <c r="K750" s="21" t="n">
        <v>480.67</v>
      </c>
      <c r="L750" s="21" t="n">
        <v>549.33</v>
      </c>
      <c r="M750" s="21" t="n">
        <v>550</v>
      </c>
    </row>
    <row r="751">
      <c r="A751" s="9" t="inlineStr">
        <is>
          <t>HAIFENG</t>
        </is>
      </c>
      <c r="B751" s="9" t="inlineStr">
        <is>
          <t>HAIFENG 22/10/2025</t>
        </is>
      </c>
      <c r="C751" s="9" t="inlineStr">
        <is>
          <t>2025-10-22</t>
        </is>
      </c>
      <c r="D751" s="9" t="inlineStr">
        <is>
          <t>86347033399725</t>
        </is>
      </c>
      <c r="E751" s="9" t="inlineStr">
        <is>
          <t>ANILLO KNOT DOBLE GOLD ZIRCONIAS</t>
        </is>
      </c>
      <c r="F751" s="9" t="inlineStr">
        <is>
          <t>7</t>
        </is>
      </c>
      <c r="G751" s="9" t="n">
        <v>2</v>
      </c>
      <c r="H751" s="21" t="n">
        <v>6.5</v>
      </c>
      <c r="I751" s="21" t="n">
        <v>137.33</v>
      </c>
      <c r="J751" s="21" t="n">
        <v>412</v>
      </c>
      <c r="K751" s="21" t="n">
        <v>480.67</v>
      </c>
      <c r="L751" s="21" t="n">
        <v>549.33</v>
      </c>
      <c r="M751" s="21" t="n">
        <v>550</v>
      </c>
    </row>
    <row r="752">
      <c r="A752" s="9" t="inlineStr">
        <is>
          <t>HAIFENG</t>
        </is>
      </c>
      <c r="B752" s="9" t="inlineStr">
        <is>
          <t>HAIFENG 22/10/2025</t>
        </is>
      </c>
      <c r="C752" s="9" t="inlineStr">
        <is>
          <t>2025-10-22</t>
        </is>
      </c>
      <c r="D752" s="9" t="inlineStr">
        <is>
          <t>71078751481933</t>
        </is>
      </c>
      <c r="E752" s="9" t="inlineStr">
        <is>
          <t>ANILLO LV GRABADO SILVER</t>
        </is>
      </c>
      <c r="F752" s="9" t="inlineStr">
        <is>
          <t>8</t>
        </is>
      </c>
      <c r="G752" s="9" t="n">
        <v>2</v>
      </c>
      <c r="H752" s="21" t="n">
        <v>5.99</v>
      </c>
      <c r="I752" s="21" t="n">
        <v>126.56</v>
      </c>
      <c r="J752" s="21" t="n">
        <v>379.67</v>
      </c>
      <c r="K752" s="21" t="n">
        <v>442.95</v>
      </c>
      <c r="L752" s="21" t="n">
        <v>506.23</v>
      </c>
      <c r="M752" s="21" t="n">
        <v>599</v>
      </c>
    </row>
    <row r="753">
      <c r="A753" s="9" t="inlineStr">
        <is>
          <t>HAIFENG</t>
        </is>
      </c>
      <c r="B753" s="9" t="inlineStr">
        <is>
          <t>HAIFENG 22/10/2025</t>
        </is>
      </c>
      <c r="C753" s="9" t="inlineStr">
        <is>
          <t>2025-10-22</t>
        </is>
      </c>
      <c r="D753" s="9" t="inlineStr">
        <is>
          <t>41078751514701</t>
        </is>
      </c>
      <c r="E753" s="9" t="inlineStr">
        <is>
          <t>ANILLO LV GRABADO SILVER</t>
        </is>
      </c>
      <c r="F753" s="9" t="inlineStr">
        <is>
          <t>9</t>
        </is>
      </c>
      <c r="G753" s="9" t="n">
        <v>2</v>
      </c>
      <c r="H753" s="21" t="n">
        <v>5.99</v>
      </c>
      <c r="I753" s="21" t="n">
        <v>126.56</v>
      </c>
      <c r="J753" s="21" t="n">
        <v>379.67</v>
      </c>
      <c r="K753" s="21" t="n">
        <v>442.95</v>
      </c>
      <c r="L753" s="21" t="n">
        <v>506.23</v>
      </c>
      <c r="M753" s="21" t="n">
        <v>599</v>
      </c>
    </row>
    <row r="754">
      <c r="A754" s="9" t="inlineStr">
        <is>
          <t>HAIFENG</t>
        </is>
      </c>
      <c r="B754" s="9" t="inlineStr">
        <is>
          <t>HAIFENG 22/10/2025</t>
        </is>
      </c>
      <c r="C754" s="9" t="inlineStr">
        <is>
          <t>2025-10-22</t>
        </is>
      </c>
      <c r="D754" s="9" t="inlineStr">
        <is>
          <t>86347031552269</t>
        </is>
      </c>
      <c r="E754" s="9" t="inlineStr">
        <is>
          <t>ANILLO OLYMPE GOLD-BLACK</t>
        </is>
      </c>
      <c r="F754" s="9" t="inlineStr">
        <is>
          <t>8</t>
        </is>
      </c>
      <c r="G754" s="9" t="n">
        <v>2</v>
      </c>
      <c r="H754" s="21" t="n">
        <v>6</v>
      </c>
      <c r="I754" s="21" t="n">
        <v>126.77</v>
      </c>
      <c r="J754" s="21" t="n">
        <v>380.31</v>
      </c>
      <c r="K754" s="21" t="n">
        <v>443.69</v>
      </c>
      <c r="L754" s="21" t="n">
        <v>507.08</v>
      </c>
      <c r="M754" s="21" t="n">
        <v>800</v>
      </c>
    </row>
    <row r="755">
      <c r="A755" s="9" t="inlineStr">
        <is>
          <t>HAIFENG</t>
        </is>
      </c>
      <c r="B755" s="9" t="inlineStr">
        <is>
          <t>HAIFENG 22/10/2025</t>
        </is>
      </c>
      <c r="C755" s="9" t="inlineStr">
        <is>
          <t>2025-10-22</t>
        </is>
      </c>
      <c r="D755" s="9" t="inlineStr">
        <is>
          <t>86347031685037</t>
        </is>
      </c>
      <c r="E755" s="9" t="inlineStr">
        <is>
          <t>ANILLO OLYMPE GOLD-BLACK</t>
        </is>
      </c>
      <c r="F755" s="9" t="inlineStr">
        <is>
          <t>9</t>
        </is>
      </c>
      <c r="G755" s="9" t="n">
        <v>2</v>
      </c>
      <c r="H755" s="21" t="n">
        <v>6</v>
      </c>
      <c r="I755" s="21" t="n">
        <v>126.77</v>
      </c>
      <c r="J755" s="21" t="n">
        <v>380.31</v>
      </c>
      <c r="K755" s="21" t="n">
        <v>443.69</v>
      </c>
      <c r="L755" s="21" t="n">
        <v>507.08</v>
      </c>
      <c r="M755" s="21" t="n">
        <v>800</v>
      </c>
    </row>
    <row r="756">
      <c r="A756" s="9" t="inlineStr">
        <is>
          <t>HAIFENG</t>
        </is>
      </c>
      <c r="B756" s="9" t="inlineStr">
        <is>
          <t>HAIFENG 22/10/2025</t>
        </is>
      </c>
      <c r="C756" s="9" t="inlineStr">
        <is>
          <t>2025-10-22</t>
        </is>
      </c>
      <c r="D756" s="9" t="inlineStr">
        <is>
          <t>86347031781645</t>
        </is>
      </c>
      <c r="E756" s="9" t="inlineStr">
        <is>
          <t>ANILLO OLYMPE GOLD-BLACK</t>
        </is>
      </c>
      <c r="F756" s="9" t="inlineStr">
        <is>
          <t>10</t>
        </is>
      </c>
      <c r="G756" s="9" t="n">
        <v>2</v>
      </c>
      <c r="H756" s="21" t="n">
        <v>6</v>
      </c>
      <c r="I756" s="21" t="n">
        <v>126.77</v>
      </c>
      <c r="J756" s="21" t="n">
        <v>380.31</v>
      </c>
      <c r="K756" s="21" t="n">
        <v>443.69</v>
      </c>
      <c r="L756" s="21" t="n">
        <v>507.08</v>
      </c>
      <c r="M756" s="21" t="n">
        <v>800</v>
      </c>
    </row>
    <row r="757">
      <c r="A757" s="9" t="inlineStr">
        <is>
          <t>HAIFENG</t>
        </is>
      </c>
      <c r="B757" s="9" t="inlineStr">
        <is>
          <t>HAIFENG 22/10/2025</t>
        </is>
      </c>
      <c r="C757" s="9" t="inlineStr">
        <is>
          <t>2025-10-22</t>
        </is>
      </c>
      <c r="D757" s="9" t="inlineStr">
        <is>
          <t>86347033042765</t>
        </is>
      </c>
      <c r="E757" s="9" t="inlineStr">
        <is>
          <t>ANILLO T ENTRELAZDOS SILVER</t>
        </is>
      </c>
      <c r="F757" s="9" t="inlineStr">
        <is>
          <t>7</t>
        </is>
      </c>
      <c r="G757" s="9" t="n">
        <v>2</v>
      </c>
      <c r="H757" s="21" t="n">
        <v>8.99</v>
      </c>
      <c r="I757" s="21" t="n">
        <v>189.94</v>
      </c>
      <c r="J757" s="21" t="n">
        <v>569.83</v>
      </c>
      <c r="K757" s="21" t="n">
        <v>664.8</v>
      </c>
      <c r="L757" s="21" t="n">
        <v>759.77</v>
      </c>
      <c r="M757" s="21" t="n">
        <v>740.78</v>
      </c>
    </row>
    <row r="758">
      <c r="A758" s="9" t="inlineStr">
        <is>
          <t>HAIFENG</t>
        </is>
      </c>
      <c r="B758" s="9" t="inlineStr">
        <is>
          <t>HAIFENG 22/10/2025</t>
        </is>
      </c>
      <c r="C758" s="9" t="inlineStr">
        <is>
          <t>2025-10-22</t>
        </is>
      </c>
      <c r="D758" s="9" t="inlineStr">
        <is>
          <t>86347033175533</t>
        </is>
      </c>
      <c r="E758" s="9" t="inlineStr">
        <is>
          <t>ANILLO T ENTRELAZDOS SILVER</t>
        </is>
      </c>
      <c r="F758" s="9" t="inlineStr">
        <is>
          <t>8</t>
        </is>
      </c>
      <c r="G758" s="9" t="n">
        <v>2</v>
      </c>
      <c r="H758" s="21" t="n">
        <v>8.99</v>
      </c>
      <c r="I758" s="21" t="n">
        <v>189.94</v>
      </c>
      <c r="J758" s="21" t="n">
        <v>569.83</v>
      </c>
      <c r="K758" s="21" t="n">
        <v>664.8</v>
      </c>
      <c r="L758" s="21" t="n">
        <v>759.77</v>
      </c>
      <c r="M758" s="21" t="n">
        <v>740.78</v>
      </c>
    </row>
    <row r="759">
      <c r="A759" s="9" t="inlineStr">
        <is>
          <t>HAIFENG</t>
        </is>
      </c>
      <c r="B759" s="9" t="inlineStr">
        <is>
          <t>HAIFENG 22/10/2025</t>
        </is>
      </c>
      <c r="C759" s="9" t="inlineStr">
        <is>
          <t>2025-10-22</t>
        </is>
      </c>
      <c r="D759" s="9" t="inlineStr">
        <is>
          <t>86347032691341</t>
        </is>
      </c>
      <c r="E759" s="9" t="inlineStr">
        <is>
          <t>ANILLO TWO-ROW GOLD</t>
        </is>
      </c>
      <c r="F759" s="9" t="inlineStr">
        <is>
          <t>6</t>
        </is>
      </c>
      <c r="G759" s="9" t="n">
        <v>2</v>
      </c>
      <c r="H759" s="21" t="n">
        <v>6.99</v>
      </c>
      <c r="I759" s="21" t="n">
        <v>147.69</v>
      </c>
      <c r="J759" s="21" t="n">
        <v>443.06</v>
      </c>
      <c r="K759" s="21" t="n">
        <v>516.9</v>
      </c>
      <c r="L759" s="21" t="n">
        <v>590.75</v>
      </c>
      <c r="M759" s="21" t="n">
        <v>580</v>
      </c>
    </row>
    <row r="760">
      <c r="A760" s="9" t="inlineStr">
        <is>
          <t>HAIFENG</t>
        </is>
      </c>
      <c r="B760" s="9" t="inlineStr">
        <is>
          <t>HAIFENG 22/10/2025</t>
        </is>
      </c>
      <c r="C760" s="9" t="inlineStr">
        <is>
          <t>2025-10-22</t>
        </is>
      </c>
      <c r="D760" s="9" t="inlineStr">
        <is>
          <t>86347032724109</t>
        </is>
      </c>
      <c r="E760" s="9" t="inlineStr">
        <is>
          <t>ANILLO TWO-ROW GOLD</t>
        </is>
      </c>
      <c r="F760" s="9" t="inlineStr">
        <is>
          <t>7</t>
        </is>
      </c>
      <c r="G760" s="9" t="n">
        <v>2</v>
      </c>
      <c r="H760" s="21" t="n">
        <v>6.99</v>
      </c>
      <c r="I760" s="21" t="n">
        <v>147.69</v>
      </c>
      <c r="J760" s="21" t="n">
        <v>443.06</v>
      </c>
      <c r="K760" s="21" t="n">
        <v>516.9</v>
      </c>
      <c r="L760" s="21" t="n">
        <v>590.75</v>
      </c>
      <c r="M760" s="21" t="n">
        <v>580</v>
      </c>
    </row>
    <row r="761">
      <c r="A761" s="9" t="inlineStr">
        <is>
          <t>HAIFENG</t>
        </is>
      </c>
      <c r="B761" s="9" t="inlineStr">
        <is>
          <t>HAIFENG 22/10/2025</t>
        </is>
      </c>
      <c r="C761" s="9" t="inlineStr">
        <is>
          <t>2025-10-22</t>
        </is>
      </c>
      <c r="D761" s="9" t="inlineStr">
        <is>
          <t>81078751345773</t>
        </is>
      </c>
      <c r="E761" s="9" t="inlineStr">
        <is>
          <t>ARETES BLOSSOM COLGANTES ROSEGOLD</t>
        </is>
      </c>
      <c r="F761" s="9" t="inlineStr">
        <is>
          <t>Default Title</t>
        </is>
      </c>
      <c r="G761" s="9" t="n">
        <v>2</v>
      </c>
      <c r="H761" s="21" t="n">
        <v>8.99</v>
      </c>
      <c r="I761" s="21" t="n">
        <v>189.94</v>
      </c>
      <c r="J761" s="21" t="n">
        <v>569.83</v>
      </c>
      <c r="K761" s="21" t="n">
        <v>664.8</v>
      </c>
      <c r="L761" s="21" t="n">
        <v>759.77</v>
      </c>
      <c r="M761" s="21" t="n">
        <v>950</v>
      </c>
    </row>
    <row r="762">
      <c r="A762" s="9" t="inlineStr">
        <is>
          <t>HAIFENG</t>
        </is>
      </c>
      <c r="B762" s="9" t="inlineStr">
        <is>
          <t>HAIFENG 22/10/2025</t>
        </is>
      </c>
      <c r="C762" s="9" t="inlineStr">
        <is>
          <t>2025-10-22</t>
        </is>
      </c>
      <c r="D762" s="9" t="inlineStr">
        <is>
          <t>51078752492301</t>
        </is>
      </c>
      <c r="E762" s="9" t="inlineStr">
        <is>
          <t>ARETES C GOLD</t>
        </is>
      </c>
      <c r="F762" s="9" t="inlineStr">
        <is>
          <t>Default Title</t>
        </is>
      </c>
      <c r="G762" s="9" t="n">
        <v>2</v>
      </c>
      <c r="H762" s="21" t="n">
        <v>5.99</v>
      </c>
      <c r="I762" s="21" t="n">
        <v>126.56</v>
      </c>
      <c r="J762" s="21" t="n">
        <v>379.67</v>
      </c>
      <c r="K762" s="21" t="n">
        <v>442.95</v>
      </c>
      <c r="L762" s="21" t="n">
        <v>506.23</v>
      </c>
      <c r="M762" s="21" t="n">
        <v>575</v>
      </c>
    </row>
    <row r="763">
      <c r="A763" s="9" t="inlineStr">
        <is>
          <t>HAIFENG</t>
        </is>
      </c>
      <c r="B763" s="9" t="inlineStr">
        <is>
          <t>HAIFENG 22/10/2025</t>
        </is>
      </c>
      <c r="C763" s="9" t="inlineStr">
        <is>
          <t>2025-10-22</t>
        </is>
      </c>
      <c r="D763" s="9" t="inlineStr">
        <is>
          <t>11078752382541</t>
        </is>
      </c>
      <c r="E763" s="9" t="inlineStr">
        <is>
          <t>ARETES C GOLD PEARL</t>
        </is>
      </c>
      <c r="F763" s="9" t="inlineStr">
        <is>
          <t>Default Title</t>
        </is>
      </c>
      <c r="G763" s="9" t="n">
        <v>2</v>
      </c>
      <c r="H763" s="21" t="n">
        <v>5.99</v>
      </c>
      <c r="I763" s="21" t="n">
        <v>126.56</v>
      </c>
      <c r="J763" s="21" t="n">
        <v>379.67</v>
      </c>
      <c r="K763" s="21" t="n">
        <v>442.95</v>
      </c>
      <c r="L763" s="21" t="n">
        <v>506.23</v>
      </c>
      <c r="M763" s="21" t="n">
        <v>499</v>
      </c>
    </row>
    <row r="764">
      <c r="A764" s="9" t="inlineStr">
        <is>
          <t>HAIFENG</t>
        </is>
      </c>
      <c r="B764" s="9" t="inlineStr">
        <is>
          <t>HAIFENG 22/10/2025</t>
        </is>
      </c>
      <c r="C764" s="9" t="inlineStr">
        <is>
          <t>2025-10-22</t>
        </is>
      </c>
      <c r="D764" s="9" t="inlineStr">
        <is>
          <t>11078751910221</t>
        </is>
      </c>
      <c r="E764" s="9" t="inlineStr">
        <is>
          <t>ARETES C GOLD ZIRCONIAS</t>
        </is>
      </c>
      <c r="F764" s="9" t="inlineStr">
        <is>
          <t>Default Title</t>
        </is>
      </c>
      <c r="G764" s="9" t="n">
        <v>3</v>
      </c>
      <c r="H764" s="21" t="n">
        <v>5.99</v>
      </c>
      <c r="I764" s="21" t="n">
        <v>126.56</v>
      </c>
      <c r="J764" s="21" t="n">
        <v>379.67</v>
      </c>
      <c r="K764" s="21" t="n">
        <v>442.95</v>
      </c>
      <c r="L764" s="21" t="n">
        <v>506.23</v>
      </c>
      <c r="M764" s="21" t="n">
        <v>575</v>
      </c>
    </row>
    <row r="765">
      <c r="A765" s="9" t="inlineStr">
        <is>
          <t>HAIFENG</t>
        </is>
      </c>
      <c r="B765" s="9" t="inlineStr">
        <is>
          <t>HAIFENG 22/10/2025</t>
        </is>
      </c>
      <c r="C765" s="9" t="inlineStr">
        <is>
          <t>2025-10-22</t>
        </is>
      </c>
      <c r="D765" s="9" t="inlineStr">
        <is>
          <t>91078752530157</t>
        </is>
      </c>
      <c r="E765" s="9" t="inlineStr">
        <is>
          <t>ARETES C SILVER</t>
        </is>
      </c>
      <c r="F765" s="9" t="inlineStr">
        <is>
          <t>Default Title</t>
        </is>
      </c>
      <c r="G765" s="9" t="n">
        <v>2</v>
      </c>
      <c r="H765" s="21" t="n">
        <v>5.99</v>
      </c>
      <c r="I765" s="21" t="n">
        <v>126.56</v>
      </c>
      <c r="J765" s="21" t="n">
        <v>379.67</v>
      </c>
      <c r="K765" s="21" t="n">
        <v>442.95</v>
      </c>
      <c r="L765" s="21" t="n">
        <v>506.23</v>
      </c>
      <c r="M765" s="21" t="n">
        <v>499</v>
      </c>
    </row>
    <row r="766">
      <c r="A766" s="9" t="inlineStr">
        <is>
          <t>HAIFENG</t>
        </is>
      </c>
      <c r="B766" s="9" t="inlineStr">
        <is>
          <t>HAIFENG 22/10/2025</t>
        </is>
      </c>
      <c r="C766" s="9" t="inlineStr">
        <is>
          <t>2025-10-22</t>
        </is>
      </c>
      <c r="D766" s="9" t="inlineStr">
        <is>
          <t>31078752039597</t>
        </is>
      </c>
      <c r="E766" s="9" t="inlineStr">
        <is>
          <t>ARETES C SILVER ZIRCONIAS</t>
        </is>
      </c>
      <c r="F766" s="9" t="inlineStr">
        <is>
          <t>Default Title</t>
        </is>
      </c>
      <c r="G766" s="9" t="n">
        <v>3</v>
      </c>
      <c r="H766" s="21" t="n">
        <v>5.99</v>
      </c>
      <c r="I766" s="21" t="n">
        <v>126.56</v>
      </c>
      <c r="J766" s="21" t="n">
        <v>379.67</v>
      </c>
      <c r="K766" s="21" t="n">
        <v>442.95</v>
      </c>
      <c r="L766" s="21" t="n">
        <v>506.23</v>
      </c>
      <c r="M766" s="21" t="n">
        <v>575</v>
      </c>
    </row>
    <row r="767">
      <c r="A767" s="9" t="inlineStr">
        <is>
          <t>HAIFENG</t>
        </is>
      </c>
      <c r="B767" s="9" t="inlineStr">
        <is>
          <t>HAIFENG 22/10/2025</t>
        </is>
      </c>
      <c r="C767" s="9" t="inlineStr">
        <is>
          <t>2025-10-22</t>
        </is>
      </c>
      <c r="D767" s="9" t="inlineStr">
        <is>
          <t>86347032129677</t>
        </is>
      </c>
      <c r="E767" s="9" t="inlineStr">
        <is>
          <t>ARETES CD BAROQUE GOLD-BLACK</t>
        </is>
      </c>
      <c r="F767" s="9" t="inlineStr">
        <is>
          <t>Default Title</t>
        </is>
      </c>
      <c r="G767" s="9" t="n">
        <v>2</v>
      </c>
      <c r="H767" s="21" t="n">
        <v>6</v>
      </c>
      <c r="I767" s="21" t="n">
        <v>126.77</v>
      </c>
      <c r="J767" s="21" t="n">
        <v>380.31</v>
      </c>
      <c r="K767" s="21" t="n">
        <v>443.69</v>
      </c>
      <c r="L767" s="21" t="n">
        <v>507.08</v>
      </c>
      <c r="M767" s="21" t="n">
        <v>495</v>
      </c>
    </row>
    <row r="768">
      <c r="A768" s="9" t="inlineStr">
        <is>
          <t>HAIFENG</t>
        </is>
      </c>
      <c r="B768" s="9" t="inlineStr">
        <is>
          <t>HAIFENG 22/10/2025</t>
        </is>
      </c>
      <c r="C768" s="9" t="inlineStr">
        <is>
          <t>2025-10-22</t>
        </is>
      </c>
      <c r="D768" s="9" t="inlineStr">
        <is>
          <t>86347032270925</t>
        </is>
      </c>
      <c r="E768" s="9" t="inlineStr">
        <is>
          <t>ARETES CD LUCKY DIAMOND SILVER</t>
        </is>
      </c>
      <c r="F768" s="9" t="inlineStr">
        <is>
          <t>Default Title</t>
        </is>
      </c>
      <c r="G768" s="9" t="n">
        <v>2</v>
      </c>
      <c r="H768" s="21" t="n">
        <v>5.5</v>
      </c>
      <c r="I768" s="21" t="n">
        <v>116.21</v>
      </c>
      <c r="J768" s="21" t="n">
        <v>348.62</v>
      </c>
      <c r="K768" s="21" t="n">
        <v>406.72</v>
      </c>
      <c r="L768" s="21" t="n">
        <v>464.82</v>
      </c>
      <c r="M768" s="21" t="n">
        <v>500</v>
      </c>
    </row>
    <row r="769">
      <c r="A769" s="9" t="inlineStr">
        <is>
          <t>HAIFENG</t>
        </is>
      </c>
      <c r="B769" s="9" t="inlineStr">
        <is>
          <t>HAIFENG 22/10/2025</t>
        </is>
      </c>
      <c r="C769" s="9" t="inlineStr">
        <is>
          <t>2025-10-22</t>
        </is>
      </c>
      <c r="D769" s="9" t="inlineStr">
        <is>
          <t>89633861063789</t>
        </is>
      </c>
      <c r="E769" s="9" t="inlineStr">
        <is>
          <t>ARETES CD ROUND LOGO CON ZIRCONIAS</t>
        </is>
      </c>
      <c r="F769" s="9" t="inlineStr">
        <is>
          <t>HIGH QUALITY</t>
        </is>
      </c>
      <c r="G769" s="9" t="n">
        <v>2</v>
      </c>
      <c r="H769" s="21" t="n">
        <v>6</v>
      </c>
      <c r="I769" s="21" t="n">
        <v>126.77</v>
      </c>
      <c r="J769" s="21" t="n">
        <v>380.31</v>
      </c>
      <c r="K769" s="21" t="n">
        <v>443.69</v>
      </c>
      <c r="L769" s="21" t="n">
        <v>507.08</v>
      </c>
      <c r="M769" s="21" t="n">
        <v>599</v>
      </c>
    </row>
    <row r="770">
      <c r="A770" s="9" t="inlineStr">
        <is>
          <t>HAIFENG</t>
        </is>
      </c>
      <c r="B770" s="9" t="inlineStr">
        <is>
          <t>HAIFENG 22/10/2025</t>
        </is>
      </c>
      <c r="C770" s="9" t="inlineStr">
        <is>
          <t>2025-10-22</t>
        </is>
      </c>
      <c r="D770" s="9" t="inlineStr">
        <is>
          <t>86347031100845</t>
        </is>
      </c>
      <c r="E770" s="9" t="inlineStr">
        <is>
          <t>ARETES CLAVO GOLD ZIRCONIAS</t>
        </is>
      </c>
      <c r="F770" s="9" t="inlineStr">
        <is>
          <t>HIGH QUALITY</t>
        </is>
      </c>
      <c r="G770" s="9" t="n">
        <v>2</v>
      </c>
      <c r="H770" s="21" t="n">
        <v>7</v>
      </c>
      <c r="I770" s="21" t="n">
        <v>147.9</v>
      </c>
      <c r="J770" s="21" t="n">
        <v>443.69</v>
      </c>
      <c r="K770" s="21" t="n">
        <v>517.64</v>
      </c>
      <c r="L770" s="21" t="n">
        <v>591.59</v>
      </c>
      <c r="M770" s="21" t="n">
        <v>599</v>
      </c>
    </row>
    <row r="771">
      <c r="A771" s="9" t="inlineStr">
        <is>
          <t>HAIFENG</t>
        </is>
      </c>
      <c r="B771" s="9" t="inlineStr">
        <is>
          <t>HAIFENG 22/10/2025</t>
        </is>
      </c>
      <c r="C771" s="9" t="inlineStr">
        <is>
          <t>2025-10-22</t>
        </is>
      </c>
      <c r="D771" s="9" t="inlineStr">
        <is>
          <t>86347031066381</t>
        </is>
      </c>
      <c r="E771" s="9" t="inlineStr">
        <is>
          <t>ARETES CLAVO SILVER ZIRCONIAS</t>
        </is>
      </c>
      <c r="F771" s="9" t="inlineStr">
        <is>
          <t>Default Title</t>
        </is>
      </c>
      <c r="G771" s="9" t="n">
        <v>2</v>
      </c>
      <c r="H771" s="21" t="n">
        <v>7</v>
      </c>
      <c r="I771" s="21" t="n">
        <v>147.9</v>
      </c>
      <c r="J771" s="21" t="n">
        <v>443.69</v>
      </c>
      <c r="K771" s="21" t="n">
        <v>517.64</v>
      </c>
      <c r="L771" s="21" t="n">
        <v>591.59</v>
      </c>
      <c r="M771" s="21" t="n">
        <v>576.8</v>
      </c>
    </row>
    <row r="772">
      <c r="A772" s="9" t="inlineStr">
        <is>
          <t>HAIFENG</t>
        </is>
      </c>
      <c r="B772" s="9" t="inlineStr">
        <is>
          <t>HAIFENG 22/10/2025</t>
        </is>
      </c>
      <c r="C772" s="9" t="inlineStr">
        <is>
          <t>2025-10-22</t>
        </is>
      </c>
      <c r="D772" s="9" t="inlineStr">
        <is>
          <t>12314361469741</t>
        </is>
      </c>
      <c r="E772" s="9" t="inlineStr">
        <is>
          <t>ARETES F FILO GOLD</t>
        </is>
      </c>
      <c r="F772" s="9" t="inlineStr">
        <is>
          <t>Default Title</t>
        </is>
      </c>
      <c r="G772" s="9" t="n">
        <v>2</v>
      </c>
      <c r="H772" s="21" t="n">
        <v>6</v>
      </c>
      <c r="I772" s="21" t="n">
        <v>126.77</v>
      </c>
      <c r="J772" s="21" t="n">
        <v>380.31</v>
      </c>
      <c r="K772" s="21" t="n">
        <v>443.69</v>
      </c>
      <c r="L772" s="21" t="n">
        <v>507.08</v>
      </c>
      <c r="M772" s="21" t="n">
        <v>699</v>
      </c>
    </row>
    <row r="773">
      <c r="A773" s="9" t="inlineStr">
        <is>
          <t>HAIFENG</t>
        </is>
      </c>
      <c r="B773" s="9" t="inlineStr">
        <is>
          <t>HAIFENG 22/10/2025</t>
        </is>
      </c>
      <c r="C773" s="9" t="inlineStr">
        <is>
          <t>2025-10-22</t>
        </is>
      </c>
      <c r="D773" s="9" t="inlineStr">
        <is>
          <t>12314362492941</t>
        </is>
      </c>
      <c r="E773" s="9" t="inlineStr">
        <is>
          <t>ARETES F GOLD</t>
        </is>
      </c>
      <c r="F773" s="9" t="inlineStr">
        <is>
          <t>Default Title</t>
        </is>
      </c>
      <c r="G773" s="9" t="n">
        <v>2</v>
      </c>
      <c r="H773" s="21" t="n">
        <v>6</v>
      </c>
      <c r="I773" s="21" t="n">
        <v>126.77</v>
      </c>
      <c r="J773" s="21" t="n">
        <v>380.31</v>
      </c>
      <c r="K773" s="21" t="n">
        <v>443.69</v>
      </c>
      <c r="L773" s="21" t="n">
        <v>507.08</v>
      </c>
      <c r="M773" s="21" t="n">
        <v>499</v>
      </c>
    </row>
    <row r="774">
      <c r="A774" s="9" t="inlineStr">
        <is>
          <t>HAIFENG</t>
        </is>
      </c>
      <c r="B774" s="9" t="inlineStr">
        <is>
          <t>HAIFENG 22/10/2025</t>
        </is>
      </c>
      <c r="C774" s="9" t="inlineStr">
        <is>
          <t>2025-10-22</t>
        </is>
      </c>
      <c r="D774" s="9" t="inlineStr">
        <is>
          <t>12314361364653</t>
        </is>
      </c>
      <c r="E774" s="9" t="inlineStr">
        <is>
          <t>ARETES F GOLD PEARL</t>
        </is>
      </c>
      <c r="F774" s="9" t="inlineStr">
        <is>
          <t>Default Title</t>
        </is>
      </c>
      <c r="G774" s="9" t="n">
        <v>2</v>
      </c>
      <c r="H774" s="21" t="n">
        <v>8</v>
      </c>
      <c r="I774" s="21" t="n">
        <v>169.03</v>
      </c>
      <c r="J774" s="21" t="n">
        <v>507.08</v>
      </c>
      <c r="K774" s="21" t="n">
        <v>591.59</v>
      </c>
      <c r="L774" s="21" t="n">
        <v>676.1</v>
      </c>
      <c r="M774" s="21" t="n">
        <v>699</v>
      </c>
    </row>
    <row r="775">
      <c r="A775" s="9" t="inlineStr">
        <is>
          <t>HAIFENG</t>
        </is>
      </c>
      <c r="B775" s="9" t="inlineStr">
        <is>
          <t>HAIFENG 22/10/2025</t>
        </is>
      </c>
      <c r="C775" s="9" t="inlineStr">
        <is>
          <t>2025-10-22</t>
        </is>
      </c>
      <c r="D775" s="9" t="inlineStr">
        <is>
          <t>12314362081613</t>
        </is>
      </c>
      <c r="E775" s="9" t="inlineStr">
        <is>
          <t>ARETES F GOLD ZIRCONIAS</t>
        </is>
      </c>
      <c r="F775" s="9" t="inlineStr">
        <is>
          <t>Default Title</t>
        </is>
      </c>
      <c r="G775" s="9" t="n">
        <v>2</v>
      </c>
      <c r="H775" s="21" t="n">
        <v>7</v>
      </c>
      <c r="I775" s="21" t="n">
        <v>147.9</v>
      </c>
      <c r="J775" s="21" t="n">
        <v>443.69</v>
      </c>
      <c r="K775" s="21" t="n">
        <v>517.64</v>
      </c>
      <c r="L775" s="21" t="n">
        <v>591.59</v>
      </c>
      <c r="M775" s="21" t="n">
        <v>580</v>
      </c>
    </row>
    <row r="776">
      <c r="A776" s="9" t="inlineStr">
        <is>
          <t>HAIFENG</t>
        </is>
      </c>
      <c r="B776" s="9" t="inlineStr">
        <is>
          <t>HAIFENG 22/10/2025</t>
        </is>
      </c>
      <c r="C776" s="9" t="inlineStr">
        <is>
          <t>2025-10-22</t>
        </is>
      </c>
      <c r="D776" s="9" t="inlineStr">
        <is>
          <t>14247351086093</t>
        </is>
      </c>
      <c r="E776" s="9" t="inlineStr">
        <is>
          <t>ARETES F O'LOCK SILVER</t>
        </is>
      </c>
      <c r="F776" s="9" t="inlineStr">
        <is>
          <t>Default Title</t>
        </is>
      </c>
      <c r="G776" s="9" t="n">
        <v>2</v>
      </c>
      <c r="H776" s="21" t="n">
        <v>8</v>
      </c>
      <c r="I776" s="21" t="n">
        <v>169.03</v>
      </c>
      <c r="J776" s="21" t="n">
        <v>507.08</v>
      </c>
      <c r="K776" s="21" t="n">
        <v>591.59</v>
      </c>
      <c r="L776" s="21" t="n">
        <v>676.1</v>
      </c>
      <c r="M776" s="21" t="n">
        <v>670</v>
      </c>
    </row>
    <row r="777">
      <c r="A777" s="9" t="inlineStr">
        <is>
          <t>HAIFENG</t>
        </is>
      </c>
      <c r="B777" s="9" t="inlineStr">
        <is>
          <t>HAIFENG 22/10/2025</t>
        </is>
      </c>
      <c r="C777" s="9" t="inlineStr">
        <is>
          <t>2025-10-22</t>
        </is>
      </c>
      <c r="D777" s="9" t="inlineStr">
        <is>
          <t>12314361978221</t>
        </is>
      </c>
      <c r="E777" s="9" t="inlineStr">
        <is>
          <t>ARETES F SILVER ZIRCONIAS</t>
        </is>
      </c>
      <c r="F777" s="9" t="inlineStr">
        <is>
          <t>Default Title</t>
        </is>
      </c>
      <c r="G777" s="9" t="n">
        <v>2</v>
      </c>
      <c r="H777" s="21" t="n">
        <v>7</v>
      </c>
      <c r="I777" s="21" t="n">
        <v>147.9</v>
      </c>
      <c r="J777" s="21" t="n">
        <v>443.69</v>
      </c>
      <c r="K777" s="21" t="n">
        <v>517.64</v>
      </c>
      <c r="L777" s="21" t="n">
        <v>591.59</v>
      </c>
      <c r="M777" s="21" t="n">
        <v>580</v>
      </c>
    </row>
    <row r="778">
      <c r="A778" s="9" t="inlineStr">
        <is>
          <t>HAIFENG</t>
        </is>
      </c>
      <c r="B778" s="9" t="inlineStr">
        <is>
          <t>HAIFENG 22/10/2025</t>
        </is>
      </c>
      <c r="C778" s="9" t="inlineStr">
        <is>
          <t>2025-10-22</t>
        </is>
      </c>
      <c r="D778" s="9" t="inlineStr">
        <is>
          <t>81078753595757</t>
        </is>
      </c>
      <c r="E778" s="9" t="inlineStr">
        <is>
          <t>ARETES PANTHERE SILVER ZIRCONIAS</t>
        </is>
      </c>
      <c r="F778" s="9" t="inlineStr">
        <is>
          <t>Default Title</t>
        </is>
      </c>
      <c r="G778" s="9" t="n">
        <v>2</v>
      </c>
      <c r="H778" s="21" t="n">
        <v>6.5</v>
      </c>
      <c r="I778" s="21" t="n">
        <v>137.33</v>
      </c>
      <c r="J778" s="21" t="n">
        <v>412</v>
      </c>
      <c r="K778" s="21" t="n">
        <v>480.67</v>
      </c>
      <c r="L778" s="21" t="n">
        <v>549.33</v>
      </c>
      <c r="M778" s="21" t="n">
        <v>550</v>
      </c>
    </row>
    <row r="779">
      <c r="A779" s="9" t="inlineStr">
        <is>
          <t>HAIFENG</t>
        </is>
      </c>
      <c r="B779" s="9" t="inlineStr">
        <is>
          <t>HAIFENG 22/10/2025</t>
        </is>
      </c>
      <c r="C779" s="9" t="inlineStr">
        <is>
          <t>2025-10-22</t>
        </is>
      </c>
      <c r="D779" s="9" t="inlineStr">
        <is>
          <t>21078752836941</t>
        </is>
      </c>
      <c r="E779" s="9" t="inlineStr">
        <is>
          <t>ARRACADAS C GOLD ZIRCONIAS</t>
        </is>
      </c>
      <c r="F779" s="9" t="inlineStr">
        <is>
          <t>Default Title</t>
        </is>
      </c>
      <c r="G779" s="9" t="n">
        <v>2</v>
      </c>
      <c r="H779" s="21" t="n">
        <v>7</v>
      </c>
      <c r="I779" s="21" t="n">
        <v>147.9</v>
      </c>
      <c r="J779" s="21" t="n">
        <v>443.69</v>
      </c>
      <c r="K779" s="21" t="n">
        <v>517.64</v>
      </c>
      <c r="L779" s="21" t="n">
        <v>591.59</v>
      </c>
      <c r="M779" s="21" t="n">
        <v>620</v>
      </c>
    </row>
    <row r="780">
      <c r="A780" s="9" t="inlineStr">
        <is>
          <t>HAIFENG</t>
        </is>
      </c>
      <c r="B780" s="9" t="inlineStr">
        <is>
          <t>HAIFENG 22/10/2025</t>
        </is>
      </c>
      <c r="C780" s="9" t="inlineStr">
        <is>
          <t>2025-10-22</t>
        </is>
      </c>
      <c r="D780" s="9" t="inlineStr">
        <is>
          <t>12314361226797</t>
        </is>
      </c>
      <c r="E780" s="9" t="inlineStr">
        <is>
          <t>ARRACADAS COLGANTES F ZIRCONIA</t>
        </is>
      </c>
      <c r="F780" s="9" t="inlineStr">
        <is>
          <t>Default Title</t>
        </is>
      </c>
      <c r="G780" s="9" t="n">
        <v>1</v>
      </c>
      <c r="H780" s="21" t="n">
        <v>8</v>
      </c>
      <c r="I780" s="21" t="n">
        <v>169.03</v>
      </c>
      <c r="J780" s="21" t="n">
        <v>507.08</v>
      </c>
      <c r="K780" s="21" t="n">
        <v>591.59</v>
      </c>
      <c r="L780" s="21" t="n">
        <v>676.1</v>
      </c>
      <c r="M780" s="21" t="n">
        <v>670</v>
      </c>
    </row>
    <row r="781">
      <c r="A781" s="9" t="inlineStr">
        <is>
          <t>HAIFENG</t>
        </is>
      </c>
      <c r="B781" s="9" t="inlineStr">
        <is>
          <t>HAIFENG 22/10/2025</t>
        </is>
      </c>
      <c r="C781" s="9" t="inlineStr">
        <is>
          <t>2025-10-22</t>
        </is>
      </c>
      <c r="D781" s="9" t="inlineStr">
        <is>
          <t>12314362540493</t>
        </is>
      </c>
      <c r="E781" s="9" t="inlineStr">
        <is>
          <t>ARRACADAS F GOLD-BLACK</t>
        </is>
      </c>
      <c r="F781" s="9" t="inlineStr">
        <is>
          <t>Default Title</t>
        </is>
      </c>
      <c r="G781" s="9" t="n">
        <v>2</v>
      </c>
      <c r="H781" s="21" t="n">
        <v>7</v>
      </c>
      <c r="I781" s="21" t="n">
        <v>147.9</v>
      </c>
      <c r="J781" s="21" t="n">
        <v>443.69</v>
      </c>
      <c r="K781" s="21" t="n">
        <v>517.64</v>
      </c>
      <c r="L781" s="21" t="n">
        <v>591.59</v>
      </c>
      <c r="M781" s="21" t="n">
        <v>670</v>
      </c>
    </row>
    <row r="782">
      <c r="A782" s="9" t="inlineStr">
        <is>
          <t>HAIFENG</t>
        </is>
      </c>
      <c r="B782" s="9" t="inlineStr">
        <is>
          <t>HAIFENG 22/10/2025</t>
        </is>
      </c>
      <c r="C782" s="9" t="inlineStr">
        <is>
          <t>2025-10-22</t>
        </is>
      </c>
      <c r="D782" s="9" t="inlineStr">
        <is>
          <t>86347033785069</t>
        </is>
      </c>
      <c r="E782" s="9" t="inlineStr">
        <is>
          <t>ARRACADAS KNOT ROSEGOLD ZIRCONIAS</t>
        </is>
      </c>
      <c r="F782" s="9" t="inlineStr">
        <is>
          <t>Default Title</t>
        </is>
      </c>
      <c r="G782" s="9" t="n">
        <v>2</v>
      </c>
      <c r="H782" s="21" t="n">
        <v>7</v>
      </c>
      <c r="I782" s="21" t="n">
        <v>147.9</v>
      </c>
      <c r="J782" s="21" t="n">
        <v>443.69</v>
      </c>
      <c r="K782" s="21" t="n">
        <v>517.64</v>
      </c>
      <c r="L782" s="21" t="n">
        <v>591.59</v>
      </c>
      <c r="M782" s="21" t="n">
        <v>670</v>
      </c>
    </row>
    <row r="783">
      <c r="A783" s="9" t="inlineStr">
        <is>
          <t>HAIFENG</t>
        </is>
      </c>
      <c r="B783" s="9" t="inlineStr">
        <is>
          <t>HAIFENG 22/10/2025</t>
        </is>
      </c>
      <c r="C783" s="9" t="inlineStr">
        <is>
          <t>2025-10-22</t>
        </is>
      </c>
      <c r="D783" s="9" t="inlineStr">
        <is>
          <t>86347031202541</t>
        </is>
      </c>
      <c r="E783" s="9" t="inlineStr">
        <is>
          <t>ARRACADAS LOVELOVE ROSEGOLD</t>
        </is>
      </c>
      <c r="F783" s="9" t="inlineStr">
        <is>
          <t>Default Title</t>
        </is>
      </c>
      <c r="G783" s="9" t="n">
        <v>2</v>
      </c>
      <c r="H783" s="21" t="n">
        <v>6.5</v>
      </c>
      <c r="I783" s="21" t="n">
        <v>137.33</v>
      </c>
      <c r="J783" s="21" t="n">
        <v>412</v>
      </c>
      <c r="K783" s="21" t="n">
        <v>480.67</v>
      </c>
      <c r="L783" s="21" t="n">
        <v>549.33</v>
      </c>
      <c r="M783" s="21" t="n">
        <v>536</v>
      </c>
    </row>
    <row r="784">
      <c r="A784" s="9" t="inlineStr">
        <is>
          <t>HAIFENG</t>
        </is>
      </c>
      <c r="B784" s="9" t="inlineStr">
        <is>
          <t>HAIFENG 22/10/2025</t>
        </is>
      </c>
      <c r="C784" s="9" t="inlineStr">
        <is>
          <t>2025-10-22</t>
        </is>
      </c>
      <c r="D784" s="9" t="inlineStr">
        <is>
          <t>86347031304237</t>
        </is>
      </c>
      <c r="E784" s="9" t="inlineStr">
        <is>
          <t>ARRACADAS LOVELOVE SILVER</t>
        </is>
      </c>
      <c r="F784" s="9" t="inlineStr">
        <is>
          <t>Default Title</t>
        </is>
      </c>
      <c r="G784" s="9" t="n">
        <v>2</v>
      </c>
      <c r="H784" s="21" t="n">
        <v>6.5</v>
      </c>
      <c r="I784" s="21" t="n">
        <v>137.33</v>
      </c>
      <c r="J784" s="21" t="n">
        <v>412</v>
      </c>
      <c r="K784" s="21" t="n">
        <v>480.67</v>
      </c>
      <c r="L784" s="21" t="n">
        <v>549.33</v>
      </c>
      <c r="M784" s="21" t="n">
        <v>536</v>
      </c>
    </row>
    <row r="785">
      <c r="A785" s="9" t="inlineStr">
        <is>
          <t>HAIFENG</t>
        </is>
      </c>
      <c r="B785" s="9" t="inlineStr">
        <is>
          <t>HAIFENG 22/10/2025</t>
        </is>
      </c>
      <c r="C785" s="9" t="inlineStr">
        <is>
          <t>2025-10-22</t>
        </is>
      </c>
      <c r="D785" s="9" t="inlineStr">
        <is>
          <t>12314363985133</t>
        </is>
      </c>
      <c r="E785" s="9" t="inlineStr">
        <is>
          <t>ARRACADAS MM GOLD-BLACK</t>
        </is>
      </c>
      <c r="F785" s="9" t="inlineStr">
        <is>
          <t>Default Title</t>
        </is>
      </c>
      <c r="G785" s="9" t="n">
        <v>3</v>
      </c>
      <c r="H785" s="21" t="n">
        <v>7.99</v>
      </c>
      <c r="I785" s="21" t="n">
        <v>168.81</v>
      </c>
      <c r="J785" s="21" t="n">
        <v>506.44</v>
      </c>
      <c r="K785" s="21" t="n">
        <v>590.85</v>
      </c>
      <c r="L785" s="21" t="n">
        <v>675.26</v>
      </c>
      <c r="M785" s="21" t="n">
        <v>680</v>
      </c>
    </row>
    <row r="786">
      <c r="A786" s="9" t="inlineStr">
        <is>
          <t>HAIFENG</t>
        </is>
      </c>
      <c r="B786" s="9" t="inlineStr">
        <is>
          <t>HAIFENG 22/10/2025</t>
        </is>
      </c>
      <c r="C786" s="9" t="inlineStr">
        <is>
          <t>2025-10-22</t>
        </is>
      </c>
      <c r="D786" s="9" t="inlineStr">
        <is>
          <t>12314364086829</t>
        </is>
      </c>
      <c r="E786" s="9" t="inlineStr">
        <is>
          <t>ARRACADAS MM GOLD-WHITE</t>
        </is>
      </c>
      <c r="F786" s="9" t="inlineStr">
        <is>
          <t>Default Title</t>
        </is>
      </c>
      <c r="G786" s="9" t="n">
        <v>3</v>
      </c>
      <c r="H786" s="21" t="n">
        <v>7.99</v>
      </c>
      <c r="I786" s="21" t="n">
        <v>168.81</v>
      </c>
      <c r="J786" s="21" t="n">
        <v>506.44</v>
      </c>
      <c r="K786" s="21" t="n">
        <v>590.85</v>
      </c>
      <c r="L786" s="21" t="n">
        <v>675.26</v>
      </c>
      <c r="M786" s="21" t="n">
        <v>680</v>
      </c>
    </row>
    <row r="787">
      <c r="A787" s="9" t="inlineStr">
        <is>
          <t>HAIFENG</t>
        </is>
      </c>
      <c r="B787" s="9" t="inlineStr">
        <is>
          <t>HAIFENG 22/10/2025</t>
        </is>
      </c>
      <c r="C787" s="9" t="inlineStr">
        <is>
          <t>2025-10-22</t>
        </is>
      </c>
      <c r="D787" s="9" t="inlineStr">
        <is>
          <t>71078752279149</t>
        </is>
      </c>
      <c r="E787" s="9" t="inlineStr">
        <is>
          <t>BRAZALETE C GOLD</t>
        </is>
      </c>
      <c r="F787" s="9" t="inlineStr">
        <is>
          <t>Default Title</t>
        </is>
      </c>
      <c r="G787" s="9" t="n">
        <v>3</v>
      </c>
      <c r="H787" s="21" t="n">
        <v>7</v>
      </c>
      <c r="I787" s="21" t="n">
        <v>147.9</v>
      </c>
      <c r="J787" s="21" t="n">
        <v>443.69</v>
      </c>
      <c r="K787" s="21" t="n">
        <v>517.64</v>
      </c>
      <c r="L787" s="21" t="n">
        <v>591.59</v>
      </c>
      <c r="M787" s="21" t="n">
        <v>450</v>
      </c>
    </row>
    <row r="788">
      <c r="A788" s="9" t="inlineStr">
        <is>
          <t>HAIFENG</t>
        </is>
      </c>
      <c r="B788" s="9" t="inlineStr">
        <is>
          <t>HAIFENG 22/10/2025</t>
        </is>
      </c>
      <c r="C788" s="9" t="inlineStr">
        <is>
          <t>2025-10-22</t>
        </is>
      </c>
      <c r="D788" s="9" t="inlineStr">
        <is>
          <t>41078752148077</t>
        </is>
      </c>
      <c r="E788" s="9" t="inlineStr">
        <is>
          <t>BRAZALETE C SILVER</t>
        </is>
      </c>
      <c r="F788" s="9" t="inlineStr">
        <is>
          <t>Default Title</t>
        </is>
      </c>
      <c r="G788" s="9" t="n">
        <v>3</v>
      </c>
      <c r="H788" s="21" t="n">
        <v>7</v>
      </c>
      <c r="I788" s="21" t="n">
        <v>147.9</v>
      </c>
      <c r="J788" s="21" t="n">
        <v>443.69</v>
      </c>
      <c r="K788" s="21" t="n">
        <v>517.64</v>
      </c>
      <c r="L788" s="21" t="n">
        <v>591.59</v>
      </c>
      <c r="M788" s="21" t="n">
        <v>576.8</v>
      </c>
    </row>
    <row r="789">
      <c r="A789" s="9" t="inlineStr">
        <is>
          <t>HAIFENG</t>
        </is>
      </c>
      <c r="B789" s="9" t="inlineStr">
        <is>
          <t>HAIFENG 22/10/2025</t>
        </is>
      </c>
      <c r="C789" s="9" t="inlineStr">
        <is>
          <t>2025-10-22</t>
        </is>
      </c>
      <c r="D789" s="9" t="inlineStr">
        <is>
          <t>12314362665261</t>
        </is>
      </c>
      <c r="E789" s="9" t="inlineStr">
        <is>
          <t>BRAZALETE F GOLD ZIRCONIAS</t>
        </is>
      </c>
      <c r="F789" s="9" t="inlineStr">
        <is>
          <t>0.5 cm</t>
        </is>
      </c>
      <c r="G789" s="9" t="n">
        <v>1</v>
      </c>
      <c r="H789" s="21" t="n">
        <v>10</v>
      </c>
      <c r="I789" s="21" t="n">
        <v>211.28</v>
      </c>
      <c r="J789" s="21" t="n">
        <v>633.85</v>
      </c>
      <c r="K789" s="21" t="n">
        <v>739.49</v>
      </c>
      <c r="L789" s="21" t="n">
        <v>845.13</v>
      </c>
      <c r="M789" s="21" t="n">
        <v>840</v>
      </c>
    </row>
    <row r="790">
      <c r="A790" s="9" t="inlineStr">
        <is>
          <t>HAIFENG</t>
        </is>
      </c>
      <c r="B790" s="9" t="inlineStr">
        <is>
          <t>HAIFENG 22/10/2025</t>
        </is>
      </c>
      <c r="C790" s="9" t="inlineStr">
        <is>
          <t>2025-10-22</t>
        </is>
      </c>
      <c r="D790" s="9" t="inlineStr">
        <is>
          <t>12314363576653</t>
        </is>
      </c>
      <c r="E790" s="9" t="inlineStr">
        <is>
          <t>BRAZALETE F LOGOS GOLD</t>
        </is>
      </c>
      <c r="F790" s="9" t="inlineStr">
        <is>
          <t>Default Title</t>
        </is>
      </c>
      <c r="G790" s="9" t="n">
        <v>2</v>
      </c>
      <c r="H790" s="21" t="n">
        <v>10</v>
      </c>
      <c r="I790" s="21" t="n">
        <v>211.28</v>
      </c>
      <c r="J790" s="21" t="n">
        <v>633.85</v>
      </c>
      <c r="K790" s="21" t="n">
        <v>739.49</v>
      </c>
      <c r="L790" s="21" t="n">
        <v>845.13</v>
      </c>
      <c r="M790" s="21" t="n">
        <v>840</v>
      </c>
    </row>
    <row r="791">
      <c r="A791" s="9" t="inlineStr">
        <is>
          <t>HAIFENG</t>
        </is>
      </c>
      <c r="B791" s="9" t="inlineStr">
        <is>
          <t>HAIFENG 22/10/2025</t>
        </is>
      </c>
      <c r="C791" s="9" t="inlineStr">
        <is>
          <t>2025-10-22</t>
        </is>
      </c>
      <c r="D791" s="9" t="inlineStr">
        <is>
          <t>86347032026285</t>
        </is>
      </c>
      <c r="E791" s="9" t="inlineStr">
        <is>
          <t>BRAZALETE H KELLY SILVER ZIRCONIAS</t>
        </is>
      </c>
      <c r="F791" s="9" t="inlineStr">
        <is>
          <t>Default Title</t>
        </is>
      </c>
      <c r="G791" s="9" t="n">
        <v>2</v>
      </c>
      <c r="H791" s="21" t="n">
        <v>11</v>
      </c>
      <c r="I791" s="21" t="n">
        <v>232.41</v>
      </c>
      <c r="J791" s="21" t="n">
        <v>697.23</v>
      </c>
      <c r="K791" s="21" t="n">
        <v>813.4400000000001</v>
      </c>
      <c r="L791" s="21" t="n">
        <v>929.64</v>
      </c>
      <c r="M791" s="21" t="n">
        <v>906.4</v>
      </c>
    </row>
    <row r="792">
      <c r="A792" s="9" t="inlineStr">
        <is>
          <t>HAIFENG</t>
        </is>
      </c>
      <c r="B792" s="9" t="inlineStr">
        <is>
          <t>HAIFENG 22/10/2025</t>
        </is>
      </c>
      <c r="C792" s="9" t="inlineStr">
        <is>
          <t>2025-10-22</t>
        </is>
      </c>
      <c r="D792" s="9" t="inlineStr">
        <is>
          <t>86347031857357</t>
        </is>
      </c>
      <c r="E792" s="9" t="inlineStr">
        <is>
          <t>BRAZALETE H UNI GOLD-BLACK</t>
        </is>
      </c>
      <c r="F792" s="9" t="inlineStr">
        <is>
          <t>Default Title</t>
        </is>
      </c>
      <c r="G792" s="9" t="n">
        <v>2</v>
      </c>
      <c r="H792" s="21" t="n">
        <v>15</v>
      </c>
      <c r="I792" s="21" t="n">
        <v>316.92</v>
      </c>
      <c r="J792" s="21" t="n">
        <v>950.77</v>
      </c>
      <c r="K792" s="21" t="n">
        <v>1109.23</v>
      </c>
      <c r="L792" s="21" t="n">
        <v>1267.7</v>
      </c>
      <c r="M792" s="21" t="n">
        <v>1236</v>
      </c>
    </row>
    <row r="793">
      <c r="A793" s="9" t="inlineStr">
        <is>
          <t>HAIFENG</t>
        </is>
      </c>
      <c r="B793" s="9" t="inlineStr">
        <is>
          <t>HAIFENG 22/10/2025</t>
        </is>
      </c>
      <c r="C793" s="9" t="inlineStr">
        <is>
          <t>2025-10-22</t>
        </is>
      </c>
      <c r="D793" s="9" t="inlineStr">
        <is>
          <t>40154171506797</t>
        </is>
      </c>
      <c r="E793" s="9" t="inlineStr">
        <is>
          <t>BRAZALETE OPEN HEART GOLD</t>
        </is>
      </c>
      <c r="F793" s="9" t="inlineStr">
        <is>
          <t>Default Title</t>
        </is>
      </c>
      <c r="G793" s="9" t="n">
        <v>2</v>
      </c>
      <c r="H793" s="21" t="n">
        <v>8.99</v>
      </c>
      <c r="I793" s="21" t="n">
        <v>189.94</v>
      </c>
      <c r="J793" s="21" t="n">
        <v>569.83</v>
      </c>
      <c r="K793" s="21" t="n">
        <v>664.8</v>
      </c>
      <c r="L793" s="21" t="n">
        <v>759.77</v>
      </c>
      <c r="M793" s="21" t="n">
        <v>620</v>
      </c>
    </row>
    <row r="794">
      <c r="A794" s="9" t="inlineStr">
        <is>
          <t>HAIFENG</t>
        </is>
      </c>
      <c r="B794" s="9" t="inlineStr">
        <is>
          <t>HAIFENG 22/10/2025</t>
        </is>
      </c>
      <c r="C794" s="9" t="inlineStr">
        <is>
          <t>2025-10-22</t>
        </is>
      </c>
      <c r="D794" s="9" t="inlineStr">
        <is>
          <t>91078752962381</t>
        </is>
      </c>
      <c r="E794" s="9" t="inlineStr">
        <is>
          <t>COLLAR BV GOLD PEAKS CON ZIRCONIA ALREDEDOR</t>
        </is>
      </c>
      <c r="F794" s="9" t="inlineStr">
        <is>
          <t>Default Title</t>
        </is>
      </c>
      <c r="G794" s="9" t="n">
        <v>2</v>
      </c>
      <c r="H794" s="21" t="n">
        <v>8</v>
      </c>
      <c r="I794" s="21" t="n">
        <v>169.03</v>
      </c>
      <c r="J794" s="21" t="n">
        <v>507.08</v>
      </c>
      <c r="K794" s="21" t="n">
        <v>591.59</v>
      </c>
      <c r="L794" s="21" t="n">
        <v>676.1</v>
      </c>
      <c r="M794" s="21" t="n">
        <v>659.2</v>
      </c>
    </row>
    <row r="795">
      <c r="A795" s="9" t="inlineStr">
        <is>
          <t>HAIFENG</t>
        </is>
      </c>
      <c r="B795" s="9" t="inlineStr">
        <is>
          <t>HAIFENG 22/10/2025</t>
        </is>
      </c>
      <c r="C795" s="9" t="inlineStr">
        <is>
          <t>2025-10-22</t>
        </is>
      </c>
      <c r="D795" s="9" t="inlineStr">
        <is>
          <t>33089531091469</t>
        </is>
      </c>
      <c r="E795" s="9" t="inlineStr">
        <is>
          <t>COLLAR BV ROSEGOLD CON ZIRCONIA ALREDEDOR</t>
        </is>
      </c>
      <c r="F795" s="9" t="inlineStr">
        <is>
          <t>Default Title</t>
        </is>
      </c>
      <c r="G795" s="9" t="n">
        <v>2</v>
      </c>
      <c r="H795" s="21" t="n">
        <v>8</v>
      </c>
      <c r="I795" s="21" t="n">
        <v>169.03</v>
      </c>
      <c r="J795" s="21" t="n">
        <v>507.08</v>
      </c>
      <c r="K795" s="21" t="n">
        <v>591.59</v>
      </c>
      <c r="L795" s="21" t="n">
        <v>676.1</v>
      </c>
      <c r="M795" s="21" t="n">
        <v>335</v>
      </c>
    </row>
    <row r="796">
      <c r="A796" s="9" t="inlineStr">
        <is>
          <t>HAIFENG</t>
        </is>
      </c>
      <c r="B796" s="9" t="inlineStr">
        <is>
          <t>HAIFENG 22/10/2025</t>
        </is>
      </c>
      <c r="C796" s="9" t="inlineStr">
        <is>
          <t>2025-10-22</t>
        </is>
      </c>
      <c r="D796" s="9" t="inlineStr">
        <is>
          <t>89695511098893</t>
        </is>
      </c>
      <c r="E796" s="9" t="inlineStr">
        <is>
          <t>COLLAR BV SILVER CON ZIRCONIA ALREDEDOR</t>
        </is>
      </c>
      <c r="F796" s="9" t="inlineStr">
        <is>
          <t>Default Title</t>
        </is>
      </c>
      <c r="G796" s="9" t="n">
        <v>2</v>
      </c>
      <c r="H796" s="21" t="n">
        <v>8</v>
      </c>
      <c r="I796" s="21" t="n">
        <v>169.03</v>
      </c>
      <c r="J796" s="21" t="n">
        <v>507.08</v>
      </c>
      <c r="K796" s="21" t="n">
        <v>591.59</v>
      </c>
      <c r="L796" s="21" t="n">
        <v>676.1</v>
      </c>
      <c r="M796" s="21" t="n">
        <v>659</v>
      </c>
    </row>
    <row r="797">
      <c r="A797" s="9" t="inlineStr">
        <is>
          <t>HAIFENG</t>
        </is>
      </c>
      <c r="B797" s="9" t="inlineStr">
        <is>
          <t>HAIFENG 22/10/2025</t>
        </is>
      </c>
      <c r="C797" s="9" t="inlineStr">
        <is>
          <t>2025-10-22</t>
        </is>
      </c>
      <c r="D797" s="9" t="inlineStr">
        <is>
          <t>11078751761037</t>
        </is>
      </c>
      <c r="E797" s="9" t="inlineStr">
        <is>
          <t>COLLAR C GOLD ZIRCONIAS</t>
        </is>
      </c>
      <c r="F797" s="9" t="inlineStr">
        <is>
          <t>Default Title</t>
        </is>
      </c>
      <c r="G797" s="9" t="n">
        <v>2</v>
      </c>
      <c r="H797" s="21" t="n">
        <v>5.99</v>
      </c>
      <c r="I797" s="21" t="n">
        <v>126.56</v>
      </c>
      <c r="J797" s="21" t="n">
        <v>379.67</v>
      </c>
      <c r="K797" s="21" t="n">
        <v>442.95</v>
      </c>
      <c r="L797" s="21" t="n">
        <v>506.23</v>
      </c>
      <c r="M797" s="21" t="n">
        <v>550</v>
      </c>
    </row>
    <row r="798">
      <c r="A798" s="9" t="inlineStr">
        <is>
          <t>HAIFENG</t>
        </is>
      </c>
      <c r="B798" s="9" t="inlineStr">
        <is>
          <t>HAIFENG 22/10/2025</t>
        </is>
      </c>
      <c r="C798" s="9" t="inlineStr">
        <is>
          <t>2025-10-22</t>
        </is>
      </c>
      <c r="D798" s="9" t="inlineStr">
        <is>
          <t>71078751659341</t>
        </is>
      </c>
      <c r="E798" s="9" t="inlineStr">
        <is>
          <t>COLLAR C SILVER ZIRCONIAS</t>
        </is>
      </c>
      <c r="F798" s="9" t="inlineStr">
        <is>
          <t>Default Title</t>
        </is>
      </c>
      <c r="G798" s="9" t="n">
        <v>2</v>
      </c>
      <c r="H798" s="21" t="n">
        <v>5.99</v>
      </c>
      <c r="I798" s="21" t="n">
        <v>126.56</v>
      </c>
      <c r="J798" s="21" t="n">
        <v>379.67</v>
      </c>
      <c r="K798" s="21" t="n">
        <v>442.95</v>
      </c>
      <c r="L798" s="21" t="n">
        <v>506.23</v>
      </c>
      <c r="M798" s="21" t="n">
        <v>493.58</v>
      </c>
    </row>
    <row r="799">
      <c r="A799" s="9" t="inlineStr">
        <is>
          <t>HAIFENG</t>
        </is>
      </c>
      <c r="B799" s="9" t="inlineStr">
        <is>
          <t>HAIFENG 22/10/2025</t>
        </is>
      </c>
      <c r="C799" s="9" t="inlineStr">
        <is>
          <t>2025-10-22</t>
        </is>
      </c>
      <c r="D799" s="9" t="inlineStr">
        <is>
          <t>86347032494669</t>
        </is>
      </c>
      <c r="E799" s="9" t="inlineStr">
        <is>
          <t>COLLAR CD PETIT LUCKY GOLD</t>
        </is>
      </c>
      <c r="F799" s="9" t="inlineStr">
        <is>
          <t>Default Title</t>
        </is>
      </c>
      <c r="G799" s="9" t="n">
        <v>2</v>
      </c>
      <c r="H799" s="21" t="n">
        <v>8</v>
      </c>
      <c r="I799" s="21" t="n">
        <v>169.03</v>
      </c>
      <c r="J799" s="21" t="n">
        <v>507.08</v>
      </c>
      <c r="K799" s="21" t="n">
        <v>591.59</v>
      </c>
      <c r="L799" s="21" t="n">
        <v>676.1</v>
      </c>
      <c r="M799" s="21" t="n">
        <v>999</v>
      </c>
    </row>
    <row r="800">
      <c r="A800" s="9" t="inlineStr">
        <is>
          <t>HAIFENG</t>
        </is>
      </c>
      <c r="B800" s="9" t="inlineStr">
        <is>
          <t>HAIFENG 22/10/2025</t>
        </is>
      </c>
      <c r="C800" s="9" t="inlineStr">
        <is>
          <t>2025-10-22</t>
        </is>
      </c>
      <c r="D800" s="9" t="inlineStr">
        <is>
          <t>12314361740365</t>
        </is>
      </c>
      <c r="E800" s="9" t="inlineStr">
        <is>
          <t>COLLAR F GOLD ZIRCONIAS</t>
        </is>
      </c>
      <c r="F800" s="9" t="inlineStr">
        <is>
          <t>Default Title</t>
        </is>
      </c>
      <c r="G800" s="9" t="n">
        <v>2</v>
      </c>
      <c r="H800" s="21" t="n">
        <v>8</v>
      </c>
      <c r="I800" s="21" t="n">
        <v>169.03</v>
      </c>
      <c r="J800" s="21" t="n">
        <v>507.08</v>
      </c>
      <c r="K800" s="21" t="n">
        <v>591.59</v>
      </c>
      <c r="L800" s="21" t="n">
        <v>676.1</v>
      </c>
      <c r="M800" s="21" t="n">
        <v>660</v>
      </c>
    </row>
    <row r="801">
      <c r="A801" s="9" t="inlineStr">
        <is>
          <t>HAIFENG</t>
        </is>
      </c>
      <c r="B801" s="9" t="inlineStr">
        <is>
          <t>HAIFENG 22/10/2025</t>
        </is>
      </c>
      <c r="C801" s="9" t="inlineStr">
        <is>
          <t>2025-10-22</t>
        </is>
      </c>
      <c r="D801" s="9" t="inlineStr">
        <is>
          <t>42981971361932</t>
        </is>
      </c>
      <c r="E801" s="9" t="inlineStr">
        <is>
          <t>COLLAR POP H ROSEGOLD WHITE</t>
        </is>
      </c>
      <c r="F801" s="9" t="inlineStr">
        <is>
          <t>largo de Cadena 49cm  1.5cm de dije</t>
        </is>
      </c>
      <c r="G801" s="9" t="n">
        <v>2</v>
      </c>
      <c r="H801" s="21" t="n">
        <v>6.99</v>
      </c>
      <c r="I801" s="21" t="n">
        <v>147.69</v>
      </c>
      <c r="J801" s="21" t="n">
        <v>443.06</v>
      </c>
      <c r="K801" s="21" t="n">
        <v>516.9</v>
      </c>
      <c r="L801" s="21" t="n">
        <v>590.75</v>
      </c>
      <c r="M801" s="21" t="n">
        <v>399</v>
      </c>
    </row>
    <row r="802">
      <c r="A802" s="9" t="inlineStr">
        <is>
          <t>HAIFENG</t>
        </is>
      </c>
      <c r="B802" s="9" t="inlineStr">
        <is>
          <t>HAIFENG 22/10/2025</t>
        </is>
      </c>
      <c r="C802" s="9" t="inlineStr">
        <is>
          <t>2025-10-22</t>
        </is>
      </c>
      <c r="D802" s="9" t="inlineStr">
        <is>
          <t>66178423967c9</t>
        </is>
      </c>
      <c r="E802" s="9" t="inlineStr">
        <is>
          <t>COLLAR SERPENTI CON ZIRCONIA</t>
        </is>
      </c>
      <c r="F802" s="9" t="inlineStr">
        <is>
          <t>46cm</t>
        </is>
      </c>
      <c r="G802" s="9" t="n">
        <v>2</v>
      </c>
      <c r="H802" s="21" t="n">
        <v>30</v>
      </c>
      <c r="I802" s="21" t="n">
        <v>633.85</v>
      </c>
      <c r="J802" s="21" t="n">
        <v>1901.54</v>
      </c>
      <c r="K802" s="21" t="n">
        <v>2218.47</v>
      </c>
      <c r="L802" s="21" t="n">
        <v>2535.39</v>
      </c>
      <c r="M802" s="21" t="n">
        <v>2650</v>
      </c>
    </row>
    <row r="803">
      <c r="A803" s="9" t="inlineStr">
        <is>
          <t>HAIFENG</t>
        </is>
      </c>
      <c r="B803" s="9" t="inlineStr">
        <is>
          <t>HAIFENG 22/10/2025</t>
        </is>
      </c>
      <c r="C803" s="9" t="inlineStr">
        <is>
          <t>2025-10-22</t>
        </is>
      </c>
      <c r="D803" s="9" t="inlineStr">
        <is>
          <t>86347033994701</t>
        </is>
      </c>
      <c r="E803" s="9" t="inlineStr">
        <is>
          <t>COLLAR SIXTEEN STONE SCHLUM</t>
        </is>
      </c>
      <c r="F803" s="9" t="inlineStr">
        <is>
          <t>Default Title</t>
        </is>
      </c>
      <c r="G803" s="9" t="n">
        <v>2</v>
      </c>
      <c r="H803" s="21" t="n">
        <v>6</v>
      </c>
      <c r="I803" s="21" t="n">
        <v>126.77</v>
      </c>
      <c r="J803" s="21" t="n">
        <v>380.31</v>
      </c>
      <c r="K803" s="21" t="n">
        <v>443.69</v>
      </c>
      <c r="L803" s="21" t="n">
        <v>507.08</v>
      </c>
      <c r="M803" s="21" t="n">
        <v>495</v>
      </c>
    </row>
    <row r="804">
      <c r="A804" s="9" t="inlineStr">
        <is>
          <t>HAIFENG</t>
        </is>
      </c>
      <c r="B804" s="9" t="inlineStr">
        <is>
          <t>HAIFENG 22/10/2025</t>
        </is>
      </c>
      <c r="C804" s="9" t="inlineStr">
        <is>
          <t>2025-10-22</t>
        </is>
      </c>
      <c r="D804" s="9" t="inlineStr">
        <is>
          <t>86347034024077</t>
        </is>
      </c>
      <c r="E804" s="9" t="inlineStr">
        <is>
          <t>COLLAR SIXTEEN STONE SCHLUM RED</t>
        </is>
      </c>
      <c r="F804" s="9" t="inlineStr">
        <is>
          <t>Default Title</t>
        </is>
      </c>
      <c r="G804" s="9" t="n">
        <v>2</v>
      </c>
      <c r="H804" s="21" t="n">
        <v>6</v>
      </c>
      <c r="I804" s="21" t="n">
        <v>126.77</v>
      </c>
      <c r="J804" s="21" t="n">
        <v>380.31</v>
      </c>
      <c r="K804" s="21" t="n">
        <v>443.69</v>
      </c>
      <c r="L804" s="21" t="n">
        <v>507.08</v>
      </c>
      <c r="M804" s="21" t="n">
        <v>499</v>
      </c>
    </row>
    <row r="805">
      <c r="A805" s="9" t="inlineStr">
        <is>
          <t>HAIFENG</t>
        </is>
      </c>
      <c r="B805" s="9" t="inlineStr">
        <is>
          <t>HAIFENG 22/10/2025</t>
        </is>
      </c>
      <c r="C805" s="9" t="inlineStr">
        <is>
          <t>2025-10-22</t>
        </is>
      </c>
      <c r="D805" s="9" t="inlineStr">
        <is>
          <t>31078753113261</t>
        </is>
      </c>
      <c r="E805" s="9" t="inlineStr">
        <is>
          <t>PULSERA BV.ZERO GAPS GOLD</t>
        </is>
      </c>
      <c r="F805" s="9" t="inlineStr">
        <is>
          <t>Default Title</t>
        </is>
      </c>
      <c r="G805" s="9" t="n">
        <v>2</v>
      </c>
      <c r="H805" s="21" t="n">
        <v>8.5</v>
      </c>
      <c r="I805" s="21" t="n">
        <v>179.59</v>
      </c>
      <c r="J805" s="21" t="n">
        <v>538.77</v>
      </c>
      <c r="K805" s="21" t="n">
        <v>628.5700000000001</v>
      </c>
      <c r="L805" s="21" t="n">
        <v>718.36</v>
      </c>
      <c r="M805" s="21" t="n">
        <v>720</v>
      </c>
    </row>
    <row r="806">
      <c r="A806" s="9" t="inlineStr">
        <is>
          <t>HAIFENG</t>
        </is>
      </c>
      <c r="B806" s="9" t="inlineStr">
        <is>
          <t>HAIFENG 22/10/2025</t>
        </is>
      </c>
      <c r="C806" s="9" t="inlineStr">
        <is>
          <t>2025-10-22</t>
        </is>
      </c>
      <c r="D806" s="9" t="inlineStr">
        <is>
          <t>91078753349421</t>
        </is>
      </c>
      <c r="E806" s="9" t="inlineStr">
        <is>
          <t>PULSERA BV.ZERO GAPS ROSEGOLD</t>
        </is>
      </c>
      <c r="F806" s="9" t="inlineStr">
        <is>
          <t>Default Title</t>
        </is>
      </c>
      <c r="G806" s="9" t="n">
        <v>2</v>
      </c>
      <c r="H806" s="21" t="n">
        <v>8.5</v>
      </c>
      <c r="I806" s="21" t="n">
        <v>179.59</v>
      </c>
      <c r="J806" s="21" t="n">
        <v>538.77</v>
      </c>
      <c r="K806" s="21" t="n">
        <v>628.5700000000001</v>
      </c>
      <c r="L806" s="21" t="n">
        <v>718.36</v>
      </c>
      <c r="M806" s="21" t="n">
        <v>700.4</v>
      </c>
    </row>
    <row r="807">
      <c r="A807" s="9" t="inlineStr">
        <is>
          <t>HAIFENG</t>
        </is>
      </c>
      <c r="B807" s="9" t="inlineStr">
        <is>
          <t>HAIFENG 22/10/2025</t>
        </is>
      </c>
      <c r="C807" s="9" t="inlineStr">
        <is>
          <t>2025-10-22</t>
        </is>
      </c>
      <c r="D807" s="9" t="inlineStr">
        <is>
          <t>81078753280493</t>
        </is>
      </c>
      <c r="E807" s="9" t="inlineStr">
        <is>
          <t>PULSERA BV.ZERO GAPS SILVER</t>
        </is>
      </c>
      <c r="F807" s="9" t="inlineStr">
        <is>
          <t>Default Title</t>
        </is>
      </c>
      <c r="G807" s="9" t="n">
        <v>2</v>
      </c>
      <c r="H807" s="21" t="n">
        <v>8.5</v>
      </c>
      <c r="I807" s="21" t="n">
        <v>179.59</v>
      </c>
      <c r="J807" s="21" t="n">
        <v>538.77</v>
      </c>
      <c r="K807" s="21" t="n">
        <v>628.5700000000001</v>
      </c>
      <c r="L807" s="21" t="n">
        <v>718.36</v>
      </c>
      <c r="M807" s="21" t="n">
        <v>720</v>
      </c>
    </row>
    <row r="808">
      <c r="A808" s="9" t="inlineStr">
        <is>
          <t>HAIFENG</t>
        </is>
      </c>
      <c r="B808" s="9" t="inlineStr">
        <is>
          <t>HAIFENG 22/10/2025</t>
        </is>
      </c>
      <c r="C808" s="9" t="inlineStr">
        <is>
          <t>2025-10-22</t>
        </is>
      </c>
      <c r="D808" s="9" t="inlineStr">
        <is>
          <t>91078753456205</t>
        </is>
      </c>
      <c r="E808" s="9" t="inlineStr">
        <is>
          <t>PULSERA BV.ZERO ROSEGOLD</t>
        </is>
      </c>
      <c r="F808" s="9" t="inlineStr">
        <is>
          <t>Default Title</t>
        </is>
      </c>
      <c r="G808" s="9" t="n">
        <v>2</v>
      </c>
      <c r="H808" s="21" t="n">
        <v>12</v>
      </c>
      <c r="I808" s="21" t="n">
        <v>253.54</v>
      </c>
      <c r="J808" s="21" t="n">
        <v>760.62</v>
      </c>
      <c r="K808" s="21" t="n">
        <v>887.39</v>
      </c>
      <c r="L808" s="21" t="n">
        <v>1014.16</v>
      </c>
      <c r="M808" s="21" t="n">
        <v>850</v>
      </c>
    </row>
    <row r="809">
      <c r="A809" s="9" t="inlineStr">
        <is>
          <t>HAIFENG</t>
        </is>
      </c>
      <c r="B809" s="9" t="inlineStr">
        <is>
          <t>HAIFENG 22/10/2025</t>
        </is>
      </c>
      <c r="C809" s="9" t="inlineStr">
        <is>
          <t>2025-10-22</t>
        </is>
      </c>
      <c r="D809" s="9" t="inlineStr">
        <is>
          <t>71078751862733</t>
        </is>
      </c>
      <c r="E809" s="9" t="inlineStr">
        <is>
          <t>PULSERA C GOLD DOBLE PEARL</t>
        </is>
      </c>
      <c r="F809" s="9" t="inlineStr">
        <is>
          <t>Default Title</t>
        </is>
      </c>
      <c r="G809" s="9" t="n">
        <v>2</v>
      </c>
      <c r="H809" s="21" t="n">
        <v>9</v>
      </c>
      <c r="I809" s="21" t="n">
        <v>190.15</v>
      </c>
      <c r="J809" s="21" t="n">
        <v>570.46</v>
      </c>
      <c r="K809" s="21" t="n">
        <v>665.54</v>
      </c>
      <c r="L809" s="21" t="n">
        <v>760.62</v>
      </c>
      <c r="M809" s="21" t="n">
        <v>741.6</v>
      </c>
    </row>
    <row r="810">
      <c r="A810" s="9" t="inlineStr">
        <is>
          <t>HAIFENG</t>
        </is>
      </c>
      <c r="B810" s="9" t="inlineStr">
        <is>
          <t>HAIFENG 22/10/2025</t>
        </is>
      </c>
      <c r="C810" s="9" t="inlineStr">
        <is>
          <t>2025-10-22</t>
        </is>
      </c>
      <c r="D810" s="9" t="inlineStr">
        <is>
          <t>31078752766317</t>
        </is>
      </c>
      <c r="E810" s="9" t="inlineStr">
        <is>
          <t>PULSERA C LOGO GOLD</t>
        </is>
      </c>
      <c r="F810" s="9" t="inlineStr">
        <is>
          <t>Dije 7mm 16cm de largo con 2cm de extensión</t>
        </is>
      </c>
      <c r="G810" s="9" t="n">
        <v>2</v>
      </c>
      <c r="H810" s="21" t="n">
        <v>7.99</v>
      </c>
      <c r="I810" s="21" t="n">
        <v>168.81</v>
      </c>
      <c r="J810" s="21" t="n">
        <v>506.44</v>
      </c>
      <c r="K810" s="21" t="n">
        <v>590.85</v>
      </c>
      <c r="L810" s="21" t="n">
        <v>675.26</v>
      </c>
      <c r="M810" s="21" t="n">
        <v>660</v>
      </c>
    </row>
    <row r="811">
      <c r="A811" s="9" t="inlineStr">
        <is>
          <t>HAIFENG</t>
        </is>
      </c>
      <c r="B811" s="9" t="inlineStr">
        <is>
          <t>HAIFENG 22/10/2025</t>
        </is>
      </c>
      <c r="C811" s="9" t="inlineStr">
        <is>
          <t>2025-10-22</t>
        </is>
      </c>
      <c r="D811" s="9" t="inlineStr">
        <is>
          <t>71078752697389</t>
        </is>
      </c>
      <c r="E811" s="9" t="inlineStr">
        <is>
          <t>PULSERA C LOGO SILVER</t>
        </is>
      </c>
      <c r="F811" s="9" t="inlineStr">
        <is>
          <t>Default Title</t>
        </is>
      </c>
      <c r="G811" s="9" t="n">
        <v>2</v>
      </c>
      <c r="H811" s="21" t="n">
        <v>7.99</v>
      </c>
      <c r="I811" s="21" t="n">
        <v>168.81</v>
      </c>
      <c r="J811" s="21" t="n">
        <v>506.44</v>
      </c>
      <c r="K811" s="21" t="n">
        <v>590.85</v>
      </c>
      <c r="L811" s="21" t="n">
        <v>675.26</v>
      </c>
      <c r="M811" s="21" t="n">
        <v>658.38</v>
      </c>
    </row>
    <row r="812">
      <c r="A812" s="9" t="inlineStr">
        <is>
          <t>HAIFENG</t>
        </is>
      </c>
      <c r="B812" s="9" t="inlineStr">
        <is>
          <t>HAIFENG 22/10/2025</t>
        </is>
      </c>
      <c r="C812" s="9" t="inlineStr">
        <is>
          <t>2025-10-22</t>
        </is>
      </c>
      <c r="D812" s="9" t="inlineStr">
        <is>
          <t>86347033612749</t>
        </is>
      </c>
      <c r="E812" s="9" t="inlineStr">
        <is>
          <t>PULSERA ESLABONES ROSEGOLD ZIRCONIA</t>
        </is>
      </c>
      <c r="F812" s="9" t="inlineStr">
        <is>
          <t>Default Title</t>
        </is>
      </c>
      <c r="G812" s="9" t="n">
        <v>2</v>
      </c>
      <c r="H812" s="21" t="n">
        <v>10</v>
      </c>
      <c r="I812" s="21" t="n">
        <v>211.28</v>
      </c>
      <c r="J812" s="21" t="n">
        <v>633.85</v>
      </c>
      <c r="K812" s="21" t="n">
        <v>739.49</v>
      </c>
      <c r="L812" s="21" t="n">
        <v>845.13</v>
      </c>
      <c r="M812" s="21" t="n">
        <v>824</v>
      </c>
    </row>
    <row r="813">
      <c r="A813" s="9" t="inlineStr">
        <is>
          <t>HAIFENG</t>
        </is>
      </c>
      <c r="B813" s="9" t="inlineStr">
        <is>
          <t>HAIFENG 22/10/2025</t>
        </is>
      </c>
      <c r="C813" s="9" t="inlineStr">
        <is>
          <t>2025-10-22</t>
        </is>
      </c>
      <c r="D813" s="9" t="inlineStr">
        <is>
          <t>12314363483981</t>
        </is>
      </c>
      <c r="E813" s="9" t="inlineStr">
        <is>
          <t>PULSERA F LOGOS GOLD-BLACK</t>
        </is>
      </c>
      <c r="F813" s="9" t="inlineStr">
        <is>
          <t>HIGH QUALITY</t>
        </is>
      </c>
      <c r="G813" s="9" t="n">
        <v>3</v>
      </c>
      <c r="H813" s="21" t="n">
        <v>12</v>
      </c>
      <c r="I813" s="21" t="n">
        <v>253.54</v>
      </c>
      <c r="J813" s="21" t="n">
        <v>760.62</v>
      </c>
      <c r="K813" s="21" t="n">
        <v>887.39</v>
      </c>
      <c r="L813" s="21" t="n">
        <v>1014.16</v>
      </c>
      <c r="M813" s="21" t="n">
        <v>988</v>
      </c>
    </row>
    <row r="814">
      <c r="A814" s="9" t="inlineStr">
        <is>
          <t>HAIFENG</t>
        </is>
      </c>
      <c r="B814" s="9" t="inlineStr">
        <is>
          <t>HAIFENG 22/10/2025</t>
        </is>
      </c>
      <c r="C814" s="9" t="inlineStr">
        <is>
          <t>2025-10-22</t>
        </is>
      </c>
      <c r="D814" s="9" t="inlineStr">
        <is>
          <t>12314362119469</t>
        </is>
      </c>
      <c r="E814" s="9" t="inlineStr">
        <is>
          <t>PULSERA F O'LOCK GOLD</t>
        </is>
      </c>
      <c r="F814" s="9" t="inlineStr">
        <is>
          <t>Default Title</t>
        </is>
      </c>
      <c r="G814" s="9" t="n">
        <v>1</v>
      </c>
      <c r="H814" s="21" t="n">
        <v>7</v>
      </c>
      <c r="I814" s="21" t="n">
        <v>147.9</v>
      </c>
      <c r="J814" s="21" t="n">
        <v>443.69</v>
      </c>
      <c r="K814" s="21" t="n">
        <v>517.64</v>
      </c>
      <c r="L814" s="21" t="n">
        <v>591.59</v>
      </c>
      <c r="M814" s="21" t="n">
        <v>580</v>
      </c>
    </row>
    <row r="815">
      <c r="A815" s="9" t="inlineStr">
        <is>
          <t>HAIFENG</t>
        </is>
      </c>
      <c r="B815" s="9" t="inlineStr">
        <is>
          <t>HAIFENG 22/10/2025</t>
        </is>
      </c>
      <c r="C815" s="9" t="inlineStr">
        <is>
          <t>2025-10-22</t>
        </is>
      </c>
      <c r="D815" s="9" t="inlineStr">
        <is>
          <t>81078751264237</t>
        </is>
      </c>
      <c r="E815" s="9" t="inlineStr">
        <is>
          <t>PULSERA LV BLOSSOM ROSEGOLD ZIRCONIAS</t>
        </is>
      </c>
      <c r="F815" s="9" t="inlineStr">
        <is>
          <t>Default Title</t>
        </is>
      </c>
      <c r="G815" s="9" t="n">
        <v>2</v>
      </c>
      <c r="H815" s="21" t="n">
        <v>6.99</v>
      </c>
      <c r="I815" s="21" t="n">
        <v>147.69</v>
      </c>
      <c r="J815" s="21" t="n">
        <v>443.06</v>
      </c>
      <c r="K815" s="21" t="n">
        <v>516.9</v>
      </c>
      <c r="L815" s="21" t="n">
        <v>590.75</v>
      </c>
      <c r="M815" s="21" t="n">
        <v>599</v>
      </c>
    </row>
    <row r="816">
      <c r="A816" s="9" t="inlineStr">
        <is>
          <t>HAIFENG</t>
        </is>
      </c>
      <c r="B816" s="9" t="inlineStr">
        <is>
          <t>HAIFENG 22/10/2025</t>
        </is>
      </c>
      <c r="C816" s="9" t="inlineStr">
        <is>
          <t>2025-10-22</t>
        </is>
      </c>
      <c r="D816" s="9" t="inlineStr">
        <is>
          <t>71078751021293</t>
        </is>
      </c>
      <c r="E816" s="9" t="inlineStr">
        <is>
          <t>PULSERA LV IDYLLE SILVER</t>
        </is>
      </c>
      <c r="F816" s="9" t="inlineStr">
        <is>
          <t>Default Title</t>
        </is>
      </c>
      <c r="G816" s="9" t="n">
        <v>3</v>
      </c>
      <c r="H816" s="21" t="n">
        <v>6.99</v>
      </c>
      <c r="I816" s="21" t="n">
        <v>147.69</v>
      </c>
      <c r="J816" s="21" t="n">
        <v>443.06</v>
      </c>
      <c r="K816" s="21" t="n">
        <v>516.9</v>
      </c>
      <c r="L816" s="21" t="n">
        <v>590.75</v>
      </c>
      <c r="M816" s="21" t="n">
        <v>580</v>
      </c>
    </row>
    <row r="817">
      <c r="A817" s="9" t="inlineStr">
        <is>
          <t>HAIFENG</t>
        </is>
      </c>
      <c r="B817" s="9" t="inlineStr">
        <is>
          <t>HAIFENG 22/10/2025</t>
        </is>
      </c>
      <c r="C817" s="9" t="inlineStr">
        <is>
          <t>2025-10-22</t>
        </is>
      </c>
      <c r="D817" s="9" t="inlineStr">
        <is>
          <t>81078751122989</t>
        </is>
      </c>
      <c r="E817" s="9" t="inlineStr">
        <is>
          <t>PULSERA LV MULTIBLOSSOM ROSEGOLD</t>
        </is>
      </c>
      <c r="F817" s="9" t="inlineStr">
        <is>
          <t>Default Title</t>
        </is>
      </c>
      <c r="G817" s="9" t="n">
        <v>2</v>
      </c>
      <c r="H817" s="21" t="n">
        <v>11</v>
      </c>
      <c r="I817" s="21" t="n">
        <v>232.41</v>
      </c>
      <c r="J817" s="21" t="n">
        <v>697.23</v>
      </c>
      <c r="K817" s="21" t="n">
        <v>813.4400000000001</v>
      </c>
      <c r="L817" s="21" t="n">
        <v>929.64</v>
      </c>
      <c r="M817" s="21" t="n">
        <v>909</v>
      </c>
    </row>
    <row r="818">
      <c r="A818" s="9" t="inlineStr">
        <is>
          <t>HAIFENG</t>
        </is>
      </c>
      <c r="B818" s="9" t="inlineStr">
        <is>
          <t>HAIFENG 22/10/2025</t>
        </is>
      </c>
      <c r="C818" s="9" t="inlineStr">
        <is>
          <t>2025-10-22</t>
        </is>
      </c>
      <c r="D818" s="9" t="inlineStr">
        <is>
          <t>57529861058989</t>
        </is>
      </c>
      <c r="E818" s="9" t="inlineStr">
        <is>
          <t>PULSERA MM GOLD-BLACK</t>
        </is>
      </c>
      <c r="F818" s="9" t="inlineStr">
        <is>
          <t>Default Title</t>
        </is>
      </c>
      <c r="G818" s="9" t="n">
        <v>3</v>
      </c>
      <c r="H818" s="21" t="n">
        <v>6.99</v>
      </c>
      <c r="I818" s="21" t="n">
        <v>147.69</v>
      </c>
      <c r="J818" s="21" t="n">
        <v>443.06</v>
      </c>
      <c r="K818" s="21" t="n">
        <v>516.9</v>
      </c>
      <c r="L818" s="21" t="n">
        <v>590.75</v>
      </c>
      <c r="M818" s="21" t="n">
        <v>699</v>
      </c>
    </row>
    <row r="819">
      <c r="A819" s="9" t="inlineStr">
        <is>
          <t>HAIFENG</t>
        </is>
      </c>
      <c r="B819" s="9" t="inlineStr">
        <is>
          <t>HAIFENG 22/10/2025</t>
        </is>
      </c>
      <c r="C819" s="9" t="inlineStr">
        <is>
          <t>2025-10-22</t>
        </is>
      </c>
      <c r="D819" s="9" t="inlineStr">
        <is>
          <t>72083641016013</t>
        </is>
      </c>
      <c r="E819" s="9" t="inlineStr">
        <is>
          <t>PULSERA MM GOLD-WHITE</t>
        </is>
      </c>
      <c r="F819" s="9" t="inlineStr">
        <is>
          <t>REGULAR</t>
        </is>
      </c>
      <c r="G819" s="9" t="n">
        <v>3</v>
      </c>
      <c r="H819" s="21" t="n">
        <v>6.99</v>
      </c>
      <c r="I819" s="21" t="n">
        <v>147.69</v>
      </c>
      <c r="J819" s="21" t="n">
        <v>443.06</v>
      </c>
      <c r="K819" s="21" t="n">
        <v>516.9</v>
      </c>
      <c r="L819" s="21" t="n">
        <v>590.75</v>
      </c>
      <c r="M819" s="21" t="n">
        <v>580</v>
      </c>
    </row>
    <row r="820">
      <c r="A820" s="9" t="inlineStr">
        <is>
          <t>HAIFENG</t>
        </is>
      </c>
      <c r="B820" s="9" t="inlineStr">
        <is>
          <t>HAIFENG 22/10/2025</t>
        </is>
      </c>
      <c r="C820" s="9" t="inlineStr">
        <is>
          <t>2025-10-22</t>
        </is>
      </c>
      <c r="D820" s="9" t="inlineStr">
        <is>
          <t>12314363611117</t>
        </is>
      </c>
      <c r="E820" s="9" t="inlineStr">
        <is>
          <t>PULSERA MM SILVER-WHITE</t>
        </is>
      </c>
      <c r="F820" s="9" t="inlineStr">
        <is>
          <t>Default Title</t>
        </is>
      </c>
      <c r="G820" s="9" t="n">
        <v>3</v>
      </c>
      <c r="H820" s="21" t="n">
        <v>6.99</v>
      </c>
      <c r="I820" s="21" t="n">
        <v>147.69</v>
      </c>
      <c r="J820" s="21" t="n">
        <v>443.06</v>
      </c>
      <c r="K820" s="21" t="n">
        <v>516.9</v>
      </c>
      <c r="L820" s="21" t="n">
        <v>590.75</v>
      </c>
      <c r="M820" s="21" t="n">
        <v>599</v>
      </c>
    </row>
    <row r="821">
      <c r="A821" s="9" t="inlineStr">
        <is>
          <t>HAIFENG</t>
        </is>
      </c>
      <c r="B821" s="9" t="inlineStr">
        <is>
          <t>HAIFENG 22/10/2025</t>
        </is>
      </c>
      <c r="C821" s="9" t="inlineStr">
        <is>
          <t>2025-10-22</t>
        </is>
      </c>
      <c r="D821" s="9" t="inlineStr">
        <is>
          <t>86347033456237</t>
        </is>
      </c>
      <c r="E821" s="9" t="inlineStr">
        <is>
          <t>PULSERA TITAN GOLD ZIRCONIAS</t>
        </is>
      </c>
      <c r="F821" s="9" t="inlineStr">
        <is>
          <t>Default Title</t>
        </is>
      </c>
      <c r="G821" s="9" t="n">
        <v>2</v>
      </c>
      <c r="H821" s="21" t="n">
        <v>10</v>
      </c>
      <c r="I821" s="21" t="n">
        <v>211.28</v>
      </c>
      <c r="J821" s="21" t="n">
        <v>633.85</v>
      </c>
      <c r="K821" s="21" t="n">
        <v>739.49</v>
      </c>
      <c r="L821" s="21" t="n">
        <v>845.13</v>
      </c>
      <c r="M821" s="21" t="n">
        <v>824</v>
      </c>
    </row>
    <row r="822">
      <c r="A822" s="9" t="inlineStr">
        <is>
          <t>CYNTHIA</t>
        </is>
      </c>
      <c r="B822" s="9" t="inlineStr">
        <is>
          <t>CYNTHIA 25/10/2025</t>
        </is>
      </c>
      <c r="C822" s="9" t="inlineStr">
        <is>
          <t>2025-10-25</t>
        </is>
      </c>
      <c r="D822" s="9" t="inlineStr">
        <is>
          <t>REGALO</t>
        </is>
      </c>
      <c r="E822" s="9" t="inlineStr"/>
      <c r="F822" s="9" t="inlineStr"/>
      <c r="G822" s="9" t="n">
        <v>2</v>
      </c>
      <c r="H822" s="21" t="n">
        <v>8.800000000000001</v>
      </c>
      <c r="I822" s="21" t="n">
        <v>230.58</v>
      </c>
      <c r="J822" s="21" t="n">
        <v>691.73</v>
      </c>
      <c r="K822" s="21" t="n">
        <v>807.02</v>
      </c>
      <c r="L822" s="21" t="n">
        <v>922.3</v>
      </c>
      <c r="M822" s="21" t="n"/>
    </row>
    <row r="823">
      <c r="A823" s="9" t="inlineStr">
        <is>
          <t>CYNTHIA</t>
        </is>
      </c>
      <c r="B823" s="9" t="inlineStr">
        <is>
          <t>CYNTHIA 25/10/2025</t>
        </is>
      </c>
      <c r="C823" s="9" t="inlineStr">
        <is>
          <t>2025-10-25</t>
        </is>
      </c>
      <c r="D823" s="9" t="inlineStr">
        <is>
          <t>41889241640397</t>
        </is>
      </c>
      <c r="E823" s="9" t="inlineStr">
        <is>
          <t>ANILLO CD ZIRCONIAS GOLD-BLACK</t>
        </is>
      </c>
      <c r="F823" s="9" t="inlineStr">
        <is>
          <t>8</t>
        </is>
      </c>
      <c r="G823" s="9" t="n">
        <v>2</v>
      </c>
      <c r="H823" s="21" t="n">
        <v>9.5</v>
      </c>
      <c r="I823" s="21" t="n">
        <v>248.92</v>
      </c>
      <c r="J823" s="21" t="n">
        <v>746.75</v>
      </c>
      <c r="K823" s="21" t="n">
        <v>871.21</v>
      </c>
      <c r="L823" s="21" t="n">
        <v>995.67</v>
      </c>
      <c r="M823" s="21" t="n">
        <v>790.5</v>
      </c>
    </row>
    <row r="824">
      <c r="A824" s="9" t="inlineStr">
        <is>
          <t>CYNTHIA</t>
        </is>
      </c>
      <c r="B824" s="9" t="inlineStr">
        <is>
          <t>CYNTHIA 25/10/2025</t>
        </is>
      </c>
      <c r="C824" s="9" t="inlineStr">
        <is>
          <t>2025-10-25</t>
        </is>
      </c>
      <c r="D824" s="9" t="inlineStr">
        <is>
          <t>43047206289548</t>
        </is>
      </c>
      <c r="E824" s="9" t="inlineStr">
        <is>
          <t>ANILLO LOCK GOLD-SILVER CON ZIRCONIAS</t>
        </is>
      </c>
      <c r="F824" s="9" t="inlineStr">
        <is>
          <t>7</t>
        </is>
      </c>
      <c r="G824" s="9" t="n">
        <v>3</v>
      </c>
      <c r="H824" s="21" t="n">
        <v>12.8</v>
      </c>
      <c r="I824" s="21" t="n">
        <v>335.38</v>
      </c>
      <c r="J824" s="21" t="n">
        <v>1006.15</v>
      </c>
      <c r="K824" s="21" t="n">
        <v>1173.84</v>
      </c>
      <c r="L824" s="21" t="n">
        <v>1341.53</v>
      </c>
      <c r="M824" s="21" t="n">
        <v>1099</v>
      </c>
    </row>
    <row r="825">
      <c r="A825" s="9" t="inlineStr">
        <is>
          <t>CYNTHIA</t>
        </is>
      </c>
      <c r="B825" s="9" t="inlineStr">
        <is>
          <t>CYNTHIA 25/10/2025</t>
        </is>
      </c>
      <c r="C825" s="9" t="inlineStr">
        <is>
          <t>2025-10-25</t>
        </is>
      </c>
      <c r="D825" s="9" t="inlineStr">
        <is>
          <t>39252671264941</t>
        </is>
      </c>
      <c r="E825" s="9" t="inlineStr">
        <is>
          <t>ANILLO LV LETTER GOLD</t>
        </is>
      </c>
      <c r="F825" s="9" t="inlineStr">
        <is>
          <t>7</t>
        </is>
      </c>
      <c r="G825" s="9" t="n">
        <v>2</v>
      </c>
      <c r="H825" s="21" t="n">
        <v>5.28</v>
      </c>
      <c r="I825" s="21" t="n">
        <v>138.35</v>
      </c>
      <c r="J825" s="21" t="n">
        <v>415.04</v>
      </c>
      <c r="K825" s="21" t="n">
        <v>484.21</v>
      </c>
      <c r="L825" s="21" t="n">
        <v>553.38</v>
      </c>
      <c r="M825" s="21" t="n">
        <v>440</v>
      </c>
    </row>
    <row r="826">
      <c r="A826" s="9" t="inlineStr">
        <is>
          <t>CYNTHIA</t>
        </is>
      </c>
      <c r="B826" s="9" t="inlineStr">
        <is>
          <t>CYNTHIA 25/10/2025</t>
        </is>
      </c>
      <c r="C826" s="9" t="inlineStr">
        <is>
          <t>2025-10-25</t>
        </is>
      </c>
      <c r="D826" s="9" t="inlineStr">
        <is>
          <t>39252671397709</t>
        </is>
      </c>
      <c r="E826" s="9" t="inlineStr">
        <is>
          <t>ANILLO LV LETTER GOLD</t>
        </is>
      </c>
      <c r="F826" s="9" t="inlineStr">
        <is>
          <t>8</t>
        </is>
      </c>
      <c r="G826" s="9" t="n">
        <v>2</v>
      </c>
      <c r="H826" s="21" t="n">
        <v>5.28</v>
      </c>
      <c r="I826" s="21" t="n">
        <v>138.35</v>
      </c>
      <c r="J826" s="21" t="n">
        <v>415.04</v>
      </c>
      <c r="K826" s="21" t="n">
        <v>484.21</v>
      </c>
      <c r="L826" s="21" t="n">
        <v>553.38</v>
      </c>
      <c r="M826" s="21" t="n">
        <v>440</v>
      </c>
    </row>
    <row r="827">
      <c r="A827" s="9" t="inlineStr">
        <is>
          <t>CYNTHIA</t>
        </is>
      </c>
      <c r="B827" s="9" t="inlineStr">
        <is>
          <t>CYNTHIA 25/10/2025</t>
        </is>
      </c>
      <c r="C827" s="9" t="inlineStr">
        <is>
          <t>2025-10-25</t>
        </is>
      </c>
      <c r="D827" s="9" t="inlineStr">
        <is>
          <t>39252671092621</t>
        </is>
      </c>
      <c r="E827" s="9" t="inlineStr">
        <is>
          <t>ANILLO LV LETTER SILVER</t>
        </is>
      </c>
      <c r="F827" s="9" t="inlineStr">
        <is>
          <t>7</t>
        </is>
      </c>
      <c r="G827" s="9" t="n">
        <v>2</v>
      </c>
      <c r="H827" s="21" t="n">
        <v>5.28</v>
      </c>
      <c r="I827" s="21" t="n">
        <v>138.35</v>
      </c>
      <c r="J827" s="21" t="n">
        <v>415.04</v>
      </c>
      <c r="K827" s="21" t="n">
        <v>484.21</v>
      </c>
      <c r="L827" s="21" t="n">
        <v>553.38</v>
      </c>
      <c r="M827" s="21" t="n">
        <v>450</v>
      </c>
    </row>
    <row r="828">
      <c r="A828" s="9" t="inlineStr">
        <is>
          <t>CYNTHIA</t>
        </is>
      </c>
      <c r="B828" s="9" t="inlineStr">
        <is>
          <t>CYNTHIA 25/10/2025</t>
        </is>
      </c>
      <c r="C828" s="9" t="inlineStr">
        <is>
          <t>2025-10-25</t>
        </is>
      </c>
      <c r="D828" s="9" t="inlineStr">
        <is>
          <t>39252671125389</t>
        </is>
      </c>
      <c r="E828" s="9" t="inlineStr">
        <is>
          <t>ANILLO LV LETTER SILVER</t>
        </is>
      </c>
      <c r="F828" s="9" t="inlineStr">
        <is>
          <t>8</t>
        </is>
      </c>
      <c r="G828" s="9" t="n">
        <v>2</v>
      </c>
      <c r="H828" s="21" t="n">
        <v>5.28</v>
      </c>
      <c r="I828" s="21" t="n">
        <v>138.35</v>
      </c>
      <c r="J828" s="21" t="n">
        <v>415.04</v>
      </c>
      <c r="K828" s="21" t="n">
        <v>484.21</v>
      </c>
      <c r="L828" s="21" t="n">
        <v>553.38</v>
      </c>
      <c r="M828" s="21" t="n">
        <v>440</v>
      </c>
    </row>
    <row r="829">
      <c r="A829" s="9" t="inlineStr">
        <is>
          <t>CYNTHIA</t>
        </is>
      </c>
      <c r="B829" s="9" t="inlineStr">
        <is>
          <t>CYNTHIA 25/10/2025</t>
        </is>
      </c>
      <c r="C829" s="9" t="inlineStr">
        <is>
          <t>2025-10-25</t>
        </is>
      </c>
      <c r="D829" s="9" t="inlineStr">
        <is>
          <t>43728112129132</t>
        </is>
      </c>
      <c r="E829" s="9" t="inlineStr">
        <is>
          <t>ANILLO P SHINNY FLOWER</t>
        </is>
      </c>
      <c r="F829" s="9" t="inlineStr">
        <is>
          <t>6</t>
        </is>
      </c>
      <c r="G829" s="9" t="n">
        <v>2</v>
      </c>
      <c r="H829" s="21" t="n">
        <v>2.6</v>
      </c>
      <c r="I829" s="21" t="n">
        <v>68.12</v>
      </c>
      <c r="J829" s="21" t="n">
        <v>204.37</v>
      </c>
      <c r="K829" s="21" t="n">
        <v>238.44</v>
      </c>
      <c r="L829" s="21" t="n">
        <v>272.5</v>
      </c>
      <c r="M829" s="21" t="n">
        <v>520</v>
      </c>
    </row>
    <row r="830">
      <c r="A830" s="9" t="inlineStr">
        <is>
          <t>CYNTHIA</t>
        </is>
      </c>
      <c r="B830" s="9" t="inlineStr">
        <is>
          <t>CYNTHIA 25/10/2025</t>
        </is>
      </c>
      <c r="C830" s="9" t="inlineStr">
        <is>
          <t>2025-10-25</t>
        </is>
      </c>
      <c r="D830" s="9" t="inlineStr">
        <is>
          <t>43078594756748</t>
        </is>
      </c>
      <c r="E830" s="9" t="inlineStr">
        <is>
          <t>ANILLO P SHINNY FLOWER</t>
        </is>
      </c>
      <c r="F830" s="9" t="inlineStr">
        <is>
          <t>7</t>
        </is>
      </c>
      <c r="G830" s="9" t="n">
        <v>2</v>
      </c>
      <c r="H830" s="21" t="n">
        <v>2.6</v>
      </c>
      <c r="I830" s="21" t="n">
        <v>68.12</v>
      </c>
      <c r="J830" s="21" t="n">
        <v>204.37</v>
      </c>
      <c r="K830" s="21" t="n">
        <v>238.44</v>
      </c>
      <c r="L830" s="21" t="n">
        <v>272.5</v>
      </c>
      <c r="M830" s="21" t="n">
        <v>520</v>
      </c>
    </row>
    <row r="831">
      <c r="A831" s="9" t="inlineStr">
        <is>
          <t>CYNTHIA</t>
        </is>
      </c>
      <c r="B831" s="9" t="inlineStr">
        <is>
          <t>CYNTHIA 25/10/2025</t>
        </is>
      </c>
      <c r="C831" s="9" t="inlineStr">
        <is>
          <t>2025-10-25</t>
        </is>
      </c>
      <c r="D831" s="9" t="inlineStr">
        <is>
          <t>43728071296588</t>
        </is>
      </c>
      <c r="E831" s="9" t="inlineStr">
        <is>
          <t>ANILLO SERPENTI LISO GOLD</t>
        </is>
      </c>
      <c r="F831" s="9" t="inlineStr">
        <is>
          <t>AJUSTABLE</t>
        </is>
      </c>
      <c r="G831" s="9" t="n">
        <v>3</v>
      </c>
      <c r="H831" s="21" t="n">
        <v>6.9</v>
      </c>
      <c r="I831" s="21" t="n">
        <v>180.79</v>
      </c>
      <c r="J831" s="21" t="n">
        <v>542.38</v>
      </c>
      <c r="K831" s="21" t="n">
        <v>632.77</v>
      </c>
      <c r="L831" s="21" t="n">
        <v>723.17</v>
      </c>
      <c r="M831" s="21" t="n">
        <v>580</v>
      </c>
    </row>
    <row r="832">
      <c r="A832" s="9" t="inlineStr">
        <is>
          <t>CYNTHIA</t>
        </is>
      </c>
      <c r="B832" s="9" t="inlineStr">
        <is>
          <t>CYNTHIA 25/10/2025</t>
        </is>
      </c>
      <c r="C832" s="9" t="inlineStr">
        <is>
          <t>2025-10-25</t>
        </is>
      </c>
      <c r="D832" s="9" t="inlineStr">
        <is>
          <t>38332091186797</t>
        </is>
      </c>
      <c r="E832" s="9" t="inlineStr">
        <is>
          <t>ANILLO T EDGE SILVER</t>
        </is>
      </c>
      <c r="F832" s="9" t="inlineStr">
        <is>
          <t>7</t>
        </is>
      </c>
      <c r="G832" s="9" t="n">
        <v>1</v>
      </c>
      <c r="H832" s="21" t="n">
        <v>10.8</v>
      </c>
      <c r="I832" s="21" t="n">
        <v>282.98</v>
      </c>
      <c r="J832" s="21" t="n">
        <v>848.9400000000001</v>
      </c>
      <c r="K832" s="21" t="n">
        <v>990.4299999999999</v>
      </c>
      <c r="L832" s="21" t="n">
        <v>1131.92</v>
      </c>
      <c r="M832" s="21" t="n">
        <v>1099</v>
      </c>
    </row>
    <row r="833">
      <c r="A833" s="9" t="inlineStr">
        <is>
          <t>CYNTHIA</t>
        </is>
      </c>
      <c r="B833" s="9" t="inlineStr">
        <is>
          <t>CYNTHIA 25/10/2025</t>
        </is>
      </c>
      <c r="C833" s="9" t="inlineStr">
        <is>
          <t>2025-10-25</t>
        </is>
      </c>
      <c r="D833" s="9" t="inlineStr">
        <is>
          <t>34876761335341</t>
        </is>
      </c>
      <c r="E833" s="9" t="inlineStr">
        <is>
          <t>ANILLO T LOVESTRUCK SILVER-ROSE GOLD</t>
        </is>
      </c>
      <c r="F833" s="9" t="inlineStr">
        <is>
          <t>6</t>
        </is>
      </c>
      <c r="G833" s="9" t="n">
        <v>4</v>
      </c>
      <c r="H833" s="21" t="n">
        <v>8.800000000000001</v>
      </c>
      <c r="I833" s="21" t="n">
        <v>230.58</v>
      </c>
      <c r="J833" s="21" t="n">
        <v>691.73</v>
      </c>
      <c r="K833" s="21" t="n">
        <v>807.02</v>
      </c>
      <c r="L833" s="21" t="n">
        <v>922.3</v>
      </c>
      <c r="M833" s="21" t="n">
        <v>750</v>
      </c>
    </row>
    <row r="834">
      <c r="A834" s="9" t="inlineStr">
        <is>
          <t>CYNTHIA</t>
        </is>
      </c>
      <c r="B834" s="9" t="inlineStr">
        <is>
          <t>CYNTHIA 25/10/2025</t>
        </is>
      </c>
      <c r="C834" s="9" t="inlineStr">
        <is>
          <t>2025-10-25</t>
        </is>
      </c>
      <c r="D834" s="9" t="inlineStr">
        <is>
          <t>41889241279949</t>
        </is>
      </c>
      <c r="E834" s="9" t="inlineStr">
        <is>
          <t>ANILLO T V SILVER</t>
        </is>
      </c>
      <c r="F834" s="9" t="inlineStr">
        <is>
          <t>7</t>
        </is>
      </c>
      <c r="G834" s="9" t="n">
        <v>2</v>
      </c>
      <c r="H834" s="21" t="n">
        <v>9.800000000000001</v>
      </c>
      <c r="I834" s="21" t="n">
        <v>256.78</v>
      </c>
      <c r="J834" s="21" t="n">
        <v>770.33</v>
      </c>
      <c r="K834" s="21" t="n">
        <v>898.72</v>
      </c>
      <c r="L834" s="21" t="n">
        <v>1027.11</v>
      </c>
      <c r="M834" s="21" t="n">
        <v>820</v>
      </c>
    </row>
    <row r="835">
      <c r="A835" s="9" t="inlineStr">
        <is>
          <t>CYNTHIA</t>
        </is>
      </c>
      <c r="B835" s="9" t="inlineStr">
        <is>
          <t>CYNTHIA 25/10/2025</t>
        </is>
      </c>
      <c r="C835" s="9" t="inlineStr">
        <is>
          <t>2025-10-25</t>
        </is>
      </c>
      <c r="D835" s="9" t="inlineStr">
        <is>
          <t>41889241312717</t>
        </is>
      </c>
      <c r="E835" s="9" t="inlineStr">
        <is>
          <t>ANILLO T V SILVER</t>
        </is>
      </c>
      <c r="F835" s="9" t="inlineStr">
        <is>
          <t>8</t>
        </is>
      </c>
      <c r="G835" s="9" t="n">
        <v>2</v>
      </c>
      <c r="H835" s="21" t="n">
        <v>9.800000000000001</v>
      </c>
      <c r="I835" s="21" t="n">
        <v>256.78</v>
      </c>
      <c r="J835" s="21" t="n">
        <v>770.33</v>
      </c>
      <c r="K835" s="21" t="n">
        <v>898.72</v>
      </c>
      <c r="L835" s="21" t="n">
        <v>1027.11</v>
      </c>
      <c r="M835" s="21" t="n">
        <v>820</v>
      </c>
    </row>
    <row r="836">
      <c r="A836" s="9" t="inlineStr">
        <is>
          <t>CYNTHIA</t>
        </is>
      </c>
      <c r="B836" s="9" t="inlineStr">
        <is>
          <t>CYNTHIA 25/10/2025</t>
        </is>
      </c>
      <c r="C836" s="9" t="inlineStr">
        <is>
          <t>2025-10-25</t>
        </is>
      </c>
      <c r="D836" s="9" t="inlineStr">
        <is>
          <t>41889241445485</t>
        </is>
      </c>
      <c r="E836" s="9" t="inlineStr">
        <is>
          <t>ANILLO T V SILVER</t>
        </is>
      </c>
      <c r="F836" s="9" t="inlineStr">
        <is>
          <t>9</t>
        </is>
      </c>
      <c r="G836" s="9" t="n">
        <v>2</v>
      </c>
      <c r="H836" s="21" t="n">
        <v>9.800000000000001</v>
      </c>
      <c r="I836" s="21" t="n">
        <v>256.78</v>
      </c>
      <c r="J836" s="21" t="n">
        <v>770.33</v>
      </c>
      <c r="K836" s="21" t="n">
        <v>898.72</v>
      </c>
      <c r="L836" s="21" t="n">
        <v>1027.11</v>
      </c>
      <c r="M836" s="21" t="n">
        <v>820</v>
      </c>
    </row>
    <row r="837">
      <c r="A837" s="9" t="inlineStr">
        <is>
          <t>CYNTHIA</t>
        </is>
      </c>
      <c r="B837" s="9" t="inlineStr">
        <is>
          <t>CYNTHIA 25/10/2025</t>
        </is>
      </c>
      <c r="C837" s="9" t="inlineStr">
        <is>
          <t>2025-10-25</t>
        </is>
      </c>
      <c r="D837" s="9" t="inlineStr">
        <is>
          <t>15711172030349</t>
        </is>
      </c>
      <c r="E837" s="9" t="inlineStr">
        <is>
          <t>ARETES BEAN GOLD T</t>
        </is>
      </c>
      <c r="F837" s="9" t="inlineStr">
        <is>
          <t>Default Title</t>
        </is>
      </c>
      <c r="G837" s="9" t="n">
        <v>5</v>
      </c>
      <c r="H837" s="21" t="n">
        <v>8</v>
      </c>
      <c r="I837" s="21" t="n">
        <v>209.61</v>
      </c>
      <c r="J837" s="21" t="n">
        <v>628.84</v>
      </c>
      <c r="K837" s="21" t="n">
        <v>733.65</v>
      </c>
      <c r="L837" s="21" t="n">
        <v>838.46</v>
      </c>
      <c r="M837" s="21" t="n">
        <v>935</v>
      </c>
    </row>
    <row r="838">
      <c r="A838" s="9" t="inlineStr">
        <is>
          <t>CYNTHIA</t>
        </is>
      </c>
      <c r="B838" s="9" t="inlineStr">
        <is>
          <t>CYNTHIA 25/10/2025</t>
        </is>
      </c>
      <c r="C838" s="9" t="inlineStr">
        <is>
          <t>2025-10-25</t>
        </is>
      </c>
      <c r="D838" s="9" t="inlineStr">
        <is>
          <t>62101481140653</t>
        </is>
      </c>
      <c r="E838" s="9" t="inlineStr">
        <is>
          <t>ARETES BEAN SILVER T</t>
        </is>
      </c>
      <c r="F838" s="9" t="inlineStr">
        <is>
          <t>Default Title</t>
        </is>
      </c>
      <c r="G838" s="9" t="n">
        <v>3</v>
      </c>
      <c r="H838" s="21" t="n">
        <v>8</v>
      </c>
      <c r="I838" s="21" t="n">
        <v>209.61</v>
      </c>
      <c r="J838" s="21" t="n">
        <v>628.84</v>
      </c>
      <c r="K838" s="21" t="n">
        <v>733.65</v>
      </c>
      <c r="L838" s="21" t="n">
        <v>838.46</v>
      </c>
      <c r="M838" s="21" t="n">
        <v>849</v>
      </c>
    </row>
    <row r="839">
      <c r="A839" s="9" t="inlineStr">
        <is>
          <t>CYNTHIA</t>
        </is>
      </c>
      <c r="B839" s="9" t="inlineStr">
        <is>
          <t>CYNTHIA 25/10/2025</t>
        </is>
      </c>
      <c r="C839" s="9" t="inlineStr">
        <is>
          <t>2025-10-25</t>
        </is>
      </c>
      <c r="D839" s="9" t="inlineStr">
        <is>
          <t>665bb4e06b7c8</t>
        </is>
      </c>
      <c r="E839" s="9" t="inlineStr">
        <is>
          <t>ARETES CC DORADO</t>
        </is>
      </c>
      <c r="F839" s="9" t="inlineStr">
        <is>
          <t>Regular</t>
        </is>
      </c>
      <c r="G839" s="9" t="n">
        <v>8</v>
      </c>
      <c r="H839" s="21" t="n">
        <v>2</v>
      </c>
      <c r="I839" s="21" t="n">
        <v>52.4</v>
      </c>
      <c r="J839" s="21" t="n">
        <v>157.21</v>
      </c>
      <c r="K839" s="21" t="n">
        <v>183.41</v>
      </c>
      <c r="L839" s="21" t="n">
        <v>209.61</v>
      </c>
      <c r="M839" s="21" t="n">
        <v>220</v>
      </c>
    </row>
    <row r="840">
      <c r="A840" s="9" t="inlineStr">
        <is>
          <t>CYNTHIA</t>
        </is>
      </c>
      <c r="B840" s="9" t="inlineStr">
        <is>
          <t>CYNTHIA 25/10/2025</t>
        </is>
      </c>
      <c r="C840" s="9" t="inlineStr">
        <is>
          <t>2025-10-25</t>
        </is>
      </c>
      <c r="D840" s="9" t="inlineStr">
        <is>
          <t>8275727247244</t>
        </is>
      </c>
      <c r="E840" s="9" t="inlineStr">
        <is>
          <t>ARETES CD COLGANTES</t>
        </is>
      </c>
      <c r="F840" s="9" t="inlineStr">
        <is>
          <t>Default Title</t>
        </is>
      </c>
      <c r="G840" s="9" t="n">
        <v>4</v>
      </c>
      <c r="H840" s="21" t="n">
        <v>8.800000000000001</v>
      </c>
      <c r="I840" s="21" t="n">
        <v>230.58</v>
      </c>
      <c r="J840" s="21" t="n">
        <v>691.73</v>
      </c>
      <c r="K840" s="21" t="n">
        <v>807.02</v>
      </c>
      <c r="L840" s="21" t="n">
        <v>922.3</v>
      </c>
      <c r="M840" s="21" t="n">
        <v>850</v>
      </c>
    </row>
    <row r="841">
      <c r="A841" s="9" t="inlineStr">
        <is>
          <t>CYNTHIA</t>
        </is>
      </c>
      <c r="B841" s="9" t="inlineStr">
        <is>
          <t>CYNTHIA 25/10/2025</t>
        </is>
      </c>
      <c r="C841" s="9" t="inlineStr">
        <is>
          <t>2025-10-25</t>
        </is>
      </c>
      <c r="D841" s="9" t="inlineStr">
        <is>
          <t>665bd4aee8cb5</t>
        </is>
      </c>
      <c r="E841" s="9" t="inlineStr">
        <is>
          <t>ARETES CD PERLAS/ ZIRCONIAS</t>
        </is>
      </c>
      <c r="F841" s="9" t="inlineStr">
        <is>
          <t>Default Title</t>
        </is>
      </c>
      <c r="G841" s="9" t="n">
        <v>3</v>
      </c>
      <c r="H841" s="21" t="n">
        <v>8.800000000000001</v>
      </c>
      <c r="I841" s="21" t="n">
        <v>230.58</v>
      </c>
      <c r="J841" s="21" t="n">
        <v>691.73</v>
      </c>
      <c r="K841" s="21" t="n">
        <v>807.02</v>
      </c>
      <c r="L841" s="21" t="n">
        <v>922.3</v>
      </c>
      <c r="M841" s="21" t="n">
        <v>850</v>
      </c>
    </row>
    <row r="842">
      <c r="A842" s="9" t="inlineStr">
        <is>
          <t>CYNTHIA</t>
        </is>
      </c>
      <c r="B842" s="9" t="inlineStr">
        <is>
          <t>CYNTHIA 25/10/2025</t>
        </is>
      </c>
      <c r="C842" s="9" t="inlineStr">
        <is>
          <t>2025-10-25</t>
        </is>
      </c>
      <c r="D842" s="9" t="inlineStr">
        <is>
          <t>15711172330573</t>
        </is>
      </c>
      <c r="E842" s="9" t="inlineStr">
        <is>
          <t>ARETES CD PETIT JOLIE GOLD</t>
        </is>
      </c>
      <c r="F842" s="9" t="inlineStr">
        <is>
          <t>Default Title</t>
        </is>
      </c>
      <c r="G842" s="9" t="n">
        <v>10</v>
      </c>
      <c r="H842" s="21" t="n">
        <v>5.5</v>
      </c>
      <c r="I842" s="21" t="n">
        <v>144.11</v>
      </c>
      <c r="J842" s="21" t="n">
        <v>432.33</v>
      </c>
      <c r="K842" s="21" t="n">
        <v>504.39</v>
      </c>
      <c r="L842" s="21" t="n">
        <v>576.4400000000001</v>
      </c>
      <c r="M842" s="21" t="n">
        <v>520</v>
      </c>
    </row>
    <row r="843">
      <c r="A843" s="9" t="inlineStr">
        <is>
          <t>CYNTHIA</t>
        </is>
      </c>
      <c r="B843" s="9" t="inlineStr">
        <is>
          <t>CYNTHIA 25/10/2025</t>
        </is>
      </c>
      <c r="C843" s="9" t="inlineStr">
        <is>
          <t>2025-10-25</t>
        </is>
      </c>
      <c r="D843" s="9" t="inlineStr">
        <is>
          <t>89633861063789</t>
        </is>
      </c>
      <c r="E843" s="9" t="inlineStr">
        <is>
          <t>ARETES CD ROUND LOGO CON ZIRCONIAS</t>
        </is>
      </c>
      <c r="F843" s="9" t="inlineStr">
        <is>
          <t>HIGH QUALITY</t>
        </is>
      </c>
      <c r="G843" s="9" t="n">
        <v>3</v>
      </c>
      <c r="H843" s="21" t="n">
        <v>7</v>
      </c>
      <c r="I843" s="21" t="n">
        <v>183.41</v>
      </c>
      <c r="J843" s="21" t="n">
        <v>550.24</v>
      </c>
      <c r="K843" s="21" t="n">
        <v>641.9400000000001</v>
      </c>
      <c r="L843" s="21" t="n">
        <v>733.65</v>
      </c>
      <c r="M843" s="21" t="n">
        <v>599</v>
      </c>
    </row>
    <row r="844">
      <c r="A844" s="9" t="inlineStr">
        <is>
          <t>CYNTHIA</t>
        </is>
      </c>
      <c r="B844" s="9" t="inlineStr">
        <is>
          <t>CYNTHIA 25/10/2025</t>
        </is>
      </c>
      <c r="C844" s="9" t="inlineStr">
        <is>
          <t>2025-10-25</t>
        </is>
      </c>
      <c r="D844" s="9" t="inlineStr">
        <is>
          <t>15711172277517</t>
        </is>
      </c>
      <c r="E844" s="9" t="inlineStr">
        <is>
          <t>ARETES CD SADDLE GOLD</t>
        </is>
      </c>
      <c r="F844" s="9" t="inlineStr">
        <is>
          <t>3 cm</t>
        </is>
      </c>
      <c r="G844" s="9" t="n">
        <v>3</v>
      </c>
      <c r="H844" s="21" t="n">
        <v>7</v>
      </c>
      <c r="I844" s="21" t="n">
        <v>183.41</v>
      </c>
      <c r="J844" s="21" t="n">
        <v>550.24</v>
      </c>
      <c r="K844" s="21" t="n">
        <v>641.9400000000001</v>
      </c>
      <c r="L844" s="21" t="n">
        <v>733.65</v>
      </c>
      <c r="M844" s="21" t="n">
        <v>582.47</v>
      </c>
    </row>
    <row r="845">
      <c r="A845" s="9" t="inlineStr">
        <is>
          <t>CYNTHIA</t>
        </is>
      </c>
      <c r="B845" s="9" t="inlineStr">
        <is>
          <t>CYNTHIA 25/10/2025</t>
        </is>
      </c>
      <c r="C845" s="9" t="inlineStr">
        <is>
          <t>2025-10-25</t>
        </is>
      </c>
      <c r="D845" s="9" t="inlineStr">
        <is>
          <t>43047217758348</t>
        </is>
      </c>
      <c r="E845" s="9" t="inlineStr">
        <is>
          <t>ARETES CORAZÓN GRABADO GOLD</t>
        </is>
      </c>
      <c r="F845" s="9" t="inlineStr">
        <is>
          <t>HIGH QUALITY</t>
        </is>
      </c>
      <c r="G845" s="9" t="n">
        <v>2</v>
      </c>
      <c r="H845" s="21" t="n">
        <v>5.88</v>
      </c>
      <c r="I845" s="21" t="n">
        <v>154.07</v>
      </c>
      <c r="J845" s="21" t="n">
        <v>462.2</v>
      </c>
      <c r="K845" s="21" t="n">
        <v>539.23</v>
      </c>
      <c r="L845" s="21" t="n">
        <v>616.27</v>
      </c>
      <c r="M845" s="21" t="n">
        <v>550</v>
      </c>
    </row>
    <row r="846">
      <c r="A846" s="9" t="inlineStr">
        <is>
          <t>CYNTHIA</t>
        </is>
      </c>
      <c r="B846" s="9" t="inlineStr">
        <is>
          <t>CYNTHIA 25/10/2025</t>
        </is>
      </c>
      <c r="C846" s="9" t="inlineStr">
        <is>
          <t>2025-10-25</t>
        </is>
      </c>
      <c r="D846" s="9" t="inlineStr">
        <is>
          <t>43047196360844</t>
        </is>
      </c>
      <c r="E846" s="9" t="inlineStr">
        <is>
          <t>ARETES CORAZÓN GRABADO SILVER</t>
        </is>
      </c>
      <c r="F846" s="9" t="inlineStr">
        <is>
          <t>Default Title</t>
        </is>
      </c>
      <c r="G846" s="9" t="n">
        <v>1</v>
      </c>
      <c r="H846" s="21" t="n">
        <v>5.88</v>
      </c>
      <c r="I846" s="21" t="n">
        <v>154.07</v>
      </c>
      <c r="J846" s="21" t="n">
        <v>462.2</v>
      </c>
      <c r="K846" s="21" t="n">
        <v>539.23</v>
      </c>
      <c r="L846" s="21" t="n">
        <v>616.27</v>
      </c>
      <c r="M846" s="21" t="n">
        <v>550</v>
      </c>
    </row>
    <row r="847">
      <c r="A847" s="9" t="inlineStr">
        <is>
          <t>CYNTHIA</t>
        </is>
      </c>
      <c r="B847" s="9" t="inlineStr">
        <is>
          <t>CYNTHIA 25/10/2025</t>
        </is>
      </c>
      <c r="C847" s="9" t="inlineStr">
        <is>
          <t>2025-10-25</t>
        </is>
      </c>
      <c r="D847" s="9" t="inlineStr">
        <is>
          <t>15711172175405</t>
        </is>
      </c>
      <c r="E847" s="9" t="inlineStr">
        <is>
          <t>ARETES DIORIVIERA GOLD CD</t>
        </is>
      </c>
      <c r="F847" s="9" t="inlineStr">
        <is>
          <t>Default Title</t>
        </is>
      </c>
      <c r="G847" s="9" t="n">
        <v>2</v>
      </c>
      <c r="H847" s="21" t="n">
        <v>10</v>
      </c>
      <c r="I847" s="21" t="n">
        <v>262.02</v>
      </c>
      <c r="J847" s="21" t="n">
        <v>786.05</v>
      </c>
      <c r="K847" s="21" t="n">
        <v>917.0599999999999</v>
      </c>
      <c r="L847" s="21" t="n">
        <v>1048.07</v>
      </c>
      <c r="M847" s="21" t="n">
        <v>850</v>
      </c>
    </row>
    <row r="848">
      <c r="A848" s="9" t="inlineStr">
        <is>
          <t>CYNTHIA</t>
        </is>
      </c>
      <c r="B848" s="9" t="inlineStr">
        <is>
          <t>CYNTHIA 25/10/2025</t>
        </is>
      </c>
      <c r="C848" s="9" t="inlineStr">
        <is>
          <t>2025-10-25</t>
        </is>
      </c>
      <c r="D848" s="9" t="inlineStr">
        <is>
          <t>38332091513773</t>
        </is>
      </c>
      <c r="E848" s="9" t="inlineStr">
        <is>
          <t>ARETES LOGO CC GOLD CON ZIRCONIAS</t>
        </is>
      </c>
      <c r="F848" s="9" t="inlineStr">
        <is>
          <t>Default Title</t>
        </is>
      </c>
      <c r="G848" s="9" t="n">
        <v>4</v>
      </c>
      <c r="H848" s="21" t="n">
        <v>3.78</v>
      </c>
      <c r="I848" s="21" t="n">
        <v>99.04000000000001</v>
      </c>
      <c r="J848" s="21" t="n">
        <v>297.13</v>
      </c>
      <c r="K848" s="21" t="n">
        <v>346.65</v>
      </c>
      <c r="L848" s="21" t="n">
        <v>396.17</v>
      </c>
      <c r="M848" s="21" t="n">
        <v>399</v>
      </c>
    </row>
    <row r="849">
      <c r="A849" s="9" t="inlineStr">
        <is>
          <t>CYNTHIA</t>
        </is>
      </c>
      <c r="B849" s="9" t="inlineStr">
        <is>
          <t>CYNTHIA 25/10/2025</t>
        </is>
      </c>
      <c r="C849" s="9" t="inlineStr">
        <is>
          <t>2025-10-25</t>
        </is>
      </c>
      <c r="D849" s="9" t="inlineStr">
        <is>
          <t>661786775a1bb</t>
        </is>
      </c>
      <c r="E849" s="9" t="inlineStr">
        <is>
          <t>ARETES LOVE SILVER</t>
        </is>
      </c>
      <c r="F849" s="9" t="inlineStr">
        <is>
          <t>Default Title</t>
        </is>
      </c>
      <c r="G849" s="9" t="n">
        <v>6</v>
      </c>
      <c r="H849" s="21" t="n">
        <v>2.6</v>
      </c>
      <c r="I849" s="21" t="n">
        <v>68.12</v>
      </c>
      <c r="J849" s="21" t="n">
        <v>204.37</v>
      </c>
      <c r="K849" s="21" t="n">
        <v>238.44</v>
      </c>
      <c r="L849" s="21" t="n">
        <v>272.5</v>
      </c>
      <c r="M849" s="21" t="n">
        <v>399</v>
      </c>
    </row>
    <row r="850">
      <c r="A850" s="9" t="inlineStr">
        <is>
          <t>CYNTHIA</t>
        </is>
      </c>
      <c r="B850" s="9" t="inlineStr">
        <is>
          <t>CYNTHIA 25/10/2025</t>
        </is>
      </c>
      <c r="C850" s="9" t="inlineStr">
        <is>
          <t>2025-10-25</t>
        </is>
      </c>
      <c r="D850" s="9" t="inlineStr">
        <is>
          <t>6617867765c65</t>
        </is>
      </c>
      <c r="E850" s="9" t="inlineStr">
        <is>
          <t>ARETES LOVE SILVER CON ZIRCONIA</t>
        </is>
      </c>
      <c r="F850" s="9" t="inlineStr">
        <is>
          <t>Default Title</t>
        </is>
      </c>
      <c r="G850" s="9" t="n">
        <v>2</v>
      </c>
      <c r="H850" s="21" t="n">
        <v>2.6</v>
      </c>
      <c r="I850" s="21" t="n">
        <v>68.12</v>
      </c>
      <c r="J850" s="21" t="n">
        <v>204.37</v>
      </c>
      <c r="K850" s="21" t="n">
        <v>238.44</v>
      </c>
      <c r="L850" s="21" t="n">
        <v>272.5</v>
      </c>
      <c r="M850" s="21" t="n">
        <v>450</v>
      </c>
    </row>
    <row r="851">
      <c r="A851" s="9" t="inlineStr">
        <is>
          <t>CYNTHIA</t>
        </is>
      </c>
      <c r="B851" s="9" t="inlineStr">
        <is>
          <t>CYNTHIA 25/10/2025</t>
        </is>
      </c>
      <c r="C851" s="9" t="inlineStr">
        <is>
          <t>2025-10-25</t>
        </is>
      </c>
      <c r="D851" s="9" t="inlineStr">
        <is>
          <t>64e78e740ecaf-1</t>
        </is>
      </c>
      <c r="E851" s="9" t="inlineStr">
        <is>
          <t>ARETES LV LOGO GOLD</t>
        </is>
      </c>
      <c r="F851" s="9" t="inlineStr">
        <is>
          <t>Stainless steel</t>
        </is>
      </c>
      <c r="G851" s="9" t="n">
        <v>2</v>
      </c>
      <c r="H851" s="21" t="n">
        <v>6</v>
      </c>
      <c r="I851" s="21" t="n">
        <v>157.21</v>
      </c>
      <c r="J851" s="21" t="n">
        <v>471.63</v>
      </c>
      <c r="K851" s="21" t="n">
        <v>550.24</v>
      </c>
      <c r="L851" s="21" t="n">
        <v>628.84</v>
      </c>
      <c r="M851" s="21" t="n">
        <v>722</v>
      </c>
    </row>
    <row r="852">
      <c r="A852" s="9" t="inlineStr">
        <is>
          <t>CYNTHIA</t>
        </is>
      </c>
      <c r="B852" s="9" t="inlineStr">
        <is>
          <t>CYNTHIA 25/10/2025</t>
        </is>
      </c>
      <c r="C852" s="9" t="inlineStr">
        <is>
          <t>2025-10-25</t>
        </is>
      </c>
      <c r="D852" s="9" t="inlineStr">
        <is>
          <t>43071661277324</t>
        </is>
      </c>
      <c r="E852" s="9" t="inlineStr">
        <is>
          <t>ARETES LV ROUND CON ZIRCONIA</t>
        </is>
      </c>
      <c r="F852" s="9" t="inlineStr">
        <is>
          <t>Default Title</t>
        </is>
      </c>
      <c r="G852" s="9" t="n">
        <v>6</v>
      </c>
      <c r="H852" s="21" t="n">
        <v>8.800000000000001</v>
      </c>
      <c r="I852" s="21" t="n">
        <v>230.58</v>
      </c>
      <c r="J852" s="21" t="n">
        <v>691.73</v>
      </c>
      <c r="K852" s="21" t="n">
        <v>807.02</v>
      </c>
      <c r="L852" s="21" t="n">
        <v>922.3</v>
      </c>
      <c r="M852" s="21" t="n">
        <v>750</v>
      </c>
    </row>
    <row r="853">
      <c r="A853" s="9" t="inlineStr">
        <is>
          <t>CYNTHIA</t>
        </is>
      </c>
      <c r="B853" s="9" t="inlineStr">
        <is>
          <t>CYNTHIA 25/10/2025</t>
        </is>
      </c>
      <c r="C853" s="9" t="inlineStr">
        <is>
          <t>2025-10-25</t>
        </is>
      </c>
      <c r="D853" s="9" t="inlineStr">
        <is>
          <t>38332091841901</t>
        </is>
      </c>
      <c r="E853" s="9" t="inlineStr">
        <is>
          <t>ARETES LW ANAGRAM GOLD</t>
        </is>
      </c>
      <c r="F853" s="9" t="inlineStr">
        <is>
          <t>Default Title</t>
        </is>
      </c>
      <c r="G853" s="9" t="n">
        <v>10</v>
      </c>
      <c r="H853" s="21" t="n">
        <v>3.5</v>
      </c>
      <c r="I853" s="21" t="n">
        <v>91.70999999999999</v>
      </c>
      <c r="J853" s="21" t="n">
        <v>275.12</v>
      </c>
      <c r="K853" s="21" t="n">
        <v>320.97</v>
      </c>
      <c r="L853" s="21" t="n">
        <v>366.83</v>
      </c>
      <c r="M853" s="21" t="n">
        <v>450</v>
      </c>
    </row>
    <row r="854">
      <c r="A854" s="9" t="inlineStr">
        <is>
          <t>CYNTHIA</t>
        </is>
      </c>
      <c r="B854" s="9" t="inlineStr">
        <is>
          <t>CYNTHIA 25/10/2025</t>
        </is>
      </c>
      <c r="C854" s="9" t="inlineStr">
        <is>
          <t>2025-10-25</t>
        </is>
      </c>
      <c r="D854" s="9" t="inlineStr">
        <is>
          <t>34876761251373</t>
        </is>
      </c>
      <c r="E854" s="9" t="inlineStr">
        <is>
          <t>ARETES T SQUARE SIXTEEN STONE</t>
        </is>
      </c>
      <c r="F854" s="9" t="inlineStr">
        <is>
          <t>Default Title</t>
        </is>
      </c>
      <c r="G854" s="9" t="n">
        <v>10</v>
      </c>
      <c r="H854" s="21" t="n">
        <v>7</v>
      </c>
      <c r="I854" s="21" t="n">
        <v>183.41</v>
      </c>
      <c r="J854" s="21" t="n">
        <v>550.24</v>
      </c>
      <c r="K854" s="21" t="n">
        <v>641.9400000000001</v>
      </c>
      <c r="L854" s="21" t="n">
        <v>733.65</v>
      </c>
      <c r="M854" s="21" t="n">
        <v>750</v>
      </c>
    </row>
    <row r="855">
      <c r="A855" s="9" t="inlineStr">
        <is>
          <t>CYNTHIA</t>
        </is>
      </c>
      <c r="B855" s="9" t="inlineStr">
        <is>
          <t>CYNTHIA 25/10/2025</t>
        </is>
      </c>
      <c r="C855" s="9" t="inlineStr">
        <is>
          <t>2025-10-25</t>
        </is>
      </c>
      <c r="D855" s="9" t="inlineStr">
        <is>
          <t>64e78ed3b6948</t>
        </is>
      </c>
      <c r="E855" s="9" t="inlineStr">
        <is>
          <t>ARETES YSL</t>
        </is>
      </c>
      <c r="F855" s="9" t="inlineStr">
        <is>
          <t>Default Title</t>
        </is>
      </c>
      <c r="G855" s="9" t="n">
        <v>2</v>
      </c>
      <c r="H855" s="21" t="n">
        <v>9.800000000000001</v>
      </c>
      <c r="I855" s="21" t="n">
        <v>256.78</v>
      </c>
      <c r="J855" s="21" t="n">
        <v>770.33</v>
      </c>
      <c r="K855" s="21" t="n">
        <v>898.72</v>
      </c>
      <c r="L855" s="21" t="n">
        <v>1027.11</v>
      </c>
      <c r="M855" s="21" t="n">
        <v>1049</v>
      </c>
    </row>
    <row r="856">
      <c r="A856" s="9" t="inlineStr">
        <is>
          <t>CYNTHIA</t>
        </is>
      </c>
      <c r="B856" s="9" t="inlineStr">
        <is>
          <t>CYNTHIA 25/10/2025</t>
        </is>
      </c>
      <c r="C856" s="9" t="inlineStr">
        <is>
          <t>2025-10-25</t>
        </is>
      </c>
      <c r="D856" s="9" t="inlineStr">
        <is>
          <t>39252672178381</t>
        </is>
      </c>
      <c r="E856" s="9" t="inlineStr">
        <is>
          <t>ARRACADAS BLOSSOM GOLD ZIRCONIAS</t>
        </is>
      </c>
      <c r="F856" s="9" t="inlineStr">
        <is>
          <t>Default Title</t>
        </is>
      </c>
      <c r="G856" s="9" t="n">
        <v>2</v>
      </c>
      <c r="H856" s="21" t="n">
        <v>9.800000000000001</v>
      </c>
      <c r="I856" s="21" t="n">
        <v>256.78</v>
      </c>
      <c r="J856" s="21" t="n">
        <v>770.33</v>
      </c>
      <c r="K856" s="21" t="n">
        <v>898.72</v>
      </c>
      <c r="L856" s="21" t="n">
        <v>1027.11</v>
      </c>
      <c r="M856" s="21" t="n">
        <v>850</v>
      </c>
    </row>
    <row r="857">
      <c r="A857" s="9" t="inlineStr">
        <is>
          <t>CYNTHIA</t>
        </is>
      </c>
      <c r="B857" s="9" t="inlineStr">
        <is>
          <t>CYNTHIA 25/10/2025</t>
        </is>
      </c>
      <c r="C857" s="9" t="inlineStr">
        <is>
          <t>2025-10-25</t>
        </is>
      </c>
      <c r="D857" s="9" t="inlineStr">
        <is>
          <t>41889241805933</t>
        </is>
      </c>
      <c r="E857" s="9" t="inlineStr">
        <is>
          <t>ARRACADAS BV ZIRCONIAS ROSEGOLD</t>
        </is>
      </c>
      <c r="F857" s="9" t="inlineStr">
        <is>
          <t>Default Title</t>
        </is>
      </c>
      <c r="G857" s="9" t="n">
        <v>2</v>
      </c>
      <c r="H857" s="21" t="n">
        <v>14</v>
      </c>
      <c r="I857" s="21" t="n">
        <v>366.83</v>
      </c>
      <c r="J857" s="21" t="n">
        <v>1100.48</v>
      </c>
      <c r="K857" s="21" t="n">
        <v>1283.89</v>
      </c>
      <c r="L857" s="21" t="n">
        <v>1467.3</v>
      </c>
      <c r="M857" s="21" t="n">
        <v>1019.33</v>
      </c>
    </row>
    <row r="858">
      <c r="A858" s="9" t="inlineStr">
        <is>
          <t>CYNTHIA</t>
        </is>
      </c>
      <c r="B858" s="9" t="inlineStr">
        <is>
          <t>CYNTHIA 25/10/2025</t>
        </is>
      </c>
      <c r="C858" s="9" t="inlineStr">
        <is>
          <t>2025-10-25</t>
        </is>
      </c>
      <c r="D858" s="9" t="inlineStr">
        <is>
          <t>29603521001805</t>
        </is>
      </c>
      <c r="E858" s="9" t="inlineStr">
        <is>
          <t>ARRACADAS CD LOGO CON ZIRCONIAS</t>
        </is>
      </c>
      <c r="F858" s="9" t="inlineStr">
        <is>
          <t>Default Title</t>
        </is>
      </c>
      <c r="G858" s="9" t="n">
        <v>3</v>
      </c>
      <c r="H858" s="21" t="n">
        <v>8.800000000000001</v>
      </c>
      <c r="I858" s="21" t="n">
        <v>230.58</v>
      </c>
      <c r="J858" s="21" t="n">
        <v>691.73</v>
      </c>
      <c r="K858" s="21" t="n">
        <v>807.02</v>
      </c>
      <c r="L858" s="21" t="n">
        <v>922.3</v>
      </c>
      <c r="M858" s="21" t="n">
        <v>750</v>
      </c>
    </row>
    <row r="859">
      <c r="A859" s="9" t="inlineStr">
        <is>
          <t>CYNTHIA</t>
        </is>
      </c>
      <c r="B859" s="9" t="inlineStr">
        <is>
          <t>CYNTHIA 25/10/2025</t>
        </is>
      </c>
      <c r="C859" s="9" t="inlineStr">
        <is>
          <t>2025-10-25</t>
        </is>
      </c>
      <c r="D859" s="9" t="inlineStr">
        <is>
          <t>39252671787533</t>
        </is>
      </c>
      <c r="E859" s="9" t="inlineStr">
        <is>
          <t>ARRACADAS F GOLD</t>
        </is>
      </c>
      <c r="F859" s="9" t="inlineStr">
        <is>
          <t>Default Title</t>
        </is>
      </c>
      <c r="G859" s="9" t="n">
        <v>2</v>
      </c>
      <c r="H859" s="21" t="n">
        <v>9.800000000000001</v>
      </c>
      <c r="I859" s="21" t="n">
        <v>256.78</v>
      </c>
      <c r="J859" s="21" t="n">
        <v>770.33</v>
      </c>
      <c r="K859" s="21" t="n">
        <v>898.72</v>
      </c>
      <c r="L859" s="21" t="n">
        <v>1027.11</v>
      </c>
      <c r="M859" s="21" t="n">
        <v>910</v>
      </c>
    </row>
    <row r="860">
      <c r="A860" s="9" t="inlineStr">
        <is>
          <t>CYNTHIA</t>
        </is>
      </c>
      <c r="B860" s="9" t="inlineStr">
        <is>
          <t>CYNTHIA 25/10/2025</t>
        </is>
      </c>
      <c r="C860" s="9" t="inlineStr">
        <is>
          <t>2025-10-25</t>
        </is>
      </c>
      <c r="D860" s="9" t="inlineStr">
        <is>
          <t>42101481043501</t>
        </is>
      </c>
      <c r="E860" s="9" t="inlineStr">
        <is>
          <t>BOLSA CC Nº25</t>
        </is>
      </c>
      <c r="F860" s="9" t="inlineStr">
        <is>
          <t>HIGH QUALITY</t>
        </is>
      </c>
      <c r="G860" s="9" t="n">
        <v>7</v>
      </c>
      <c r="H860" s="21" t="n">
        <v>66</v>
      </c>
      <c r="I860" s="21" t="n">
        <v>1729.32</v>
      </c>
      <c r="J860" s="21" t="n">
        <v>5187.96</v>
      </c>
      <c r="K860" s="21" t="n">
        <v>6052.62</v>
      </c>
      <c r="L860" s="21" t="n">
        <v>6917.28</v>
      </c>
      <c r="M860" s="21" t="n">
        <v>5499</v>
      </c>
    </row>
    <row r="861">
      <c r="A861" s="9" t="inlineStr">
        <is>
          <t>CYNTHIA</t>
        </is>
      </c>
      <c r="B861" s="9" t="inlineStr">
        <is>
          <t>CYNTHIA 25/10/2025</t>
        </is>
      </c>
      <c r="C861" s="9" t="inlineStr">
        <is>
          <t>2025-10-25</t>
        </is>
      </c>
      <c r="D861" s="9" t="inlineStr">
        <is>
          <t>98269341115213</t>
        </is>
      </c>
      <c r="E861" s="9" t="inlineStr">
        <is>
          <t>BOLSA CC Nº25 BURDEOS</t>
        </is>
      </c>
      <c r="F861" s="9" t="inlineStr">
        <is>
          <t>Default Title</t>
        </is>
      </c>
      <c r="G861" s="9" t="n">
        <v>3</v>
      </c>
      <c r="H861" s="21" t="n">
        <v>66</v>
      </c>
      <c r="I861" s="21" t="n">
        <v>1729.32</v>
      </c>
      <c r="J861" s="21" t="n">
        <v>5187.96</v>
      </c>
      <c r="K861" s="21" t="n">
        <v>6052.62</v>
      </c>
      <c r="L861" s="21" t="n">
        <v>6917.28</v>
      </c>
      <c r="M861" s="21" t="n">
        <v>6999.6</v>
      </c>
    </row>
    <row r="862">
      <c r="A862" s="9" t="inlineStr">
        <is>
          <t>CYNTHIA</t>
        </is>
      </c>
      <c r="B862" s="9" t="inlineStr">
        <is>
          <t>CYNTHIA 25/10/2025</t>
        </is>
      </c>
      <c r="C862" s="9" t="inlineStr">
        <is>
          <t>2025-10-25</t>
        </is>
      </c>
      <c r="D862" s="9" t="inlineStr">
        <is>
          <t>98269351492173</t>
        </is>
      </c>
      <c r="E862" s="9" t="inlineStr">
        <is>
          <t>BOLSO C CLAUDE BURDEOS</t>
        </is>
      </c>
      <c r="F862" s="9" t="inlineStr">
        <is>
          <t>Default Title</t>
        </is>
      </c>
      <c r="G862" s="9" t="n">
        <v>3</v>
      </c>
      <c r="H862" s="21" t="n">
        <v>49</v>
      </c>
      <c r="I862" s="21" t="n">
        <v>1283.89</v>
      </c>
      <c r="J862" s="21" t="n">
        <v>3851.67</v>
      </c>
      <c r="K862" s="21" t="n">
        <v>4493.61</v>
      </c>
      <c r="L862" s="21" t="n">
        <v>5135.56</v>
      </c>
      <c r="M862" s="21" t="n">
        <v>5200</v>
      </c>
    </row>
    <row r="863">
      <c r="A863" s="9" t="inlineStr">
        <is>
          <t>CYNTHIA</t>
        </is>
      </c>
      <c r="B863" s="9" t="inlineStr">
        <is>
          <t>CYNTHIA 25/10/2025</t>
        </is>
      </c>
      <c r="C863" s="9" t="inlineStr">
        <is>
          <t>2025-10-25</t>
        </is>
      </c>
      <c r="D863" s="9" t="inlineStr">
        <is>
          <t>81712809885196</t>
        </is>
      </c>
      <c r="E863" s="9" t="inlineStr">
        <is>
          <t>BOLSO C CLAUDE SILVER BLACK</t>
        </is>
      </c>
      <c r="F863" s="9" t="inlineStr">
        <is>
          <t>20.5cm de largo x 11.5cm de alto x 3.5cm de ancho</t>
        </is>
      </c>
      <c r="G863" s="9" t="n">
        <v>3</v>
      </c>
      <c r="H863" s="21" t="n">
        <v>48</v>
      </c>
      <c r="I863" s="21" t="n">
        <v>1257.69</v>
      </c>
      <c r="J863" s="21" t="n">
        <v>3773.06</v>
      </c>
      <c r="K863" s="21" t="n">
        <v>4401.91</v>
      </c>
      <c r="L863" s="21" t="n">
        <v>5030.75</v>
      </c>
      <c r="M863" s="21" t="n">
        <v>5095</v>
      </c>
    </row>
    <row r="864">
      <c r="A864" s="9" t="inlineStr">
        <is>
          <t>CYNTHIA</t>
        </is>
      </c>
      <c r="B864" s="9" t="inlineStr">
        <is>
          <t>CYNTHIA 25/10/2025</t>
        </is>
      </c>
      <c r="C864" s="9" t="inlineStr">
        <is>
          <t>2025-10-25</t>
        </is>
      </c>
      <c r="D864" s="9" t="inlineStr">
        <is>
          <t>654bdc4810167</t>
        </is>
      </c>
      <c r="E864" s="9" t="inlineStr">
        <is>
          <t>BOLSO CC BLACK SILVER</t>
        </is>
      </c>
      <c r="F864" s="9" t="inlineStr">
        <is>
          <t>16cm de alto x 25cm de largo x 7cm de ancho</t>
        </is>
      </c>
      <c r="G864" s="9" t="n">
        <v>4</v>
      </c>
      <c r="H864" s="21" t="n">
        <v>54</v>
      </c>
      <c r="I864" s="21" t="n">
        <v>1414.9</v>
      </c>
      <c r="J864" s="21" t="n">
        <v>4244.7</v>
      </c>
      <c r="K864" s="21" t="n">
        <v>4952.14</v>
      </c>
      <c r="L864" s="21" t="n">
        <v>5659.59</v>
      </c>
      <c r="M864" s="21" t="n">
        <v>5730</v>
      </c>
    </row>
    <row r="865">
      <c r="A865" s="9" t="inlineStr">
        <is>
          <t>CYNTHIA</t>
        </is>
      </c>
      <c r="B865" s="9" t="inlineStr">
        <is>
          <t>CYNTHIA 25/10/2025</t>
        </is>
      </c>
      <c r="C865" s="9" t="inlineStr">
        <is>
          <t>2025-10-25</t>
        </is>
      </c>
      <c r="D865" s="9" t="inlineStr">
        <is>
          <t>24469411472813</t>
        </is>
      </c>
      <c r="E865" s="9" t="inlineStr">
        <is>
          <t>BOLSO CC CLASIC BROWN</t>
        </is>
      </c>
      <c r="F865" s="9" t="inlineStr">
        <is>
          <t>Default Title</t>
        </is>
      </c>
      <c r="G865" s="9" t="n">
        <v>3</v>
      </c>
      <c r="H865" s="21" t="n">
        <v>54</v>
      </c>
      <c r="I865" s="21" t="n">
        <v>1414.9</v>
      </c>
      <c r="J865" s="21" t="n">
        <v>4244.7</v>
      </c>
      <c r="K865" s="21" t="n">
        <v>4952.14</v>
      </c>
      <c r="L865" s="21" t="n">
        <v>5659.59</v>
      </c>
      <c r="M865" s="21" t="n">
        <v>4499</v>
      </c>
    </row>
    <row r="866">
      <c r="A866" s="9" t="inlineStr">
        <is>
          <t>CYNTHIA</t>
        </is>
      </c>
      <c r="B866" s="9" t="inlineStr">
        <is>
          <t>CYNTHIA 25/10/2025</t>
        </is>
      </c>
      <c r="C866" s="9" t="inlineStr">
        <is>
          <t>2025-10-25</t>
        </is>
      </c>
      <c r="D866" s="9" t="inlineStr">
        <is>
          <t>24469411303885</t>
        </is>
      </c>
      <c r="E866" s="9" t="inlineStr">
        <is>
          <t>BOLSO CC CLASIC NUDE</t>
        </is>
      </c>
      <c r="F866" s="9" t="inlineStr">
        <is>
          <t>Default Title</t>
        </is>
      </c>
      <c r="G866" s="9" t="n">
        <v>3</v>
      </c>
      <c r="H866" s="21" t="n">
        <v>54</v>
      </c>
      <c r="I866" s="21" t="n">
        <v>1414.9</v>
      </c>
      <c r="J866" s="21" t="n">
        <v>4244.7</v>
      </c>
      <c r="K866" s="21" t="n">
        <v>4952.14</v>
      </c>
      <c r="L866" s="21" t="n">
        <v>5659.59</v>
      </c>
      <c r="M866" s="21" t="n">
        <v>4449</v>
      </c>
    </row>
    <row r="867">
      <c r="A867" s="9" t="inlineStr">
        <is>
          <t>CYNTHIA</t>
        </is>
      </c>
      <c r="B867" s="9" t="inlineStr">
        <is>
          <t>CYNTHIA 25/10/2025</t>
        </is>
      </c>
      <c r="C867" s="9" t="inlineStr">
        <is>
          <t>2025-10-25</t>
        </is>
      </c>
      <c r="D867" s="9" t="inlineStr">
        <is>
          <t>98269351344877</t>
        </is>
      </c>
      <c r="E867" s="9" t="inlineStr">
        <is>
          <t>BOLSO CC MINI KELLY BURDEOS</t>
        </is>
      </c>
      <c r="F867" s="9" t="inlineStr">
        <is>
          <t>Default Title</t>
        </is>
      </c>
      <c r="G867" s="9" t="n">
        <v>2</v>
      </c>
      <c r="H867" s="21" t="n">
        <v>53</v>
      </c>
      <c r="I867" s="21" t="n">
        <v>1388.7</v>
      </c>
      <c r="J867" s="21" t="n">
        <v>4166.09</v>
      </c>
      <c r="K867" s="21" t="n">
        <v>4860.44</v>
      </c>
      <c r="L867" s="21" t="n">
        <v>5554.79</v>
      </c>
      <c r="M867" s="21" t="n">
        <v>5629</v>
      </c>
    </row>
    <row r="868">
      <c r="A868" s="9" t="inlineStr">
        <is>
          <t>CYNTHIA</t>
        </is>
      </c>
      <c r="B868" s="9" t="inlineStr">
        <is>
          <t>CYNTHIA 25/10/2025</t>
        </is>
      </c>
      <c r="C868" s="9" t="inlineStr">
        <is>
          <t>2025-10-25</t>
        </is>
      </c>
      <c r="D868" s="9" t="inlineStr">
        <is>
          <t>62809482933772</t>
        </is>
      </c>
      <c r="E868" s="9" t="inlineStr">
        <is>
          <t>BOLSO CD MESSENGER SADDLE BLUE</t>
        </is>
      </c>
      <c r="F868" s="9" t="inlineStr">
        <is>
          <t>20cm de largo x 14cm de alto x 5cm de ancho</t>
        </is>
      </c>
      <c r="G868" s="9" t="n">
        <v>2</v>
      </c>
      <c r="H868" s="21" t="n">
        <v>50</v>
      </c>
      <c r="I868" s="21" t="n">
        <v>1310.09</v>
      </c>
      <c r="J868" s="21" t="n">
        <v>3930.27</v>
      </c>
      <c r="K868" s="21" t="n">
        <v>4585.32</v>
      </c>
      <c r="L868" s="21" t="n">
        <v>5240.36</v>
      </c>
      <c r="M868" s="21" t="n">
        <v>4099</v>
      </c>
    </row>
    <row r="869">
      <c r="A869" s="9" t="inlineStr">
        <is>
          <t>CYNTHIA</t>
        </is>
      </c>
      <c r="B869" s="9" t="inlineStr">
        <is>
          <t>CYNTHIA 25/10/2025</t>
        </is>
      </c>
      <c r="C869" s="9" t="inlineStr">
        <is>
          <t>2025-10-25</t>
        </is>
      </c>
      <c r="D869" s="9" t="inlineStr">
        <is>
          <t>6701d2613fe66</t>
        </is>
      </c>
      <c r="E869" s="9" t="inlineStr">
        <is>
          <t>BOLSO G DARK BLUE</t>
        </is>
      </c>
      <c r="F869" s="9" t="inlineStr">
        <is>
          <t>54cm de largo x 29.8cm de alto</t>
        </is>
      </c>
      <c r="G869" s="9" t="n">
        <v>5</v>
      </c>
      <c r="H869" s="21" t="n">
        <v>49</v>
      </c>
      <c r="I869" s="21" t="n">
        <v>1283.89</v>
      </c>
      <c r="J869" s="21" t="n">
        <v>3851.67</v>
      </c>
      <c r="K869" s="21" t="n">
        <v>4493.61</v>
      </c>
      <c r="L869" s="21" t="n">
        <v>5135.56</v>
      </c>
      <c r="M869" s="21" t="n">
        <v>3999</v>
      </c>
    </row>
    <row r="870">
      <c r="A870" s="9" t="inlineStr">
        <is>
          <t>CYNTHIA</t>
        </is>
      </c>
      <c r="B870" s="9" t="inlineStr">
        <is>
          <t>CYNTHIA 25/10/2025</t>
        </is>
      </c>
      <c r="C870" s="9" t="inlineStr">
        <is>
          <t>2025-10-25</t>
        </is>
      </c>
      <c r="D870" s="9" t="inlineStr">
        <is>
          <t>98269341208877</t>
        </is>
      </c>
      <c r="E870" s="9" t="inlineStr">
        <is>
          <t>BOLSO GC APHRODITE BROWN</t>
        </is>
      </c>
      <c r="F870" s="9" t="inlineStr">
        <is>
          <t>Default Title</t>
        </is>
      </c>
      <c r="G870" s="9" t="n">
        <v>2</v>
      </c>
      <c r="H870" s="21" t="n">
        <v>69</v>
      </c>
      <c r="I870" s="21" t="n">
        <v>1807.93</v>
      </c>
      <c r="J870" s="21" t="n">
        <v>5423.78</v>
      </c>
      <c r="K870" s="21" t="n">
        <v>6327.74</v>
      </c>
      <c r="L870" s="21" t="n">
        <v>7231.7</v>
      </c>
      <c r="M870" s="21" t="n">
        <v>6500</v>
      </c>
    </row>
    <row r="871">
      <c r="A871" s="9" t="inlineStr">
        <is>
          <t>CYNTHIA</t>
        </is>
      </c>
      <c r="B871" s="9" t="inlineStr">
        <is>
          <t>CYNTHIA 25/10/2025</t>
        </is>
      </c>
      <c r="C871" s="9" t="inlineStr">
        <is>
          <t>2025-10-25</t>
        </is>
      </c>
      <c r="D871" s="9" t="inlineStr">
        <is>
          <t>43728082064620</t>
        </is>
      </c>
      <c r="E871" s="9" t="inlineStr">
        <is>
          <t>BOLSO LW CHERRY</t>
        </is>
      </c>
      <c r="F871" s="9" t="inlineStr">
        <is>
          <t>28cmx20cm</t>
        </is>
      </c>
      <c r="G871" s="9" t="n">
        <v>4</v>
      </c>
      <c r="H871" s="21" t="n">
        <v>75</v>
      </c>
      <c r="I871" s="21" t="n">
        <v>1965.14</v>
      </c>
      <c r="J871" s="21" t="n">
        <v>5895.41</v>
      </c>
      <c r="K871" s="21" t="n">
        <v>6877.98</v>
      </c>
      <c r="L871" s="21" t="n">
        <v>7860.55</v>
      </c>
      <c r="M871" s="21" t="n">
        <v>6199</v>
      </c>
    </row>
    <row r="872">
      <c r="A872" s="9" t="inlineStr">
        <is>
          <t>CYNTHIA</t>
        </is>
      </c>
      <c r="B872" s="9" t="inlineStr">
        <is>
          <t>CYNTHIA 25/10/2025</t>
        </is>
      </c>
      <c r="C872" s="9" t="inlineStr">
        <is>
          <t>2025-10-25</t>
        </is>
      </c>
      <c r="D872" s="9" t="inlineStr">
        <is>
          <t>677c26b31023a</t>
        </is>
      </c>
      <c r="E872" s="9" t="inlineStr">
        <is>
          <t>BOLSO LW GREEN</t>
        </is>
      </c>
      <c r="F872" s="9" t="inlineStr">
        <is>
          <t>28cmx20cm</t>
        </is>
      </c>
      <c r="G872" s="9" t="n">
        <v>1</v>
      </c>
      <c r="H872" s="21" t="n">
        <v>75</v>
      </c>
      <c r="I872" s="21" t="n">
        <v>1965.14</v>
      </c>
      <c r="J872" s="21" t="n">
        <v>5895.41</v>
      </c>
      <c r="K872" s="21" t="n">
        <v>6877.98</v>
      </c>
      <c r="L872" s="21" t="n">
        <v>7860.55</v>
      </c>
      <c r="M872" s="21" t="n">
        <v>6350</v>
      </c>
    </row>
    <row r="873">
      <c r="A873" s="9" t="inlineStr">
        <is>
          <t>CYNTHIA</t>
        </is>
      </c>
      <c r="B873" s="9" t="inlineStr">
        <is>
          <t>CYNTHIA 25/10/2025</t>
        </is>
      </c>
      <c r="C873" s="9" t="inlineStr">
        <is>
          <t>2025-10-25</t>
        </is>
      </c>
      <c r="D873" s="9" t="inlineStr">
        <is>
          <t>24469411243981</t>
        </is>
      </c>
      <c r="E873" s="9" t="inlineStr">
        <is>
          <t>BOLSO MM AVENTURE BROWN</t>
        </is>
      </c>
      <c r="F873" s="9" t="inlineStr">
        <is>
          <t>Café</t>
        </is>
      </c>
      <c r="G873" s="9" t="n">
        <v>3</v>
      </c>
      <c r="H873" s="21" t="n">
        <v>69</v>
      </c>
      <c r="I873" s="21" t="n">
        <v>1807.93</v>
      </c>
      <c r="J873" s="21" t="n">
        <v>5423.78</v>
      </c>
      <c r="K873" s="21" t="n">
        <v>6327.74</v>
      </c>
      <c r="L873" s="21" t="n">
        <v>7231.7</v>
      </c>
      <c r="M873" s="21" t="n">
        <v>5750</v>
      </c>
    </row>
    <row r="874">
      <c r="A874" s="9" t="inlineStr">
        <is>
          <t>CYNTHIA</t>
        </is>
      </c>
      <c r="B874" s="9" t="inlineStr">
        <is>
          <t>CYNTHIA 25/10/2025</t>
        </is>
      </c>
      <c r="C874" s="9" t="inlineStr">
        <is>
          <t>2025-10-25</t>
        </is>
      </c>
      <c r="D874" s="9" t="inlineStr">
        <is>
          <t>35127151093997</t>
        </is>
      </c>
      <c r="E874" s="9" t="inlineStr">
        <is>
          <t>BOLSO PR HANDBAG BROWN</t>
        </is>
      </c>
      <c r="F874" s="9" t="inlineStr">
        <is>
          <t>MEDIUM</t>
        </is>
      </c>
      <c r="G874" s="9" t="n">
        <v>3</v>
      </c>
      <c r="H874" s="21" t="n">
        <v>48</v>
      </c>
      <c r="I874" s="21" t="n">
        <v>1257.69</v>
      </c>
      <c r="J874" s="21" t="n">
        <v>3773.06</v>
      </c>
      <c r="K874" s="21" t="n">
        <v>4401.91</v>
      </c>
      <c r="L874" s="21" t="n">
        <v>5030.75</v>
      </c>
      <c r="M874" s="21" t="n">
        <v>3999</v>
      </c>
    </row>
    <row r="875">
      <c r="A875" s="9" t="inlineStr">
        <is>
          <t>CYNTHIA</t>
        </is>
      </c>
      <c r="B875" s="9" t="inlineStr">
        <is>
          <t>CYNTHIA 25/10/2025</t>
        </is>
      </c>
      <c r="C875" s="9" t="inlineStr">
        <is>
          <t>2025-10-25</t>
        </is>
      </c>
      <c r="D875" s="9" t="inlineStr">
        <is>
          <t>58120951042445</t>
        </is>
      </c>
      <c r="E875" s="9" t="inlineStr">
        <is>
          <t>BOLSO SADDLE CD BLACK</t>
        </is>
      </c>
      <c r="F875" s="9" t="inlineStr">
        <is>
          <t>18cm de largo x 15cm de alto x 6cm de ancho</t>
        </is>
      </c>
      <c r="G875" s="9" t="n">
        <v>8</v>
      </c>
      <c r="H875" s="21" t="n">
        <v>57</v>
      </c>
      <c r="I875" s="21" t="n">
        <v>1493.5</v>
      </c>
      <c r="J875" s="21" t="n">
        <v>4480.51</v>
      </c>
      <c r="K875" s="21" t="n">
        <v>5227.26</v>
      </c>
      <c r="L875" s="21" t="n">
        <v>5974.02</v>
      </c>
      <c r="M875" s="21" t="n">
        <v>4800</v>
      </c>
    </row>
    <row r="876">
      <c r="A876" s="9" t="inlineStr">
        <is>
          <t>CYNTHIA</t>
        </is>
      </c>
      <c r="B876" s="9" t="inlineStr">
        <is>
          <t>CYNTHIA 25/10/2025</t>
        </is>
      </c>
      <c r="C876" s="9" t="inlineStr">
        <is>
          <t>2025-10-25</t>
        </is>
      </c>
      <c r="D876" s="9" t="inlineStr">
        <is>
          <t>43728071530988</t>
        </is>
      </c>
      <c r="E876" s="9" t="inlineStr">
        <is>
          <t>BOLSO YSL CHAROL BLACK</t>
        </is>
      </c>
      <c r="F876" s="9" t="inlineStr">
        <is>
          <t>24cmx15cm</t>
        </is>
      </c>
      <c r="G876" s="9" t="n">
        <v>3</v>
      </c>
      <c r="H876" s="21" t="n">
        <v>54</v>
      </c>
      <c r="I876" s="21" t="n">
        <v>1414.9</v>
      </c>
      <c r="J876" s="21" t="n">
        <v>4244.7</v>
      </c>
      <c r="K876" s="21" t="n">
        <v>4952.14</v>
      </c>
      <c r="L876" s="21" t="n">
        <v>5659.59</v>
      </c>
      <c r="M876" s="21" t="n">
        <v>4599</v>
      </c>
    </row>
    <row r="877">
      <c r="A877" s="9" t="inlineStr">
        <is>
          <t>CYNTHIA</t>
        </is>
      </c>
      <c r="B877" s="9" t="inlineStr">
        <is>
          <t>CYNTHIA 25/10/2025</t>
        </is>
      </c>
      <c r="C877" s="9" t="inlineStr">
        <is>
          <t>2025-10-25</t>
        </is>
      </c>
      <c r="D877" s="9" t="inlineStr">
        <is>
          <t>67572c78e34a0</t>
        </is>
      </c>
      <c r="E877" s="9" t="inlineStr">
        <is>
          <t>BOLSO YSL CHERRY CHAROL</t>
        </is>
      </c>
      <c r="F877" s="9" t="inlineStr">
        <is>
          <t>24.3cm de largo x 15cm de alto x 6cm de ancho</t>
        </is>
      </c>
      <c r="G877" s="9" t="n">
        <v>2</v>
      </c>
      <c r="H877" s="21" t="n">
        <v>54</v>
      </c>
      <c r="I877" s="21" t="n">
        <v>1414.9</v>
      </c>
      <c r="J877" s="21" t="n">
        <v>4244.7</v>
      </c>
      <c r="K877" s="21" t="n">
        <v>4952.14</v>
      </c>
      <c r="L877" s="21" t="n">
        <v>5659.59</v>
      </c>
      <c r="M877" s="21" t="n">
        <v>4599</v>
      </c>
    </row>
    <row r="878">
      <c r="A878" s="9" t="inlineStr">
        <is>
          <t>CYNTHIA</t>
        </is>
      </c>
      <c r="B878" s="9" t="inlineStr">
        <is>
          <t>CYNTHIA 25/10/2025</t>
        </is>
      </c>
      <c r="C878" s="9" t="inlineStr">
        <is>
          <t>2025-10-25</t>
        </is>
      </c>
      <c r="D878" s="9" t="inlineStr">
        <is>
          <t>24469411540045</t>
        </is>
      </c>
      <c r="E878" s="9" t="inlineStr">
        <is>
          <t>BOLSO ZV BLACK</t>
        </is>
      </c>
      <c r="F878" s="9" t="inlineStr">
        <is>
          <t>Default Title</t>
        </is>
      </c>
      <c r="G878" s="9" t="n">
        <v>3</v>
      </c>
      <c r="H878" s="21" t="n">
        <v>30</v>
      </c>
      <c r="I878" s="21" t="n">
        <v>786.05</v>
      </c>
      <c r="J878" s="21" t="n">
        <v>2358.16</v>
      </c>
      <c r="K878" s="21" t="n">
        <v>2751.19</v>
      </c>
      <c r="L878" s="21" t="n">
        <v>3144.22</v>
      </c>
      <c r="M878" s="21" t="n">
        <v>2499</v>
      </c>
    </row>
    <row r="879">
      <c r="A879" s="9" t="inlineStr">
        <is>
          <t>CYNTHIA</t>
        </is>
      </c>
      <c r="B879" s="9" t="inlineStr">
        <is>
          <t>CYNTHIA 25/10/2025</t>
        </is>
      </c>
      <c r="C879" s="9" t="inlineStr">
        <is>
          <t>2025-10-25</t>
        </is>
      </c>
      <c r="D879" s="9" t="inlineStr">
        <is>
          <t>39252671973293</t>
        </is>
      </c>
      <c r="E879" s="9" t="inlineStr">
        <is>
          <t>BRAZALETE BLOSSOM ROSEGOLD ZIRCONIA</t>
        </is>
      </c>
      <c r="F879" s="9" t="inlineStr">
        <is>
          <t>Default Title</t>
        </is>
      </c>
      <c r="G879" s="9" t="n">
        <v>2</v>
      </c>
      <c r="H879" s="21" t="n">
        <v>8.800000000000001</v>
      </c>
      <c r="I879" s="21" t="n">
        <v>230.58</v>
      </c>
      <c r="J879" s="21" t="n">
        <v>691.73</v>
      </c>
      <c r="K879" s="21" t="n">
        <v>807.02</v>
      </c>
      <c r="L879" s="21" t="n">
        <v>922.3</v>
      </c>
      <c r="M879" s="21" t="n">
        <v>750</v>
      </c>
    </row>
    <row r="880">
      <c r="A880" s="9" t="inlineStr">
        <is>
          <t>CYNTHIA</t>
        </is>
      </c>
      <c r="B880" s="9" t="inlineStr">
        <is>
          <t>CYNTHIA 25/10/2025</t>
        </is>
      </c>
      <c r="C880" s="9" t="inlineStr">
        <is>
          <t>2025-10-25</t>
        </is>
      </c>
      <c r="D880" s="9" t="inlineStr">
        <is>
          <t>41889241773165</t>
        </is>
      </c>
      <c r="E880" s="9" t="inlineStr">
        <is>
          <t>BRAZALETE CD GOLD-WHITE ZIRCONIAS</t>
        </is>
      </c>
      <c r="F880" s="9" t="inlineStr">
        <is>
          <t>ALL WHITE</t>
        </is>
      </c>
      <c r="G880" s="9" t="n">
        <v>2</v>
      </c>
      <c r="H880" s="21" t="n">
        <v>10.8</v>
      </c>
      <c r="I880" s="21" t="n">
        <v>282.98</v>
      </c>
      <c r="J880" s="21" t="n">
        <v>848.9400000000001</v>
      </c>
      <c r="K880" s="21" t="n">
        <v>990.4299999999999</v>
      </c>
      <c r="L880" s="21" t="n">
        <v>1131.92</v>
      </c>
      <c r="M880" s="21" t="n">
        <v>920</v>
      </c>
    </row>
    <row r="881">
      <c r="A881" s="9" t="inlineStr">
        <is>
          <t>CYNTHIA</t>
        </is>
      </c>
      <c r="B881" s="9" t="inlineStr">
        <is>
          <t>CYNTHIA 25/10/2025</t>
        </is>
      </c>
      <c r="C881" s="9" t="inlineStr">
        <is>
          <t>2025-10-25</t>
        </is>
      </c>
      <c r="D881" s="9" t="inlineStr">
        <is>
          <t>41889241578253</t>
        </is>
      </c>
      <c r="E881" s="9" t="inlineStr">
        <is>
          <t>BRAZALETE CD ZIRCONIAS GOLD-BLACK</t>
        </is>
      </c>
      <c r="F881" s="9" t="inlineStr">
        <is>
          <t>High quality</t>
        </is>
      </c>
      <c r="G881" s="9" t="n">
        <v>2</v>
      </c>
      <c r="H881" s="21" t="n">
        <v>10.8</v>
      </c>
      <c r="I881" s="21" t="n">
        <v>282.98</v>
      </c>
      <c r="J881" s="21" t="n">
        <v>848.9400000000001</v>
      </c>
      <c r="K881" s="21" t="n">
        <v>990.4299999999999</v>
      </c>
      <c r="L881" s="21" t="n">
        <v>1131.92</v>
      </c>
      <c r="M881" s="21" t="n">
        <v>920</v>
      </c>
    </row>
    <row r="882">
      <c r="A882" s="9" t="inlineStr">
        <is>
          <t>CYNTHIA</t>
        </is>
      </c>
      <c r="B882" s="9" t="inlineStr">
        <is>
          <t>CYNTHIA 25/10/2025</t>
        </is>
      </c>
      <c r="C882" s="9" t="inlineStr">
        <is>
          <t>2025-10-25</t>
        </is>
      </c>
      <c r="D882" s="9" t="inlineStr">
        <is>
          <t>41889241103149</t>
        </is>
      </c>
      <c r="E882" s="9" t="inlineStr">
        <is>
          <t>BRAZALETE T VICTORIA SILVER</t>
        </is>
      </c>
      <c r="F882" s="9" t="inlineStr">
        <is>
          <t>Default Title</t>
        </is>
      </c>
      <c r="G882" s="9" t="n">
        <v>2</v>
      </c>
      <c r="H882" s="21" t="n">
        <v>24.8</v>
      </c>
      <c r="I882" s="21" t="n">
        <v>649.8099999999999</v>
      </c>
      <c r="J882" s="21" t="n">
        <v>1949.42</v>
      </c>
      <c r="K882" s="21" t="n">
        <v>2274.32</v>
      </c>
      <c r="L882" s="21" t="n">
        <v>2599.22</v>
      </c>
      <c r="M882" s="21" t="n">
        <v>2065</v>
      </c>
    </row>
    <row r="883">
      <c r="A883" s="9" t="inlineStr">
        <is>
          <t>CYNTHIA</t>
        </is>
      </c>
      <c r="B883" s="9" t="inlineStr">
        <is>
          <t>CYNTHIA 25/10/2025</t>
        </is>
      </c>
      <c r="C883" s="9" t="inlineStr">
        <is>
          <t>2025-10-25</t>
        </is>
      </c>
      <c r="D883" s="9" t="inlineStr">
        <is>
          <t>41889241004845</t>
        </is>
      </c>
      <c r="E883" s="9" t="inlineStr">
        <is>
          <t>CHOKER KNOT ZIRCONIAS GOLD</t>
        </is>
      </c>
      <c r="F883" s="9" t="inlineStr">
        <is>
          <t>Default Title</t>
        </is>
      </c>
      <c r="G883" s="9" t="n">
        <v>2</v>
      </c>
      <c r="H883" s="21" t="n">
        <v>19.8</v>
      </c>
      <c r="I883" s="21" t="n">
        <v>518.8</v>
      </c>
      <c r="J883" s="21" t="n">
        <v>1556.39</v>
      </c>
      <c r="K883" s="21" t="n">
        <v>1815.79</v>
      </c>
      <c r="L883" s="21" t="n">
        <v>2075.18</v>
      </c>
      <c r="M883" s="21" t="n">
        <v>866</v>
      </c>
    </row>
    <row r="884">
      <c r="A884" s="9" t="inlineStr">
        <is>
          <t>CYNTHIA</t>
        </is>
      </c>
      <c r="B884" s="9" t="inlineStr">
        <is>
          <t>CYNTHIA 25/10/2025</t>
        </is>
      </c>
      <c r="C884" s="9" t="inlineStr">
        <is>
          <t>2025-10-25</t>
        </is>
      </c>
      <c r="D884" s="9" t="inlineStr">
        <is>
          <t>98269341086957</t>
        </is>
      </c>
      <c r="E884" s="9" t="inlineStr">
        <is>
          <t>CINTO C TRIOMPHE BROWN</t>
        </is>
      </c>
      <c r="F884" s="9" t="inlineStr">
        <is>
          <t>Default Title</t>
        </is>
      </c>
      <c r="G884" s="9" t="n">
        <v>5</v>
      </c>
      <c r="H884" s="21" t="n">
        <v>8</v>
      </c>
      <c r="I884" s="21" t="n">
        <v>209.61</v>
      </c>
      <c r="J884" s="21" t="n">
        <v>628.84</v>
      </c>
      <c r="K884" s="21" t="n">
        <v>733.65</v>
      </c>
      <c r="L884" s="21" t="n">
        <v>838.46</v>
      </c>
      <c r="M884" s="21" t="n">
        <v>999</v>
      </c>
    </row>
    <row r="885">
      <c r="A885" s="9" t="inlineStr">
        <is>
          <t>CYNTHIA</t>
        </is>
      </c>
      <c r="B885" s="9" t="inlineStr">
        <is>
          <t>CYNTHIA 25/10/2025</t>
        </is>
      </c>
      <c r="C885" s="9" t="inlineStr">
        <is>
          <t>2025-10-25</t>
        </is>
      </c>
      <c r="D885" s="9" t="inlineStr">
        <is>
          <t>648cc32b9ef2d</t>
        </is>
      </c>
      <c r="E885" s="9" t="inlineStr">
        <is>
          <t>COLLAR CC DORADO</t>
        </is>
      </c>
      <c r="F885" s="9" t="inlineStr">
        <is>
          <t>Largo de cadena 41.5 cm  Extensión 6 cm  Dije 1.5 cm</t>
        </is>
      </c>
      <c r="G885" s="9" t="n">
        <v>2</v>
      </c>
      <c r="H885" s="21" t="n">
        <v>2.25</v>
      </c>
      <c r="I885" s="21" t="n">
        <v>58.95</v>
      </c>
      <c r="J885" s="21" t="n">
        <v>176.86</v>
      </c>
      <c r="K885" s="21" t="n">
        <v>206.34</v>
      </c>
      <c r="L885" s="21" t="n">
        <v>235.82</v>
      </c>
      <c r="M885" s="21" t="n">
        <v>460</v>
      </c>
    </row>
    <row r="886">
      <c r="A886" s="9" t="inlineStr">
        <is>
          <t>CYNTHIA</t>
        </is>
      </c>
      <c r="B886" s="9" t="inlineStr">
        <is>
          <t>CYNTHIA 25/10/2025</t>
        </is>
      </c>
      <c r="C886" s="9" t="inlineStr">
        <is>
          <t>2025-10-25</t>
        </is>
      </c>
      <c r="D886" s="9" t="inlineStr">
        <is>
          <t>665bbd3eee796</t>
        </is>
      </c>
      <c r="E886" s="9" t="inlineStr">
        <is>
          <t>COLLAR CC SILVER</t>
        </is>
      </c>
      <c r="F886" s="9" t="inlineStr">
        <is>
          <t>49cm x 6cm de extensión</t>
        </is>
      </c>
      <c r="G886" s="9" t="n">
        <v>5</v>
      </c>
      <c r="H886" s="21" t="n">
        <v>2.25</v>
      </c>
      <c r="I886" s="21" t="n">
        <v>58.95</v>
      </c>
      <c r="J886" s="21" t="n">
        <v>176.86</v>
      </c>
      <c r="K886" s="21" t="n">
        <v>206.34</v>
      </c>
      <c r="L886" s="21" t="n">
        <v>235.82</v>
      </c>
      <c r="M886" s="21" t="n">
        <v>460</v>
      </c>
    </row>
    <row r="887">
      <c r="A887" s="9" t="inlineStr">
        <is>
          <t>CYNTHIA</t>
        </is>
      </c>
      <c r="B887" s="9" t="inlineStr">
        <is>
          <t>CYNTHIA 25/10/2025</t>
        </is>
      </c>
      <c r="C887" s="9" t="inlineStr">
        <is>
          <t>2025-10-25</t>
        </is>
      </c>
      <c r="D887" s="9" t="inlineStr">
        <is>
          <t>34876761034381</t>
        </is>
      </c>
      <c r="E887" s="9" t="inlineStr">
        <is>
          <t>COLLAR DE CUENTAS BLUE T</t>
        </is>
      </c>
      <c r="F887" s="9" t="inlineStr">
        <is>
          <t>Default Title</t>
        </is>
      </c>
      <c r="G887" s="9" t="n">
        <v>3</v>
      </c>
      <c r="H887" s="21" t="n">
        <v>9.800000000000001</v>
      </c>
      <c r="I887" s="21" t="n">
        <v>256.78</v>
      </c>
      <c r="J887" s="21" t="n">
        <v>770.33</v>
      </c>
      <c r="K887" s="21" t="n">
        <v>898.72</v>
      </c>
      <c r="L887" s="21" t="n">
        <v>1027.11</v>
      </c>
      <c r="M887" s="21" t="n">
        <v>850</v>
      </c>
    </row>
    <row r="888">
      <c r="A888" s="9" t="inlineStr">
        <is>
          <t>CYNTHIA</t>
        </is>
      </c>
      <c r="B888" s="9" t="inlineStr">
        <is>
          <t>CYNTHIA 25/10/2025</t>
        </is>
      </c>
      <c r="C888" s="9" t="inlineStr">
        <is>
          <t>2025-10-25</t>
        </is>
      </c>
      <c r="D888" s="9" t="inlineStr">
        <is>
          <t>668eee3eadc59</t>
        </is>
      </c>
      <c r="E888" s="9" t="inlineStr">
        <is>
          <t>COLLAR DOBLE PLACA CORAZÓN ROSA-PLATA</t>
        </is>
      </c>
      <c r="F888" s="9" t="inlineStr">
        <is>
          <t>HIGH QUALITY</t>
        </is>
      </c>
      <c r="G888" s="9" t="n">
        <v>6</v>
      </c>
      <c r="H888" s="21" t="n">
        <v>11.6</v>
      </c>
      <c r="I888" s="21" t="n">
        <v>303.94</v>
      </c>
      <c r="J888" s="21" t="n">
        <v>911.8200000000001</v>
      </c>
      <c r="K888" s="21" t="n">
        <v>1063.79</v>
      </c>
      <c r="L888" s="21" t="n">
        <v>1215.76</v>
      </c>
      <c r="M888" s="21" t="n">
        <v>950</v>
      </c>
    </row>
    <row r="889">
      <c r="A889" s="9" t="inlineStr">
        <is>
          <t>CYNTHIA</t>
        </is>
      </c>
      <c r="B889" s="9" t="inlineStr">
        <is>
          <t>CYNTHIA 25/10/2025</t>
        </is>
      </c>
      <c r="C889" s="9" t="inlineStr">
        <is>
          <t>2025-10-25</t>
        </is>
      </c>
      <c r="D889" s="9" t="inlineStr">
        <is>
          <t>43047247904908</t>
        </is>
      </c>
      <c r="E889" s="9" t="inlineStr">
        <is>
          <t>COLLAR ESLABON DOBLE CADENA SILVER</t>
        </is>
      </c>
      <c r="F889" s="9" t="inlineStr">
        <is>
          <t>40cm</t>
        </is>
      </c>
      <c r="G889" s="9" t="n">
        <v>2</v>
      </c>
      <c r="H889" s="21" t="n">
        <v>9.800000000000001</v>
      </c>
      <c r="I889" s="21" t="n">
        <v>256.78</v>
      </c>
      <c r="J889" s="21" t="n">
        <v>770.33</v>
      </c>
      <c r="K889" s="21" t="n">
        <v>898.72</v>
      </c>
      <c r="L889" s="21" t="n">
        <v>1027.11</v>
      </c>
      <c r="M889" s="21" t="n">
        <v>850</v>
      </c>
    </row>
    <row r="890">
      <c r="A890" s="9" t="inlineStr">
        <is>
          <t>CYNTHIA</t>
        </is>
      </c>
      <c r="B890" s="9" t="inlineStr">
        <is>
          <t>CYNTHIA 25/10/2025</t>
        </is>
      </c>
      <c r="C890" s="9" t="inlineStr">
        <is>
          <t>2025-10-25</t>
        </is>
      </c>
      <c r="D890" s="9" t="inlineStr">
        <is>
          <t>43047208517772</t>
        </is>
      </c>
      <c r="E890" s="9" t="inlineStr">
        <is>
          <t>COLLAR ESLABÓN DOBLE CADENA ROSEGOLD</t>
        </is>
      </c>
      <c r="F890" s="9" t="inlineStr">
        <is>
          <t>47cm</t>
        </is>
      </c>
      <c r="G890" s="9" t="n">
        <v>4</v>
      </c>
      <c r="H890" s="21" t="n">
        <v>10.8</v>
      </c>
      <c r="I890" s="21" t="n">
        <v>282.98</v>
      </c>
      <c r="J890" s="21" t="n">
        <v>848.9400000000001</v>
      </c>
      <c r="K890" s="21" t="n">
        <v>990.4299999999999</v>
      </c>
      <c r="L890" s="21" t="n">
        <v>1131.92</v>
      </c>
      <c r="M890" s="21" t="n">
        <v>920</v>
      </c>
    </row>
    <row r="891">
      <c r="A891" s="9" t="inlineStr">
        <is>
          <t>CYNTHIA</t>
        </is>
      </c>
      <c r="B891" s="9" t="inlineStr">
        <is>
          <t>CYNTHIA 25/10/2025</t>
        </is>
      </c>
      <c r="C891" s="9" t="inlineStr">
        <is>
          <t>2025-10-25</t>
        </is>
      </c>
      <c r="D891" s="9" t="inlineStr">
        <is>
          <t>39252671833741</t>
        </is>
      </c>
      <c r="E891" s="9" t="inlineStr">
        <is>
          <t>COLLAR F GOLD</t>
        </is>
      </c>
      <c r="F891" s="9" t="inlineStr">
        <is>
          <t>Default Title</t>
        </is>
      </c>
      <c r="G891" s="9" t="n">
        <v>2</v>
      </c>
      <c r="H891" s="21" t="n">
        <v>7</v>
      </c>
      <c r="I891" s="21" t="n">
        <v>183.41</v>
      </c>
      <c r="J891" s="21" t="n">
        <v>550.24</v>
      </c>
      <c r="K891" s="21" t="n">
        <v>641.9400000000001</v>
      </c>
      <c r="L891" s="21" t="n">
        <v>733.65</v>
      </c>
      <c r="M891" s="21" t="n">
        <v>750</v>
      </c>
    </row>
    <row r="892">
      <c r="A892" s="9" t="inlineStr">
        <is>
          <t>CYNTHIA</t>
        </is>
      </c>
      <c r="B892" s="9" t="inlineStr">
        <is>
          <t>CYNTHIA 25/10/2025</t>
        </is>
      </c>
      <c r="C892" s="9" t="inlineStr">
        <is>
          <t>2025-10-25</t>
        </is>
      </c>
      <c r="D892" s="9" t="inlineStr">
        <is>
          <t>646f84bdcd369</t>
        </is>
      </c>
      <c r="E892" s="9" t="inlineStr">
        <is>
          <t>COLLAR SMILE CON ZIRCONIA SILVER</t>
        </is>
      </c>
      <c r="F892" s="9" t="inlineStr">
        <is>
          <t>42.5cm</t>
        </is>
      </c>
      <c r="G892" s="9" t="n">
        <v>5</v>
      </c>
      <c r="H892" s="21" t="n">
        <v>12.8</v>
      </c>
      <c r="I892" s="21" t="n">
        <v>335.38</v>
      </c>
      <c r="J892" s="21" t="n">
        <v>1006.15</v>
      </c>
      <c r="K892" s="21" t="n">
        <v>1173.84</v>
      </c>
      <c r="L892" s="21" t="n">
        <v>1341.53</v>
      </c>
      <c r="M892" s="21" t="n">
        <v>1099</v>
      </c>
    </row>
    <row r="893">
      <c r="A893" s="9" t="inlineStr">
        <is>
          <t>CYNTHIA</t>
        </is>
      </c>
      <c r="B893" s="9" t="inlineStr">
        <is>
          <t>CYNTHIA 25/10/2025</t>
        </is>
      </c>
      <c r="C893" s="9" t="inlineStr">
        <is>
          <t>2025-10-25</t>
        </is>
      </c>
      <c r="D893" s="9" t="inlineStr">
        <is>
          <t>87904131075277</t>
        </is>
      </c>
      <c r="E893" s="9" t="inlineStr">
        <is>
          <t>GORRA A BLACK</t>
        </is>
      </c>
      <c r="F893" s="9" t="inlineStr">
        <is>
          <t>Default Title</t>
        </is>
      </c>
      <c r="G893" s="9" t="n">
        <v>4</v>
      </c>
      <c r="H893" s="21" t="n">
        <v>7.8</v>
      </c>
      <c r="I893" s="21" t="n">
        <v>204.37</v>
      </c>
      <c r="J893" s="21" t="n">
        <v>613.12</v>
      </c>
      <c r="K893" s="21" t="n">
        <v>715.3099999999999</v>
      </c>
      <c r="L893" s="21" t="n">
        <v>817.5</v>
      </c>
      <c r="M893" s="21" t="n">
        <v>1069</v>
      </c>
    </row>
    <row r="894">
      <c r="A894" s="9" t="inlineStr">
        <is>
          <t>CYNTHIA</t>
        </is>
      </c>
      <c r="B894" s="9" t="inlineStr">
        <is>
          <t>CYNTHIA 25/10/2025</t>
        </is>
      </c>
      <c r="C894" s="9" t="inlineStr">
        <is>
          <t>2025-10-25</t>
        </is>
      </c>
      <c r="D894" s="9" t="inlineStr">
        <is>
          <t>39252671591341</t>
        </is>
      </c>
      <c r="E894" s="9" t="inlineStr">
        <is>
          <t>GORRA LULU WHITE</t>
        </is>
      </c>
      <c r="F894" s="9" t="inlineStr">
        <is>
          <t>Default Title</t>
        </is>
      </c>
      <c r="G894" s="9" t="n">
        <v>4</v>
      </c>
      <c r="H894" s="21" t="n">
        <v>10.8</v>
      </c>
      <c r="I894" s="21" t="n">
        <v>282.98</v>
      </c>
      <c r="J894" s="21" t="n">
        <v>848.9400000000001</v>
      </c>
      <c r="K894" s="21" t="n">
        <v>990.4299999999999</v>
      </c>
      <c r="L894" s="21" t="n">
        <v>1131.92</v>
      </c>
      <c r="M894" s="21" t="n">
        <v>898.67</v>
      </c>
    </row>
    <row r="895">
      <c r="A895" s="9" t="inlineStr">
        <is>
          <t>CYNTHIA</t>
        </is>
      </c>
      <c r="B895" s="9" t="inlineStr">
        <is>
          <t>CYNTHIA 25/10/2025</t>
        </is>
      </c>
      <c r="C895" s="9" t="inlineStr">
        <is>
          <t>2025-10-25</t>
        </is>
      </c>
      <c r="D895" s="9" t="inlineStr">
        <is>
          <t>664fc85ecbb14</t>
        </is>
      </c>
      <c r="E895" s="9" t="inlineStr">
        <is>
          <t>LENTES C BROWN</t>
        </is>
      </c>
      <c r="F895" s="9" t="inlineStr">
        <is>
          <t>Regular</t>
        </is>
      </c>
      <c r="G895" s="9" t="n">
        <v>3</v>
      </c>
      <c r="H895" s="21" t="n">
        <v>9.5</v>
      </c>
      <c r="I895" s="21" t="n">
        <v>248.92</v>
      </c>
      <c r="J895" s="21" t="n">
        <v>746.75</v>
      </c>
      <c r="K895" s="21" t="n">
        <v>871.21</v>
      </c>
      <c r="L895" s="21" t="n">
        <v>995.67</v>
      </c>
      <c r="M895" s="21" t="n">
        <v>1100</v>
      </c>
    </row>
    <row r="896">
      <c r="A896" s="9" t="inlineStr">
        <is>
          <t>CYNTHIA</t>
        </is>
      </c>
      <c r="B896" s="9" t="inlineStr">
        <is>
          <t>CYNTHIA 25/10/2025</t>
        </is>
      </c>
      <c r="C896" s="9" t="inlineStr">
        <is>
          <t>2025-10-25</t>
        </is>
      </c>
      <c r="D896" s="9" t="inlineStr">
        <is>
          <t>665818c705471</t>
        </is>
      </c>
      <c r="E896" s="9" t="inlineStr">
        <is>
          <t>LENTES C GREEN</t>
        </is>
      </c>
      <c r="F896" s="9" t="inlineStr">
        <is>
          <t>LOGO</t>
        </is>
      </c>
      <c r="G896" s="9" t="n">
        <v>3</v>
      </c>
      <c r="H896" s="21" t="n">
        <v>9.5</v>
      </c>
      <c r="I896" s="21" t="n">
        <v>248.92</v>
      </c>
      <c r="J896" s="21" t="n">
        <v>746.75</v>
      </c>
      <c r="K896" s="21" t="n">
        <v>871.21</v>
      </c>
      <c r="L896" s="21" t="n">
        <v>995.67</v>
      </c>
      <c r="M896" s="21" t="n">
        <v>2499</v>
      </c>
    </row>
    <row r="897">
      <c r="A897" s="9" t="inlineStr">
        <is>
          <t>CYNTHIA</t>
        </is>
      </c>
      <c r="B897" s="9" t="inlineStr">
        <is>
          <t>CYNTHIA 25/10/2025</t>
        </is>
      </c>
      <c r="C897" s="9" t="inlineStr">
        <is>
          <t>2025-10-25</t>
        </is>
      </c>
      <c r="D897" s="9" t="inlineStr">
        <is>
          <t>664fc858469b1</t>
        </is>
      </c>
      <c r="E897" s="9" t="inlineStr">
        <is>
          <t>LENTES C OVAL GREEN</t>
        </is>
      </c>
      <c r="F897" s="9" t="inlineStr">
        <is>
          <t>REGULAR</t>
        </is>
      </c>
      <c r="G897" s="9" t="n">
        <v>5</v>
      </c>
      <c r="H897" s="21" t="n">
        <v>29.5</v>
      </c>
      <c r="I897" s="21" t="n">
        <v>772.95</v>
      </c>
      <c r="J897" s="21" t="n">
        <v>2318.86</v>
      </c>
      <c r="K897" s="21" t="n">
        <v>2705.34</v>
      </c>
      <c r="L897" s="21" t="n">
        <v>3091.82</v>
      </c>
      <c r="M897" s="21" t="n">
        <v>2499</v>
      </c>
    </row>
    <row r="898">
      <c r="A898" s="9" t="inlineStr">
        <is>
          <t>CYNTHIA</t>
        </is>
      </c>
      <c r="B898" s="9" t="inlineStr">
        <is>
          <t>CYNTHIA 25/10/2025</t>
        </is>
      </c>
      <c r="C898" s="9" t="inlineStr">
        <is>
          <t>2025-10-25</t>
        </is>
      </c>
      <c r="D898" s="9" t="inlineStr">
        <is>
          <t>664fc854d5243</t>
        </is>
      </c>
      <c r="E898" s="9" t="inlineStr">
        <is>
          <t>LENTES C OVAL SILVER BLACK</t>
        </is>
      </c>
      <c r="F898" s="9" t="inlineStr">
        <is>
          <t>Default Title</t>
        </is>
      </c>
      <c r="G898" s="9" t="n">
        <v>4</v>
      </c>
      <c r="H898" s="21" t="n">
        <v>29.5</v>
      </c>
      <c r="I898" s="21" t="n">
        <v>772.95</v>
      </c>
      <c r="J898" s="21" t="n">
        <v>2318.86</v>
      </c>
      <c r="K898" s="21" t="n">
        <v>2705.34</v>
      </c>
      <c r="L898" s="21" t="n">
        <v>3091.82</v>
      </c>
      <c r="M898" s="21" t="n">
        <v>2499</v>
      </c>
    </row>
    <row r="899">
      <c r="A899" s="9" t="inlineStr">
        <is>
          <t>CYNTHIA</t>
        </is>
      </c>
      <c r="B899" s="9" t="inlineStr">
        <is>
          <t>CYNTHIA 25/10/2025</t>
        </is>
      </c>
      <c r="C899" s="9" t="inlineStr">
        <is>
          <t>2025-10-25</t>
        </is>
      </c>
      <c r="D899" s="9" t="inlineStr">
        <is>
          <t>90487929592844</t>
        </is>
      </c>
      <c r="E899" s="9" t="inlineStr">
        <is>
          <t>LENTES CD B23</t>
        </is>
      </c>
      <c r="F899" s="9" t="inlineStr">
        <is>
          <t>Default Title</t>
        </is>
      </c>
      <c r="G899" s="9" t="n">
        <v>1</v>
      </c>
      <c r="H899" s="21" t="n">
        <v>30</v>
      </c>
      <c r="I899" s="21" t="n">
        <v>786.05</v>
      </c>
      <c r="J899" s="21" t="n">
        <v>2358.16</v>
      </c>
      <c r="K899" s="21" t="n">
        <v>2751.19</v>
      </c>
      <c r="L899" s="21" t="n">
        <v>3144.22</v>
      </c>
      <c r="M899" s="21" t="n">
        <v>2500</v>
      </c>
    </row>
    <row r="900">
      <c r="A900" s="9" t="inlineStr">
        <is>
          <t>CYNTHIA</t>
        </is>
      </c>
      <c r="B900" s="9" t="inlineStr">
        <is>
          <t>CYNTHIA 25/10/2025</t>
        </is>
      </c>
      <c r="C900" s="9" t="inlineStr">
        <is>
          <t>2025-10-25</t>
        </is>
      </c>
      <c r="D900" s="9" t="inlineStr">
        <is>
          <t>39252671462093</t>
        </is>
      </c>
      <c r="E900" s="9" t="inlineStr">
        <is>
          <t>LENTES GC 1SN BLACK</t>
        </is>
      </c>
      <c r="F900" s="9" t="inlineStr">
        <is>
          <t>Default Title</t>
        </is>
      </c>
      <c r="G900" s="9" t="n">
        <v>3</v>
      </c>
      <c r="H900" s="21" t="n">
        <v>36</v>
      </c>
      <c r="I900" s="21" t="n">
        <v>943.27</v>
      </c>
      <c r="J900" s="21" t="n">
        <v>2829.8</v>
      </c>
      <c r="K900" s="21" t="n">
        <v>3301.43</v>
      </c>
      <c r="L900" s="21" t="n">
        <v>3773.06</v>
      </c>
      <c r="M900" s="21" t="n">
        <v>2461</v>
      </c>
    </row>
    <row r="901">
      <c r="A901" s="9" t="inlineStr">
        <is>
          <t>CYNTHIA</t>
        </is>
      </c>
      <c r="B901" s="9" t="inlineStr">
        <is>
          <t>CYNTHIA 25/10/2025</t>
        </is>
      </c>
      <c r="C901" s="9" t="inlineStr">
        <is>
          <t>2025-10-25</t>
        </is>
      </c>
      <c r="D901" s="9" t="inlineStr">
        <is>
          <t>43728084018412</t>
        </is>
      </c>
      <c r="E901" s="9" t="inlineStr">
        <is>
          <t>LENTES MM</t>
        </is>
      </c>
      <c r="F901" s="9" t="inlineStr">
        <is>
          <t>Negro</t>
        </is>
      </c>
      <c r="G901" s="9" t="n">
        <v>2</v>
      </c>
      <c r="H901" s="21" t="n">
        <v>39</v>
      </c>
      <c r="I901" s="21" t="n">
        <v>1021.87</v>
      </c>
      <c r="J901" s="21" t="n">
        <v>3065.61</v>
      </c>
      <c r="K901" s="21" t="n">
        <v>3576.55</v>
      </c>
      <c r="L901" s="21" t="n">
        <v>4087.48</v>
      </c>
      <c r="M901" s="21" t="n">
        <v>3300</v>
      </c>
    </row>
    <row r="902">
      <c r="A902" s="9" t="inlineStr">
        <is>
          <t>CYNTHIA</t>
        </is>
      </c>
      <c r="B902" s="9" t="inlineStr">
        <is>
          <t>CYNTHIA 25/10/2025</t>
        </is>
      </c>
      <c r="C902" s="9" t="inlineStr">
        <is>
          <t>2025-10-25</t>
        </is>
      </c>
      <c r="D902" s="9" t="inlineStr">
        <is>
          <t>11915820343339</t>
        </is>
      </c>
      <c r="E902" s="9" t="inlineStr">
        <is>
          <t>LENTES MM HAVANA</t>
        </is>
      </c>
      <c r="F902" s="9" t="inlineStr">
        <is>
          <t>Default Title</t>
        </is>
      </c>
      <c r="G902" s="9" t="n">
        <v>2</v>
      </c>
      <c r="H902" s="21" t="n">
        <v>27</v>
      </c>
      <c r="I902" s="21" t="n">
        <v>707.45</v>
      </c>
      <c r="J902" s="21" t="n">
        <v>2122.35</v>
      </c>
      <c r="K902" s="21" t="n">
        <v>2476.07</v>
      </c>
      <c r="L902" s="21" t="n">
        <v>2829.8</v>
      </c>
      <c r="M902" s="21" t="n">
        <v>2250</v>
      </c>
    </row>
    <row r="903">
      <c r="A903" s="9" t="inlineStr">
        <is>
          <t>CYNTHIA</t>
        </is>
      </c>
      <c r="B903" s="9" t="inlineStr">
        <is>
          <t>CYNTHIA 25/10/2025</t>
        </is>
      </c>
      <c r="C903" s="9" t="inlineStr">
        <is>
          <t>2025-10-25</t>
        </is>
      </c>
      <c r="D903" s="9" t="inlineStr">
        <is>
          <t>6701d26f13b86</t>
        </is>
      </c>
      <c r="E903" s="9" t="inlineStr">
        <is>
          <t>LENTES PR OVAL BLACK</t>
        </is>
      </c>
      <c r="F903" s="9" t="inlineStr">
        <is>
          <t>HIGH QUALITY</t>
        </is>
      </c>
      <c r="G903" s="9" t="n">
        <v>2</v>
      </c>
      <c r="H903" s="21" t="n">
        <v>28</v>
      </c>
      <c r="I903" s="21" t="n">
        <v>733.65</v>
      </c>
      <c r="J903" s="21" t="n">
        <v>2200.95</v>
      </c>
      <c r="K903" s="21" t="n">
        <v>2567.78</v>
      </c>
      <c r="L903" s="21" t="n">
        <v>2934.6</v>
      </c>
      <c r="M903" s="21" t="n">
        <v>2350</v>
      </c>
    </row>
    <row r="904">
      <c r="A904" s="9" t="inlineStr">
        <is>
          <t>CYNTHIA</t>
        </is>
      </c>
      <c r="B904" s="9" t="inlineStr">
        <is>
          <t>CYNTHIA 25/10/2025</t>
        </is>
      </c>
      <c r="C904" s="9" t="inlineStr">
        <is>
          <t>2025-10-25</t>
        </is>
      </c>
      <c r="D904" s="9" t="inlineStr">
        <is>
          <t>15711172766221</t>
        </is>
      </c>
      <c r="E904" s="9" t="inlineStr">
        <is>
          <t>PULSERA C GOLD</t>
        </is>
      </c>
      <c r="F904" s="9" t="inlineStr">
        <is>
          <t>Default Title</t>
        </is>
      </c>
      <c r="G904" s="9" t="n">
        <v>3</v>
      </c>
      <c r="H904" s="21" t="n">
        <v>8.800000000000001</v>
      </c>
      <c r="I904" s="21" t="n">
        <v>230.58</v>
      </c>
      <c r="J904" s="21" t="n">
        <v>691.73</v>
      </c>
      <c r="K904" s="21" t="n">
        <v>807.02</v>
      </c>
      <c r="L904" s="21" t="n">
        <v>922.3</v>
      </c>
      <c r="M904" s="21" t="n">
        <v>750</v>
      </c>
    </row>
    <row r="905">
      <c r="A905" s="9" t="inlineStr">
        <is>
          <t>CYNTHIA</t>
        </is>
      </c>
      <c r="B905" s="9" t="inlineStr">
        <is>
          <t>CYNTHIA 25/10/2025</t>
        </is>
      </c>
      <c r="C905" s="9" t="inlineStr">
        <is>
          <t>2025-10-25</t>
        </is>
      </c>
      <c r="D905" s="9" t="inlineStr">
        <is>
          <t>665bcd30f2870</t>
        </is>
      </c>
      <c r="E905" s="9" t="inlineStr">
        <is>
          <t>PULSERA DY ESCLAVA</t>
        </is>
      </c>
      <c r="F905" s="9" t="inlineStr">
        <is>
          <t>17cm</t>
        </is>
      </c>
      <c r="G905" s="9" t="n">
        <v>1</v>
      </c>
      <c r="H905" s="21" t="n">
        <v>13.3</v>
      </c>
      <c r="I905" s="21" t="n">
        <v>348.48</v>
      </c>
      <c r="J905" s="21" t="n">
        <v>1045.45</v>
      </c>
      <c r="K905" s="21" t="n">
        <v>1219.69</v>
      </c>
      <c r="L905" s="21" t="n">
        <v>1393.94</v>
      </c>
      <c r="M905" s="21" t="n">
        <v>1120</v>
      </c>
    </row>
    <row r="906">
      <c r="A906" s="9" t="inlineStr">
        <is>
          <t>CYNTHIA</t>
        </is>
      </c>
      <c r="B906" s="9" t="inlineStr">
        <is>
          <t>CYNTHIA 25/10/2025</t>
        </is>
      </c>
      <c r="C906" s="9" t="inlineStr">
        <is>
          <t>2025-10-25</t>
        </is>
      </c>
      <c r="D906" s="9" t="inlineStr">
        <is>
          <t>43047195607180</t>
        </is>
      </c>
      <c r="E906" s="9" t="inlineStr">
        <is>
          <t>PULSERA ESLABONES ROSE GOLD</t>
        </is>
      </c>
      <c r="F906" s="9" t="inlineStr">
        <is>
          <t>20.5cm</t>
        </is>
      </c>
      <c r="G906" s="9" t="n">
        <v>3</v>
      </c>
      <c r="H906" s="21" t="n">
        <v>15.8</v>
      </c>
      <c r="I906" s="21" t="n">
        <v>413.99</v>
      </c>
      <c r="J906" s="21" t="n">
        <v>1241.97</v>
      </c>
      <c r="K906" s="21" t="n">
        <v>1448.96</v>
      </c>
      <c r="L906" s="21" t="n">
        <v>1655.96</v>
      </c>
      <c r="M906" s="21" t="n">
        <v>1320</v>
      </c>
    </row>
    <row r="907">
      <c r="A907" s="9" t="inlineStr">
        <is>
          <t>CYNTHIA</t>
        </is>
      </c>
      <c r="B907" s="9" t="inlineStr">
        <is>
          <t>CYNTHIA 25/10/2025</t>
        </is>
      </c>
      <c r="C907" s="9" t="inlineStr">
        <is>
          <t>2025-10-25</t>
        </is>
      </c>
      <c r="D907" s="9" t="inlineStr">
        <is>
          <t>71036872883724</t>
        </is>
      </c>
      <c r="E907" s="9" t="inlineStr">
        <is>
          <t>PULSERA GC INTERLOCKING</t>
        </is>
      </c>
      <c r="F907" s="9" t="inlineStr">
        <is>
          <t>20cm</t>
        </is>
      </c>
      <c r="G907" s="9" t="n">
        <v>1</v>
      </c>
      <c r="H907" s="21" t="n">
        <v>12.8</v>
      </c>
      <c r="I907" s="21" t="n">
        <v>335.38</v>
      </c>
      <c r="J907" s="21" t="n">
        <v>1006.15</v>
      </c>
      <c r="K907" s="21" t="n">
        <v>1173.84</v>
      </c>
      <c r="L907" s="21" t="n">
        <v>1341.53</v>
      </c>
      <c r="M907" s="21" t="n">
        <v>1066</v>
      </c>
    </row>
    <row r="908">
      <c r="A908" s="9" t="inlineStr">
        <is>
          <t>CYNTHIA</t>
        </is>
      </c>
      <c r="B908" s="9" t="inlineStr">
        <is>
          <t>CYNTHIA 25/10/2025</t>
        </is>
      </c>
      <c r="C908" s="9" t="inlineStr">
        <is>
          <t>2025-10-25</t>
        </is>
      </c>
      <c r="D908" s="9" t="inlineStr">
        <is>
          <t>43047215333516</t>
        </is>
      </c>
      <c r="E908" s="9" t="inlineStr">
        <is>
          <t>PULSERA LOCK ROSEGOLD-SILVER</t>
        </is>
      </c>
      <c r="F908" s="9" t="inlineStr">
        <is>
          <t>17.5cm</t>
        </is>
      </c>
      <c r="G908" s="9" t="n">
        <v>1</v>
      </c>
      <c r="H908" s="21" t="n">
        <v>16.5</v>
      </c>
      <c r="I908" s="21" t="n">
        <v>432.33</v>
      </c>
      <c r="J908" s="21" t="n">
        <v>1296.99</v>
      </c>
      <c r="K908" s="21" t="n">
        <v>1513.16</v>
      </c>
      <c r="L908" s="21" t="n">
        <v>1729.32</v>
      </c>
      <c r="M908" s="21" t="n">
        <v>1375</v>
      </c>
    </row>
    <row r="909">
      <c r="A909" s="9" t="inlineStr">
        <is>
          <t>CYNTHIA</t>
        </is>
      </c>
      <c r="B909" s="9" t="inlineStr">
        <is>
          <t>CYNTHIA 25/10/2025</t>
        </is>
      </c>
      <c r="C909" s="9" t="inlineStr">
        <is>
          <t>2025-10-25</t>
        </is>
      </c>
      <c r="D909" s="9" t="inlineStr">
        <is>
          <t>43047212384396</t>
        </is>
      </c>
      <c r="E909" s="9" t="inlineStr">
        <is>
          <t>PULSERA LOCK SILVER</t>
        </is>
      </c>
      <c r="F909" s="9" t="inlineStr">
        <is>
          <t>17.5cm</t>
        </is>
      </c>
      <c r="G909" s="9" t="n">
        <v>2</v>
      </c>
      <c r="H909" s="21" t="n">
        <v>15.8</v>
      </c>
      <c r="I909" s="21" t="n">
        <v>413.99</v>
      </c>
      <c r="J909" s="21" t="n">
        <v>1241.97</v>
      </c>
      <c r="K909" s="21" t="n">
        <v>1448.96</v>
      </c>
      <c r="L909" s="21" t="n">
        <v>1655.96</v>
      </c>
      <c r="M909" s="21" t="n">
        <v>1350</v>
      </c>
    </row>
    <row r="910">
      <c r="A910" s="9" t="inlineStr">
        <is>
          <t>CYNTHIA</t>
        </is>
      </c>
      <c r="B910" s="9" t="inlineStr">
        <is>
          <t>CYNTHIA 25/10/2025</t>
        </is>
      </c>
      <c r="C910" s="9" t="inlineStr">
        <is>
          <t>2025-10-25</t>
        </is>
      </c>
      <c r="D910" s="9" t="inlineStr">
        <is>
          <t>8275735417996</t>
        </is>
      </c>
      <c r="E910" s="9" t="inlineStr">
        <is>
          <t>PULSERA LV BLOSSOM GOLD</t>
        </is>
      </c>
      <c r="F910" s="9" t="inlineStr">
        <is>
          <t>17cm</t>
        </is>
      </c>
      <c r="G910" s="9" t="n">
        <v>7</v>
      </c>
      <c r="H910" s="21" t="n">
        <v>12.8</v>
      </c>
      <c r="I910" s="21" t="n">
        <v>335.38</v>
      </c>
      <c r="J910" s="21" t="n">
        <v>1006.15</v>
      </c>
      <c r="K910" s="21" t="n">
        <v>1173.84</v>
      </c>
      <c r="L910" s="21" t="n">
        <v>1341.53</v>
      </c>
      <c r="M910" s="21" t="n">
        <v>1099</v>
      </c>
    </row>
    <row r="911">
      <c r="A911" s="9" t="inlineStr">
        <is>
          <t>CYNTHIA</t>
        </is>
      </c>
      <c r="B911" s="9" t="inlineStr">
        <is>
          <t>CYNTHIA 25/10/2025</t>
        </is>
      </c>
      <c r="C911" s="9" t="inlineStr">
        <is>
          <t>2025-10-25</t>
        </is>
      </c>
      <c r="D911" s="9" t="inlineStr">
        <is>
          <t>87045211023629</t>
        </is>
      </c>
      <c r="E911" s="9" t="inlineStr">
        <is>
          <t>PULSERA LV BLOSSOM TWIST GOLD</t>
        </is>
      </c>
      <c r="F911" s="9" t="inlineStr">
        <is>
          <t>Default Title</t>
        </is>
      </c>
      <c r="G911" s="9" t="n">
        <v>2</v>
      </c>
      <c r="H911" s="21" t="n">
        <v>8.800000000000001</v>
      </c>
      <c r="I911" s="21" t="n">
        <v>230.58</v>
      </c>
      <c r="J911" s="21" t="n">
        <v>691.73</v>
      </c>
      <c r="K911" s="21" t="n">
        <v>807.02</v>
      </c>
      <c r="L911" s="21" t="n">
        <v>922.3</v>
      </c>
      <c r="M911" s="21" t="n">
        <v>975</v>
      </c>
    </row>
    <row r="912">
      <c r="A912" s="9" t="inlineStr">
        <is>
          <t>CYNTHIA</t>
        </is>
      </c>
      <c r="B912" s="9" t="inlineStr">
        <is>
          <t>CYNTHIA 25/10/2025</t>
        </is>
      </c>
      <c r="C912" s="9" t="inlineStr">
        <is>
          <t>2025-10-25</t>
        </is>
      </c>
      <c r="D912" s="9" t="inlineStr">
        <is>
          <t>43047203897484</t>
        </is>
      </c>
      <c r="E912" s="9" t="inlineStr">
        <is>
          <t>PULSERA T ANGOSTA ROSE GOLD</t>
        </is>
      </c>
      <c r="F912" s="9" t="inlineStr">
        <is>
          <t>16cm</t>
        </is>
      </c>
      <c r="G912" s="9" t="n">
        <v>2</v>
      </c>
      <c r="H912" s="21" t="n">
        <v>14</v>
      </c>
      <c r="I912" s="21" t="n">
        <v>366.83</v>
      </c>
      <c r="J912" s="21" t="n">
        <v>1100.48</v>
      </c>
      <c r="K912" s="21" t="n">
        <v>1283.89</v>
      </c>
      <c r="L912" s="21" t="n">
        <v>1467.3</v>
      </c>
      <c r="M912" s="21" t="n">
        <v>1166</v>
      </c>
    </row>
    <row r="913">
      <c r="A913" s="9" t="inlineStr">
        <is>
          <t>CYNTHIA</t>
        </is>
      </c>
      <c r="B913" s="9" t="inlineStr">
        <is>
          <t>CYNTHIA 25/10/2025</t>
        </is>
      </c>
      <c r="C913" s="9" t="inlineStr">
        <is>
          <t>2025-10-25</t>
        </is>
      </c>
      <c r="D913" s="9" t="inlineStr">
        <is>
          <t>6478f2edc6631</t>
        </is>
      </c>
      <c r="E913" s="9" t="inlineStr">
        <is>
          <t>PULSERA V LISA GOLD</t>
        </is>
      </c>
      <c r="F913" s="9" t="inlineStr">
        <is>
          <t>16cm</t>
        </is>
      </c>
      <c r="G913" s="9" t="n">
        <v>5</v>
      </c>
      <c r="H913" s="21" t="n">
        <v>6.8</v>
      </c>
      <c r="I913" s="21" t="n">
        <v>178.17</v>
      </c>
      <c r="J913" s="21" t="n">
        <v>534.52</v>
      </c>
      <c r="K913" s="21" t="n">
        <v>623.6</v>
      </c>
      <c r="L913" s="21" t="n">
        <v>712.6900000000001</v>
      </c>
      <c r="M913" s="21" t="n">
        <v>750</v>
      </c>
    </row>
    <row r="914">
      <c r="A914" s="9" t="inlineStr">
        <is>
          <t>CYNTHIA</t>
        </is>
      </c>
      <c r="B914" s="9" t="inlineStr">
        <is>
          <t>CYNTHIA 25/10/2025</t>
        </is>
      </c>
      <c r="C914" s="9" t="inlineStr">
        <is>
          <t>2025-10-25</t>
        </is>
      </c>
      <c r="D914" s="9" t="inlineStr">
        <is>
          <t>6701d25e998f7</t>
        </is>
      </c>
      <c r="E914" s="9" t="inlineStr">
        <is>
          <t>SANDALIAS H BROWN</t>
        </is>
      </c>
      <c r="F914" s="9" t="inlineStr">
        <is>
          <t>40 (25cm)</t>
        </is>
      </c>
      <c r="G914" s="9" t="n">
        <v>1</v>
      </c>
      <c r="H914" s="21" t="n">
        <v>30</v>
      </c>
      <c r="I914" s="21" t="n">
        <v>786.05</v>
      </c>
      <c r="J914" s="21" t="n">
        <v>2358.16</v>
      </c>
      <c r="K914" s="21" t="n">
        <v>2751.19</v>
      </c>
      <c r="L914" s="21" t="n">
        <v>3144.22</v>
      </c>
      <c r="M914" s="21" t="n">
        <v>2699</v>
      </c>
    </row>
    <row r="915">
      <c r="A915" s="9" t="inlineStr">
        <is>
          <t>CYNTHIA</t>
        </is>
      </c>
      <c r="B915" s="9" t="inlineStr">
        <is>
          <t>CYNTHIA 25/10/2025</t>
        </is>
      </c>
      <c r="C915" s="9" t="inlineStr">
        <is>
          <t>2025-10-25</t>
        </is>
      </c>
      <c r="D915" s="9" t="inlineStr">
        <is>
          <t>43728084634892</t>
        </is>
      </c>
      <c r="E915" s="9" t="inlineStr">
        <is>
          <t>SUÉTER PR MILANO BLACK</t>
        </is>
      </c>
      <c r="F915" s="9" t="inlineStr">
        <is>
          <t>M</t>
        </is>
      </c>
      <c r="G915" s="9" t="n">
        <v>2</v>
      </c>
      <c r="H915" s="21" t="n">
        <v>22.8</v>
      </c>
      <c r="I915" s="21" t="n">
        <v>597.4</v>
      </c>
      <c r="J915" s="21" t="n">
        <v>1792.2</v>
      </c>
      <c r="K915" s="21" t="n">
        <v>2090.91</v>
      </c>
      <c r="L915" s="21" t="n">
        <v>2389.61</v>
      </c>
      <c r="M915" s="21" t="n">
        <v>2832</v>
      </c>
    </row>
    <row r="916">
      <c r="A916" s="9" t="inlineStr">
        <is>
          <t>CYNTHIA</t>
        </is>
      </c>
      <c r="B916" s="9" t="inlineStr">
        <is>
          <t>CYNTHIA 25/10/2025</t>
        </is>
      </c>
      <c r="C916" s="9" t="inlineStr">
        <is>
          <t>2025-10-25</t>
        </is>
      </c>
      <c r="D916" s="9" t="inlineStr">
        <is>
          <t>43728084634892</t>
        </is>
      </c>
      <c r="E916" s="9" t="inlineStr">
        <is>
          <t>SUÉTER PR MILANO BLACK</t>
        </is>
      </c>
      <c r="F916" s="9" t="inlineStr">
        <is>
          <t>M</t>
        </is>
      </c>
      <c r="G916" s="9" t="n">
        <v>2</v>
      </c>
      <c r="H916" s="21" t="n">
        <v>22.8</v>
      </c>
      <c r="I916" s="21" t="n">
        <v>597.4</v>
      </c>
      <c r="J916" s="21" t="n">
        <v>1792.2</v>
      </c>
      <c r="K916" s="21" t="n">
        <v>2090.91</v>
      </c>
      <c r="L916" s="21" t="n">
        <v>2389.61</v>
      </c>
      <c r="M916" s="21" t="n">
        <v>2832</v>
      </c>
    </row>
    <row r="917">
      <c r="A917" s="9" t="inlineStr">
        <is>
          <t>CYNTHIA</t>
        </is>
      </c>
      <c r="B917" s="9" t="inlineStr">
        <is>
          <t>CYNTHIA 25/10/2025</t>
        </is>
      </c>
      <c r="C917" s="9" t="inlineStr">
        <is>
          <t>2025-10-25</t>
        </is>
      </c>
      <c r="D917" s="9" t="inlineStr">
        <is>
          <t>66e2425fcbc7e</t>
        </is>
      </c>
      <c r="E917" s="9" t="inlineStr">
        <is>
          <t>TARJETERO G BLACK</t>
        </is>
      </c>
      <c r="F917" s="9" t="inlineStr">
        <is>
          <t>10.5cm de largo x 7.6cm de alto</t>
        </is>
      </c>
      <c r="G917" s="9" t="n">
        <v>2</v>
      </c>
      <c r="H917" s="21" t="n">
        <v>26</v>
      </c>
      <c r="I917" s="21" t="n">
        <v>681.25</v>
      </c>
      <c r="J917" s="21" t="n">
        <v>2043.74</v>
      </c>
      <c r="K917" s="21" t="n">
        <v>2384.37</v>
      </c>
      <c r="L917" s="21" t="n">
        <v>2724.99</v>
      </c>
      <c r="M917" s="21" t="n">
        <v>2199</v>
      </c>
    </row>
    <row r="918">
      <c r="A918" s="9" t="inlineStr">
        <is>
          <t>CYNTHIA</t>
        </is>
      </c>
      <c r="B918" s="9" t="inlineStr">
        <is>
          <t>CYNTHIA 25/10/2025</t>
        </is>
      </c>
      <c r="C918" s="9" t="inlineStr">
        <is>
          <t>2025-10-25</t>
        </is>
      </c>
      <c r="D918" s="9" t="inlineStr">
        <is>
          <t>58825512266892</t>
        </is>
      </c>
      <c r="E918" s="9" t="inlineStr">
        <is>
          <t>TARJETERO G BROWN</t>
        </is>
      </c>
      <c r="F918" s="9" t="inlineStr">
        <is>
          <t>10.5cm de largo x 7.6cm de alto</t>
        </is>
      </c>
      <c r="G918" s="9" t="n">
        <v>6</v>
      </c>
      <c r="H918" s="21" t="n">
        <v>25.3</v>
      </c>
      <c r="I918" s="21" t="n">
        <v>662.91</v>
      </c>
      <c r="J918" s="21" t="n">
        <v>1988.72</v>
      </c>
      <c r="K918" s="21" t="n">
        <v>2320.17</v>
      </c>
      <c r="L918" s="21" t="n">
        <v>2651.62</v>
      </c>
      <c r="M918" s="21" t="n">
        <v>1999</v>
      </c>
    </row>
    <row r="919">
      <c r="A919" s="9" t="inlineStr">
        <is>
          <t>CYNTHIA</t>
        </is>
      </c>
      <c r="B919" s="9" t="inlineStr">
        <is>
          <t>CYNTHIA 25/10/2025</t>
        </is>
      </c>
      <c r="C919" s="9" t="inlineStr">
        <is>
          <t>2025-10-25</t>
        </is>
      </c>
      <c r="D919" s="9" t="inlineStr">
        <is>
          <t>43728071397708</t>
        </is>
      </c>
      <c r="E919" s="9" t="inlineStr">
        <is>
          <t>TARJETERO YSL RED</t>
        </is>
      </c>
      <c r="F919" s="9" t="inlineStr">
        <is>
          <t>10.5cmx7.5cm</t>
        </is>
      </c>
      <c r="G919" s="9" t="n">
        <v>3</v>
      </c>
      <c r="H919" s="21" t="n">
        <v>20</v>
      </c>
      <c r="I919" s="21" t="n">
        <v>524.04</v>
      </c>
      <c r="J919" s="21" t="n">
        <v>1572.11</v>
      </c>
      <c r="K919" s="21" t="n">
        <v>1834.13</v>
      </c>
      <c r="L919" s="21" t="n">
        <v>2096.15</v>
      </c>
      <c r="M919" s="21" t="n">
        <v>1669</v>
      </c>
    </row>
    <row r="920">
      <c r="A920" s="9" t="inlineStr">
        <is>
          <t>CYNTHIA</t>
        </is>
      </c>
      <c r="B920" s="9" t="inlineStr">
        <is>
          <t>CYNTHIA 25/10/2025</t>
        </is>
      </c>
      <c r="C920" s="9" t="inlineStr">
        <is>
          <t>2025-10-25</t>
        </is>
      </c>
      <c r="D920" s="9" t="inlineStr">
        <is>
          <t>24469401092557</t>
        </is>
      </c>
      <c r="E920" s="9" t="inlineStr">
        <is>
          <t>UGG PANTUFLAS TAZZ II</t>
        </is>
      </c>
      <c r="F920" s="9" t="inlineStr">
        <is>
          <t>24CM</t>
        </is>
      </c>
      <c r="G920" s="9" t="n">
        <v>2</v>
      </c>
      <c r="H920" s="21" t="n">
        <v>32</v>
      </c>
      <c r="I920" s="21" t="n">
        <v>838.46</v>
      </c>
      <c r="J920" s="21" t="n">
        <v>2515.38</v>
      </c>
      <c r="K920" s="21" t="n">
        <v>2934.6</v>
      </c>
      <c r="L920" s="21" t="n">
        <v>3353.83</v>
      </c>
      <c r="M920" s="21" t="n">
        <v>3989.04</v>
      </c>
    </row>
    <row r="921">
      <c r="A921" s="9" t="inlineStr">
        <is>
          <t>ZOEY</t>
        </is>
      </c>
      <c r="B921" s="9" t="inlineStr">
        <is>
          <t>ZOEY 25/10/2025</t>
        </is>
      </c>
      <c r="C921" s="9" t="inlineStr">
        <is>
          <t>2025-10-25</t>
        </is>
      </c>
      <c r="D921" s="9" t="inlineStr">
        <is>
          <t>REYNA</t>
        </is>
      </c>
      <c r="E921" s="9" t="inlineStr"/>
      <c r="F921" s="9" t="inlineStr"/>
      <c r="G921" s="9" t="n">
        <v>1</v>
      </c>
      <c r="H921" s="21" t="n">
        <v>10</v>
      </c>
      <c r="I921" s="21" t="n">
        <v>248</v>
      </c>
      <c r="J921" s="21" t="n">
        <v>744</v>
      </c>
      <c r="K921" s="21" t="n">
        <v>868</v>
      </c>
      <c r="L921" s="21" t="n">
        <v>992</v>
      </c>
      <c r="M921" s="21" t="n"/>
    </row>
    <row r="922">
      <c r="A922" s="9" t="inlineStr">
        <is>
          <t>ZOEY</t>
        </is>
      </c>
      <c r="B922" s="9" t="inlineStr">
        <is>
          <t>ZOEY 25/10/2025</t>
        </is>
      </c>
      <c r="C922" s="9" t="inlineStr">
        <is>
          <t>2025-10-25</t>
        </is>
      </c>
      <c r="D922" s="9" t="inlineStr">
        <is>
          <t>REYNA</t>
        </is>
      </c>
      <c r="E922" s="9" t="inlineStr"/>
      <c r="F922" s="9" t="inlineStr">
        <is>
          <t>M</t>
        </is>
      </c>
      <c r="G922" s="9" t="n">
        <v>1</v>
      </c>
      <c r="H922" s="21" t="n">
        <v>25</v>
      </c>
      <c r="I922" s="21" t="n">
        <v>620</v>
      </c>
      <c r="J922" s="21" t="n">
        <v>1860.01</v>
      </c>
      <c r="K922" s="21" t="n">
        <v>2170.01</v>
      </c>
      <c r="L922" s="21" t="n">
        <v>2480.01</v>
      </c>
      <c r="M922" s="21" t="n"/>
    </row>
    <row r="923">
      <c r="A923" s="9" t="inlineStr">
        <is>
          <t>ZOEY</t>
        </is>
      </c>
      <c r="B923" s="9" t="inlineStr">
        <is>
          <t>ZOEY 25/10/2025</t>
        </is>
      </c>
      <c r="C923" s="9" t="inlineStr">
        <is>
          <t>2025-10-25</t>
        </is>
      </c>
      <c r="D923" s="9" t="inlineStr">
        <is>
          <t>93378831084685</t>
        </is>
      </c>
      <c r="E923" s="9" t="inlineStr">
        <is>
          <t>BALLERINAS CC BEIGE BLACK</t>
        </is>
      </c>
      <c r="F923" s="9" t="inlineStr">
        <is>
          <t>23CM</t>
        </is>
      </c>
      <c r="G923" s="9" t="n">
        <v>1</v>
      </c>
      <c r="H923" s="21" t="n">
        <v>55</v>
      </c>
      <c r="I923" s="21" t="n">
        <v>1364.01</v>
      </c>
      <c r="J923" s="21" t="n">
        <v>4092.02</v>
      </c>
      <c r="K923" s="21" t="n">
        <v>4774.02</v>
      </c>
      <c r="L923" s="21" t="n">
        <v>5456.02</v>
      </c>
      <c r="M923" s="21" t="n">
        <v>5840</v>
      </c>
    </row>
    <row r="924">
      <c r="A924" s="9" t="inlineStr">
        <is>
          <t>ZOEY</t>
        </is>
      </c>
      <c r="B924" s="9" t="inlineStr">
        <is>
          <t>ZOEY 25/10/2025</t>
        </is>
      </c>
      <c r="C924" s="9" t="inlineStr">
        <is>
          <t>2025-10-25</t>
        </is>
      </c>
      <c r="D924" s="9" t="inlineStr">
        <is>
          <t>93378841117453</t>
        </is>
      </c>
      <c r="E924" s="9" t="inlineStr">
        <is>
          <t>BALLERINAS CC BEIGE BLACK</t>
        </is>
      </c>
      <c r="F924" s="9" t="inlineStr">
        <is>
          <t>24CM</t>
        </is>
      </c>
      <c r="G924" s="9" t="n">
        <v>1</v>
      </c>
      <c r="H924" s="21" t="n">
        <v>55</v>
      </c>
      <c r="I924" s="21" t="n">
        <v>1364.01</v>
      </c>
      <c r="J924" s="21" t="n">
        <v>4092.02</v>
      </c>
      <c r="K924" s="21" t="n">
        <v>4774.02</v>
      </c>
      <c r="L924" s="21" t="n">
        <v>5456.02</v>
      </c>
      <c r="M924" s="21" t="n">
        <v>5200</v>
      </c>
    </row>
    <row r="925">
      <c r="A925" s="9" t="inlineStr">
        <is>
          <t>ZOEY</t>
        </is>
      </c>
      <c r="B925" s="9" t="inlineStr">
        <is>
          <t>ZOEY 25/10/2025</t>
        </is>
      </c>
      <c r="C925" s="9" t="inlineStr">
        <is>
          <t>2025-10-25</t>
        </is>
      </c>
      <c r="D925" s="9" t="inlineStr">
        <is>
          <t>3378841221933</t>
        </is>
      </c>
      <c r="E925" s="9" t="inlineStr">
        <is>
          <t>BALLERINAS LV BROWN CON INSIGNIAS</t>
        </is>
      </c>
      <c r="F925" s="9" t="inlineStr">
        <is>
          <t>24CM</t>
        </is>
      </c>
      <c r="G925" s="9" t="n">
        <v>1</v>
      </c>
      <c r="H925" s="21" t="n">
        <v>68</v>
      </c>
      <c r="I925" s="21" t="n">
        <v>1686.41</v>
      </c>
      <c r="J925" s="21" t="n">
        <v>5059.22</v>
      </c>
      <c r="K925" s="21" t="n">
        <v>5902.43</v>
      </c>
      <c r="L925" s="21" t="n">
        <v>6745.63</v>
      </c>
      <c r="M925" s="21" t="n"/>
    </row>
    <row r="926">
      <c r="A926" s="9" t="inlineStr">
        <is>
          <t>ZOEY</t>
        </is>
      </c>
      <c r="B926" s="9" t="inlineStr">
        <is>
          <t>ZOEY 25/10/2025</t>
        </is>
      </c>
      <c r="C926" s="9" t="inlineStr">
        <is>
          <t>2025-10-25</t>
        </is>
      </c>
      <c r="D926" s="9" t="inlineStr">
        <is>
          <t>93378841354701</t>
        </is>
      </c>
      <c r="E926" s="9" t="inlineStr">
        <is>
          <t>BALLERINAS LV BROWN CON INSIGNIAS</t>
        </is>
      </c>
      <c r="F926" s="9" t="inlineStr">
        <is>
          <t>25CM</t>
        </is>
      </c>
      <c r="G926" s="9" t="n">
        <v>1</v>
      </c>
      <c r="H926" s="21" t="n">
        <v>68</v>
      </c>
      <c r="I926" s="21" t="n">
        <v>1686.41</v>
      </c>
      <c r="J926" s="21" t="n">
        <v>5059.22</v>
      </c>
      <c r="K926" s="21" t="n">
        <v>5902.43</v>
      </c>
      <c r="L926" s="21" t="n">
        <v>6745.63</v>
      </c>
      <c r="M926" s="21" t="n">
        <v>5663</v>
      </c>
    </row>
    <row r="927">
      <c r="A927" s="9" t="inlineStr">
        <is>
          <t>ZOEY</t>
        </is>
      </c>
      <c r="B927" s="9" t="inlineStr">
        <is>
          <t>ZOEY 25/10/2025</t>
        </is>
      </c>
      <c r="C927" s="9" t="inlineStr">
        <is>
          <t>2025-10-25</t>
        </is>
      </c>
      <c r="D927" s="9" t="inlineStr">
        <is>
          <t>93378841495885</t>
        </is>
      </c>
      <c r="E927" s="9" t="inlineStr">
        <is>
          <t>BALLERINAS MM BLACK CON ZIRCONIAS</t>
        </is>
      </c>
      <c r="F927" s="9" t="inlineStr">
        <is>
          <t>24CM</t>
        </is>
      </c>
      <c r="G927" s="9" t="n">
        <v>1</v>
      </c>
      <c r="H927" s="21" t="n">
        <v>72</v>
      </c>
      <c r="I927" s="21" t="n">
        <v>1785.61</v>
      </c>
      <c r="J927" s="21" t="n">
        <v>5356.82</v>
      </c>
      <c r="K927" s="21" t="n">
        <v>6249.63</v>
      </c>
      <c r="L927" s="21" t="n">
        <v>7142.43</v>
      </c>
      <c r="M927" s="21" t="n">
        <v>5240</v>
      </c>
    </row>
    <row r="928">
      <c r="A928" s="9" t="inlineStr">
        <is>
          <t>ZOEY</t>
        </is>
      </c>
      <c r="B928" s="9" t="inlineStr">
        <is>
          <t>ZOEY 25/10/2025</t>
        </is>
      </c>
      <c r="C928" s="9" t="inlineStr">
        <is>
          <t>2025-10-25</t>
        </is>
      </c>
      <c r="D928" s="9" t="inlineStr">
        <is>
          <t>93378841508909</t>
        </is>
      </c>
      <c r="E928" s="9" t="inlineStr">
        <is>
          <t>BALLERINAS PR BLACK CON LOGO</t>
        </is>
      </c>
      <c r="F928" s="9" t="inlineStr">
        <is>
          <t>24CM</t>
        </is>
      </c>
      <c r="G928" s="9" t="n">
        <v>1</v>
      </c>
      <c r="H928" s="21" t="n">
        <v>58</v>
      </c>
      <c r="I928" s="21" t="n">
        <v>1438.41</v>
      </c>
      <c r="J928" s="21" t="n">
        <v>4315.22</v>
      </c>
      <c r="K928" s="21" t="n">
        <v>5034.42</v>
      </c>
      <c r="L928" s="21" t="n">
        <v>5753.63</v>
      </c>
      <c r="M928" s="21" t="n">
        <v>4899</v>
      </c>
    </row>
    <row r="929">
      <c r="A929" s="9" t="inlineStr">
        <is>
          <t>ZOEY</t>
        </is>
      </c>
      <c r="B929" s="9" t="inlineStr">
        <is>
          <t>ZOEY 25/10/2025</t>
        </is>
      </c>
      <c r="C929" s="9" t="inlineStr">
        <is>
          <t>2025-10-25</t>
        </is>
      </c>
      <c r="D929" s="9" t="inlineStr">
        <is>
          <t>93378841641677</t>
        </is>
      </c>
      <c r="E929" s="9" t="inlineStr">
        <is>
          <t>BALLERINAS PR BLACK CON LOGO</t>
        </is>
      </c>
      <c r="F929" s="9" t="inlineStr">
        <is>
          <t>25CM</t>
        </is>
      </c>
      <c r="G929" s="9" t="n">
        <v>1</v>
      </c>
      <c r="H929" s="21" t="n">
        <v>58</v>
      </c>
      <c r="I929" s="21" t="n">
        <v>1438.41</v>
      </c>
      <c r="J929" s="21" t="n">
        <v>4315.22</v>
      </c>
      <c r="K929" s="21" t="n">
        <v>5034.42</v>
      </c>
      <c r="L929" s="21" t="n">
        <v>5753.63</v>
      </c>
      <c r="M929" s="21" t="n">
        <v>4899</v>
      </c>
    </row>
    <row r="930">
      <c r="A930" s="9" t="inlineStr">
        <is>
          <t>ZOEY</t>
        </is>
      </c>
      <c r="B930" s="9" t="inlineStr">
        <is>
          <t>ZOEY 25/10/2025</t>
        </is>
      </c>
      <c r="C930" s="9" t="inlineStr">
        <is>
          <t>2025-10-25</t>
        </is>
      </c>
      <c r="D930" s="9" t="inlineStr">
        <is>
          <t>64e78f8c69235</t>
        </is>
      </c>
      <c r="E930" s="9" t="inlineStr">
        <is>
          <t>BOLSA GC WHITE</t>
        </is>
      </c>
      <c r="F930" s="9" t="inlineStr">
        <is>
          <t>22.5.cmx15cm</t>
        </is>
      </c>
      <c r="G930" s="9" t="n">
        <v>4</v>
      </c>
      <c r="H930" s="21" t="n">
        <v>56</v>
      </c>
      <c r="I930" s="21" t="n">
        <v>1388.81</v>
      </c>
      <c r="J930" s="21" t="n">
        <v>4166.42</v>
      </c>
      <c r="K930" s="21" t="n">
        <v>4860.82</v>
      </c>
      <c r="L930" s="21" t="n">
        <v>5555.22</v>
      </c>
      <c r="M930" s="21" t="n">
        <v>4699</v>
      </c>
    </row>
    <row r="931">
      <c r="A931" s="9" t="inlineStr">
        <is>
          <t>ZOEY</t>
        </is>
      </c>
      <c r="B931" s="9" t="inlineStr">
        <is>
          <t>ZOEY 25/10/2025</t>
        </is>
      </c>
      <c r="C931" s="9" t="inlineStr">
        <is>
          <t>2025-10-25</t>
        </is>
      </c>
      <c r="D931" s="9" t="inlineStr">
        <is>
          <t>94350549840780</t>
        </is>
      </c>
      <c r="E931" s="9" t="inlineStr">
        <is>
          <t>BOLSO A TIEDIE</t>
        </is>
      </c>
      <c r="F931" s="9" t="inlineStr">
        <is>
          <t>31cm de alto x 45.5cm de largo x 18cm de ancho</t>
        </is>
      </c>
      <c r="G931" s="9" t="n">
        <v>20</v>
      </c>
      <c r="H931" s="21" t="n">
        <v>10</v>
      </c>
      <c r="I931" s="21" t="n">
        <v>248</v>
      </c>
      <c r="J931" s="21" t="n">
        <v>744</v>
      </c>
      <c r="K931" s="21" t="n">
        <v>868</v>
      </c>
      <c r="L931" s="21" t="n">
        <v>992</v>
      </c>
      <c r="M931" s="21" t="n">
        <v>1069</v>
      </c>
    </row>
    <row r="932">
      <c r="A932" s="9" t="inlineStr">
        <is>
          <t>ZOEY</t>
        </is>
      </c>
      <c r="B932" s="9" t="inlineStr">
        <is>
          <t>ZOEY 25/10/2025</t>
        </is>
      </c>
      <c r="C932" s="9" t="inlineStr">
        <is>
          <t>2025-10-25</t>
        </is>
      </c>
      <c r="D932" s="9" t="inlineStr">
        <is>
          <t>66ec817c20ce6</t>
        </is>
      </c>
      <c r="E932" s="9" t="inlineStr">
        <is>
          <t>BOLSO B BLACK</t>
        </is>
      </c>
      <c r="F932" s="9" t="inlineStr">
        <is>
          <t>HIGH QUALITY 23cm de largo x 14.5cm de alto x 10cm de ancho</t>
        </is>
      </c>
      <c r="G932" s="9" t="n">
        <v>3</v>
      </c>
      <c r="H932" s="21" t="n">
        <v>45</v>
      </c>
      <c r="I932" s="21" t="n">
        <v>1116</v>
      </c>
      <c r="J932" s="21" t="n">
        <v>3348.01</v>
      </c>
      <c r="K932" s="21" t="n">
        <v>3906.02</v>
      </c>
      <c r="L932" s="21" t="n">
        <v>4464.02</v>
      </c>
      <c r="M932" s="21" t="n">
        <v>3799</v>
      </c>
    </row>
    <row r="933">
      <c r="A933" s="9" t="inlineStr">
        <is>
          <t>ZOEY</t>
        </is>
      </c>
      <c r="B933" s="9" t="inlineStr">
        <is>
          <t>ZOEY 25/10/2025</t>
        </is>
      </c>
      <c r="C933" s="9" t="inlineStr">
        <is>
          <t>2025-10-25</t>
        </is>
      </c>
      <c r="D933" s="9" t="inlineStr">
        <is>
          <t>17760786033676</t>
        </is>
      </c>
      <c r="E933" s="9" t="inlineStr">
        <is>
          <t>BOLSO CC 22 SILVER</t>
        </is>
      </c>
      <c r="F933" s="9" t="inlineStr">
        <is>
          <t>19cm de alto x 23.5cm de ancho</t>
        </is>
      </c>
      <c r="G933" s="9" t="n">
        <v>4</v>
      </c>
      <c r="H933" s="21" t="n">
        <v>50</v>
      </c>
      <c r="I933" s="21" t="n">
        <v>1240.01</v>
      </c>
      <c r="J933" s="21" t="n">
        <v>3720.02</v>
      </c>
      <c r="K933" s="21" t="n">
        <v>4340.02</v>
      </c>
      <c r="L933" s="21" t="n">
        <v>4960.02</v>
      </c>
      <c r="M933" s="21" t="n">
        <v>4190</v>
      </c>
    </row>
    <row r="934">
      <c r="A934" s="9" t="inlineStr">
        <is>
          <t>ZOEY</t>
        </is>
      </c>
      <c r="B934" s="9" t="inlineStr">
        <is>
          <t>ZOEY 25/10/2025</t>
        </is>
      </c>
      <c r="C934" s="9" t="inlineStr">
        <is>
          <t>2025-10-25</t>
        </is>
      </c>
      <c r="D934" s="9" t="inlineStr">
        <is>
          <t>17416232396428</t>
        </is>
      </c>
      <c r="E934" s="9" t="inlineStr">
        <is>
          <t>BOLSO CD TOTE</t>
        </is>
      </c>
      <c r="F934" s="9" t="inlineStr">
        <is>
          <t>36.5cm x 28cm x 10cm</t>
        </is>
      </c>
      <c r="G934" s="9" t="n">
        <v>6</v>
      </c>
      <c r="H934" s="21" t="n">
        <v>45</v>
      </c>
      <c r="I934" s="21" t="n">
        <v>1116</v>
      </c>
      <c r="J934" s="21" t="n">
        <v>3348.01</v>
      </c>
      <c r="K934" s="21" t="n">
        <v>3906.02</v>
      </c>
      <c r="L934" s="21" t="n">
        <v>4464.02</v>
      </c>
      <c r="M934" s="21" t="n">
        <v>3799</v>
      </c>
    </row>
    <row r="935">
      <c r="A935" s="9" t="inlineStr">
        <is>
          <t>ZOEY</t>
        </is>
      </c>
      <c r="B935" s="9" t="inlineStr">
        <is>
          <t>ZOEY 25/10/2025</t>
        </is>
      </c>
      <c r="C935" s="9" t="inlineStr">
        <is>
          <t>2025-10-25</t>
        </is>
      </c>
      <c r="D935" s="9" t="inlineStr">
        <is>
          <t>64e78f8a50e61</t>
        </is>
      </c>
      <c r="E935" s="9" t="inlineStr">
        <is>
          <t>BOLSO GC BLACK</t>
        </is>
      </c>
      <c r="F935" s="9" t="inlineStr">
        <is>
          <t>22.5.cmx15cm</t>
        </is>
      </c>
      <c r="G935" s="9" t="n">
        <v>5</v>
      </c>
      <c r="H935" s="21" t="n">
        <v>56</v>
      </c>
      <c r="I935" s="21" t="n">
        <v>1388.81</v>
      </c>
      <c r="J935" s="21" t="n">
        <v>4166.42</v>
      </c>
      <c r="K935" s="21" t="n">
        <v>4860.82</v>
      </c>
      <c r="L935" s="21" t="n">
        <v>5555.22</v>
      </c>
      <c r="M935" s="21" t="n">
        <v>4665</v>
      </c>
    </row>
    <row r="936">
      <c r="A936" s="9" t="inlineStr">
        <is>
          <t>ZOEY</t>
        </is>
      </c>
      <c r="B936" s="9" t="inlineStr">
        <is>
          <t>ZOEY 25/10/2025</t>
        </is>
      </c>
      <c r="C936" s="9" t="inlineStr">
        <is>
          <t>2025-10-25</t>
        </is>
      </c>
      <c r="D936" s="9" t="inlineStr">
        <is>
          <t>64e78f8d3897d</t>
        </is>
      </c>
      <c r="E936" s="9" t="inlineStr">
        <is>
          <t>BOLSO GC BROWN</t>
        </is>
      </c>
      <c r="F936" s="9" t="inlineStr">
        <is>
          <t>22.5.cmx15cm</t>
        </is>
      </c>
      <c r="G936" s="9" t="n">
        <v>4</v>
      </c>
      <c r="H936" s="21" t="n">
        <v>56</v>
      </c>
      <c r="I936" s="21" t="n">
        <v>1388.81</v>
      </c>
      <c r="J936" s="21" t="n">
        <v>4166.42</v>
      </c>
      <c r="K936" s="21" t="n">
        <v>4860.82</v>
      </c>
      <c r="L936" s="21" t="n">
        <v>5555.22</v>
      </c>
      <c r="M936" s="21" t="n">
        <v>4680</v>
      </c>
    </row>
    <row r="937">
      <c r="A937" s="9" t="inlineStr">
        <is>
          <t>ZOEY</t>
        </is>
      </c>
      <c r="B937" s="9" t="inlineStr">
        <is>
          <t>ZOEY 25/10/2025</t>
        </is>
      </c>
      <c r="C937" s="9" t="inlineStr">
        <is>
          <t>2025-10-25</t>
        </is>
      </c>
      <c r="D937" s="9" t="inlineStr">
        <is>
          <t>677c26af628d5</t>
        </is>
      </c>
      <c r="E937" s="9" t="inlineStr">
        <is>
          <t>BOLSO GC DIONYSUS CHERRY RED</t>
        </is>
      </c>
      <c r="F937" s="9" t="inlineStr">
        <is>
          <t>18cm de largo x 12cm de alto x 4cm de ancho</t>
        </is>
      </c>
      <c r="G937" s="9" t="n">
        <v>3</v>
      </c>
      <c r="H937" s="21" t="n">
        <v>52</v>
      </c>
      <c r="I937" s="21" t="n">
        <v>1289.61</v>
      </c>
      <c r="J937" s="21" t="n">
        <v>3868.82</v>
      </c>
      <c r="K937" s="21" t="n">
        <v>4513.62</v>
      </c>
      <c r="L937" s="21" t="n">
        <v>5158.42</v>
      </c>
      <c r="M937" s="21" t="n">
        <v>4699</v>
      </c>
    </row>
    <row r="938">
      <c r="A938" s="9" t="inlineStr">
        <is>
          <t>ZOEY</t>
        </is>
      </c>
      <c r="B938" s="9" t="inlineStr">
        <is>
          <t>ZOEY 25/10/2025</t>
        </is>
      </c>
      <c r="C938" s="9" t="inlineStr">
        <is>
          <t>2025-10-25</t>
        </is>
      </c>
      <c r="D938" s="9" t="inlineStr">
        <is>
          <t>6701d2474e1b0</t>
        </is>
      </c>
      <c r="E938" s="9" t="inlineStr">
        <is>
          <t>BOLSO GC MARMONT BLACK</t>
        </is>
      </c>
      <c r="F938" s="9" t="inlineStr">
        <is>
          <t>20cm de largo x 15cm de alto x 8cm de ancho</t>
        </is>
      </c>
      <c r="G938" s="9" t="n">
        <v>2</v>
      </c>
      <c r="H938" s="21" t="n">
        <v>48</v>
      </c>
      <c r="I938" s="21" t="n">
        <v>1190.41</v>
      </c>
      <c r="J938" s="21" t="n">
        <v>3571.22</v>
      </c>
      <c r="K938" s="21" t="n">
        <v>4166.42</v>
      </c>
      <c r="L938" s="21" t="n">
        <v>4761.62</v>
      </c>
      <c r="M938" s="21" t="n">
        <v>3995</v>
      </c>
    </row>
    <row r="939">
      <c r="A939" s="9" t="inlineStr">
        <is>
          <t>ZOEY</t>
        </is>
      </c>
      <c r="B939" s="9" t="inlineStr">
        <is>
          <t>ZOEY 25/10/2025</t>
        </is>
      </c>
      <c r="C939" s="9" t="inlineStr">
        <is>
          <t>2025-10-25</t>
        </is>
      </c>
      <c r="D939" s="9" t="inlineStr">
        <is>
          <t>654bdb24c007a</t>
        </is>
      </c>
      <c r="E939" s="9" t="inlineStr">
        <is>
          <t>BOLSO LADY D BLACK</t>
        </is>
      </c>
      <c r="F939" s="9" t="inlineStr">
        <is>
          <t>23.5cm de largo x 20.5cm largo x 12.5cm de ancho</t>
        </is>
      </c>
      <c r="G939" s="9" t="n">
        <v>2</v>
      </c>
      <c r="H939" s="21" t="n">
        <v>56</v>
      </c>
      <c r="I939" s="21" t="n">
        <v>1388.81</v>
      </c>
      <c r="J939" s="21" t="n">
        <v>4166.42</v>
      </c>
      <c r="K939" s="21" t="n">
        <v>4860.82</v>
      </c>
      <c r="L939" s="21" t="n">
        <v>5555.22</v>
      </c>
      <c r="M939" s="21" t="n">
        <v>4800</v>
      </c>
    </row>
    <row r="940">
      <c r="A940" s="9" t="inlineStr">
        <is>
          <t>ZOEY</t>
        </is>
      </c>
      <c r="B940" s="9" t="inlineStr">
        <is>
          <t>ZOEY 25/10/2025</t>
        </is>
      </c>
      <c r="C940" s="9" t="inlineStr">
        <is>
          <t>2025-10-25</t>
        </is>
      </c>
      <c r="D940" s="9" t="inlineStr">
        <is>
          <t>43124053803148</t>
        </is>
      </c>
      <c r="E940" s="9" t="inlineStr">
        <is>
          <t>BOLSO LADY D JOY BLACK</t>
        </is>
      </c>
      <c r="F940" s="9" t="inlineStr">
        <is>
          <t>25.5cm de largo x 14cm de alto x 6.8cm de ancho</t>
        </is>
      </c>
      <c r="G940" s="9" t="n">
        <v>2</v>
      </c>
      <c r="H940" s="21" t="n">
        <v>56</v>
      </c>
      <c r="I940" s="21" t="n">
        <v>1388.81</v>
      </c>
      <c r="J940" s="21" t="n">
        <v>4166.42</v>
      </c>
      <c r="K940" s="21" t="n">
        <v>4860.82</v>
      </c>
      <c r="L940" s="21" t="n">
        <v>5555.22</v>
      </c>
      <c r="M940" s="21" t="n">
        <v>4900</v>
      </c>
    </row>
    <row r="941">
      <c r="A941" s="9" t="inlineStr">
        <is>
          <t>ZOEY</t>
        </is>
      </c>
      <c r="B941" s="9" t="inlineStr">
        <is>
          <t>ZOEY 25/10/2025</t>
        </is>
      </c>
      <c r="C941" s="9" t="inlineStr">
        <is>
          <t>2025-10-25</t>
        </is>
      </c>
      <c r="D941" s="9" t="inlineStr">
        <is>
          <t>66581dfb2f7ce</t>
        </is>
      </c>
      <c r="E941" s="9" t="inlineStr">
        <is>
          <t>BOLSO LADY D NUDE</t>
        </is>
      </c>
      <c r="F941" s="9" t="inlineStr">
        <is>
          <t>17cm de largo x 20cm largo x 8cm de ancho</t>
        </is>
      </c>
      <c r="G941" s="9" t="n">
        <v>3</v>
      </c>
      <c r="H941" s="21" t="n">
        <v>56</v>
      </c>
      <c r="I941" s="21" t="n">
        <v>1388.81</v>
      </c>
      <c r="J941" s="21" t="n">
        <v>4166.42</v>
      </c>
      <c r="K941" s="21" t="n">
        <v>4860.82</v>
      </c>
      <c r="L941" s="21" t="n">
        <v>5555.22</v>
      </c>
      <c r="M941" s="21" t="n">
        <v>5940</v>
      </c>
    </row>
    <row r="942">
      <c r="A942" s="9" t="inlineStr">
        <is>
          <t>ZOEY</t>
        </is>
      </c>
      <c r="B942" s="9" t="inlineStr">
        <is>
          <t>ZOEY 25/10/2025</t>
        </is>
      </c>
      <c r="C942" s="9" t="inlineStr">
        <is>
          <t>2025-10-25</t>
        </is>
      </c>
      <c r="D942" s="9" t="inlineStr">
        <is>
          <t>43728086581452</t>
        </is>
      </c>
      <c r="E942" s="9" t="inlineStr">
        <is>
          <t>BOLSO LV LOCKIT BB</t>
        </is>
      </c>
      <c r="F942" s="9" t="inlineStr">
        <is>
          <t>19cm de largo x 19cm de alto x 7cm de ancho</t>
        </is>
      </c>
      <c r="G942" s="9" t="n">
        <v>4</v>
      </c>
      <c r="H942" s="21" t="n">
        <v>43</v>
      </c>
      <c r="I942" s="21" t="n">
        <v>1066.4</v>
      </c>
      <c r="J942" s="21" t="n">
        <v>3199.21</v>
      </c>
      <c r="K942" s="21" t="n">
        <v>3732.42</v>
      </c>
      <c r="L942" s="21" t="n">
        <v>4265.62</v>
      </c>
      <c r="M942" s="21" t="n">
        <v>3600</v>
      </c>
    </row>
    <row r="943">
      <c r="A943" s="9" t="inlineStr">
        <is>
          <t>ZOEY</t>
        </is>
      </c>
      <c r="B943" s="9" t="inlineStr">
        <is>
          <t>ZOEY 25/10/2025</t>
        </is>
      </c>
      <c r="C943" s="9" t="inlineStr">
        <is>
          <t>2025-10-25</t>
        </is>
      </c>
      <c r="D943" s="9" t="inlineStr">
        <is>
          <t>6701d1c8792fe</t>
        </is>
      </c>
      <c r="E943" s="9" t="inlineStr">
        <is>
          <t>BOLSO MM WANDER OFF WHITE</t>
        </is>
      </c>
      <c r="F943" s="9" t="inlineStr">
        <is>
          <t>20cm de alto x 25cm de largo x 8cm de ancho</t>
        </is>
      </c>
      <c r="G943" s="9" t="n">
        <v>3</v>
      </c>
      <c r="H943" s="21" t="n">
        <v>48</v>
      </c>
      <c r="I943" s="21" t="n">
        <v>1190.41</v>
      </c>
      <c r="J943" s="21" t="n">
        <v>3571.22</v>
      </c>
      <c r="K943" s="21" t="n">
        <v>4166.42</v>
      </c>
      <c r="L943" s="21" t="n">
        <v>4761.62</v>
      </c>
      <c r="M943" s="21" t="n">
        <v>3999</v>
      </c>
    </row>
    <row r="944">
      <c r="A944" s="9" t="inlineStr">
        <is>
          <t>ZOEY</t>
        </is>
      </c>
      <c r="B944" s="9" t="inlineStr">
        <is>
          <t>ZOEY 25/10/2025</t>
        </is>
      </c>
      <c r="C944" s="9" t="inlineStr">
        <is>
          <t>2025-10-25</t>
        </is>
      </c>
      <c r="D944" s="9" t="inlineStr">
        <is>
          <t>679bf19779a29</t>
        </is>
      </c>
      <c r="E944" s="9" t="inlineStr">
        <is>
          <t>CALCETIN A BLACK</t>
        </is>
      </c>
      <c r="F944" s="9" t="inlineStr">
        <is>
          <t>Default Title</t>
        </is>
      </c>
      <c r="G944" s="9" t="n">
        <v>3</v>
      </c>
      <c r="H944" s="21" t="n">
        <v>5</v>
      </c>
      <c r="I944" s="21" t="n">
        <v>124</v>
      </c>
      <c r="J944" s="21" t="n">
        <v>372</v>
      </c>
      <c r="K944" s="21" t="n">
        <v>434</v>
      </c>
      <c r="L944" s="21" t="n">
        <v>496</v>
      </c>
      <c r="M944" s="21" t="n">
        <v>455</v>
      </c>
    </row>
    <row r="945">
      <c r="A945" s="9" t="inlineStr">
        <is>
          <t>ZOEY</t>
        </is>
      </c>
      <c r="B945" s="9" t="inlineStr">
        <is>
          <t>ZOEY 25/10/2025</t>
        </is>
      </c>
      <c r="C945" s="9" t="inlineStr">
        <is>
          <t>2025-10-25</t>
        </is>
      </c>
      <c r="D945" s="9" t="inlineStr">
        <is>
          <t>679bf1982d8ea</t>
        </is>
      </c>
      <c r="E945" s="9" t="inlineStr">
        <is>
          <t>CALCETIN A WHITE</t>
        </is>
      </c>
      <c r="F945" s="9" t="inlineStr">
        <is>
          <t>Default Title</t>
        </is>
      </c>
      <c r="G945" s="9" t="n">
        <v>6</v>
      </c>
      <c r="H945" s="21" t="n">
        <v>5</v>
      </c>
      <c r="I945" s="21" t="n">
        <v>124</v>
      </c>
      <c r="J945" s="21" t="n">
        <v>372</v>
      </c>
      <c r="K945" s="21" t="n">
        <v>434</v>
      </c>
      <c r="L945" s="21" t="n">
        <v>496</v>
      </c>
      <c r="M945" s="21" t="n">
        <v>455</v>
      </c>
    </row>
    <row r="946">
      <c r="A946" s="9" t="inlineStr">
        <is>
          <t>ZOEY</t>
        </is>
      </c>
      <c r="B946" s="9" t="inlineStr">
        <is>
          <t>ZOEY 25/10/2025</t>
        </is>
      </c>
      <c r="C946" s="9" t="inlineStr">
        <is>
          <t>2025-10-25</t>
        </is>
      </c>
      <c r="D946" s="9" t="inlineStr">
        <is>
          <t>94758097365260</t>
        </is>
      </c>
      <c r="E946" s="9" t="inlineStr">
        <is>
          <t>CARTERA G SAINT-MARC GREY</t>
        </is>
      </c>
      <c r="F946" s="9" t="inlineStr">
        <is>
          <t>11cm x 8cm</t>
        </is>
      </c>
      <c r="G946" s="9" t="n">
        <v>15</v>
      </c>
      <c r="H946" s="21" t="n">
        <v>15</v>
      </c>
      <c r="I946" s="21" t="n">
        <v>372</v>
      </c>
      <c r="J946" s="21" t="n">
        <v>1116</v>
      </c>
      <c r="K946" s="21" t="n">
        <v>1302.01</v>
      </c>
      <c r="L946" s="21" t="n">
        <v>1488.01</v>
      </c>
      <c r="M946" s="21" t="n">
        <v>1599</v>
      </c>
    </row>
    <row r="947">
      <c r="A947" s="9" t="inlineStr">
        <is>
          <t>ZOEY</t>
        </is>
      </c>
      <c r="B947" s="9" t="inlineStr">
        <is>
          <t>ZOEY 25/10/2025</t>
        </is>
      </c>
      <c r="C947" s="9" t="inlineStr">
        <is>
          <t>2025-10-25</t>
        </is>
      </c>
      <c r="D947" s="9" t="inlineStr">
        <is>
          <t>43728085897228</t>
        </is>
      </c>
      <c r="E947" s="9" t="inlineStr">
        <is>
          <t>CARTERA GC OPHIDIA</t>
        </is>
      </c>
      <c r="F947" s="9" t="inlineStr">
        <is>
          <t>12cm de largo x 10cm de alto</t>
        </is>
      </c>
      <c r="G947" s="9" t="n">
        <v>1</v>
      </c>
      <c r="H947" s="21" t="n">
        <v>18</v>
      </c>
      <c r="I947" s="21" t="n">
        <v>446.4</v>
      </c>
      <c r="J947" s="21" t="n">
        <v>1339.21</v>
      </c>
      <c r="K947" s="21" t="n">
        <v>1562.41</v>
      </c>
      <c r="L947" s="21" t="n">
        <v>1785.61</v>
      </c>
      <c r="M947" s="21" t="n">
        <v>1500</v>
      </c>
    </row>
    <row r="948">
      <c r="A948" s="9" t="inlineStr">
        <is>
          <t>ZOEY</t>
        </is>
      </c>
      <c r="B948" s="9" t="inlineStr">
        <is>
          <t>ZOEY 25/10/2025</t>
        </is>
      </c>
      <c r="C948" s="9" t="inlineStr">
        <is>
          <t>2025-10-25</t>
        </is>
      </c>
      <c r="D948" s="9" t="inlineStr">
        <is>
          <t>79534521342989</t>
        </is>
      </c>
      <c r="E948" s="9" t="inlineStr">
        <is>
          <t>CHAMARRA MM BLACK</t>
        </is>
      </c>
      <c r="F948" s="9" t="inlineStr">
        <is>
          <t>M</t>
        </is>
      </c>
      <c r="G948" s="9" t="n">
        <v>2</v>
      </c>
      <c r="H948" s="21" t="n">
        <v>58</v>
      </c>
      <c r="I948" s="21" t="n">
        <v>1438.41</v>
      </c>
      <c r="J948" s="21" t="n">
        <v>4315.22</v>
      </c>
      <c r="K948" s="21" t="n">
        <v>5034.42</v>
      </c>
      <c r="L948" s="21" t="n">
        <v>5753.63</v>
      </c>
      <c r="M948" s="21" t="n">
        <v>4820.09</v>
      </c>
    </row>
    <row r="949">
      <c r="A949" s="9" t="inlineStr">
        <is>
          <t>ZOEY</t>
        </is>
      </c>
      <c r="B949" s="9" t="inlineStr">
        <is>
          <t>ZOEY 25/10/2025</t>
        </is>
      </c>
      <c r="C949" s="9" t="inlineStr">
        <is>
          <t>2025-10-25</t>
        </is>
      </c>
      <c r="D949" s="9" t="inlineStr">
        <is>
          <t>43986811051937</t>
        </is>
      </c>
      <c r="E949" s="9" t="inlineStr">
        <is>
          <t>COLLAR CORAZON GOLD</t>
        </is>
      </c>
      <c r="F949" s="9" t="inlineStr">
        <is>
          <t>Titanio 45cm / dije 1cm</t>
        </is>
      </c>
      <c r="G949" s="9" t="n">
        <v>4</v>
      </c>
      <c r="H949" s="21" t="n">
        <v>9</v>
      </c>
      <c r="I949" s="21" t="n">
        <v>223.2</v>
      </c>
      <c r="J949" s="21" t="n">
        <v>669.6</v>
      </c>
      <c r="K949" s="21" t="n">
        <v>781.2</v>
      </c>
      <c r="L949" s="21" t="n">
        <v>892.8</v>
      </c>
      <c r="M949" s="21" t="n"/>
    </row>
    <row r="950">
      <c r="A950" s="9" t="inlineStr">
        <is>
          <t>ZOEY</t>
        </is>
      </c>
      <c r="B950" s="9" t="inlineStr">
        <is>
          <t>ZOEY 25/10/2025</t>
        </is>
      </c>
      <c r="C950" s="9" t="inlineStr">
        <is>
          <t>2025-10-25</t>
        </is>
      </c>
      <c r="D950" s="9" t="inlineStr">
        <is>
          <t>3382853668492</t>
        </is>
      </c>
      <c r="E950" s="9" t="inlineStr">
        <is>
          <t>GORRA C BLACK</t>
        </is>
      </c>
      <c r="F950" s="9" t="inlineStr">
        <is>
          <t>M (AJUSTABLE)</t>
        </is>
      </c>
      <c r="G950" s="9" t="n">
        <v>8</v>
      </c>
      <c r="H950" s="21" t="n">
        <v>18</v>
      </c>
      <c r="I950" s="21" t="n">
        <v>446.4</v>
      </c>
      <c r="J950" s="21" t="n">
        <v>1339.21</v>
      </c>
      <c r="K950" s="21" t="n">
        <v>1562.41</v>
      </c>
      <c r="L950" s="21" t="n">
        <v>1785.61</v>
      </c>
      <c r="M950" s="21" t="n">
        <v>1510</v>
      </c>
    </row>
    <row r="951">
      <c r="A951" s="9" t="inlineStr">
        <is>
          <t>ZOEY</t>
        </is>
      </c>
      <c r="B951" s="9" t="inlineStr">
        <is>
          <t>ZOEY 25/10/2025</t>
        </is>
      </c>
      <c r="C951" s="9" t="inlineStr">
        <is>
          <t>2025-10-25</t>
        </is>
      </c>
      <c r="D951" s="9" t="inlineStr">
        <is>
          <t>98219285835148</t>
        </is>
      </c>
      <c r="E951" s="9" t="inlineStr">
        <is>
          <t>MINI BOLSO LV STEAMER</t>
        </is>
      </c>
      <c r="F951" s="9" t="inlineStr">
        <is>
          <t>17cm de largo x 10cm de alto x 7cm de ancho</t>
        </is>
      </c>
      <c r="G951" s="9" t="n">
        <v>3</v>
      </c>
      <c r="H951" s="21" t="n">
        <v>45</v>
      </c>
      <c r="I951" s="21" t="n">
        <v>1116</v>
      </c>
      <c r="J951" s="21" t="n">
        <v>3348.01</v>
      </c>
      <c r="K951" s="21" t="n">
        <v>3906.02</v>
      </c>
      <c r="L951" s="21" t="n">
        <v>4464.02</v>
      </c>
      <c r="M951" s="21" t="n">
        <v>3741</v>
      </c>
    </row>
    <row r="952">
      <c r="A952" s="9" t="inlineStr">
        <is>
          <t>ZOEY</t>
        </is>
      </c>
      <c r="B952" s="9" t="inlineStr">
        <is>
          <t>ZOEY 25/10/2025</t>
        </is>
      </c>
      <c r="C952" s="9" t="inlineStr">
        <is>
          <t>2025-10-25</t>
        </is>
      </c>
      <c r="D952" s="9" t="inlineStr">
        <is>
          <t>40495211029965</t>
        </is>
      </c>
      <c r="E952" s="9" t="inlineStr">
        <is>
          <t>PERFUME  BV LE GEMME TYGAR EAU DE PARFUM</t>
        </is>
      </c>
      <c r="F952" s="9" t="inlineStr">
        <is>
          <t>100ML</t>
        </is>
      </c>
      <c r="G952" s="9" t="n">
        <v>2</v>
      </c>
      <c r="H952" s="21" t="n">
        <v>18</v>
      </c>
      <c r="I952" s="21" t="n">
        <v>446.4</v>
      </c>
      <c r="J952" s="21" t="n">
        <v>1339.21</v>
      </c>
      <c r="K952" s="21" t="n">
        <v>1562.41</v>
      </c>
      <c r="L952" s="21" t="n">
        <v>1785.61</v>
      </c>
      <c r="M952" s="21" t="n">
        <v>1310.71</v>
      </c>
    </row>
    <row r="953">
      <c r="A953" s="9" t="inlineStr">
        <is>
          <t>ZOEY</t>
        </is>
      </c>
      <c r="B953" s="9" t="inlineStr">
        <is>
          <t>ZOEY 25/10/2025</t>
        </is>
      </c>
      <c r="C953" s="9" t="inlineStr">
        <is>
          <t>2025-10-25</t>
        </is>
      </c>
      <c r="D953" s="9" t="inlineStr">
        <is>
          <t>77763960600332</t>
        </is>
      </c>
      <c r="E953" s="9" t="inlineStr">
        <is>
          <t>PERFUME BACCARAT</t>
        </is>
      </c>
      <c r="F953" s="9" t="inlineStr">
        <is>
          <t>70ml</t>
        </is>
      </c>
      <c r="G953" s="9" t="n">
        <v>3</v>
      </c>
      <c r="H953" s="21" t="n">
        <v>18</v>
      </c>
      <c r="I953" s="21" t="n">
        <v>446.4</v>
      </c>
      <c r="J953" s="21" t="n">
        <v>1339.21</v>
      </c>
      <c r="K953" s="21" t="n">
        <v>1562.41</v>
      </c>
      <c r="L953" s="21" t="n">
        <v>1785.61</v>
      </c>
      <c r="M953" s="21" t="n">
        <v>1510</v>
      </c>
    </row>
    <row r="954">
      <c r="A954" s="9" t="inlineStr">
        <is>
          <t>ZOEY</t>
        </is>
      </c>
      <c r="B954" s="9" t="inlineStr">
        <is>
          <t>ZOEY 25/10/2025</t>
        </is>
      </c>
      <c r="C954" s="9" t="inlineStr">
        <is>
          <t>2025-10-25</t>
        </is>
      </c>
      <c r="D954" s="9" t="inlineStr">
        <is>
          <t>40495211154861</t>
        </is>
      </c>
      <c r="E954" s="9" t="inlineStr">
        <is>
          <t>PERFUME CREED AVENTUS EAU DE PARFUM</t>
        </is>
      </c>
      <c r="F954" s="9" t="inlineStr">
        <is>
          <t>100ML</t>
        </is>
      </c>
      <c r="G954" s="9" t="n">
        <v>2</v>
      </c>
      <c r="H954" s="21" t="n">
        <v>18</v>
      </c>
      <c r="I954" s="21" t="n">
        <v>446.4</v>
      </c>
      <c r="J954" s="21" t="n">
        <v>1339.21</v>
      </c>
      <c r="K954" s="21" t="n">
        <v>1562.41</v>
      </c>
      <c r="L954" s="21" t="n">
        <v>1785.61</v>
      </c>
      <c r="M954" s="21" t="n">
        <v>1499</v>
      </c>
    </row>
    <row r="955">
      <c r="A955" s="9" t="inlineStr">
        <is>
          <t>ZOEY</t>
        </is>
      </c>
      <c r="B955" s="9" t="inlineStr">
        <is>
          <t>ZOEY 25/10/2025</t>
        </is>
      </c>
      <c r="C955" s="9" t="inlineStr">
        <is>
          <t>2025-10-25</t>
        </is>
      </c>
      <c r="D955" s="9" t="inlineStr">
        <is>
          <t>15711173032365</t>
        </is>
      </c>
      <c r="E955" s="9" t="inlineStr">
        <is>
          <t>PERFUME DEVOTION, EAU DE PARFUM 100ML</t>
        </is>
      </c>
      <c r="F955" s="9" t="inlineStr">
        <is>
          <t>Default Title</t>
        </is>
      </c>
      <c r="G955" s="9" t="n">
        <v>2</v>
      </c>
      <c r="H955" s="21" t="n">
        <v>18</v>
      </c>
      <c r="I955" s="21" t="n">
        <v>446.4</v>
      </c>
      <c r="J955" s="21" t="n">
        <v>1339.21</v>
      </c>
      <c r="K955" s="21" t="n">
        <v>1562.41</v>
      </c>
      <c r="L955" s="21" t="n">
        <v>1785.61</v>
      </c>
      <c r="M955" s="21" t="n">
        <v>1499</v>
      </c>
    </row>
    <row r="956">
      <c r="A956" s="9" t="inlineStr">
        <is>
          <t>ZOEY</t>
        </is>
      </c>
      <c r="B956" s="9" t="inlineStr">
        <is>
          <t>ZOEY 25/10/2025</t>
        </is>
      </c>
      <c r="C956" s="9" t="inlineStr">
        <is>
          <t>2025-10-25</t>
        </is>
      </c>
      <c r="D956" s="9" t="inlineStr">
        <is>
          <t>15711173123085</t>
        </is>
      </c>
      <c r="E956" s="9" t="inlineStr">
        <is>
          <t>PERFUME LAYTON DE MARLY 125ML</t>
        </is>
      </c>
      <c r="F956" s="9" t="inlineStr">
        <is>
          <t>Default Title</t>
        </is>
      </c>
      <c r="G956" s="9" t="n">
        <v>2</v>
      </c>
      <c r="H956" s="21" t="n">
        <v>18</v>
      </c>
      <c r="I956" s="21" t="n">
        <v>446.4</v>
      </c>
      <c r="J956" s="21" t="n">
        <v>1339.21</v>
      </c>
      <c r="K956" s="21" t="n">
        <v>1562.41</v>
      </c>
      <c r="L956" s="21" t="n">
        <v>1785.61</v>
      </c>
      <c r="M956" s="21" t="n">
        <v>1499</v>
      </c>
    </row>
    <row r="957">
      <c r="A957" s="9" t="inlineStr">
        <is>
          <t>ZOEY</t>
        </is>
      </c>
      <c r="B957" s="9" t="inlineStr">
        <is>
          <t>ZOEY 25/10/2025</t>
        </is>
      </c>
      <c r="C957" s="9" t="inlineStr">
        <is>
          <t>2025-10-25</t>
        </is>
      </c>
      <c r="D957" s="9" t="inlineStr">
        <is>
          <t>77763961743628</t>
        </is>
      </c>
      <c r="E957" s="9" t="inlineStr">
        <is>
          <t>PERFUME SANTAL 33</t>
        </is>
      </c>
      <c r="F957" s="9" t="inlineStr">
        <is>
          <t>100ml</t>
        </is>
      </c>
      <c r="G957" s="9" t="n">
        <v>6</v>
      </c>
      <c r="H957" s="21" t="n">
        <v>18</v>
      </c>
      <c r="I957" s="21" t="n">
        <v>446.4</v>
      </c>
      <c r="J957" s="21" t="n">
        <v>1339.21</v>
      </c>
      <c r="K957" s="21" t="n">
        <v>1562.41</v>
      </c>
      <c r="L957" s="21" t="n">
        <v>1785.61</v>
      </c>
      <c r="M957" s="21" t="n">
        <v>1510</v>
      </c>
    </row>
    <row r="958">
      <c r="A958" s="9" t="inlineStr">
        <is>
          <t>ZOEY</t>
        </is>
      </c>
      <c r="B958" s="9" t="inlineStr">
        <is>
          <t>ZOEY 25/10/2025</t>
        </is>
      </c>
      <c r="C958" s="9" t="inlineStr">
        <is>
          <t>2025-10-25</t>
        </is>
      </c>
      <c r="D958" s="9" t="inlineStr">
        <is>
          <t>48321439631756</t>
        </is>
      </c>
      <c r="E958" s="9" t="inlineStr">
        <is>
          <t>PERFUME TF LOST CHERRY</t>
        </is>
      </c>
      <c r="F958" s="9" t="inlineStr">
        <is>
          <t>100ml</t>
        </is>
      </c>
      <c r="G958" s="9" t="n">
        <v>2</v>
      </c>
      <c r="H958" s="21" t="n">
        <v>18</v>
      </c>
      <c r="I958" s="21" t="n">
        <v>446.4</v>
      </c>
      <c r="J958" s="21" t="n">
        <v>1339.21</v>
      </c>
      <c r="K958" s="21" t="n">
        <v>1562.41</v>
      </c>
      <c r="L958" s="21" t="n">
        <v>1785.61</v>
      </c>
      <c r="M958" s="21" t="n">
        <v>1599</v>
      </c>
    </row>
    <row r="959">
      <c r="A959" s="9" t="inlineStr">
        <is>
          <t>ZOEY</t>
        </is>
      </c>
      <c r="B959" s="9" t="inlineStr">
        <is>
          <t>ZOEY 25/10/2025</t>
        </is>
      </c>
      <c r="C959" s="9" t="inlineStr">
        <is>
          <t>2025-10-25</t>
        </is>
      </c>
      <c r="D959" s="9" t="inlineStr">
        <is>
          <t>40495211254925</t>
        </is>
      </c>
      <c r="E959" s="9" t="inlineStr">
        <is>
          <t>PERFUME V BORN IN ROMA THE GOLD DONNA</t>
        </is>
      </c>
      <c r="F959" s="9" t="inlineStr">
        <is>
          <t>100ML</t>
        </is>
      </c>
      <c r="G959" s="9" t="n">
        <v>2</v>
      </c>
      <c r="H959" s="21" t="n">
        <v>18</v>
      </c>
      <c r="I959" s="21" t="n">
        <v>446.4</v>
      </c>
      <c r="J959" s="21" t="n">
        <v>1339.21</v>
      </c>
      <c r="K959" s="21" t="n">
        <v>1562.41</v>
      </c>
      <c r="L959" s="21" t="n">
        <v>1785.61</v>
      </c>
      <c r="M959" s="21" t="n">
        <v>1599</v>
      </c>
    </row>
    <row r="960">
      <c r="A960" s="9" t="inlineStr">
        <is>
          <t>ZOEY</t>
        </is>
      </c>
      <c r="B960" s="9" t="inlineStr">
        <is>
          <t>ZOEY 25/10/2025</t>
        </is>
      </c>
      <c r="C960" s="9" t="inlineStr">
        <is>
          <t>2025-10-25</t>
        </is>
      </c>
      <c r="D960" s="9" t="inlineStr">
        <is>
          <t>40495211372301</t>
        </is>
      </c>
      <c r="E960" s="9" t="inlineStr">
        <is>
          <t>PERFUME VC EROS EAU DE PARFUM</t>
        </is>
      </c>
      <c r="F960" s="9" t="inlineStr">
        <is>
          <t>100ML</t>
        </is>
      </c>
      <c r="G960" s="9" t="n">
        <v>2</v>
      </c>
      <c r="H960" s="21" t="n">
        <v>18</v>
      </c>
      <c r="I960" s="21" t="n">
        <v>446.4</v>
      </c>
      <c r="J960" s="21" t="n">
        <v>1339.21</v>
      </c>
      <c r="K960" s="21" t="n">
        <v>1562.41</v>
      </c>
      <c r="L960" s="21" t="n">
        <v>1785.61</v>
      </c>
      <c r="M960" s="21" t="n">
        <v>1050</v>
      </c>
    </row>
    <row r="961">
      <c r="A961" s="9" t="inlineStr">
        <is>
          <t>ZOEY</t>
        </is>
      </c>
      <c r="B961" s="9" t="inlineStr">
        <is>
          <t>ZOEY 25/10/2025</t>
        </is>
      </c>
      <c r="C961" s="9" t="inlineStr">
        <is>
          <t>2025-10-25</t>
        </is>
      </c>
      <c r="D961" s="9" t="inlineStr">
        <is>
          <t>10473111097537</t>
        </is>
      </c>
      <c r="E961" s="9" t="inlineStr">
        <is>
          <t>PULSERA DE CUENTAS ROSEGOLD</t>
        </is>
      </c>
      <c r="F961" s="9" t="inlineStr">
        <is>
          <t>17cm</t>
        </is>
      </c>
      <c r="G961" s="9" t="n">
        <v>8</v>
      </c>
      <c r="H961" s="21" t="n">
        <v>9</v>
      </c>
      <c r="I961" s="21" t="n">
        <v>223.2</v>
      </c>
      <c r="J961" s="21" t="n">
        <v>669.6</v>
      </c>
      <c r="K961" s="21" t="n">
        <v>781.2</v>
      </c>
      <c r="L961" s="21" t="n">
        <v>892.8</v>
      </c>
      <c r="M961" s="21" t="n">
        <v>750</v>
      </c>
    </row>
    <row r="962">
      <c r="A962" s="9" t="inlineStr">
        <is>
          <t>ZOEY</t>
        </is>
      </c>
      <c r="B962" s="9" t="inlineStr">
        <is>
          <t>ZOEY 25/10/2025</t>
        </is>
      </c>
      <c r="C962" s="9" t="inlineStr">
        <is>
          <t>2025-10-25</t>
        </is>
      </c>
      <c r="D962" s="9" t="inlineStr">
        <is>
          <t>679be1fa82b97</t>
        </is>
      </c>
      <c r="E962" s="9" t="inlineStr">
        <is>
          <t>RELOJ C SANTOS BLACK</t>
        </is>
      </c>
      <c r="F962" s="9" t="inlineStr">
        <is>
          <t>RELOJ SIN CAJA</t>
        </is>
      </c>
      <c r="G962" s="9" t="n">
        <v>3</v>
      </c>
      <c r="H962" s="21" t="n">
        <v>35</v>
      </c>
      <c r="I962" s="21" t="n">
        <v>868</v>
      </c>
      <c r="J962" s="21" t="n">
        <v>2604.01</v>
      </c>
      <c r="K962" s="21" t="n">
        <v>3038.01</v>
      </c>
      <c r="L962" s="21" t="n">
        <v>3472.02</v>
      </c>
      <c r="M962" s="21" t="n">
        <v>3899</v>
      </c>
    </row>
    <row r="963">
      <c r="A963" s="9" t="inlineStr">
        <is>
          <t>ZOEY</t>
        </is>
      </c>
      <c r="B963" s="9" t="inlineStr">
        <is>
          <t>ZOEY 25/10/2025</t>
        </is>
      </c>
      <c r="C963" s="9" t="inlineStr">
        <is>
          <t>2025-10-25</t>
        </is>
      </c>
      <c r="D963" s="9" t="inlineStr">
        <is>
          <t>67535d2d7860a-1</t>
        </is>
      </c>
      <c r="E963" s="9" t="inlineStr">
        <is>
          <t>RELOJ PANTHERE GOLD SILVER</t>
        </is>
      </c>
      <c r="F963" s="9" t="inlineStr">
        <is>
          <t>RELOJ SIN CAJA</t>
        </is>
      </c>
      <c r="G963" s="9" t="n">
        <v>12</v>
      </c>
      <c r="H963" s="21" t="n">
        <v>58</v>
      </c>
      <c r="I963" s="21" t="n">
        <v>1438.41</v>
      </c>
      <c r="J963" s="21" t="n">
        <v>4315.22</v>
      </c>
      <c r="K963" s="21" t="n">
        <v>5034.42</v>
      </c>
      <c r="L963" s="21" t="n">
        <v>5753.63</v>
      </c>
      <c r="M963" s="21" t="n">
        <v>5995.16</v>
      </c>
    </row>
    <row r="964">
      <c r="A964" s="9" t="inlineStr">
        <is>
          <t>ZOEY</t>
        </is>
      </c>
      <c r="B964" s="9" t="inlineStr">
        <is>
          <t>ZOEY 25/10/2025</t>
        </is>
      </c>
      <c r="C964" s="9" t="inlineStr">
        <is>
          <t>2025-10-25</t>
        </is>
      </c>
      <c r="D964" s="9" t="inlineStr">
        <is>
          <t>14156151055725</t>
        </is>
      </c>
      <c r="E964" s="9" t="inlineStr">
        <is>
          <t>RELOJ PANTHERE SILVER</t>
        </is>
      </c>
      <c r="F964" s="9" t="inlineStr">
        <is>
          <t>RELOJ SIN CAJA</t>
        </is>
      </c>
      <c r="G964" s="9" t="n">
        <v>2</v>
      </c>
      <c r="H964" s="21" t="n">
        <v>58</v>
      </c>
      <c r="I964" s="21" t="n">
        <v>1438.41</v>
      </c>
      <c r="J964" s="21" t="n">
        <v>4315.22</v>
      </c>
      <c r="K964" s="21" t="n">
        <v>5034.42</v>
      </c>
      <c r="L964" s="21" t="n">
        <v>5753.63</v>
      </c>
      <c r="M964" s="21" t="n">
        <v>4829</v>
      </c>
    </row>
    <row r="965">
      <c r="A965" s="9" t="inlineStr">
        <is>
          <t>ZOEY</t>
        </is>
      </c>
      <c r="B965" s="9" t="inlineStr">
        <is>
          <t>ZOEY 25/10/2025</t>
        </is>
      </c>
      <c r="C965" s="9" t="inlineStr">
        <is>
          <t>2025-10-25</t>
        </is>
      </c>
      <c r="D965" s="9" t="inlineStr">
        <is>
          <t>677c26b553b3f-1</t>
        </is>
      </c>
      <c r="E965" s="9" t="inlineStr">
        <is>
          <t>RELOJ RX OYSTER PERPETUAL BLACK</t>
        </is>
      </c>
      <c r="F965" s="9" t="inlineStr">
        <is>
          <t>RELOJ SIN CAJA</t>
        </is>
      </c>
      <c r="G965" s="9" t="n">
        <v>3</v>
      </c>
      <c r="H965" s="21" t="n">
        <v>42</v>
      </c>
      <c r="I965" s="21" t="n">
        <v>1041.6</v>
      </c>
      <c r="J965" s="21" t="n">
        <v>3124.81</v>
      </c>
      <c r="K965" s="21" t="n">
        <v>3645.62</v>
      </c>
      <c r="L965" s="21" t="n">
        <v>4166.42</v>
      </c>
      <c r="M965" s="21" t="n">
        <v>4120</v>
      </c>
    </row>
    <row r="966">
      <c r="A966" s="9" t="inlineStr">
        <is>
          <t>ZOEY</t>
        </is>
      </c>
      <c r="B966" s="9" t="inlineStr">
        <is>
          <t>ZOEY 25/10/2025</t>
        </is>
      </c>
      <c r="C966" s="9" t="inlineStr">
        <is>
          <t>2025-10-25</t>
        </is>
      </c>
      <c r="D966" s="9" t="inlineStr">
        <is>
          <t>47030519289356</t>
        </is>
      </c>
      <c r="E966" s="9" t="inlineStr">
        <is>
          <t>RELOJ RX OYSTER PERPETUAL GREEN</t>
        </is>
      </c>
      <c r="F966" s="9" t="inlineStr">
        <is>
          <t>RELOJ SIN CAJA</t>
        </is>
      </c>
      <c r="G966" s="9" t="n">
        <v>6</v>
      </c>
      <c r="H966" s="21" t="n">
        <v>42</v>
      </c>
      <c r="I966" s="21" t="n">
        <v>1041.6</v>
      </c>
      <c r="J966" s="21" t="n">
        <v>3124.81</v>
      </c>
      <c r="K966" s="21" t="n">
        <v>3645.62</v>
      </c>
      <c r="L966" s="21" t="n">
        <v>4166.42</v>
      </c>
      <c r="M966" s="21" t="n">
        <v>3999</v>
      </c>
    </row>
    <row r="967">
      <c r="A967" s="9" t="inlineStr">
        <is>
          <t>ZOEY</t>
        </is>
      </c>
      <c r="B967" s="9" t="inlineStr">
        <is>
          <t>ZOEY 25/10/2025</t>
        </is>
      </c>
      <c r="C967" s="9" t="inlineStr">
        <is>
          <t>2025-10-25</t>
        </is>
      </c>
      <c r="D967" s="9" t="inlineStr">
        <is>
          <t>10427542282892</t>
        </is>
      </c>
      <c r="E967" s="9" t="inlineStr">
        <is>
          <t>RELOJ SANTOS SILVER</t>
        </is>
      </c>
      <c r="F967" s="9" t="inlineStr">
        <is>
          <t>men</t>
        </is>
      </c>
      <c r="G967" s="9" t="n">
        <v>4</v>
      </c>
      <c r="H967" s="21" t="n">
        <v>68</v>
      </c>
      <c r="I967" s="21" t="n">
        <v>1686.41</v>
      </c>
      <c r="J967" s="21" t="n">
        <v>5059.22</v>
      </c>
      <c r="K967" s="21" t="n">
        <v>5902.43</v>
      </c>
      <c r="L967" s="21" t="n">
        <v>6745.63</v>
      </c>
      <c r="M967" s="21" t="n">
        <v>5650</v>
      </c>
    </row>
    <row r="968">
      <c r="A968" s="9" t="inlineStr">
        <is>
          <t>ZOEY</t>
        </is>
      </c>
      <c r="B968" s="9" t="inlineStr">
        <is>
          <t>ZOEY 25/10/2025</t>
        </is>
      </c>
      <c r="C968" s="9" t="inlineStr">
        <is>
          <t>2025-10-25</t>
        </is>
      </c>
      <c r="D968" s="9" t="inlineStr">
        <is>
          <t>10427542282893</t>
        </is>
      </c>
      <c r="E968" s="9" t="inlineStr">
        <is>
          <t>RELOJ SANTOS SILVER</t>
        </is>
      </c>
      <c r="F968" s="9" t="inlineStr">
        <is>
          <t>women</t>
        </is>
      </c>
      <c r="G968" s="9" t="n">
        <v>4</v>
      </c>
      <c r="H968" s="21" t="n">
        <v>58</v>
      </c>
      <c r="I968" s="21" t="n">
        <v>1438.41</v>
      </c>
      <c r="J968" s="21" t="n">
        <v>4315.22</v>
      </c>
      <c r="K968" s="21" t="n">
        <v>5034.42</v>
      </c>
      <c r="L968" s="21" t="n">
        <v>5753.63</v>
      </c>
      <c r="M968" s="21" t="n">
        <v>5650</v>
      </c>
    </row>
    <row r="969">
      <c r="A969" s="9" t="inlineStr">
        <is>
          <t>ZOEY</t>
        </is>
      </c>
      <c r="B969" s="9" t="inlineStr">
        <is>
          <t>ZOEY 25/10/2025</t>
        </is>
      </c>
      <c r="C969" s="9" t="inlineStr">
        <is>
          <t>2025-10-25</t>
        </is>
      </c>
      <c r="D969" s="9" t="inlineStr">
        <is>
          <t>42834310237836</t>
        </is>
      </c>
      <c r="E969" s="9" t="inlineStr">
        <is>
          <t>SANDALIAS CD MULE</t>
        </is>
      </c>
      <c r="F969" s="9" t="inlineStr">
        <is>
          <t>25cm</t>
        </is>
      </c>
      <c r="G969" s="9" t="n">
        <v>1</v>
      </c>
      <c r="H969" s="21" t="n">
        <v>35</v>
      </c>
      <c r="I969" s="21" t="n">
        <v>868</v>
      </c>
      <c r="J969" s="21" t="n">
        <v>2604.01</v>
      </c>
      <c r="K969" s="21" t="n">
        <v>3038.01</v>
      </c>
      <c r="L969" s="21" t="n">
        <v>3472.02</v>
      </c>
      <c r="M969" s="21" t="n">
        <v>3200</v>
      </c>
    </row>
    <row r="970">
      <c r="A970" s="9" t="inlineStr">
        <is>
          <t>ZOEY</t>
        </is>
      </c>
      <c r="B970" s="9" t="inlineStr">
        <is>
          <t>ZOEY 25/10/2025</t>
        </is>
      </c>
      <c r="C970" s="9" t="inlineStr">
        <is>
          <t>2025-10-25</t>
        </is>
      </c>
      <c r="D970" s="9" t="inlineStr">
        <is>
          <t>42834310205068</t>
        </is>
      </c>
      <c r="E970" s="9" t="inlineStr">
        <is>
          <t>SANDALIAS CD MULE</t>
        </is>
      </c>
      <c r="F970" s="9" t="inlineStr">
        <is>
          <t>24cm</t>
        </is>
      </c>
      <c r="G970" s="9" t="n">
        <v>2</v>
      </c>
      <c r="H970" s="21" t="n">
        <v>35</v>
      </c>
      <c r="I970" s="21" t="n">
        <v>868</v>
      </c>
      <c r="J970" s="21" t="n">
        <v>2604.01</v>
      </c>
      <c r="K970" s="21" t="n">
        <v>3038.01</v>
      </c>
      <c r="L970" s="21" t="n">
        <v>3472.02</v>
      </c>
      <c r="M970" s="21" t="n">
        <v>3200</v>
      </c>
    </row>
    <row r="971">
      <c r="A971" s="9" t="inlineStr">
        <is>
          <t>ZOEY</t>
        </is>
      </c>
      <c r="B971" s="9" t="inlineStr">
        <is>
          <t>ZOEY 25/10/2025</t>
        </is>
      </c>
      <c r="C971" s="9" t="inlineStr">
        <is>
          <t>2025-10-25</t>
        </is>
      </c>
      <c r="D971" s="9" t="inlineStr">
        <is>
          <t>43728084634892</t>
        </is>
      </c>
      <c r="E971" s="9" t="inlineStr">
        <is>
          <t>SUETER PR MILANO BLACK</t>
        </is>
      </c>
      <c r="F971" s="9" t="inlineStr">
        <is>
          <t>M</t>
        </is>
      </c>
      <c r="G971" s="9" t="n">
        <v>5</v>
      </c>
      <c r="H971" s="21" t="n">
        <v>38</v>
      </c>
      <c r="I971" s="21" t="n">
        <v>942.4</v>
      </c>
      <c r="J971" s="21" t="n">
        <v>2827.21</v>
      </c>
      <c r="K971" s="21" t="n">
        <v>3298.41</v>
      </c>
      <c r="L971" s="21" t="n">
        <v>3769.62</v>
      </c>
      <c r="M971" s="21" t="n">
        <v>2832</v>
      </c>
    </row>
    <row r="972">
      <c r="A972" s="9" t="inlineStr">
        <is>
          <t>ZOEY</t>
        </is>
      </c>
      <c r="B972" s="9" t="inlineStr">
        <is>
          <t>ZOEY 25/10/2025</t>
        </is>
      </c>
      <c r="C972" s="9" t="inlineStr">
        <is>
          <t>2025-10-25</t>
        </is>
      </c>
      <c r="D972" s="9" t="inlineStr">
        <is>
          <t>43728084854796</t>
        </is>
      </c>
      <c r="E972" s="9" t="inlineStr">
        <is>
          <t>SUETER YSL</t>
        </is>
      </c>
      <c r="F972" s="9" t="inlineStr">
        <is>
          <t>M</t>
        </is>
      </c>
      <c r="G972" s="9" t="n">
        <v>3</v>
      </c>
      <c r="H972" s="21" t="n">
        <v>38</v>
      </c>
      <c r="I972" s="21" t="n">
        <v>942.4</v>
      </c>
      <c r="J972" s="21" t="n">
        <v>2827.21</v>
      </c>
      <c r="K972" s="21" t="n">
        <v>3298.41</v>
      </c>
      <c r="L972" s="21" t="n">
        <v>3769.62</v>
      </c>
      <c r="M972" s="21" t="n">
        <v>2832</v>
      </c>
    </row>
    <row r="973">
      <c r="A973" s="9" t="inlineStr">
        <is>
          <t>ZOEY</t>
        </is>
      </c>
      <c r="B973" s="9" t="inlineStr">
        <is>
          <t>ZOEY 25/10/2025</t>
        </is>
      </c>
      <c r="C973" s="9" t="inlineStr">
        <is>
          <t>2025-10-25</t>
        </is>
      </c>
      <c r="D973" s="9" t="inlineStr">
        <is>
          <t>6737d91d66417</t>
        </is>
      </c>
      <c r="E973" s="9" t="inlineStr">
        <is>
          <t>TARJETERO CD SADDLE</t>
        </is>
      </c>
      <c r="F973" s="9" t="inlineStr">
        <is>
          <t>11cm de largo x 8cm de Alto</t>
        </is>
      </c>
      <c r="G973" s="9" t="n">
        <v>16</v>
      </c>
      <c r="H973" s="21" t="n">
        <v>18</v>
      </c>
      <c r="I973" s="21" t="n">
        <v>446.4</v>
      </c>
      <c r="J973" s="21" t="n">
        <v>1339.21</v>
      </c>
      <c r="K973" s="21" t="n">
        <v>1562.41</v>
      </c>
      <c r="L973" s="21" t="n">
        <v>1785.61</v>
      </c>
      <c r="M973" s="21" t="n">
        <v>1520</v>
      </c>
    </row>
    <row r="974">
      <c r="A974" s="9" t="inlineStr">
        <is>
          <t>ZOEY</t>
        </is>
      </c>
      <c r="B974" s="9" t="inlineStr">
        <is>
          <t>ZOEY 25/10/2025</t>
        </is>
      </c>
      <c r="C974" s="9" t="inlineStr">
        <is>
          <t>2025-10-25</t>
        </is>
      </c>
      <c r="D974" s="9" t="inlineStr">
        <is>
          <t>79534521160493</t>
        </is>
      </c>
      <c r="E974" s="9" t="inlineStr">
        <is>
          <t>UGG FUNKARRA BROWN</t>
        </is>
      </c>
      <c r="F974" s="9" t="inlineStr">
        <is>
          <t>23CM</t>
        </is>
      </c>
      <c r="G974" s="9" t="n">
        <v>2</v>
      </c>
      <c r="H974" s="21" t="n">
        <v>58</v>
      </c>
      <c r="I974" s="21" t="n">
        <v>1438.41</v>
      </c>
      <c r="J974" s="21" t="n">
        <v>4315.22</v>
      </c>
      <c r="K974" s="21" t="n">
        <v>5034.42</v>
      </c>
      <c r="L974" s="21" t="n">
        <v>5753.63</v>
      </c>
      <c r="M974" s="21" t="n">
        <v>4820.09</v>
      </c>
    </row>
    <row r="975">
      <c r="A975" s="9" t="inlineStr">
        <is>
          <t>ZOEY</t>
        </is>
      </c>
      <c r="B975" s="9" t="inlineStr">
        <is>
          <t>ZOEY 25/10/2025</t>
        </is>
      </c>
      <c r="C975" s="9" t="inlineStr">
        <is>
          <t>2025-10-25</t>
        </is>
      </c>
      <c r="D975" s="9" t="inlineStr">
        <is>
          <t>79534521293261</t>
        </is>
      </c>
      <c r="E975" s="9" t="inlineStr">
        <is>
          <t>UGG FUNKARRA BROWN</t>
        </is>
      </c>
      <c r="F975" s="9" t="inlineStr">
        <is>
          <t>24CM</t>
        </is>
      </c>
      <c r="G975" s="9" t="n">
        <v>2</v>
      </c>
      <c r="H975" s="21" t="n">
        <v>58</v>
      </c>
      <c r="I975" s="21" t="n">
        <v>1438.41</v>
      </c>
      <c r="J975" s="21" t="n">
        <v>4315.22</v>
      </c>
      <c r="K975" s="21" t="n">
        <v>5034.42</v>
      </c>
      <c r="L975" s="21" t="n">
        <v>5753.63</v>
      </c>
      <c r="M975" s="21" t="n">
        <v>4820.09</v>
      </c>
    </row>
    <row r="976">
      <c r="A976" s="9" t="inlineStr">
        <is>
          <t>ZOEY</t>
        </is>
      </c>
      <c r="B976" s="9" t="inlineStr">
        <is>
          <t>ZOEY 25/10/2025</t>
        </is>
      </c>
      <c r="C976" s="9" t="inlineStr">
        <is>
          <t>2025-10-25</t>
        </is>
      </c>
      <c r="D976" s="9" t="inlineStr">
        <is>
          <t>29024531094765</t>
        </is>
      </c>
      <c r="E976" s="9" t="inlineStr">
        <is>
          <t>UGG PANTUFLAS TAZZ II</t>
        </is>
      </c>
      <c r="F976" s="9" t="inlineStr">
        <is>
          <t>23CM</t>
        </is>
      </c>
      <c r="G976" s="9" t="n">
        <v>2</v>
      </c>
      <c r="H976" s="21" t="n">
        <v>48</v>
      </c>
      <c r="I976" s="21" t="n">
        <v>1190.41</v>
      </c>
      <c r="J976" s="21" t="n">
        <v>3571.22</v>
      </c>
      <c r="K976" s="21" t="n">
        <v>4166.42</v>
      </c>
      <c r="L976" s="21" t="n">
        <v>4761.62</v>
      </c>
      <c r="M976" s="21" t="n">
        <v>2793</v>
      </c>
    </row>
    <row r="977">
      <c r="A977" s="9" t="inlineStr">
        <is>
          <t>ZOEY</t>
        </is>
      </c>
      <c r="B977" s="9" t="inlineStr">
        <is>
          <t>ZOEY 25/10/2025</t>
        </is>
      </c>
      <c r="C977" s="9" t="inlineStr">
        <is>
          <t>2025-10-25</t>
        </is>
      </c>
      <c r="D977" s="9" t="inlineStr">
        <is>
          <t>24469401092557</t>
        </is>
      </c>
      <c r="E977" s="9" t="inlineStr">
        <is>
          <t>UGG PANTUFLAS TAZZ II</t>
        </is>
      </c>
      <c r="F977" s="9" t="inlineStr">
        <is>
          <t>24CM</t>
        </is>
      </c>
      <c r="G977" s="9" t="n">
        <v>2</v>
      </c>
      <c r="H977" s="21" t="n">
        <v>48</v>
      </c>
      <c r="I977" s="21" t="n">
        <v>1190.41</v>
      </c>
      <c r="J977" s="21" t="n">
        <v>3571.22</v>
      </c>
      <c r="K977" s="21" t="n">
        <v>4166.42</v>
      </c>
      <c r="L977" s="21" t="n">
        <v>4761.62</v>
      </c>
      <c r="M977" s="21" t="n">
        <v>3989.04</v>
      </c>
    </row>
    <row r="978">
      <c r="A978" s="9" t="inlineStr">
        <is>
          <t>ZOEY</t>
        </is>
      </c>
      <c r="B978" s="9" t="inlineStr">
        <is>
          <t>ZOEY 25/10/2025</t>
        </is>
      </c>
      <c r="C978" s="9" t="inlineStr">
        <is>
          <t>2025-10-25</t>
        </is>
      </c>
      <c r="D978" s="9" t="inlineStr">
        <is>
          <t>72002488652044</t>
        </is>
      </c>
      <c r="E978" s="9" t="inlineStr">
        <is>
          <t>ZAPATILLA J´ADIOR</t>
        </is>
      </c>
      <c r="F978" s="9" t="inlineStr">
        <is>
          <t>24cm</t>
        </is>
      </c>
      <c r="G978" s="9" t="n">
        <v>1</v>
      </c>
      <c r="H978" s="21" t="n">
        <v>58</v>
      </c>
      <c r="I978" s="21" t="n">
        <v>1438.41</v>
      </c>
      <c r="J978" s="21" t="n">
        <v>4315.22</v>
      </c>
      <c r="K978" s="21" t="n">
        <v>5034.42</v>
      </c>
      <c r="L978" s="21" t="n">
        <v>5753.63</v>
      </c>
      <c r="M978" s="21" t="n">
        <v>5199</v>
      </c>
    </row>
    <row r="979">
      <c r="A979" s="9" t="inlineStr">
        <is>
          <t>ZOEY</t>
        </is>
      </c>
      <c r="B979" s="9" t="inlineStr">
        <is>
          <t>ZOEY 25/10/2025</t>
        </is>
      </c>
      <c r="C979" s="9" t="inlineStr">
        <is>
          <t>2025-10-25</t>
        </is>
      </c>
      <c r="D979" s="9" t="inlineStr">
        <is>
          <t>72002489515276</t>
        </is>
      </c>
      <c r="E979" s="9" t="inlineStr">
        <is>
          <t>ZAPATILLA J´ADIOR</t>
        </is>
      </c>
      <c r="F979" s="9" t="inlineStr">
        <is>
          <t>25cm</t>
        </is>
      </c>
      <c r="G979" s="9" t="n">
        <v>2</v>
      </c>
      <c r="H979" s="21" t="n">
        <v>58</v>
      </c>
      <c r="I979" s="21" t="n">
        <v>1438.41</v>
      </c>
      <c r="J979" s="21" t="n">
        <v>4315.22</v>
      </c>
      <c r="K979" s="21" t="n">
        <v>5034.42</v>
      </c>
      <c r="L979" s="21" t="n">
        <v>5753.63</v>
      </c>
      <c r="M979" s="21" t="n">
        <v>5199</v>
      </c>
    </row>
    <row r="980">
      <c r="A980" s="9" t="inlineStr">
        <is>
          <t>ZOEY</t>
        </is>
      </c>
      <c r="B980" s="9" t="inlineStr">
        <is>
          <t>ZOEY 25/10/2025</t>
        </is>
      </c>
      <c r="C980" s="9" t="inlineStr">
        <is>
          <t>2025-10-25</t>
        </is>
      </c>
      <c r="D980" s="9" t="inlineStr">
        <is>
          <t>CELESTE</t>
        </is>
      </c>
      <c r="E980" s="9" t="inlineStr">
        <is>
          <t>ZAPATILLA J´ADIOR</t>
        </is>
      </c>
      <c r="F980" s="9" t="inlineStr">
        <is>
          <t>27.5CM</t>
        </is>
      </c>
      <c r="G980" s="9" t="n">
        <v>1</v>
      </c>
      <c r="H980" s="21" t="n">
        <v>58</v>
      </c>
      <c r="I980" s="21" t="n">
        <v>1438.41</v>
      </c>
      <c r="J980" s="21" t="n">
        <v>4315.22</v>
      </c>
      <c r="K980" s="21" t="n">
        <v>5034.42</v>
      </c>
      <c r="L980" s="21" t="n">
        <v>5753.63</v>
      </c>
      <c r="M980" s="21" t="n"/>
    </row>
    <row r="981">
      <c r="A981" s="9" t="inlineStr">
        <is>
          <t>HAIFENG</t>
        </is>
      </c>
      <c r="B981" s="9" t="inlineStr">
        <is>
          <t>HAIFENG 11/11/2025</t>
        </is>
      </c>
      <c r="C981" s="9" t="inlineStr">
        <is>
          <t>2025-11-11</t>
        </is>
      </c>
      <c r="D981" s="9" t="inlineStr">
        <is>
          <t>64085742576813</t>
        </is>
      </c>
      <c r="E981" s="9" t="inlineStr">
        <is>
          <t>ANILLO ALLIANCE CON ZIRCONIA C</t>
        </is>
      </c>
      <c r="F981" s="9" t="inlineStr">
        <is>
          <t>7</t>
        </is>
      </c>
      <c r="G981" s="9" t="n">
        <v>1</v>
      </c>
      <c r="H981" s="21" t="n">
        <v>2</v>
      </c>
      <c r="I981" s="21" t="n">
        <v>42.12</v>
      </c>
      <c r="J981" s="21" t="n">
        <v>126.36</v>
      </c>
      <c r="K981" s="21" t="n">
        <v>147.42</v>
      </c>
      <c r="L981" s="21" t="n">
        <v>168.48</v>
      </c>
      <c r="M981" s="21" t="n">
        <v>450</v>
      </c>
    </row>
    <row r="982">
      <c r="A982" s="9" t="inlineStr">
        <is>
          <t>HAIFENG</t>
        </is>
      </c>
      <c r="B982" s="9" t="inlineStr">
        <is>
          <t>HAIFENG 11/11/2025</t>
        </is>
      </c>
      <c r="C982" s="9" t="inlineStr">
        <is>
          <t>2025-11-11</t>
        </is>
      </c>
      <c r="D982" s="9" t="inlineStr">
        <is>
          <t>66075791007693</t>
        </is>
      </c>
      <c r="E982" s="9" t="inlineStr">
        <is>
          <t>ANILLO ALLIANCE SILVER C</t>
        </is>
      </c>
      <c r="F982" s="9" t="inlineStr">
        <is>
          <t>7</t>
        </is>
      </c>
      <c r="G982" s="9" t="n">
        <v>2</v>
      </c>
      <c r="H982" s="21" t="n">
        <v>2</v>
      </c>
      <c r="I982" s="21" t="n">
        <v>42.12</v>
      </c>
      <c r="J982" s="21" t="n">
        <v>126.36</v>
      </c>
      <c r="K982" s="21" t="n">
        <v>147.42</v>
      </c>
      <c r="L982" s="21" t="n">
        <v>168.48</v>
      </c>
      <c r="M982" s="21" t="n">
        <v>400</v>
      </c>
    </row>
    <row r="983">
      <c r="A983" s="9" t="inlineStr">
        <is>
          <t>HAIFENG</t>
        </is>
      </c>
      <c r="B983" s="9" t="inlineStr">
        <is>
          <t>HAIFENG 11/11/2025</t>
        </is>
      </c>
      <c r="C983" s="9" t="inlineStr">
        <is>
          <t>2025-11-11</t>
        </is>
      </c>
      <c r="D983" s="9" t="inlineStr">
        <is>
          <t>66075801140461</t>
        </is>
      </c>
      <c r="E983" s="9" t="inlineStr">
        <is>
          <t>ANILLO ALLIANCE SILVER C</t>
        </is>
      </c>
      <c r="F983" s="9" t="inlineStr">
        <is>
          <t>8</t>
        </is>
      </c>
      <c r="G983" s="9" t="n">
        <v>2</v>
      </c>
      <c r="H983" s="21" t="n">
        <v>2</v>
      </c>
      <c r="I983" s="21" t="n">
        <v>42.12</v>
      </c>
      <c r="J983" s="21" t="n">
        <v>126.36</v>
      </c>
      <c r="K983" s="21" t="n">
        <v>147.42</v>
      </c>
      <c r="L983" s="21" t="n">
        <v>168.48</v>
      </c>
      <c r="M983" s="21" t="n">
        <v>400</v>
      </c>
    </row>
    <row r="984">
      <c r="A984" s="9" t="inlineStr">
        <is>
          <t>HAIFENG</t>
        </is>
      </c>
      <c r="B984" s="9" t="inlineStr">
        <is>
          <t>HAIFENG 11/11/2025</t>
        </is>
      </c>
      <c r="C984" s="9" t="inlineStr">
        <is>
          <t>2025-11-11</t>
        </is>
      </c>
      <c r="D984" s="9" t="inlineStr">
        <is>
          <t>66075801273229</t>
        </is>
      </c>
      <c r="E984" s="9" t="inlineStr">
        <is>
          <t>ANILLO ALLIANCE SILVER C</t>
        </is>
      </c>
      <c r="F984" s="9" t="inlineStr">
        <is>
          <t>9</t>
        </is>
      </c>
      <c r="G984" s="9" t="n">
        <v>2</v>
      </c>
      <c r="H984" s="21" t="n">
        <v>2</v>
      </c>
      <c r="I984" s="21" t="n">
        <v>42.12</v>
      </c>
      <c r="J984" s="21" t="n">
        <v>126.36</v>
      </c>
      <c r="K984" s="21" t="n">
        <v>147.42</v>
      </c>
      <c r="L984" s="21" t="n">
        <v>168.48</v>
      </c>
      <c r="M984" s="21" t="n">
        <v>400</v>
      </c>
    </row>
    <row r="985">
      <c r="A985" s="9" t="inlineStr">
        <is>
          <t>HAIFENG</t>
        </is>
      </c>
      <c r="B985" s="9" t="inlineStr">
        <is>
          <t>HAIFENG 11/11/2025</t>
        </is>
      </c>
      <c r="C985" s="9" t="inlineStr">
        <is>
          <t>2025-11-11</t>
        </is>
      </c>
      <c r="D985" s="9" t="inlineStr">
        <is>
          <t>67201533537421</t>
        </is>
      </c>
      <c r="E985" s="9" t="inlineStr">
        <is>
          <t>ANILLO ANCHO TRUE T GOLD</t>
        </is>
      </c>
      <c r="F985" s="9" t="inlineStr">
        <is>
          <t>7</t>
        </is>
      </c>
      <c r="G985" s="9" t="n">
        <v>4</v>
      </c>
      <c r="H985" s="21" t="n">
        <v>7</v>
      </c>
      <c r="I985" s="21" t="n">
        <v>147.42</v>
      </c>
      <c r="J985" s="21" t="n">
        <v>442.27</v>
      </c>
      <c r="K985" s="21" t="n">
        <v>515.98</v>
      </c>
      <c r="L985" s="21" t="n">
        <v>589.6900000000001</v>
      </c>
      <c r="M985" s="21" t="n">
        <v>599</v>
      </c>
    </row>
    <row r="986">
      <c r="A986" s="9" t="inlineStr">
        <is>
          <t>HAIFENG</t>
        </is>
      </c>
      <c r="B986" s="9" t="inlineStr">
        <is>
          <t>HAIFENG 11/11/2025</t>
        </is>
      </c>
      <c r="C986" s="9" t="inlineStr">
        <is>
          <t>2025-11-11</t>
        </is>
      </c>
      <c r="D986" s="9" t="inlineStr">
        <is>
          <t>21605771334573</t>
        </is>
      </c>
      <c r="E986" s="9" t="inlineStr">
        <is>
          <t>ANILLO BACK SOON T ROSE GOLD</t>
        </is>
      </c>
      <c r="F986" s="9" t="inlineStr">
        <is>
          <t>7</t>
        </is>
      </c>
      <c r="G986" s="9" t="n">
        <v>4</v>
      </c>
      <c r="H986" s="21" t="n">
        <v>3</v>
      </c>
      <c r="I986" s="21" t="n">
        <v>63.18</v>
      </c>
      <c r="J986" s="21" t="n">
        <v>189.54</v>
      </c>
      <c r="K986" s="21" t="n">
        <v>221.14</v>
      </c>
      <c r="L986" s="21" t="n">
        <v>252.73</v>
      </c>
      <c r="M986" s="21" t="n">
        <v>400</v>
      </c>
    </row>
    <row r="987">
      <c r="A987" s="9" t="inlineStr">
        <is>
          <t>HAIFENG</t>
        </is>
      </c>
      <c r="B987" s="9" t="inlineStr">
        <is>
          <t>HAIFENG 11/11/2025</t>
        </is>
      </c>
      <c r="C987" s="9" t="inlineStr">
        <is>
          <t>2025-11-11</t>
        </is>
      </c>
      <c r="D987" s="9" t="inlineStr">
        <is>
          <t>21605774349229</t>
        </is>
      </c>
      <c r="E987" s="9" t="inlineStr">
        <is>
          <t>ANILLO BACK SOON T SILVER</t>
        </is>
      </c>
      <c r="F987" s="9" t="inlineStr">
        <is>
          <t>8</t>
        </is>
      </c>
      <c r="G987" s="9" t="n">
        <v>5</v>
      </c>
      <c r="H987" s="21" t="n">
        <v>3</v>
      </c>
      <c r="I987" s="21" t="n">
        <v>63.18</v>
      </c>
      <c r="J987" s="21" t="n">
        <v>189.54</v>
      </c>
      <c r="K987" s="21" t="n">
        <v>221.14</v>
      </c>
      <c r="L987" s="21" t="n">
        <v>252.73</v>
      </c>
      <c r="M987" s="21" t="n">
        <v>450</v>
      </c>
    </row>
    <row r="988">
      <c r="A988" s="9" t="inlineStr">
        <is>
          <t>HAIFENG</t>
        </is>
      </c>
      <c r="B988" s="9" t="inlineStr">
        <is>
          <t>HAIFENG 11/11/2025</t>
        </is>
      </c>
      <c r="C988" s="9" t="inlineStr">
        <is>
          <t>2025-11-11</t>
        </is>
      </c>
      <c r="D988" s="9" t="inlineStr">
        <is>
          <t>21605774316461</t>
        </is>
      </c>
      <c r="E988" s="9" t="inlineStr">
        <is>
          <t>ANILLO BACK SOON T SILVER</t>
        </is>
      </c>
      <c r="F988" s="9" t="inlineStr">
        <is>
          <t>7</t>
        </is>
      </c>
      <c r="G988" s="9" t="n">
        <v>3</v>
      </c>
      <c r="H988" s="21" t="n">
        <v>3</v>
      </c>
      <c r="I988" s="21" t="n">
        <v>63.18</v>
      </c>
      <c r="J988" s="21" t="n">
        <v>189.54</v>
      </c>
      <c r="K988" s="21" t="n">
        <v>221.14</v>
      </c>
      <c r="L988" s="21" t="n">
        <v>252.73</v>
      </c>
      <c r="M988" s="21" t="n">
        <v>450</v>
      </c>
    </row>
    <row r="989">
      <c r="A989" s="9" t="inlineStr">
        <is>
          <t>HAIFENG</t>
        </is>
      </c>
      <c r="B989" s="9" t="inlineStr">
        <is>
          <t>HAIFENG 11/11/2025</t>
        </is>
      </c>
      <c r="C989" s="9" t="inlineStr">
        <is>
          <t>2025-11-11</t>
        </is>
      </c>
      <c r="D989" s="9" t="inlineStr">
        <is>
          <t>67201533776845</t>
        </is>
      </c>
      <c r="E989" s="9" t="inlineStr">
        <is>
          <t>ANILLO BEAN CON ZIRCONIA GOLD</t>
        </is>
      </c>
      <c r="F989" s="9" t="inlineStr">
        <is>
          <t>6</t>
        </is>
      </c>
      <c r="G989" s="9" t="n">
        <v>4</v>
      </c>
      <c r="H989" s="21" t="n">
        <v>5</v>
      </c>
      <c r="I989" s="21" t="n">
        <v>105.3</v>
      </c>
      <c r="J989" s="21" t="n">
        <v>315.91</v>
      </c>
      <c r="K989" s="21" t="n">
        <v>368.56</v>
      </c>
      <c r="L989" s="21" t="n">
        <v>421.21</v>
      </c>
      <c r="M989" s="21" t="n">
        <v>450</v>
      </c>
    </row>
    <row r="990">
      <c r="A990" s="9" t="inlineStr">
        <is>
          <t>HAIFENG</t>
        </is>
      </c>
      <c r="B990" s="9" t="inlineStr">
        <is>
          <t>HAIFENG 11/11/2025</t>
        </is>
      </c>
      <c r="C990" s="9" t="inlineStr">
        <is>
          <t>2025-11-11</t>
        </is>
      </c>
      <c r="D990" s="9" t="inlineStr">
        <is>
          <t>66176e628d423</t>
        </is>
      </c>
      <c r="E990" s="9" t="inlineStr">
        <is>
          <t>ANILLO CLASH GOLD</t>
        </is>
      </c>
      <c r="F990" s="9" t="inlineStr">
        <is>
          <t>11</t>
        </is>
      </c>
      <c r="G990" s="9" t="n">
        <v>1</v>
      </c>
      <c r="H990" s="21" t="n">
        <v>10</v>
      </c>
      <c r="I990" s="21" t="n">
        <v>210.6</v>
      </c>
      <c r="J990" s="21" t="n">
        <v>631.8099999999999</v>
      </c>
      <c r="K990" s="21" t="n">
        <v>737.12</v>
      </c>
      <c r="L990" s="21" t="n">
        <v>842.42</v>
      </c>
      <c r="M990" s="21" t="n">
        <v>850</v>
      </c>
    </row>
    <row r="991">
      <c r="A991" s="9" t="inlineStr">
        <is>
          <t>HAIFENG</t>
        </is>
      </c>
      <c r="B991" s="9" t="inlineStr">
        <is>
          <t>HAIFENG 11/11/2025</t>
        </is>
      </c>
      <c r="C991" s="9" t="inlineStr">
        <is>
          <t>2025-11-11</t>
        </is>
      </c>
      <c r="D991" s="9" t="inlineStr">
        <is>
          <t>66176e62063fb</t>
        </is>
      </c>
      <c r="E991" s="9" t="inlineStr">
        <is>
          <t>ANILLO CLASH GOLD</t>
        </is>
      </c>
      <c r="F991" s="9" t="inlineStr">
        <is>
          <t>10</t>
        </is>
      </c>
      <c r="G991" s="9" t="n">
        <v>1</v>
      </c>
      <c r="H991" s="21" t="n">
        <v>10</v>
      </c>
      <c r="I991" s="21" t="n">
        <v>210.6</v>
      </c>
      <c r="J991" s="21" t="n">
        <v>631.8099999999999</v>
      </c>
      <c r="K991" s="21" t="n">
        <v>737.12</v>
      </c>
      <c r="L991" s="21" t="n">
        <v>842.42</v>
      </c>
      <c r="M991" s="21" t="n">
        <v>850</v>
      </c>
    </row>
    <row r="992">
      <c r="A992" s="9" t="inlineStr">
        <is>
          <t>HAIFENG</t>
        </is>
      </c>
      <c r="B992" s="9" t="inlineStr">
        <is>
          <t>HAIFENG 11/11/2025</t>
        </is>
      </c>
      <c r="C992" s="9" t="inlineStr">
        <is>
          <t>2025-11-11</t>
        </is>
      </c>
      <c r="D992" s="9" t="inlineStr">
        <is>
          <t>66176e5f8fac7</t>
        </is>
      </c>
      <c r="E992" s="9" t="inlineStr">
        <is>
          <t>ANILLO CLASH ROSEGOLD</t>
        </is>
      </c>
      <c r="F992" s="9" t="inlineStr">
        <is>
          <t>6</t>
        </is>
      </c>
      <c r="G992" s="9" t="n">
        <v>3</v>
      </c>
      <c r="H992" s="21" t="n">
        <v>10</v>
      </c>
      <c r="I992" s="21" t="n">
        <v>210.6</v>
      </c>
      <c r="J992" s="21" t="n">
        <v>631.8099999999999</v>
      </c>
      <c r="K992" s="21" t="n">
        <v>737.12</v>
      </c>
      <c r="L992" s="21" t="n">
        <v>842.42</v>
      </c>
      <c r="M992" s="21" t="n">
        <v>850</v>
      </c>
    </row>
    <row r="993">
      <c r="A993" s="9" t="inlineStr">
        <is>
          <t>HAIFENG</t>
        </is>
      </c>
      <c r="B993" s="9" t="inlineStr">
        <is>
          <t>HAIFENG 11/11/2025</t>
        </is>
      </c>
      <c r="C993" s="9" t="inlineStr">
        <is>
          <t>2025-11-11</t>
        </is>
      </c>
      <c r="D993" s="9" t="inlineStr">
        <is>
          <t>66176e60bbec9</t>
        </is>
      </c>
      <c r="E993" s="9" t="inlineStr">
        <is>
          <t>ANILLO CLASH ROSEGOLD</t>
        </is>
      </c>
      <c r="F993" s="9" t="inlineStr">
        <is>
          <t>8</t>
        </is>
      </c>
      <c r="G993" s="9" t="n">
        <v>2</v>
      </c>
      <c r="H993" s="21" t="n">
        <v>10</v>
      </c>
      <c r="I993" s="21" t="n">
        <v>210.6</v>
      </c>
      <c r="J993" s="21" t="n">
        <v>631.8099999999999</v>
      </c>
      <c r="K993" s="21" t="n">
        <v>737.12</v>
      </c>
      <c r="L993" s="21" t="n">
        <v>842.42</v>
      </c>
      <c r="M993" s="21" t="n">
        <v>850</v>
      </c>
    </row>
    <row r="994">
      <c r="A994" s="9" t="inlineStr">
        <is>
          <t>HAIFENG</t>
        </is>
      </c>
      <c r="B994" s="9" t="inlineStr">
        <is>
          <t>HAIFENG 11/11/2025</t>
        </is>
      </c>
      <c r="C994" s="9" t="inlineStr">
        <is>
          <t>2025-11-11</t>
        </is>
      </c>
      <c r="D994" s="9" t="inlineStr">
        <is>
          <t>66176e5f8fac7</t>
        </is>
      </c>
      <c r="E994" s="9" t="inlineStr">
        <is>
          <t>ANILLO CLASH ROSEGOLD</t>
        </is>
      </c>
      <c r="F994" s="9" t="inlineStr">
        <is>
          <t>6</t>
        </is>
      </c>
      <c r="G994" s="9" t="n">
        <v>2</v>
      </c>
      <c r="H994" s="21" t="n">
        <v>10</v>
      </c>
      <c r="I994" s="21" t="n">
        <v>210.6</v>
      </c>
      <c r="J994" s="21" t="n">
        <v>631.8099999999999</v>
      </c>
      <c r="K994" s="21" t="n">
        <v>737.12</v>
      </c>
      <c r="L994" s="21" t="n">
        <v>842.42</v>
      </c>
      <c r="M994" s="21" t="n">
        <v>850</v>
      </c>
    </row>
    <row r="995">
      <c r="A995" s="9" t="inlineStr">
        <is>
          <t>HAIFENG</t>
        </is>
      </c>
      <c r="B995" s="9" t="inlineStr">
        <is>
          <t>HAIFENG 11/11/2025</t>
        </is>
      </c>
      <c r="C995" s="9" t="inlineStr">
        <is>
          <t>2025-11-11</t>
        </is>
      </c>
      <c r="D995" s="9" t="inlineStr">
        <is>
          <t>66176e5ee773d</t>
        </is>
      </c>
      <c r="E995" s="9" t="inlineStr">
        <is>
          <t>ANILLO CLASH ROSEGOLD</t>
        </is>
      </c>
      <c r="F995" s="9" t="inlineStr">
        <is>
          <t>5</t>
        </is>
      </c>
      <c r="G995" s="9" t="n">
        <v>2</v>
      </c>
      <c r="H995" s="21" t="n">
        <v>10</v>
      </c>
      <c r="I995" s="21" t="n">
        <v>210.6</v>
      </c>
      <c r="J995" s="21" t="n">
        <v>631.8099999999999</v>
      </c>
      <c r="K995" s="21" t="n">
        <v>737.12</v>
      </c>
      <c r="L995" s="21" t="n">
        <v>842.42</v>
      </c>
      <c r="M995" s="21" t="n">
        <v>850</v>
      </c>
    </row>
    <row r="996">
      <c r="A996" s="9" t="inlineStr">
        <is>
          <t>HAIFENG</t>
        </is>
      </c>
      <c r="B996" s="9" t="inlineStr">
        <is>
          <t>HAIFENG 11/11/2025</t>
        </is>
      </c>
      <c r="C996" s="9" t="inlineStr">
        <is>
          <t>2025-11-11</t>
        </is>
      </c>
      <c r="D996" s="9" t="inlineStr">
        <is>
          <t>63ebd3f53c553</t>
        </is>
      </c>
      <c r="E996" s="9" t="inlineStr">
        <is>
          <t>ANILLO CLASH SILVER</t>
        </is>
      </c>
      <c r="F996" s="9" t="inlineStr">
        <is>
          <t>9</t>
        </is>
      </c>
      <c r="G996" s="9" t="n">
        <v>3</v>
      </c>
      <c r="H996" s="21" t="n">
        <v>10</v>
      </c>
      <c r="I996" s="21" t="n">
        <v>210.6</v>
      </c>
      <c r="J996" s="21" t="n">
        <v>631.8099999999999</v>
      </c>
      <c r="K996" s="21" t="n">
        <v>737.12</v>
      </c>
      <c r="L996" s="21" t="n">
        <v>842.42</v>
      </c>
      <c r="M996" s="21" t="n">
        <v>850</v>
      </c>
    </row>
    <row r="997">
      <c r="A997" s="9" t="inlineStr">
        <is>
          <t>HAIFENG</t>
        </is>
      </c>
      <c r="B997" s="9" t="inlineStr">
        <is>
          <t>HAIFENG 11/11/2025</t>
        </is>
      </c>
      <c r="C997" s="9" t="inlineStr">
        <is>
          <t>2025-11-11</t>
        </is>
      </c>
      <c r="D997" s="9" t="inlineStr">
        <is>
          <t>66176cdd7cc61</t>
        </is>
      </c>
      <c r="E997" s="9" t="inlineStr">
        <is>
          <t>ANILLO CLAVO GOLD</t>
        </is>
      </c>
      <c r="F997" s="9" t="inlineStr">
        <is>
          <t>9 HIGH QUALITY</t>
        </is>
      </c>
      <c r="G997" s="9" t="n">
        <v>5</v>
      </c>
      <c r="H997" s="21" t="n">
        <v>2.5</v>
      </c>
      <c r="I997" s="21" t="n">
        <v>52.65</v>
      </c>
      <c r="J997" s="21" t="n">
        <v>157.95</v>
      </c>
      <c r="K997" s="21" t="n">
        <v>184.28</v>
      </c>
      <c r="L997" s="21" t="n">
        <v>210.6</v>
      </c>
      <c r="M997" s="21" t="n">
        <v>400</v>
      </c>
    </row>
    <row r="998">
      <c r="A998" s="9" t="inlineStr">
        <is>
          <t>HAIFENG</t>
        </is>
      </c>
      <c r="B998" s="9" t="inlineStr">
        <is>
          <t>HAIFENG 11/11/2025</t>
        </is>
      </c>
      <c r="C998" s="9" t="inlineStr">
        <is>
          <t>2025-11-11</t>
        </is>
      </c>
      <c r="D998" s="9" t="inlineStr">
        <is>
          <t>66176cdc59c57</t>
        </is>
      </c>
      <c r="E998" s="9" t="inlineStr">
        <is>
          <t>ANILLO CLAVO GOLD</t>
        </is>
      </c>
      <c r="F998" s="9" t="inlineStr">
        <is>
          <t>7 HIGH QUALITY</t>
        </is>
      </c>
      <c r="G998" s="9" t="n">
        <v>5</v>
      </c>
      <c r="H998" s="21" t="n">
        <v>2.5</v>
      </c>
      <c r="I998" s="21" t="n">
        <v>52.65</v>
      </c>
      <c r="J998" s="21" t="n">
        <v>157.95</v>
      </c>
      <c r="K998" s="21" t="n">
        <v>184.28</v>
      </c>
      <c r="L998" s="21" t="n">
        <v>210.6</v>
      </c>
      <c r="M998" s="21" t="n">
        <v>400</v>
      </c>
    </row>
    <row r="999">
      <c r="A999" s="9" t="inlineStr">
        <is>
          <t>HAIFENG</t>
        </is>
      </c>
      <c r="B999" s="9" t="inlineStr">
        <is>
          <t>HAIFENG 11/11/2025</t>
        </is>
      </c>
      <c r="C999" s="9" t="inlineStr">
        <is>
          <t>2025-11-11</t>
        </is>
      </c>
      <c r="D999" s="9" t="inlineStr">
        <is>
          <t>66176cdeab849</t>
        </is>
      </c>
      <c r="E999" s="9" t="inlineStr">
        <is>
          <t>ANILLO CLAVO GOLD</t>
        </is>
      </c>
      <c r="F999" s="9" t="inlineStr">
        <is>
          <t>11</t>
        </is>
      </c>
      <c r="G999" s="9" t="n">
        <v>2</v>
      </c>
      <c r="H999" s="21" t="n">
        <v>2.5</v>
      </c>
      <c r="I999" s="21" t="n">
        <v>52.65</v>
      </c>
      <c r="J999" s="21" t="n">
        <v>157.95</v>
      </c>
      <c r="K999" s="21" t="n">
        <v>184.28</v>
      </c>
      <c r="L999" s="21" t="n">
        <v>210.6</v>
      </c>
      <c r="M999" s="21" t="n">
        <v>400</v>
      </c>
    </row>
    <row r="1000">
      <c r="A1000" s="9" t="inlineStr">
        <is>
          <t>HAIFENG</t>
        </is>
      </c>
      <c r="B1000" s="9" t="inlineStr">
        <is>
          <t>HAIFENG 11/11/2025</t>
        </is>
      </c>
      <c r="C1000" s="9" t="inlineStr">
        <is>
          <t>2025-11-11</t>
        </is>
      </c>
      <c r="D1000" s="9" t="inlineStr">
        <is>
          <t>66176cdce18ea</t>
        </is>
      </c>
      <c r="E1000" s="9" t="inlineStr">
        <is>
          <t>ANILLO CLAVO GOLD</t>
        </is>
      </c>
      <c r="F1000" s="9" t="inlineStr">
        <is>
          <t>8 HIGH QUALITY</t>
        </is>
      </c>
      <c r="G1000" s="9" t="n">
        <v>4</v>
      </c>
      <c r="H1000" s="21" t="n">
        <v>2.5</v>
      </c>
      <c r="I1000" s="21" t="n">
        <v>52.65</v>
      </c>
      <c r="J1000" s="21" t="n">
        <v>157.95</v>
      </c>
      <c r="K1000" s="21" t="n">
        <v>184.28</v>
      </c>
      <c r="L1000" s="21" t="n">
        <v>210.6</v>
      </c>
      <c r="M1000" s="21" t="n">
        <v>400</v>
      </c>
    </row>
    <row r="1001">
      <c r="A1001" s="9" t="inlineStr">
        <is>
          <t>HAIFENG</t>
        </is>
      </c>
      <c r="B1001" s="9" t="inlineStr">
        <is>
          <t>HAIFENG 11/11/2025</t>
        </is>
      </c>
      <c r="C1001" s="9" t="inlineStr">
        <is>
          <t>2025-11-11</t>
        </is>
      </c>
      <c r="D1001" s="9" t="inlineStr">
        <is>
          <t>66176cdb9f129</t>
        </is>
      </c>
      <c r="E1001" s="9" t="inlineStr">
        <is>
          <t>ANILLO CLAVO GOLD</t>
        </is>
      </c>
      <c r="F1001" s="9" t="inlineStr">
        <is>
          <t>6 HIGH QUALITY</t>
        </is>
      </c>
      <c r="G1001" s="9" t="n">
        <v>6</v>
      </c>
      <c r="H1001" s="21" t="n">
        <v>2.5</v>
      </c>
      <c r="I1001" s="21" t="n">
        <v>52.65</v>
      </c>
      <c r="J1001" s="21" t="n">
        <v>157.95</v>
      </c>
      <c r="K1001" s="21" t="n">
        <v>184.28</v>
      </c>
      <c r="L1001" s="21" t="n">
        <v>210.6</v>
      </c>
      <c r="M1001" s="21" t="n">
        <v>400</v>
      </c>
    </row>
    <row r="1002">
      <c r="A1002" s="9" t="inlineStr">
        <is>
          <t>HAIFENG</t>
        </is>
      </c>
      <c r="B1002" s="9" t="inlineStr">
        <is>
          <t>HAIFENG 11/11/2025</t>
        </is>
      </c>
      <c r="C1002" s="9" t="inlineStr">
        <is>
          <t>2025-11-11</t>
        </is>
      </c>
      <c r="D1002" s="9" t="inlineStr">
        <is>
          <t>66176ce151d29</t>
        </is>
      </c>
      <c r="E1002" s="9" t="inlineStr">
        <is>
          <t>ANILLO CLAVO ROSE GOLD</t>
        </is>
      </c>
      <c r="F1002" s="9" t="inlineStr">
        <is>
          <t>6 HIGH QUALITY</t>
        </is>
      </c>
      <c r="G1002" s="9" t="n">
        <v>2</v>
      </c>
      <c r="H1002" s="21" t="n">
        <v>2.5</v>
      </c>
      <c r="I1002" s="21" t="n">
        <v>52.65</v>
      </c>
      <c r="J1002" s="21" t="n">
        <v>157.95</v>
      </c>
      <c r="K1002" s="21" t="n">
        <v>184.28</v>
      </c>
      <c r="L1002" s="21" t="n">
        <v>210.6</v>
      </c>
      <c r="M1002" s="21" t="n">
        <v>400</v>
      </c>
    </row>
    <row r="1003">
      <c r="A1003" s="9" t="inlineStr">
        <is>
          <t>HAIFENG</t>
        </is>
      </c>
      <c r="B1003" s="9" t="inlineStr">
        <is>
          <t>HAIFENG 11/11/2025</t>
        </is>
      </c>
      <c r="C1003" s="9" t="inlineStr">
        <is>
          <t>2025-11-11</t>
        </is>
      </c>
      <c r="D1003" s="9" t="inlineStr">
        <is>
          <t>66176cdaf1735</t>
        </is>
      </c>
      <c r="E1003" s="9" t="inlineStr">
        <is>
          <t>ANILLO CLAVO SILVER</t>
        </is>
      </c>
      <c r="F1003" s="9" t="inlineStr">
        <is>
          <t>5 HIGH QUALITY</t>
        </is>
      </c>
      <c r="G1003" s="9" t="n">
        <v>1</v>
      </c>
      <c r="H1003" s="21" t="n">
        <v>2.5</v>
      </c>
      <c r="I1003" s="21" t="n">
        <v>52.65</v>
      </c>
      <c r="J1003" s="21" t="n">
        <v>157.95</v>
      </c>
      <c r="K1003" s="21" t="n">
        <v>184.28</v>
      </c>
      <c r="L1003" s="21" t="n">
        <v>210.6</v>
      </c>
      <c r="M1003" s="21" t="n">
        <v>400</v>
      </c>
    </row>
    <row r="1004">
      <c r="A1004" s="9" t="inlineStr">
        <is>
          <t>HAIFENG</t>
        </is>
      </c>
      <c r="B1004" s="9" t="inlineStr">
        <is>
          <t>HAIFENG 11/11/2025</t>
        </is>
      </c>
      <c r="C1004" s="9" t="inlineStr">
        <is>
          <t>2025-11-11</t>
        </is>
      </c>
      <c r="D1004" s="9" t="inlineStr">
        <is>
          <t>63e0b73078446</t>
        </is>
      </c>
      <c r="E1004" s="9" t="inlineStr">
        <is>
          <t>ANILLO COCO SILVER</t>
        </is>
      </c>
      <c r="F1004" s="9" t="inlineStr">
        <is>
          <t>6</t>
        </is>
      </c>
      <c r="G1004" s="9" t="n">
        <v>2</v>
      </c>
      <c r="H1004" s="21" t="n">
        <v>1.8</v>
      </c>
      <c r="I1004" s="21" t="n">
        <v>37.91</v>
      </c>
      <c r="J1004" s="21" t="n">
        <v>113.73</v>
      </c>
      <c r="K1004" s="21" t="n">
        <v>132.68</v>
      </c>
      <c r="L1004" s="21" t="n">
        <v>151.64</v>
      </c>
      <c r="M1004" s="21" t="n">
        <v>400</v>
      </c>
    </row>
    <row r="1005">
      <c r="A1005" s="9" t="inlineStr">
        <is>
          <t>HAIFENG</t>
        </is>
      </c>
      <c r="B1005" s="9" t="inlineStr">
        <is>
          <t>HAIFENG 11/11/2025</t>
        </is>
      </c>
      <c r="C1005" s="9" t="inlineStr">
        <is>
          <t>2025-11-11</t>
        </is>
      </c>
      <c r="D1005" s="9" t="inlineStr">
        <is>
          <t>63e0b7329703a</t>
        </is>
      </c>
      <c r="E1005" s="9" t="inlineStr">
        <is>
          <t>ANILLO COCO SILVER</t>
        </is>
      </c>
      <c r="F1005" s="9" t="inlineStr">
        <is>
          <t>8</t>
        </is>
      </c>
      <c r="G1005" s="9" t="n">
        <v>2</v>
      </c>
      <c r="H1005" s="21" t="n">
        <v>1.8</v>
      </c>
      <c r="I1005" s="21" t="n">
        <v>37.91</v>
      </c>
      <c r="J1005" s="21" t="n">
        <v>113.73</v>
      </c>
      <c r="K1005" s="21" t="n">
        <v>132.68</v>
      </c>
      <c r="L1005" s="21" t="n">
        <v>151.64</v>
      </c>
      <c r="M1005" s="21" t="n">
        <v>400</v>
      </c>
    </row>
    <row r="1006">
      <c r="A1006" s="9" t="inlineStr">
        <is>
          <t>HAIFENG</t>
        </is>
      </c>
      <c r="B1006" s="9" t="inlineStr">
        <is>
          <t>HAIFENG 11/11/2025</t>
        </is>
      </c>
      <c r="C1006" s="9" t="inlineStr">
        <is>
          <t>2025-11-11</t>
        </is>
      </c>
      <c r="D1006" s="9" t="inlineStr">
        <is>
          <t>63e0b73078446</t>
        </is>
      </c>
      <c r="E1006" s="9" t="inlineStr">
        <is>
          <t>ANILLO COCO SILVER</t>
        </is>
      </c>
      <c r="F1006" s="9" t="inlineStr">
        <is>
          <t>6</t>
        </is>
      </c>
      <c r="G1006" s="9" t="n">
        <v>1</v>
      </c>
      <c r="H1006" s="21" t="n">
        <v>1.8</v>
      </c>
      <c r="I1006" s="21" t="n">
        <v>37.91</v>
      </c>
      <c r="J1006" s="21" t="n">
        <v>113.73</v>
      </c>
      <c r="K1006" s="21" t="n">
        <v>132.68</v>
      </c>
      <c r="L1006" s="21" t="n">
        <v>151.64</v>
      </c>
      <c r="M1006" s="21" t="n">
        <v>400</v>
      </c>
    </row>
    <row r="1007">
      <c r="A1007" s="9" t="inlineStr">
        <is>
          <t>HAIFENG</t>
        </is>
      </c>
      <c r="B1007" s="9" t="inlineStr">
        <is>
          <t>HAIFENG 11/11/2025</t>
        </is>
      </c>
      <c r="C1007" s="9" t="inlineStr">
        <is>
          <t>2025-11-11</t>
        </is>
      </c>
      <c r="D1007" s="9" t="inlineStr">
        <is>
          <t>56481450498956</t>
        </is>
      </c>
      <c r="E1007" s="9" t="inlineStr">
        <is>
          <t>ANILLO CORAZÓN GRABADO</t>
        </is>
      </c>
      <c r="F1007" s="9" t="inlineStr">
        <is>
          <t>6</t>
        </is>
      </c>
      <c r="G1007" s="9" t="n">
        <v>2</v>
      </c>
      <c r="H1007" s="21" t="n">
        <v>5</v>
      </c>
      <c r="I1007" s="21" t="n">
        <v>105.3</v>
      </c>
      <c r="J1007" s="21" t="n">
        <v>315.91</v>
      </c>
      <c r="K1007" s="21" t="n">
        <v>368.56</v>
      </c>
      <c r="L1007" s="21" t="n">
        <v>421.21</v>
      </c>
      <c r="M1007" s="21" t="n">
        <v>450</v>
      </c>
    </row>
    <row r="1008">
      <c r="A1008" s="9" t="inlineStr">
        <is>
          <t>HAIFENG</t>
        </is>
      </c>
      <c r="B1008" s="9" t="inlineStr">
        <is>
          <t>HAIFENG 11/11/2025</t>
        </is>
      </c>
      <c r="C1008" s="9" t="inlineStr">
        <is>
          <t>2025-11-11</t>
        </is>
      </c>
      <c r="D1008" s="9" t="inlineStr">
        <is>
          <t>56481450564492</t>
        </is>
      </c>
      <c r="E1008" s="9" t="inlineStr">
        <is>
          <t>ANILLO CORAZÓN GRABADO</t>
        </is>
      </c>
      <c r="F1008" s="9" t="inlineStr">
        <is>
          <t>8</t>
        </is>
      </c>
      <c r="G1008" s="9" t="n">
        <v>2</v>
      </c>
      <c r="H1008" s="21" t="n">
        <v>5</v>
      </c>
      <c r="I1008" s="21" t="n">
        <v>105.3</v>
      </c>
      <c r="J1008" s="21" t="n">
        <v>315.91</v>
      </c>
      <c r="K1008" s="21" t="n">
        <v>368.56</v>
      </c>
      <c r="L1008" s="21" t="n">
        <v>421.21</v>
      </c>
      <c r="M1008" s="21" t="n">
        <v>450</v>
      </c>
    </row>
    <row r="1009">
      <c r="A1009" s="9" t="inlineStr">
        <is>
          <t>HAIFENG</t>
        </is>
      </c>
      <c r="B1009" s="9" t="inlineStr">
        <is>
          <t>HAIFENG 11/11/2025</t>
        </is>
      </c>
      <c r="C1009" s="9" t="inlineStr">
        <is>
          <t>2025-11-11</t>
        </is>
      </c>
      <c r="D1009" s="9" t="inlineStr">
        <is>
          <t>17360611039917</t>
        </is>
      </c>
      <c r="E1009" s="9" t="inlineStr">
        <is>
          <t>ANILLO DOBLE T CON ZIRCONIAS SILVER</t>
        </is>
      </c>
      <c r="F1009" s="9" t="inlineStr">
        <is>
          <t>7</t>
        </is>
      </c>
      <c r="G1009" s="9" t="n">
        <v>3</v>
      </c>
      <c r="H1009" s="21" t="n">
        <v>7</v>
      </c>
      <c r="I1009" s="21" t="n">
        <v>147.42</v>
      </c>
      <c r="J1009" s="21" t="n">
        <v>442.27</v>
      </c>
      <c r="K1009" s="21" t="n">
        <v>515.98</v>
      </c>
      <c r="L1009" s="21" t="n">
        <v>589.6900000000001</v>
      </c>
      <c r="M1009" s="21" t="n">
        <v>580</v>
      </c>
    </row>
    <row r="1010">
      <c r="A1010" s="9" t="inlineStr">
        <is>
          <t>HAIFENG</t>
        </is>
      </c>
      <c r="B1010" s="9" t="inlineStr">
        <is>
          <t>HAIFENG 11/11/2025</t>
        </is>
      </c>
      <c r="C1010" s="9" t="inlineStr">
        <is>
          <t>2025-11-11</t>
        </is>
      </c>
      <c r="D1010" s="9" t="inlineStr">
        <is>
          <t>15711171018701</t>
        </is>
      </c>
      <c r="E1010" s="9" t="inlineStr">
        <is>
          <t>ANILLO DOBLE T GOLD</t>
        </is>
      </c>
      <c r="F1010" s="9" t="inlineStr">
        <is>
          <t>6</t>
        </is>
      </c>
      <c r="G1010" s="9" t="n">
        <v>3</v>
      </c>
      <c r="H1010" s="21" t="n">
        <v>5</v>
      </c>
      <c r="I1010" s="21" t="n">
        <v>105.3</v>
      </c>
      <c r="J1010" s="21" t="n">
        <v>315.91</v>
      </c>
      <c r="K1010" s="21" t="n">
        <v>368.56</v>
      </c>
      <c r="L1010" s="21" t="n">
        <v>421.21</v>
      </c>
      <c r="M1010" s="21" t="n">
        <v>480</v>
      </c>
    </row>
    <row r="1011">
      <c r="A1011" s="9" t="inlineStr">
        <is>
          <t>HAIFENG</t>
        </is>
      </c>
      <c r="B1011" s="9" t="inlineStr">
        <is>
          <t>HAIFENG 11/11/2025</t>
        </is>
      </c>
      <c r="C1011" s="9" t="inlineStr">
        <is>
          <t>2025-11-11</t>
        </is>
      </c>
      <c r="D1011" s="9" t="inlineStr">
        <is>
          <t>15711171284237</t>
        </is>
      </c>
      <c r="E1011" s="9" t="inlineStr">
        <is>
          <t>ANILLO DOBLE T GOLD</t>
        </is>
      </c>
      <c r="F1011" s="9" t="inlineStr">
        <is>
          <t>8</t>
        </is>
      </c>
      <c r="G1011" s="9" t="n">
        <v>3</v>
      </c>
      <c r="H1011" s="21" t="n">
        <v>5</v>
      </c>
      <c r="I1011" s="21" t="n">
        <v>105.3</v>
      </c>
      <c r="J1011" s="21" t="n">
        <v>315.91</v>
      </c>
      <c r="K1011" s="21" t="n">
        <v>368.56</v>
      </c>
      <c r="L1011" s="21" t="n">
        <v>421.21</v>
      </c>
      <c r="M1011" s="21" t="n">
        <v>480</v>
      </c>
    </row>
    <row r="1012">
      <c r="A1012" s="9" t="inlineStr">
        <is>
          <t>HAIFENG</t>
        </is>
      </c>
      <c r="B1012" s="9" t="inlineStr">
        <is>
          <t>HAIFENG 11/11/2025</t>
        </is>
      </c>
      <c r="C1012" s="9" t="inlineStr">
        <is>
          <t>2025-11-11</t>
        </is>
      </c>
      <c r="D1012" s="9" t="inlineStr">
        <is>
          <t>15711171526733</t>
        </is>
      </c>
      <c r="E1012" s="9" t="inlineStr">
        <is>
          <t>ANILLO DOBLE T ROSE GOLD</t>
        </is>
      </c>
      <c r="F1012" s="9" t="inlineStr">
        <is>
          <t>8</t>
        </is>
      </c>
      <c r="G1012" s="9" t="n">
        <v>3</v>
      </c>
      <c r="H1012" s="21" t="n">
        <v>5</v>
      </c>
      <c r="I1012" s="21" t="n">
        <v>105.3</v>
      </c>
      <c r="J1012" s="21" t="n">
        <v>315.91</v>
      </c>
      <c r="K1012" s="21" t="n">
        <v>368.56</v>
      </c>
      <c r="L1012" s="21" t="n">
        <v>421.21</v>
      </c>
      <c r="M1012" s="21" t="n">
        <v>480</v>
      </c>
    </row>
    <row r="1013">
      <c r="A1013" s="9" t="inlineStr">
        <is>
          <t>HAIFENG</t>
        </is>
      </c>
      <c r="B1013" s="9" t="inlineStr">
        <is>
          <t>HAIFENG 11/11/2025</t>
        </is>
      </c>
      <c r="C1013" s="9" t="inlineStr">
        <is>
          <t>2025-11-11</t>
        </is>
      </c>
      <c r="D1013" s="9" t="inlineStr">
        <is>
          <t>15711171624141</t>
        </is>
      </c>
      <c r="E1013" s="9" t="inlineStr">
        <is>
          <t>ANILLO DOBLE T SILVER</t>
        </is>
      </c>
      <c r="F1013" s="9" t="inlineStr">
        <is>
          <t>6</t>
        </is>
      </c>
      <c r="G1013" s="9" t="n">
        <v>3</v>
      </c>
      <c r="H1013" s="21" t="n">
        <v>5</v>
      </c>
      <c r="I1013" s="21" t="n">
        <v>105.3</v>
      </c>
      <c r="J1013" s="21" t="n">
        <v>315.91</v>
      </c>
      <c r="K1013" s="21" t="n">
        <v>368.56</v>
      </c>
      <c r="L1013" s="21" t="n">
        <v>421.21</v>
      </c>
      <c r="M1013" s="21" t="n">
        <v>450</v>
      </c>
    </row>
    <row r="1014">
      <c r="A1014" s="9" t="inlineStr">
        <is>
          <t>HAIFENG</t>
        </is>
      </c>
      <c r="B1014" s="9" t="inlineStr">
        <is>
          <t>HAIFENG 11/11/2025</t>
        </is>
      </c>
      <c r="C1014" s="9" t="inlineStr">
        <is>
          <t>2025-11-11</t>
        </is>
      </c>
      <c r="D1014" s="9" t="inlineStr">
        <is>
          <t>56481463232012</t>
        </is>
      </c>
      <c r="E1014" s="9" t="inlineStr">
        <is>
          <t>ANILLO ESLABÓN GOLD</t>
        </is>
      </c>
      <c r="F1014" s="9" t="inlineStr">
        <is>
          <t>7</t>
        </is>
      </c>
      <c r="G1014" s="9" t="n">
        <v>2</v>
      </c>
      <c r="H1014" s="21" t="n">
        <v>6</v>
      </c>
      <c r="I1014" s="21" t="n">
        <v>126.36</v>
      </c>
      <c r="J1014" s="21" t="n">
        <v>379.09</v>
      </c>
      <c r="K1014" s="21" t="n">
        <v>442.27</v>
      </c>
      <c r="L1014" s="21" t="n">
        <v>505.45</v>
      </c>
      <c r="M1014" s="21" t="n">
        <v>520</v>
      </c>
    </row>
    <row r="1015">
      <c r="A1015" s="9" t="inlineStr">
        <is>
          <t>HAIFENG</t>
        </is>
      </c>
      <c r="B1015" s="9" t="inlineStr">
        <is>
          <t>HAIFENG 11/11/2025</t>
        </is>
      </c>
      <c r="C1015" s="9" t="inlineStr">
        <is>
          <t>2025-11-11</t>
        </is>
      </c>
      <c r="D1015" s="9" t="inlineStr">
        <is>
          <t>56481463199244</t>
        </is>
      </c>
      <c r="E1015" s="9" t="inlineStr">
        <is>
          <t>ANILLO ESLABÓN GOLD</t>
        </is>
      </c>
      <c r="F1015" s="9" t="inlineStr">
        <is>
          <t>6</t>
        </is>
      </c>
      <c r="G1015" s="9" t="n">
        <v>3</v>
      </c>
      <c r="H1015" s="21" t="n">
        <v>6</v>
      </c>
      <c r="I1015" s="21" t="n">
        <v>126.36</v>
      </c>
      <c r="J1015" s="21" t="n">
        <v>379.09</v>
      </c>
      <c r="K1015" s="21" t="n">
        <v>442.27</v>
      </c>
      <c r="L1015" s="21" t="n">
        <v>505.45</v>
      </c>
      <c r="M1015" s="21" t="n">
        <v>520</v>
      </c>
    </row>
    <row r="1016">
      <c r="A1016" s="9" t="inlineStr">
        <is>
          <t>HAIFENG</t>
        </is>
      </c>
      <c r="B1016" s="9" t="inlineStr">
        <is>
          <t>HAIFENG 11/11/2025</t>
        </is>
      </c>
      <c r="C1016" s="9" t="inlineStr">
        <is>
          <t>2025-11-11</t>
        </is>
      </c>
      <c r="D1016" s="9" t="inlineStr">
        <is>
          <t>56481473264780</t>
        </is>
      </c>
      <c r="E1016" s="9" t="inlineStr">
        <is>
          <t>ANILLO ESLABÓN GOLD</t>
        </is>
      </c>
      <c r="F1016" s="9" t="inlineStr">
        <is>
          <t>8</t>
        </is>
      </c>
      <c r="G1016" s="9" t="n">
        <v>1</v>
      </c>
      <c r="H1016" s="21" t="n">
        <v>6</v>
      </c>
      <c r="I1016" s="21" t="n">
        <v>126.36</v>
      </c>
      <c r="J1016" s="21" t="n">
        <v>379.09</v>
      </c>
      <c r="K1016" s="21" t="n">
        <v>442.27</v>
      </c>
      <c r="L1016" s="21" t="n">
        <v>505.45</v>
      </c>
      <c r="M1016" s="21" t="n">
        <v>520</v>
      </c>
    </row>
    <row r="1017">
      <c r="A1017" s="9" t="inlineStr">
        <is>
          <t>HAIFENG</t>
        </is>
      </c>
      <c r="B1017" s="9" t="inlineStr">
        <is>
          <t>HAIFENG 11/11/2025</t>
        </is>
      </c>
      <c r="C1017" s="9" t="inlineStr">
        <is>
          <t>2025-11-11</t>
        </is>
      </c>
      <c r="D1017" s="9" t="inlineStr">
        <is>
          <t>71036874481164</t>
        </is>
      </c>
      <c r="E1017" s="9" t="inlineStr">
        <is>
          <t>ANILLO LOCK GOLD</t>
        </is>
      </c>
      <c r="F1017" s="9" t="inlineStr">
        <is>
          <t>8</t>
        </is>
      </c>
      <c r="G1017" s="9" t="n">
        <v>4</v>
      </c>
      <c r="H1017" s="21" t="n">
        <v>5</v>
      </c>
      <c r="I1017" s="21" t="n">
        <v>105.3</v>
      </c>
      <c r="J1017" s="21" t="n">
        <v>315.91</v>
      </c>
      <c r="K1017" s="21" t="n">
        <v>368.56</v>
      </c>
      <c r="L1017" s="21" t="n">
        <v>421.21</v>
      </c>
      <c r="M1017" s="21" t="n">
        <v>455</v>
      </c>
    </row>
    <row r="1018">
      <c r="A1018" s="9" t="inlineStr">
        <is>
          <t>HAIFENG</t>
        </is>
      </c>
      <c r="B1018" s="9" t="inlineStr">
        <is>
          <t>HAIFENG 11/11/2025</t>
        </is>
      </c>
      <c r="C1018" s="9" t="inlineStr">
        <is>
          <t>2025-11-11</t>
        </is>
      </c>
      <c r="D1018" s="9" t="inlineStr">
        <is>
          <t>71036874448396</t>
        </is>
      </c>
      <c r="E1018" s="9" t="inlineStr">
        <is>
          <t>ANILLO LOCK GOLD</t>
        </is>
      </c>
      <c r="F1018" s="9" t="inlineStr">
        <is>
          <t>7</t>
        </is>
      </c>
      <c r="G1018" s="9" t="n">
        <v>3</v>
      </c>
      <c r="H1018" s="21" t="n">
        <v>5</v>
      </c>
      <c r="I1018" s="21" t="n">
        <v>105.3</v>
      </c>
      <c r="J1018" s="21" t="n">
        <v>315.91</v>
      </c>
      <c r="K1018" s="21" t="n">
        <v>368.56</v>
      </c>
      <c r="L1018" s="21" t="n">
        <v>421.21</v>
      </c>
      <c r="M1018" s="21" t="n">
        <v>454</v>
      </c>
    </row>
    <row r="1019">
      <c r="A1019" s="9" t="inlineStr">
        <is>
          <t>HAIFENG</t>
        </is>
      </c>
      <c r="B1019" s="9" t="inlineStr">
        <is>
          <t>HAIFENG 11/11/2025</t>
        </is>
      </c>
      <c r="C1019" s="9" t="inlineStr">
        <is>
          <t>2025-11-11</t>
        </is>
      </c>
      <c r="D1019" s="9" t="inlineStr">
        <is>
          <t>71036876217868</t>
        </is>
      </c>
      <c r="E1019" s="9" t="inlineStr">
        <is>
          <t>ANILLO LOCK SILVER</t>
        </is>
      </c>
      <c r="F1019" s="9" t="inlineStr">
        <is>
          <t>6</t>
        </is>
      </c>
      <c r="G1019" s="9" t="n">
        <v>2</v>
      </c>
      <c r="H1019" s="21" t="n">
        <v>5</v>
      </c>
      <c r="I1019" s="21" t="n">
        <v>105.3</v>
      </c>
      <c r="J1019" s="21" t="n">
        <v>315.91</v>
      </c>
      <c r="K1019" s="21" t="n">
        <v>368.56</v>
      </c>
      <c r="L1019" s="21" t="n">
        <v>421.21</v>
      </c>
      <c r="M1019" s="21" t="n">
        <v>455</v>
      </c>
    </row>
    <row r="1020">
      <c r="A1020" s="9" t="inlineStr">
        <is>
          <t>HAIFENG</t>
        </is>
      </c>
      <c r="B1020" s="9" t="inlineStr">
        <is>
          <t>HAIFENG 11/11/2025</t>
        </is>
      </c>
      <c r="C1020" s="9" t="inlineStr">
        <is>
          <t>2025-11-11</t>
        </is>
      </c>
      <c r="D1020" s="9" t="inlineStr">
        <is>
          <t>71036876283404</t>
        </is>
      </c>
      <c r="E1020" s="9" t="inlineStr">
        <is>
          <t>ANILLO LOCK SILVER</t>
        </is>
      </c>
      <c r="F1020" s="9" t="inlineStr">
        <is>
          <t>8</t>
        </is>
      </c>
      <c r="G1020" s="9" t="n">
        <v>1</v>
      </c>
      <c r="H1020" s="21" t="n">
        <v>5</v>
      </c>
      <c r="I1020" s="21" t="n">
        <v>105.3</v>
      </c>
      <c r="J1020" s="21" t="n">
        <v>315.91</v>
      </c>
      <c r="K1020" s="21" t="n">
        <v>368.56</v>
      </c>
      <c r="L1020" s="21" t="n">
        <v>421.21</v>
      </c>
      <c r="M1020" s="21" t="n">
        <v>454</v>
      </c>
    </row>
    <row r="1021">
      <c r="A1021" s="9" t="inlineStr">
        <is>
          <t>HAIFENG</t>
        </is>
      </c>
      <c r="B1021" s="9" t="inlineStr">
        <is>
          <t>HAIFENG 11/11/2025</t>
        </is>
      </c>
      <c r="C1021" s="9" t="inlineStr">
        <is>
          <t>2025-11-11</t>
        </is>
      </c>
      <c r="D1021" s="9" t="inlineStr">
        <is>
          <t>82224433666029</t>
        </is>
      </c>
      <c r="E1021" s="9" t="inlineStr">
        <is>
          <t>ANILLO LOVE CON ZIRCONIA GOLD</t>
        </is>
      </c>
      <c r="F1021" s="9" t="inlineStr">
        <is>
          <t>7</t>
        </is>
      </c>
      <c r="G1021" s="9" t="n">
        <v>6</v>
      </c>
      <c r="H1021" s="21" t="n">
        <v>1.8</v>
      </c>
      <c r="I1021" s="21" t="n">
        <v>37.91</v>
      </c>
      <c r="J1021" s="21" t="n">
        <v>113.73</v>
      </c>
      <c r="K1021" s="21" t="n">
        <v>132.68</v>
      </c>
      <c r="L1021" s="21" t="n">
        <v>151.64</v>
      </c>
      <c r="M1021" s="21" t="n">
        <v>450</v>
      </c>
    </row>
    <row r="1022">
      <c r="A1022" s="9" t="inlineStr">
        <is>
          <t>HAIFENG</t>
        </is>
      </c>
      <c r="B1022" s="9" t="inlineStr">
        <is>
          <t>HAIFENG 11/11/2025</t>
        </is>
      </c>
      <c r="C1022" s="9" t="inlineStr">
        <is>
          <t>2025-11-11</t>
        </is>
      </c>
      <c r="D1022" s="9" t="inlineStr">
        <is>
          <t>59436481295405</t>
        </is>
      </c>
      <c r="E1022" s="9" t="inlineStr">
        <is>
          <t>ANILLO LOVE CON ZIRCONIA SILVER</t>
        </is>
      </c>
      <c r="F1022" s="9" t="inlineStr">
        <is>
          <t>7</t>
        </is>
      </c>
      <c r="G1022" s="9" t="n">
        <v>8</v>
      </c>
      <c r="H1022" s="21" t="n">
        <v>1.8</v>
      </c>
      <c r="I1022" s="21" t="n">
        <v>37.91</v>
      </c>
      <c r="J1022" s="21" t="n">
        <v>113.73</v>
      </c>
      <c r="K1022" s="21" t="n">
        <v>132.68</v>
      </c>
      <c r="L1022" s="21" t="n">
        <v>151.64</v>
      </c>
      <c r="M1022" s="21" t="n">
        <v>450</v>
      </c>
    </row>
    <row r="1023">
      <c r="A1023" s="9" t="inlineStr">
        <is>
          <t>HAIFENG</t>
        </is>
      </c>
      <c r="B1023" s="9" t="inlineStr">
        <is>
          <t>HAIFENG 11/11/2025</t>
        </is>
      </c>
      <c r="C1023" s="9" t="inlineStr">
        <is>
          <t>2025-11-11</t>
        </is>
      </c>
      <c r="D1023" s="9" t="inlineStr">
        <is>
          <t>59436481460941</t>
        </is>
      </c>
      <c r="E1023" s="9" t="inlineStr">
        <is>
          <t>ANILLO LOVE CON ZIRCONIA SILVER</t>
        </is>
      </c>
      <c r="F1023" s="9" t="inlineStr">
        <is>
          <t>9</t>
        </is>
      </c>
      <c r="G1023" s="9" t="n">
        <v>4</v>
      </c>
      <c r="H1023" s="21" t="n">
        <v>1.8</v>
      </c>
      <c r="I1023" s="21" t="n">
        <v>37.91</v>
      </c>
      <c r="J1023" s="21" t="n">
        <v>113.73</v>
      </c>
      <c r="K1023" s="21" t="n">
        <v>132.68</v>
      </c>
      <c r="L1023" s="21" t="n">
        <v>151.64</v>
      </c>
      <c r="M1023" s="21" t="n">
        <v>450</v>
      </c>
    </row>
    <row r="1024">
      <c r="A1024" s="9" t="inlineStr">
        <is>
          <t>HAIFENG</t>
        </is>
      </c>
      <c r="B1024" s="9" t="inlineStr">
        <is>
          <t>HAIFENG 11/11/2025</t>
        </is>
      </c>
      <c r="C1024" s="9" t="inlineStr">
        <is>
          <t>2025-11-11</t>
        </is>
      </c>
      <c r="D1024" s="9" t="inlineStr">
        <is>
          <t>66176a3cab809</t>
        </is>
      </c>
      <c r="E1024" s="9" t="inlineStr">
        <is>
          <t>ANILLO LOVE GOLD</t>
        </is>
      </c>
      <c r="F1024" s="9" t="inlineStr">
        <is>
          <t>11</t>
        </is>
      </c>
      <c r="G1024" s="9" t="n">
        <v>4</v>
      </c>
      <c r="H1024" s="21" t="n">
        <v>1.8</v>
      </c>
      <c r="I1024" s="21" t="n">
        <v>37.91</v>
      </c>
      <c r="J1024" s="21" t="n">
        <v>113.73</v>
      </c>
      <c r="K1024" s="21" t="n">
        <v>132.68</v>
      </c>
      <c r="L1024" s="21" t="n">
        <v>151.64</v>
      </c>
      <c r="M1024" s="21" t="n">
        <v>400</v>
      </c>
    </row>
    <row r="1025">
      <c r="A1025" s="9" t="inlineStr">
        <is>
          <t>HAIFENG</t>
        </is>
      </c>
      <c r="B1025" s="9" t="inlineStr">
        <is>
          <t>HAIFENG 11/11/2025</t>
        </is>
      </c>
      <c r="C1025" s="9" t="inlineStr">
        <is>
          <t>2025-11-11</t>
        </is>
      </c>
      <c r="D1025" s="9" t="inlineStr">
        <is>
          <t>66176a3c25a91</t>
        </is>
      </c>
      <c r="E1025" s="9" t="inlineStr">
        <is>
          <t>ANILLO LOVE GOLD</t>
        </is>
      </c>
      <c r="F1025" s="9" t="inlineStr">
        <is>
          <t>10</t>
        </is>
      </c>
      <c r="G1025" s="9" t="n">
        <v>5</v>
      </c>
      <c r="H1025" s="21" t="n">
        <v>1.8</v>
      </c>
      <c r="I1025" s="21" t="n">
        <v>37.91</v>
      </c>
      <c r="J1025" s="21" t="n">
        <v>113.73</v>
      </c>
      <c r="K1025" s="21" t="n">
        <v>132.68</v>
      </c>
      <c r="L1025" s="21" t="n">
        <v>151.64</v>
      </c>
      <c r="M1025" s="21" t="n">
        <v>400</v>
      </c>
    </row>
    <row r="1026">
      <c r="A1026" s="9" t="inlineStr">
        <is>
          <t>HAIFENG</t>
        </is>
      </c>
      <c r="B1026" s="9" t="inlineStr">
        <is>
          <t>HAIFENG 11/11/2025</t>
        </is>
      </c>
      <c r="C1026" s="9" t="inlineStr">
        <is>
          <t>2025-11-11</t>
        </is>
      </c>
      <c r="D1026" s="9" t="inlineStr">
        <is>
          <t>66176a3a6e732</t>
        </is>
      </c>
      <c r="E1026" s="9" t="inlineStr">
        <is>
          <t>ANILLO LOVE GOLD</t>
        </is>
      </c>
      <c r="F1026" s="9" t="inlineStr">
        <is>
          <t>7</t>
        </is>
      </c>
      <c r="G1026" s="9" t="n">
        <v>2</v>
      </c>
      <c r="H1026" s="21" t="n">
        <v>1.8</v>
      </c>
      <c r="I1026" s="21" t="n">
        <v>37.91</v>
      </c>
      <c r="J1026" s="21" t="n">
        <v>113.73</v>
      </c>
      <c r="K1026" s="21" t="n">
        <v>132.68</v>
      </c>
      <c r="L1026" s="21" t="n">
        <v>151.64</v>
      </c>
      <c r="M1026" s="21" t="n">
        <v>400</v>
      </c>
    </row>
    <row r="1027">
      <c r="A1027" s="9" t="inlineStr">
        <is>
          <t>HAIFENG</t>
        </is>
      </c>
      <c r="B1027" s="9" t="inlineStr">
        <is>
          <t>HAIFENG 11/11/2025</t>
        </is>
      </c>
      <c r="C1027" s="9" t="inlineStr">
        <is>
          <t>2025-11-11</t>
        </is>
      </c>
      <c r="D1027" s="9" t="inlineStr">
        <is>
          <t>66176a3b07b47</t>
        </is>
      </c>
      <c r="E1027" s="9" t="inlineStr">
        <is>
          <t>ANILLO LOVE GOLD</t>
        </is>
      </c>
      <c r="F1027" s="9" t="inlineStr">
        <is>
          <t>8</t>
        </is>
      </c>
      <c r="G1027" s="9" t="n">
        <v>6</v>
      </c>
      <c r="H1027" s="21" t="n">
        <v>1.8</v>
      </c>
      <c r="I1027" s="21" t="n">
        <v>37.91</v>
      </c>
      <c r="J1027" s="21" t="n">
        <v>113.73</v>
      </c>
      <c r="K1027" s="21" t="n">
        <v>132.68</v>
      </c>
      <c r="L1027" s="21" t="n">
        <v>151.64</v>
      </c>
      <c r="M1027" s="21" t="n">
        <v>400</v>
      </c>
    </row>
    <row r="1028">
      <c r="A1028" s="9" t="inlineStr">
        <is>
          <t>HAIFENG</t>
        </is>
      </c>
      <c r="B1028" s="9" t="inlineStr">
        <is>
          <t>HAIFENG 11/11/2025</t>
        </is>
      </c>
      <c r="C1028" s="9" t="inlineStr">
        <is>
          <t>2025-11-11</t>
        </is>
      </c>
      <c r="D1028" s="9" t="inlineStr">
        <is>
          <t>2653021516300</t>
        </is>
      </c>
      <c r="E1028" s="9" t="inlineStr">
        <is>
          <t>ANILLO LOVE GOLD ANCHO</t>
        </is>
      </c>
      <c r="F1028" s="9" t="inlineStr">
        <is>
          <t>8</t>
        </is>
      </c>
      <c r="G1028" s="9" t="n">
        <v>2</v>
      </c>
      <c r="H1028" s="21" t="n">
        <v>1.8</v>
      </c>
      <c r="I1028" s="21" t="n">
        <v>37.91</v>
      </c>
      <c r="J1028" s="21" t="n">
        <v>113.73</v>
      </c>
      <c r="K1028" s="21" t="n">
        <v>132.68</v>
      </c>
      <c r="L1028" s="21" t="n">
        <v>151.64</v>
      </c>
      <c r="M1028" s="21" t="n">
        <v>400</v>
      </c>
    </row>
    <row r="1029">
      <c r="A1029" s="9" t="inlineStr">
        <is>
          <t>HAIFENG</t>
        </is>
      </c>
      <c r="B1029" s="9" t="inlineStr">
        <is>
          <t>HAIFENG 11/11/2025</t>
        </is>
      </c>
      <c r="C1029" s="9" t="inlineStr">
        <is>
          <t>2025-11-11</t>
        </is>
      </c>
      <c r="D1029" s="9" t="inlineStr">
        <is>
          <t>2653021483532</t>
        </is>
      </c>
      <c r="E1029" s="9" t="inlineStr">
        <is>
          <t>ANILLO LOVE GOLD ANCHO</t>
        </is>
      </c>
      <c r="F1029" s="9" t="inlineStr">
        <is>
          <t>7</t>
        </is>
      </c>
      <c r="G1029" s="9" t="n">
        <v>1</v>
      </c>
      <c r="H1029" s="21" t="n">
        <v>1.8</v>
      </c>
      <c r="I1029" s="21" t="n">
        <v>37.91</v>
      </c>
      <c r="J1029" s="21" t="n">
        <v>113.73</v>
      </c>
      <c r="K1029" s="21" t="n">
        <v>132.68</v>
      </c>
      <c r="L1029" s="21" t="n">
        <v>151.64</v>
      </c>
      <c r="M1029" s="21" t="n">
        <v>400</v>
      </c>
    </row>
    <row r="1030">
      <c r="A1030" s="9" t="inlineStr">
        <is>
          <t>HAIFENG</t>
        </is>
      </c>
      <c r="B1030" s="9" t="inlineStr">
        <is>
          <t>HAIFENG 11/11/2025</t>
        </is>
      </c>
      <c r="C1030" s="9" t="inlineStr">
        <is>
          <t>2025-11-11</t>
        </is>
      </c>
      <c r="D1030" s="9" t="inlineStr">
        <is>
          <t>2653021549068</t>
        </is>
      </c>
      <c r="E1030" s="9" t="inlineStr">
        <is>
          <t>ANILLO LOVE GOLD ANCHO</t>
        </is>
      </c>
      <c r="F1030" s="9" t="inlineStr">
        <is>
          <t>9</t>
        </is>
      </c>
      <c r="G1030" s="9" t="n">
        <v>1</v>
      </c>
      <c r="H1030" s="21" t="n">
        <v>1.8</v>
      </c>
      <c r="I1030" s="21" t="n">
        <v>37.91</v>
      </c>
      <c r="J1030" s="21" t="n">
        <v>113.73</v>
      </c>
      <c r="K1030" s="21" t="n">
        <v>132.68</v>
      </c>
      <c r="L1030" s="21" t="n">
        <v>151.64</v>
      </c>
      <c r="M1030" s="21" t="n">
        <v>400</v>
      </c>
    </row>
    <row r="1031">
      <c r="A1031" s="9" t="inlineStr">
        <is>
          <t>HAIFENG</t>
        </is>
      </c>
      <c r="B1031" s="9" t="inlineStr">
        <is>
          <t>HAIFENG 11/11/2025</t>
        </is>
      </c>
      <c r="C1031" s="9" t="inlineStr">
        <is>
          <t>2025-11-11</t>
        </is>
      </c>
      <c r="D1031" s="9" t="inlineStr">
        <is>
          <t>66176c9121303</t>
        </is>
      </c>
      <c r="E1031" s="9" t="inlineStr">
        <is>
          <t>ANILLO LOVE GOLD ANCHO CON ZIRCONIA</t>
        </is>
      </c>
      <c r="F1031" s="9" t="inlineStr">
        <is>
          <t>6</t>
        </is>
      </c>
      <c r="G1031" s="9" t="n">
        <v>7</v>
      </c>
      <c r="H1031" s="21" t="n">
        <v>1.8</v>
      </c>
      <c r="I1031" s="21" t="n">
        <v>37.91</v>
      </c>
      <c r="J1031" s="21" t="n">
        <v>113.73</v>
      </c>
      <c r="K1031" s="21" t="n">
        <v>132.68</v>
      </c>
      <c r="L1031" s="21" t="n">
        <v>151.64</v>
      </c>
      <c r="M1031" s="21" t="n">
        <v>450</v>
      </c>
    </row>
    <row r="1032">
      <c r="A1032" s="9" t="inlineStr">
        <is>
          <t>HAIFENG</t>
        </is>
      </c>
      <c r="B1032" s="9" t="inlineStr">
        <is>
          <t>HAIFENG 11/11/2025</t>
        </is>
      </c>
      <c r="C1032" s="9" t="inlineStr">
        <is>
          <t>2025-11-11</t>
        </is>
      </c>
      <c r="D1032" s="9" t="inlineStr">
        <is>
          <t>66176c91b3d77</t>
        </is>
      </c>
      <c r="E1032" s="9" t="inlineStr">
        <is>
          <t>ANILLO LOVE GOLD ANCHO CON ZIRCONIA</t>
        </is>
      </c>
      <c r="F1032" s="9" t="inlineStr">
        <is>
          <t>7</t>
        </is>
      </c>
      <c r="G1032" s="9" t="n">
        <v>8</v>
      </c>
      <c r="H1032" s="21" t="n">
        <v>1.8</v>
      </c>
      <c r="I1032" s="21" t="n">
        <v>37.91</v>
      </c>
      <c r="J1032" s="21" t="n">
        <v>113.73</v>
      </c>
      <c r="K1032" s="21" t="n">
        <v>132.68</v>
      </c>
      <c r="L1032" s="21" t="n">
        <v>151.64</v>
      </c>
      <c r="M1032" s="21" t="n">
        <v>450</v>
      </c>
    </row>
    <row r="1033">
      <c r="A1033" s="9" t="inlineStr">
        <is>
          <t>HAIFENG</t>
        </is>
      </c>
      <c r="B1033" s="9" t="inlineStr">
        <is>
          <t>HAIFENG 11/11/2025</t>
        </is>
      </c>
      <c r="C1033" s="9" t="inlineStr">
        <is>
          <t>2025-11-11</t>
        </is>
      </c>
      <c r="D1033" s="9" t="inlineStr">
        <is>
          <t>66176c92ddb57</t>
        </is>
      </c>
      <c r="E1033" s="9" t="inlineStr">
        <is>
          <t>ANILLO LOVE GOLD ANCHO CON ZIRCONIA</t>
        </is>
      </c>
      <c r="F1033" s="9" t="inlineStr">
        <is>
          <t>9</t>
        </is>
      </c>
      <c r="G1033" s="9" t="n">
        <v>2</v>
      </c>
      <c r="H1033" s="21" t="n">
        <v>1.8</v>
      </c>
      <c r="I1033" s="21" t="n">
        <v>37.91</v>
      </c>
      <c r="J1033" s="21" t="n">
        <v>113.73</v>
      </c>
      <c r="K1033" s="21" t="n">
        <v>132.68</v>
      </c>
      <c r="L1033" s="21" t="n">
        <v>151.64</v>
      </c>
      <c r="M1033" s="21" t="n">
        <v>450</v>
      </c>
    </row>
    <row r="1034">
      <c r="A1034" s="9" t="inlineStr">
        <is>
          <t>HAIFENG</t>
        </is>
      </c>
      <c r="B1034" s="9" t="inlineStr">
        <is>
          <t>HAIFENG 11/11/2025</t>
        </is>
      </c>
      <c r="C1034" s="9" t="inlineStr">
        <is>
          <t>2025-11-11</t>
        </is>
      </c>
      <c r="D1034" s="9" t="inlineStr">
        <is>
          <t>66176c9121303</t>
        </is>
      </c>
      <c r="E1034" s="9" t="inlineStr">
        <is>
          <t>ANILLO LOVE GOLD ANCHO CON ZIRCONIA</t>
        </is>
      </c>
      <c r="F1034" s="9" t="inlineStr">
        <is>
          <t>6</t>
        </is>
      </c>
      <c r="G1034" s="9" t="n">
        <v>5</v>
      </c>
      <c r="H1034" s="21" t="n">
        <v>1.8</v>
      </c>
      <c r="I1034" s="21" t="n">
        <v>37.91</v>
      </c>
      <c r="J1034" s="21" t="n">
        <v>113.73</v>
      </c>
      <c r="K1034" s="21" t="n">
        <v>132.68</v>
      </c>
      <c r="L1034" s="21" t="n">
        <v>151.64</v>
      </c>
      <c r="M1034" s="21" t="n">
        <v>450</v>
      </c>
    </row>
    <row r="1035">
      <c r="A1035" s="9" t="inlineStr">
        <is>
          <t>HAIFENG</t>
        </is>
      </c>
      <c r="B1035" s="9" t="inlineStr">
        <is>
          <t>HAIFENG 11/11/2025</t>
        </is>
      </c>
      <c r="C1035" s="9" t="inlineStr">
        <is>
          <t>2025-11-11</t>
        </is>
      </c>
      <c r="D1035" s="9" t="inlineStr">
        <is>
          <t>66593bc339714</t>
        </is>
      </c>
      <c r="E1035" s="9" t="inlineStr">
        <is>
          <t>ANILLO LOVE MZ SILVER</t>
        </is>
      </c>
      <c r="F1035" s="9" t="inlineStr">
        <is>
          <t>7</t>
        </is>
      </c>
      <c r="G1035" s="9" t="n">
        <v>1</v>
      </c>
      <c r="H1035" s="21" t="n">
        <v>5.8</v>
      </c>
      <c r="I1035" s="21" t="n">
        <v>122.15</v>
      </c>
      <c r="J1035" s="21" t="n">
        <v>366.45</v>
      </c>
      <c r="K1035" s="21" t="n">
        <v>427.53</v>
      </c>
      <c r="L1035" s="21" t="n">
        <v>488.6</v>
      </c>
      <c r="M1035" s="21" t="n">
        <v>550</v>
      </c>
    </row>
    <row r="1036">
      <c r="A1036" s="9" t="inlineStr">
        <is>
          <t>HAIFENG</t>
        </is>
      </c>
      <c r="B1036" s="9" t="inlineStr">
        <is>
          <t>HAIFENG 11/11/2025</t>
        </is>
      </c>
      <c r="C1036" s="9" t="inlineStr">
        <is>
          <t>2025-11-11</t>
        </is>
      </c>
      <c r="D1036" s="9" t="inlineStr">
        <is>
          <t>66176c8d6ed4d</t>
        </is>
      </c>
      <c r="E1036" s="9" t="inlineStr">
        <is>
          <t>ANILLO LOVE ROSE GOLD ANCHO</t>
        </is>
      </c>
      <c r="F1036" s="9" t="inlineStr">
        <is>
          <t>11</t>
        </is>
      </c>
      <c r="G1036" s="9" t="n">
        <v>2</v>
      </c>
      <c r="H1036" s="21" t="n">
        <v>1.8</v>
      </c>
      <c r="I1036" s="21" t="n">
        <v>37.91</v>
      </c>
      <c r="J1036" s="21" t="n">
        <v>113.73</v>
      </c>
      <c r="K1036" s="21" t="n">
        <v>132.68</v>
      </c>
      <c r="L1036" s="21" t="n">
        <v>151.64</v>
      </c>
      <c r="M1036" s="21" t="n">
        <v>400</v>
      </c>
    </row>
    <row r="1037">
      <c r="A1037" s="9" t="inlineStr">
        <is>
          <t>HAIFENG</t>
        </is>
      </c>
      <c r="B1037" s="9" t="inlineStr">
        <is>
          <t>HAIFENG 11/11/2025</t>
        </is>
      </c>
      <c r="C1037" s="9" t="inlineStr">
        <is>
          <t>2025-11-11</t>
        </is>
      </c>
      <c r="D1037" s="9" t="inlineStr">
        <is>
          <t>66176c8c6241e</t>
        </is>
      </c>
      <c r="E1037" s="9" t="inlineStr">
        <is>
          <t>ANILLO LOVE ROSE GOLD ANCHO</t>
        </is>
      </c>
      <c r="F1037" s="9" t="inlineStr">
        <is>
          <t>9</t>
        </is>
      </c>
      <c r="G1037" s="9" t="n">
        <v>2</v>
      </c>
      <c r="H1037" s="21" t="n">
        <v>1.8</v>
      </c>
      <c r="I1037" s="21" t="n">
        <v>37.91</v>
      </c>
      <c r="J1037" s="21" t="n">
        <v>113.73</v>
      </c>
      <c r="K1037" s="21" t="n">
        <v>132.68</v>
      </c>
      <c r="L1037" s="21" t="n">
        <v>151.64</v>
      </c>
      <c r="M1037" s="21" t="n">
        <v>400</v>
      </c>
    </row>
    <row r="1038">
      <c r="A1038" s="9" t="inlineStr">
        <is>
          <t>HAIFENG</t>
        </is>
      </c>
      <c r="B1038" s="9" t="inlineStr">
        <is>
          <t>HAIFENG 11/11/2025</t>
        </is>
      </c>
      <c r="C1038" s="9" t="inlineStr">
        <is>
          <t>2025-11-11</t>
        </is>
      </c>
      <c r="D1038" s="9" t="inlineStr">
        <is>
          <t>67762863713709</t>
        </is>
      </c>
      <c r="E1038" s="9" t="inlineStr">
        <is>
          <t>ANILLO LOVE ROSE GOLD ANCHO</t>
        </is>
      </c>
      <c r="F1038" s="9" t="inlineStr">
        <is>
          <t>5</t>
        </is>
      </c>
      <c r="G1038" s="9" t="n">
        <v>1</v>
      </c>
      <c r="H1038" s="21" t="n">
        <v>1.8</v>
      </c>
      <c r="I1038" s="21" t="n">
        <v>37.91</v>
      </c>
      <c r="J1038" s="21" t="n">
        <v>113.73</v>
      </c>
      <c r="K1038" s="21" t="n">
        <v>132.68</v>
      </c>
      <c r="L1038" s="21" t="n">
        <v>151.64</v>
      </c>
      <c r="M1038" s="21" t="n">
        <v>400</v>
      </c>
    </row>
    <row r="1039">
      <c r="A1039" s="9" t="inlineStr">
        <is>
          <t>HAIFENG</t>
        </is>
      </c>
      <c r="B1039" s="9" t="inlineStr">
        <is>
          <t>HAIFENG 11/11/2025</t>
        </is>
      </c>
      <c r="C1039" s="9" t="inlineStr">
        <is>
          <t>2025-11-11</t>
        </is>
      </c>
      <c r="D1039" s="9" t="inlineStr">
        <is>
          <t>66176c8589787</t>
        </is>
      </c>
      <c r="E1039" s="9" t="inlineStr">
        <is>
          <t>ANILLO LOVE SILVER</t>
        </is>
      </c>
      <c r="F1039" s="9" t="inlineStr">
        <is>
          <t>8</t>
        </is>
      </c>
      <c r="G1039" s="9" t="n">
        <v>8</v>
      </c>
      <c r="H1039" s="21" t="n">
        <v>1.8</v>
      </c>
      <c r="I1039" s="21" t="n">
        <v>37.91</v>
      </c>
      <c r="J1039" s="21" t="n">
        <v>113.73</v>
      </c>
      <c r="K1039" s="21" t="n">
        <v>132.68</v>
      </c>
      <c r="L1039" s="21" t="n">
        <v>151.64</v>
      </c>
      <c r="M1039" s="21" t="n">
        <v>400</v>
      </c>
    </row>
    <row r="1040">
      <c r="A1040" s="9" t="inlineStr">
        <is>
          <t>HAIFENG</t>
        </is>
      </c>
      <c r="B1040" s="9" t="inlineStr">
        <is>
          <t>HAIFENG 11/11/2025</t>
        </is>
      </c>
      <c r="C1040" s="9" t="inlineStr">
        <is>
          <t>2025-11-11</t>
        </is>
      </c>
      <c r="D1040" s="9" t="inlineStr">
        <is>
          <t>66176c8628af3</t>
        </is>
      </c>
      <c r="E1040" s="9" t="inlineStr">
        <is>
          <t>ANILLO LOVE SILVER</t>
        </is>
      </c>
      <c r="F1040" s="9" t="inlineStr">
        <is>
          <t>9</t>
        </is>
      </c>
      <c r="G1040" s="9" t="n">
        <v>2</v>
      </c>
      <c r="H1040" s="21" t="n">
        <v>1.8</v>
      </c>
      <c r="I1040" s="21" t="n">
        <v>37.91</v>
      </c>
      <c r="J1040" s="21" t="n">
        <v>113.73</v>
      </c>
      <c r="K1040" s="21" t="n">
        <v>132.68</v>
      </c>
      <c r="L1040" s="21" t="n">
        <v>151.64</v>
      </c>
      <c r="M1040" s="21" t="n">
        <v>400</v>
      </c>
    </row>
    <row r="1041">
      <c r="A1041" s="9" t="inlineStr">
        <is>
          <t>HAIFENG</t>
        </is>
      </c>
      <c r="B1041" s="9" t="inlineStr">
        <is>
          <t>HAIFENG 11/11/2025</t>
        </is>
      </c>
      <c r="C1041" s="9" t="inlineStr">
        <is>
          <t>2025-11-11</t>
        </is>
      </c>
      <c r="D1041" s="9" t="inlineStr">
        <is>
          <t>66176c8482af4</t>
        </is>
      </c>
      <c r="E1041" s="9" t="inlineStr">
        <is>
          <t>ANILLO LOVE SILVER</t>
        </is>
      </c>
      <c r="F1041" s="9" t="inlineStr">
        <is>
          <t>6</t>
        </is>
      </c>
      <c r="G1041" s="9" t="n">
        <v>3</v>
      </c>
      <c r="H1041" s="21" t="n">
        <v>1.8</v>
      </c>
      <c r="I1041" s="21" t="n">
        <v>37.91</v>
      </c>
      <c r="J1041" s="21" t="n">
        <v>113.73</v>
      </c>
      <c r="K1041" s="21" t="n">
        <v>132.68</v>
      </c>
      <c r="L1041" s="21" t="n">
        <v>151.64</v>
      </c>
      <c r="M1041" s="21" t="n">
        <v>400</v>
      </c>
    </row>
    <row r="1042">
      <c r="A1042" s="9" t="inlineStr">
        <is>
          <t>HAIFENG</t>
        </is>
      </c>
      <c r="B1042" s="9" t="inlineStr">
        <is>
          <t>HAIFENG 11/11/2025</t>
        </is>
      </c>
      <c r="C1042" s="9" t="inlineStr">
        <is>
          <t>2025-11-11</t>
        </is>
      </c>
      <c r="D1042" s="9" t="inlineStr">
        <is>
          <t>2653036169356</t>
        </is>
      </c>
      <c r="E1042" s="9" t="inlineStr">
        <is>
          <t>ANILLO LOVE SILVER ANCHO</t>
        </is>
      </c>
      <c r="F1042" s="9" t="inlineStr">
        <is>
          <t>8</t>
        </is>
      </c>
      <c r="G1042" s="9" t="n">
        <v>5</v>
      </c>
      <c r="H1042" s="21" t="n">
        <v>1.8</v>
      </c>
      <c r="I1042" s="21" t="n">
        <v>37.91</v>
      </c>
      <c r="J1042" s="21" t="n">
        <v>113.73</v>
      </c>
      <c r="K1042" s="21" t="n">
        <v>132.68</v>
      </c>
      <c r="L1042" s="21" t="n">
        <v>151.64</v>
      </c>
      <c r="M1042" s="21" t="n">
        <v>400</v>
      </c>
    </row>
    <row r="1043">
      <c r="A1043" s="9" t="inlineStr">
        <is>
          <t>HAIFENG</t>
        </is>
      </c>
      <c r="B1043" s="9" t="inlineStr">
        <is>
          <t>HAIFENG 11/11/2025</t>
        </is>
      </c>
      <c r="C1043" s="9" t="inlineStr">
        <is>
          <t>2025-11-11</t>
        </is>
      </c>
      <c r="D1043" s="9" t="inlineStr">
        <is>
          <t>2653036169356</t>
        </is>
      </c>
      <c r="E1043" s="9" t="inlineStr">
        <is>
          <t>ANILLO LOVE SILVER ANCHO</t>
        </is>
      </c>
      <c r="F1043" s="9" t="inlineStr">
        <is>
          <t>8</t>
        </is>
      </c>
      <c r="G1043" s="9" t="n">
        <v>4</v>
      </c>
      <c r="H1043" s="21" t="n">
        <v>1.8</v>
      </c>
      <c r="I1043" s="21" t="n">
        <v>37.91</v>
      </c>
      <c r="J1043" s="21" t="n">
        <v>113.73</v>
      </c>
      <c r="K1043" s="21" t="n">
        <v>132.68</v>
      </c>
      <c r="L1043" s="21" t="n">
        <v>151.64</v>
      </c>
      <c r="M1043" s="21" t="n">
        <v>400</v>
      </c>
    </row>
    <row r="1044">
      <c r="A1044" s="9" t="inlineStr">
        <is>
          <t>HAIFENG</t>
        </is>
      </c>
      <c r="B1044" s="9" t="inlineStr">
        <is>
          <t>HAIFENG 11/11/2025</t>
        </is>
      </c>
      <c r="C1044" s="9" t="inlineStr">
        <is>
          <t>2025-11-11</t>
        </is>
      </c>
      <c r="D1044" s="9" t="inlineStr">
        <is>
          <t>2653036202124</t>
        </is>
      </c>
      <c r="E1044" s="9" t="inlineStr">
        <is>
          <t>ANILLO LOVE SILVER ANCHO</t>
        </is>
      </c>
      <c r="F1044" s="9" t="inlineStr">
        <is>
          <t>9</t>
        </is>
      </c>
      <c r="G1044" s="9" t="n">
        <v>4</v>
      </c>
      <c r="H1044" s="21" t="n">
        <v>1.8</v>
      </c>
      <c r="I1044" s="21" t="n">
        <v>37.91</v>
      </c>
      <c r="J1044" s="21" t="n">
        <v>113.73</v>
      </c>
      <c r="K1044" s="21" t="n">
        <v>132.68</v>
      </c>
      <c r="L1044" s="21" t="n">
        <v>151.64</v>
      </c>
      <c r="M1044" s="21" t="n">
        <v>400</v>
      </c>
    </row>
    <row r="1045">
      <c r="A1045" s="9" t="inlineStr">
        <is>
          <t>HAIFENG</t>
        </is>
      </c>
      <c r="B1045" s="9" t="inlineStr">
        <is>
          <t>HAIFENG 11/11/2025</t>
        </is>
      </c>
      <c r="C1045" s="9" t="inlineStr">
        <is>
          <t>2025-11-11</t>
        </is>
      </c>
      <c r="D1045" s="9" t="inlineStr">
        <is>
          <t>21206411294893</t>
        </is>
      </c>
      <c r="E1045" s="9" t="inlineStr">
        <is>
          <t>ANILLO LOVE UNLIMITED GOLD</t>
        </is>
      </c>
      <c r="F1045" s="9" t="inlineStr">
        <is>
          <t>6</t>
        </is>
      </c>
      <c r="G1045" s="9" t="n">
        <v>4</v>
      </c>
      <c r="H1045" s="21" t="n">
        <v>5</v>
      </c>
      <c r="I1045" s="21" t="n">
        <v>105.3</v>
      </c>
      <c r="J1045" s="21" t="n">
        <v>315.91</v>
      </c>
      <c r="K1045" s="21" t="n">
        <v>368.56</v>
      </c>
      <c r="L1045" s="21" t="n">
        <v>421.21</v>
      </c>
      <c r="M1045" s="21" t="n">
        <v>550</v>
      </c>
    </row>
    <row r="1046">
      <c r="A1046" s="9" t="inlineStr">
        <is>
          <t>HAIFENG</t>
        </is>
      </c>
      <c r="B1046" s="9" t="inlineStr">
        <is>
          <t>HAIFENG 11/11/2025</t>
        </is>
      </c>
      <c r="C1046" s="9" t="inlineStr">
        <is>
          <t>2025-11-11</t>
        </is>
      </c>
      <c r="D1046" s="9" t="inlineStr">
        <is>
          <t>21206411327661</t>
        </is>
      </c>
      <c r="E1046" s="9" t="inlineStr">
        <is>
          <t>ANILLO LOVE UNLIMITED GOLD</t>
        </is>
      </c>
      <c r="F1046" s="9" t="inlineStr">
        <is>
          <t>7</t>
        </is>
      </c>
      <c r="G1046" s="9" t="n">
        <v>3</v>
      </c>
      <c r="H1046" s="21" t="n">
        <v>5</v>
      </c>
      <c r="I1046" s="21" t="n">
        <v>105.3</v>
      </c>
      <c r="J1046" s="21" t="n">
        <v>315.91</v>
      </c>
      <c r="K1046" s="21" t="n">
        <v>368.56</v>
      </c>
      <c r="L1046" s="21" t="n">
        <v>421.21</v>
      </c>
      <c r="M1046" s="21" t="n">
        <v>550</v>
      </c>
    </row>
    <row r="1047">
      <c r="A1047" s="9" t="inlineStr">
        <is>
          <t>HAIFENG</t>
        </is>
      </c>
      <c r="B1047" s="9" t="inlineStr">
        <is>
          <t>HAIFENG 11/11/2025</t>
        </is>
      </c>
      <c r="C1047" s="9" t="inlineStr">
        <is>
          <t>2025-11-11</t>
        </is>
      </c>
      <c r="D1047" s="9" t="inlineStr">
        <is>
          <t>21206411460429</t>
        </is>
      </c>
      <c r="E1047" s="9" t="inlineStr">
        <is>
          <t>ANILLO LOVE UNLIMITED GOLD</t>
        </is>
      </c>
      <c r="F1047" s="9" t="inlineStr">
        <is>
          <t>8</t>
        </is>
      </c>
      <c r="G1047" s="9" t="n">
        <v>3</v>
      </c>
      <c r="H1047" s="21" t="n">
        <v>5</v>
      </c>
      <c r="I1047" s="21" t="n">
        <v>105.3</v>
      </c>
      <c r="J1047" s="21" t="n">
        <v>315.91</v>
      </c>
      <c r="K1047" s="21" t="n">
        <v>368.56</v>
      </c>
      <c r="L1047" s="21" t="n">
        <v>421.21</v>
      </c>
      <c r="M1047" s="21" t="n">
        <v>550</v>
      </c>
    </row>
    <row r="1048">
      <c r="A1048" s="9" t="inlineStr">
        <is>
          <t>HAIFENG</t>
        </is>
      </c>
      <c r="B1048" s="9" t="inlineStr">
        <is>
          <t>HAIFENG 11/11/2025</t>
        </is>
      </c>
      <c r="C1048" s="9" t="inlineStr">
        <is>
          <t>2025-11-11</t>
        </is>
      </c>
      <c r="D1048" s="9" t="inlineStr">
        <is>
          <t>21206411184717</t>
        </is>
      </c>
      <c r="E1048" s="9" t="inlineStr">
        <is>
          <t>ANILLO LOVE UNLIMITED ROSE GOLD</t>
        </is>
      </c>
      <c r="F1048" s="9" t="inlineStr">
        <is>
          <t>7</t>
        </is>
      </c>
      <c r="G1048" s="9" t="n">
        <v>3</v>
      </c>
      <c r="H1048" s="21" t="n">
        <v>5</v>
      </c>
      <c r="I1048" s="21" t="n">
        <v>105.3</v>
      </c>
      <c r="J1048" s="21" t="n">
        <v>315.91</v>
      </c>
      <c r="K1048" s="21" t="n">
        <v>368.56</v>
      </c>
      <c r="L1048" s="21" t="n">
        <v>421.21</v>
      </c>
      <c r="M1048" s="21" t="n">
        <v>550</v>
      </c>
    </row>
    <row r="1049">
      <c r="A1049" s="9" t="inlineStr">
        <is>
          <t>HAIFENG</t>
        </is>
      </c>
      <c r="B1049" s="9" t="inlineStr">
        <is>
          <t>HAIFENG 11/11/2025</t>
        </is>
      </c>
      <c r="C1049" s="9" t="inlineStr">
        <is>
          <t>2025-11-11</t>
        </is>
      </c>
      <c r="D1049" s="9" t="inlineStr">
        <is>
          <t>21206411515789</t>
        </is>
      </c>
      <c r="E1049" s="9" t="inlineStr">
        <is>
          <t>ANILLO LOVE UNLIMITED SILVER</t>
        </is>
      </c>
      <c r="F1049" s="9" t="inlineStr">
        <is>
          <t>6</t>
        </is>
      </c>
      <c r="G1049" s="9" t="n">
        <v>3</v>
      </c>
      <c r="H1049" s="21" t="n">
        <v>5</v>
      </c>
      <c r="I1049" s="21" t="n">
        <v>105.3</v>
      </c>
      <c r="J1049" s="21" t="n">
        <v>315.91</v>
      </c>
      <c r="K1049" s="21" t="n">
        <v>368.56</v>
      </c>
      <c r="L1049" s="21" t="n">
        <v>421.21</v>
      </c>
      <c r="M1049" s="21" t="n">
        <v>550</v>
      </c>
    </row>
    <row r="1050">
      <c r="A1050" s="9" t="inlineStr">
        <is>
          <t>HAIFENG</t>
        </is>
      </c>
      <c r="B1050" s="9" t="inlineStr">
        <is>
          <t>HAIFENG 11/11/2025</t>
        </is>
      </c>
      <c r="C1050" s="9" t="inlineStr">
        <is>
          <t>2025-11-11</t>
        </is>
      </c>
      <c r="D1050" s="9" t="inlineStr">
        <is>
          <t>21206421648557</t>
        </is>
      </c>
      <c r="E1050" s="9" t="inlineStr">
        <is>
          <t>ANILLO LOVE UNLIMITED SILVER</t>
        </is>
      </c>
      <c r="F1050" s="9" t="inlineStr">
        <is>
          <t>7</t>
        </is>
      </c>
      <c r="G1050" s="9" t="n">
        <v>3</v>
      </c>
      <c r="H1050" s="21" t="n">
        <v>5</v>
      </c>
      <c r="I1050" s="21" t="n">
        <v>105.3</v>
      </c>
      <c r="J1050" s="21" t="n">
        <v>315.91</v>
      </c>
      <c r="K1050" s="21" t="n">
        <v>368.56</v>
      </c>
      <c r="L1050" s="21" t="n">
        <v>421.21</v>
      </c>
      <c r="M1050" s="21" t="n">
        <v>550</v>
      </c>
    </row>
    <row r="1051">
      <c r="A1051" s="9" t="inlineStr">
        <is>
          <t>HAIFENG</t>
        </is>
      </c>
      <c r="B1051" s="9" t="inlineStr">
        <is>
          <t>HAIFENG 11/11/2025</t>
        </is>
      </c>
      <c r="C1051" s="9" t="inlineStr">
        <is>
          <t>2025-11-11</t>
        </is>
      </c>
      <c r="D1051" s="9" t="inlineStr">
        <is>
          <t>21206421781325</t>
        </is>
      </c>
      <c r="E1051" s="9" t="inlineStr">
        <is>
          <t>ANILLO LOVE UNLIMITED SILVER</t>
        </is>
      </c>
      <c r="F1051" s="9" t="inlineStr">
        <is>
          <t>8</t>
        </is>
      </c>
      <c r="G1051" s="9" t="n">
        <v>3</v>
      </c>
      <c r="H1051" s="21" t="n">
        <v>5</v>
      </c>
      <c r="I1051" s="21" t="n">
        <v>105.3</v>
      </c>
      <c r="J1051" s="21" t="n">
        <v>315.91</v>
      </c>
      <c r="K1051" s="21" t="n">
        <v>368.56</v>
      </c>
      <c r="L1051" s="21" t="n">
        <v>421.21</v>
      </c>
      <c r="M1051" s="21" t="n">
        <v>550</v>
      </c>
    </row>
    <row r="1052">
      <c r="A1052" s="9" t="inlineStr">
        <is>
          <t>HAIFENG</t>
        </is>
      </c>
      <c r="B1052" s="9" t="inlineStr">
        <is>
          <t>HAIFENG 11/11/2025</t>
        </is>
      </c>
      <c r="C1052" s="9" t="inlineStr">
        <is>
          <t>2025-11-11</t>
        </is>
      </c>
      <c r="D1052" s="9" t="inlineStr">
        <is>
          <t>67201534320493</t>
        </is>
      </c>
      <c r="E1052" s="9" t="inlineStr">
        <is>
          <t>ANILLO MINI BEAN T SILVER</t>
        </is>
      </c>
      <c r="F1052" s="9" t="inlineStr">
        <is>
          <t>7</t>
        </is>
      </c>
      <c r="G1052" s="9" t="n">
        <v>3</v>
      </c>
      <c r="H1052" s="21" t="n">
        <v>5</v>
      </c>
      <c r="I1052" s="21" t="n">
        <v>105.3</v>
      </c>
      <c r="J1052" s="21" t="n">
        <v>315.91</v>
      </c>
      <c r="K1052" s="21" t="n">
        <v>368.56</v>
      </c>
      <c r="L1052" s="21" t="n">
        <v>421.21</v>
      </c>
      <c r="M1052" s="21" t="n">
        <v>495</v>
      </c>
    </row>
    <row r="1053">
      <c r="A1053" s="9" t="inlineStr">
        <is>
          <t>HAIFENG</t>
        </is>
      </c>
      <c r="B1053" s="9" t="inlineStr">
        <is>
          <t>HAIFENG 11/11/2025</t>
        </is>
      </c>
      <c r="C1053" s="9" t="inlineStr">
        <is>
          <t>2025-11-11</t>
        </is>
      </c>
      <c r="D1053" s="9" t="inlineStr">
        <is>
          <t>43047225884812</t>
        </is>
      </c>
      <c r="E1053" s="9" t="inlineStr">
        <is>
          <t>ANILLO ONE T GOLD</t>
        </is>
      </c>
      <c r="F1053" s="9" t="inlineStr">
        <is>
          <t>6</t>
        </is>
      </c>
      <c r="G1053" s="9" t="n">
        <v>3</v>
      </c>
      <c r="H1053" s="21" t="n">
        <v>4</v>
      </c>
      <c r="I1053" s="21" t="n">
        <v>84.23999999999999</v>
      </c>
      <c r="J1053" s="21" t="n">
        <v>252.73</v>
      </c>
      <c r="K1053" s="21" t="n">
        <v>294.85</v>
      </c>
      <c r="L1053" s="21" t="n">
        <v>336.97</v>
      </c>
      <c r="M1053" s="21" t="n">
        <v>499</v>
      </c>
    </row>
    <row r="1054">
      <c r="A1054" s="9" t="inlineStr">
        <is>
          <t>HAIFENG</t>
        </is>
      </c>
      <c r="B1054" s="9" t="inlineStr">
        <is>
          <t>HAIFENG 11/11/2025</t>
        </is>
      </c>
      <c r="C1054" s="9" t="inlineStr">
        <is>
          <t>2025-11-11</t>
        </is>
      </c>
      <c r="D1054" s="9" t="inlineStr">
        <is>
          <t>673cd55d87e7f</t>
        </is>
      </c>
      <c r="E1054" s="9" t="inlineStr">
        <is>
          <t>ANILLO ONE T ROSEGOLD</t>
        </is>
      </c>
      <c r="F1054" s="9" t="inlineStr">
        <is>
          <t>7</t>
        </is>
      </c>
      <c r="G1054" s="9" t="n">
        <v>1</v>
      </c>
      <c r="H1054" s="21" t="n">
        <v>4</v>
      </c>
      <c r="I1054" s="21" t="n">
        <v>84.23999999999999</v>
      </c>
      <c r="J1054" s="21" t="n">
        <v>252.73</v>
      </c>
      <c r="K1054" s="21" t="n">
        <v>294.85</v>
      </c>
      <c r="L1054" s="21" t="n">
        <v>336.97</v>
      </c>
      <c r="M1054" s="21" t="n">
        <v>400</v>
      </c>
    </row>
    <row r="1055">
      <c r="A1055" s="9" t="inlineStr">
        <is>
          <t>HAIFENG</t>
        </is>
      </c>
      <c r="B1055" s="9" t="inlineStr">
        <is>
          <t>HAIFENG 11/11/2025</t>
        </is>
      </c>
      <c r="C1055" s="9" t="inlineStr">
        <is>
          <t>2025-11-11</t>
        </is>
      </c>
      <c r="D1055" s="9" t="inlineStr">
        <is>
          <t>47861321014669</t>
        </is>
      </c>
      <c r="E1055" s="9" t="inlineStr">
        <is>
          <t>ANILLO PANTHERE BIG GOLD C</t>
        </is>
      </c>
      <c r="F1055" s="9" t="inlineStr">
        <is>
          <t>Default Title</t>
        </is>
      </c>
      <c r="G1055" s="9" t="n">
        <v>4</v>
      </c>
      <c r="H1055" s="21" t="n">
        <v>9</v>
      </c>
      <c r="I1055" s="21" t="n">
        <v>189.54</v>
      </c>
      <c r="J1055" s="21" t="n">
        <v>568.63</v>
      </c>
      <c r="K1055" s="21" t="n">
        <v>663.41</v>
      </c>
      <c r="L1055" s="21" t="n">
        <v>758.1799999999999</v>
      </c>
      <c r="M1055" s="21" t="n">
        <v>750</v>
      </c>
    </row>
    <row r="1056">
      <c r="A1056" s="9" t="inlineStr">
        <is>
          <t>HAIFENG</t>
        </is>
      </c>
      <c r="B1056" s="9" t="inlineStr">
        <is>
          <t>HAIFENG 11/11/2025</t>
        </is>
      </c>
      <c r="C1056" s="9" t="inlineStr">
        <is>
          <t>2025-11-11</t>
        </is>
      </c>
      <c r="D1056" s="9" t="inlineStr">
        <is>
          <t>27009181053197</t>
        </is>
      </c>
      <c r="E1056" s="9" t="inlineStr">
        <is>
          <t>ANILLO PANTHERE BIG SILVER C</t>
        </is>
      </c>
      <c r="F1056" s="9" t="inlineStr">
        <is>
          <t>Default Title</t>
        </is>
      </c>
      <c r="G1056" s="9" t="n">
        <v>4</v>
      </c>
      <c r="H1056" s="21" t="n">
        <v>9</v>
      </c>
      <c r="I1056" s="21" t="n">
        <v>189.54</v>
      </c>
      <c r="J1056" s="21" t="n">
        <v>568.63</v>
      </c>
      <c r="K1056" s="21" t="n">
        <v>663.41</v>
      </c>
      <c r="L1056" s="21" t="n">
        <v>758.1799999999999</v>
      </c>
      <c r="M1056" s="21" t="n">
        <v>750</v>
      </c>
    </row>
    <row r="1057">
      <c r="A1057" s="9" t="inlineStr">
        <is>
          <t>HAIFENG</t>
        </is>
      </c>
      <c r="B1057" s="9" t="inlineStr">
        <is>
          <t>HAIFENG 11/11/2025</t>
        </is>
      </c>
      <c r="C1057" s="9" t="inlineStr">
        <is>
          <t>2025-11-11</t>
        </is>
      </c>
      <c r="D1057" s="9" t="inlineStr">
        <is>
          <t>56481484278796</t>
        </is>
      </c>
      <c r="E1057" s="9" t="inlineStr">
        <is>
          <t>ANILLO SIXTEEN STONE GOLD/RED</t>
        </is>
      </c>
      <c r="F1057" s="9" t="inlineStr">
        <is>
          <t>7</t>
        </is>
      </c>
      <c r="G1057" s="9" t="n">
        <v>3</v>
      </c>
      <c r="H1057" s="21" t="n">
        <v>6</v>
      </c>
      <c r="I1057" s="21" t="n">
        <v>126.36</v>
      </c>
      <c r="J1057" s="21" t="n">
        <v>379.09</v>
      </c>
      <c r="K1057" s="21" t="n">
        <v>442.27</v>
      </c>
      <c r="L1057" s="21" t="n">
        <v>505.45</v>
      </c>
      <c r="M1057" s="21" t="n">
        <v>550</v>
      </c>
    </row>
    <row r="1058">
      <c r="A1058" s="9" t="inlineStr">
        <is>
          <t>HAIFENG</t>
        </is>
      </c>
      <c r="B1058" s="9" t="inlineStr">
        <is>
          <t>HAIFENG 11/11/2025</t>
        </is>
      </c>
      <c r="C1058" s="9" t="inlineStr">
        <is>
          <t>2025-11-11</t>
        </is>
      </c>
      <c r="D1058" s="9" t="inlineStr">
        <is>
          <t>56481484246028</t>
        </is>
      </c>
      <c r="E1058" s="9" t="inlineStr">
        <is>
          <t>ANILLO SIXTEEN STONE GOLD/RED</t>
        </is>
      </c>
      <c r="F1058" s="9" t="inlineStr">
        <is>
          <t>6</t>
        </is>
      </c>
      <c r="G1058" s="9" t="n">
        <v>3</v>
      </c>
      <c r="H1058" s="21" t="n">
        <v>6</v>
      </c>
      <c r="I1058" s="21" t="n">
        <v>126.36</v>
      </c>
      <c r="J1058" s="21" t="n">
        <v>379.09</v>
      </c>
      <c r="K1058" s="21" t="n">
        <v>442.27</v>
      </c>
      <c r="L1058" s="21" t="n">
        <v>505.45</v>
      </c>
      <c r="M1058" s="21" t="n">
        <v>550</v>
      </c>
    </row>
    <row r="1059">
      <c r="A1059" s="9" t="inlineStr">
        <is>
          <t>HAIFENG</t>
        </is>
      </c>
      <c r="B1059" s="9" t="inlineStr">
        <is>
          <t>HAIFENG 11/11/2025</t>
        </is>
      </c>
      <c r="C1059" s="9" t="inlineStr">
        <is>
          <t>2025-11-11</t>
        </is>
      </c>
      <c r="D1059" s="9" t="inlineStr">
        <is>
          <t>2653019476748</t>
        </is>
      </c>
      <c r="E1059" s="9" t="inlineStr">
        <is>
          <t>ANILLO SIXTEEN STONE SILVER</t>
        </is>
      </c>
      <c r="F1059" s="9" t="inlineStr">
        <is>
          <t>HIGH QUALITY 5</t>
        </is>
      </c>
      <c r="G1059" s="9" t="n">
        <v>4</v>
      </c>
      <c r="H1059" s="21" t="n">
        <v>6</v>
      </c>
      <c r="I1059" s="21" t="n">
        <v>126.36</v>
      </c>
      <c r="J1059" s="21" t="n">
        <v>379.09</v>
      </c>
      <c r="K1059" s="21" t="n">
        <v>442.27</v>
      </c>
      <c r="L1059" s="21" t="n">
        <v>505.45</v>
      </c>
      <c r="M1059" s="21" t="n">
        <v>999</v>
      </c>
    </row>
    <row r="1060">
      <c r="A1060" s="9" t="inlineStr">
        <is>
          <t>HAIFENG</t>
        </is>
      </c>
      <c r="B1060" s="9" t="inlineStr">
        <is>
          <t>HAIFENG 11/11/2025</t>
        </is>
      </c>
      <c r="C1060" s="9" t="inlineStr">
        <is>
          <t>2025-11-11</t>
        </is>
      </c>
      <c r="D1060" s="9" t="inlineStr">
        <is>
          <t>2653019509516</t>
        </is>
      </c>
      <c r="E1060" s="9" t="inlineStr">
        <is>
          <t>ANILLO SIXTEEN STONE SILVER</t>
        </is>
      </c>
      <c r="F1060" s="9" t="inlineStr">
        <is>
          <t>HIGH QUALITY 6</t>
        </is>
      </c>
      <c r="G1060" s="9" t="n">
        <v>3</v>
      </c>
      <c r="H1060" s="21" t="n">
        <v>6</v>
      </c>
      <c r="I1060" s="21" t="n">
        <v>126.36</v>
      </c>
      <c r="J1060" s="21" t="n">
        <v>379.09</v>
      </c>
      <c r="K1060" s="21" t="n">
        <v>442.27</v>
      </c>
      <c r="L1060" s="21" t="n">
        <v>505.45</v>
      </c>
      <c r="M1060" s="21" t="n">
        <v>999</v>
      </c>
    </row>
    <row r="1061">
      <c r="A1061" s="9" t="inlineStr">
        <is>
          <t>HAIFENG</t>
        </is>
      </c>
      <c r="B1061" s="9" t="inlineStr">
        <is>
          <t>HAIFENG 11/11/2025</t>
        </is>
      </c>
      <c r="C1061" s="9" t="inlineStr">
        <is>
          <t>2025-11-11</t>
        </is>
      </c>
      <c r="D1061" s="9" t="inlineStr">
        <is>
          <t>2653019542284</t>
        </is>
      </c>
      <c r="E1061" s="9" t="inlineStr">
        <is>
          <t>ANILLO SIXTEEN STONE SILVER</t>
        </is>
      </c>
      <c r="F1061" s="9" t="inlineStr">
        <is>
          <t>HIGH QUALITY 7</t>
        </is>
      </c>
      <c r="G1061" s="9" t="n">
        <v>2</v>
      </c>
      <c r="H1061" s="21" t="n">
        <v>6</v>
      </c>
      <c r="I1061" s="21" t="n">
        <v>126.36</v>
      </c>
      <c r="J1061" s="21" t="n">
        <v>379.09</v>
      </c>
      <c r="K1061" s="21" t="n">
        <v>442.27</v>
      </c>
      <c r="L1061" s="21" t="n">
        <v>505.45</v>
      </c>
      <c r="M1061" s="21" t="n">
        <v>999</v>
      </c>
    </row>
    <row r="1062">
      <c r="A1062" s="9" t="inlineStr">
        <is>
          <t>HAIFENG</t>
        </is>
      </c>
      <c r="B1062" s="9" t="inlineStr">
        <is>
          <t>HAIFENG 11/11/2025</t>
        </is>
      </c>
      <c r="C1062" s="9" t="inlineStr">
        <is>
          <t>2025-11-11</t>
        </is>
      </c>
      <c r="D1062" s="9" t="inlineStr">
        <is>
          <t>71036879166988</t>
        </is>
      </c>
      <c r="E1062" s="9" t="inlineStr">
        <is>
          <t>ANILLO T DE COMPROMISO</t>
        </is>
      </c>
      <c r="F1062" s="9" t="inlineStr">
        <is>
          <t>6</t>
        </is>
      </c>
      <c r="G1062" s="9" t="n">
        <v>5</v>
      </c>
      <c r="H1062" s="21" t="n">
        <v>5</v>
      </c>
      <c r="I1062" s="21" t="n">
        <v>105.3</v>
      </c>
      <c r="J1062" s="21" t="n">
        <v>315.91</v>
      </c>
      <c r="K1062" s="21" t="n">
        <v>368.56</v>
      </c>
      <c r="L1062" s="21" t="n">
        <v>421.21</v>
      </c>
      <c r="M1062" s="21" t="n">
        <v>599</v>
      </c>
    </row>
    <row r="1063">
      <c r="A1063" s="9" t="inlineStr">
        <is>
          <t>HAIFENG</t>
        </is>
      </c>
      <c r="B1063" s="9" t="inlineStr">
        <is>
          <t>HAIFENG 11/11/2025</t>
        </is>
      </c>
      <c r="C1063" s="9" t="inlineStr">
        <is>
          <t>2025-11-11</t>
        </is>
      </c>
      <c r="D1063" s="9" t="inlineStr">
        <is>
          <t>668eecd4df850</t>
        </is>
      </c>
      <c r="E1063" s="9" t="inlineStr">
        <is>
          <t>ANILLO T GOLD</t>
        </is>
      </c>
      <c r="F1063" s="9" t="inlineStr">
        <is>
          <t>7</t>
        </is>
      </c>
      <c r="G1063" s="9" t="n">
        <v>8</v>
      </c>
      <c r="H1063" s="21" t="n">
        <v>5</v>
      </c>
      <c r="I1063" s="21" t="n">
        <v>105.3</v>
      </c>
      <c r="J1063" s="21" t="n">
        <v>315.91</v>
      </c>
      <c r="K1063" s="21" t="n">
        <v>368.56</v>
      </c>
      <c r="L1063" s="21" t="n">
        <v>421.21</v>
      </c>
      <c r="M1063" s="21" t="n">
        <v>450</v>
      </c>
    </row>
    <row r="1064">
      <c r="A1064" s="9" t="inlineStr">
        <is>
          <t>HAIFENG</t>
        </is>
      </c>
      <c r="B1064" s="9" t="inlineStr">
        <is>
          <t>HAIFENG 11/11/2025</t>
        </is>
      </c>
      <c r="C1064" s="9" t="inlineStr">
        <is>
          <t>2025-11-11</t>
        </is>
      </c>
      <c r="D1064" s="9" t="inlineStr">
        <is>
          <t>668eecd447a15</t>
        </is>
      </c>
      <c r="E1064" s="9" t="inlineStr">
        <is>
          <t>ANILLO T GOLD</t>
        </is>
      </c>
      <c r="F1064" s="9" t="inlineStr">
        <is>
          <t>6</t>
        </is>
      </c>
      <c r="G1064" s="9" t="n">
        <v>12</v>
      </c>
      <c r="H1064" s="21" t="n">
        <v>5</v>
      </c>
      <c r="I1064" s="21" t="n">
        <v>105.3</v>
      </c>
      <c r="J1064" s="21" t="n">
        <v>315.91</v>
      </c>
      <c r="K1064" s="21" t="n">
        <v>368.56</v>
      </c>
      <c r="L1064" s="21" t="n">
        <v>421.21</v>
      </c>
      <c r="M1064" s="21" t="n">
        <v>450</v>
      </c>
    </row>
    <row r="1065">
      <c r="A1065" s="9" t="inlineStr">
        <is>
          <t>HAIFENG</t>
        </is>
      </c>
      <c r="B1065" s="9" t="inlineStr">
        <is>
          <t>HAIFENG 11/11/2025</t>
        </is>
      </c>
      <c r="C1065" s="9" t="inlineStr">
        <is>
          <t>2025-11-11</t>
        </is>
      </c>
      <c r="D1065" s="9" t="inlineStr">
        <is>
          <t>668eecd16590f</t>
        </is>
      </c>
      <c r="E1065" s="9" t="inlineStr">
        <is>
          <t>ANILLO T ROSE GOLD</t>
        </is>
      </c>
      <c r="F1065" s="9" t="inlineStr">
        <is>
          <t>8</t>
        </is>
      </c>
      <c r="G1065" s="9" t="n">
        <v>2</v>
      </c>
      <c r="H1065" s="21" t="n">
        <v>5</v>
      </c>
      <c r="I1065" s="21" t="n">
        <v>105.3</v>
      </c>
      <c r="J1065" s="21" t="n">
        <v>315.91</v>
      </c>
      <c r="K1065" s="21" t="n">
        <v>368.56</v>
      </c>
      <c r="L1065" s="21" t="n">
        <v>421.21</v>
      </c>
      <c r="M1065" s="21" t="n">
        <v>450</v>
      </c>
    </row>
    <row r="1066">
      <c r="A1066" s="9" t="inlineStr">
        <is>
          <t>HAIFENG</t>
        </is>
      </c>
      <c r="B1066" s="9" t="inlineStr">
        <is>
          <t>HAIFENG 11/11/2025</t>
        </is>
      </c>
      <c r="C1066" s="9" t="inlineStr">
        <is>
          <t>2025-11-11</t>
        </is>
      </c>
      <c r="D1066" s="9" t="inlineStr">
        <is>
          <t>668eecd028acd</t>
        </is>
      </c>
      <c r="E1066" s="9" t="inlineStr">
        <is>
          <t>ANILLO T ROSE GOLD</t>
        </is>
      </c>
      <c r="F1066" s="9" t="inlineStr">
        <is>
          <t>6</t>
        </is>
      </c>
      <c r="G1066" s="9" t="n">
        <v>3</v>
      </c>
      <c r="H1066" s="21" t="n">
        <v>5</v>
      </c>
      <c r="I1066" s="21" t="n">
        <v>105.3</v>
      </c>
      <c r="J1066" s="21" t="n">
        <v>315.91</v>
      </c>
      <c r="K1066" s="21" t="n">
        <v>368.56</v>
      </c>
      <c r="L1066" s="21" t="n">
        <v>421.21</v>
      </c>
      <c r="M1066" s="21" t="n">
        <v>450</v>
      </c>
    </row>
    <row r="1067">
      <c r="A1067" s="9" t="inlineStr">
        <is>
          <t>HAIFENG</t>
        </is>
      </c>
      <c r="B1067" s="9" t="inlineStr">
        <is>
          <t>HAIFENG 11/11/2025</t>
        </is>
      </c>
      <c r="C1067" s="9" t="inlineStr">
        <is>
          <t>2025-11-11</t>
        </is>
      </c>
      <c r="D1067" s="9" t="inlineStr">
        <is>
          <t>668eecd0c3f2e</t>
        </is>
      </c>
      <c r="E1067" s="9" t="inlineStr">
        <is>
          <t>ANILLO T ROSE GOLD</t>
        </is>
      </c>
      <c r="F1067" s="9" t="inlineStr">
        <is>
          <t>7</t>
        </is>
      </c>
      <c r="G1067" s="9" t="n">
        <v>1</v>
      </c>
      <c r="H1067" s="21" t="n">
        <v>5</v>
      </c>
      <c r="I1067" s="21" t="n">
        <v>105.3</v>
      </c>
      <c r="J1067" s="21" t="n">
        <v>315.91</v>
      </c>
      <c r="K1067" s="21" t="n">
        <v>368.56</v>
      </c>
      <c r="L1067" s="21" t="n">
        <v>421.21</v>
      </c>
      <c r="M1067" s="21" t="n">
        <v>450</v>
      </c>
    </row>
    <row r="1068">
      <c r="A1068" s="9" t="inlineStr">
        <is>
          <t>HAIFENG</t>
        </is>
      </c>
      <c r="B1068" s="9" t="inlineStr">
        <is>
          <t>HAIFENG 11/11/2025</t>
        </is>
      </c>
      <c r="C1068" s="9" t="inlineStr">
        <is>
          <t>2025-11-11</t>
        </is>
      </c>
      <c r="D1068" s="9" t="inlineStr">
        <is>
          <t>67201533116173</t>
        </is>
      </c>
      <c r="E1068" s="9" t="inlineStr">
        <is>
          <t>ANILLO T1 T SILVER</t>
        </is>
      </c>
      <c r="F1068" s="9" t="inlineStr">
        <is>
          <t>6</t>
        </is>
      </c>
      <c r="G1068" s="9" t="n">
        <v>2</v>
      </c>
      <c r="H1068" s="21" t="n">
        <v>5.5</v>
      </c>
      <c r="I1068" s="21" t="n">
        <v>115.83</v>
      </c>
      <c r="J1068" s="21" t="n">
        <v>347.5</v>
      </c>
      <c r="K1068" s="21" t="n">
        <v>405.41</v>
      </c>
      <c r="L1068" s="21" t="n">
        <v>463.33</v>
      </c>
      <c r="M1068" s="21" t="n">
        <v>530</v>
      </c>
    </row>
    <row r="1069">
      <c r="A1069" s="9" t="inlineStr">
        <is>
          <t>HAIFENG</t>
        </is>
      </c>
      <c r="B1069" s="9" t="inlineStr">
        <is>
          <t>HAIFENG 11/11/2025</t>
        </is>
      </c>
      <c r="C1069" s="9" t="inlineStr">
        <is>
          <t>2025-11-11</t>
        </is>
      </c>
      <c r="D1069" s="9" t="inlineStr">
        <is>
          <t>38334521139841</t>
        </is>
      </c>
      <c r="E1069" s="9" t="inlineStr">
        <is>
          <t>ANILLO TREBOL GOLD</t>
        </is>
      </c>
      <c r="F1069" s="9" t="inlineStr">
        <is>
          <t>6</t>
        </is>
      </c>
      <c r="G1069" s="9" t="n">
        <v>2</v>
      </c>
      <c r="H1069" s="21" t="n">
        <v>5.99</v>
      </c>
      <c r="I1069" s="21" t="n">
        <v>126.15</v>
      </c>
      <c r="J1069" s="21" t="n">
        <v>378.46</v>
      </c>
      <c r="K1069" s="21" t="n">
        <v>441.53</v>
      </c>
      <c r="L1069" s="21" t="n">
        <v>504.61</v>
      </c>
      <c r="M1069" s="21" t="n">
        <v>599</v>
      </c>
    </row>
    <row r="1070">
      <c r="A1070" s="9" t="inlineStr">
        <is>
          <t>HAIFENG</t>
        </is>
      </c>
      <c r="B1070" s="9" t="inlineStr">
        <is>
          <t>HAIFENG 11/11/2025</t>
        </is>
      </c>
      <c r="C1070" s="9" t="inlineStr">
        <is>
          <t>2025-11-11</t>
        </is>
      </c>
      <c r="D1070" s="9" t="inlineStr">
        <is>
          <t>15857685448972</t>
        </is>
      </c>
      <c r="E1070" s="9" t="inlineStr">
        <is>
          <t>ANILLO TRES AROS</t>
        </is>
      </c>
      <c r="F1070" s="9" t="inlineStr">
        <is>
          <t>8</t>
        </is>
      </c>
      <c r="G1070" s="9" t="n">
        <v>2</v>
      </c>
      <c r="H1070" s="21" t="n">
        <v>4.7</v>
      </c>
      <c r="I1070" s="21" t="n">
        <v>98.98</v>
      </c>
      <c r="J1070" s="21" t="n">
        <v>296.95</v>
      </c>
      <c r="K1070" s="21" t="n">
        <v>346.45</v>
      </c>
      <c r="L1070" s="21" t="n">
        <v>395.94</v>
      </c>
      <c r="M1070" s="21" t="n">
        <v>650</v>
      </c>
    </row>
    <row r="1071">
      <c r="A1071" s="9" t="inlineStr">
        <is>
          <t>HAIFENG</t>
        </is>
      </c>
      <c r="B1071" s="9" t="inlineStr">
        <is>
          <t>HAIFENG 11/11/2025</t>
        </is>
      </c>
      <c r="C1071" s="9" t="inlineStr">
        <is>
          <t>2025-11-11</t>
        </is>
      </c>
      <c r="D1071" s="9" t="inlineStr">
        <is>
          <t>15857686786700</t>
        </is>
      </c>
      <c r="E1071" s="9" t="inlineStr">
        <is>
          <t>ANILLO TRES AROS</t>
        </is>
      </c>
      <c r="F1071" s="9" t="inlineStr">
        <is>
          <t>9</t>
        </is>
      </c>
      <c r="G1071" s="9" t="n">
        <v>1</v>
      </c>
      <c r="H1071" s="21" t="n">
        <v>4.7</v>
      </c>
      <c r="I1071" s="21" t="n">
        <v>98.98</v>
      </c>
      <c r="J1071" s="21" t="n">
        <v>296.95</v>
      </c>
      <c r="K1071" s="21" t="n">
        <v>346.45</v>
      </c>
      <c r="L1071" s="21" t="n">
        <v>395.94</v>
      </c>
      <c r="M1071" s="21" t="n">
        <v>650</v>
      </c>
    </row>
    <row r="1072">
      <c r="A1072" s="9" t="inlineStr">
        <is>
          <t>HAIFENG</t>
        </is>
      </c>
      <c r="B1072" s="9" t="inlineStr">
        <is>
          <t>HAIFENG 11/11/2025</t>
        </is>
      </c>
      <c r="C1072" s="9" t="inlineStr">
        <is>
          <t>2025-11-11</t>
        </is>
      </c>
      <c r="D1072" s="9" t="inlineStr">
        <is>
          <t>56481488554124</t>
        </is>
      </c>
      <c r="E1072" s="9" t="inlineStr">
        <is>
          <t>ANILLO TRES AROS CON ZIRCONIA</t>
        </is>
      </c>
      <c r="F1072" s="9" t="inlineStr">
        <is>
          <t>6</t>
        </is>
      </c>
      <c r="G1072" s="9" t="n">
        <v>3</v>
      </c>
      <c r="H1072" s="21" t="n">
        <v>10</v>
      </c>
      <c r="I1072" s="21" t="n">
        <v>210.6</v>
      </c>
      <c r="J1072" s="21" t="n">
        <v>631.8099999999999</v>
      </c>
      <c r="K1072" s="21" t="n">
        <v>737.12</v>
      </c>
      <c r="L1072" s="21" t="n">
        <v>842.42</v>
      </c>
      <c r="M1072" s="21" t="n">
        <v>1405</v>
      </c>
    </row>
    <row r="1073">
      <c r="A1073" s="9" t="inlineStr">
        <is>
          <t>HAIFENG</t>
        </is>
      </c>
      <c r="B1073" s="9" t="inlineStr">
        <is>
          <t>HAIFENG 11/11/2025</t>
        </is>
      </c>
      <c r="C1073" s="9" t="inlineStr">
        <is>
          <t>2025-11-11</t>
        </is>
      </c>
      <c r="D1073" s="9" t="inlineStr">
        <is>
          <t>56481488586892</t>
        </is>
      </c>
      <c r="E1073" s="9" t="inlineStr">
        <is>
          <t>ANILLO TRES AROS CON ZIRCONIA</t>
        </is>
      </c>
      <c r="F1073" s="9" t="inlineStr">
        <is>
          <t>7</t>
        </is>
      </c>
      <c r="G1073" s="9" t="n">
        <v>3</v>
      </c>
      <c r="H1073" s="21" t="n">
        <v>10</v>
      </c>
      <c r="I1073" s="21" t="n">
        <v>210.6</v>
      </c>
      <c r="J1073" s="21" t="n">
        <v>631.8099999999999</v>
      </c>
      <c r="K1073" s="21" t="n">
        <v>737.12</v>
      </c>
      <c r="L1073" s="21" t="n">
        <v>842.42</v>
      </c>
      <c r="M1073" s="21" t="n">
        <v>850</v>
      </c>
    </row>
    <row r="1074">
      <c r="A1074" s="9" t="inlineStr">
        <is>
          <t>HAIFENG</t>
        </is>
      </c>
      <c r="B1074" s="9" t="inlineStr">
        <is>
          <t>HAIFENG 11/11/2025</t>
        </is>
      </c>
      <c r="C1074" s="9" t="inlineStr">
        <is>
          <t>2025-11-11</t>
        </is>
      </c>
      <c r="D1074" s="9" t="inlineStr">
        <is>
          <t>56481488619660</t>
        </is>
      </c>
      <c r="E1074" s="9" t="inlineStr">
        <is>
          <t>ANILLO TRES AROS CON ZIRCONIA</t>
        </is>
      </c>
      <c r="F1074" s="9" t="inlineStr">
        <is>
          <t>8</t>
        </is>
      </c>
      <c r="G1074" s="9" t="n">
        <v>1</v>
      </c>
      <c r="H1074" s="21" t="n">
        <v>10</v>
      </c>
      <c r="I1074" s="21" t="n">
        <v>210.6</v>
      </c>
      <c r="J1074" s="21" t="n">
        <v>631.8099999999999</v>
      </c>
      <c r="K1074" s="21" t="n">
        <v>737.12</v>
      </c>
      <c r="L1074" s="21" t="n">
        <v>842.42</v>
      </c>
      <c r="M1074" s="21" t="n">
        <v>850</v>
      </c>
    </row>
    <row r="1075">
      <c r="A1075" s="9" t="inlineStr">
        <is>
          <t>HAIFENG</t>
        </is>
      </c>
      <c r="B1075" s="9" t="inlineStr">
        <is>
          <t>HAIFENG 11/11/2025</t>
        </is>
      </c>
      <c r="C1075" s="9" t="inlineStr">
        <is>
          <t>2025-11-11</t>
        </is>
      </c>
      <c r="D1075" s="9" t="inlineStr">
        <is>
          <t>56481485030668</t>
        </is>
      </c>
      <c r="E1075" s="9" t="inlineStr">
        <is>
          <t>ANILLO TRES AROS SILVER/BLACK</t>
        </is>
      </c>
      <c r="F1075" s="9" t="inlineStr">
        <is>
          <t>8</t>
        </is>
      </c>
      <c r="G1075" s="9" t="n">
        <v>2</v>
      </c>
      <c r="H1075" s="21" t="n">
        <v>5</v>
      </c>
      <c r="I1075" s="21" t="n">
        <v>105.3</v>
      </c>
      <c r="J1075" s="21" t="n">
        <v>315.91</v>
      </c>
      <c r="K1075" s="21" t="n">
        <v>368.56</v>
      </c>
      <c r="L1075" s="21" t="n">
        <v>421.21</v>
      </c>
      <c r="M1075" s="21" t="n">
        <v>500</v>
      </c>
    </row>
    <row r="1076">
      <c r="A1076" s="9" t="inlineStr">
        <is>
          <t>HAIFENG</t>
        </is>
      </c>
      <c r="B1076" s="9" t="inlineStr">
        <is>
          <t>HAIFENG 11/11/2025</t>
        </is>
      </c>
      <c r="C1076" s="9" t="inlineStr">
        <is>
          <t>2025-11-11</t>
        </is>
      </c>
      <c r="D1076" s="9" t="inlineStr">
        <is>
          <t>38334521369409</t>
        </is>
      </c>
      <c r="E1076" s="9" t="inlineStr">
        <is>
          <t>ANILLO TRÉBOL SILVER</t>
        </is>
      </c>
      <c r="F1076" s="9" t="inlineStr">
        <is>
          <t>7</t>
        </is>
      </c>
      <c r="G1076" s="9" t="n">
        <v>1</v>
      </c>
      <c r="H1076" s="21" t="n">
        <v>5.99</v>
      </c>
      <c r="I1076" s="21" t="n">
        <v>126.15</v>
      </c>
      <c r="J1076" s="21" t="n">
        <v>378.46</v>
      </c>
      <c r="K1076" s="21" t="n">
        <v>441.53</v>
      </c>
      <c r="L1076" s="21" t="n">
        <v>504.61</v>
      </c>
      <c r="M1076" s="21" t="n">
        <v>599</v>
      </c>
    </row>
    <row r="1077">
      <c r="A1077" s="9" t="inlineStr">
        <is>
          <t>HAIFENG</t>
        </is>
      </c>
      <c r="B1077" s="9" t="inlineStr">
        <is>
          <t>HAIFENG 11/11/2025</t>
        </is>
      </c>
      <c r="C1077" s="9" t="inlineStr">
        <is>
          <t>2025-11-11</t>
        </is>
      </c>
      <c r="D1077" s="9" t="inlineStr">
        <is>
          <t>29973521015533</t>
        </is>
      </c>
      <c r="E1077" s="9" t="inlineStr">
        <is>
          <t>ANILLO TRÉBOL SILVER</t>
        </is>
      </c>
      <c r="F1077" s="9" t="inlineStr">
        <is>
          <t>6</t>
        </is>
      </c>
      <c r="G1077" s="9" t="n">
        <v>1</v>
      </c>
      <c r="H1077" s="21" t="n">
        <v>5.99</v>
      </c>
      <c r="I1077" s="21" t="n">
        <v>126.15</v>
      </c>
      <c r="J1077" s="21" t="n">
        <v>378.46</v>
      </c>
      <c r="K1077" s="21" t="n">
        <v>441.53</v>
      </c>
      <c r="L1077" s="21" t="n">
        <v>504.61</v>
      </c>
      <c r="M1077" s="21" t="n">
        <v>599</v>
      </c>
    </row>
    <row r="1078">
      <c r="A1078" s="9" t="inlineStr">
        <is>
          <t>HAIFENG</t>
        </is>
      </c>
      <c r="B1078" s="9" t="inlineStr">
        <is>
          <t>HAIFENG 11/11/2025</t>
        </is>
      </c>
      <c r="C1078" s="9" t="inlineStr">
        <is>
          <t>2025-11-11</t>
        </is>
      </c>
      <c r="D1078" s="9" t="inlineStr">
        <is>
          <t>64085742247629</t>
        </is>
      </c>
      <c r="E1078" s="9" t="inlineStr">
        <is>
          <t>ANILLO VENDOME TRICOLOR C</t>
        </is>
      </c>
      <c r="F1078" s="9" t="inlineStr">
        <is>
          <t>7</t>
        </is>
      </c>
      <c r="G1078" s="9" t="n">
        <v>3</v>
      </c>
      <c r="H1078" s="21" t="n">
        <v>6</v>
      </c>
      <c r="I1078" s="21" t="n">
        <v>126.36</v>
      </c>
      <c r="J1078" s="21" t="n">
        <v>379.09</v>
      </c>
      <c r="K1078" s="21" t="n">
        <v>442.27</v>
      </c>
      <c r="L1078" s="21" t="n">
        <v>505.45</v>
      </c>
      <c r="M1078" s="21" t="n">
        <v>499</v>
      </c>
    </row>
    <row r="1079">
      <c r="A1079" s="9" t="inlineStr">
        <is>
          <t>HAIFENG</t>
        </is>
      </c>
      <c r="B1079" s="9" t="inlineStr">
        <is>
          <t>HAIFENG 11/11/2025</t>
        </is>
      </c>
      <c r="C1079" s="9" t="inlineStr">
        <is>
          <t>2025-11-11</t>
        </is>
      </c>
      <c r="D1079" s="9" t="inlineStr">
        <is>
          <t>64085742023341</t>
        </is>
      </c>
      <c r="E1079" s="9" t="inlineStr">
        <is>
          <t>ANILLO VENDOME TRICOLOR C</t>
        </is>
      </c>
      <c r="F1079" s="9" t="inlineStr">
        <is>
          <t>5</t>
        </is>
      </c>
      <c r="G1079" s="9" t="n">
        <v>3</v>
      </c>
      <c r="H1079" s="21" t="n">
        <v>6</v>
      </c>
      <c r="I1079" s="21" t="n">
        <v>126.36</v>
      </c>
      <c r="J1079" s="21" t="n">
        <v>379.09</v>
      </c>
      <c r="K1079" s="21" t="n">
        <v>442.27</v>
      </c>
      <c r="L1079" s="21" t="n">
        <v>505.45</v>
      </c>
      <c r="M1079" s="21" t="n">
        <v>499</v>
      </c>
    </row>
    <row r="1080">
      <c r="A1080" s="9" t="inlineStr">
        <is>
          <t>HAIFENG</t>
        </is>
      </c>
      <c r="B1080" s="9" t="inlineStr">
        <is>
          <t>HAIFENG 11/11/2025</t>
        </is>
      </c>
      <c r="C1080" s="9" t="inlineStr">
        <is>
          <t>2025-11-11</t>
        </is>
      </c>
      <c r="D1080" s="9" t="inlineStr">
        <is>
          <t>64085741359693</t>
        </is>
      </c>
      <c r="E1080" s="9" t="inlineStr">
        <is>
          <t>ARETES CLASH ROSE GOLD C</t>
        </is>
      </c>
      <c r="F1080" s="9" t="inlineStr">
        <is>
          <t>Default Title</t>
        </is>
      </c>
      <c r="G1080" s="9" t="n">
        <v>2</v>
      </c>
      <c r="H1080" s="21" t="n">
        <v>9</v>
      </c>
      <c r="I1080" s="21" t="n">
        <v>189.54</v>
      </c>
      <c r="J1080" s="21" t="n">
        <v>568.63</v>
      </c>
      <c r="K1080" s="21" t="n">
        <v>663.41</v>
      </c>
      <c r="L1080" s="21" t="n">
        <v>758.1799999999999</v>
      </c>
      <c r="M1080" s="21" t="n">
        <v>742</v>
      </c>
    </row>
    <row r="1081">
      <c r="A1081" s="9" t="inlineStr">
        <is>
          <t>HAIFENG</t>
        </is>
      </c>
      <c r="B1081" s="9" t="inlineStr">
        <is>
          <t>HAIFENG 11/11/2025</t>
        </is>
      </c>
      <c r="C1081" s="9" t="inlineStr">
        <is>
          <t>2025-11-11</t>
        </is>
      </c>
      <c r="D1081" s="9" t="inlineStr">
        <is>
          <t>665bd4a63435b</t>
        </is>
      </c>
      <c r="E1081" s="9" t="inlineStr">
        <is>
          <t>ARETES CLAVO GOLD</t>
        </is>
      </c>
      <c r="F1081" s="9" t="inlineStr">
        <is>
          <t>Default Title</t>
        </is>
      </c>
      <c r="G1081" s="9" t="n">
        <v>5</v>
      </c>
      <c r="H1081" s="21" t="n">
        <v>2.99</v>
      </c>
      <c r="I1081" s="21" t="n">
        <v>62.97</v>
      </c>
      <c r="J1081" s="21" t="n">
        <v>188.91</v>
      </c>
      <c r="K1081" s="21" t="n">
        <v>220.4</v>
      </c>
      <c r="L1081" s="21" t="n">
        <v>251.88</v>
      </c>
      <c r="M1081" s="21" t="n">
        <v>400</v>
      </c>
    </row>
    <row r="1082">
      <c r="A1082" s="9" t="inlineStr">
        <is>
          <t>HAIFENG</t>
        </is>
      </c>
      <c r="B1082" s="9" t="inlineStr">
        <is>
          <t>HAIFENG 11/11/2025</t>
        </is>
      </c>
      <c r="C1082" s="9" t="inlineStr">
        <is>
          <t>2025-11-11</t>
        </is>
      </c>
      <c r="D1082" s="9" t="inlineStr">
        <is>
          <t>43047218282636</t>
        </is>
      </c>
      <c r="E1082" s="9" t="inlineStr">
        <is>
          <t>ARETES CORAZÓN TURQUESA</t>
        </is>
      </c>
      <c r="F1082" s="9" t="inlineStr">
        <is>
          <t>Regular</t>
        </is>
      </c>
      <c r="G1082" s="9" t="n">
        <v>5</v>
      </c>
      <c r="H1082" s="21" t="n">
        <v>6</v>
      </c>
      <c r="I1082" s="21" t="n">
        <v>126.36</v>
      </c>
      <c r="J1082" s="21" t="n">
        <v>379.09</v>
      </c>
      <c r="K1082" s="21" t="n">
        <v>442.27</v>
      </c>
      <c r="L1082" s="21" t="n">
        <v>505.45</v>
      </c>
      <c r="M1082" s="21" t="n">
        <v>618</v>
      </c>
    </row>
    <row r="1083">
      <c r="A1083" s="9" t="inlineStr">
        <is>
          <t>HAIFENG</t>
        </is>
      </c>
      <c r="B1083" s="9" t="inlineStr">
        <is>
          <t>HAIFENG 11/11/2025</t>
        </is>
      </c>
      <c r="C1083" s="9" t="inlineStr">
        <is>
          <t>2025-11-11</t>
        </is>
      </c>
      <c r="D1083" s="9" t="inlineStr">
        <is>
          <t>37491250366220</t>
        </is>
      </c>
      <c r="E1083" s="9" t="inlineStr">
        <is>
          <t>ARETES FLOWER VF</t>
        </is>
      </c>
      <c r="F1083" s="9" t="inlineStr">
        <is>
          <t>rose gold</t>
        </is>
      </c>
      <c r="G1083" s="9" t="n">
        <v>6</v>
      </c>
      <c r="H1083" s="21" t="n">
        <v>8</v>
      </c>
      <c r="I1083" s="21" t="n">
        <v>168.48</v>
      </c>
      <c r="J1083" s="21" t="n">
        <v>505.45</v>
      </c>
      <c r="K1083" s="21" t="n">
        <v>589.6900000000001</v>
      </c>
      <c r="L1083" s="21" t="n">
        <v>673.9400000000001</v>
      </c>
      <c r="M1083" s="21" t="n">
        <v>699</v>
      </c>
    </row>
    <row r="1084">
      <c r="A1084" s="9" t="inlineStr">
        <is>
          <t>HAIFENG</t>
        </is>
      </c>
      <c r="B1084" s="9" t="inlineStr">
        <is>
          <t>HAIFENG 11/11/2025</t>
        </is>
      </c>
      <c r="C1084" s="9" t="inlineStr">
        <is>
          <t>2025-11-11</t>
        </is>
      </c>
      <c r="D1084" s="9" t="inlineStr">
        <is>
          <t>56481474339212</t>
        </is>
      </c>
      <c r="E1084" s="9" t="inlineStr">
        <is>
          <t>ARETES FULL HEART GOLD</t>
        </is>
      </c>
      <c r="F1084" s="9" t="inlineStr">
        <is>
          <t>Default Title</t>
        </is>
      </c>
      <c r="G1084" s="9" t="n">
        <v>5</v>
      </c>
      <c r="H1084" s="21" t="n">
        <v>5</v>
      </c>
      <c r="I1084" s="21" t="n">
        <v>105.3</v>
      </c>
      <c r="J1084" s="21" t="n">
        <v>315.91</v>
      </c>
      <c r="K1084" s="21" t="n">
        <v>368.56</v>
      </c>
      <c r="L1084" s="21" t="n">
        <v>421.21</v>
      </c>
      <c r="M1084" s="21" t="n">
        <v>450</v>
      </c>
    </row>
    <row r="1085">
      <c r="A1085" s="9" t="inlineStr">
        <is>
          <t>HAIFENG</t>
        </is>
      </c>
      <c r="B1085" s="9" t="inlineStr">
        <is>
          <t>HAIFENG 11/11/2025</t>
        </is>
      </c>
      <c r="C1085" s="9" t="inlineStr">
        <is>
          <t>2025-11-11</t>
        </is>
      </c>
      <c r="D1085" s="9" t="inlineStr">
        <is>
          <t>56481471411340</t>
        </is>
      </c>
      <c r="E1085" s="9" t="inlineStr">
        <is>
          <t>ARETES FULL HEART ROSE GOLD</t>
        </is>
      </c>
      <c r="F1085" s="9" t="inlineStr">
        <is>
          <t>Default Title</t>
        </is>
      </c>
      <c r="G1085" s="9" t="n">
        <v>5</v>
      </c>
      <c r="H1085" s="21" t="n">
        <v>5</v>
      </c>
      <c r="I1085" s="21" t="n">
        <v>105.3</v>
      </c>
      <c r="J1085" s="21" t="n">
        <v>315.91</v>
      </c>
      <c r="K1085" s="21" t="n">
        <v>368.56</v>
      </c>
      <c r="L1085" s="21" t="n">
        <v>421.21</v>
      </c>
      <c r="M1085" s="21" t="n">
        <v>450</v>
      </c>
    </row>
    <row r="1086">
      <c r="A1086" s="9" t="inlineStr">
        <is>
          <t>HAIFENG</t>
        </is>
      </c>
      <c r="B1086" s="9" t="inlineStr">
        <is>
          <t>HAIFENG 11/11/2025</t>
        </is>
      </c>
      <c r="C1086" s="9" t="inlineStr">
        <is>
          <t>2025-11-11</t>
        </is>
      </c>
      <c r="D1086" s="9" t="inlineStr">
        <is>
          <t>56481477937932</t>
        </is>
      </c>
      <c r="E1086" s="9" t="inlineStr">
        <is>
          <t>ARETES FULL HEART SILVER</t>
        </is>
      </c>
      <c r="F1086" s="9" t="inlineStr">
        <is>
          <t>Default Title</t>
        </is>
      </c>
      <c r="G1086" s="9" t="n">
        <v>4</v>
      </c>
      <c r="H1086" s="21" t="n">
        <v>5</v>
      </c>
      <c r="I1086" s="21" t="n">
        <v>105.3</v>
      </c>
      <c r="J1086" s="21" t="n">
        <v>315.91</v>
      </c>
      <c r="K1086" s="21" t="n">
        <v>368.56</v>
      </c>
      <c r="L1086" s="21" t="n">
        <v>421.21</v>
      </c>
      <c r="M1086" s="21" t="n">
        <v>450</v>
      </c>
    </row>
    <row r="1087">
      <c r="A1087" s="9" t="inlineStr">
        <is>
          <t>HAIFENG</t>
        </is>
      </c>
      <c r="B1087" s="9" t="inlineStr">
        <is>
          <t>HAIFENG 11/11/2025</t>
        </is>
      </c>
      <c r="C1087" s="9" t="inlineStr">
        <is>
          <t>2025-11-11</t>
        </is>
      </c>
      <c r="D1087" s="9" t="inlineStr">
        <is>
          <t>56481478255884</t>
        </is>
      </c>
      <c r="E1087" s="9" t="inlineStr">
        <is>
          <t>ARETES KNOT GOLD CON ZIRCONIA</t>
        </is>
      </c>
      <c r="F1087" s="9" t="inlineStr">
        <is>
          <t>Default Title</t>
        </is>
      </c>
      <c r="G1087" s="9" t="n">
        <v>2</v>
      </c>
      <c r="H1087" s="21" t="n">
        <v>7</v>
      </c>
      <c r="I1087" s="21" t="n">
        <v>147.42</v>
      </c>
      <c r="J1087" s="21" t="n">
        <v>442.27</v>
      </c>
      <c r="K1087" s="21" t="n">
        <v>515.98</v>
      </c>
      <c r="L1087" s="21" t="n">
        <v>589.6900000000001</v>
      </c>
      <c r="M1087" s="21" t="n">
        <v>780</v>
      </c>
    </row>
    <row r="1088">
      <c r="A1088" s="9" t="inlineStr">
        <is>
          <t>HAIFENG</t>
        </is>
      </c>
      <c r="B1088" s="9" t="inlineStr">
        <is>
          <t>HAIFENG 11/11/2025</t>
        </is>
      </c>
      <c r="C1088" s="9" t="inlineStr">
        <is>
          <t>2025-11-11</t>
        </is>
      </c>
      <c r="D1088" s="9" t="inlineStr">
        <is>
          <t>67201531685421</t>
        </is>
      </c>
      <c r="E1088" s="9" t="inlineStr">
        <is>
          <t>ARETES LOGO H GOLD</t>
        </is>
      </c>
      <c r="F1088" s="9" t="inlineStr">
        <is>
          <t>Default Title</t>
        </is>
      </c>
      <c r="G1088" s="9" t="n">
        <v>1</v>
      </c>
      <c r="H1088" s="21" t="n">
        <v>5</v>
      </c>
      <c r="I1088" s="21" t="n">
        <v>105.3</v>
      </c>
      <c r="J1088" s="21" t="n">
        <v>315.91</v>
      </c>
      <c r="K1088" s="21" t="n">
        <v>368.56</v>
      </c>
      <c r="L1088" s="21" t="n">
        <v>421.21</v>
      </c>
      <c r="M1088" s="21" t="n">
        <v>480</v>
      </c>
    </row>
    <row r="1089">
      <c r="A1089" s="9" t="inlineStr">
        <is>
          <t>HAIFENG</t>
        </is>
      </c>
      <c r="B1089" s="9" t="inlineStr">
        <is>
          <t>HAIFENG 11/11/2025</t>
        </is>
      </c>
      <c r="C1089" s="9" t="inlineStr">
        <is>
          <t>2025-11-11</t>
        </is>
      </c>
      <c r="D1089" s="9" t="inlineStr">
        <is>
          <t>67201531759373</t>
        </is>
      </c>
      <c r="E1089" s="9" t="inlineStr">
        <is>
          <t>ARETES LOGO H ROSE GOLD</t>
        </is>
      </c>
      <c r="F1089" s="9" t="inlineStr">
        <is>
          <t>Default Title</t>
        </is>
      </c>
      <c r="G1089" s="9" t="n">
        <v>2</v>
      </c>
      <c r="H1089" s="21" t="n">
        <v>5</v>
      </c>
      <c r="I1089" s="21" t="n">
        <v>105.3</v>
      </c>
      <c r="J1089" s="21" t="n">
        <v>315.91</v>
      </c>
      <c r="K1089" s="21" t="n">
        <v>368.56</v>
      </c>
      <c r="L1089" s="21" t="n">
        <v>421.21</v>
      </c>
      <c r="M1089" s="21" t="n">
        <v>480</v>
      </c>
    </row>
    <row r="1090">
      <c r="A1090" s="9" t="inlineStr">
        <is>
          <t>HAIFENG</t>
        </is>
      </c>
      <c r="B1090" s="9" t="inlineStr">
        <is>
          <t>HAIFENG 11/11/2025</t>
        </is>
      </c>
      <c r="C1090" s="9" t="inlineStr">
        <is>
          <t>2025-11-11</t>
        </is>
      </c>
      <c r="D1090" s="9" t="inlineStr">
        <is>
          <t>64085741543021</t>
        </is>
      </c>
      <c r="E1090" s="9" t="inlineStr">
        <is>
          <t>ARETES LOVE CON MICRO ZIRCONIAS GOLD C</t>
        </is>
      </c>
      <c r="F1090" s="9" t="inlineStr">
        <is>
          <t>Default Title</t>
        </is>
      </c>
      <c r="G1090" s="9" t="n">
        <v>2</v>
      </c>
      <c r="H1090" s="21" t="n">
        <v>8</v>
      </c>
      <c r="I1090" s="21" t="n">
        <v>168.48</v>
      </c>
      <c r="J1090" s="21" t="n">
        <v>505.45</v>
      </c>
      <c r="K1090" s="21" t="n">
        <v>589.6900000000001</v>
      </c>
      <c r="L1090" s="21" t="n">
        <v>673.9400000000001</v>
      </c>
      <c r="M1090" s="21" t="n">
        <v>742</v>
      </c>
    </row>
    <row r="1091">
      <c r="A1091" s="9" t="inlineStr">
        <is>
          <t>HAIFENG</t>
        </is>
      </c>
      <c r="B1091" s="9" t="inlineStr">
        <is>
          <t>HAIFENG 11/11/2025</t>
        </is>
      </c>
      <c r="C1091" s="9" t="inlineStr">
        <is>
          <t>2025-11-11</t>
        </is>
      </c>
      <c r="D1091" s="9" t="inlineStr">
        <is>
          <t>67201535108205</t>
        </is>
      </c>
      <c r="E1091" s="9" t="inlineStr">
        <is>
          <t>ARETES MARIPOSA BICOLOR GOLD BLUE VF</t>
        </is>
      </c>
      <c r="F1091" s="9" t="inlineStr">
        <is>
          <t>Default Title</t>
        </is>
      </c>
      <c r="G1091" s="9" t="n">
        <v>7</v>
      </c>
      <c r="H1091" s="21" t="n">
        <v>7</v>
      </c>
      <c r="I1091" s="21" t="n">
        <v>147.42</v>
      </c>
      <c r="J1091" s="21" t="n">
        <v>442.27</v>
      </c>
      <c r="K1091" s="21" t="n">
        <v>515.98</v>
      </c>
      <c r="L1091" s="21" t="n">
        <v>589.6900000000001</v>
      </c>
      <c r="M1091" s="21" t="n">
        <v>599</v>
      </c>
    </row>
    <row r="1092">
      <c r="A1092" s="9" t="inlineStr">
        <is>
          <t>HAIFENG</t>
        </is>
      </c>
      <c r="B1092" s="9" t="inlineStr">
        <is>
          <t>HAIFENG 11/11/2025</t>
        </is>
      </c>
      <c r="C1092" s="9" t="inlineStr">
        <is>
          <t>2025-11-11</t>
        </is>
      </c>
      <c r="D1092" s="9" t="inlineStr">
        <is>
          <t>66075801971917</t>
        </is>
      </c>
      <c r="E1092" s="9" t="inlineStr">
        <is>
          <t>ARETES PETIT GOLD CD</t>
        </is>
      </c>
      <c r="F1092" s="9" t="inlineStr">
        <is>
          <t>Default Title</t>
        </is>
      </c>
      <c r="G1092" s="9" t="n">
        <v>1</v>
      </c>
      <c r="H1092" s="21" t="n">
        <v>3.8</v>
      </c>
      <c r="I1092" s="21" t="n">
        <v>80.03</v>
      </c>
      <c r="J1092" s="21" t="n">
        <v>240.09</v>
      </c>
      <c r="K1092" s="21" t="n">
        <v>280.1</v>
      </c>
      <c r="L1092" s="21" t="n">
        <v>320.12</v>
      </c>
      <c r="M1092" s="21" t="n">
        <v>350</v>
      </c>
    </row>
    <row r="1093">
      <c r="A1093" s="9" t="inlineStr">
        <is>
          <t>HAIFENG</t>
        </is>
      </c>
      <c r="B1093" s="9" t="inlineStr">
        <is>
          <t>HAIFENG 11/11/2025</t>
        </is>
      </c>
      <c r="C1093" s="9" t="inlineStr">
        <is>
          <t>2025-11-11</t>
        </is>
      </c>
      <c r="D1093" s="9" t="inlineStr">
        <is>
          <t>665bb75e1389b</t>
        </is>
      </c>
      <c r="E1093" s="9" t="inlineStr">
        <is>
          <t>ARETES SCREW LOVE GOLD</t>
        </is>
      </c>
      <c r="F1093" s="9" t="inlineStr">
        <is>
          <t>MEDIUM</t>
        </is>
      </c>
      <c r="G1093" s="9" t="n">
        <v>10</v>
      </c>
      <c r="H1093" s="21" t="n">
        <v>2.99</v>
      </c>
      <c r="I1093" s="21" t="n">
        <v>62.97</v>
      </c>
      <c r="J1093" s="21" t="n">
        <v>188.91</v>
      </c>
      <c r="K1093" s="21" t="n">
        <v>220.4</v>
      </c>
      <c r="L1093" s="21" t="n">
        <v>251.88</v>
      </c>
      <c r="M1093" s="21" t="n">
        <v>550</v>
      </c>
    </row>
    <row r="1094">
      <c r="A1094" s="9" t="inlineStr">
        <is>
          <t>HAIFENG</t>
        </is>
      </c>
      <c r="B1094" s="9" t="inlineStr">
        <is>
          <t>HAIFENG 11/11/2025</t>
        </is>
      </c>
      <c r="C1094" s="9" t="inlineStr">
        <is>
          <t>2025-11-11</t>
        </is>
      </c>
      <c r="D1094" s="9" t="inlineStr">
        <is>
          <t>661786a2c48dd</t>
        </is>
      </c>
      <c r="E1094" s="9" t="inlineStr">
        <is>
          <t>ARETES SCREW LOVE ROSE GOLD</t>
        </is>
      </c>
      <c r="F1094" s="9" t="inlineStr">
        <is>
          <t>SMALL</t>
        </is>
      </c>
      <c r="G1094" s="9" t="n">
        <v>8</v>
      </c>
      <c r="H1094" s="21" t="n">
        <v>2.99</v>
      </c>
      <c r="I1094" s="21" t="n">
        <v>62.97</v>
      </c>
      <c r="J1094" s="21" t="n">
        <v>188.91</v>
      </c>
      <c r="K1094" s="21" t="n">
        <v>220.4</v>
      </c>
      <c r="L1094" s="21" t="n">
        <v>251.88</v>
      </c>
      <c r="M1094" s="21" t="n">
        <v>550</v>
      </c>
    </row>
    <row r="1095">
      <c r="A1095" s="9" t="inlineStr">
        <is>
          <t>HAIFENG</t>
        </is>
      </c>
      <c r="B1095" s="9" t="inlineStr">
        <is>
          <t>HAIFENG 11/11/2025</t>
        </is>
      </c>
      <c r="C1095" s="9" t="inlineStr">
        <is>
          <t>2025-11-11</t>
        </is>
      </c>
      <c r="D1095" s="9" t="inlineStr">
        <is>
          <t>665bb7668ef3c</t>
        </is>
      </c>
      <c r="E1095" s="9" t="inlineStr">
        <is>
          <t>ARETES SCREW LOVE SILVER</t>
        </is>
      </c>
      <c r="F1095" s="9" t="inlineStr">
        <is>
          <t>MEDIUM</t>
        </is>
      </c>
      <c r="G1095" s="9" t="n">
        <v>2</v>
      </c>
      <c r="H1095" s="21" t="n">
        <v>2.99</v>
      </c>
      <c r="I1095" s="21" t="n">
        <v>62.97</v>
      </c>
      <c r="J1095" s="21" t="n">
        <v>188.91</v>
      </c>
      <c r="K1095" s="21" t="n">
        <v>220.4</v>
      </c>
      <c r="L1095" s="21" t="n">
        <v>251.88</v>
      </c>
      <c r="M1095" s="21" t="n">
        <v>550</v>
      </c>
    </row>
    <row r="1096">
      <c r="A1096" s="9" t="inlineStr">
        <is>
          <t>HAIFENG</t>
        </is>
      </c>
      <c r="B1096" s="9" t="inlineStr">
        <is>
          <t>HAIFENG 11/11/2025</t>
        </is>
      </c>
      <c r="C1096" s="9" t="inlineStr">
        <is>
          <t>2025-11-11</t>
        </is>
      </c>
      <c r="D1096" s="9" t="inlineStr">
        <is>
          <t>15118061083949</t>
        </is>
      </c>
      <c r="E1096" s="9" t="inlineStr">
        <is>
          <t>ARETES T CORAZÓN CON FLECHA</t>
        </is>
      </c>
      <c r="F1096" s="9" t="inlineStr">
        <is>
          <t>Default Title</t>
        </is>
      </c>
      <c r="G1096" s="9" t="n">
        <v>8</v>
      </c>
      <c r="H1096" s="21" t="n">
        <v>5</v>
      </c>
      <c r="I1096" s="21" t="n">
        <v>105.3</v>
      </c>
      <c r="J1096" s="21" t="n">
        <v>315.91</v>
      </c>
      <c r="K1096" s="21" t="n">
        <v>368.56</v>
      </c>
      <c r="L1096" s="21" t="n">
        <v>421.21</v>
      </c>
      <c r="M1096" s="21" t="n">
        <v>450</v>
      </c>
    </row>
    <row r="1097">
      <c r="A1097" s="9" t="inlineStr">
        <is>
          <t>HAIFENG</t>
        </is>
      </c>
      <c r="B1097" s="9" t="inlineStr">
        <is>
          <t>HAIFENG 11/11/2025</t>
        </is>
      </c>
      <c r="C1097" s="9" t="inlineStr">
        <is>
          <t>2025-11-11</t>
        </is>
      </c>
      <c r="D1097" s="9" t="inlineStr">
        <is>
          <t>27854241086413</t>
        </is>
      </c>
      <c r="E1097" s="9" t="inlineStr">
        <is>
          <t>ARETES T KNOT GOLD</t>
        </is>
      </c>
      <c r="F1097" s="9" t="inlineStr">
        <is>
          <t>Default Title</t>
        </is>
      </c>
      <c r="G1097" s="9" t="n">
        <v>4</v>
      </c>
      <c r="H1097" s="21" t="n">
        <v>5.5</v>
      </c>
      <c r="I1097" s="21" t="n">
        <v>115.83</v>
      </c>
      <c r="J1097" s="21" t="n">
        <v>347.5</v>
      </c>
      <c r="K1097" s="21" t="n">
        <v>405.41</v>
      </c>
      <c r="L1097" s="21" t="n">
        <v>463.33</v>
      </c>
      <c r="M1097" s="21" t="n">
        <v>250</v>
      </c>
    </row>
    <row r="1098">
      <c r="A1098" s="9" t="inlineStr">
        <is>
          <t>HAIFENG</t>
        </is>
      </c>
      <c r="B1098" s="9" t="inlineStr">
        <is>
          <t>HAIFENG 11/11/2025</t>
        </is>
      </c>
      <c r="C1098" s="9" t="inlineStr">
        <is>
          <t>2025-11-11</t>
        </is>
      </c>
      <c r="D1098" s="9" t="inlineStr">
        <is>
          <t>661784a190a7f</t>
        </is>
      </c>
      <c r="E1098" s="9" t="inlineStr">
        <is>
          <t>ARETES TREBOL GOLD-RED</t>
        </is>
      </c>
      <c r="F1098" s="9" t="inlineStr">
        <is>
          <t>HIGH QUALITY</t>
        </is>
      </c>
      <c r="G1098" s="9" t="n">
        <v>1</v>
      </c>
      <c r="H1098" s="21" t="n">
        <v>16</v>
      </c>
      <c r="I1098" s="21" t="n">
        <v>336.97</v>
      </c>
      <c r="J1098" s="21" t="n">
        <v>1010.9</v>
      </c>
      <c r="K1098" s="21" t="n">
        <v>1179.39</v>
      </c>
      <c r="L1098" s="21" t="n">
        <v>1347.87</v>
      </c>
      <c r="M1098" s="21" t="n">
        <v>832</v>
      </c>
    </row>
    <row r="1099">
      <c r="A1099" s="9" t="inlineStr">
        <is>
          <t>HAIFENG</t>
        </is>
      </c>
      <c r="B1099" s="9" t="inlineStr">
        <is>
          <t>HAIFENG 11/11/2025</t>
        </is>
      </c>
      <c r="C1099" s="9" t="inlineStr">
        <is>
          <t>2025-11-11</t>
        </is>
      </c>
      <c r="D1099" s="9" t="inlineStr">
        <is>
          <t>665bb779a07ff</t>
        </is>
      </c>
      <c r="E1099" s="9" t="inlineStr">
        <is>
          <t>ARETES TREBOL ROSE GOLD WHITE</t>
        </is>
      </c>
      <c r="F1099" s="9" t="inlineStr">
        <is>
          <t>REGULAR</t>
        </is>
      </c>
      <c r="G1099" s="9" t="n">
        <v>10</v>
      </c>
      <c r="H1099" s="21" t="n">
        <v>16</v>
      </c>
      <c r="I1099" s="21" t="n">
        <v>336.97</v>
      </c>
      <c r="J1099" s="21" t="n">
        <v>1010.9</v>
      </c>
      <c r="K1099" s="21" t="n">
        <v>1179.39</v>
      </c>
      <c r="L1099" s="21" t="n">
        <v>1347.87</v>
      </c>
      <c r="M1099" s="21" t="n">
        <v>850</v>
      </c>
    </row>
    <row r="1100">
      <c r="A1100" s="9" t="inlineStr">
        <is>
          <t>HAIFENG</t>
        </is>
      </c>
      <c r="B1100" s="9" t="inlineStr">
        <is>
          <t>HAIFENG 11/11/2025</t>
        </is>
      </c>
      <c r="C1100" s="9" t="inlineStr">
        <is>
          <t>2025-11-11</t>
        </is>
      </c>
      <c r="D1100" s="9" t="inlineStr">
        <is>
          <t>665bb7808142d</t>
        </is>
      </c>
      <c r="E1100" s="9" t="inlineStr">
        <is>
          <t>ARETES TRES AROS</t>
        </is>
      </c>
      <c r="F1100" s="9" t="inlineStr">
        <is>
          <t>Default Title</t>
        </is>
      </c>
      <c r="G1100" s="9" t="n">
        <v>3</v>
      </c>
      <c r="H1100" s="21" t="n">
        <v>7.9</v>
      </c>
      <c r="I1100" s="21" t="n">
        <v>166.38</v>
      </c>
      <c r="J1100" s="21" t="n">
        <v>499.13</v>
      </c>
      <c r="K1100" s="21" t="n">
        <v>582.3200000000001</v>
      </c>
      <c r="L1100" s="21" t="n">
        <v>665.51</v>
      </c>
      <c r="M1100" s="21" t="n">
        <v>651</v>
      </c>
    </row>
    <row r="1101">
      <c r="A1101" s="9" t="inlineStr">
        <is>
          <t>HAIFENG</t>
        </is>
      </c>
      <c r="B1101" s="9" t="inlineStr">
        <is>
          <t>HAIFENG 11/11/2025</t>
        </is>
      </c>
      <c r="C1101" s="9" t="inlineStr">
        <is>
          <t>2025-11-11</t>
        </is>
      </c>
      <c r="D1101" s="9" t="inlineStr">
        <is>
          <t>99507971069997</t>
        </is>
      </c>
      <c r="E1101" s="9" t="inlineStr">
        <is>
          <t>ARETES TRES AROS CON ZIRCONIA</t>
        </is>
      </c>
      <c r="F1101" s="9" t="inlineStr">
        <is>
          <t>2cm</t>
        </is>
      </c>
      <c r="G1101" s="9" t="n">
        <v>5</v>
      </c>
      <c r="H1101" s="21" t="n">
        <v>11</v>
      </c>
      <c r="I1101" s="21" t="n">
        <v>231.67</v>
      </c>
      <c r="J1101" s="21" t="n">
        <v>695</v>
      </c>
      <c r="K1101" s="21" t="n">
        <v>810.83</v>
      </c>
      <c r="L1101" s="21" t="n">
        <v>926.66</v>
      </c>
      <c r="M1101" s="21" t="n">
        <v>906</v>
      </c>
    </row>
    <row r="1102">
      <c r="A1102" s="9" t="inlineStr">
        <is>
          <t>HAIFENG</t>
        </is>
      </c>
      <c r="B1102" s="9" t="inlineStr">
        <is>
          <t>HAIFENG 11/11/2025</t>
        </is>
      </c>
      <c r="C1102" s="9" t="inlineStr">
        <is>
          <t>2025-11-11</t>
        </is>
      </c>
      <c r="D1102" s="9" t="inlineStr">
        <is>
          <t>37491258087948</t>
        </is>
      </c>
      <c r="E1102" s="9" t="inlineStr">
        <is>
          <t>ARETES TRINITY DIAMOND</t>
        </is>
      </c>
      <c r="F1102" s="9" t="inlineStr">
        <is>
          <t>Default Title</t>
        </is>
      </c>
      <c r="G1102" s="9" t="n">
        <v>5</v>
      </c>
      <c r="H1102" s="21" t="n">
        <v>7</v>
      </c>
      <c r="I1102" s="21" t="n">
        <v>147.42</v>
      </c>
      <c r="J1102" s="21" t="n">
        <v>442.27</v>
      </c>
      <c r="K1102" s="21" t="n">
        <v>515.98</v>
      </c>
      <c r="L1102" s="21" t="n">
        <v>589.6900000000001</v>
      </c>
      <c r="M1102" s="21" t="n">
        <v>599</v>
      </c>
    </row>
    <row r="1103">
      <c r="A1103" s="9" t="inlineStr">
        <is>
          <t>HAIFENG</t>
        </is>
      </c>
      <c r="B1103" s="9" t="inlineStr">
        <is>
          <t>HAIFENG 11/11/2025</t>
        </is>
      </c>
      <c r="C1103" s="9" t="inlineStr">
        <is>
          <t>2025-11-11</t>
        </is>
      </c>
      <c r="D1103" s="9" t="inlineStr">
        <is>
          <t>661784a18007c</t>
        </is>
      </c>
      <c r="E1103" s="9" t="inlineStr">
        <is>
          <t>ARETES TRÉBOL GOLD-GREEN</t>
        </is>
      </c>
      <c r="F1103" s="9" t="inlineStr">
        <is>
          <t>HIGH QUALITY</t>
        </is>
      </c>
      <c r="G1103" s="9" t="n">
        <v>2</v>
      </c>
      <c r="H1103" s="21" t="n">
        <v>16</v>
      </c>
      <c r="I1103" s="21" t="n">
        <v>336.97</v>
      </c>
      <c r="J1103" s="21" t="n">
        <v>1010.9</v>
      </c>
      <c r="K1103" s="21" t="n">
        <v>1179.39</v>
      </c>
      <c r="L1103" s="21" t="n">
        <v>1347.87</v>
      </c>
      <c r="M1103" s="21" t="n">
        <v>850</v>
      </c>
    </row>
    <row r="1104">
      <c r="A1104" s="9" t="inlineStr">
        <is>
          <t>HAIFENG</t>
        </is>
      </c>
      <c r="B1104" s="9" t="inlineStr">
        <is>
          <t>HAIFENG 11/11/2025</t>
        </is>
      </c>
      <c r="C1104" s="9" t="inlineStr">
        <is>
          <t>2025-11-11</t>
        </is>
      </c>
      <c r="D1104" s="9" t="inlineStr">
        <is>
          <t>665bb919e080e</t>
        </is>
      </c>
      <c r="E1104" s="9" t="inlineStr">
        <is>
          <t>BRAZALETE CLASH GOLD</t>
        </is>
      </c>
      <c r="F1104" s="9" t="inlineStr">
        <is>
          <t>Default Title</t>
        </is>
      </c>
      <c r="G1104" s="9" t="n">
        <v>2</v>
      </c>
      <c r="H1104" s="21" t="n">
        <v>22</v>
      </c>
      <c r="I1104" s="21" t="n">
        <v>463.33</v>
      </c>
      <c r="J1104" s="21" t="n">
        <v>1389.99</v>
      </c>
      <c r="K1104" s="21" t="n">
        <v>1621.66</v>
      </c>
      <c r="L1104" s="21" t="n">
        <v>1853.32</v>
      </c>
      <c r="M1104" s="21" t="n">
        <v>1850</v>
      </c>
    </row>
    <row r="1105">
      <c r="A1105" s="9" t="inlineStr">
        <is>
          <t>HAIFENG</t>
        </is>
      </c>
      <c r="B1105" s="9" t="inlineStr">
        <is>
          <t>HAIFENG 11/11/2025</t>
        </is>
      </c>
      <c r="C1105" s="9" t="inlineStr">
        <is>
          <t>2025-11-11</t>
        </is>
      </c>
      <c r="D1105" s="9" t="inlineStr">
        <is>
          <t>67201531837869</t>
        </is>
      </c>
      <c r="E1105" s="9" t="inlineStr">
        <is>
          <t>BRAZALETE KELLY CLIC H ROSE GOLD</t>
        </is>
      </c>
      <c r="F1105" s="9" t="inlineStr">
        <is>
          <t>Default Title</t>
        </is>
      </c>
      <c r="G1105" s="9" t="n">
        <v>3</v>
      </c>
      <c r="H1105" s="21" t="n">
        <v>10</v>
      </c>
      <c r="I1105" s="21" t="n">
        <v>210.6</v>
      </c>
      <c r="J1105" s="21" t="n">
        <v>631.8099999999999</v>
      </c>
      <c r="K1105" s="21" t="n">
        <v>737.12</v>
      </c>
      <c r="L1105" s="21" t="n">
        <v>842.42</v>
      </c>
      <c r="M1105" s="21" t="n">
        <v>824</v>
      </c>
    </row>
    <row r="1106">
      <c r="A1106" s="9" t="inlineStr">
        <is>
          <t>HAIFENG</t>
        </is>
      </c>
      <c r="B1106" s="9" t="inlineStr">
        <is>
          <t>HAIFENG 11/11/2025</t>
        </is>
      </c>
      <c r="C1106" s="9" t="inlineStr">
        <is>
          <t>2025-11-11</t>
        </is>
      </c>
      <c r="D1106" s="9" t="inlineStr">
        <is>
          <t>63e0bdd7a5137</t>
        </is>
      </c>
      <c r="E1106" s="9" t="inlineStr">
        <is>
          <t>COLLAR ARO LOVE ROSE GOLD</t>
        </is>
      </c>
      <c r="F1106" s="9" t="inlineStr">
        <is>
          <t>42cm</t>
        </is>
      </c>
      <c r="G1106" s="9" t="n">
        <v>5</v>
      </c>
      <c r="H1106" s="21" t="n">
        <v>5</v>
      </c>
      <c r="I1106" s="21" t="n">
        <v>105.3</v>
      </c>
      <c r="J1106" s="21" t="n">
        <v>315.91</v>
      </c>
      <c r="K1106" s="21" t="n">
        <v>368.56</v>
      </c>
      <c r="L1106" s="21" t="n">
        <v>421.21</v>
      </c>
      <c r="M1106" s="21" t="n">
        <v>460</v>
      </c>
    </row>
    <row r="1107">
      <c r="A1107" s="9" t="inlineStr">
        <is>
          <t>HAIFENG</t>
        </is>
      </c>
      <c r="B1107" s="9" t="inlineStr">
        <is>
          <t>HAIFENG 11/11/2025</t>
        </is>
      </c>
      <c r="C1107" s="9" t="inlineStr">
        <is>
          <t>2025-11-11</t>
        </is>
      </c>
      <c r="D1107" s="9" t="inlineStr">
        <is>
          <t>56481484584844</t>
        </is>
      </c>
      <c r="E1107" s="9" t="inlineStr">
        <is>
          <t>COLLAR BEAN GOLD</t>
        </is>
      </c>
      <c r="F1107" s="9" t="inlineStr">
        <is>
          <t>41cm con 5cm de extensión</t>
        </is>
      </c>
      <c r="G1107" s="9" t="n">
        <v>3</v>
      </c>
      <c r="H1107" s="21" t="n">
        <v>6</v>
      </c>
      <c r="I1107" s="21" t="n">
        <v>126.36</v>
      </c>
      <c r="J1107" s="21" t="n">
        <v>379.09</v>
      </c>
      <c r="K1107" s="21" t="n">
        <v>442.27</v>
      </c>
      <c r="L1107" s="21" t="n">
        <v>505.45</v>
      </c>
      <c r="M1107" s="21" t="n">
        <v>520</v>
      </c>
    </row>
    <row r="1108">
      <c r="A1108" s="9" t="inlineStr">
        <is>
          <t>HAIFENG</t>
        </is>
      </c>
      <c r="B1108" s="9" t="inlineStr">
        <is>
          <t>HAIFENG 11/11/2025</t>
        </is>
      </c>
      <c r="C1108" s="9" t="inlineStr">
        <is>
          <t>2025-11-11</t>
        </is>
      </c>
      <c r="D1108" s="9" t="inlineStr">
        <is>
          <t>56481482264076</t>
        </is>
      </c>
      <c r="E1108" s="9" t="inlineStr">
        <is>
          <t>COLLAR BEAN SILVER</t>
        </is>
      </c>
      <c r="F1108" s="9" t="inlineStr">
        <is>
          <t>41cm con 5cm de extensión</t>
        </is>
      </c>
      <c r="G1108" s="9" t="n">
        <v>2</v>
      </c>
      <c r="H1108" s="21" t="n">
        <v>6</v>
      </c>
      <c r="I1108" s="21" t="n">
        <v>126.36</v>
      </c>
      <c r="J1108" s="21" t="n">
        <v>379.09</v>
      </c>
      <c r="K1108" s="21" t="n">
        <v>442.27</v>
      </c>
      <c r="L1108" s="21" t="n">
        <v>505.45</v>
      </c>
      <c r="M1108" s="21" t="n">
        <v>520</v>
      </c>
    </row>
    <row r="1109">
      <c r="A1109" s="9" t="inlineStr">
        <is>
          <t>HAIFENG</t>
        </is>
      </c>
      <c r="B1109" s="9" t="inlineStr">
        <is>
          <t>HAIFENG 11/11/2025</t>
        </is>
      </c>
      <c r="C1109" s="9" t="inlineStr">
        <is>
          <t>2025-11-11</t>
        </is>
      </c>
      <c r="D1109" s="9" t="inlineStr">
        <is>
          <t>643ec108c3efe</t>
        </is>
      </c>
      <c r="E1109" s="9" t="inlineStr">
        <is>
          <t>COLLAR BV GOLD</t>
        </is>
      </c>
      <c r="F1109" s="9" t="inlineStr">
        <is>
          <t>Largo de cadena total 40cm  Extensión 8 cm  Dije 1 cm</t>
        </is>
      </c>
      <c r="G1109" s="9" t="n">
        <v>2</v>
      </c>
      <c r="H1109" s="21" t="n">
        <v>3.99</v>
      </c>
      <c r="I1109" s="21" t="n">
        <v>84.03</v>
      </c>
      <c r="J1109" s="21" t="n">
        <v>252.09</v>
      </c>
      <c r="K1109" s="21" t="n">
        <v>294.11</v>
      </c>
      <c r="L1109" s="21" t="n">
        <v>336.13</v>
      </c>
      <c r="M1109" s="21" t="n">
        <v>499</v>
      </c>
    </row>
    <row r="1110">
      <c r="A1110" s="9" t="inlineStr">
        <is>
          <t>HAIFENG</t>
        </is>
      </c>
      <c r="B1110" s="9" t="inlineStr">
        <is>
          <t>HAIFENG 11/11/2025</t>
        </is>
      </c>
      <c r="C1110" s="9" t="inlineStr">
        <is>
          <t>2025-11-11</t>
        </is>
      </c>
      <c r="D1110" s="9" t="inlineStr">
        <is>
          <t>27127017235212</t>
        </is>
      </c>
      <c r="E1110" s="9" t="inlineStr">
        <is>
          <t>COLLAR Bzero ROSEGOLD BLACK</t>
        </is>
      </c>
      <c r="F1110" s="9" t="inlineStr">
        <is>
          <t>41cm de largo con 8cm de extensión</t>
        </is>
      </c>
      <c r="G1110" s="9" t="n">
        <v>2</v>
      </c>
      <c r="H1110" s="21" t="n">
        <v>3.99</v>
      </c>
      <c r="I1110" s="21" t="n">
        <v>84.03</v>
      </c>
      <c r="J1110" s="21" t="n">
        <v>252.09</v>
      </c>
      <c r="K1110" s="21" t="n">
        <v>294.11</v>
      </c>
      <c r="L1110" s="21" t="n">
        <v>336.13</v>
      </c>
      <c r="M1110" s="21" t="n">
        <v>550</v>
      </c>
    </row>
    <row r="1111">
      <c r="A1111" s="9" t="inlineStr">
        <is>
          <t>HAIFENG</t>
        </is>
      </c>
      <c r="B1111" s="9" t="inlineStr">
        <is>
          <t>HAIFENG 11/11/2025</t>
        </is>
      </c>
      <c r="C1111" s="9" t="inlineStr">
        <is>
          <t>2025-11-11</t>
        </is>
      </c>
      <c r="D1111" s="9" t="inlineStr">
        <is>
          <t>43728082327916</t>
        </is>
      </c>
      <c r="E1111" s="9" t="inlineStr">
        <is>
          <t>COLLAR C D´AMOUR GOLD</t>
        </is>
      </c>
      <c r="F1111" s="9" t="inlineStr">
        <is>
          <t>44cm con 5cm de extensión</t>
        </is>
      </c>
      <c r="G1111" s="9" t="n">
        <v>2</v>
      </c>
      <c r="H1111" s="21" t="n">
        <v>2.99</v>
      </c>
      <c r="I1111" s="21" t="n">
        <v>62.97</v>
      </c>
      <c r="J1111" s="21" t="n">
        <v>188.91</v>
      </c>
      <c r="K1111" s="21" t="n">
        <v>220.4</v>
      </c>
      <c r="L1111" s="21" t="n">
        <v>251.88</v>
      </c>
      <c r="M1111" s="21" t="n">
        <v>525</v>
      </c>
    </row>
    <row r="1112">
      <c r="A1112" s="9" t="inlineStr">
        <is>
          <t>HAIFENG</t>
        </is>
      </c>
      <c r="B1112" s="9" t="inlineStr">
        <is>
          <t>HAIFENG 11/11/2025</t>
        </is>
      </c>
      <c r="C1112" s="9" t="inlineStr">
        <is>
          <t>2025-11-11</t>
        </is>
      </c>
      <c r="D1112" s="9" t="inlineStr">
        <is>
          <t>43728082231852</t>
        </is>
      </c>
      <c r="E1112" s="9" t="inlineStr">
        <is>
          <t>COLLAR C D’AMOUR SILVER</t>
        </is>
      </c>
      <c r="F1112" s="9" t="inlineStr">
        <is>
          <t>44cm con 5cm de extensión</t>
        </is>
      </c>
      <c r="G1112" s="9" t="n">
        <v>3</v>
      </c>
      <c r="H1112" s="21" t="n">
        <v>2.99</v>
      </c>
      <c r="I1112" s="21" t="n">
        <v>62.97</v>
      </c>
      <c r="J1112" s="21" t="n">
        <v>188.91</v>
      </c>
      <c r="K1112" s="21" t="n">
        <v>220.4</v>
      </c>
      <c r="L1112" s="21" t="n">
        <v>251.88</v>
      </c>
      <c r="M1112" s="21" t="n">
        <v>399</v>
      </c>
    </row>
    <row r="1113">
      <c r="A1113" s="9" t="inlineStr">
        <is>
          <t>HAIFENG</t>
        </is>
      </c>
      <c r="B1113" s="9" t="inlineStr">
        <is>
          <t>HAIFENG 11/11/2025</t>
        </is>
      </c>
      <c r="C1113" s="9" t="inlineStr">
        <is>
          <t>2025-11-11</t>
        </is>
      </c>
      <c r="D1113" s="9" t="inlineStr">
        <is>
          <t>36002951405580</t>
        </is>
      </c>
      <c r="E1113" s="9" t="inlineStr">
        <is>
          <t>COLLAR CLAVO GOLD CON ZIRCONIA</t>
        </is>
      </c>
      <c r="F1113" s="9" t="inlineStr">
        <is>
          <t>40cm de largo x 5cm de extensión</t>
        </is>
      </c>
      <c r="G1113" s="9" t="n">
        <v>5</v>
      </c>
      <c r="H1113" s="21" t="n">
        <v>6</v>
      </c>
      <c r="I1113" s="21" t="n">
        <v>126.36</v>
      </c>
      <c r="J1113" s="21" t="n">
        <v>379.09</v>
      </c>
      <c r="K1113" s="21" t="n">
        <v>442.27</v>
      </c>
      <c r="L1113" s="21" t="n">
        <v>505.45</v>
      </c>
      <c r="M1113" s="21" t="n">
        <v>618</v>
      </c>
    </row>
    <row r="1114">
      <c r="A1114" s="9" t="inlineStr">
        <is>
          <t>HAIFENG</t>
        </is>
      </c>
      <c r="B1114" s="9" t="inlineStr">
        <is>
          <t>HAIFENG 11/11/2025</t>
        </is>
      </c>
      <c r="C1114" s="9" t="inlineStr">
        <is>
          <t>2025-11-11</t>
        </is>
      </c>
      <c r="D1114" s="9" t="inlineStr">
        <is>
          <t>53864631024909</t>
        </is>
      </c>
      <c r="E1114" s="9" t="inlineStr">
        <is>
          <t>COLLAR CON PASADOR Y PLACA ESTILO CORAZÓN SILVER</t>
        </is>
      </c>
      <c r="F1114" s="9" t="inlineStr">
        <is>
          <t>44 cm</t>
        </is>
      </c>
      <c r="G1114" s="9" t="n">
        <v>6</v>
      </c>
      <c r="H1114" s="21" t="n">
        <v>12</v>
      </c>
      <c r="I1114" s="21" t="n">
        <v>252.73</v>
      </c>
      <c r="J1114" s="21" t="n">
        <v>758.1799999999999</v>
      </c>
      <c r="K1114" s="21" t="n">
        <v>884.54</v>
      </c>
      <c r="L1114" s="21" t="n">
        <v>1010.9</v>
      </c>
      <c r="M1114" s="21" t="n">
        <v>989</v>
      </c>
    </row>
    <row r="1115">
      <c r="A1115" s="9" t="inlineStr">
        <is>
          <t>HAIFENG</t>
        </is>
      </c>
      <c r="B1115" s="9" t="inlineStr">
        <is>
          <t>HAIFENG 11/11/2025</t>
        </is>
      </c>
      <c r="C1115" s="9" t="inlineStr">
        <is>
          <t>2025-11-11</t>
        </is>
      </c>
      <c r="D1115" s="9" t="inlineStr">
        <is>
          <t>67201534708013</t>
        </is>
      </c>
      <c r="E1115" s="9" t="inlineStr">
        <is>
          <t>COLLAR CRUZ T GOLD</t>
        </is>
      </c>
      <c r="F1115" s="9" t="inlineStr">
        <is>
          <t>Default Title</t>
        </is>
      </c>
      <c r="G1115" s="9" t="n">
        <v>2</v>
      </c>
      <c r="H1115" s="21" t="n">
        <v>7</v>
      </c>
      <c r="I1115" s="21" t="n">
        <v>147.42</v>
      </c>
      <c r="J1115" s="21" t="n">
        <v>442.27</v>
      </c>
      <c r="K1115" s="21" t="n">
        <v>515.98</v>
      </c>
      <c r="L1115" s="21" t="n">
        <v>589.6900000000001</v>
      </c>
      <c r="M1115" s="21" t="n">
        <v>577</v>
      </c>
    </row>
    <row r="1116">
      <c r="A1116" s="9" t="inlineStr">
        <is>
          <t>HAIFENG</t>
        </is>
      </c>
      <c r="B1116" s="9" t="inlineStr">
        <is>
          <t>HAIFENG 11/11/2025</t>
        </is>
      </c>
      <c r="C1116" s="9" t="inlineStr">
        <is>
          <t>2025-11-11</t>
        </is>
      </c>
      <c r="D1116" s="9" t="inlineStr">
        <is>
          <t>668eee3e3e067</t>
        </is>
      </c>
      <c r="E1116" s="9" t="inlineStr">
        <is>
          <t>COLLAR DOBLE PLACA CORAZÓN TURQUESA-PLATA</t>
        </is>
      </c>
      <c r="F1116" s="9" t="inlineStr">
        <is>
          <t>Copper</t>
        </is>
      </c>
      <c r="G1116" s="9" t="n">
        <v>20</v>
      </c>
      <c r="H1116" s="21" t="n">
        <v>5</v>
      </c>
      <c r="I1116" s="21" t="n">
        <v>105.3</v>
      </c>
      <c r="J1116" s="21" t="n">
        <v>315.91</v>
      </c>
      <c r="K1116" s="21" t="n">
        <v>368.56</v>
      </c>
      <c r="L1116" s="21" t="n">
        <v>421.21</v>
      </c>
      <c r="M1116" s="21" t="n">
        <v>550</v>
      </c>
    </row>
    <row r="1117">
      <c r="A1117" s="9" t="inlineStr">
        <is>
          <t>HAIFENG</t>
        </is>
      </c>
      <c r="B1117" s="9" t="inlineStr">
        <is>
          <t>HAIFENG 11/11/2025</t>
        </is>
      </c>
      <c r="C1117" s="9" t="inlineStr">
        <is>
          <t>2025-11-11</t>
        </is>
      </c>
      <c r="D1117" s="9" t="inlineStr">
        <is>
          <t>37491258394380</t>
        </is>
      </c>
      <c r="E1117" s="9" t="inlineStr">
        <is>
          <t>COLLAR FLOWER VF</t>
        </is>
      </c>
      <c r="F1117" s="9" t="inlineStr">
        <is>
          <t>45cm</t>
        </is>
      </c>
      <c r="G1117" s="9" t="n">
        <v>5</v>
      </c>
      <c r="H1117" s="21" t="n">
        <v>5</v>
      </c>
      <c r="I1117" s="21" t="n">
        <v>105.3</v>
      </c>
      <c r="J1117" s="21" t="n">
        <v>315.91</v>
      </c>
      <c r="K1117" s="21" t="n">
        <v>368.56</v>
      </c>
      <c r="L1117" s="21" t="n">
        <v>421.21</v>
      </c>
      <c r="M1117" s="21" t="n">
        <v>432.6</v>
      </c>
    </row>
    <row r="1118">
      <c r="A1118" s="9" t="inlineStr">
        <is>
          <t>HAIFENG</t>
        </is>
      </c>
      <c r="B1118" s="9" t="inlineStr">
        <is>
          <t>HAIFENG 11/11/2025</t>
        </is>
      </c>
      <c r="C1118" s="9" t="inlineStr">
        <is>
          <t>2025-11-11</t>
        </is>
      </c>
      <c r="D1118" s="9" t="inlineStr">
        <is>
          <t>63e0beee6c617</t>
        </is>
      </c>
      <c r="E1118" s="9" t="inlineStr">
        <is>
          <t>COLLAR LOVE GOLD</t>
        </is>
      </c>
      <c r="F1118" s="9" t="inlineStr">
        <is>
          <t>42cm</t>
        </is>
      </c>
      <c r="G1118" s="9" t="n">
        <v>2</v>
      </c>
      <c r="H1118" s="21" t="n">
        <v>5</v>
      </c>
      <c r="I1118" s="21" t="n">
        <v>105.3</v>
      </c>
      <c r="J1118" s="21" t="n">
        <v>315.91</v>
      </c>
      <c r="K1118" s="21" t="n">
        <v>368.56</v>
      </c>
      <c r="L1118" s="21" t="n">
        <v>421.21</v>
      </c>
      <c r="M1118" s="21" t="n">
        <v>550</v>
      </c>
    </row>
    <row r="1119">
      <c r="A1119" s="9" t="inlineStr">
        <is>
          <t>HAIFENG</t>
        </is>
      </c>
      <c r="B1119" s="9" t="inlineStr">
        <is>
          <t>HAIFENG 11/11/2025</t>
        </is>
      </c>
      <c r="C1119" s="9" t="inlineStr">
        <is>
          <t>2025-11-11</t>
        </is>
      </c>
      <c r="D1119" s="9" t="inlineStr">
        <is>
          <t>665bbe3eb9388</t>
        </is>
      </c>
      <c r="E1119" s="9" t="inlineStr">
        <is>
          <t>COLLAR LOVE SILVER</t>
        </is>
      </c>
      <c r="F1119" s="9" t="inlineStr">
        <is>
          <t>Default Title</t>
        </is>
      </c>
      <c r="G1119" s="9" t="n">
        <v>2</v>
      </c>
      <c r="H1119" s="21" t="n">
        <v>5</v>
      </c>
      <c r="I1119" s="21" t="n">
        <v>105.3</v>
      </c>
      <c r="J1119" s="21" t="n">
        <v>315.91</v>
      </c>
      <c r="K1119" s="21" t="n">
        <v>368.56</v>
      </c>
      <c r="L1119" s="21" t="n">
        <v>421.21</v>
      </c>
      <c r="M1119" s="21" t="n">
        <v>460</v>
      </c>
    </row>
    <row r="1120">
      <c r="A1120" s="9" t="inlineStr">
        <is>
          <t>HAIFENG</t>
        </is>
      </c>
      <c r="B1120" s="9" t="inlineStr">
        <is>
          <t>HAIFENG 11/11/2025</t>
        </is>
      </c>
      <c r="C1120" s="9" t="inlineStr">
        <is>
          <t>2025-11-11</t>
        </is>
      </c>
      <c r="D1120" s="9" t="inlineStr">
        <is>
          <t>66177c3e7206b</t>
        </is>
      </c>
      <c r="E1120" s="9" t="inlineStr">
        <is>
          <t>COLLAR LOVE-LOVE GOLD</t>
        </is>
      </c>
      <c r="F1120" s="9" t="inlineStr">
        <is>
          <t>46cm con 5cm de extension</t>
        </is>
      </c>
      <c r="G1120" s="9" t="n">
        <v>5</v>
      </c>
      <c r="H1120" s="21" t="n">
        <v>3.8</v>
      </c>
      <c r="I1120" s="21" t="n">
        <v>80.03</v>
      </c>
      <c r="J1120" s="21" t="n">
        <v>240.09</v>
      </c>
      <c r="K1120" s="21" t="n">
        <v>280.1</v>
      </c>
      <c r="L1120" s="21" t="n">
        <v>320.12</v>
      </c>
      <c r="M1120" s="21" t="n">
        <v>440</v>
      </c>
    </row>
    <row r="1121">
      <c r="A1121" s="9" t="inlineStr">
        <is>
          <t>HAIFENG</t>
        </is>
      </c>
      <c r="B1121" s="9" t="inlineStr">
        <is>
          <t>HAIFENG 11/11/2025</t>
        </is>
      </c>
      <c r="C1121" s="9" t="inlineStr">
        <is>
          <t>2025-11-11</t>
        </is>
      </c>
      <c r="D1121" s="9" t="inlineStr">
        <is>
          <t>37491254947980</t>
        </is>
      </c>
      <c r="E1121" s="9" t="inlineStr">
        <is>
          <t>COLLAR MARIQUITA VF</t>
        </is>
      </c>
      <c r="F1121" s="9" t="inlineStr">
        <is>
          <t>47cm</t>
        </is>
      </c>
      <c r="G1121" s="9" t="n">
        <v>6</v>
      </c>
      <c r="H1121" s="21" t="n">
        <v>7</v>
      </c>
      <c r="I1121" s="21" t="n">
        <v>147.42</v>
      </c>
      <c r="J1121" s="21" t="n">
        <v>442.27</v>
      </c>
      <c r="K1121" s="21" t="n">
        <v>515.98</v>
      </c>
      <c r="L1121" s="21" t="n">
        <v>589.6900000000001</v>
      </c>
      <c r="M1121" s="21" t="n">
        <v>580</v>
      </c>
    </row>
    <row r="1122">
      <c r="A1122" s="9" t="inlineStr">
        <is>
          <t>HAIFENG</t>
        </is>
      </c>
      <c r="B1122" s="9" t="inlineStr">
        <is>
          <t>HAIFENG 11/11/2025</t>
        </is>
      </c>
      <c r="C1122" s="9" t="inlineStr">
        <is>
          <t>2025-11-11</t>
        </is>
      </c>
      <c r="D1122" s="9" t="inlineStr">
        <is>
          <t>67201534607245</t>
        </is>
      </c>
      <c r="E1122" s="9" t="inlineStr">
        <is>
          <t>COLLAR OPEN HEART GOLD</t>
        </is>
      </c>
      <c r="F1122" s="9" t="inlineStr">
        <is>
          <t>Default Title</t>
        </is>
      </c>
      <c r="G1122" s="9" t="n">
        <v>4</v>
      </c>
      <c r="H1122" s="21" t="n">
        <v>7</v>
      </c>
      <c r="I1122" s="21" t="n">
        <v>147.42</v>
      </c>
      <c r="J1122" s="21" t="n">
        <v>442.27</v>
      </c>
      <c r="K1122" s="21" t="n">
        <v>515.98</v>
      </c>
      <c r="L1122" s="21" t="n">
        <v>589.6900000000001</v>
      </c>
      <c r="M1122" s="21" t="n">
        <v>599</v>
      </c>
    </row>
    <row r="1123">
      <c r="A1123" s="9" t="inlineStr">
        <is>
          <t>HAIFENG</t>
        </is>
      </c>
      <c r="B1123" s="9" t="inlineStr">
        <is>
          <t>HAIFENG 11/11/2025</t>
        </is>
      </c>
      <c r="C1123" s="9" t="inlineStr">
        <is>
          <t>2025-11-11</t>
        </is>
      </c>
      <c r="D1123" s="9" t="inlineStr">
        <is>
          <t>67201534558861</t>
        </is>
      </c>
      <c r="E1123" s="9" t="inlineStr">
        <is>
          <t>COLLAR OPEN HEART ROSE GOLD</t>
        </is>
      </c>
      <c r="F1123" s="9" t="inlineStr">
        <is>
          <t>Default Title</t>
        </is>
      </c>
      <c r="G1123" s="9" t="n">
        <v>4</v>
      </c>
      <c r="H1123" s="21" t="n">
        <v>7</v>
      </c>
      <c r="I1123" s="21" t="n">
        <v>147.42</v>
      </c>
      <c r="J1123" s="21" t="n">
        <v>442.27</v>
      </c>
      <c r="K1123" s="21" t="n">
        <v>515.98</v>
      </c>
      <c r="L1123" s="21" t="n">
        <v>589.6900000000001</v>
      </c>
      <c r="M1123" s="21" t="n">
        <v>577</v>
      </c>
    </row>
    <row r="1124">
      <c r="A1124" s="9" t="inlineStr">
        <is>
          <t>HAIFENG</t>
        </is>
      </c>
      <c r="B1124" s="9" t="inlineStr">
        <is>
          <t>HAIFENG 11/11/2025</t>
        </is>
      </c>
      <c r="C1124" s="9" t="inlineStr">
        <is>
          <t>2025-11-11</t>
        </is>
      </c>
      <c r="D1124" s="9" t="inlineStr">
        <is>
          <t>64085741986765</t>
        </is>
      </c>
      <c r="E1124" s="9" t="inlineStr">
        <is>
          <t>COLLAR PANTHERE GOLD C</t>
        </is>
      </c>
      <c r="F1124" s="9" t="inlineStr">
        <is>
          <t>Default Title</t>
        </is>
      </c>
      <c r="G1124" s="9" t="n">
        <v>2</v>
      </c>
      <c r="H1124" s="21" t="n">
        <v>7</v>
      </c>
      <c r="I1124" s="21" t="n">
        <v>147.42</v>
      </c>
      <c r="J1124" s="21" t="n">
        <v>442.27</v>
      </c>
      <c r="K1124" s="21" t="n">
        <v>515.98</v>
      </c>
      <c r="L1124" s="21" t="n">
        <v>589.6900000000001</v>
      </c>
      <c r="M1124" s="21" t="n">
        <v>577</v>
      </c>
    </row>
    <row r="1125">
      <c r="A1125" s="9" t="inlineStr">
        <is>
          <t>HAIFENG</t>
        </is>
      </c>
      <c r="B1125" s="9" t="inlineStr">
        <is>
          <t>HAIFENG 11/11/2025</t>
        </is>
      </c>
      <c r="C1125" s="9" t="inlineStr">
        <is>
          <t>2025-11-11</t>
        </is>
      </c>
      <c r="D1125" s="9" t="inlineStr">
        <is>
          <t>56481488272140</t>
        </is>
      </c>
      <c r="E1125" s="9" t="inlineStr">
        <is>
          <t>COLLAR PASADOR FULL HEART</t>
        </is>
      </c>
      <c r="F1125" s="9" t="inlineStr">
        <is>
          <t>45cm</t>
        </is>
      </c>
      <c r="G1125" s="9" t="n">
        <v>4</v>
      </c>
      <c r="H1125" s="21" t="n">
        <v>12</v>
      </c>
      <c r="I1125" s="21" t="n">
        <v>252.73</v>
      </c>
      <c r="J1125" s="21" t="n">
        <v>758.1799999999999</v>
      </c>
      <c r="K1125" s="21" t="n">
        <v>884.54</v>
      </c>
      <c r="L1125" s="21" t="n">
        <v>1010.9</v>
      </c>
      <c r="M1125" s="21" t="n">
        <v>989</v>
      </c>
    </row>
    <row r="1126">
      <c r="A1126" s="9" t="inlineStr">
        <is>
          <t>HAIFENG</t>
        </is>
      </c>
      <c r="B1126" s="9" t="inlineStr">
        <is>
          <t>HAIFENG 11/11/2025</t>
        </is>
      </c>
      <c r="C1126" s="9" t="inlineStr">
        <is>
          <t>2025-11-11</t>
        </is>
      </c>
      <c r="D1126" s="9" t="inlineStr">
        <is>
          <t>64085741631661</t>
        </is>
      </c>
      <c r="E1126" s="9" t="inlineStr">
        <is>
          <t>COLLAR SILVER BLACK C</t>
        </is>
      </c>
      <c r="F1126" s="9" t="inlineStr">
        <is>
          <t>Default Title</t>
        </is>
      </c>
      <c r="G1126" s="9" t="n">
        <v>1</v>
      </c>
      <c r="H1126" s="21" t="n">
        <v>7</v>
      </c>
      <c r="I1126" s="21" t="n">
        <v>147.42</v>
      </c>
      <c r="J1126" s="21" t="n">
        <v>442.27</v>
      </c>
      <c r="K1126" s="21" t="n">
        <v>515.98</v>
      </c>
      <c r="L1126" s="21" t="n">
        <v>589.6900000000001</v>
      </c>
      <c r="M1126" s="21" t="n">
        <v>577</v>
      </c>
    </row>
    <row r="1127">
      <c r="A1127" s="9" t="inlineStr">
        <is>
          <t>HAIFENG</t>
        </is>
      </c>
      <c r="B1127" s="9" t="inlineStr">
        <is>
          <t>HAIFENG 11/11/2025</t>
        </is>
      </c>
      <c r="C1127" s="9" t="inlineStr">
        <is>
          <t>2025-11-11</t>
        </is>
      </c>
      <c r="D1127" s="9" t="inlineStr">
        <is>
          <t>82014673288716</t>
        </is>
      </c>
      <c r="E1127" s="9" t="inlineStr">
        <is>
          <t>COLLAR SIXTEEN STONE</t>
        </is>
      </c>
      <c r="F1127" s="9" t="inlineStr">
        <is>
          <t>43cm con extensión de 5cm</t>
        </is>
      </c>
      <c r="G1127" s="9" t="n">
        <v>1</v>
      </c>
      <c r="H1127" s="21" t="n">
        <v>7.5</v>
      </c>
      <c r="I1127" s="21" t="n">
        <v>157.95</v>
      </c>
      <c r="J1127" s="21" t="n">
        <v>473.86</v>
      </c>
      <c r="K1127" s="21" t="n">
        <v>552.84</v>
      </c>
      <c r="L1127" s="21" t="n">
        <v>631.8099999999999</v>
      </c>
      <c r="M1127" s="21" t="n">
        <v>650</v>
      </c>
    </row>
    <row r="1128">
      <c r="A1128" s="9" t="inlineStr">
        <is>
          <t>HAIFENG</t>
        </is>
      </c>
      <c r="B1128" s="9" t="inlineStr">
        <is>
          <t>HAIFENG 11/11/2025</t>
        </is>
      </c>
      <c r="C1128" s="9" t="inlineStr">
        <is>
          <t>2025-11-11</t>
        </is>
      </c>
      <c r="D1128" s="9" t="inlineStr">
        <is>
          <t>63e0bf8dbe95e</t>
        </is>
      </c>
      <c r="E1128" s="9" t="inlineStr">
        <is>
          <t>COLLAR SMILE DORADO</t>
        </is>
      </c>
      <c r="F1128" s="9" t="inlineStr">
        <is>
          <t>MEDIUM</t>
        </is>
      </c>
      <c r="G1128" s="9" t="n">
        <v>10</v>
      </c>
      <c r="H1128" s="21" t="n">
        <v>3.4</v>
      </c>
      <c r="I1128" s="21" t="n">
        <v>71.61</v>
      </c>
      <c r="J1128" s="21" t="n">
        <v>214.82</v>
      </c>
      <c r="K1128" s="21" t="n">
        <v>250.62</v>
      </c>
      <c r="L1128" s="21" t="n">
        <v>286.42</v>
      </c>
      <c r="M1128" s="21" t="n">
        <v>460</v>
      </c>
    </row>
    <row r="1129">
      <c r="A1129" s="9" t="inlineStr">
        <is>
          <t>HAIFENG</t>
        </is>
      </c>
      <c r="B1129" s="9" t="inlineStr">
        <is>
          <t>HAIFENG 11/11/2025</t>
        </is>
      </c>
      <c r="C1129" s="9" t="inlineStr">
        <is>
          <t>2025-11-11</t>
        </is>
      </c>
      <c r="D1129" s="9" t="inlineStr">
        <is>
          <t>82224434630413</t>
        </is>
      </c>
      <c r="E1129" s="9" t="inlineStr">
        <is>
          <t>COLLAR TREBOL ROSEGOLD WHITE</t>
        </is>
      </c>
      <c r="F1129" s="9" t="inlineStr">
        <is>
          <t>45cm</t>
        </is>
      </c>
      <c r="G1129" s="9" t="n">
        <v>8</v>
      </c>
      <c r="H1129" s="21" t="n">
        <v>12</v>
      </c>
      <c r="I1129" s="21" t="n">
        <v>252.73</v>
      </c>
      <c r="J1129" s="21" t="n">
        <v>758.1799999999999</v>
      </c>
      <c r="K1129" s="21" t="n">
        <v>884.54</v>
      </c>
      <c r="L1129" s="21" t="n">
        <v>1010.9</v>
      </c>
      <c r="M1129" s="21" t="n">
        <v>693</v>
      </c>
    </row>
    <row r="1130">
      <c r="A1130" s="9" t="inlineStr">
        <is>
          <t>HAIFENG</t>
        </is>
      </c>
      <c r="B1130" s="9" t="inlineStr">
        <is>
          <t>HAIFENG 11/11/2025</t>
        </is>
      </c>
      <c r="C1130" s="9" t="inlineStr">
        <is>
          <t>2025-11-11</t>
        </is>
      </c>
      <c r="D1130" s="9" t="inlineStr">
        <is>
          <t>3886385575564</t>
        </is>
      </c>
      <c r="E1130" s="9" t="inlineStr">
        <is>
          <t>COLLAR TREBOL SILVER BLACK</t>
        </is>
      </c>
      <c r="F1130" s="9" t="inlineStr">
        <is>
          <t>45cm</t>
        </is>
      </c>
      <c r="G1130" s="9" t="n">
        <v>2</v>
      </c>
      <c r="H1130" s="21" t="n">
        <v>12</v>
      </c>
      <c r="I1130" s="21" t="n">
        <v>252.73</v>
      </c>
      <c r="J1130" s="21" t="n">
        <v>758.1799999999999</v>
      </c>
      <c r="K1130" s="21" t="n">
        <v>884.54</v>
      </c>
      <c r="L1130" s="21" t="n">
        <v>1010.9</v>
      </c>
      <c r="M1130" s="21" t="n">
        <v>989</v>
      </c>
    </row>
    <row r="1131">
      <c r="A1131" s="9" t="inlineStr">
        <is>
          <t>HAIFENG</t>
        </is>
      </c>
      <c r="B1131" s="9" t="inlineStr">
        <is>
          <t>HAIFENG 11/11/2025</t>
        </is>
      </c>
      <c r="C1131" s="9" t="inlineStr">
        <is>
          <t>2025-11-11</t>
        </is>
      </c>
      <c r="D1131" s="9" t="inlineStr">
        <is>
          <t>71136141049485</t>
        </is>
      </c>
      <c r="E1131" s="9" t="inlineStr">
        <is>
          <t>COLLAR TRINITY SQUARE</t>
        </is>
      </c>
      <c r="F1131" s="9" t="inlineStr">
        <is>
          <t>Default Title</t>
        </is>
      </c>
      <c r="G1131" s="9" t="n">
        <v>2</v>
      </c>
      <c r="H1131" s="21" t="n">
        <v>8</v>
      </c>
      <c r="I1131" s="21" t="n">
        <v>168.48</v>
      </c>
      <c r="J1131" s="21" t="n">
        <v>505.45</v>
      </c>
      <c r="K1131" s="21" t="n">
        <v>589.6900000000001</v>
      </c>
      <c r="L1131" s="21" t="n">
        <v>673.9400000000001</v>
      </c>
      <c r="M1131" s="21" t="n">
        <v>660</v>
      </c>
    </row>
    <row r="1132">
      <c r="A1132" s="9" t="inlineStr">
        <is>
          <t>HAIFENG</t>
        </is>
      </c>
      <c r="B1132" s="9" t="inlineStr">
        <is>
          <t>HAIFENG 11/11/2025</t>
        </is>
      </c>
      <c r="C1132" s="9" t="inlineStr">
        <is>
          <t>2025-11-11</t>
        </is>
      </c>
      <c r="D1132" s="9" t="inlineStr">
        <is>
          <t>77216891573644</t>
        </is>
      </c>
      <c r="E1132" s="9" t="inlineStr">
        <is>
          <t>GARGANTILLA SIXTEEN STONE</t>
        </is>
      </c>
      <c r="F1132" s="9" t="inlineStr">
        <is>
          <t>42cm</t>
        </is>
      </c>
      <c r="G1132" s="9" t="n">
        <v>3</v>
      </c>
      <c r="H1132" s="21" t="n">
        <v>25</v>
      </c>
      <c r="I1132" s="21" t="n">
        <v>526.51</v>
      </c>
      <c r="J1132" s="21" t="n">
        <v>1579.54</v>
      </c>
      <c r="K1132" s="21" t="n">
        <v>1842.79</v>
      </c>
      <c r="L1132" s="21" t="n">
        <v>2106.05</v>
      </c>
      <c r="M1132" s="21" t="n">
        <v>2099</v>
      </c>
    </row>
    <row r="1133">
      <c r="A1133" s="9" t="inlineStr">
        <is>
          <t>HAIFENG</t>
        </is>
      </c>
      <c r="B1133" s="9" t="inlineStr">
        <is>
          <t>HAIFENG 11/11/2025</t>
        </is>
      </c>
      <c r="C1133" s="9" t="inlineStr">
        <is>
          <t>2025-11-11</t>
        </is>
      </c>
      <c r="D1133" s="9" t="inlineStr">
        <is>
          <t>67201531268621</t>
        </is>
      </c>
      <c r="E1133" s="9" t="inlineStr">
        <is>
          <t>LENTES EYEWEAR BROWN MM</t>
        </is>
      </c>
      <c r="F1133" s="9" t="inlineStr">
        <is>
          <t>Default Title</t>
        </is>
      </c>
      <c r="G1133" s="9" t="n">
        <v>3</v>
      </c>
      <c r="H1133" s="21" t="n">
        <v>42</v>
      </c>
      <c r="I1133" s="21" t="n">
        <v>884.54</v>
      </c>
      <c r="J1133" s="21" t="n">
        <v>2653.62</v>
      </c>
      <c r="K1133" s="21" t="n">
        <v>3095.89</v>
      </c>
      <c r="L1133" s="21" t="n">
        <v>3538.16</v>
      </c>
      <c r="M1133" s="21" t="n">
        <v>3499</v>
      </c>
    </row>
    <row r="1134">
      <c r="A1134" s="9" t="inlineStr">
        <is>
          <t>HAIFENG</t>
        </is>
      </c>
      <c r="B1134" s="9" t="inlineStr">
        <is>
          <t>HAIFENG 11/11/2025</t>
        </is>
      </c>
      <c r="C1134" s="9" t="inlineStr">
        <is>
          <t>2025-11-11</t>
        </is>
      </c>
      <c r="D1134" s="9" t="inlineStr">
        <is>
          <t>26487151099425</t>
        </is>
      </c>
      <c r="E1134" s="9" t="inlineStr">
        <is>
          <t>PULSERA BEAN GOLD</t>
        </is>
      </c>
      <c r="F1134" s="9" t="inlineStr">
        <is>
          <t>16 CM</t>
        </is>
      </c>
      <c r="G1134" s="9" t="n">
        <v>2</v>
      </c>
      <c r="H1134" s="21" t="n">
        <v>7.5</v>
      </c>
      <c r="I1134" s="21" t="n">
        <v>157.95</v>
      </c>
      <c r="J1134" s="21" t="n">
        <v>473.86</v>
      </c>
      <c r="K1134" s="21" t="n">
        <v>552.84</v>
      </c>
      <c r="L1134" s="21" t="n">
        <v>631.8099999999999</v>
      </c>
      <c r="M1134" s="21" t="n">
        <v>650</v>
      </c>
    </row>
    <row r="1135">
      <c r="A1135" s="9" t="inlineStr">
        <is>
          <t>HAIFENG</t>
        </is>
      </c>
      <c r="B1135" s="9" t="inlineStr">
        <is>
          <t>HAIFENG 11/11/2025</t>
        </is>
      </c>
      <c r="C1135" s="9" t="inlineStr">
        <is>
          <t>2025-11-11</t>
        </is>
      </c>
      <c r="D1135" s="9" t="inlineStr">
        <is>
          <t>63e0c23442e74</t>
        </is>
      </c>
      <c r="E1135" s="9" t="inlineStr">
        <is>
          <t>PULSERA CLIC H GOLD BLACK</t>
        </is>
      </c>
      <c r="F1135" s="9" t="inlineStr">
        <is>
          <t>16.8 cm</t>
        </is>
      </c>
      <c r="G1135" s="9" t="n">
        <v>7</v>
      </c>
      <c r="H1135" s="21" t="n">
        <v>5</v>
      </c>
      <c r="I1135" s="21" t="n">
        <v>105.3</v>
      </c>
      <c r="J1135" s="21" t="n">
        <v>315.91</v>
      </c>
      <c r="K1135" s="21" t="n">
        <v>368.56</v>
      </c>
      <c r="L1135" s="21" t="n">
        <v>421.21</v>
      </c>
      <c r="M1135" s="21" t="n">
        <v>569</v>
      </c>
    </row>
    <row r="1136">
      <c r="A1136" s="9" t="inlineStr">
        <is>
          <t>HAIFENG</t>
        </is>
      </c>
      <c r="B1136" s="9" t="inlineStr">
        <is>
          <t>HAIFENG 11/11/2025</t>
        </is>
      </c>
      <c r="C1136" s="9" t="inlineStr">
        <is>
          <t>2025-11-11</t>
        </is>
      </c>
      <c r="D1136" s="9" t="inlineStr">
        <is>
          <t>63ebddddb879a</t>
        </is>
      </c>
      <c r="E1136" s="9" t="inlineStr">
        <is>
          <t>PULSERA CLIC H GOLD WHITE</t>
        </is>
      </c>
      <c r="F1136" s="9" t="inlineStr">
        <is>
          <t>16.8 cm</t>
        </is>
      </c>
      <c r="G1136" s="9" t="n">
        <v>3</v>
      </c>
      <c r="H1136" s="21" t="n">
        <v>5</v>
      </c>
      <c r="I1136" s="21" t="n">
        <v>105.3</v>
      </c>
      <c r="J1136" s="21" t="n">
        <v>315.91</v>
      </c>
      <c r="K1136" s="21" t="n">
        <v>368.56</v>
      </c>
      <c r="L1136" s="21" t="n">
        <v>421.21</v>
      </c>
      <c r="M1136" s="21" t="n">
        <v>569</v>
      </c>
    </row>
    <row r="1137">
      <c r="A1137" s="9" t="inlineStr">
        <is>
          <t>HAIFENG</t>
        </is>
      </c>
      <c r="B1137" s="9" t="inlineStr">
        <is>
          <t>HAIFENG 11/11/2025</t>
        </is>
      </c>
      <c r="C1137" s="9" t="inlineStr">
        <is>
          <t>2025-11-11</t>
        </is>
      </c>
      <c r="D1137" s="9" t="inlineStr">
        <is>
          <t>63e0c234b0e65</t>
        </is>
      </c>
      <c r="E1137" s="9" t="inlineStr">
        <is>
          <t>PULSERA CLIC H SILVER BLACK</t>
        </is>
      </c>
      <c r="F1137" s="9" t="inlineStr">
        <is>
          <t>16.8 cm</t>
        </is>
      </c>
      <c r="G1137" s="9" t="n">
        <v>8</v>
      </c>
      <c r="H1137" s="21" t="n">
        <v>5</v>
      </c>
      <c r="I1137" s="21" t="n">
        <v>105.3</v>
      </c>
      <c r="J1137" s="21" t="n">
        <v>315.91</v>
      </c>
      <c r="K1137" s="21" t="n">
        <v>368.56</v>
      </c>
      <c r="L1137" s="21" t="n">
        <v>421.21</v>
      </c>
      <c r="M1137" s="21" t="n">
        <v>550</v>
      </c>
    </row>
    <row r="1138">
      <c r="A1138" s="9" t="inlineStr">
        <is>
          <t>HAIFENG</t>
        </is>
      </c>
      <c r="B1138" s="9" t="inlineStr">
        <is>
          <t>HAIFENG 11/11/2025</t>
        </is>
      </c>
      <c r="C1138" s="9" t="inlineStr">
        <is>
          <t>2025-11-11</t>
        </is>
      </c>
      <c r="D1138" s="9" t="inlineStr">
        <is>
          <t>63e0c23519a54</t>
        </is>
      </c>
      <c r="E1138" s="9" t="inlineStr">
        <is>
          <t>PULSERA CLIC H SILVER PINK</t>
        </is>
      </c>
      <c r="F1138" s="9" t="inlineStr">
        <is>
          <t>16.8 cm</t>
        </is>
      </c>
      <c r="G1138" s="9" t="n">
        <v>1</v>
      </c>
      <c r="H1138" s="21" t="n">
        <v>5</v>
      </c>
      <c r="I1138" s="21" t="n">
        <v>105.3</v>
      </c>
      <c r="J1138" s="21" t="n">
        <v>315.91</v>
      </c>
      <c r="K1138" s="21" t="n">
        <v>368.56</v>
      </c>
      <c r="L1138" s="21" t="n">
        <v>421.21</v>
      </c>
      <c r="M1138" s="21" t="n">
        <v>550</v>
      </c>
    </row>
    <row r="1139">
      <c r="A1139" s="9" t="inlineStr">
        <is>
          <t>HAIFENG</t>
        </is>
      </c>
      <c r="B1139" s="9" t="inlineStr">
        <is>
          <t>HAIFENG 11/11/2025</t>
        </is>
      </c>
      <c r="C1139" s="9" t="inlineStr">
        <is>
          <t>2025-11-11</t>
        </is>
      </c>
      <c r="D1139" s="9" t="inlineStr">
        <is>
          <t>63e0c2310d7f4</t>
        </is>
      </c>
      <c r="E1139" s="9" t="inlineStr">
        <is>
          <t>PULSERA CLIC H SILVER WHITE</t>
        </is>
      </c>
      <c r="F1139" s="9" t="inlineStr">
        <is>
          <t>16.8 cm</t>
        </is>
      </c>
      <c r="G1139" s="9" t="n">
        <v>2</v>
      </c>
      <c r="H1139" s="21" t="n">
        <v>5</v>
      </c>
      <c r="I1139" s="21" t="n">
        <v>105.3</v>
      </c>
      <c r="J1139" s="21" t="n">
        <v>315.91</v>
      </c>
      <c r="K1139" s="21" t="n">
        <v>368.56</v>
      </c>
      <c r="L1139" s="21" t="n">
        <v>421.21</v>
      </c>
      <c r="M1139" s="21" t="n">
        <v>569</v>
      </c>
    </row>
    <row r="1140">
      <c r="A1140" s="9" t="inlineStr">
        <is>
          <t>HAIFENG</t>
        </is>
      </c>
      <c r="B1140" s="9" t="inlineStr">
        <is>
          <t>HAIFENG 11/11/2025</t>
        </is>
      </c>
      <c r="C1140" s="9" t="inlineStr">
        <is>
          <t>2025-11-11</t>
        </is>
      </c>
      <c r="D1140" s="9" t="inlineStr">
        <is>
          <t>43728081992652</t>
        </is>
      </c>
      <c r="E1140" s="9" t="inlineStr">
        <is>
          <t>PULSERA CON PASADOR Y PLACA ESTILO CORAZON SILVER</t>
        </is>
      </c>
      <c r="F1140" s="9" t="inlineStr">
        <is>
          <t>17cm</t>
        </is>
      </c>
      <c r="G1140" s="9" t="n">
        <v>3</v>
      </c>
      <c r="H1140" s="21" t="n">
        <v>7</v>
      </c>
      <c r="I1140" s="21" t="n">
        <v>147.42</v>
      </c>
      <c r="J1140" s="21" t="n">
        <v>442.27</v>
      </c>
      <c r="K1140" s="21" t="n">
        <v>515.98</v>
      </c>
      <c r="L1140" s="21" t="n">
        <v>589.6900000000001</v>
      </c>
      <c r="M1140" s="21" t="n">
        <v>699</v>
      </c>
    </row>
    <row r="1141">
      <c r="A1141" s="9" t="inlineStr">
        <is>
          <t>HAIFENG</t>
        </is>
      </c>
      <c r="B1141" s="9" t="inlineStr">
        <is>
          <t>HAIFENG 11/11/2025</t>
        </is>
      </c>
      <c r="C1141" s="9" t="inlineStr">
        <is>
          <t>2025-11-11</t>
        </is>
      </c>
      <c r="D1141" s="9" t="inlineStr">
        <is>
          <t>43047224541324</t>
        </is>
      </c>
      <c r="E1141" s="9" t="inlineStr">
        <is>
          <t>PULSERA DE CUENTAS CON INSIGNIA DE CORAZÓN PINK</t>
        </is>
      </c>
      <c r="F1141" s="9" t="inlineStr">
        <is>
          <t>17 cm</t>
        </is>
      </c>
      <c r="G1141" s="9" t="n">
        <v>5</v>
      </c>
      <c r="H1141" s="21" t="n">
        <v>5</v>
      </c>
      <c r="I1141" s="21" t="n">
        <v>105.3</v>
      </c>
      <c r="J1141" s="21" t="n">
        <v>315.91</v>
      </c>
      <c r="K1141" s="21" t="n">
        <v>368.56</v>
      </c>
      <c r="L1141" s="21" t="n">
        <v>421.21</v>
      </c>
      <c r="M1141" s="21" t="n">
        <v>550</v>
      </c>
    </row>
    <row r="1142">
      <c r="A1142" s="9" t="inlineStr">
        <is>
          <t>HAIFENG</t>
        </is>
      </c>
      <c r="B1142" s="9" t="inlineStr">
        <is>
          <t>HAIFENG 11/11/2025</t>
        </is>
      </c>
      <c r="C1142" s="9" t="inlineStr">
        <is>
          <t>2025-11-11</t>
        </is>
      </c>
      <c r="D1142" s="9" t="inlineStr">
        <is>
          <t>63e0c53946490</t>
        </is>
      </c>
      <c r="E1142" s="9" t="inlineStr">
        <is>
          <t>PULSERA LOVE CON ZIRCONIA GOLD</t>
        </is>
      </c>
      <c r="F1142" s="9" t="inlineStr">
        <is>
          <t>17cm</t>
        </is>
      </c>
      <c r="G1142" s="9" t="n">
        <v>10</v>
      </c>
      <c r="H1142" s="21" t="n">
        <v>4.5</v>
      </c>
      <c r="I1142" s="21" t="n">
        <v>94.77</v>
      </c>
      <c r="J1142" s="21" t="n">
        <v>284.32</v>
      </c>
      <c r="K1142" s="21" t="n">
        <v>331.7</v>
      </c>
      <c r="L1142" s="21" t="n">
        <v>379.09</v>
      </c>
      <c r="M1142" s="21" t="n">
        <v>499</v>
      </c>
    </row>
    <row r="1143">
      <c r="A1143" s="9" t="inlineStr">
        <is>
          <t>HAIFENG</t>
        </is>
      </c>
      <c r="B1143" s="9" t="inlineStr">
        <is>
          <t>HAIFENG 11/11/2025</t>
        </is>
      </c>
      <c r="C1143" s="9" t="inlineStr">
        <is>
          <t>2025-11-11</t>
        </is>
      </c>
      <c r="D1143" s="9" t="inlineStr">
        <is>
          <t>63e0c53a2b722</t>
        </is>
      </c>
      <c r="E1143" s="9" t="inlineStr">
        <is>
          <t>PULSERA LOVE CON ZIRCONIA GOLD</t>
        </is>
      </c>
      <c r="F1143" s="9" t="inlineStr">
        <is>
          <t>18 cm</t>
        </is>
      </c>
      <c r="G1143" s="9" t="n">
        <v>6</v>
      </c>
      <c r="H1143" s="21" t="n">
        <v>4.5</v>
      </c>
      <c r="I1143" s="21" t="n">
        <v>94.77</v>
      </c>
      <c r="J1143" s="21" t="n">
        <v>284.32</v>
      </c>
      <c r="K1143" s="21" t="n">
        <v>331.7</v>
      </c>
      <c r="L1143" s="21" t="n">
        <v>379.09</v>
      </c>
      <c r="M1143" s="21" t="n">
        <v>499</v>
      </c>
    </row>
    <row r="1144">
      <c r="A1144" s="9" t="inlineStr">
        <is>
          <t>HAIFENG</t>
        </is>
      </c>
      <c r="B1144" s="9" t="inlineStr">
        <is>
          <t>HAIFENG 11/11/2025</t>
        </is>
      </c>
      <c r="C1144" s="9" t="inlineStr">
        <is>
          <t>2025-11-11</t>
        </is>
      </c>
      <c r="D1144" s="9" t="inlineStr">
        <is>
          <t>79274691076205</t>
        </is>
      </c>
      <c r="E1144" s="9" t="inlineStr">
        <is>
          <t>PULSERA LOVE DELGADA GOLD</t>
        </is>
      </c>
      <c r="F1144" s="9" t="inlineStr">
        <is>
          <t>16cm</t>
        </is>
      </c>
      <c r="G1144" s="9" t="n">
        <v>20</v>
      </c>
      <c r="H1144" s="21" t="n">
        <v>5</v>
      </c>
      <c r="I1144" s="21" t="n">
        <v>105.3</v>
      </c>
      <c r="J1144" s="21" t="n">
        <v>315.91</v>
      </c>
      <c r="K1144" s="21" t="n">
        <v>368.56</v>
      </c>
      <c r="L1144" s="21" t="n">
        <v>421.21</v>
      </c>
      <c r="M1144" s="21" t="n">
        <v>499</v>
      </c>
    </row>
    <row r="1145">
      <c r="A1145" s="9" t="inlineStr">
        <is>
          <t>HAIFENG</t>
        </is>
      </c>
      <c r="B1145" s="9" t="inlineStr">
        <is>
          <t>HAIFENG 11/11/2025</t>
        </is>
      </c>
      <c r="C1145" s="9" t="inlineStr">
        <is>
          <t>2025-11-11</t>
        </is>
      </c>
      <c r="D1145" s="9" t="inlineStr">
        <is>
          <t>79274691108973</t>
        </is>
      </c>
      <c r="E1145" s="9" t="inlineStr">
        <is>
          <t>PULSERA LOVE DELGADA GOLD</t>
        </is>
      </c>
      <c r="F1145" s="9" t="inlineStr">
        <is>
          <t>17cm</t>
        </is>
      </c>
      <c r="G1145" s="9" t="n">
        <v>20</v>
      </c>
      <c r="H1145" s="21" t="n">
        <v>5</v>
      </c>
      <c r="I1145" s="21" t="n">
        <v>105.3</v>
      </c>
      <c r="J1145" s="21" t="n">
        <v>315.91</v>
      </c>
      <c r="K1145" s="21" t="n">
        <v>368.56</v>
      </c>
      <c r="L1145" s="21" t="n">
        <v>421.21</v>
      </c>
      <c r="M1145" s="21" t="n">
        <v>499</v>
      </c>
    </row>
    <row r="1146">
      <c r="A1146" s="9" t="inlineStr">
        <is>
          <t>HAIFENG</t>
        </is>
      </c>
      <c r="B1146" s="9" t="inlineStr">
        <is>
          <t>HAIFENG 11/11/2025</t>
        </is>
      </c>
      <c r="C1146" s="9" t="inlineStr">
        <is>
          <t>2025-11-11</t>
        </is>
      </c>
      <c r="D1146" s="9" t="inlineStr">
        <is>
          <t>79274691374509</t>
        </is>
      </c>
      <c r="E1146" s="9" t="inlineStr">
        <is>
          <t>PULSERA LOVE DELGADA GOLD</t>
        </is>
      </c>
      <c r="F1146" s="9" t="inlineStr">
        <is>
          <t>19cm</t>
        </is>
      </c>
      <c r="G1146" s="9" t="n">
        <v>3</v>
      </c>
      <c r="H1146" s="21" t="n">
        <v>5</v>
      </c>
      <c r="I1146" s="21" t="n">
        <v>105.3</v>
      </c>
      <c r="J1146" s="21" t="n">
        <v>315.91</v>
      </c>
      <c r="K1146" s="21" t="n">
        <v>368.56</v>
      </c>
      <c r="L1146" s="21" t="n">
        <v>421.21</v>
      </c>
      <c r="M1146" s="21" t="n">
        <v>499</v>
      </c>
    </row>
    <row r="1147">
      <c r="A1147" s="9" t="inlineStr">
        <is>
          <t>HAIFENG</t>
        </is>
      </c>
      <c r="B1147" s="9" t="inlineStr">
        <is>
          <t>HAIFENG 11/11/2025</t>
        </is>
      </c>
      <c r="C1147" s="9" t="inlineStr">
        <is>
          <t>2025-11-11</t>
        </is>
      </c>
      <c r="D1147" s="9" t="inlineStr">
        <is>
          <t>63ebdf98523b4</t>
        </is>
      </c>
      <c r="E1147" s="9" t="inlineStr">
        <is>
          <t>PULSERA LOVE DELGADA GOLD CON MICRO ZIRCONIAS</t>
        </is>
      </c>
      <c r="F1147" s="9" t="inlineStr">
        <is>
          <t>16 cm</t>
        </is>
      </c>
      <c r="G1147" s="9" t="n">
        <v>3</v>
      </c>
      <c r="H1147" s="21" t="n">
        <v>13</v>
      </c>
      <c r="I1147" s="21" t="n">
        <v>273.79</v>
      </c>
      <c r="J1147" s="21" t="n">
        <v>821.36</v>
      </c>
      <c r="K1147" s="21" t="n">
        <v>958.25</v>
      </c>
      <c r="L1147" s="21" t="n">
        <v>1095.15</v>
      </c>
      <c r="M1147" s="21" t="n">
        <v>1099</v>
      </c>
    </row>
    <row r="1148">
      <c r="A1148" s="9" t="inlineStr">
        <is>
          <t>HAIFENG</t>
        </is>
      </c>
      <c r="B1148" s="9" t="inlineStr">
        <is>
          <t>HAIFENG 11/11/2025</t>
        </is>
      </c>
      <c r="C1148" s="9" t="inlineStr">
        <is>
          <t>2025-11-11</t>
        </is>
      </c>
      <c r="D1148" s="9" t="inlineStr">
        <is>
          <t>63ebdf99e880b</t>
        </is>
      </c>
      <c r="E1148" s="9" t="inlineStr">
        <is>
          <t>PULSERA LOVE DELGADA GOLD CON MICRO ZIRCONIAS</t>
        </is>
      </c>
      <c r="F1148" s="9" t="inlineStr">
        <is>
          <t>18 cm</t>
        </is>
      </c>
      <c r="G1148" s="9" t="n">
        <v>3</v>
      </c>
      <c r="H1148" s="21" t="n">
        <v>13</v>
      </c>
      <c r="I1148" s="21" t="n">
        <v>273.79</v>
      </c>
      <c r="J1148" s="21" t="n">
        <v>821.36</v>
      </c>
      <c r="K1148" s="21" t="n">
        <v>958.25</v>
      </c>
      <c r="L1148" s="21" t="n">
        <v>1095.15</v>
      </c>
      <c r="M1148" s="21" t="n">
        <v>1099</v>
      </c>
    </row>
    <row r="1149">
      <c r="A1149" s="9" t="inlineStr">
        <is>
          <t>HAIFENG</t>
        </is>
      </c>
      <c r="B1149" s="9" t="inlineStr">
        <is>
          <t>HAIFENG 11/11/2025</t>
        </is>
      </c>
      <c r="C1149" s="9" t="inlineStr">
        <is>
          <t>2025-11-11</t>
        </is>
      </c>
      <c r="D1149" s="9" t="inlineStr">
        <is>
          <t>63ebdf9ac3082</t>
        </is>
      </c>
      <c r="E1149" s="9" t="inlineStr">
        <is>
          <t>PULSERA LOVE DELGADA GOLD CON MICRO ZIRCONIAS</t>
        </is>
      </c>
      <c r="F1149" s="9" t="inlineStr">
        <is>
          <t>19 cm</t>
        </is>
      </c>
      <c r="G1149" s="9" t="n">
        <v>1</v>
      </c>
      <c r="H1149" s="21" t="n">
        <v>13</v>
      </c>
      <c r="I1149" s="21" t="n">
        <v>273.79</v>
      </c>
      <c r="J1149" s="21" t="n">
        <v>821.36</v>
      </c>
      <c r="K1149" s="21" t="n">
        <v>958.25</v>
      </c>
      <c r="L1149" s="21" t="n">
        <v>1095.15</v>
      </c>
      <c r="M1149" s="21" t="n">
        <v>1099</v>
      </c>
    </row>
    <row r="1150">
      <c r="A1150" s="9" t="inlineStr">
        <is>
          <t>HAIFENG</t>
        </is>
      </c>
      <c r="B1150" s="9" t="inlineStr">
        <is>
          <t>HAIFENG 11/11/2025</t>
        </is>
      </c>
      <c r="C1150" s="9" t="inlineStr">
        <is>
          <t>2025-11-11</t>
        </is>
      </c>
      <c r="D1150" s="9" t="inlineStr">
        <is>
          <t>63e0c58ca26ac</t>
        </is>
      </c>
      <c r="E1150" s="9" t="inlineStr">
        <is>
          <t>PULSERA LOVE DELGADA ROSE GOLD</t>
        </is>
      </c>
      <c r="F1150" s="9" t="inlineStr">
        <is>
          <t>16 cm</t>
        </is>
      </c>
      <c r="G1150" s="9" t="n">
        <v>4</v>
      </c>
      <c r="H1150" s="21" t="n">
        <v>5</v>
      </c>
      <c r="I1150" s="21" t="n">
        <v>105.3</v>
      </c>
      <c r="J1150" s="21" t="n">
        <v>315.91</v>
      </c>
      <c r="K1150" s="21" t="n">
        <v>368.56</v>
      </c>
      <c r="L1150" s="21" t="n">
        <v>421.21</v>
      </c>
      <c r="M1150" s="21" t="n">
        <v>499</v>
      </c>
    </row>
    <row r="1151">
      <c r="A1151" s="9" t="inlineStr">
        <is>
          <t>HAIFENG</t>
        </is>
      </c>
      <c r="B1151" s="9" t="inlineStr">
        <is>
          <t>HAIFENG 11/11/2025</t>
        </is>
      </c>
      <c r="C1151" s="9" t="inlineStr">
        <is>
          <t>2025-11-11</t>
        </is>
      </c>
      <c r="D1151" s="9" t="inlineStr">
        <is>
          <t>63e0c58f999f5</t>
        </is>
      </c>
      <c r="E1151" s="9" t="inlineStr">
        <is>
          <t>PULSERA LOVE DELGADA ROSE GOLD</t>
        </is>
      </c>
      <c r="F1151" s="9" t="inlineStr">
        <is>
          <t>19 cm</t>
        </is>
      </c>
      <c r="G1151" s="9" t="n">
        <v>2</v>
      </c>
      <c r="H1151" s="21" t="n">
        <v>5</v>
      </c>
      <c r="I1151" s="21" t="n">
        <v>105.3</v>
      </c>
      <c r="J1151" s="21" t="n">
        <v>315.91</v>
      </c>
      <c r="K1151" s="21" t="n">
        <v>368.56</v>
      </c>
      <c r="L1151" s="21" t="n">
        <v>421.21</v>
      </c>
      <c r="M1151" s="21" t="n">
        <v>499</v>
      </c>
    </row>
    <row r="1152">
      <c r="A1152" s="9" t="inlineStr">
        <is>
          <t>HAIFENG</t>
        </is>
      </c>
      <c r="B1152" s="9" t="inlineStr">
        <is>
          <t>HAIFENG 11/11/2025</t>
        </is>
      </c>
      <c r="C1152" s="9" t="inlineStr">
        <is>
          <t>2025-11-11</t>
        </is>
      </c>
      <c r="D1152" s="9" t="inlineStr">
        <is>
          <t>63e0c58e84d6e</t>
        </is>
      </c>
      <c r="E1152" s="9" t="inlineStr">
        <is>
          <t>PULSERA LOVE DELGADA ROSE GOLD</t>
        </is>
      </c>
      <c r="F1152" s="9" t="inlineStr">
        <is>
          <t>18 cm</t>
        </is>
      </c>
      <c r="G1152" s="9" t="n">
        <v>1</v>
      </c>
      <c r="H1152" s="21" t="n">
        <v>5</v>
      </c>
      <c r="I1152" s="21" t="n">
        <v>105.3</v>
      </c>
      <c r="J1152" s="21" t="n">
        <v>315.91</v>
      </c>
      <c r="K1152" s="21" t="n">
        <v>368.56</v>
      </c>
      <c r="L1152" s="21" t="n">
        <v>421.21</v>
      </c>
      <c r="M1152" s="21" t="n">
        <v>499</v>
      </c>
    </row>
    <row r="1153">
      <c r="A1153" s="9" t="inlineStr">
        <is>
          <t>HAIFENG</t>
        </is>
      </c>
      <c r="B1153" s="9" t="inlineStr">
        <is>
          <t>HAIFENG 11/11/2025</t>
        </is>
      </c>
      <c r="C1153" s="9" t="inlineStr">
        <is>
          <t>2025-11-11</t>
        </is>
      </c>
      <c r="D1153" s="9" t="inlineStr">
        <is>
          <t>77724991007277</t>
        </is>
      </c>
      <c r="E1153" s="9" t="inlineStr">
        <is>
          <t>PULSERA LOVE DELGADA SILVER</t>
        </is>
      </c>
      <c r="F1153" s="9" t="inlineStr">
        <is>
          <t>16cm</t>
        </is>
      </c>
      <c r="G1153" s="9" t="n">
        <v>20</v>
      </c>
      <c r="H1153" s="21" t="n">
        <v>5</v>
      </c>
      <c r="I1153" s="21" t="n">
        <v>105.3</v>
      </c>
      <c r="J1153" s="21" t="n">
        <v>315.91</v>
      </c>
      <c r="K1153" s="21" t="n">
        <v>368.56</v>
      </c>
      <c r="L1153" s="21" t="n">
        <v>421.21</v>
      </c>
      <c r="M1153" s="21" t="n">
        <v>499</v>
      </c>
    </row>
    <row r="1154">
      <c r="A1154" s="9" t="inlineStr">
        <is>
          <t>HAIFENG</t>
        </is>
      </c>
      <c r="B1154" s="9" t="inlineStr">
        <is>
          <t>HAIFENG 11/11/2025</t>
        </is>
      </c>
      <c r="C1154" s="9" t="inlineStr">
        <is>
          <t>2025-11-11</t>
        </is>
      </c>
      <c r="D1154" s="9" t="inlineStr">
        <is>
          <t>77724991305581</t>
        </is>
      </c>
      <c r="E1154" s="9" t="inlineStr">
        <is>
          <t>PULSERA LOVE DELGADA SILVER</t>
        </is>
      </c>
      <c r="F1154" s="9" t="inlineStr">
        <is>
          <t>19cm</t>
        </is>
      </c>
      <c r="G1154" s="9" t="n">
        <v>6</v>
      </c>
      <c r="H1154" s="21" t="n">
        <v>5</v>
      </c>
      <c r="I1154" s="21" t="n">
        <v>105.3</v>
      </c>
      <c r="J1154" s="21" t="n">
        <v>315.91</v>
      </c>
      <c r="K1154" s="21" t="n">
        <v>368.56</v>
      </c>
      <c r="L1154" s="21" t="n">
        <v>421.21</v>
      </c>
      <c r="M1154" s="21" t="n">
        <v>499</v>
      </c>
    </row>
    <row r="1155">
      <c r="A1155" s="9" t="inlineStr">
        <is>
          <t>HAIFENG</t>
        </is>
      </c>
      <c r="B1155" s="9" t="inlineStr">
        <is>
          <t>HAIFENG 11/11/2025</t>
        </is>
      </c>
      <c r="C1155" s="9" t="inlineStr">
        <is>
          <t>2025-11-11</t>
        </is>
      </c>
      <c r="D1155" s="9" t="inlineStr">
        <is>
          <t>77724991305581</t>
        </is>
      </c>
      <c r="E1155" s="9" t="inlineStr">
        <is>
          <t>PULSERA LOVE DELGADA SILVER</t>
        </is>
      </c>
      <c r="F1155" s="9" t="inlineStr">
        <is>
          <t>19cm</t>
        </is>
      </c>
      <c r="G1155" s="9" t="n">
        <v>3</v>
      </c>
      <c r="H1155" s="21" t="n">
        <v>5</v>
      </c>
      <c r="I1155" s="21" t="n">
        <v>105.3</v>
      </c>
      <c r="J1155" s="21" t="n">
        <v>315.91</v>
      </c>
      <c r="K1155" s="21" t="n">
        <v>368.56</v>
      </c>
      <c r="L1155" s="21" t="n">
        <v>421.21</v>
      </c>
      <c r="M1155" s="21" t="n">
        <v>499</v>
      </c>
    </row>
    <row r="1156">
      <c r="A1156" s="9" t="inlineStr">
        <is>
          <t>HAIFENG</t>
        </is>
      </c>
      <c r="B1156" s="9" t="inlineStr">
        <is>
          <t>HAIFENG 11/11/2025</t>
        </is>
      </c>
      <c r="C1156" s="9" t="inlineStr">
        <is>
          <t>2025-11-11</t>
        </is>
      </c>
      <c r="D1156" s="9" t="inlineStr">
        <is>
          <t>63ebdf24125c5</t>
        </is>
      </c>
      <c r="E1156" s="9" t="inlineStr">
        <is>
          <t>PULSERA LOVE DELGADA SILVER CON MICRO ZIRCONIAS</t>
        </is>
      </c>
      <c r="F1156" s="9" t="inlineStr">
        <is>
          <t>16 cm</t>
        </is>
      </c>
      <c r="G1156" s="9" t="n">
        <v>2</v>
      </c>
      <c r="H1156" s="21" t="n">
        <v>13</v>
      </c>
      <c r="I1156" s="21" t="n">
        <v>273.79</v>
      </c>
      <c r="J1156" s="21" t="n">
        <v>821.36</v>
      </c>
      <c r="K1156" s="21" t="n">
        <v>958.25</v>
      </c>
      <c r="L1156" s="21" t="n">
        <v>1095.15</v>
      </c>
      <c r="M1156" s="21" t="n">
        <v>1099</v>
      </c>
    </row>
    <row r="1157">
      <c r="A1157" s="9" t="inlineStr">
        <is>
          <t>HAIFENG</t>
        </is>
      </c>
      <c r="B1157" s="9" t="inlineStr">
        <is>
          <t>HAIFENG 11/11/2025</t>
        </is>
      </c>
      <c r="C1157" s="9" t="inlineStr">
        <is>
          <t>2025-11-11</t>
        </is>
      </c>
      <c r="D1157" s="9" t="inlineStr">
        <is>
          <t>66177009de26b</t>
        </is>
      </c>
      <c r="E1157" s="9" t="inlineStr">
        <is>
          <t>PULSERA LOVE GOLD</t>
        </is>
      </c>
      <c r="F1157" s="9" t="inlineStr">
        <is>
          <t>21 CM</t>
        </is>
      </c>
      <c r="G1157" s="9" t="n">
        <v>8</v>
      </c>
      <c r="H1157" s="21" t="n">
        <v>4.5</v>
      </c>
      <c r="I1157" s="21" t="n">
        <v>94.77</v>
      </c>
      <c r="J1157" s="21" t="n">
        <v>284.32</v>
      </c>
      <c r="K1157" s="21" t="n">
        <v>331.7</v>
      </c>
      <c r="L1157" s="21" t="n">
        <v>379.09</v>
      </c>
      <c r="M1157" s="21" t="n">
        <v>499</v>
      </c>
    </row>
    <row r="1158">
      <c r="A1158" s="9" t="inlineStr">
        <is>
          <t>HAIFENG</t>
        </is>
      </c>
      <c r="B1158" s="9" t="inlineStr">
        <is>
          <t>HAIFENG 11/11/2025</t>
        </is>
      </c>
      <c r="C1158" s="9" t="inlineStr">
        <is>
          <t>2025-11-11</t>
        </is>
      </c>
      <c r="D1158" s="9" t="inlineStr">
        <is>
          <t>66177007689da</t>
        </is>
      </c>
      <c r="E1158" s="9" t="inlineStr">
        <is>
          <t>PULSERA LOVE GOLD</t>
        </is>
      </c>
      <c r="F1158" s="9" t="inlineStr">
        <is>
          <t>17 CM</t>
        </is>
      </c>
      <c r="G1158" s="9" t="n">
        <v>10</v>
      </c>
      <c r="H1158" s="21" t="n">
        <v>4.5</v>
      </c>
      <c r="I1158" s="21" t="n">
        <v>94.77</v>
      </c>
      <c r="J1158" s="21" t="n">
        <v>284.32</v>
      </c>
      <c r="K1158" s="21" t="n">
        <v>331.7</v>
      </c>
      <c r="L1158" s="21" t="n">
        <v>379.09</v>
      </c>
      <c r="M1158" s="21" t="n">
        <v>499</v>
      </c>
    </row>
    <row r="1159">
      <c r="A1159" s="9" t="inlineStr">
        <is>
          <t>HAIFENG</t>
        </is>
      </c>
      <c r="B1159" s="9" t="inlineStr">
        <is>
          <t>HAIFENG 11/11/2025</t>
        </is>
      </c>
      <c r="C1159" s="9" t="inlineStr">
        <is>
          <t>2025-11-11</t>
        </is>
      </c>
      <c r="D1159" s="9" t="inlineStr">
        <is>
          <t>66177009444c0</t>
        </is>
      </c>
      <c r="E1159" s="9" t="inlineStr">
        <is>
          <t>PULSERA LOVE GOLD</t>
        </is>
      </c>
      <c r="F1159" s="9" t="inlineStr">
        <is>
          <t>20 CM</t>
        </is>
      </c>
      <c r="G1159" s="9" t="n">
        <v>5</v>
      </c>
      <c r="H1159" s="21" t="n">
        <v>4.5</v>
      </c>
      <c r="I1159" s="21" t="n">
        <v>94.77</v>
      </c>
      <c r="J1159" s="21" t="n">
        <v>284.32</v>
      </c>
      <c r="K1159" s="21" t="n">
        <v>331.7</v>
      </c>
      <c r="L1159" s="21" t="n">
        <v>379.09</v>
      </c>
      <c r="M1159" s="21" t="n">
        <v>499</v>
      </c>
    </row>
    <row r="1160">
      <c r="A1160" s="9" t="inlineStr">
        <is>
          <t>HAIFENG</t>
        </is>
      </c>
      <c r="B1160" s="9" t="inlineStr">
        <is>
          <t>HAIFENG 11/11/2025</t>
        </is>
      </c>
      <c r="C1160" s="9" t="inlineStr">
        <is>
          <t>2025-11-11</t>
        </is>
      </c>
      <c r="D1160" s="9" t="inlineStr">
        <is>
          <t>66177008100f3</t>
        </is>
      </c>
      <c r="E1160" s="9" t="inlineStr">
        <is>
          <t>PULSERA LOVE GOLD</t>
        </is>
      </c>
      <c r="F1160" s="9" t="inlineStr">
        <is>
          <t>18 CM</t>
        </is>
      </c>
      <c r="G1160" s="9" t="n">
        <v>4</v>
      </c>
      <c r="H1160" s="21" t="n">
        <v>4.5</v>
      </c>
      <c r="I1160" s="21" t="n">
        <v>94.77</v>
      </c>
      <c r="J1160" s="21" t="n">
        <v>284.32</v>
      </c>
      <c r="K1160" s="21" t="n">
        <v>331.7</v>
      </c>
      <c r="L1160" s="21" t="n">
        <v>379.09</v>
      </c>
      <c r="M1160" s="21" t="n">
        <v>499</v>
      </c>
    </row>
    <row r="1161">
      <c r="A1161" s="9" t="inlineStr">
        <is>
          <t>HAIFENG</t>
        </is>
      </c>
      <c r="B1161" s="9" t="inlineStr">
        <is>
          <t>HAIFENG 11/11/2025</t>
        </is>
      </c>
      <c r="C1161" s="9" t="inlineStr">
        <is>
          <t>2025-11-11</t>
        </is>
      </c>
      <c r="D1161" s="9" t="inlineStr">
        <is>
          <t>56481495914636</t>
        </is>
      </c>
      <c r="E1161" s="9" t="inlineStr">
        <is>
          <t>PULSERA LOVE LOVE GOLD</t>
        </is>
      </c>
      <c r="F1161" s="9" t="inlineStr">
        <is>
          <t>17cm con 5cm de Extension</t>
        </is>
      </c>
      <c r="G1161" s="9" t="n">
        <v>2</v>
      </c>
      <c r="H1161" s="21" t="n">
        <v>5</v>
      </c>
      <c r="I1161" s="21" t="n">
        <v>105.3</v>
      </c>
      <c r="J1161" s="21" t="n">
        <v>315.91</v>
      </c>
      <c r="K1161" s="21" t="n">
        <v>368.56</v>
      </c>
      <c r="L1161" s="21" t="n">
        <v>421.21</v>
      </c>
      <c r="M1161" s="21" t="n">
        <v>412</v>
      </c>
    </row>
    <row r="1162">
      <c r="A1162" s="9" t="inlineStr">
        <is>
          <t>HAIFENG</t>
        </is>
      </c>
      <c r="B1162" s="9" t="inlineStr">
        <is>
          <t>HAIFENG 11/11/2025</t>
        </is>
      </c>
      <c r="C1162" s="9" t="inlineStr">
        <is>
          <t>2025-11-11</t>
        </is>
      </c>
      <c r="D1162" s="9" t="inlineStr">
        <is>
          <t>63e0c59590d66</t>
        </is>
      </c>
      <c r="E1162" s="9" t="inlineStr">
        <is>
          <t>PULSERA LOVE ROSE GOLD</t>
        </is>
      </c>
      <c r="F1162" s="9" t="inlineStr">
        <is>
          <t>16 cm</t>
        </is>
      </c>
      <c r="G1162" s="9" t="n">
        <v>2</v>
      </c>
      <c r="H1162" s="21" t="n">
        <v>5</v>
      </c>
      <c r="I1162" s="21" t="n">
        <v>105.3</v>
      </c>
      <c r="J1162" s="21" t="n">
        <v>315.91</v>
      </c>
      <c r="K1162" s="21" t="n">
        <v>368.56</v>
      </c>
      <c r="L1162" s="21" t="n">
        <v>421.21</v>
      </c>
      <c r="M1162" s="21" t="n">
        <v>499</v>
      </c>
    </row>
    <row r="1163">
      <c r="A1163" s="9" t="inlineStr">
        <is>
          <t>HAIFENG</t>
        </is>
      </c>
      <c r="B1163" s="9" t="inlineStr">
        <is>
          <t>HAIFENG 11/11/2025</t>
        </is>
      </c>
      <c r="C1163" s="9" t="inlineStr">
        <is>
          <t>2025-11-11</t>
        </is>
      </c>
      <c r="D1163" s="9" t="inlineStr">
        <is>
          <t>67201531075373</t>
        </is>
      </c>
      <c r="E1163" s="9" t="inlineStr">
        <is>
          <t>PULSERA LUCKY GOLD CD</t>
        </is>
      </c>
      <c r="F1163" s="9" t="inlineStr">
        <is>
          <t>Default Title</t>
        </is>
      </c>
      <c r="G1163" s="9" t="n">
        <v>6</v>
      </c>
      <c r="H1163" s="21" t="n">
        <v>6</v>
      </c>
      <c r="I1163" s="21" t="n">
        <v>126.36</v>
      </c>
      <c r="J1163" s="21" t="n">
        <v>379.09</v>
      </c>
      <c r="K1163" s="21" t="n">
        <v>442.27</v>
      </c>
      <c r="L1163" s="21" t="n">
        <v>505.45</v>
      </c>
      <c r="M1163" s="21" t="n">
        <v>499</v>
      </c>
    </row>
    <row r="1164">
      <c r="A1164" s="9" t="inlineStr">
        <is>
          <t>HAIFENG</t>
        </is>
      </c>
      <c r="B1164" s="9" t="inlineStr">
        <is>
          <t>HAIFENG 11/11/2025</t>
        </is>
      </c>
      <c r="C1164" s="9" t="inlineStr">
        <is>
          <t>2025-11-11</t>
        </is>
      </c>
      <c r="D1164" s="9" t="inlineStr">
        <is>
          <t>67201535214413</t>
        </is>
      </c>
      <c r="E1164" s="9" t="inlineStr">
        <is>
          <t>PULSERA LUCKY SPRING ROSE GOLD VF</t>
        </is>
      </c>
      <c r="F1164" s="9" t="inlineStr">
        <is>
          <t>Default Title</t>
        </is>
      </c>
      <c r="G1164" s="9" t="n">
        <v>15</v>
      </c>
      <c r="H1164" s="21" t="n">
        <v>7</v>
      </c>
      <c r="I1164" s="21" t="n">
        <v>147.42</v>
      </c>
      <c r="J1164" s="21" t="n">
        <v>442.27</v>
      </c>
      <c r="K1164" s="21" t="n">
        <v>515.98</v>
      </c>
      <c r="L1164" s="21" t="n">
        <v>589.6900000000001</v>
      </c>
      <c r="M1164" s="21" t="n">
        <v>599</v>
      </c>
    </row>
    <row r="1165">
      <c r="A1165" s="9" t="inlineStr">
        <is>
          <t>HAIFENG</t>
        </is>
      </c>
      <c r="B1165" s="9" t="inlineStr">
        <is>
          <t>HAIFENG 11/11/2025</t>
        </is>
      </c>
      <c r="C1165" s="9" t="inlineStr">
        <is>
          <t>2025-11-11</t>
        </is>
      </c>
      <c r="D1165" s="9" t="inlineStr">
        <is>
          <t>37491253271052</t>
        </is>
      </c>
      <c r="E1165" s="9" t="inlineStr">
        <is>
          <t>PULSERA MARIQUITA VF</t>
        </is>
      </c>
      <c r="F1165" s="9" t="inlineStr">
        <is>
          <t>17cm con 2cm de extensión</t>
        </is>
      </c>
      <c r="G1165" s="9" t="n">
        <v>7</v>
      </c>
      <c r="H1165" s="21" t="n">
        <v>6</v>
      </c>
      <c r="I1165" s="21" t="n">
        <v>126.36</v>
      </c>
      <c r="J1165" s="21" t="n">
        <v>379.09</v>
      </c>
      <c r="K1165" s="21" t="n">
        <v>442.27</v>
      </c>
      <c r="L1165" s="21" t="n">
        <v>505.45</v>
      </c>
      <c r="M1165" s="21" t="n">
        <v>520</v>
      </c>
    </row>
    <row r="1166">
      <c r="A1166" s="9" t="inlineStr">
        <is>
          <t>HAIFENG</t>
        </is>
      </c>
      <c r="B1166" s="9" t="inlineStr">
        <is>
          <t>HAIFENG 11/11/2025</t>
        </is>
      </c>
      <c r="C1166" s="9" t="inlineStr">
        <is>
          <t>2025-11-11</t>
        </is>
      </c>
      <c r="D1166" s="9" t="inlineStr">
        <is>
          <t>67201532161837</t>
        </is>
      </c>
      <c r="E1166" s="9" t="inlineStr">
        <is>
          <t>PULSERA MSS GOLD</t>
        </is>
      </c>
      <c r="F1166" s="9" t="inlineStr">
        <is>
          <t>Default Title</t>
        </is>
      </c>
      <c r="G1166" s="9" t="n">
        <v>3</v>
      </c>
      <c r="H1166" s="21" t="n">
        <v>7</v>
      </c>
      <c r="I1166" s="21" t="n">
        <v>147.42</v>
      </c>
      <c r="J1166" s="21" t="n">
        <v>442.27</v>
      </c>
      <c r="K1166" s="21" t="n">
        <v>515.98</v>
      </c>
      <c r="L1166" s="21" t="n">
        <v>589.6900000000001</v>
      </c>
      <c r="M1166" s="21" t="n">
        <v>599</v>
      </c>
    </row>
    <row r="1167">
      <c r="A1167" s="9" t="inlineStr">
        <is>
          <t>HAIFENG</t>
        </is>
      </c>
      <c r="B1167" s="9" t="inlineStr">
        <is>
          <t>HAIFENG 11/11/2025</t>
        </is>
      </c>
      <c r="C1167" s="9" t="inlineStr">
        <is>
          <t>2025-11-11</t>
        </is>
      </c>
      <c r="D1167" s="9" t="inlineStr">
        <is>
          <t>15711171972493</t>
        </is>
      </c>
      <c r="E1167" s="9" t="inlineStr">
        <is>
          <t>PULSERA PANTHERE DOBLE CADENA C</t>
        </is>
      </c>
      <c r="F1167" s="9" t="inlineStr">
        <is>
          <t>Default Title</t>
        </is>
      </c>
      <c r="G1167" s="9" t="n">
        <v>3</v>
      </c>
      <c r="H1167" s="21" t="n">
        <v>7</v>
      </c>
      <c r="I1167" s="21" t="n">
        <v>147.42</v>
      </c>
      <c r="J1167" s="21" t="n">
        <v>442.27</v>
      </c>
      <c r="K1167" s="21" t="n">
        <v>515.98</v>
      </c>
      <c r="L1167" s="21" t="n">
        <v>589.6900000000001</v>
      </c>
      <c r="M1167" s="21" t="n">
        <v>599</v>
      </c>
    </row>
    <row r="1168">
      <c r="A1168" s="9" t="inlineStr">
        <is>
          <t>HAIFENG</t>
        </is>
      </c>
      <c r="B1168" s="9" t="inlineStr">
        <is>
          <t>HAIFENG 11/11/2025</t>
        </is>
      </c>
      <c r="C1168" s="9" t="inlineStr">
        <is>
          <t>2025-11-11</t>
        </is>
      </c>
      <c r="D1168" s="9" t="inlineStr">
        <is>
          <t>66075801735181</t>
        </is>
      </c>
      <c r="E1168" s="9" t="inlineStr">
        <is>
          <t>PULSERA PANTHERE SILVER C</t>
        </is>
      </c>
      <c r="F1168" s="9" t="inlineStr">
        <is>
          <t>Default Title</t>
        </is>
      </c>
      <c r="G1168" s="9" t="n">
        <v>2</v>
      </c>
      <c r="H1168" s="21" t="n">
        <v>8</v>
      </c>
      <c r="I1168" s="21" t="n">
        <v>168.48</v>
      </c>
      <c r="J1168" s="21" t="n">
        <v>505.45</v>
      </c>
      <c r="K1168" s="21" t="n">
        <v>589.6900000000001</v>
      </c>
      <c r="L1168" s="21" t="n">
        <v>673.9400000000001</v>
      </c>
      <c r="M1168" s="21" t="n">
        <v>659</v>
      </c>
    </row>
    <row r="1169">
      <c r="A1169" s="9" t="inlineStr">
        <is>
          <t>HAIFENG</t>
        </is>
      </c>
      <c r="B1169" s="9" t="inlineStr">
        <is>
          <t>HAIFENG 11/11/2025</t>
        </is>
      </c>
      <c r="C1169" s="9" t="inlineStr">
        <is>
          <t>2025-11-11</t>
        </is>
      </c>
      <c r="D1169" s="9" t="inlineStr">
        <is>
          <t>67201535328333</t>
        </is>
      </c>
      <c r="E1169" s="9" t="inlineStr">
        <is>
          <t>PULSERA SWEET BUTTERFLY WHITE VF</t>
        </is>
      </c>
      <c r="F1169" s="9" t="inlineStr">
        <is>
          <t>Default Title</t>
        </is>
      </c>
      <c r="G1169" s="9" t="n">
        <v>2</v>
      </c>
      <c r="H1169" s="21" t="n">
        <v>6</v>
      </c>
      <c r="I1169" s="21" t="n">
        <v>126.36</v>
      </c>
      <c r="J1169" s="21" t="n">
        <v>379.09</v>
      </c>
      <c r="K1169" s="21" t="n">
        <v>442.27</v>
      </c>
      <c r="L1169" s="21" t="n">
        <v>505.45</v>
      </c>
      <c r="M1169" s="21" t="n">
        <v>499</v>
      </c>
    </row>
    <row r="1170">
      <c r="A1170" s="9" t="inlineStr">
        <is>
          <t>HAIFENG</t>
        </is>
      </c>
      <c r="B1170" s="9" t="inlineStr">
        <is>
          <t>HAIFENG 11/11/2025</t>
        </is>
      </c>
      <c r="C1170" s="9" t="inlineStr">
        <is>
          <t>2025-11-11</t>
        </is>
      </c>
      <c r="D1170" s="9" t="inlineStr">
        <is>
          <t>63e0c5f8a96a2</t>
        </is>
      </c>
      <c r="E1170" s="9" t="inlineStr">
        <is>
          <t>PULSERA TREBOL ROSEGOLD BLACK VF</t>
        </is>
      </c>
      <c r="F1170" s="9" t="inlineStr">
        <is>
          <t>18cm</t>
        </is>
      </c>
      <c r="G1170" s="9" t="n">
        <v>3</v>
      </c>
      <c r="H1170" s="21" t="n">
        <v>25</v>
      </c>
      <c r="I1170" s="21" t="n">
        <v>526.51</v>
      </c>
      <c r="J1170" s="21" t="n">
        <v>1579.54</v>
      </c>
      <c r="K1170" s="21" t="n">
        <v>1842.79</v>
      </c>
      <c r="L1170" s="21" t="n">
        <v>2106.05</v>
      </c>
      <c r="M1170" s="21" t="n">
        <v>900</v>
      </c>
    </row>
    <row r="1171">
      <c r="A1171" s="9" t="inlineStr">
        <is>
          <t>HAIFENG</t>
        </is>
      </c>
      <c r="B1171" s="9" t="inlineStr">
        <is>
          <t>HAIFENG 11/11/2025</t>
        </is>
      </c>
      <c r="C1171" s="9" t="inlineStr">
        <is>
          <t>2025-11-11</t>
        </is>
      </c>
      <c r="D1171" s="9" t="inlineStr">
        <is>
          <t>661774512157c</t>
        </is>
      </c>
      <c r="E1171" s="9" t="inlineStr">
        <is>
          <t>PULSERA TREBOL SILVER WHITE VF</t>
        </is>
      </c>
      <c r="F1171" s="9" t="inlineStr">
        <is>
          <t>18cm</t>
        </is>
      </c>
      <c r="G1171" s="9" t="n">
        <v>3</v>
      </c>
      <c r="H1171" s="21" t="n">
        <v>25</v>
      </c>
      <c r="I1171" s="21" t="n">
        <v>526.51</v>
      </c>
      <c r="J1171" s="21" t="n">
        <v>1579.54</v>
      </c>
      <c r="K1171" s="21" t="n">
        <v>1842.79</v>
      </c>
      <c r="L1171" s="21" t="n">
        <v>2106.05</v>
      </c>
      <c r="M1171" s="21" t="n">
        <v>900</v>
      </c>
    </row>
    <row r="1172">
      <c r="A1172" s="9" t="inlineStr">
        <is>
          <t>HAIFENG</t>
        </is>
      </c>
      <c r="B1172" s="9" t="inlineStr">
        <is>
          <t>HAIFENG 11/11/2025</t>
        </is>
      </c>
      <c r="C1172" s="9" t="inlineStr">
        <is>
          <t>2025-11-11</t>
        </is>
      </c>
      <c r="D1172" s="9" t="inlineStr">
        <is>
          <t>64385161101d4</t>
        </is>
      </c>
      <c r="E1172" s="9" t="inlineStr">
        <is>
          <t>PULSERA TRÉBOL ROSEGOLD WHITE VF</t>
        </is>
      </c>
      <c r="F1172" s="9" t="inlineStr">
        <is>
          <t>18cm</t>
        </is>
      </c>
      <c r="G1172" s="9" t="n">
        <v>2</v>
      </c>
      <c r="H1172" s="21" t="n">
        <v>25</v>
      </c>
      <c r="I1172" s="21" t="n">
        <v>526.51</v>
      </c>
      <c r="J1172" s="21" t="n">
        <v>1579.54</v>
      </c>
      <c r="K1172" s="21" t="n">
        <v>1842.79</v>
      </c>
      <c r="L1172" s="21" t="n">
        <v>2106.05</v>
      </c>
      <c r="M1172" s="21" t="n">
        <v>1286</v>
      </c>
    </row>
    <row r="1173">
      <c r="A1173" s="9" t="inlineStr">
        <is>
          <t>ZOEY</t>
        </is>
      </c>
      <c r="B1173" s="9" t="inlineStr">
        <is>
          <t>historial*</t>
        </is>
      </c>
      <c r="C1173" s="9" t="inlineStr">
        <is>
          <t>2025-12-01</t>
        </is>
      </c>
      <c r="D1173" s="9" t="inlineStr">
        <is>
          <t>64e78f2fafa3d</t>
        </is>
      </c>
      <c r="E1173" s="9" t="inlineStr">
        <is>
          <t>BOLSA YSL WHITE</t>
        </is>
      </c>
      <c r="F1173" s="9" t="inlineStr">
        <is>
          <t>24cm x 15cm</t>
        </is>
      </c>
      <c r="G1173" s="9" t="n"/>
      <c r="H1173" s="21" t="n">
        <v>52</v>
      </c>
      <c r="I1173" s="21" t="n"/>
      <c r="J1173" s="21" t="n"/>
      <c r="K1173" s="21" t="n"/>
      <c r="L1173" s="21" t="n"/>
      <c r="M1173" s="21" t="n"/>
    </row>
    <row r="1174">
      <c r="A1174" s="9" t="inlineStr">
        <is>
          <t>ZOEY</t>
        </is>
      </c>
      <c r="B1174" s="9" t="inlineStr">
        <is>
          <t>historial*</t>
        </is>
      </c>
      <c r="C1174" s="9" t="inlineStr">
        <is>
          <t>2025-12-01</t>
        </is>
      </c>
      <c r="D1174" s="9" t="inlineStr">
        <is>
          <t>94350549840780</t>
        </is>
      </c>
      <c r="E1174" s="9" t="inlineStr">
        <is>
          <t>BOLSO A TIEDIE</t>
        </is>
      </c>
      <c r="F1174" s="9" t="inlineStr">
        <is>
          <t>31cm de alto x</t>
        </is>
      </c>
      <c r="G1174" s="9" t="n"/>
      <c r="H1174" s="21" t="n">
        <v>10</v>
      </c>
      <c r="I1174" s="21" t="n"/>
      <c r="J1174" s="21" t="n"/>
      <c r="K1174" s="21" t="n"/>
      <c r="L1174" s="21" t="n"/>
      <c r="M1174" s="21" t="n"/>
    </row>
    <row r="1175">
      <c r="A1175" s="9" t="inlineStr">
        <is>
          <t>ZOEY</t>
        </is>
      </c>
      <c r="B1175" s="9" t="inlineStr">
        <is>
          <t>historial*</t>
        </is>
      </c>
      <c r="C1175" s="9" t="inlineStr">
        <is>
          <t>2025-12-01</t>
        </is>
      </c>
      <c r="D1175" s="9" t="inlineStr">
        <is>
          <t>43728086470604</t>
        </is>
      </c>
      <c r="E1175" s="9" t="inlineStr">
        <is>
          <t>BOLSO BT ANDIAMO CLUTCH BROWN</t>
        </is>
      </c>
      <c r="F1175" s="9" t="inlineStr">
        <is>
          <t>30.5cm de larg</t>
        </is>
      </c>
      <c r="G1175" s="9" t="n"/>
      <c r="H1175" s="21" t="n">
        <v>60</v>
      </c>
      <c r="I1175" s="21" t="n"/>
      <c r="J1175" s="21" t="n"/>
      <c r="K1175" s="21" t="n"/>
      <c r="L1175" s="21" t="n"/>
      <c r="M1175" s="21" t="n"/>
    </row>
    <row r="1176">
      <c r="A1176" s="9" t="inlineStr">
        <is>
          <t>ZOEY</t>
        </is>
      </c>
      <c r="B1176" s="9" t="inlineStr">
        <is>
          <t>historial*</t>
        </is>
      </c>
      <c r="C1176" s="9" t="inlineStr">
        <is>
          <t>2025-12-01</t>
        </is>
      </c>
      <c r="D1176" s="9" t="inlineStr">
        <is>
          <t>63666799441676</t>
        </is>
      </c>
      <c r="E1176" s="9" t="inlineStr">
        <is>
          <t>BOLSO C TOTE</t>
        </is>
      </c>
      <c r="F1176" s="9" t="inlineStr">
        <is>
          <t>20cm de largo</t>
        </is>
      </c>
      <c r="G1176" s="9" t="n"/>
      <c r="H1176" s="21" t="n">
        <v>72</v>
      </c>
      <c r="I1176" s="21" t="n"/>
      <c r="J1176" s="21" t="n"/>
      <c r="K1176" s="21" t="n"/>
      <c r="L1176" s="21" t="n"/>
      <c r="M1176" s="21" t="n"/>
    </row>
    <row r="1177">
      <c r="A1177" s="9" t="inlineStr">
        <is>
          <t>ZOEY</t>
        </is>
      </c>
      <c r="B1177" s="9" t="inlineStr">
        <is>
          <t>historial*</t>
        </is>
      </c>
      <c r="C1177" s="9" t="inlineStr">
        <is>
          <t>2025-12-01</t>
        </is>
      </c>
      <c r="D1177" s="9" t="inlineStr">
        <is>
          <t>43728083210732</t>
        </is>
      </c>
      <c r="E1177" s="9" t="inlineStr">
        <is>
          <t>BOLSO CC 22</t>
        </is>
      </c>
      <c r="F1177" s="9" t="inlineStr">
        <is>
          <t>19cm de alto x</t>
        </is>
      </c>
      <c r="G1177" s="9" t="n"/>
      <c r="H1177" s="21" t="n">
        <v>50</v>
      </c>
      <c r="I1177" s="21" t="n"/>
      <c r="J1177" s="21" t="n"/>
      <c r="K1177" s="21" t="n"/>
      <c r="L1177" s="21" t="n"/>
      <c r="M1177" s="21" t="n"/>
    </row>
    <row r="1178">
      <c r="A1178" s="9" t="inlineStr">
        <is>
          <t>ZOEY</t>
        </is>
      </c>
      <c r="B1178" s="9" t="inlineStr">
        <is>
          <t>historial*</t>
        </is>
      </c>
      <c r="C1178" s="9" t="inlineStr">
        <is>
          <t>2025-12-01</t>
        </is>
      </c>
      <c r="D1178" s="9" t="inlineStr">
        <is>
          <t>17760786033676</t>
        </is>
      </c>
      <c r="E1178" s="9" t="inlineStr">
        <is>
          <t>BOLSO CC 22 SILVER</t>
        </is>
      </c>
      <c r="F1178" s="9" t="inlineStr">
        <is>
          <t>19cm de alto x</t>
        </is>
      </c>
      <c r="G1178" s="9" t="n"/>
      <c r="H1178" s="21" t="n">
        <v>50</v>
      </c>
      <c r="I1178" s="21" t="n"/>
      <c r="J1178" s="21" t="n"/>
      <c r="K1178" s="21" t="n"/>
      <c r="L1178" s="21" t="n"/>
      <c r="M1178" s="21" t="n"/>
    </row>
    <row r="1179">
      <c r="A1179" s="9" t="inlineStr">
        <is>
          <t>ZOEY</t>
        </is>
      </c>
      <c r="B1179" s="9" t="inlineStr">
        <is>
          <t>historial*</t>
        </is>
      </c>
      <c r="C1179" s="9" t="inlineStr">
        <is>
          <t>2025-12-01</t>
        </is>
      </c>
      <c r="D1179" s="9" t="inlineStr">
        <is>
          <t>64571791072897</t>
        </is>
      </c>
      <c r="E1179" s="9" t="inlineStr">
        <is>
          <t>BOLSO CC BLACK</t>
        </is>
      </c>
      <c r="F1179" s="9" t="inlineStr">
        <is>
          <t>25cm de largo</t>
        </is>
      </c>
      <c r="G1179" s="9" t="n"/>
      <c r="H1179" s="21" t="n">
        <v>48</v>
      </c>
      <c r="I1179" s="21" t="n"/>
      <c r="J1179" s="21" t="n"/>
      <c r="K1179" s="21" t="n"/>
      <c r="L1179" s="21" t="n"/>
      <c r="M1179" s="21" t="n"/>
    </row>
    <row r="1180">
      <c r="A1180" s="9" t="inlineStr">
        <is>
          <t>ZOEY</t>
        </is>
      </c>
      <c r="B1180" s="9" t="inlineStr">
        <is>
          <t>historial*</t>
        </is>
      </c>
      <c r="C1180" s="9" t="inlineStr">
        <is>
          <t>2025-12-01</t>
        </is>
      </c>
      <c r="D1180" s="9" t="inlineStr">
        <is>
          <t>43728083564972</t>
        </is>
      </c>
      <c r="E1180" s="9" t="inlineStr">
        <is>
          <t>BOLSO CD 30 MONTAIGNE</t>
        </is>
      </c>
      <c r="F1180" s="9" t="inlineStr">
        <is>
          <t>22.5cm de larg</t>
        </is>
      </c>
      <c r="G1180" s="9" t="n"/>
      <c r="H1180" s="21" t="n">
        <v>52</v>
      </c>
      <c r="I1180" s="21" t="n"/>
      <c r="J1180" s="21" t="n"/>
      <c r="K1180" s="21" t="n"/>
      <c r="L1180" s="21" t="n"/>
      <c r="M1180" s="21" t="n"/>
    </row>
    <row r="1181">
      <c r="A1181" s="9" t="inlineStr">
        <is>
          <t>ZOEY</t>
        </is>
      </c>
      <c r="B1181" s="9" t="inlineStr">
        <is>
          <t>historial*</t>
        </is>
      </c>
      <c r="C1181" s="9" t="inlineStr">
        <is>
          <t>2025-12-01</t>
        </is>
      </c>
      <c r="D1181" s="9" t="inlineStr">
        <is>
          <t>69521938776076</t>
        </is>
      </c>
      <c r="E1181" s="9" t="inlineStr">
        <is>
          <t>BOLSO CD CARO</t>
        </is>
      </c>
      <c r="F1181" s="9" t="inlineStr">
        <is>
          <t>18.5cm x 12cm</t>
        </is>
      </c>
      <c r="G1181" s="9" t="n"/>
      <c r="H1181" s="21" t="n">
        <v>58</v>
      </c>
      <c r="I1181" s="21" t="n"/>
      <c r="J1181" s="21" t="n"/>
      <c r="K1181" s="21" t="n"/>
      <c r="L1181" s="21" t="n"/>
      <c r="M1181" s="21" t="n"/>
    </row>
    <row r="1182">
      <c r="A1182" s="9" t="inlineStr">
        <is>
          <t>ZOEY</t>
        </is>
      </c>
      <c r="B1182" s="9" t="inlineStr">
        <is>
          <t>historial*</t>
        </is>
      </c>
      <c r="C1182" s="9" t="inlineStr">
        <is>
          <t>2025-12-01</t>
        </is>
      </c>
      <c r="D1182" s="9" t="inlineStr">
        <is>
          <t>17416232396428</t>
        </is>
      </c>
      <c r="E1182" s="9" t="inlineStr">
        <is>
          <t>BOLSO CD TOTE</t>
        </is>
      </c>
      <c r="F1182" s="9" t="inlineStr">
        <is>
          <t>36.5cm x 28cm</t>
        </is>
      </c>
      <c r="G1182" s="9" t="n"/>
      <c r="H1182" s="21" t="n">
        <v>45</v>
      </c>
      <c r="I1182" s="21" t="n"/>
      <c r="J1182" s="21" t="n"/>
      <c r="K1182" s="21" t="n"/>
      <c r="L1182" s="21" t="n"/>
      <c r="M1182" s="21" t="n"/>
    </row>
    <row r="1183">
      <c r="A1183" s="9" t="inlineStr">
        <is>
          <t>ZOEY</t>
        </is>
      </c>
      <c r="B1183" s="9" t="inlineStr">
        <is>
          <t>historial*</t>
        </is>
      </c>
      <c r="C1183" s="9" t="inlineStr">
        <is>
          <t>2025-12-01</t>
        </is>
      </c>
      <c r="D1183" s="9" t="inlineStr">
        <is>
          <t>14139090074764</t>
        </is>
      </c>
      <c r="E1183" s="9" t="inlineStr">
        <is>
          <t>BOLSO DE VIAJE C TRIOMPHE</t>
        </is>
      </c>
      <c r="F1183" s="9" t="inlineStr">
        <is>
          <t>50cm x 25cm x</t>
        </is>
      </c>
      <c r="G1183" s="9" t="n"/>
      <c r="H1183" s="21" t="n">
        <v>65</v>
      </c>
      <c r="I1183" s="21" t="n"/>
      <c r="J1183" s="21" t="n"/>
      <c r="K1183" s="21" t="n"/>
      <c r="L1183" s="21" t="n"/>
      <c r="M1183" s="21" t="n"/>
    </row>
    <row r="1184">
      <c r="A1184" s="9" t="inlineStr">
        <is>
          <t>ZOEY</t>
        </is>
      </c>
      <c r="B1184" s="9" t="inlineStr">
        <is>
          <t>historial*</t>
        </is>
      </c>
      <c r="C1184" s="9" t="inlineStr">
        <is>
          <t>2025-12-01</t>
        </is>
      </c>
      <c r="D1184" s="9" t="inlineStr">
        <is>
          <t>43728085758636</t>
        </is>
      </c>
      <c r="E1184" s="9" t="inlineStr">
        <is>
          <t>BOLSO DE VIAJE GC LOGO</t>
        </is>
      </c>
      <c r="F1184" s="9" t="inlineStr">
        <is>
          <t>42cm de largo</t>
        </is>
      </c>
      <c r="G1184" s="9" t="n"/>
      <c r="H1184" s="21" t="n">
        <v>75</v>
      </c>
      <c r="I1184" s="21" t="n"/>
      <c r="J1184" s="21" t="n"/>
      <c r="K1184" s="21" t="n"/>
      <c r="L1184" s="21" t="n"/>
      <c r="M1184" s="21" t="n"/>
    </row>
    <row r="1185">
      <c r="A1185" s="9" t="inlineStr">
        <is>
          <t>ZOEY</t>
        </is>
      </c>
      <c r="B1185" s="9" t="inlineStr">
        <is>
          <t>historial*</t>
        </is>
      </c>
      <c r="C1185" s="9" t="inlineStr">
        <is>
          <t>2025-12-01</t>
        </is>
      </c>
      <c r="D1185" s="9" t="inlineStr">
        <is>
          <t>43728136587308</t>
        </is>
      </c>
      <c r="E1185" s="9" t="inlineStr">
        <is>
          <t>BOLSO DE VIAJE LV BLACK</t>
        </is>
      </c>
      <c r="F1185" s="9" t="inlineStr">
        <is>
          <t>HIGH QUALITY</t>
        </is>
      </c>
      <c r="G1185" s="9" t="n"/>
      <c r="H1185" s="21" t="n">
        <v>55</v>
      </c>
      <c r="I1185" s="21" t="n"/>
      <c r="J1185" s="21" t="n"/>
      <c r="K1185" s="21" t="n"/>
      <c r="L1185" s="21" t="n"/>
      <c r="M1185" s="21" t="n"/>
    </row>
    <row r="1186">
      <c r="A1186" s="9" t="inlineStr">
        <is>
          <t>ZOEY</t>
        </is>
      </c>
      <c r="B1186" s="9" t="inlineStr">
        <is>
          <t>historial*</t>
        </is>
      </c>
      <c r="C1186" s="9" t="inlineStr">
        <is>
          <t>2025-12-01</t>
        </is>
      </c>
      <c r="D1186" s="9" t="inlineStr">
        <is>
          <t>6701d2474e1b0</t>
        </is>
      </c>
      <c r="E1186" s="9" t="inlineStr">
        <is>
          <t>BOLSO GC MARMONT BLACK</t>
        </is>
      </c>
      <c r="F1186" s="9" t="inlineStr">
        <is>
          <t>20cm de largo</t>
        </is>
      </c>
      <c r="G1186" s="9" t="n"/>
      <c r="H1186" s="21" t="n">
        <v>48</v>
      </c>
      <c r="I1186" s="21" t="n"/>
      <c r="J1186" s="21" t="n"/>
      <c r="K1186" s="21" t="n"/>
      <c r="L1186" s="21" t="n"/>
      <c r="M1186" s="21" t="n"/>
    </row>
    <row r="1187">
      <c r="A1187" s="9" t="inlineStr">
        <is>
          <t>ZOEY</t>
        </is>
      </c>
      <c r="B1187" s="9" t="inlineStr">
        <is>
          <t>historial*</t>
        </is>
      </c>
      <c r="C1187" s="9" t="inlineStr">
        <is>
          <t>2025-12-01</t>
        </is>
      </c>
      <c r="D1187" s="9" t="inlineStr">
        <is>
          <t>6701d27d41def</t>
        </is>
      </c>
      <c r="E1187" s="9" t="inlineStr">
        <is>
          <t>BOLSO GC NUDE</t>
        </is>
      </c>
      <c r="F1187" s="9" t="inlineStr">
        <is>
          <t>14.5cm de alto</t>
        </is>
      </c>
      <c r="G1187" s="9" t="n"/>
      <c r="H1187" s="21" t="n">
        <v>56</v>
      </c>
      <c r="I1187" s="21" t="n"/>
      <c r="J1187" s="21" t="n"/>
      <c r="K1187" s="21" t="n"/>
      <c r="L1187" s="21" t="n"/>
      <c r="M1187" s="21" t="n"/>
    </row>
    <row r="1188">
      <c r="A1188" s="9" t="inlineStr">
        <is>
          <t>ZOEY</t>
        </is>
      </c>
      <c r="B1188" s="9" t="inlineStr">
        <is>
          <t>historial*</t>
        </is>
      </c>
      <c r="C1188" s="9" t="inlineStr">
        <is>
          <t>2025-12-01</t>
        </is>
      </c>
      <c r="D1188" s="9" t="inlineStr">
        <is>
          <t>6701d24d46b00</t>
        </is>
      </c>
      <c r="E1188" s="9" t="inlineStr">
        <is>
          <t>BOLSO LV CAPUCINES</t>
        </is>
      </c>
      <c r="F1188" s="9" t="inlineStr">
        <is>
          <t>26.5cm de larg</t>
        </is>
      </c>
      <c r="G1188" s="9" t="n"/>
      <c r="H1188" s="21" t="n">
        <v>58</v>
      </c>
      <c r="I1188" s="21" t="n"/>
      <c r="J1188" s="21" t="n"/>
      <c r="K1188" s="21" t="n"/>
      <c r="L1188" s="21" t="n"/>
      <c r="M1188" s="21" t="n"/>
    </row>
    <row r="1189">
      <c r="A1189" s="9" t="inlineStr">
        <is>
          <t>ZOEY</t>
        </is>
      </c>
      <c r="B1189" s="9" t="inlineStr">
        <is>
          <t>historial*</t>
        </is>
      </c>
      <c r="C1189" s="9" t="inlineStr">
        <is>
          <t>2025-12-01</t>
        </is>
      </c>
      <c r="D1189" s="9" t="inlineStr">
        <is>
          <t>6701d2559565d</t>
        </is>
      </c>
      <c r="E1189" s="9" t="inlineStr">
        <is>
          <t>BOLSO LV DAUPHINE</t>
        </is>
      </c>
      <c r="F1189" s="9" t="inlineStr">
        <is>
          <t>25.3cm de larg</t>
        </is>
      </c>
      <c r="G1189" s="9" t="n"/>
      <c r="H1189" s="21" t="n">
        <v>55</v>
      </c>
      <c r="I1189" s="21" t="n"/>
      <c r="J1189" s="21" t="n"/>
      <c r="K1189" s="21" t="n"/>
      <c r="L1189" s="21" t="n"/>
      <c r="M1189" s="21" t="n"/>
    </row>
    <row r="1190">
      <c r="A1190" s="9" t="inlineStr">
        <is>
          <t>ZOEY</t>
        </is>
      </c>
      <c r="B1190" s="9" t="inlineStr">
        <is>
          <t>historial*</t>
        </is>
      </c>
      <c r="C1190" s="9" t="inlineStr">
        <is>
          <t>2025-12-01</t>
        </is>
      </c>
      <c r="D1190" s="9" t="inlineStr">
        <is>
          <t>68802903720716</t>
        </is>
      </c>
      <c r="E1190" s="9" t="inlineStr">
        <is>
          <t>BOLSO LV HAMAC</t>
        </is>
      </c>
      <c r="F1190" s="9" t="inlineStr">
        <is>
          <t>30cm de largo</t>
        </is>
      </c>
      <c r="G1190" s="9" t="n"/>
      <c r="H1190" s="21" t="n">
        <v>45</v>
      </c>
      <c r="I1190" s="21" t="n"/>
      <c r="J1190" s="21" t="n"/>
      <c r="K1190" s="21" t="n"/>
      <c r="L1190" s="21" t="n"/>
      <c r="M1190" s="21" t="n"/>
    </row>
    <row r="1191">
      <c r="A1191" s="9" t="inlineStr">
        <is>
          <t>ZOEY</t>
        </is>
      </c>
      <c r="B1191" s="9" t="inlineStr">
        <is>
          <t>historial*</t>
        </is>
      </c>
      <c r="C1191" s="9" t="inlineStr">
        <is>
          <t>2025-12-01</t>
        </is>
      </c>
      <c r="D1191" s="9" t="inlineStr">
        <is>
          <t>43020901133964</t>
        </is>
      </c>
      <c r="E1191" s="9" t="inlineStr">
        <is>
          <t>BOLSO LV NEVERFULL</t>
        </is>
      </c>
      <c r="F1191" s="9" t="inlineStr">
        <is>
          <t>47cm x 29cm</t>
        </is>
      </c>
      <c r="G1191" s="9" t="n"/>
      <c r="H1191" s="21" t="n">
        <v>40</v>
      </c>
      <c r="I1191" s="21" t="n"/>
      <c r="J1191" s="21" t="n"/>
      <c r="K1191" s="21" t="n"/>
      <c r="L1191" s="21" t="n"/>
      <c r="M1191" s="21" t="n"/>
    </row>
    <row r="1192">
      <c r="A1192" s="9" t="inlineStr">
        <is>
          <t>ZOEY</t>
        </is>
      </c>
      <c r="B1192" s="9" t="inlineStr">
        <is>
          <t>historial*</t>
        </is>
      </c>
      <c r="C1192" s="9" t="inlineStr">
        <is>
          <t>2025-12-01</t>
        </is>
      </c>
      <c r="D1192" s="9" t="inlineStr">
        <is>
          <t>17872087535244</t>
        </is>
      </c>
      <c r="E1192" s="9" t="inlineStr">
        <is>
          <t>BOLSO LW ANAGRAM</t>
        </is>
      </c>
      <c r="F1192" s="9" t="inlineStr">
        <is>
          <t>50cm x 26cm x</t>
        </is>
      </c>
      <c r="G1192" s="9" t="n"/>
      <c r="H1192" s="21" t="n">
        <v>35</v>
      </c>
      <c r="I1192" s="21" t="n"/>
      <c r="J1192" s="21" t="n"/>
      <c r="K1192" s="21" t="n"/>
      <c r="L1192" s="21" t="n"/>
      <c r="M1192" s="21" t="n"/>
    </row>
    <row r="1193">
      <c r="A1193" s="9" t="inlineStr">
        <is>
          <t>ZOEY</t>
        </is>
      </c>
      <c r="B1193" s="9" t="inlineStr">
        <is>
          <t>historial*</t>
        </is>
      </c>
      <c r="C1193" s="9" t="inlineStr">
        <is>
          <t>2025-12-01</t>
        </is>
      </c>
      <c r="D1193" s="9" t="inlineStr">
        <is>
          <t>43728083875724</t>
        </is>
      </c>
      <c r="E1193" s="9" t="inlineStr">
        <is>
          <t>BOLSO MISS D BLACK</t>
        </is>
      </c>
      <c r="F1193" s="9" t="inlineStr">
        <is>
          <t>21.6cm de larg</t>
        </is>
      </c>
      <c r="G1193" s="9" t="n"/>
      <c r="H1193" s="21" t="n">
        <v>58</v>
      </c>
      <c r="I1193" s="21" t="n"/>
      <c r="J1193" s="21" t="n"/>
      <c r="K1193" s="21" t="n"/>
      <c r="L1193" s="21" t="n"/>
      <c r="M1193" s="21" t="n"/>
    </row>
    <row r="1194">
      <c r="A1194" s="9" t="inlineStr">
        <is>
          <t>ZOEY</t>
        </is>
      </c>
      <c r="B1194" s="9" t="inlineStr">
        <is>
          <t>historial*</t>
        </is>
      </c>
      <c r="C1194" s="9" t="inlineStr">
        <is>
          <t>2025-12-01</t>
        </is>
      </c>
      <c r="D1194" s="9" t="inlineStr">
        <is>
          <t>6701d185d4f38</t>
        </is>
      </c>
      <c r="E1194" s="9" t="inlineStr">
        <is>
          <t>BOLSO MM WANDER BLACK</t>
        </is>
      </c>
      <c r="F1194" s="9" t="inlineStr">
        <is>
          <t>20cm de alto x</t>
        </is>
      </c>
      <c r="G1194" s="9" t="n"/>
      <c r="H1194" s="21" t="n">
        <v>48</v>
      </c>
      <c r="I1194" s="21" t="n"/>
      <c r="J1194" s="21" t="n"/>
      <c r="K1194" s="21" t="n"/>
      <c r="L1194" s="21" t="n"/>
      <c r="M1194" s="21" t="n"/>
    </row>
    <row r="1195">
      <c r="A1195" s="9" t="inlineStr">
        <is>
          <t>ZOEY</t>
        </is>
      </c>
      <c r="B1195" s="9" t="inlineStr">
        <is>
          <t>historial*</t>
        </is>
      </c>
      <c r="C1195" s="9" t="inlineStr">
        <is>
          <t>2025-12-01</t>
        </is>
      </c>
      <c r="D1195" s="9" t="inlineStr">
        <is>
          <t>43728083564492</t>
        </is>
      </c>
      <c r="E1195" s="9" t="inlineStr">
        <is>
          <t>BOLSO MM WANDER NUDE</t>
        </is>
      </c>
      <c r="F1195" s="9" t="inlineStr">
        <is>
          <t>20cm de alto x</t>
        </is>
      </c>
      <c r="G1195" s="9" t="n"/>
      <c r="H1195" s="21" t="n">
        <v>48</v>
      </c>
      <c r="I1195" s="21" t="n"/>
      <c r="J1195" s="21" t="n"/>
      <c r="K1195" s="21" t="n"/>
      <c r="L1195" s="21" t="n"/>
      <c r="M1195" s="21" t="n"/>
    </row>
    <row r="1196">
      <c r="A1196" s="9" t="inlineStr">
        <is>
          <t>ZOEY</t>
        </is>
      </c>
      <c r="B1196" s="9" t="inlineStr">
        <is>
          <t>historial*</t>
        </is>
      </c>
      <c r="C1196" s="9" t="inlineStr">
        <is>
          <t>2025-12-01</t>
        </is>
      </c>
      <c r="D1196" s="9" t="inlineStr">
        <is>
          <t>43728086647788</t>
        </is>
      </c>
      <c r="E1196" s="9" t="inlineStr">
        <is>
          <t>BOLSO MM WANDER RED</t>
        </is>
      </c>
      <c r="F1196" s="9" t="inlineStr">
        <is>
          <t>20cm de alto x</t>
        </is>
      </c>
      <c r="G1196" s="9" t="n"/>
      <c r="H1196" s="21" t="n">
        <v>48</v>
      </c>
      <c r="I1196" s="21" t="n"/>
      <c r="J1196" s="21" t="n"/>
      <c r="K1196" s="21" t="n"/>
      <c r="L1196" s="21" t="n"/>
      <c r="M1196" s="21" t="n"/>
    </row>
    <row r="1197">
      <c r="A1197" s="9" t="inlineStr">
        <is>
          <t>ZOEY</t>
        </is>
      </c>
      <c r="B1197" s="9" t="inlineStr">
        <is>
          <t>historial*</t>
        </is>
      </c>
      <c r="C1197" s="9" t="inlineStr">
        <is>
          <t>2025-12-01</t>
        </is>
      </c>
      <c r="D1197" s="9" t="inlineStr">
        <is>
          <t>648cc614da168</t>
        </is>
      </c>
      <c r="E1197" s="9" t="inlineStr">
        <is>
          <t>BOLSO YSL BLACK</t>
        </is>
      </c>
      <c r="F1197" s="9" t="inlineStr">
        <is>
          <t>24cm x 15cm</t>
        </is>
      </c>
      <c r="G1197" s="9" t="n"/>
      <c r="H1197" s="21" t="n">
        <v>48</v>
      </c>
      <c r="I1197" s="21" t="n"/>
      <c r="J1197" s="21" t="n"/>
      <c r="K1197" s="21" t="n"/>
      <c r="L1197" s="21" t="n"/>
      <c r="M1197" s="21" t="n"/>
    </row>
    <row r="1198">
      <c r="A1198" s="9" t="inlineStr">
        <is>
          <t>ZOEY</t>
        </is>
      </c>
      <c r="B1198" s="9" t="inlineStr">
        <is>
          <t>historial*</t>
        </is>
      </c>
      <c r="C1198" s="9" t="inlineStr">
        <is>
          <t>2025-12-01</t>
        </is>
      </c>
      <c r="D1198" s="9" t="inlineStr">
        <is>
          <t>87893051058957</t>
        </is>
      </c>
      <c r="E1198" s="9" t="inlineStr">
        <is>
          <t>BOLSO YSL NUDE</t>
        </is>
      </c>
      <c r="F1198" s="9" t="inlineStr">
        <is>
          <t>Default Title</t>
        </is>
      </c>
      <c r="G1198" s="9" t="n"/>
      <c r="H1198" s="21" t="n">
        <v>52</v>
      </c>
      <c r="I1198" s="21" t="n"/>
      <c r="J1198" s="21" t="n"/>
      <c r="K1198" s="21" t="n"/>
      <c r="L1198" s="21" t="n"/>
      <c r="M1198" s="21" t="n"/>
    </row>
    <row r="1199">
      <c r="A1199" s="9" t="inlineStr">
        <is>
          <t>ZOEY</t>
        </is>
      </c>
      <c r="B1199" s="9" t="inlineStr">
        <is>
          <t>historial*</t>
        </is>
      </c>
      <c r="C1199" s="9" t="inlineStr">
        <is>
          <t>2025-12-01</t>
        </is>
      </c>
      <c r="D1199" s="9" t="inlineStr">
        <is>
          <t>679bf19779a29</t>
        </is>
      </c>
      <c r="E1199" s="9" t="inlineStr">
        <is>
          <t>CALCETÍN A BLACK</t>
        </is>
      </c>
      <c r="F1199" s="9" t="inlineStr">
        <is>
          <t>Default Title</t>
        </is>
      </c>
      <c r="G1199" s="9" t="n"/>
      <c r="H1199" s="21" t="n">
        <v>5</v>
      </c>
      <c r="I1199" s="21" t="n"/>
      <c r="J1199" s="21" t="n"/>
      <c r="K1199" s="21" t="n"/>
      <c r="L1199" s="21" t="n"/>
      <c r="M1199" s="21" t="n"/>
    </row>
    <row r="1200">
      <c r="A1200" s="9" t="inlineStr">
        <is>
          <t>ZOEY</t>
        </is>
      </c>
      <c r="B1200" s="9" t="inlineStr">
        <is>
          <t>historial*</t>
        </is>
      </c>
      <c r="C1200" s="9" t="inlineStr">
        <is>
          <t>2025-12-01</t>
        </is>
      </c>
      <c r="D1200" s="9" t="inlineStr">
        <is>
          <t>679bf1982d8ea</t>
        </is>
      </c>
      <c r="E1200" s="9" t="inlineStr">
        <is>
          <t>CALCETÍN A WHITE</t>
        </is>
      </c>
      <c r="F1200" s="9" t="inlineStr">
        <is>
          <t>Default Title</t>
        </is>
      </c>
      <c r="G1200" s="9" t="n"/>
      <c r="H1200" s="21" t="n">
        <v>5</v>
      </c>
      <c r="I1200" s="21" t="n"/>
      <c r="J1200" s="21" t="n"/>
      <c r="K1200" s="21" t="n"/>
      <c r="L1200" s="21" t="n"/>
      <c r="M1200" s="21" t="n"/>
    </row>
    <row r="1201">
      <c r="A1201" s="9" t="inlineStr">
        <is>
          <t>ZOEY</t>
        </is>
      </c>
      <c r="B1201" s="9" t="inlineStr">
        <is>
          <t>historial*</t>
        </is>
      </c>
      <c r="C1201" s="9" t="inlineStr">
        <is>
          <t>2025-12-01</t>
        </is>
      </c>
      <c r="D1201" s="9" t="inlineStr">
        <is>
          <t>43728085897228</t>
        </is>
      </c>
      <c r="E1201" s="9" t="inlineStr">
        <is>
          <t>CARTERA GC OPHIDIA</t>
        </is>
      </c>
      <c r="F1201" s="9" t="inlineStr">
        <is>
          <t>12cm de largo</t>
        </is>
      </c>
      <c r="G1201" s="9" t="n"/>
      <c r="H1201" s="21" t="n">
        <v>18</v>
      </c>
      <c r="I1201" s="21" t="n"/>
      <c r="J1201" s="21" t="n"/>
      <c r="K1201" s="21" t="n"/>
      <c r="L1201" s="21" t="n"/>
      <c r="M1201" s="21" t="n"/>
    </row>
    <row r="1202">
      <c r="A1202" s="9" t="inlineStr">
        <is>
          <t>ZOEY</t>
        </is>
      </c>
      <c r="B1202" s="9" t="inlineStr">
        <is>
          <t>historial*</t>
        </is>
      </c>
      <c r="C1202" s="9" t="inlineStr">
        <is>
          <t>2025-12-01</t>
        </is>
      </c>
      <c r="D1202" s="9" t="inlineStr">
        <is>
          <t>43792107834124</t>
        </is>
      </c>
      <c r="E1202" s="9" t="inlineStr">
        <is>
          <t>CINTO CD REVOLUTION</t>
        </is>
      </c>
      <c r="F1202" s="9" t="inlineStr">
        <is>
          <t>110cm</t>
        </is>
      </c>
      <c r="G1202" s="9" t="n"/>
      <c r="H1202" s="21" t="n">
        <v>45</v>
      </c>
      <c r="I1202" s="21" t="n"/>
      <c r="J1202" s="21" t="n"/>
      <c r="K1202" s="21" t="n"/>
      <c r="L1202" s="21" t="n"/>
      <c r="M1202" s="21" t="n"/>
    </row>
    <row r="1203">
      <c r="A1203" s="9" t="inlineStr">
        <is>
          <t>ZOEY</t>
        </is>
      </c>
      <c r="B1203" s="9" t="inlineStr">
        <is>
          <t>historial*</t>
        </is>
      </c>
      <c r="C1203" s="9" t="inlineStr">
        <is>
          <t>2025-12-01</t>
        </is>
      </c>
      <c r="D1203" s="9" t="inlineStr">
        <is>
          <t>43047194886284</t>
        </is>
      </c>
      <c r="E1203" s="9" t="inlineStr">
        <is>
          <t>COLLAR CORAZÓN GOLD</t>
        </is>
      </c>
      <c r="F1203" s="9" t="inlineStr">
        <is>
          <t>40cm con 6.5cm</t>
        </is>
      </c>
      <c r="G1203" s="9" t="n"/>
      <c r="H1203" s="21" t="n">
        <v>9</v>
      </c>
      <c r="I1203" s="21" t="n"/>
      <c r="J1203" s="21" t="n"/>
      <c r="K1203" s="21" t="n"/>
      <c r="L1203" s="21" t="n"/>
      <c r="M1203" s="21" t="n"/>
    </row>
    <row r="1204">
      <c r="A1204" s="9" t="inlineStr">
        <is>
          <t>ZOEY</t>
        </is>
      </c>
      <c r="B1204" s="9" t="inlineStr">
        <is>
          <t>historial*</t>
        </is>
      </c>
      <c r="C1204" s="9" t="inlineStr">
        <is>
          <t>2025-12-01</t>
        </is>
      </c>
      <c r="D1204" s="9" t="inlineStr">
        <is>
          <t>43047193870476</t>
        </is>
      </c>
      <c r="E1204" s="9" t="inlineStr">
        <is>
          <t>COLLAR CORAZÓN SILVER</t>
        </is>
      </c>
      <c r="F1204" s="9" t="inlineStr">
        <is>
          <t>40cm con 6.5cm</t>
        </is>
      </c>
      <c r="G1204" s="9" t="n"/>
      <c r="H1204" s="21" t="n">
        <v>9</v>
      </c>
      <c r="I1204" s="21" t="n"/>
      <c r="J1204" s="21" t="n"/>
      <c r="K1204" s="21" t="n"/>
      <c r="L1204" s="21" t="n"/>
      <c r="M1204" s="21" t="n"/>
    </row>
    <row r="1205">
      <c r="A1205" s="9" t="inlineStr">
        <is>
          <t>ZOEY</t>
        </is>
      </c>
      <c r="B1205" s="9" t="inlineStr">
        <is>
          <t>historial*</t>
        </is>
      </c>
      <c r="C1205" s="9" t="inlineStr">
        <is>
          <t>2025-12-01</t>
        </is>
      </c>
      <c r="D1205" s="9" t="inlineStr">
        <is>
          <t>78326321018849</t>
        </is>
      </c>
      <c r="E1205" s="9" t="inlineStr">
        <is>
          <t>COLLAR LOVESTRUCK</t>
        </is>
      </c>
      <c r="F1205" s="9" t="inlineStr">
        <is>
          <t>43CM</t>
        </is>
      </c>
      <c r="G1205" s="9" t="n"/>
      <c r="H1205" s="21" t="n">
        <v>9</v>
      </c>
      <c r="I1205" s="21" t="n"/>
      <c r="J1205" s="21" t="n"/>
      <c r="K1205" s="21" t="n"/>
      <c r="L1205" s="21" t="n"/>
      <c r="M1205" s="21" t="n"/>
    </row>
    <row r="1206">
      <c r="A1206" s="9" t="inlineStr">
        <is>
          <t>ZOEY</t>
        </is>
      </c>
      <c r="B1206" s="9" t="inlineStr">
        <is>
          <t>historial*</t>
        </is>
      </c>
      <c r="C1206" s="9" t="inlineStr">
        <is>
          <t>2025-12-01</t>
        </is>
      </c>
      <c r="D1206" s="9" t="inlineStr">
        <is>
          <t>32438791094701</t>
        </is>
      </c>
      <c r="E1206" s="9" t="inlineStr">
        <is>
          <t>COLLAR T CORAZÓN CON ZIRCONIA</t>
        </is>
      </c>
      <c r="F1206" s="9" t="inlineStr">
        <is>
          <t>Default Title</t>
        </is>
      </c>
      <c r="G1206" s="9" t="n"/>
      <c r="H1206" s="21" t="n">
        <v>9</v>
      </c>
      <c r="I1206" s="21" t="n"/>
      <c r="J1206" s="21" t="n"/>
      <c r="K1206" s="21" t="n"/>
      <c r="L1206" s="21" t="n"/>
      <c r="M1206" s="21" t="n"/>
    </row>
    <row r="1207">
      <c r="A1207" s="9" t="inlineStr">
        <is>
          <t>ZOEY</t>
        </is>
      </c>
      <c r="B1207" s="9" t="inlineStr">
        <is>
          <t>historial*</t>
        </is>
      </c>
      <c r="C1207" s="9" t="inlineStr">
        <is>
          <t>2025-12-01</t>
        </is>
      </c>
      <c r="D1207" s="9" t="inlineStr">
        <is>
          <t>3382867546764</t>
        </is>
      </c>
      <c r="E1207" s="9" t="inlineStr">
        <is>
          <t>GORRA C BEIGE</t>
        </is>
      </c>
      <c r="F1207" s="9" t="inlineStr">
        <is>
          <t>M (AJUSTABLE</t>
        </is>
      </c>
      <c r="G1207" s="9" t="n"/>
      <c r="H1207" s="21" t="n">
        <v>18</v>
      </c>
      <c r="I1207" s="21" t="n"/>
      <c r="J1207" s="21" t="n"/>
      <c r="K1207" s="21" t="n"/>
      <c r="L1207" s="21" t="n"/>
      <c r="M1207" s="21" t="n"/>
    </row>
    <row r="1208">
      <c r="A1208" s="9" t="inlineStr">
        <is>
          <t>ZOEY</t>
        </is>
      </c>
      <c r="B1208" s="9" t="inlineStr">
        <is>
          <t>historial*</t>
        </is>
      </c>
      <c r="C1208" s="9" t="inlineStr">
        <is>
          <t>2025-12-01</t>
        </is>
      </c>
      <c r="D1208" s="9" t="inlineStr">
        <is>
          <t>3382853668492</t>
        </is>
      </c>
      <c r="E1208" s="9" t="inlineStr">
        <is>
          <t>GORRA C BLACK</t>
        </is>
      </c>
      <c r="F1208" s="9" t="inlineStr">
        <is>
          <t>M (AJUSTABLE)</t>
        </is>
      </c>
      <c r="G1208" s="9" t="n"/>
      <c r="H1208" s="21" t="n">
        <v>18</v>
      </c>
      <c r="I1208" s="21" t="n"/>
      <c r="J1208" s="21" t="n"/>
      <c r="K1208" s="21" t="n"/>
      <c r="L1208" s="21" t="n"/>
      <c r="M1208" s="21" t="n"/>
    </row>
    <row r="1209">
      <c r="A1209" s="9" t="inlineStr">
        <is>
          <t>ZOEY</t>
        </is>
      </c>
      <c r="B1209" s="9" t="inlineStr">
        <is>
          <t>historial*</t>
        </is>
      </c>
      <c r="C1209" s="9" t="inlineStr">
        <is>
          <t>2025-12-01</t>
        </is>
      </c>
      <c r="D1209" s="9" t="inlineStr">
        <is>
          <t>654bdbd8c9587</t>
        </is>
      </c>
      <c r="E1209" s="9" t="inlineStr">
        <is>
          <t>GORRA C WHITE</t>
        </is>
      </c>
      <c r="F1209" s="9" t="inlineStr">
        <is>
          <t>M (AJUSTABLE)</t>
        </is>
      </c>
      <c r="G1209" s="9" t="n"/>
      <c r="H1209" s="21" t="n">
        <v>18</v>
      </c>
      <c r="I1209" s="21" t="n"/>
      <c r="J1209" s="21" t="n"/>
      <c r="K1209" s="21" t="n"/>
      <c r="L1209" s="21" t="n"/>
      <c r="M1209" s="21" t="n"/>
    </row>
    <row r="1210">
      <c r="A1210" s="9" t="inlineStr">
        <is>
          <t>ZOEY</t>
        </is>
      </c>
      <c r="B1210" s="9" t="inlineStr">
        <is>
          <t>historial*</t>
        </is>
      </c>
      <c r="C1210" s="9" t="inlineStr">
        <is>
          <t>2025-12-01</t>
        </is>
      </c>
      <c r="D1210" s="9" t="inlineStr">
        <is>
          <t>43728083615436</t>
        </is>
      </c>
      <c r="E1210" s="9" t="inlineStr">
        <is>
          <t>LENTES CD SIGNATURE SI21</t>
        </is>
      </c>
      <c r="F1210" s="9" t="inlineStr">
        <is>
          <t>Default Title</t>
        </is>
      </c>
      <c r="G1210" s="9" t="n"/>
      <c r="H1210" s="21" t="n">
        <v>36</v>
      </c>
      <c r="I1210" s="21" t="n"/>
      <c r="J1210" s="21" t="n"/>
      <c r="K1210" s="21" t="n"/>
      <c r="L1210" s="21" t="n"/>
      <c r="M1210" s="21" t="n"/>
    </row>
    <row r="1211">
      <c r="A1211" s="9" t="inlineStr">
        <is>
          <t>ZOEY</t>
        </is>
      </c>
      <c r="B1211" s="9" t="inlineStr">
        <is>
          <t>historial*</t>
        </is>
      </c>
      <c r="C1211" s="9" t="inlineStr">
        <is>
          <t>2025-12-01</t>
        </is>
      </c>
      <c r="D1211" s="9" t="inlineStr">
        <is>
          <t>98219285835148</t>
        </is>
      </c>
      <c r="E1211" s="9" t="inlineStr">
        <is>
          <t>MINI BOLSO LV STEAMER</t>
        </is>
      </c>
      <c r="F1211" s="9" t="inlineStr">
        <is>
          <t>17cm de largo</t>
        </is>
      </c>
      <c r="G1211" s="9" t="n"/>
      <c r="H1211" s="21" t="n">
        <v>45</v>
      </c>
      <c r="I1211" s="21" t="n"/>
      <c r="J1211" s="21" t="n"/>
      <c r="K1211" s="21" t="n"/>
      <c r="L1211" s="21" t="n"/>
      <c r="M1211" s="21" t="n"/>
    </row>
    <row r="1212">
      <c r="A1212" s="9" t="inlineStr">
        <is>
          <t>ZOEY</t>
        </is>
      </c>
      <c r="B1212" s="9" t="inlineStr">
        <is>
          <t>historial*</t>
        </is>
      </c>
      <c r="C1212" s="9" t="inlineStr">
        <is>
          <t>2025-12-01</t>
        </is>
      </c>
      <c r="D1212" s="9" t="inlineStr">
        <is>
          <t>77763960600332</t>
        </is>
      </c>
      <c r="E1212" s="9" t="inlineStr">
        <is>
          <t>PERFUME BACCARAT</t>
        </is>
      </c>
      <c r="F1212" s="9" t="inlineStr">
        <is>
          <t>70ml</t>
        </is>
      </c>
      <c r="G1212" s="9" t="n"/>
      <c r="H1212" s="21" t="n">
        <v>18</v>
      </c>
      <c r="I1212" s="21" t="n"/>
      <c r="J1212" s="21" t="n"/>
      <c r="K1212" s="21" t="n"/>
      <c r="L1212" s="21" t="n"/>
      <c r="M1212" s="21" t="n"/>
    </row>
    <row r="1213">
      <c r="A1213" s="9" t="inlineStr">
        <is>
          <t>ZOEY</t>
        </is>
      </c>
      <c r="B1213" s="9" t="inlineStr">
        <is>
          <t>historial*</t>
        </is>
      </c>
      <c r="C1213" s="9" t="inlineStr">
        <is>
          <t>2025-12-01</t>
        </is>
      </c>
      <c r="D1213" s="9" t="inlineStr">
        <is>
          <t>40495211154861</t>
        </is>
      </c>
      <c r="E1213" s="9" t="inlineStr">
        <is>
          <t>PERFUME CREED AVENTUS EAU DE PARFUM</t>
        </is>
      </c>
      <c r="F1213" s="9" t="inlineStr"/>
      <c r="G1213" s="9" t="n"/>
      <c r="H1213" s="21" t="n">
        <v>18</v>
      </c>
      <c r="I1213" s="21" t="n"/>
      <c r="J1213" s="21" t="n"/>
      <c r="K1213" s="21" t="n"/>
      <c r="L1213" s="21" t="n"/>
      <c r="M1213" s="21" t="n"/>
    </row>
    <row r="1214">
      <c r="A1214" s="9" t="inlineStr">
        <is>
          <t>ZOEY</t>
        </is>
      </c>
      <c r="B1214" s="9" t="inlineStr">
        <is>
          <t>historial*</t>
        </is>
      </c>
      <c r="C1214" s="9" t="inlineStr">
        <is>
          <t>2025-12-01</t>
        </is>
      </c>
      <c r="D1214" s="9" t="inlineStr">
        <is>
          <t>77763961743628</t>
        </is>
      </c>
      <c r="E1214" s="9" t="inlineStr">
        <is>
          <t>PERFUME SANTAL 33</t>
        </is>
      </c>
      <c r="F1214" s="9" t="inlineStr">
        <is>
          <t>100ml</t>
        </is>
      </c>
      <c r="G1214" s="9" t="n"/>
      <c r="H1214" s="21" t="n">
        <v>18</v>
      </c>
      <c r="I1214" s="21" t="n"/>
      <c r="J1214" s="21" t="n"/>
      <c r="K1214" s="21" t="n"/>
      <c r="L1214" s="21" t="n"/>
      <c r="M1214" s="21" t="n"/>
    </row>
    <row r="1215">
      <c r="A1215" s="9" t="inlineStr">
        <is>
          <t>ZOEY</t>
        </is>
      </c>
      <c r="B1215" s="9" t="inlineStr">
        <is>
          <t>historial*</t>
        </is>
      </c>
      <c r="C1215" s="9" t="inlineStr">
        <is>
          <t>2025-12-01</t>
        </is>
      </c>
      <c r="D1215" s="9" t="inlineStr">
        <is>
          <t>48321439631756</t>
        </is>
      </c>
      <c r="E1215" s="9" t="inlineStr">
        <is>
          <t>PERFUME TF LOST CHERRY</t>
        </is>
      </c>
      <c r="F1215" s="9" t="inlineStr">
        <is>
          <t>100ml</t>
        </is>
      </c>
      <c r="G1215" s="9" t="n"/>
      <c r="H1215" s="21" t="n">
        <v>18</v>
      </c>
      <c r="I1215" s="21" t="n"/>
      <c r="J1215" s="21" t="n"/>
      <c r="K1215" s="21" t="n"/>
      <c r="L1215" s="21" t="n"/>
      <c r="M1215" s="21" t="n"/>
    </row>
    <row r="1216">
      <c r="A1216" s="9" t="inlineStr">
        <is>
          <t>ZOEY</t>
        </is>
      </c>
      <c r="B1216" s="9" t="inlineStr">
        <is>
          <t>historial*</t>
        </is>
      </c>
      <c r="C1216" s="9" t="inlineStr">
        <is>
          <t>2025-12-01</t>
        </is>
      </c>
      <c r="D1216" s="9" t="inlineStr">
        <is>
          <t>40495211254925</t>
        </is>
      </c>
      <c r="E1216" s="9" t="inlineStr">
        <is>
          <t>PERFUME V BORN IN ROMA THE GOLD DONNA</t>
        </is>
      </c>
      <c r="F1216" s="9" t="inlineStr"/>
      <c r="G1216" s="9" t="n"/>
      <c r="H1216" s="21" t="n">
        <v>18</v>
      </c>
      <c r="I1216" s="21" t="n"/>
      <c r="J1216" s="21" t="n"/>
      <c r="K1216" s="21" t="n"/>
      <c r="L1216" s="21" t="n"/>
      <c r="M1216" s="21" t="n"/>
    </row>
    <row r="1217">
      <c r="A1217" s="9" t="inlineStr">
        <is>
          <t>ZOEY</t>
        </is>
      </c>
      <c r="B1217" s="9" t="inlineStr">
        <is>
          <t>historial*</t>
        </is>
      </c>
      <c r="C1217" s="9" t="inlineStr">
        <is>
          <t>2025-12-01</t>
        </is>
      </c>
      <c r="D1217" s="9" t="inlineStr">
        <is>
          <t>15711173666157</t>
        </is>
      </c>
      <c r="E1217" s="9" t="inlineStr">
        <is>
          <t>PERFUME, DELINA EXCLUSIF EAU DE PARFUM, 75 ML</t>
        </is>
      </c>
      <c r="F1217" s="9" t="inlineStr">
        <is>
          <t>Default Title</t>
        </is>
      </c>
      <c r="G1217" s="9" t="n"/>
      <c r="H1217" s="21" t="n">
        <v>18</v>
      </c>
      <c r="I1217" s="21" t="n"/>
      <c r="J1217" s="21" t="n"/>
      <c r="K1217" s="21" t="n"/>
      <c r="L1217" s="21" t="n"/>
      <c r="M1217" s="21" t="n"/>
    </row>
    <row r="1218">
      <c r="A1218" s="9" t="inlineStr">
        <is>
          <t>ZOEY</t>
        </is>
      </c>
      <c r="B1218" s="9" t="inlineStr">
        <is>
          <t>historial*</t>
        </is>
      </c>
      <c r="C1218" s="9" t="inlineStr">
        <is>
          <t>2025-12-01</t>
        </is>
      </c>
      <c r="D1218" s="9" t="inlineStr">
        <is>
          <t>62328733504652</t>
        </is>
      </c>
      <c r="E1218" s="9" t="inlineStr">
        <is>
          <t>PULSERA CD PETIT</t>
        </is>
      </c>
      <c r="F1218" s="9" t="inlineStr">
        <is>
          <t>16cm con 5cm d</t>
        </is>
      </c>
      <c r="G1218" s="9" t="n"/>
      <c r="H1218" s="21" t="n">
        <v>7</v>
      </c>
      <c r="I1218" s="21" t="n"/>
      <c r="J1218" s="21" t="n"/>
      <c r="K1218" s="21" t="n"/>
      <c r="L1218" s="21" t="n"/>
      <c r="M1218" s="21" t="n"/>
    </row>
    <row r="1219">
      <c r="A1219" s="9" t="inlineStr">
        <is>
          <t>ZOEY</t>
        </is>
      </c>
      <c r="B1219" s="9" t="inlineStr">
        <is>
          <t>historial*</t>
        </is>
      </c>
      <c r="C1219" s="9" t="inlineStr">
        <is>
          <t>2025-12-01</t>
        </is>
      </c>
      <c r="D1219" s="9" t="inlineStr">
        <is>
          <t>87401991025249</t>
        </is>
      </c>
      <c r="E1219" s="9" t="inlineStr">
        <is>
          <t>PULSERA LOVESTRUCK</t>
        </is>
      </c>
      <c r="F1219" s="9" t="inlineStr">
        <is>
          <t>18 cm</t>
        </is>
      </c>
      <c r="G1219" s="9" t="n"/>
      <c r="H1219" s="21" t="n">
        <v>9</v>
      </c>
      <c r="I1219" s="21" t="n"/>
      <c r="J1219" s="21" t="n"/>
      <c r="K1219" s="21" t="n"/>
      <c r="L1219" s="21" t="n"/>
      <c r="M1219" s="21" t="n"/>
    </row>
    <row r="1220">
      <c r="A1220" s="9" t="inlineStr">
        <is>
          <t>ZOEY</t>
        </is>
      </c>
      <c r="B1220" s="9" t="inlineStr">
        <is>
          <t>historial*</t>
        </is>
      </c>
      <c r="C1220" s="9" t="inlineStr">
        <is>
          <t>2025-12-01</t>
        </is>
      </c>
      <c r="D1220" s="9" t="inlineStr">
        <is>
          <t>17360611212237</t>
        </is>
      </c>
      <c r="E1220" s="9" t="inlineStr">
        <is>
          <t>RELOJ BALLON BLUE C</t>
        </is>
      </c>
      <c r="F1220" s="9" t="inlineStr">
        <is>
          <t>RELOJ SIN CAJA</t>
        </is>
      </c>
      <c r="G1220" s="9" t="n"/>
      <c r="H1220" s="21" t="n">
        <v>28</v>
      </c>
      <c r="I1220" s="21" t="n"/>
      <c r="J1220" s="21" t="n"/>
      <c r="K1220" s="21" t="n"/>
      <c r="L1220" s="21" t="n"/>
      <c r="M1220" s="21" t="n"/>
    </row>
    <row r="1221">
      <c r="A1221" s="9" t="inlineStr">
        <is>
          <t>ZOEY</t>
        </is>
      </c>
      <c r="B1221" s="9" t="inlineStr">
        <is>
          <t>historial*</t>
        </is>
      </c>
      <c r="C1221" s="9" t="inlineStr">
        <is>
          <t>2025-12-01</t>
        </is>
      </c>
      <c r="D1221" s="9" t="inlineStr">
        <is>
          <t>679be1fa82b97</t>
        </is>
      </c>
      <c r="E1221" s="9" t="inlineStr">
        <is>
          <t>RELOJ C SANTOS BLACK</t>
        </is>
      </c>
      <c r="F1221" s="9" t="inlineStr">
        <is>
          <t>RELOJ SIN CAJA</t>
        </is>
      </c>
      <c r="G1221" s="9" t="n"/>
      <c r="H1221" s="21" t="n">
        <v>35</v>
      </c>
      <c r="I1221" s="21" t="n"/>
      <c r="J1221" s="21" t="n"/>
      <c r="K1221" s="21" t="n"/>
      <c r="L1221" s="21" t="n"/>
      <c r="M1221" s="21" t="n"/>
    </row>
    <row r="1222">
      <c r="A1222" s="9" t="inlineStr">
        <is>
          <t>ZOEY</t>
        </is>
      </c>
      <c r="B1222" s="9" t="inlineStr">
        <is>
          <t>historial*</t>
        </is>
      </c>
      <c r="C1222" s="9" t="inlineStr">
        <is>
          <t>2025-12-01</t>
        </is>
      </c>
      <c r="D1222" s="9" t="inlineStr">
        <is>
          <t>17360611572909</t>
        </is>
      </c>
      <c r="E1222" s="9" t="inlineStr">
        <is>
          <t>RELOJ NAUTILUS PP</t>
        </is>
      </c>
      <c r="F1222" s="9" t="inlineStr">
        <is>
          <t>RELOJ SIN CAJA</t>
        </is>
      </c>
      <c r="G1222" s="9" t="n"/>
      <c r="H1222" s="21" t="n">
        <v>58</v>
      </c>
      <c r="I1222" s="21" t="n"/>
      <c r="J1222" s="21" t="n"/>
      <c r="K1222" s="21" t="n"/>
      <c r="L1222" s="21" t="n"/>
      <c r="M1222" s="21" t="n"/>
    </row>
    <row r="1223">
      <c r="A1223" s="9" t="inlineStr">
        <is>
          <t>ZOEY</t>
        </is>
      </c>
      <c r="B1223" s="9" t="inlineStr">
        <is>
          <t>historial*</t>
        </is>
      </c>
      <c r="C1223" s="9" t="inlineStr">
        <is>
          <t>2025-12-01</t>
        </is>
      </c>
      <c r="D1223" s="9" t="inlineStr">
        <is>
          <t>53890267165196</t>
        </is>
      </c>
      <c r="E1223" s="9" t="inlineStr">
        <is>
          <t>RELOJ PANTHERE GOLD</t>
        </is>
      </c>
      <c r="F1223" s="9" t="inlineStr">
        <is>
          <t>RELOJ SIN CAJA</t>
        </is>
      </c>
      <c r="G1223" s="9" t="n"/>
      <c r="H1223" s="21" t="n">
        <v>60</v>
      </c>
      <c r="I1223" s="21" t="n"/>
      <c r="J1223" s="21" t="n"/>
      <c r="K1223" s="21" t="n"/>
      <c r="L1223" s="21" t="n"/>
      <c r="M1223" s="21" t="n"/>
    </row>
    <row r="1224">
      <c r="A1224" s="9" t="inlineStr">
        <is>
          <t>ZOEY</t>
        </is>
      </c>
      <c r="B1224" s="9" t="inlineStr">
        <is>
          <t>historial*</t>
        </is>
      </c>
      <c r="C1224" s="9" t="inlineStr">
        <is>
          <t>2025-12-01</t>
        </is>
      </c>
      <c r="D1224" s="9" t="inlineStr">
        <is>
          <t>67535d2d7860a-1</t>
        </is>
      </c>
      <c r="E1224" s="9" t="inlineStr">
        <is>
          <t>RELOJ PANTHERE GOLD SILVER</t>
        </is>
      </c>
      <c r="F1224" s="9" t="inlineStr">
        <is>
          <t>RELOJ SIN CAJA</t>
        </is>
      </c>
      <c r="G1224" s="9" t="n"/>
      <c r="H1224" s="21" t="n">
        <v>58</v>
      </c>
      <c r="I1224" s="21" t="n"/>
      <c r="J1224" s="21" t="n"/>
      <c r="K1224" s="21" t="n"/>
      <c r="L1224" s="21" t="n"/>
      <c r="M1224" s="21" t="n"/>
    </row>
    <row r="1225">
      <c r="A1225" s="9" t="inlineStr">
        <is>
          <t>ZOEY</t>
        </is>
      </c>
      <c r="B1225" s="9" t="inlineStr">
        <is>
          <t>historial*</t>
        </is>
      </c>
      <c r="C1225" s="9" t="inlineStr">
        <is>
          <t>2025-12-01</t>
        </is>
      </c>
      <c r="D1225" s="9" t="inlineStr">
        <is>
          <t>14156151055725</t>
        </is>
      </c>
      <c r="E1225" s="9" t="inlineStr">
        <is>
          <t>RELOJ PANTHERE SILVER</t>
        </is>
      </c>
      <c r="F1225" s="9" t="inlineStr">
        <is>
          <t>RELOJ SIN CAJA</t>
        </is>
      </c>
      <c r="G1225" s="9" t="n"/>
      <c r="H1225" s="21" t="n">
        <v>58</v>
      </c>
      <c r="I1225" s="21" t="n"/>
      <c r="J1225" s="21" t="n"/>
      <c r="K1225" s="21" t="n"/>
      <c r="L1225" s="21" t="n"/>
      <c r="M1225" s="21" t="n"/>
    </row>
    <row r="1226">
      <c r="A1226" s="9" t="inlineStr">
        <is>
          <t>ZOEY</t>
        </is>
      </c>
      <c r="B1226" s="9" t="inlineStr">
        <is>
          <t>historial*</t>
        </is>
      </c>
      <c r="C1226" s="9" t="inlineStr">
        <is>
          <t>2025-12-01</t>
        </is>
      </c>
      <c r="D1226" s="9" t="inlineStr">
        <is>
          <t>677c26b553b3f-1</t>
        </is>
      </c>
      <c r="E1226" s="9" t="inlineStr">
        <is>
          <t>RELOJ RX OYSTER PERPETUAL BLACK</t>
        </is>
      </c>
      <c r="F1226" s="9" t="inlineStr">
        <is>
          <t>RELOJ SIN CAJA</t>
        </is>
      </c>
      <c r="G1226" s="9" t="n"/>
      <c r="H1226" s="21" t="n">
        <v>42</v>
      </c>
      <c r="I1226" s="21" t="n"/>
      <c r="J1226" s="21" t="n"/>
      <c r="K1226" s="21" t="n"/>
      <c r="L1226" s="21" t="n"/>
      <c r="M1226" s="21" t="n"/>
    </row>
    <row r="1227">
      <c r="A1227" s="9" t="inlineStr">
        <is>
          <t>ZOEY</t>
        </is>
      </c>
      <c r="B1227" s="9" t="inlineStr">
        <is>
          <t>historial*</t>
        </is>
      </c>
      <c r="C1227" s="9" t="inlineStr">
        <is>
          <t>2025-12-01</t>
        </is>
      </c>
      <c r="D1227" s="9" t="inlineStr">
        <is>
          <t>71264750638476</t>
        </is>
      </c>
      <c r="E1227" s="9" t="inlineStr">
        <is>
          <t>RELOJ RX OYSTER PERPETUAL GREEN</t>
        </is>
      </c>
      <c r="F1227" s="9" t="inlineStr">
        <is>
          <t>CON CAJA</t>
        </is>
      </c>
      <c r="G1227" s="9" t="n"/>
      <c r="H1227" s="21" t="n">
        <v>42</v>
      </c>
      <c r="I1227" s="21" t="n"/>
      <c r="J1227" s="21" t="n"/>
      <c r="K1227" s="21" t="n"/>
      <c r="L1227" s="21" t="n"/>
      <c r="M1227" s="21" t="n"/>
    </row>
    <row r="1228">
      <c r="A1228" s="9" t="inlineStr">
        <is>
          <t>ZOEY</t>
        </is>
      </c>
      <c r="B1228" s="9" t="inlineStr">
        <is>
          <t>historial*</t>
        </is>
      </c>
      <c r="C1228" s="9" t="inlineStr">
        <is>
          <t>2025-12-01</t>
        </is>
      </c>
      <c r="D1228" s="9" t="inlineStr">
        <is>
          <t>10427542282892</t>
        </is>
      </c>
      <c r="E1228" s="9" t="inlineStr">
        <is>
          <t>RELOJ SANTOS SILVER</t>
        </is>
      </c>
      <c r="F1228" s="9" t="inlineStr"/>
      <c r="G1228" s="9" t="n"/>
      <c r="H1228" s="21" t="n">
        <v>68</v>
      </c>
      <c r="I1228" s="21" t="n"/>
      <c r="J1228" s="21" t="n"/>
      <c r="K1228" s="21" t="n"/>
      <c r="L1228" s="21" t="n"/>
      <c r="M1228" s="21" t="n"/>
    </row>
    <row r="1229">
      <c r="A1229" s="9" t="inlineStr">
        <is>
          <t>ZOEY</t>
        </is>
      </c>
      <c r="B1229" s="9" t="inlineStr">
        <is>
          <t>historial*</t>
        </is>
      </c>
      <c r="C1229" s="9" t="inlineStr">
        <is>
          <t>2025-12-01</t>
        </is>
      </c>
      <c r="D1229" s="9" t="inlineStr">
        <is>
          <t>10427542282893</t>
        </is>
      </c>
      <c r="E1229" s="9" t="inlineStr">
        <is>
          <t>RELOJ SANTOS SILVER</t>
        </is>
      </c>
      <c r="F1229" s="9" t="inlineStr"/>
      <c r="G1229" s="9" t="n"/>
      <c r="H1229" s="21" t="n">
        <v>58</v>
      </c>
      <c r="I1229" s="21" t="n"/>
      <c r="J1229" s="21" t="n"/>
      <c r="K1229" s="21" t="n"/>
      <c r="L1229" s="21" t="n"/>
      <c r="M1229" s="21" t="n"/>
    </row>
    <row r="1230">
      <c r="A1230" s="9" t="inlineStr">
        <is>
          <t>ZOEY</t>
        </is>
      </c>
      <c r="B1230" s="9" t="inlineStr">
        <is>
          <t>historial*</t>
        </is>
      </c>
      <c r="C1230" s="9" t="inlineStr">
        <is>
          <t>2025-12-01</t>
        </is>
      </c>
      <c r="D1230" s="9" t="inlineStr">
        <is>
          <t>67535d35b8818</t>
        </is>
      </c>
      <c r="E1230" s="9" t="inlineStr">
        <is>
          <t>RELOJ SERPENTI SEDUTTORI</t>
        </is>
      </c>
      <c r="F1230" s="9" t="inlineStr">
        <is>
          <t>RELOJ SIN CAJA</t>
        </is>
      </c>
      <c r="G1230" s="9" t="n"/>
      <c r="H1230" s="21" t="n">
        <v>58</v>
      </c>
      <c r="I1230" s="21" t="n"/>
      <c r="J1230" s="21" t="n"/>
      <c r="K1230" s="21" t="n"/>
      <c r="L1230" s="21" t="n"/>
      <c r="M1230" s="21" t="n"/>
    </row>
    <row r="1231">
      <c r="A1231" s="9" t="inlineStr">
        <is>
          <t>ZOEY</t>
        </is>
      </c>
      <c r="B1231" s="9" t="inlineStr">
        <is>
          <t>historial*</t>
        </is>
      </c>
      <c r="C1231" s="9" t="inlineStr">
        <is>
          <t>2025-12-01</t>
        </is>
      </c>
      <c r="D1231" s="9" t="inlineStr">
        <is>
          <t>42283701061581</t>
        </is>
      </c>
      <c r="E1231" s="9" t="inlineStr">
        <is>
          <t>RELOJ TANK CR BLACK GOLD</t>
        </is>
      </c>
      <c r="F1231" s="9" t="inlineStr">
        <is>
          <t>Default Title</t>
        </is>
      </c>
      <c r="G1231" s="9" t="n"/>
      <c r="H1231" s="21" t="n">
        <v>35</v>
      </c>
      <c r="I1231" s="21" t="n"/>
      <c r="J1231" s="21" t="n"/>
      <c r="K1231" s="21" t="n"/>
      <c r="L1231" s="21" t="n"/>
      <c r="M1231" s="21" t="n"/>
    </row>
    <row r="1232">
      <c r="A1232" s="9" t="inlineStr">
        <is>
          <t>ZOEY</t>
        </is>
      </c>
      <c r="B1232" s="9" t="inlineStr">
        <is>
          <t>historial*</t>
        </is>
      </c>
      <c r="C1232" s="9" t="inlineStr">
        <is>
          <t>2025-12-01</t>
        </is>
      </c>
      <c r="D1232" s="9" t="inlineStr">
        <is>
          <t>72233622795788</t>
        </is>
      </c>
      <c r="E1232" s="9" t="inlineStr">
        <is>
          <t>SUÉTER PR MILANO WHITE</t>
        </is>
      </c>
      <c r="F1232" s="9" t="inlineStr">
        <is>
          <t>L</t>
        </is>
      </c>
      <c r="G1232" s="9" t="n"/>
      <c r="H1232" s="21" t="n">
        <v>38</v>
      </c>
      <c r="I1232" s="21" t="n"/>
      <c r="J1232" s="21" t="n"/>
      <c r="K1232" s="21" t="n"/>
      <c r="L1232" s="21" t="n"/>
      <c r="M1232" s="21" t="n"/>
    </row>
    <row r="1233">
      <c r="A1233" s="9" t="inlineStr">
        <is>
          <t>ZOEY</t>
        </is>
      </c>
      <c r="B1233" s="9" t="inlineStr">
        <is>
          <t>historial*</t>
        </is>
      </c>
      <c r="C1233" s="9" t="inlineStr">
        <is>
          <t>2025-12-01</t>
        </is>
      </c>
      <c r="D1233" s="9" t="inlineStr">
        <is>
          <t>47754352942988</t>
        </is>
      </c>
      <c r="E1233" s="9" t="inlineStr">
        <is>
          <t>TARJETERO CD FREESIA</t>
        </is>
      </c>
      <c r="F1233" s="9" t="inlineStr">
        <is>
          <t>10cm x 7.5cm</t>
        </is>
      </c>
      <c r="G1233" s="9" t="n"/>
      <c r="H1233" s="21" t="n">
        <v>13</v>
      </c>
      <c r="I1233" s="21" t="n"/>
      <c r="J1233" s="21" t="n"/>
      <c r="K1233" s="21" t="n"/>
      <c r="L1233" s="21" t="n"/>
      <c r="M1233" s="21" t="n"/>
    </row>
    <row r="1234">
      <c r="A1234" s="9" t="inlineStr">
        <is>
          <t>ZOEY</t>
        </is>
      </c>
      <c r="B1234" s="9" t="inlineStr">
        <is>
          <t>historial*</t>
        </is>
      </c>
      <c r="C1234" s="9" t="inlineStr">
        <is>
          <t>2025-12-01</t>
        </is>
      </c>
      <c r="D1234" s="9" t="inlineStr">
        <is>
          <t>43728117034540</t>
        </is>
      </c>
      <c r="E1234" s="9" t="inlineStr">
        <is>
          <t>TARJETERO YSL GOLD</t>
        </is>
      </c>
      <c r="F1234" s="9" t="inlineStr">
        <is>
          <t>HIGH QUALITY</t>
        </is>
      </c>
      <c r="G1234" s="9" t="n"/>
      <c r="H1234" s="21" t="n">
        <v>13</v>
      </c>
      <c r="I1234" s="21" t="n"/>
      <c r="J1234" s="21" t="n"/>
      <c r="K1234" s="21" t="n"/>
      <c r="L1234" s="21" t="n"/>
      <c r="M1234" s="21" t="n"/>
    </row>
    <row r="1235">
      <c r="A1235" s="9" t="inlineStr">
        <is>
          <t>ZOEY</t>
        </is>
      </c>
      <c r="B1235" s="9" t="inlineStr">
        <is>
          <t>historial*</t>
        </is>
      </c>
      <c r="C1235" s="9" t="inlineStr">
        <is>
          <t>2025-12-01</t>
        </is>
      </c>
      <c r="D1235" s="9" t="inlineStr">
        <is>
          <t>72002479482508</t>
        </is>
      </c>
      <c r="E1235" s="9" t="inlineStr">
        <is>
          <t>ZAPATILLA J’ADIOR</t>
        </is>
      </c>
      <c r="F1235" s="9" t="inlineStr">
        <is>
          <t>23cm</t>
        </is>
      </c>
      <c r="G1235" s="9" t="n"/>
      <c r="H1235" s="21" t="n">
        <v>58</v>
      </c>
      <c r="I1235" s="21" t="n"/>
      <c r="J1235" s="21" t="n"/>
      <c r="K1235" s="21" t="n"/>
      <c r="L1235" s="21" t="n"/>
      <c r="M1235" s="21" t="n"/>
    </row>
    <row r="1236">
      <c r="A1236" s="9" t="inlineStr">
        <is>
          <t>ZOEY</t>
        </is>
      </c>
      <c r="B1236" s="9" t="inlineStr">
        <is>
          <t>historial*</t>
        </is>
      </c>
      <c r="C1236" s="9" t="inlineStr">
        <is>
          <t>2025-12-01</t>
        </is>
      </c>
      <c r="D1236" s="9" t="inlineStr">
        <is>
          <t>72002488652044</t>
        </is>
      </c>
      <c r="E1236" s="9" t="inlineStr">
        <is>
          <t>ZAPATILLA J’ADIOR</t>
        </is>
      </c>
      <c r="F1236" s="9" t="inlineStr">
        <is>
          <t>24cm</t>
        </is>
      </c>
      <c r="G1236" s="9" t="n"/>
      <c r="H1236" s="21" t="n">
        <v>58</v>
      </c>
      <c r="I1236" s="21" t="n"/>
      <c r="J1236" s="21" t="n"/>
      <c r="K1236" s="21" t="n"/>
      <c r="L1236" s="21" t="n"/>
      <c r="M1236" s="21" t="n"/>
    </row>
    <row r="1237">
      <c r="A1237" s="9" t="inlineStr">
        <is>
          <t>ZOEY</t>
        </is>
      </c>
      <c r="B1237" s="9" t="inlineStr">
        <is>
          <t>historial*</t>
        </is>
      </c>
      <c r="C1237" s="9" t="inlineStr">
        <is>
          <t>2025-12-01</t>
        </is>
      </c>
      <c r="D1237" s="9" t="inlineStr">
        <is>
          <t>72002489673612</t>
        </is>
      </c>
      <c r="E1237" s="9" t="inlineStr">
        <is>
          <t>ZAPATILLAS CL KATE</t>
        </is>
      </c>
      <c r="F1237" s="9" t="inlineStr">
        <is>
          <t>25cm=39</t>
        </is>
      </c>
      <c r="G1237" s="9" t="n"/>
      <c r="H1237" s="21" t="n">
        <v>48</v>
      </c>
      <c r="I1237" s="21" t="n"/>
      <c r="J1237" s="21" t="n"/>
      <c r="K1237" s="21" t="n"/>
      <c r="L1237" s="21" t="n"/>
      <c r="M1237" s="21" t="n"/>
    </row>
    <row r="1238">
      <c r="A1238" s="9" t="inlineStr">
        <is>
          <t>ZOEY</t>
        </is>
      </c>
      <c r="B1238" s="9" t="inlineStr">
        <is>
          <t>historial*</t>
        </is>
      </c>
      <c r="C1238" s="9" t="inlineStr">
        <is>
          <t>2025-12-01</t>
        </is>
      </c>
      <c r="D1238" s="9" t="inlineStr">
        <is>
          <t>43728085210284</t>
        </is>
      </c>
      <c r="E1238" s="9" t="inlineStr">
        <is>
          <t>ZAPATILLAS MM SLINGBACKS CHERRY</t>
        </is>
      </c>
      <c r="F1238" s="9" t="inlineStr">
        <is>
          <t>24cm=38</t>
        </is>
      </c>
      <c r="G1238" s="9" t="n"/>
      <c r="H1238" s="21" t="n">
        <v>65</v>
      </c>
      <c r="I1238" s="21" t="n"/>
      <c r="J1238" s="21" t="n"/>
      <c r="K1238" s="21" t="n"/>
      <c r="L1238" s="21" t="n"/>
      <c r="M1238" s="21" t="n"/>
    </row>
    <row r="1239">
      <c r="A1239" s="9" t="inlineStr">
        <is>
          <t>ZOEY</t>
        </is>
      </c>
      <c r="B1239" s="9" t="inlineStr">
        <is>
          <t>historial*</t>
        </is>
      </c>
      <c r="C1239" s="9" t="inlineStr">
        <is>
          <t>2025-12-01</t>
        </is>
      </c>
      <c r="D1239" s="9" t="inlineStr">
        <is>
          <t>72002489425036</t>
        </is>
      </c>
      <c r="E1239" s="9" t="inlineStr">
        <is>
          <t>ZAPATILLAS YSL OPYUM BLACK</t>
        </is>
      </c>
      <c r="F1239" s="9" t="inlineStr">
        <is>
          <t>23cm=36</t>
        </is>
      </c>
      <c r="G1239" s="9" t="n"/>
      <c r="H1239" s="21" t="n">
        <v>65</v>
      </c>
      <c r="I1239" s="21" t="n"/>
      <c r="J1239" s="21" t="n"/>
      <c r="K1239" s="21" t="n"/>
      <c r="L1239" s="21" t="n"/>
      <c r="M1239" s="21" t="n"/>
    </row>
    <row r="1240">
      <c r="A1240" s="9" t="inlineStr">
        <is>
          <t>ZOEY</t>
        </is>
      </c>
      <c r="B1240" s="9" t="inlineStr">
        <is>
          <t>historial*</t>
        </is>
      </c>
      <c r="C1240" s="9" t="inlineStr">
        <is>
          <t>2025-12-01</t>
        </is>
      </c>
      <c r="D1240" s="9" t="inlineStr">
        <is>
          <t>6748bba38eb40</t>
        </is>
      </c>
      <c r="E1240" s="9" t="inlineStr">
        <is>
          <t>ZAPATILLAS YSL OPYUM BLACK</t>
        </is>
      </c>
      <c r="F1240" s="9" t="inlineStr">
        <is>
          <t>24cm</t>
        </is>
      </c>
      <c r="G1240" s="9" t="n"/>
      <c r="H1240" s="21" t="n">
        <v>65</v>
      </c>
      <c r="I1240" s="21" t="n"/>
      <c r="J1240" s="21" t="n"/>
      <c r="K1240" s="21" t="n"/>
      <c r="L1240" s="21" t="n"/>
      <c r="M1240" s="21" t="n"/>
    </row>
    <row r="1241">
      <c r="A1241" s="9" t="inlineStr">
        <is>
          <t>HAIFENG</t>
        </is>
      </c>
      <c r="B1241" s="9" t="inlineStr">
        <is>
          <t>HAIFENG 03/12/2025</t>
        </is>
      </c>
      <c r="C1241" s="9" t="inlineStr">
        <is>
          <t>2025-12-03</t>
        </is>
      </c>
      <c r="D1241" s="9" t="inlineStr">
        <is>
          <t>64085742576813</t>
        </is>
      </c>
      <c r="E1241" s="9" t="inlineStr">
        <is>
          <t>ANILLO ALLIANCE CON ZIRCONIA C</t>
        </is>
      </c>
      <c r="F1241" s="9" t="inlineStr">
        <is>
          <t>7</t>
        </is>
      </c>
      <c r="G1241" s="9" t="n">
        <v>1</v>
      </c>
      <c r="H1241" s="21" t="n">
        <v>2</v>
      </c>
      <c r="I1241" s="21" t="n">
        <v>41.83</v>
      </c>
      <c r="J1241" s="21" t="n">
        <v>125.5</v>
      </c>
      <c r="K1241" s="21" t="n">
        <v>146.42</v>
      </c>
      <c r="L1241" s="21" t="n">
        <v>167.34</v>
      </c>
      <c r="M1241" s="21" t="n">
        <v>450</v>
      </c>
    </row>
    <row r="1242">
      <c r="A1242" s="9" t="inlineStr">
        <is>
          <t>HAIFENG</t>
        </is>
      </c>
      <c r="B1242" s="9" t="inlineStr">
        <is>
          <t>HAIFENG 03/12/2025</t>
        </is>
      </c>
      <c r="C1242" s="9" t="inlineStr">
        <is>
          <t>2025-12-03</t>
        </is>
      </c>
      <c r="D1242" s="9" t="inlineStr">
        <is>
          <t>66075801273229</t>
        </is>
      </c>
      <c r="E1242" s="9" t="inlineStr">
        <is>
          <t>ANILLO ALLIANCE SILVER C</t>
        </is>
      </c>
      <c r="F1242" s="9" t="inlineStr">
        <is>
          <t>9</t>
        </is>
      </c>
      <c r="G1242" s="9" t="n">
        <v>2</v>
      </c>
      <c r="H1242" s="21" t="n">
        <v>2</v>
      </c>
      <c r="I1242" s="21" t="n">
        <v>41.83</v>
      </c>
      <c r="J1242" s="21" t="n">
        <v>125.5</v>
      </c>
      <c r="K1242" s="21" t="n">
        <v>146.42</v>
      </c>
      <c r="L1242" s="21" t="n">
        <v>167.34</v>
      </c>
      <c r="M1242" s="21" t="n">
        <v>400</v>
      </c>
    </row>
    <row r="1243">
      <c r="A1243" s="9" t="inlineStr">
        <is>
          <t>HAIFENG</t>
        </is>
      </c>
      <c r="B1243" s="9" t="inlineStr">
        <is>
          <t>HAIFENG 03/12/2025</t>
        </is>
      </c>
      <c r="C1243" s="9" t="inlineStr">
        <is>
          <t>2025-12-03</t>
        </is>
      </c>
      <c r="D1243" s="9" t="inlineStr">
        <is>
          <t>67201533537421</t>
        </is>
      </c>
      <c r="E1243" s="9" t="inlineStr">
        <is>
          <t>ANILLO ANCHO TRUE T GOLD</t>
        </is>
      </c>
      <c r="F1243" s="9" t="inlineStr">
        <is>
          <t>7</t>
        </is>
      </c>
      <c r="G1243" s="9" t="n">
        <v>3</v>
      </c>
      <c r="H1243" s="21" t="n">
        <v>7</v>
      </c>
      <c r="I1243" s="21" t="n">
        <v>146.42</v>
      </c>
      <c r="J1243" s="21" t="n">
        <v>439.26</v>
      </c>
      <c r="K1243" s="21" t="n">
        <v>512.47</v>
      </c>
      <c r="L1243" s="21" t="n">
        <v>585.6799999999999</v>
      </c>
      <c r="M1243" s="21" t="n">
        <v>599</v>
      </c>
    </row>
    <row r="1244">
      <c r="A1244" s="9" t="inlineStr">
        <is>
          <t>HAIFENG</t>
        </is>
      </c>
      <c r="B1244" s="9" t="inlineStr">
        <is>
          <t>HAIFENG 03/12/2025</t>
        </is>
      </c>
      <c r="C1244" s="9" t="inlineStr">
        <is>
          <t>2025-12-03</t>
        </is>
      </c>
      <c r="D1244" s="9" t="inlineStr">
        <is>
          <t>67201533670189</t>
        </is>
      </c>
      <c r="E1244" s="9" t="inlineStr">
        <is>
          <t>ANILLO ANCHO TRUE T GOLD</t>
        </is>
      </c>
      <c r="F1244" s="9" t="inlineStr">
        <is>
          <t>8</t>
        </is>
      </c>
      <c r="G1244" s="9" t="n">
        <v>2</v>
      </c>
      <c r="H1244" s="21" t="n">
        <v>7</v>
      </c>
      <c r="I1244" s="21" t="n">
        <v>146.42</v>
      </c>
      <c r="J1244" s="21" t="n">
        <v>439.26</v>
      </c>
      <c r="K1244" s="21" t="n">
        <v>512.47</v>
      </c>
      <c r="L1244" s="21" t="n">
        <v>585.6799999999999</v>
      </c>
      <c r="M1244" s="21" t="n">
        <v>389</v>
      </c>
    </row>
    <row r="1245">
      <c r="A1245" s="9" t="inlineStr">
        <is>
          <t>HAIFENG</t>
        </is>
      </c>
      <c r="B1245" s="9" t="inlineStr">
        <is>
          <t>HAIFENG 03/12/2025</t>
        </is>
      </c>
      <c r="C1245" s="9" t="inlineStr">
        <is>
          <t>2025-12-03</t>
        </is>
      </c>
      <c r="D1245" s="9" t="inlineStr">
        <is>
          <t>21605771334573</t>
        </is>
      </c>
      <c r="E1245" s="9" t="inlineStr">
        <is>
          <t>ANILLO BACK SOON T ROSE GOLD</t>
        </is>
      </c>
      <c r="F1245" s="9" t="inlineStr">
        <is>
          <t>7</t>
        </is>
      </c>
      <c r="G1245" s="9" t="n">
        <v>2</v>
      </c>
      <c r="H1245" s="21" t="n">
        <v>3</v>
      </c>
      <c r="I1245" s="21" t="n">
        <v>62.75</v>
      </c>
      <c r="J1245" s="21" t="n">
        <v>188.25</v>
      </c>
      <c r="K1245" s="21" t="n">
        <v>219.63</v>
      </c>
      <c r="L1245" s="21" t="n">
        <v>251.01</v>
      </c>
      <c r="M1245" s="21" t="n">
        <v>400</v>
      </c>
    </row>
    <row r="1246">
      <c r="A1246" s="9" t="inlineStr">
        <is>
          <t>HAIFENG</t>
        </is>
      </c>
      <c r="B1246" s="9" t="inlineStr">
        <is>
          <t>HAIFENG 03/12/2025</t>
        </is>
      </c>
      <c r="C1246" s="9" t="inlineStr">
        <is>
          <t>2025-12-03</t>
        </is>
      </c>
      <c r="D1246" s="9" t="inlineStr">
        <is>
          <t>21605774283693</t>
        </is>
      </c>
      <c r="E1246" s="9" t="inlineStr">
        <is>
          <t>ANILLO BACK SOON T SILVER</t>
        </is>
      </c>
      <c r="F1246" s="9" t="inlineStr">
        <is>
          <t>6</t>
        </is>
      </c>
      <c r="G1246" s="9" t="n">
        <v>4</v>
      </c>
      <c r="H1246" s="21" t="n">
        <v>3</v>
      </c>
      <c r="I1246" s="21" t="n">
        <v>62.75</v>
      </c>
      <c r="J1246" s="21" t="n">
        <v>188.25</v>
      </c>
      <c r="K1246" s="21" t="n">
        <v>219.63</v>
      </c>
      <c r="L1246" s="21" t="n">
        <v>251.01</v>
      </c>
      <c r="M1246" s="21" t="n">
        <v>450</v>
      </c>
    </row>
    <row r="1247">
      <c r="A1247" s="9" t="inlineStr">
        <is>
          <t>HAIFENG</t>
        </is>
      </c>
      <c r="B1247" s="9" t="inlineStr">
        <is>
          <t>HAIFENG 03/12/2025</t>
        </is>
      </c>
      <c r="C1247" s="9" t="inlineStr">
        <is>
          <t>2025-12-03</t>
        </is>
      </c>
      <c r="D1247" s="9" t="inlineStr">
        <is>
          <t>21605774316461</t>
        </is>
      </c>
      <c r="E1247" s="9" t="inlineStr">
        <is>
          <t>ANILLO BACK SOON T SILVER</t>
        </is>
      </c>
      <c r="F1247" s="9" t="inlineStr">
        <is>
          <t>7</t>
        </is>
      </c>
      <c r="G1247" s="9" t="n">
        <v>2</v>
      </c>
      <c r="H1247" s="21" t="n">
        <v>3</v>
      </c>
      <c r="I1247" s="21" t="n">
        <v>62.75</v>
      </c>
      <c r="J1247" s="21" t="n">
        <v>188.25</v>
      </c>
      <c r="K1247" s="21" t="n">
        <v>219.63</v>
      </c>
      <c r="L1247" s="21" t="n">
        <v>251.01</v>
      </c>
      <c r="M1247" s="21" t="n">
        <v>450</v>
      </c>
    </row>
    <row r="1248">
      <c r="A1248" s="9" t="inlineStr">
        <is>
          <t>HAIFENG</t>
        </is>
      </c>
      <c r="B1248" s="9" t="inlineStr">
        <is>
          <t>HAIFENG 03/12/2025</t>
        </is>
      </c>
      <c r="C1248" s="9" t="inlineStr">
        <is>
          <t>2025-12-03</t>
        </is>
      </c>
      <c r="D1248" s="9" t="inlineStr">
        <is>
          <t>21605774349229</t>
        </is>
      </c>
      <c r="E1248" s="9" t="inlineStr">
        <is>
          <t>ANILLO BACK SOON T SILVER</t>
        </is>
      </c>
      <c r="F1248" s="9" t="inlineStr">
        <is>
          <t>8</t>
        </is>
      </c>
      <c r="G1248" s="9" t="n">
        <v>1</v>
      </c>
      <c r="H1248" s="21" t="n">
        <v>3</v>
      </c>
      <c r="I1248" s="21" t="n">
        <v>62.75</v>
      </c>
      <c r="J1248" s="21" t="n">
        <v>188.25</v>
      </c>
      <c r="K1248" s="21" t="n">
        <v>219.63</v>
      </c>
      <c r="L1248" s="21" t="n">
        <v>251.01</v>
      </c>
      <c r="M1248" s="21" t="n">
        <v>450</v>
      </c>
    </row>
    <row r="1249">
      <c r="A1249" s="9" t="inlineStr">
        <is>
          <t>HAIFENG</t>
        </is>
      </c>
      <c r="B1249" s="9" t="inlineStr">
        <is>
          <t>HAIFENG 03/12/2025</t>
        </is>
      </c>
      <c r="C1249" s="9" t="inlineStr">
        <is>
          <t>2025-12-03</t>
        </is>
      </c>
      <c r="D1249" s="9" t="inlineStr">
        <is>
          <t>67201533776845</t>
        </is>
      </c>
      <c r="E1249" s="9" t="inlineStr">
        <is>
          <t>ANILLO BEAN CON ZIRCONIA GOLD</t>
        </is>
      </c>
      <c r="F1249" s="9" t="inlineStr">
        <is>
          <t>6</t>
        </is>
      </c>
      <c r="G1249" s="9" t="n">
        <v>2</v>
      </c>
      <c r="H1249" s="21" t="n">
        <v>5</v>
      </c>
      <c r="I1249" s="21" t="n">
        <v>104.59</v>
      </c>
      <c r="J1249" s="21" t="n">
        <v>313.76</v>
      </c>
      <c r="K1249" s="21" t="n">
        <v>366.05</v>
      </c>
      <c r="L1249" s="21" t="n">
        <v>418.34</v>
      </c>
      <c r="M1249" s="21" t="n">
        <v>450</v>
      </c>
    </row>
    <row r="1250">
      <c r="A1250" s="9" t="inlineStr">
        <is>
          <t>HAIFENG</t>
        </is>
      </c>
      <c r="B1250" s="9" t="inlineStr">
        <is>
          <t>HAIFENG 03/12/2025</t>
        </is>
      </c>
      <c r="C1250" s="9" t="inlineStr">
        <is>
          <t>2025-12-03</t>
        </is>
      </c>
      <c r="D1250" s="9" t="inlineStr">
        <is>
          <t>67201533942381</t>
        </is>
      </c>
      <c r="E1250" s="9" t="inlineStr">
        <is>
          <t>ANILLO BEAN CON ZIRCONIA GOLD</t>
        </is>
      </c>
      <c r="F1250" s="9" t="inlineStr">
        <is>
          <t>8</t>
        </is>
      </c>
      <c r="G1250" s="9" t="n">
        <v>2</v>
      </c>
      <c r="H1250" s="21" t="n">
        <v>5</v>
      </c>
      <c r="I1250" s="21" t="n">
        <v>104.59</v>
      </c>
      <c r="J1250" s="21" t="n">
        <v>313.76</v>
      </c>
      <c r="K1250" s="21" t="n">
        <v>366.05</v>
      </c>
      <c r="L1250" s="21" t="n">
        <v>418.34</v>
      </c>
      <c r="M1250" s="21" t="n">
        <v>450</v>
      </c>
    </row>
    <row r="1251">
      <c r="A1251" s="9" t="inlineStr">
        <is>
          <t>HAIFENG</t>
        </is>
      </c>
      <c r="B1251" s="9" t="inlineStr">
        <is>
          <t>HAIFENG 03/12/2025</t>
        </is>
      </c>
      <c r="C1251" s="9" t="inlineStr">
        <is>
          <t>2025-12-03</t>
        </is>
      </c>
      <c r="D1251" s="9" t="inlineStr">
        <is>
          <t>85549091025933</t>
        </is>
      </c>
      <c r="E1251" s="9" t="inlineStr">
        <is>
          <t>ANILLO CD LOGO GOLD CON ZIRCONIAS</t>
        </is>
      </c>
      <c r="F1251" s="9" t="inlineStr">
        <is>
          <t>Default Title</t>
        </is>
      </c>
      <c r="G1251" s="9" t="n">
        <v>2</v>
      </c>
      <c r="H1251" s="21" t="n">
        <v>6</v>
      </c>
      <c r="I1251" s="21" t="n">
        <v>125.5</v>
      </c>
      <c r="J1251" s="21" t="n">
        <v>376.51</v>
      </c>
      <c r="K1251" s="21" t="n">
        <v>439.26</v>
      </c>
      <c r="L1251" s="21" t="n">
        <v>502.01</v>
      </c>
      <c r="M1251" s="21" t="n">
        <v>495</v>
      </c>
    </row>
    <row r="1252">
      <c r="A1252" s="9" t="inlineStr">
        <is>
          <t>HAIFENG</t>
        </is>
      </c>
      <c r="B1252" s="9" t="inlineStr">
        <is>
          <t>HAIFENG 03/12/2025</t>
        </is>
      </c>
      <c r="C1252" s="9" t="inlineStr">
        <is>
          <t>2025-12-03</t>
        </is>
      </c>
      <c r="D1252" s="9" t="inlineStr">
        <is>
          <t>66176e6140134</t>
        </is>
      </c>
      <c r="E1252" s="9" t="inlineStr">
        <is>
          <t>ANILLO CLASH GOLD</t>
        </is>
      </c>
      <c r="F1252" s="9" t="inlineStr">
        <is>
          <t>9</t>
        </is>
      </c>
      <c r="G1252" s="9" t="n">
        <v>3</v>
      </c>
      <c r="H1252" s="21" t="n">
        <v>10</v>
      </c>
      <c r="I1252" s="21" t="n">
        <v>209.17</v>
      </c>
      <c r="J1252" s="21" t="n">
        <v>627.51</v>
      </c>
      <c r="K1252" s="21" t="n">
        <v>732.1</v>
      </c>
      <c r="L1252" s="21" t="n">
        <v>836.6900000000001</v>
      </c>
      <c r="M1252" s="21" t="n">
        <v>850</v>
      </c>
    </row>
    <row r="1253">
      <c r="A1253" s="9" t="inlineStr">
        <is>
          <t>HAIFENG</t>
        </is>
      </c>
      <c r="B1253" s="9" t="inlineStr">
        <is>
          <t>HAIFENG 03/12/2025</t>
        </is>
      </c>
      <c r="C1253" s="9" t="inlineStr">
        <is>
          <t>2025-12-03</t>
        </is>
      </c>
      <c r="D1253" s="9" t="inlineStr">
        <is>
          <t>66176e62063fb</t>
        </is>
      </c>
      <c r="E1253" s="9" t="inlineStr">
        <is>
          <t>ANILLO CLASH GOLD</t>
        </is>
      </c>
      <c r="F1253" s="9" t="inlineStr">
        <is>
          <t>10</t>
        </is>
      </c>
      <c r="G1253" s="9" t="n">
        <v>1</v>
      </c>
      <c r="H1253" s="21" t="n">
        <v>10</v>
      </c>
      <c r="I1253" s="21" t="n">
        <v>209.17</v>
      </c>
      <c r="J1253" s="21" t="n">
        <v>627.51</v>
      </c>
      <c r="K1253" s="21" t="n">
        <v>732.1</v>
      </c>
      <c r="L1253" s="21" t="n">
        <v>836.6900000000001</v>
      </c>
      <c r="M1253" s="21" t="n">
        <v>850</v>
      </c>
    </row>
    <row r="1254">
      <c r="A1254" s="9" t="inlineStr">
        <is>
          <t>HAIFENG</t>
        </is>
      </c>
      <c r="B1254" s="9" t="inlineStr">
        <is>
          <t>HAIFENG 03/12/2025</t>
        </is>
      </c>
      <c r="C1254" s="9" t="inlineStr">
        <is>
          <t>2025-12-03</t>
        </is>
      </c>
      <c r="D1254" s="9" t="inlineStr">
        <is>
          <t>66176e628d423</t>
        </is>
      </c>
      <c r="E1254" s="9" t="inlineStr">
        <is>
          <t>ANILLO CLASH GOLD</t>
        </is>
      </c>
      <c r="F1254" s="9" t="inlineStr">
        <is>
          <t>11</t>
        </is>
      </c>
      <c r="G1254" s="9" t="n">
        <v>1</v>
      </c>
      <c r="H1254" s="21" t="n">
        <v>10</v>
      </c>
      <c r="I1254" s="21" t="n">
        <v>209.17</v>
      </c>
      <c r="J1254" s="21" t="n">
        <v>627.51</v>
      </c>
      <c r="K1254" s="21" t="n">
        <v>732.1</v>
      </c>
      <c r="L1254" s="21" t="n">
        <v>836.6900000000001</v>
      </c>
      <c r="M1254" s="21" t="n">
        <v>850</v>
      </c>
    </row>
    <row r="1255">
      <c r="A1255" s="9" t="inlineStr">
        <is>
          <t>HAIFENG</t>
        </is>
      </c>
      <c r="B1255" s="9" t="inlineStr">
        <is>
          <t>HAIFENG 03/12/2025</t>
        </is>
      </c>
      <c r="C1255" s="9" t="inlineStr">
        <is>
          <t>2025-12-03</t>
        </is>
      </c>
      <c r="D1255" s="9" t="inlineStr">
        <is>
          <t>66176e602b0bf</t>
        </is>
      </c>
      <c r="E1255" s="9" t="inlineStr">
        <is>
          <t>ANILLO CLASH ROSEGOLD</t>
        </is>
      </c>
      <c r="F1255" s="9" t="inlineStr">
        <is>
          <t>7</t>
        </is>
      </c>
      <c r="G1255" s="9" t="n">
        <v>1</v>
      </c>
      <c r="H1255" s="21" t="n">
        <v>10</v>
      </c>
      <c r="I1255" s="21" t="n">
        <v>209.17</v>
      </c>
      <c r="J1255" s="21" t="n">
        <v>627.51</v>
      </c>
      <c r="K1255" s="21" t="n">
        <v>732.1</v>
      </c>
      <c r="L1255" s="21" t="n">
        <v>836.6900000000001</v>
      </c>
      <c r="M1255" s="21" t="n">
        <v>850</v>
      </c>
    </row>
    <row r="1256">
      <c r="A1256" s="9" t="inlineStr">
        <is>
          <t>HAIFENG</t>
        </is>
      </c>
      <c r="B1256" s="9" t="inlineStr">
        <is>
          <t>HAIFENG 03/12/2025</t>
        </is>
      </c>
      <c r="C1256" s="9" t="inlineStr">
        <is>
          <t>2025-12-03</t>
        </is>
      </c>
      <c r="D1256" s="9" t="inlineStr">
        <is>
          <t>66176e616caf6</t>
        </is>
      </c>
      <c r="E1256" s="9" t="inlineStr">
        <is>
          <t>ANILLO CLASH ROSEGOLD</t>
        </is>
      </c>
      <c r="F1256" s="9" t="inlineStr">
        <is>
          <t>9</t>
        </is>
      </c>
      <c r="G1256" s="9" t="n">
        <v>1</v>
      </c>
      <c r="H1256" s="21" t="n">
        <v>10</v>
      </c>
      <c r="I1256" s="21" t="n">
        <v>209.17</v>
      </c>
      <c r="J1256" s="21" t="n">
        <v>627.51</v>
      </c>
      <c r="K1256" s="21" t="n">
        <v>732.1</v>
      </c>
      <c r="L1256" s="21" t="n">
        <v>836.6900000000001</v>
      </c>
      <c r="M1256" s="21" t="n">
        <v>850</v>
      </c>
    </row>
    <row r="1257">
      <c r="A1257" s="9" t="inlineStr">
        <is>
          <t>HAIFENG</t>
        </is>
      </c>
      <c r="B1257" s="9" t="inlineStr">
        <is>
          <t>HAIFENG 03/12/2025</t>
        </is>
      </c>
      <c r="C1257" s="9" t="inlineStr">
        <is>
          <t>2025-12-03</t>
        </is>
      </c>
      <c r="D1257" s="9" t="inlineStr">
        <is>
          <t>63ebd3f2335dc</t>
        </is>
      </c>
      <c r="E1257" s="9" t="inlineStr">
        <is>
          <t>ANILLO CLASH SILVER</t>
        </is>
      </c>
      <c r="F1257" s="9" t="inlineStr">
        <is>
          <t>6</t>
        </is>
      </c>
      <c r="G1257" s="9" t="n">
        <v>3</v>
      </c>
      <c r="H1257" s="21" t="n">
        <v>10</v>
      </c>
      <c r="I1257" s="21" t="n">
        <v>209.17</v>
      </c>
      <c r="J1257" s="21" t="n">
        <v>627.51</v>
      </c>
      <c r="K1257" s="21" t="n">
        <v>732.1</v>
      </c>
      <c r="L1257" s="21" t="n">
        <v>836.6900000000001</v>
      </c>
      <c r="M1257" s="21" t="n">
        <v>850</v>
      </c>
    </row>
    <row r="1258">
      <c r="A1258" s="9" t="inlineStr">
        <is>
          <t>HAIFENG</t>
        </is>
      </c>
      <c r="B1258" s="9" t="inlineStr">
        <is>
          <t>HAIFENG 03/12/2025</t>
        </is>
      </c>
      <c r="C1258" s="9" t="inlineStr">
        <is>
          <t>2025-12-03</t>
        </is>
      </c>
      <c r="D1258" s="9" t="inlineStr">
        <is>
          <t>63ebd3f42d4db</t>
        </is>
      </c>
      <c r="E1258" s="9" t="inlineStr">
        <is>
          <t>ANILLO CLASH SILVER</t>
        </is>
      </c>
      <c r="F1258" s="9" t="inlineStr">
        <is>
          <t>8</t>
        </is>
      </c>
      <c r="G1258" s="9" t="n">
        <v>1</v>
      </c>
      <c r="H1258" s="21" t="n">
        <v>10</v>
      </c>
      <c r="I1258" s="21" t="n">
        <v>209.17</v>
      </c>
      <c r="J1258" s="21" t="n">
        <v>627.51</v>
      </c>
      <c r="K1258" s="21" t="n">
        <v>732.1</v>
      </c>
      <c r="L1258" s="21" t="n">
        <v>836.6900000000001</v>
      </c>
      <c r="M1258" s="21" t="n">
        <v>850</v>
      </c>
    </row>
    <row r="1259">
      <c r="A1259" s="9" t="inlineStr">
        <is>
          <t>HAIFENG</t>
        </is>
      </c>
      <c r="B1259" s="9" t="inlineStr">
        <is>
          <t>HAIFENG 03/12/2025</t>
        </is>
      </c>
      <c r="C1259" s="9" t="inlineStr">
        <is>
          <t>2025-12-03</t>
        </is>
      </c>
      <c r="D1259" s="9" t="inlineStr">
        <is>
          <t>63ebd3f53c553</t>
        </is>
      </c>
      <c r="E1259" s="9" t="inlineStr">
        <is>
          <t>ANILLO CLASH SILVER</t>
        </is>
      </c>
      <c r="F1259" s="9" t="inlineStr">
        <is>
          <t>9</t>
        </is>
      </c>
      <c r="G1259" s="9" t="n">
        <v>2</v>
      </c>
      <c r="H1259" s="21" t="n">
        <v>10</v>
      </c>
      <c r="I1259" s="21" t="n">
        <v>209.17</v>
      </c>
      <c r="J1259" s="21" t="n">
        <v>627.51</v>
      </c>
      <c r="K1259" s="21" t="n">
        <v>732.1</v>
      </c>
      <c r="L1259" s="21" t="n">
        <v>836.6900000000001</v>
      </c>
      <c r="M1259" s="21" t="n">
        <v>850</v>
      </c>
    </row>
    <row r="1260">
      <c r="A1260" s="9" t="inlineStr">
        <is>
          <t>HAIFENG</t>
        </is>
      </c>
      <c r="B1260" s="9" t="inlineStr">
        <is>
          <t>HAIFENG 03/12/2025</t>
        </is>
      </c>
      <c r="C1260" s="9" t="inlineStr">
        <is>
          <t>2025-12-03</t>
        </is>
      </c>
      <c r="D1260" s="9" t="inlineStr">
        <is>
          <t>63ebd3f721f2e</t>
        </is>
      </c>
      <c r="E1260" s="9" t="inlineStr">
        <is>
          <t>ANILLO CLASH SILVER</t>
        </is>
      </c>
      <c r="F1260" s="9" t="inlineStr">
        <is>
          <t>11</t>
        </is>
      </c>
      <c r="G1260" s="9" t="n">
        <v>1</v>
      </c>
      <c r="H1260" s="21" t="n">
        <v>10</v>
      </c>
      <c r="I1260" s="21" t="n">
        <v>209.17</v>
      </c>
      <c r="J1260" s="21" t="n">
        <v>627.51</v>
      </c>
      <c r="K1260" s="21" t="n">
        <v>732.1</v>
      </c>
      <c r="L1260" s="21" t="n">
        <v>836.6900000000001</v>
      </c>
      <c r="M1260" s="21" t="n">
        <v>850</v>
      </c>
    </row>
    <row r="1261">
      <c r="A1261" s="9" t="inlineStr">
        <is>
          <t>HAIFENG</t>
        </is>
      </c>
      <c r="B1261" s="9" t="inlineStr">
        <is>
          <t>HAIFENG 03/12/2025</t>
        </is>
      </c>
      <c r="C1261" s="9" t="inlineStr">
        <is>
          <t>2025-12-03</t>
        </is>
      </c>
      <c r="D1261" s="9" t="inlineStr">
        <is>
          <t>66176cdae92c1</t>
        </is>
      </c>
      <c r="E1261" s="9" t="inlineStr">
        <is>
          <t>ANILLO CLAVO GOLD</t>
        </is>
      </c>
      <c r="F1261" s="9" t="inlineStr">
        <is>
          <t>5 HIGH QUALITY</t>
        </is>
      </c>
      <c r="G1261" s="9" t="n">
        <v>3</v>
      </c>
      <c r="H1261" s="21" t="n">
        <v>2.5</v>
      </c>
      <c r="I1261" s="21" t="n">
        <v>52.29</v>
      </c>
      <c r="J1261" s="21" t="n">
        <v>156.88</v>
      </c>
      <c r="K1261" s="21" t="n">
        <v>183.03</v>
      </c>
      <c r="L1261" s="21" t="n">
        <v>209.17</v>
      </c>
      <c r="M1261" s="21" t="n">
        <v>400</v>
      </c>
    </row>
    <row r="1262">
      <c r="A1262" s="9" t="inlineStr">
        <is>
          <t>HAIFENG</t>
        </is>
      </c>
      <c r="B1262" s="9" t="inlineStr">
        <is>
          <t>HAIFENG 03/12/2025</t>
        </is>
      </c>
      <c r="C1262" s="9" t="inlineStr">
        <is>
          <t>2025-12-03</t>
        </is>
      </c>
      <c r="D1262" s="9" t="inlineStr">
        <is>
          <t>66176cdb9f129</t>
        </is>
      </c>
      <c r="E1262" s="9" t="inlineStr">
        <is>
          <t>ANILLO CLAVO GOLD</t>
        </is>
      </c>
      <c r="F1262" s="9" t="inlineStr">
        <is>
          <t>6 HIGH QUALITY</t>
        </is>
      </c>
      <c r="G1262" s="9" t="n">
        <v>2</v>
      </c>
      <c r="H1262" s="21" t="n">
        <v>2.5</v>
      </c>
      <c r="I1262" s="21" t="n">
        <v>52.29</v>
      </c>
      <c r="J1262" s="21" t="n">
        <v>156.88</v>
      </c>
      <c r="K1262" s="21" t="n">
        <v>183.03</v>
      </c>
      <c r="L1262" s="21" t="n">
        <v>209.17</v>
      </c>
      <c r="M1262" s="21" t="n">
        <v>400</v>
      </c>
    </row>
    <row r="1263">
      <c r="A1263" s="9" t="inlineStr">
        <is>
          <t>HAIFENG</t>
        </is>
      </c>
      <c r="B1263" s="9" t="inlineStr">
        <is>
          <t>HAIFENG 03/12/2025</t>
        </is>
      </c>
      <c r="C1263" s="9" t="inlineStr">
        <is>
          <t>2025-12-03</t>
        </is>
      </c>
      <c r="D1263" s="9" t="inlineStr">
        <is>
          <t>66176cdc59c57</t>
        </is>
      </c>
      <c r="E1263" s="9" t="inlineStr">
        <is>
          <t>ANILLO CLAVO GOLD</t>
        </is>
      </c>
      <c r="F1263" s="9" t="inlineStr">
        <is>
          <t>7 HIGH QUALITY</t>
        </is>
      </c>
      <c r="G1263" s="9" t="n">
        <v>3</v>
      </c>
      <c r="H1263" s="21" t="n">
        <v>2.5</v>
      </c>
      <c r="I1263" s="21" t="n">
        <v>52.29</v>
      </c>
      <c r="J1263" s="21" t="n">
        <v>156.88</v>
      </c>
      <c r="K1263" s="21" t="n">
        <v>183.03</v>
      </c>
      <c r="L1263" s="21" t="n">
        <v>209.17</v>
      </c>
      <c r="M1263" s="21" t="n">
        <v>400</v>
      </c>
    </row>
    <row r="1264">
      <c r="A1264" s="9" t="inlineStr">
        <is>
          <t>HAIFENG</t>
        </is>
      </c>
      <c r="B1264" s="9" t="inlineStr">
        <is>
          <t>HAIFENG 03/12/2025</t>
        </is>
      </c>
      <c r="C1264" s="9" t="inlineStr">
        <is>
          <t>2025-12-03</t>
        </is>
      </c>
      <c r="D1264" s="9" t="inlineStr">
        <is>
          <t>66176cdce18ea</t>
        </is>
      </c>
      <c r="E1264" s="9" t="inlineStr">
        <is>
          <t>ANILLO CLAVO GOLD</t>
        </is>
      </c>
      <c r="F1264" s="9" t="inlineStr">
        <is>
          <t>8 HIGH QUALITY</t>
        </is>
      </c>
      <c r="G1264" s="9" t="n">
        <v>3</v>
      </c>
      <c r="H1264" s="21" t="n">
        <v>2.5</v>
      </c>
      <c r="I1264" s="21" t="n">
        <v>52.29</v>
      </c>
      <c r="J1264" s="21" t="n">
        <v>156.88</v>
      </c>
      <c r="K1264" s="21" t="n">
        <v>183.03</v>
      </c>
      <c r="L1264" s="21" t="n">
        <v>209.17</v>
      </c>
      <c r="M1264" s="21" t="n">
        <v>400</v>
      </c>
    </row>
    <row r="1265">
      <c r="A1265" s="9" t="inlineStr">
        <is>
          <t>HAIFENG</t>
        </is>
      </c>
      <c r="B1265" s="9" t="inlineStr">
        <is>
          <t>HAIFENG 03/12/2025</t>
        </is>
      </c>
      <c r="C1265" s="9" t="inlineStr">
        <is>
          <t>2025-12-03</t>
        </is>
      </c>
      <c r="D1265" s="9" t="inlineStr">
        <is>
          <t>66176cdd7cc61</t>
        </is>
      </c>
      <c r="E1265" s="9" t="inlineStr">
        <is>
          <t>ANILLO CLAVO GOLD</t>
        </is>
      </c>
      <c r="F1265" s="9" t="inlineStr">
        <is>
          <t>9 HIGH QUALITY</t>
        </is>
      </c>
      <c r="G1265" s="9" t="n">
        <v>2</v>
      </c>
      <c r="H1265" s="21" t="n">
        <v>2.5</v>
      </c>
      <c r="I1265" s="21" t="n">
        <v>52.29</v>
      </c>
      <c r="J1265" s="21" t="n">
        <v>156.88</v>
      </c>
      <c r="K1265" s="21" t="n">
        <v>183.03</v>
      </c>
      <c r="L1265" s="21" t="n">
        <v>209.17</v>
      </c>
      <c r="M1265" s="21" t="n">
        <v>400</v>
      </c>
    </row>
    <row r="1266">
      <c r="A1266" s="9" t="inlineStr">
        <is>
          <t>HAIFENG</t>
        </is>
      </c>
      <c r="B1266" s="9" t="inlineStr">
        <is>
          <t>HAIFENG 03/12/2025</t>
        </is>
      </c>
      <c r="C1266" s="9" t="inlineStr">
        <is>
          <t>2025-12-03</t>
        </is>
      </c>
      <c r="D1266" s="9" t="inlineStr">
        <is>
          <t>66176ce151d29</t>
        </is>
      </c>
      <c r="E1266" s="9" t="inlineStr">
        <is>
          <t>ANILLO CLAVO ROSE GOLD</t>
        </is>
      </c>
      <c r="F1266" s="9" t="inlineStr">
        <is>
          <t>6 HIGH QUALITY</t>
        </is>
      </c>
      <c r="G1266" s="9" t="n">
        <v>2</v>
      </c>
      <c r="H1266" s="21" t="n">
        <v>2.5</v>
      </c>
      <c r="I1266" s="21" t="n">
        <v>52.29</v>
      </c>
      <c r="J1266" s="21" t="n">
        <v>156.88</v>
      </c>
      <c r="K1266" s="21" t="n">
        <v>183.03</v>
      </c>
      <c r="L1266" s="21" t="n">
        <v>209.17</v>
      </c>
      <c r="M1266" s="21" t="n">
        <v>400</v>
      </c>
    </row>
    <row r="1267">
      <c r="A1267" s="9" t="inlineStr">
        <is>
          <t>HAIFENG</t>
        </is>
      </c>
      <c r="B1267" s="9" t="inlineStr">
        <is>
          <t>HAIFENG 03/12/2025</t>
        </is>
      </c>
      <c r="C1267" s="9" t="inlineStr">
        <is>
          <t>2025-12-03</t>
        </is>
      </c>
      <c r="D1267" s="9" t="inlineStr">
        <is>
          <t>66176ce26bdb9</t>
        </is>
      </c>
      <c r="E1267" s="9" t="inlineStr">
        <is>
          <t>ANILLO CLAVO ROSE GOLD</t>
        </is>
      </c>
      <c r="F1267" s="9" t="inlineStr">
        <is>
          <t>8 HIGH QUALITY</t>
        </is>
      </c>
      <c r="G1267" s="9" t="n">
        <v>3</v>
      </c>
      <c r="H1267" s="21" t="n">
        <v>2.5</v>
      </c>
      <c r="I1267" s="21" t="n">
        <v>52.29</v>
      </c>
      <c r="J1267" s="21" t="n">
        <v>156.88</v>
      </c>
      <c r="K1267" s="21" t="n">
        <v>183.03</v>
      </c>
      <c r="L1267" s="21" t="n">
        <v>209.17</v>
      </c>
      <c r="M1267" s="21" t="n">
        <v>400</v>
      </c>
    </row>
    <row r="1268">
      <c r="A1268" s="9" t="inlineStr">
        <is>
          <t>HAIFENG</t>
        </is>
      </c>
      <c r="B1268" s="9" t="inlineStr">
        <is>
          <t>HAIFENG 03/12/2025</t>
        </is>
      </c>
      <c r="C1268" s="9" t="inlineStr">
        <is>
          <t>2025-12-03</t>
        </is>
      </c>
      <c r="D1268" s="9" t="inlineStr">
        <is>
          <t>66176ce3090a4</t>
        </is>
      </c>
      <c r="E1268" s="9" t="inlineStr">
        <is>
          <t>ANILLO CLAVO ROSE GOLD</t>
        </is>
      </c>
      <c r="F1268" s="9" t="inlineStr">
        <is>
          <t>9 HIGH QUALITY</t>
        </is>
      </c>
      <c r="G1268" s="9" t="n">
        <v>1</v>
      </c>
      <c r="H1268" s="21" t="n">
        <v>2.5</v>
      </c>
      <c r="I1268" s="21" t="n">
        <v>52.29</v>
      </c>
      <c r="J1268" s="21" t="n">
        <v>156.88</v>
      </c>
      <c r="K1268" s="21" t="n">
        <v>183.03</v>
      </c>
      <c r="L1268" s="21" t="n">
        <v>209.17</v>
      </c>
      <c r="M1268" s="21" t="n">
        <v>400</v>
      </c>
    </row>
    <row r="1269">
      <c r="A1269" s="9" t="inlineStr">
        <is>
          <t>HAIFENG</t>
        </is>
      </c>
      <c r="B1269" s="9" t="inlineStr">
        <is>
          <t>HAIFENG 03/12/2025</t>
        </is>
      </c>
      <c r="C1269" s="9" t="inlineStr">
        <is>
          <t>2025-12-03</t>
        </is>
      </c>
      <c r="D1269" s="9" t="inlineStr">
        <is>
          <t>66176cdb7d238</t>
        </is>
      </c>
      <c r="E1269" s="9" t="inlineStr">
        <is>
          <t>ANILLO CLAVO SILVER</t>
        </is>
      </c>
      <c r="F1269" s="9" t="inlineStr">
        <is>
          <t>6 HIGH QUALITY</t>
        </is>
      </c>
      <c r="G1269" s="9" t="n">
        <v>2</v>
      </c>
      <c r="H1269" s="21" t="n">
        <v>2.5</v>
      </c>
      <c r="I1269" s="21" t="n">
        <v>52.29</v>
      </c>
      <c r="J1269" s="21" t="n">
        <v>156.88</v>
      </c>
      <c r="K1269" s="21" t="n">
        <v>183.03</v>
      </c>
      <c r="L1269" s="21" t="n">
        <v>209.17</v>
      </c>
      <c r="M1269" s="21" t="n">
        <v>400</v>
      </c>
    </row>
    <row r="1270">
      <c r="A1270" s="9" t="inlineStr">
        <is>
          <t>HAIFENG</t>
        </is>
      </c>
      <c r="B1270" s="9" t="inlineStr">
        <is>
          <t>HAIFENG 03/12/2025</t>
        </is>
      </c>
      <c r="C1270" s="9" t="inlineStr">
        <is>
          <t>2025-12-03</t>
        </is>
      </c>
      <c r="D1270" s="9" t="inlineStr">
        <is>
          <t>66176cdc142e2</t>
        </is>
      </c>
      <c r="E1270" s="9" t="inlineStr">
        <is>
          <t>ANILLO CLAVO SILVER</t>
        </is>
      </c>
      <c r="F1270" s="9" t="inlineStr">
        <is>
          <t>7 HIGH QUALITY</t>
        </is>
      </c>
      <c r="G1270" s="9" t="n">
        <v>5</v>
      </c>
      <c r="H1270" s="21" t="n">
        <v>2.5</v>
      </c>
      <c r="I1270" s="21" t="n">
        <v>52.29</v>
      </c>
      <c r="J1270" s="21" t="n">
        <v>156.88</v>
      </c>
      <c r="K1270" s="21" t="n">
        <v>183.03</v>
      </c>
      <c r="L1270" s="21" t="n">
        <v>209.17</v>
      </c>
      <c r="M1270" s="21" t="n">
        <v>400</v>
      </c>
    </row>
    <row r="1271">
      <c r="A1271" s="9" t="inlineStr">
        <is>
          <t>HAIFENG</t>
        </is>
      </c>
      <c r="B1271" s="9" t="inlineStr">
        <is>
          <t>HAIFENG 03/12/2025</t>
        </is>
      </c>
      <c r="C1271" s="9" t="inlineStr">
        <is>
          <t>2025-12-03</t>
        </is>
      </c>
      <c r="D1271" s="9" t="inlineStr">
        <is>
          <t>66176cde74709</t>
        </is>
      </c>
      <c r="E1271" s="9" t="inlineStr">
        <is>
          <t>ANILLO CLAVO SILVER</t>
        </is>
      </c>
      <c r="F1271" s="9" t="inlineStr">
        <is>
          <t>11</t>
        </is>
      </c>
      <c r="G1271" s="9" t="n">
        <v>3</v>
      </c>
      <c r="H1271" s="21" t="n">
        <v>2.5</v>
      </c>
      <c r="I1271" s="21" t="n">
        <v>52.29</v>
      </c>
      <c r="J1271" s="21" t="n">
        <v>156.88</v>
      </c>
      <c r="K1271" s="21" t="n">
        <v>183.03</v>
      </c>
      <c r="L1271" s="21" t="n">
        <v>209.17</v>
      </c>
      <c r="M1271" s="21" t="n">
        <v>400</v>
      </c>
    </row>
    <row r="1272">
      <c r="A1272" s="9" t="inlineStr">
        <is>
          <t>HAIFENG</t>
        </is>
      </c>
      <c r="B1272" s="9" t="inlineStr">
        <is>
          <t>HAIFENG 03/12/2025</t>
        </is>
      </c>
      <c r="C1272" s="9" t="inlineStr">
        <is>
          <t>2025-12-03</t>
        </is>
      </c>
      <c r="D1272" s="9" t="inlineStr">
        <is>
          <t>63e0b72b646a2</t>
        </is>
      </c>
      <c r="E1272" s="9" t="inlineStr">
        <is>
          <t>ANILLO COCO GOLD</t>
        </is>
      </c>
      <c r="F1272" s="9" t="inlineStr">
        <is>
          <t>6</t>
        </is>
      </c>
      <c r="G1272" s="9" t="n">
        <v>2</v>
      </c>
      <c r="H1272" s="21" t="n">
        <v>1.8</v>
      </c>
      <c r="I1272" s="21" t="n">
        <v>37.65</v>
      </c>
      <c r="J1272" s="21" t="n">
        <v>112.95</v>
      </c>
      <c r="K1272" s="21" t="n">
        <v>131.78</v>
      </c>
      <c r="L1272" s="21" t="n">
        <v>150.6</v>
      </c>
      <c r="M1272" s="21" t="n">
        <v>400</v>
      </c>
    </row>
    <row r="1273">
      <c r="A1273" s="9" t="inlineStr">
        <is>
          <t>HAIFENG</t>
        </is>
      </c>
      <c r="B1273" s="9" t="inlineStr">
        <is>
          <t>HAIFENG 03/12/2025</t>
        </is>
      </c>
      <c r="C1273" s="9" t="inlineStr">
        <is>
          <t>2025-12-03</t>
        </is>
      </c>
      <c r="D1273" s="9" t="inlineStr">
        <is>
          <t>63e0b72e8ae97</t>
        </is>
      </c>
      <c r="E1273" s="9" t="inlineStr">
        <is>
          <t>ANILLO COCO GOLD</t>
        </is>
      </c>
      <c r="F1273" s="9" t="inlineStr">
        <is>
          <t>9</t>
        </is>
      </c>
      <c r="G1273" s="9" t="n">
        <v>2</v>
      </c>
      <c r="H1273" s="21" t="n">
        <v>1.8</v>
      </c>
      <c r="I1273" s="21" t="n">
        <v>37.65</v>
      </c>
      <c r="J1273" s="21" t="n">
        <v>112.95</v>
      </c>
      <c r="K1273" s="21" t="n">
        <v>131.78</v>
      </c>
      <c r="L1273" s="21" t="n">
        <v>150.6</v>
      </c>
      <c r="M1273" s="21" t="n">
        <v>400</v>
      </c>
    </row>
    <row r="1274">
      <c r="A1274" s="9" t="inlineStr">
        <is>
          <t>HAIFENG</t>
        </is>
      </c>
      <c r="B1274" s="9" t="inlineStr">
        <is>
          <t>HAIFENG 03/12/2025</t>
        </is>
      </c>
      <c r="C1274" s="9" t="inlineStr">
        <is>
          <t>2025-12-03</t>
        </is>
      </c>
      <c r="D1274" s="9" t="inlineStr">
        <is>
          <t>63e0b72e8ceb1</t>
        </is>
      </c>
      <c r="E1274" s="9" t="inlineStr">
        <is>
          <t>ANILLO COCO ROSE GOLD</t>
        </is>
      </c>
      <c r="F1274" s="9" t="inlineStr">
        <is>
          <t>6</t>
        </is>
      </c>
      <c r="G1274" s="9" t="n">
        <v>2</v>
      </c>
      <c r="H1274" s="21" t="n">
        <v>1.8</v>
      </c>
      <c r="I1274" s="21" t="n">
        <v>37.65</v>
      </c>
      <c r="J1274" s="21" t="n">
        <v>112.95</v>
      </c>
      <c r="K1274" s="21" t="n">
        <v>131.78</v>
      </c>
      <c r="L1274" s="21" t="n">
        <v>150.6</v>
      </c>
      <c r="M1274" s="21" t="n">
        <v>400</v>
      </c>
    </row>
    <row r="1275">
      <c r="A1275" s="9" t="inlineStr">
        <is>
          <t>HAIFENG</t>
        </is>
      </c>
      <c r="B1275" s="9" t="inlineStr">
        <is>
          <t>HAIFENG 03/12/2025</t>
        </is>
      </c>
      <c r="C1275" s="9" t="inlineStr">
        <is>
          <t>2025-12-03</t>
        </is>
      </c>
      <c r="D1275" s="9" t="inlineStr">
        <is>
          <t>63e0b7315fccc</t>
        </is>
      </c>
      <c r="E1275" s="9" t="inlineStr">
        <is>
          <t>ANILLO COCO ROSE GOLD</t>
        </is>
      </c>
      <c r="F1275" s="9" t="inlineStr">
        <is>
          <t>8 (REMATE)</t>
        </is>
      </c>
      <c r="G1275" s="9" t="n">
        <v>1</v>
      </c>
      <c r="H1275" s="21" t="n">
        <v>1.8</v>
      </c>
      <c r="I1275" s="21" t="n">
        <v>37.65</v>
      </c>
      <c r="J1275" s="21" t="n">
        <v>112.95</v>
      </c>
      <c r="K1275" s="21" t="n">
        <v>131.78</v>
      </c>
      <c r="L1275" s="21" t="n">
        <v>150.6</v>
      </c>
      <c r="M1275" s="21" t="n">
        <v>400</v>
      </c>
    </row>
    <row r="1276">
      <c r="A1276" s="9" t="inlineStr">
        <is>
          <t>HAIFENG</t>
        </is>
      </c>
      <c r="B1276" s="9" t="inlineStr">
        <is>
          <t>HAIFENG 03/12/2025</t>
        </is>
      </c>
      <c r="C1276" s="9" t="inlineStr">
        <is>
          <t>2025-12-03</t>
        </is>
      </c>
      <c r="D1276" s="9" t="inlineStr">
        <is>
          <t>63e0b72f8b602</t>
        </is>
      </c>
      <c r="E1276" s="9" t="inlineStr">
        <is>
          <t>ANILLO COCO SILVER</t>
        </is>
      </c>
      <c r="F1276" s="9" t="inlineStr">
        <is>
          <t>5</t>
        </is>
      </c>
      <c r="G1276" s="9" t="n">
        <v>2</v>
      </c>
      <c r="H1276" s="21" t="n">
        <v>1.8</v>
      </c>
      <c r="I1276" s="21" t="n">
        <v>37.65</v>
      </c>
      <c r="J1276" s="21" t="n">
        <v>112.95</v>
      </c>
      <c r="K1276" s="21" t="n">
        <v>131.78</v>
      </c>
      <c r="L1276" s="21" t="n">
        <v>150.6</v>
      </c>
      <c r="M1276" s="21" t="n">
        <v>400</v>
      </c>
    </row>
    <row r="1277">
      <c r="A1277" s="9" t="inlineStr">
        <is>
          <t>HAIFENG</t>
        </is>
      </c>
      <c r="B1277" s="9" t="inlineStr">
        <is>
          <t>HAIFENG 03/12/2025</t>
        </is>
      </c>
      <c r="C1277" s="9" t="inlineStr">
        <is>
          <t>2025-12-03</t>
        </is>
      </c>
      <c r="D1277" s="9" t="inlineStr">
        <is>
          <t>56481450498956</t>
        </is>
      </c>
      <c r="E1277" s="9" t="inlineStr">
        <is>
          <t>ANILLO CORAZÓN GRABADO</t>
        </is>
      </c>
      <c r="F1277" s="9" t="inlineStr">
        <is>
          <t>6</t>
        </is>
      </c>
      <c r="G1277" s="9" t="n">
        <v>2</v>
      </c>
      <c r="H1277" s="21" t="n">
        <v>5</v>
      </c>
      <c r="I1277" s="21" t="n">
        <v>104.59</v>
      </c>
      <c r="J1277" s="21" t="n">
        <v>313.76</v>
      </c>
      <c r="K1277" s="21" t="n">
        <v>366.05</v>
      </c>
      <c r="L1277" s="21" t="n">
        <v>418.34</v>
      </c>
      <c r="M1277" s="21" t="n">
        <v>450</v>
      </c>
    </row>
    <row r="1278">
      <c r="A1278" s="9" t="inlineStr">
        <is>
          <t>HAIFENG</t>
        </is>
      </c>
      <c r="B1278" s="9" t="inlineStr">
        <is>
          <t>HAIFENG 03/12/2025</t>
        </is>
      </c>
      <c r="C1278" s="9" t="inlineStr">
        <is>
          <t>2025-12-03</t>
        </is>
      </c>
      <c r="D1278" s="9" t="inlineStr">
        <is>
          <t>56481450564492</t>
        </is>
      </c>
      <c r="E1278" s="9" t="inlineStr">
        <is>
          <t>ANILLO CORAZÓN GRABADO</t>
        </is>
      </c>
      <c r="F1278" s="9" t="inlineStr">
        <is>
          <t>8</t>
        </is>
      </c>
      <c r="G1278" s="9" t="n">
        <v>5</v>
      </c>
      <c r="H1278" s="21" t="n">
        <v>5</v>
      </c>
      <c r="I1278" s="21" t="n">
        <v>104.59</v>
      </c>
      <c r="J1278" s="21" t="n">
        <v>313.76</v>
      </c>
      <c r="K1278" s="21" t="n">
        <v>366.05</v>
      </c>
      <c r="L1278" s="21" t="n">
        <v>418.34</v>
      </c>
      <c r="M1278" s="21" t="n">
        <v>450</v>
      </c>
    </row>
    <row r="1279">
      <c r="A1279" s="9" t="inlineStr">
        <is>
          <t>HAIFENG</t>
        </is>
      </c>
      <c r="B1279" s="9" t="inlineStr">
        <is>
          <t>HAIFENG 03/12/2025</t>
        </is>
      </c>
      <c r="C1279" s="9" t="inlineStr">
        <is>
          <t>2025-12-03</t>
        </is>
      </c>
      <c r="D1279" s="9" t="inlineStr">
        <is>
          <t>56481450531724</t>
        </is>
      </c>
      <c r="E1279" s="9" t="inlineStr">
        <is>
          <t>ANILLO CORAZ√ìN GRABADO</t>
        </is>
      </c>
      <c r="F1279" s="9" t="inlineStr">
        <is>
          <t>7</t>
        </is>
      </c>
      <c r="G1279" s="9" t="n">
        <v>1</v>
      </c>
      <c r="H1279" s="21" t="n">
        <v>5</v>
      </c>
      <c r="I1279" s="21" t="n">
        <v>104.59</v>
      </c>
      <c r="J1279" s="21" t="n">
        <v>313.76</v>
      </c>
      <c r="K1279" s="21" t="n">
        <v>366.05</v>
      </c>
      <c r="L1279" s="21" t="n">
        <v>418.34</v>
      </c>
      <c r="M1279" s="21" t="n">
        <v>450</v>
      </c>
    </row>
    <row r="1280">
      <c r="A1280" s="9" t="inlineStr">
        <is>
          <t>HAIFENG</t>
        </is>
      </c>
      <c r="B1280" s="9" t="inlineStr">
        <is>
          <t>HAIFENG 03/12/2025</t>
        </is>
      </c>
      <c r="C1280" s="9" t="inlineStr">
        <is>
          <t>2025-12-03</t>
        </is>
      </c>
      <c r="D1280" s="9" t="inlineStr">
        <is>
          <t>17360611039917</t>
        </is>
      </c>
      <c r="E1280" s="9" t="inlineStr">
        <is>
          <t>ANILLO DOBLE T CON ZIRCONIAS SILVER</t>
        </is>
      </c>
      <c r="F1280" s="9" t="inlineStr">
        <is>
          <t>7</t>
        </is>
      </c>
      <c r="G1280" s="9" t="n">
        <v>2</v>
      </c>
      <c r="H1280" s="21" t="n">
        <v>7</v>
      </c>
      <c r="I1280" s="21" t="n">
        <v>146.42</v>
      </c>
      <c r="J1280" s="21" t="n">
        <v>439.26</v>
      </c>
      <c r="K1280" s="21" t="n">
        <v>512.47</v>
      </c>
      <c r="L1280" s="21" t="n">
        <v>585.6799999999999</v>
      </c>
      <c r="M1280" s="21" t="n">
        <v>580</v>
      </c>
    </row>
    <row r="1281">
      <c r="A1281" s="9" t="inlineStr">
        <is>
          <t>HAIFENG</t>
        </is>
      </c>
      <c r="B1281" s="9" t="inlineStr">
        <is>
          <t>HAIFENG 03/12/2025</t>
        </is>
      </c>
      <c r="C1281" s="9" t="inlineStr">
        <is>
          <t>2025-12-03</t>
        </is>
      </c>
      <c r="D1281" s="9" t="inlineStr">
        <is>
          <t>15711171018701</t>
        </is>
      </c>
      <c r="E1281" s="9" t="inlineStr">
        <is>
          <t>ANILLO DOBLE T GOLD</t>
        </is>
      </c>
      <c r="F1281" s="9" t="inlineStr">
        <is>
          <t>6</t>
        </is>
      </c>
      <c r="G1281" s="9" t="n">
        <v>3</v>
      </c>
      <c r="H1281" s="21" t="n">
        <v>5</v>
      </c>
      <c r="I1281" s="21" t="n">
        <v>104.59</v>
      </c>
      <c r="J1281" s="21" t="n">
        <v>313.76</v>
      </c>
      <c r="K1281" s="21" t="n">
        <v>366.05</v>
      </c>
      <c r="L1281" s="21" t="n">
        <v>418.34</v>
      </c>
      <c r="M1281" s="21" t="n">
        <v>312</v>
      </c>
    </row>
    <row r="1282">
      <c r="A1282" s="9" t="inlineStr">
        <is>
          <t>HAIFENG</t>
        </is>
      </c>
      <c r="B1282" s="9" t="inlineStr">
        <is>
          <t>HAIFENG 03/12/2025</t>
        </is>
      </c>
      <c r="C1282" s="9" t="inlineStr">
        <is>
          <t>2025-12-03</t>
        </is>
      </c>
      <c r="D1282" s="9" t="inlineStr">
        <is>
          <t>15711171284237</t>
        </is>
      </c>
      <c r="E1282" s="9" t="inlineStr">
        <is>
          <t>ANILLO DOBLE T GOLD</t>
        </is>
      </c>
      <c r="F1282" s="9" t="inlineStr">
        <is>
          <t>8</t>
        </is>
      </c>
      <c r="G1282" s="9" t="n">
        <v>2</v>
      </c>
      <c r="H1282" s="21" t="n">
        <v>5</v>
      </c>
      <c r="I1282" s="21" t="n">
        <v>104.59</v>
      </c>
      <c r="J1282" s="21" t="n">
        <v>313.76</v>
      </c>
      <c r="K1282" s="21" t="n">
        <v>366.05</v>
      </c>
      <c r="L1282" s="21" t="n">
        <v>418.34</v>
      </c>
      <c r="M1282" s="21" t="n">
        <v>480</v>
      </c>
    </row>
    <row r="1283">
      <c r="A1283" s="9" t="inlineStr">
        <is>
          <t>HAIFENG</t>
        </is>
      </c>
      <c r="B1283" s="9" t="inlineStr">
        <is>
          <t>HAIFENG 03/12/2025</t>
        </is>
      </c>
      <c r="C1283" s="9" t="inlineStr">
        <is>
          <t>2025-12-03</t>
        </is>
      </c>
      <c r="D1283" s="9" t="inlineStr">
        <is>
          <t>15711171493965</t>
        </is>
      </c>
      <c r="E1283" s="9" t="inlineStr">
        <is>
          <t>ANILLO DOBLE T ROSE GOLD</t>
        </is>
      </c>
      <c r="F1283" s="9" t="inlineStr">
        <is>
          <t>7</t>
        </is>
      </c>
      <c r="G1283" s="9" t="n">
        <v>2</v>
      </c>
      <c r="H1283" s="21" t="n">
        <v>5</v>
      </c>
      <c r="I1283" s="21" t="n">
        <v>104.59</v>
      </c>
      <c r="J1283" s="21" t="n">
        <v>313.76</v>
      </c>
      <c r="K1283" s="21" t="n">
        <v>366.05</v>
      </c>
      <c r="L1283" s="21" t="n">
        <v>418.34</v>
      </c>
      <c r="M1283" s="21" t="n">
        <v>480</v>
      </c>
    </row>
    <row r="1284">
      <c r="A1284" s="9" t="inlineStr">
        <is>
          <t>HAIFENG</t>
        </is>
      </c>
      <c r="B1284" s="9" t="inlineStr">
        <is>
          <t>HAIFENG 03/12/2025</t>
        </is>
      </c>
      <c r="C1284" s="9" t="inlineStr">
        <is>
          <t>2025-12-03</t>
        </is>
      </c>
      <c r="D1284" s="9" t="inlineStr">
        <is>
          <t>15711171526733</t>
        </is>
      </c>
      <c r="E1284" s="9" t="inlineStr">
        <is>
          <t>ANILLO DOBLE T ROSE GOLD</t>
        </is>
      </c>
      <c r="F1284" s="9" t="inlineStr">
        <is>
          <t>8</t>
        </is>
      </c>
      <c r="G1284" s="9" t="n">
        <v>1</v>
      </c>
      <c r="H1284" s="21" t="n">
        <v>5</v>
      </c>
      <c r="I1284" s="21" t="n">
        <v>104.59</v>
      </c>
      <c r="J1284" s="21" t="n">
        <v>313.76</v>
      </c>
      <c r="K1284" s="21" t="n">
        <v>366.05</v>
      </c>
      <c r="L1284" s="21" t="n">
        <v>418.34</v>
      </c>
      <c r="M1284" s="21" t="n">
        <v>312</v>
      </c>
    </row>
    <row r="1285">
      <c r="A1285" s="9" t="inlineStr">
        <is>
          <t>HAIFENG</t>
        </is>
      </c>
      <c r="B1285" s="9" t="inlineStr">
        <is>
          <t>HAIFENG 03/12/2025</t>
        </is>
      </c>
      <c r="C1285" s="9" t="inlineStr">
        <is>
          <t>2025-12-03</t>
        </is>
      </c>
      <c r="D1285" s="9" t="inlineStr">
        <is>
          <t>15711171624141</t>
        </is>
      </c>
      <c r="E1285" s="9" t="inlineStr">
        <is>
          <t>ANILLO DOBLE T SILVER</t>
        </is>
      </c>
      <c r="F1285" s="9" t="inlineStr">
        <is>
          <t>6</t>
        </is>
      </c>
      <c r="G1285" s="9" t="n">
        <v>1</v>
      </c>
      <c r="H1285" s="21" t="n">
        <v>5</v>
      </c>
      <c r="I1285" s="21" t="n">
        <v>104.59</v>
      </c>
      <c r="J1285" s="21" t="n">
        <v>313.76</v>
      </c>
      <c r="K1285" s="21" t="n">
        <v>366.05</v>
      </c>
      <c r="L1285" s="21" t="n">
        <v>418.34</v>
      </c>
      <c r="M1285" s="21" t="n">
        <v>450</v>
      </c>
    </row>
    <row r="1286">
      <c r="A1286" s="9" t="inlineStr">
        <is>
          <t>HAIFENG</t>
        </is>
      </c>
      <c r="B1286" s="9" t="inlineStr">
        <is>
          <t>HAIFENG 03/12/2025</t>
        </is>
      </c>
      <c r="C1286" s="9" t="inlineStr">
        <is>
          <t>2025-12-03</t>
        </is>
      </c>
      <c r="D1286" s="9" t="inlineStr">
        <is>
          <t>15711171889677</t>
        </is>
      </c>
      <c r="E1286" s="9" t="inlineStr">
        <is>
          <t>ANILLO DOBLE T SILVER</t>
        </is>
      </c>
      <c r="F1286" s="9" t="inlineStr">
        <is>
          <t>8</t>
        </is>
      </c>
      <c r="G1286" s="9" t="n">
        <v>2</v>
      </c>
      <c r="H1286" s="21" t="n">
        <v>5</v>
      </c>
      <c r="I1286" s="21" t="n">
        <v>104.59</v>
      </c>
      <c r="J1286" s="21" t="n">
        <v>313.76</v>
      </c>
      <c r="K1286" s="21" t="n">
        <v>366.05</v>
      </c>
      <c r="L1286" s="21" t="n">
        <v>418.34</v>
      </c>
      <c r="M1286" s="21" t="n">
        <v>450</v>
      </c>
    </row>
    <row r="1287">
      <c r="A1287" s="9" t="inlineStr">
        <is>
          <t>HAIFENG</t>
        </is>
      </c>
      <c r="B1287" s="9" t="inlineStr">
        <is>
          <t>HAIFENG 03/12/2025</t>
        </is>
      </c>
      <c r="C1287" s="9" t="inlineStr">
        <is>
          <t>2025-12-03</t>
        </is>
      </c>
      <c r="D1287" s="9" t="inlineStr">
        <is>
          <t>56481463199244</t>
        </is>
      </c>
      <c r="E1287" s="9" t="inlineStr">
        <is>
          <t>ANILLO ESLABÓN GOLD</t>
        </is>
      </c>
      <c r="F1287" s="9" t="inlineStr">
        <is>
          <t>6</t>
        </is>
      </c>
      <c r="G1287" s="9" t="n">
        <v>4</v>
      </c>
      <c r="H1287" s="21" t="n">
        <v>6</v>
      </c>
      <c r="I1287" s="21" t="n">
        <v>125.5</v>
      </c>
      <c r="J1287" s="21" t="n">
        <v>376.51</v>
      </c>
      <c r="K1287" s="21" t="n">
        <v>439.26</v>
      </c>
      <c r="L1287" s="21" t="n">
        <v>502.01</v>
      </c>
      <c r="M1287" s="21" t="n">
        <v>520</v>
      </c>
    </row>
    <row r="1288">
      <c r="A1288" s="9" t="inlineStr">
        <is>
          <t>HAIFENG</t>
        </is>
      </c>
      <c r="B1288" s="9" t="inlineStr">
        <is>
          <t>HAIFENG 03/12/2025</t>
        </is>
      </c>
      <c r="C1288" s="9" t="inlineStr">
        <is>
          <t>2025-12-03</t>
        </is>
      </c>
      <c r="D1288" s="9" t="inlineStr">
        <is>
          <t>56481463232012</t>
        </is>
      </c>
      <c r="E1288" s="9" t="inlineStr">
        <is>
          <t>ANILLO ESLABÓN GOLD</t>
        </is>
      </c>
      <c r="F1288" s="9" t="inlineStr">
        <is>
          <t>7</t>
        </is>
      </c>
      <c r="G1288" s="9" t="n">
        <v>3</v>
      </c>
      <c r="H1288" s="21" t="n">
        <v>6</v>
      </c>
      <c r="I1288" s="21" t="n">
        <v>125.5</v>
      </c>
      <c r="J1288" s="21" t="n">
        <v>376.51</v>
      </c>
      <c r="K1288" s="21" t="n">
        <v>439.26</v>
      </c>
      <c r="L1288" s="21" t="n">
        <v>502.01</v>
      </c>
      <c r="M1288" s="21" t="n">
        <v>520</v>
      </c>
    </row>
    <row r="1289">
      <c r="A1289" s="9" t="inlineStr">
        <is>
          <t>HAIFENG</t>
        </is>
      </c>
      <c r="B1289" s="9" t="inlineStr">
        <is>
          <t>HAIFENG 03/12/2025</t>
        </is>
      </c>
      <c r="C1289" s="9" t="inlineStr">
        <is>
          <t>2025-12-03</t>
        </is>
      </c>
      <c r="D1289" s="9" t="inlineStr">
        <is>
          <t>56481473264780</t>
        </is>
      </c>
      <c r="E1289" s="9" t="inlineStr">
        <is>
          <t>ANILLO ESLABÓN GOLD</t>
        </is>
      </c>
      <c r="F1289" s="9" t="inlineStr">
        <is>
          <t>8</t>
        </is>
      </c>
      <c r="G1289" s="9" t="n">
        <v>3</v>
      </c>
      <c r="H1289" s="21" t="n">
        <v>6</v>
      </c>
      <c r="I1289" s="21" t="n">
        <v>125.5</v>
      </c>
      <c r="J1289" s="21" t="n">
        <v>376.51</v>
      </c>
      <c r="K1289" s="21" t="n">
        <v>439.26</v>
      </c>
      <c r="L1289" s="21" t="n">
        <v>502.01</v>
      </c>
      <c r="M1289" s="21" t="n">
        <v>520</v>
      </c>
    </row>
    <row r="1290">
      <c r="A1290" s="9" t="inlineStr">
        <is>
          <t>HAIFENG</t>
        </is>
      </c>
      <c r="B1290" s="9" t="inlineStr">
        <is>
          <t>HAIFENG 03/12/2025</t>
        </is>
      </c>
      <c r="C1290" s="9" t="inlineStr">
        <is>
          <t>2025-12-03</t>
        </is>
      </c>
      <c r="D1290" s="9" t="inlineStr">
        <is>
          <t>71036864415628</t>
        </is>
      </c>
      <c r="E1290" s="9" t="inlineStr">
        <is>
          <t>ANILLO LOCK GOLD</t>
        </is>
      </c>
      <c r="F1290" s="9" t="inlineStr">
        <is>
          <t>6 (REMATE)</t>
        </is>
      </c>
      <c r="G1290" s="9" t="n">
        <v>2</v>
      </c>
      <c r="H1290" s="21" t="n">
        <v>5</v>
      </c>
      <c r="I1290" s="21" t="n">
        <v>104.59</v>
      </c>
      <c r="J1290" s="21" t="n">
        <v>313.76</v>
      </c>
      <c r="K1290" s="21" t="n">
        <v>366.05</v>
      </c>
      <c r="L1290" s="21" t="n">
        <v>418.34</v>
      </c>
      <c r="M1290" s="21" t="n">
        <v>455</v>
      </c>
    </row>
    <row r="1291">
      <c r="A1291" s="9" t="inlineStr">
        <is>
          <t>HAIFENG</t>
        </is>
      </c>
      <c r="B1291" s="9" t="inlineStr">
        <is>
          <t>HAIFENG 03/12/2025</t>
        </is>
      </c>
      <c r="C1291" s="9" t="inlineStr">
        <is>
          <t>2025-12-03</t>
        </is>
      </c>
      <c r="D1291" s="9" t="inlineStr">
        <is>
          <t>71036874448396</t>
        </is>
      </c>
      <c r="E1291" s="9" t="inlineStr">
        <is>
          <t>ANILLO LOCK GOLD</t>
        </is>
      </c>
      <c r="F1291" s="9" t="inlineStr">
        <is>
          <t>7</t>
        </is>
      </c>
      <c r="G1291" s="9" t="n">
        <v>4</v>
      </c>
      <c r="H1291" s="21" t="n">
        <v>5</v>
      </c>
      <c r="I1291" s="21" t="n">
        <v>104.59</v>
      </c>
      <c r="J1291" s="21" t="n">
        <v>313.76</v>
      </c>
      <c r="K1291" s="21" t="n">
        <v>366.05</v>
      </c>
      <c r="L1291" s="21" t="n">
        <v>418.34</v>
      </c>
      <c r="M1291" s="21" t="n">
        <v>454</v>
      </c>
    </row>
    <row r="1292">
      <c r="A1292" s="9" t="inlineStr">
        <is>
          <t>HAIFENG</t>
        </is>
      </c>
      <c r="B1292" s="9" t="inlineStr">
        <is>
          <t>HAIFENG 03/12/2025</t>
        </is>
      </c>
      <c r="C1292" s="9" t="inlineStr">
        <is>
          <t>2025-12-03</t>
        </is>
      </c>
      <c r="D1292" s="9" t="inlineStr">
        <is>
          <t>71036874481164</t>
        </is>
      </c>
      <c r="E1292" s="9" t="inlineStr">
        <is>
          <t>ANILLO LOCK GOLD</t>
        </is>
      </c>
      <c r="F1292" s="9" t="inlineStr">
        <is>
          <t>8</t>
        </is>
      </c>
      <c r="G1292" s="9" t="n">
        <v>3</v>
      </c>
      <c r="H1292" s="21" t="n">
        <v>5</v>
      </c>
      <c r="I1292" s="21" t="n">
        <v>104.59</v>
      </c>
      <c r="J1292" s="21" t="n">
        <v>313.76</v>
      </c>
      <c r="K1292" s="21" t="n">
        <v>366.05</v>
      </c>
      <c r="L1292" s="21" t="n">
        <v>418.34</v>
      </c>
      <c r="M1292" s="21" t="n">
        <v>455</v>
      </c>
    </row>
    <row r="1293">
      <c r="A1293" s="9" t="inlineStr">
        <is>
          <t>HAIFENG</t>
        </is>
      </c>
      <c r="B1293" s="9" t="inlineStr">
        <is>
          <t>HAIFENG 03/12/2025</t>
        </is>
      </c>
      <c r="C1293" s="9" t="inlineStr">
        <is>
          <t>2025-12-03</t>
        </is>
      </c>
      <c r="D1293" s="9" t="inlineStr">
        <is>
          <t>71036876217868</t>
        </is>
      </c>
      <c r="E1293" s="9" t="inlineStr">
        <is>
          <t>ANILLO LOCK SILVER</t>
        </is>
      </c>
      <c r="F1293" s="9" t="inlineStr">
        <is>
          <t>6</t>
        </is>
      </c>
      <c r="G1293" s="9" t="n">
        <v>2</v>
      </c>
      <c r="H1293" s="21" t="n">
        <v>5</v>
      </c>
      <c r="I1293" s="21" t="n">
        <v>104.59</v>
      </c>
      <c r="J1293" s="21" t="n">
        <v>313.76</v>
      </c>
      <c r="K1293" s="21" t="n">
        <v>366.05</v>
      </c>
      <c r="L1293" s="21" t="n">
        <v>418.34</v>
      </c>
      <c r="M1293" s="21" t="n">
        <v>455</v>
      </c>
    </row>
    <row r="1294">
      <c r="A1294" s="9" t="inlineStr">
        <is>
          <t>HAIFENG</t>
        </is>
      </c>
      <c r="B1294" s="9" t="inlineStr">
        <is>
          <t>HAIFENG 03/12/2025</t>
        </is>
      </c>
      <c r="C1294" s="9" t="inlineStr">
        <is>
          <t>2025-12-03</t>
        </is>
      </c>
      <c r="D1294" s="9" t="inlineStr">
        <is>
          <t>71036876250636</t>
        </is>
      </c>
      <c r="E1294" s="9" t="inlineStr">
        <is>
          <t>ANILLO LOCK SILVER</t>
        </is>
      </c>
      <c r="F1294" s="9" t="inlineStr">
        <is>
          <t>7</t>
        </is>
      </c>
      <c r="G1294" s="9" t="n">
        <v>5</v>
      </c>
      <c r="H1294" s="21" t="n">
        <v>5</v>
      </c>
      <c r="I1294" s="21" t="n">
        <v>104.59</v>
      </c>
      <c r="J1294" s="21" t="n">
        <v>313.76</v>
      </c>
      <c r="K1294" s="21" t="n">
        <v>366.05</v>
      </c>
      <c r="L1294" s="21" t="n">
        <v>418.34</v>
      </c>
      <c r="M1294" s="21" t="n">
        <v>455</v>
      </c>
    </row>
    <row r="1295">
      <c r="A1295" s="9" t="inlineStr">
        <is>
          <t>HAIFENG</t>
        </is>
      </c>
      <c r="B1295" s="9" t="inlineStr">
        <is>
          <t>HAIFENG 03/12/2025</t>
        </is>
      </c>
      <c r="C1295" s="9" t="inlineStr">
        <is>
          <t>2025-12-03</t>
        </is>
      </c>
      <c r="D1295" s="9" t="inlineStr">
        <is>
          <t>71036876283404</t>
        </is>
      </c>
      <c r="E1295" s="9" t="inlineStr">
        <is>
          <t>ANILLO LOCK SILVER</t>
        </is>
      </c>
      <c r="F1295" s="9" t="inlineStr">
        <is>
          <t>8</t>
        </is>
      </c>
      <c r="G1295" s="9" t="n">
        <v>3</v>
      </c>
      <c r="H1295" s="21" t="n">
        <v>5</v>
      </c>
      <c r="I1295" s="21" t="n">
        <v>104.59</v>
      </c>
      <c r="J1295" s="21" t="n">
        <v>313.76</v>
      </c>
      <c r="K1295" s="21" t="n">
        <v>366.05</v>
      </c>
      <c r="L1295" s="21" t="n">
        <v>418.34</v>
      </c>
      <c r="M1295" s="21" t="n">
        <v>454</v>
      </c>
    </row>
    <row r="1296">
      <c r="A1296" s="9" t="inlineStr">
        <is>
          <t>HAIFENG</t>
        </is>
      </c>
      <c r="B1296" s="9" t="inlineStr">
        <is>
          <t>HAIFENG 03/12/2025</t>
        </is>
      </c>
      <c r="C1296" s="9" t="inlineStr">
        <is>
          <t>2025-12-03</t>
        </is>
      </c>
      <c r="D1296" s="9" t="inlineStr">
        <is>
          <t>82224433400493</t>
        </is>
      </c>
      <c r="E1296" s="9" t="inlineStr">
        <is>
          <t>ANILLO LOVE CON ZIRCONIA GOLD</t>
        </is>
      </c>
      <c r="F1296" s="9" t="inlineStr">
        <is>
          <t>5</t>
        </is>
      </c>
      <c r="G1296" s="9" t="n">
        <v>6</v>
      </c>
      <c r="H1296" s="21" t="n">
        <v>1.8</v>
      </c>
      <c r="I1296" s="21" t="n">
        <v>37.65</v>
      </c>
      <c r="J1296" s="21" t="n">
        <v>112.95</v>
      </c>
      <c r="K1296" s="21" t="n">
        <v>131.78</v>
      </c>
      <c r="L1296" s="21" t="n">
        <v>150.6</v>
      </c>
      <c r="M1296" s="21" t="n">
        <v>450</v>
      </c>
    </row>
    <row r="1297">
      <c r="A1297" s="9" t="inlineStr">
        <is>
          <t>HAIFENG</t>
        </is>
      </c>
      <c r="B1297" s="9" t="inlineStr">
        <is>
          <t>HAIFENG 03/12/2025</t>
        </is>
      </c>
      <c r="C1297" s="9" t="inlineStr">
        <is>
          <t>2025-12-03</t>
        </is>
      </c>
      <c r="D1297" s="9" t="inlineStr">
        <is>
          <t>82224433666029</t>
        </is>
      </c>
      <c r="E1297" s="9" t="inlineStr">
        <is>
          <t>ANILLO LOVE CON ZIRCONIA GOLD</t>
        </is>
      </c>
      <c r="F1297" s="9" t="inlineStr">
        <is>
          <t>7</t>
        </is>
      </c>
      <c r="G1297" s="9" t="n">
        <v>8</v>
      </c>
      <c r="H1297" s="21" t="n">
        <v>1.8</v>
      </c>
      <c r="I1297" s="21" t="n">
        <v>37.65</v>
      </c>
      <c r="J1297" s="21" t="n">
        <v>112.95</v>
      </c>
      <c r="K1297" s="21" t="n">
        <v>131.78</v>
      </c>
      <c r="L1297" s="21" t="n">
        <v>150.6</v>
      </c>
      <c r="M1297" s="21" t="n">
        <v>450</v>
      </c>
    </row>
    <row r="1298">
      <c r="A1298" s="9" t="inlineStr">
        <is>
          <t>HAIFENG</t>
        </is>
      </c>
      <c r="B1298" s="9" t="inlineStr">
        <is>
          <t>HAIFENG 03/12/2025</t>
        </is>
      </c>
      <c r="C1298" s="9" t="inlineStr">
        <is>
          <t>2025-12-03</t>
        </is>
      </c>
      <c r="D1298" s="9" t="inlineStr">
        <is>
          <t>82224433798797</t>
        </is>
      </c>
      <c r="E1298" s="9" t="inlineStr">
        <is>
          <t>ANILLO LOVE CON ZIRCONIA GOLD</t>
        </is>
      </c>
      <c r="F1298" s="9" t="inlineStr">
        <is>
          <t>8</t>
        </is>
      </c>
      <c r="G1298" s="9" t="n">
        <v>5</v>
      </c>
      <c r="H1298" s="21" t="n">
        <v>1.8</v>
      </c>
      <c r="I1298" s="21" t="n">
        <v>37.65</v>
      </c>
      <c r="J1298" s="21" t="n">
        <v>112.95</v>
      </c>
      <c r="K1298" s="21" t="n">
        <v>131.78</v>
      </c>
      <c r="L1298" s="21" t="n">
        <v>150.6</v>
      </c>
      <c r="M1298" s="21" t="n">
        <v>450</v>
      </c>
    </row>
    <row r="1299">
      <c r="A1299" s="9" t="inlineStr">
        <is>
          <t>HAIFENG</t>
        </is>
      </c>
      <c r="B1299" s="9" t="inlineStr">
        <is>
          <t>HAIFENG 03/12/2025</t>
        </is>
      </c>
      <c r="C1299" s="9" t="inlineStr">
        <is>
          <t>2025-12-03</t>
        </is>
      </c>
      <c r="D1299" s="9" t="inlineStr">
        <is>
          <t>82224433831565</t>
        </is>
      </c>
      <c r="E1299" s="9" t="inlineStr">
        <is>
          <t>ANILLO LOVE CON ZIRCONIA GOLD</t>
        </is>
      </c>
      <c r="F1299" s="9" t="inlineStr">
        <is>
          <t>9</t>
        </is>
      </c>
      <c r="G1299" s="9" t="n">
        <v>2</v>
      </c>
      <c r="H1299" s="21" t="n">
        <v>1.8</v>
      </c>
      <c r="I1299" s="21" t="n">
        <v>37.65</v>
      </c>
      <c r="J1299" s="21" t="n">
        <v>112.95</v>
      </c>
      <c r="K1299" s="21" t="n">
        <v>131.78</v>
      </c>
      <c r="L1299" s="21" t="n">
        <v>150.6</v>
      </c>
      <c r="M1299" s="21" t="n">
        <v>450</v>
      </c>
    </row>
    <row r="1300">
      <c r="A1300" s="9" t="inlineStr">
        <is>
          <t>HAIFENG</t>
        </is>
      </c>
      <c r="B1300" s="9" t="inlineStr">
        <is>
          <t>HAIFENG 03/12/2025</t>
        </is>
      </c>
      <c r="C1300" s="9" t="inlineStr">
        <is>
          <t>2025-12-03</t>
        </is>
      </c>
      <c r="D1300" s="9" t="inlineStr">
        <is>
          <t>82224433964333</t>
        </is>
      </c>
      <c r="E1300" s="9" t="inlineStr">
        <is>
          <t>ANILLO LOVE CON ZIRCONIA GOLD</t>
        </is>
      </c>
      <c r="F1300" s="9" t="inlineStr">
        <is>
          <t>10</t>
        </is>
      </c>
      <c r="G1300" s="9" t="n">
        <v>1</v>
      </c>
      <c r="H1300" s="21" t="n">
        <v>1.8</v>
      </c>
      <c r="I1300" s="21" t="n">
        <v>37.65</v>
      </c>
      <c r="J1300" s="21" t="n">
        <v>112.95</v>
      </c>
      <c r="K1300" s="21" t="n">
        <v>131.78</v>
      </c>
      <c r="L1300" s="21" t="n">
        <v>150.6</v>
      </c>
      <c r="M1300" s="21" t="n">
        <v>450</v>
      </c>
    </row>
    <row r="1301">
      <c r="A1301" s="9" t="inlineStr">
        <is>
          <t>HAIFENG</t>
        </is>
      </c>
      <c r="B1301" s="9" t="inlineStr">
        <is>
          <t>HAIFENG 03/12/2025</t>
        </is>
      </c>
      <c r="C1301" s="9" t="inlineStr">
        <is>
          <t>2025-12-03</t>
        </is>
      </c>
      <c r="D1301" s="9" t="inlineStr">
        <is>
          <t>82224434159245</t>
        </is>
      </c>
      <c r="E1301" s="9" t="inlineStr">
        <is>
          <t>ANILLO LOVE CON ZIRCONIA ROSEGOLD</t>
        </is>
      </c>
      <c r="F1301" s="9" t="inlineStr">
        <is>
          <t>6</t>
        </is>
      </c>
      <c r="G1301" s="9" t="n">
        <v>2</v>
      </c>
      <c r="H1301" s="21" t="n">
        <v>1.8</v>
      </c>
      <c r="I1301" s="21" t="n">
        <v>37.65</v>
      </c>
      <c r="J1301" s="21" t="n">
        <v>112.95</v>
      </c>
      <c r="K1301" s="21" t="n">
        <v>131.78</v>
      </c>
      <c r="L1301" s="21" t="n">
        <v>150.6</v>
      </c>
      <c r="M1301" s="21" t="n">
        <v>450</v>
      </c>
    </row>
    <row r="1302">
      <c r="A1302" s="9" t="inlineStr">
        <is>
          <t>HAIFENG</t>
        </is>
      </c>
      <c r="B1302" s="9" t="inlineStr">
        <is>
          <t>HAIFENG 03/12/2025</t>
        </is>
      </c>
      <c r="C1302" s="9" t="inlineStr">
        <is>
          <t>2025-12-03</t>
        </is>
      </c>
      <c r="D1302" s="9" t="inlineStr">
        <is>
          <t>59436481162637</t>
        </is>
      </c>
      <c r="E1302" s="9" t="inlineStr">
        <is>
          <t>ANILLO LOVE CON ZIRCONIA SILVER</t>
        </is>
      </c>
      <c r="F1302" s="9" t="inlineStr">
        <is>
          <t>6</t>
        </is>
      </c>
      <c r="G1302" s="9" t="n">
        <v>2</v>
      </c>
      <c r="H1302" s="21" t="n">
        <v>1.8</v>
      </c>
      <c r="I1302" s="21" t="n">
        <v>37.65</v>
      </c>
      <c r="J1302" s="21" t="n">
        <v>112.95</v>
      </c>
      <c r="K1302" s="21" t="n">
        <v>131.78</v>
      </c>
      <c r="L1302" s="21" t="n">
        <v>150.6</v>
      </c>
      <c r="M1302" s="21" t="n">
        <v>450</v>
      </c>
    </row>
    <row r="1303">
      <c r="A1303" s="9" t="inlineStr">
        <is>
          <t>HAIFENG</t>
        </is>
      </c>
      <c r="B1303" s="9" t="inlineStr">
        <is>
          <t>HAIFENG 03/12/2025</t>
        </is>
      </c>
      <c r="C1303" s="9" t="inlineStr">
        <is>
          <t>2025-12-03</t>
        </is>
      </c>
      <c r="D1303" s="9" t="inlineStr">
        <is>
          <t>59436481295405</t>
        </is>
      </c>
      <c r="E1303" s="9" t="inlineStr">
        <is>
          <t>ANILLO LOVE CON ZIRCONIA SILVER</t>
        </is>
      </c>
      <c r="F1303" s="9" t="inlineStr">
        <is>
          <t>7</t>
        </is>
      </c>
      <c r="G1303" s="9" t="n">
        <v>5</v>
      </c>
      <c r="H1303" s="21" t="n">
        <v>1.8</v>
      </c>
      <c r="I1303" s="21" t="n">
        <v>37.65</v>
      </c>
      <c r="J1303" s="21" t="n">
        <v>112.95</v>
      </c>
      <c r="K1303" s="21" t="n">
        <v>131.78</v>
      </c>
      <c r="L1303" s="21" t="n">
        <v>150.6</v>
      </c>
      <c r="M1303" s="21" t="n">
        <v>450</v>
      </c>
    </row>
    <row r="1304">
      <c r="A1304" s="9" t="inlineStr">
        <is>
          <t>HAIFENG</t>
        </is>
      </c>
      <c r="B1304" s="9" t="inlineStr">
        <is>
          <t>HAIFENG 03/12/2025</t>
        </is>
      </c>
      <c r="C1304" s="9" t="inlineStr">
        <is>
          <t>2025-12-03</t>
        </is>
      </c>
      <c r="D1304" s="9" t="inlineStr">
        <is>
          <t>59436481593709</t>
        </is>
      </c>
      <c r="E1304" s="9" t="inlineStr">
        <is>
          <t>ANILLO LOVE CON ZIRCONIA SILVER</t>
        </is>
      </c>
      <c r="F1304" s="9" t="inlineStr">
        <is>
          <t>10</t>
        </is>
      </c>
      <c r="G1304" s="9" t="n">
        <v>1</v>
      </c>
      <c r="H1304" s="21" t="n">
        <v>1.8</v>
      </c>
      <c r="I1304" s="21" t="n">
        <v>37.65</v>
      </c>
      <c r="J1304" s="21" t="n">
        <v>112.95</v>
      </c>
      <c r="K1304" s="21" t="n">
        <v>131.78</v>
      </c>
      <c r="L1304" s="21" t="n">
        <v>150.6</v>
      </c>
      <c r="M1304" s="21" t="n">
        <v>450</v>
      </c>
    </row>
    <row r="1305">
      <c r="A1305" s="9" t="inlineStr">
        <is>
          <t>HAIFENG</t>
        </is>
      </c>
      <c r="B1305" s="9" t="inlineStr">
        <is>
          <t>HAIFENG 03/12/2025</t>
        </is>
      </c>
      <c r="C1305" s="9" t="inlineStr">
        <is>
          <t>2025-12-03</t>
        </is>
      </c>
      <c r="D1305" s="9" t="inlineStr">
        <is>
          <t>66176a39da1f0</t>
        </is>
      </c>
      <c r="E1305" s="9" t="inlineStr">
        <is>
          <t>ANILLO LOVE GOLD</t>
        </is>
      </c>
      <c r="F1305" s="9" t="inlineStr">
        <is>
          <t>6</t>
        </is>
      </c>
      <c r="G1305" s="9" t="n">
        <v>4</v>
      </c>
      <c r="H1305" s="21" t="n">
        <v>1.8</v>
      </c>
      <c r="I1305" s="21" t="n">
        <v>37.65</v>
      </c>
      <c r="J1305" s="21" t="n">
        <v>112.95</v>
      </c>
      <c r="K1305" s="21" t="n">
        <v>131.78</v>
      </c>
      <c r="L1305" s="21" t="n">
        <v>150.6</v>
      </c>
      <c r="M1305" s="21" t="n">
        <v>400</v>
      </c>
    </row>
    <row r="1306">
      <c r="A1306" s="9" t="inlineStr">
        <is>
          <t>HAIFENG</t>
        </is>
      </c>
      <c r="B1306" s="9" t="inlineStr">
        <is>
          <t>HAIFENG 03/12/2025</t>
        </is>
      </c>
      <c r="C1306" s="9" t="inlineStr">
        <is>
          <t>2025-12-03</t>
        </is>
      </c>
      <c r="D1306" s="9" t="inlineStr">
        <is>
          <t>66176a3a6e732</t>
        </is>
      </c>
      <c r="E1306" s="9" t="inlineStr">
        <is>
          <t>ANILLO LOVE GOLD</t>
        </is>
      </c>
      <c r="F1306" s="9" t="inlineStr">
        <is>
          <t>7</t>
        </is>
      </c>
      <c r="G1306" s="9" t="n">
        <v>3</v>
      </c>
      <c r="H1306" s="21" t="n">
        <v>1.8</v>
      </c>
      <c r="I1306" s="21" t="n">
        <v>37.65</v>
      </c>
      <c r="J1306" s="21" t="n">
        <v>112.95</v>
      </c>
      <c r="K1306" s="21" t="n">
        <v>131.78</v>
      </c>
      <c r="L1306" s="21" t="n">
        <v>150.6</v>
      </c>
      <c r="M1306" s="21" t="n">
        <v>400</v>
      </c>
    </row>
    <row r="1307">
      <c r="A1307" s="9" t="inlineStr">
        <is>
          <t>HAIFENG</t>
        </is>
      </c>
      <c r="B1307" s="9" t="inlineStr">
        <is>
          <t>HAIFENG 03/12/2025</t>
        </is>
      </c>
      <c r="C1307" s="9" t="inlineStr">
        <is>
          <t>2025-12-03</t>
        </is>
      </c>
      <c r="D1307" s="9" t="inlineStr">
        <is>
          <t>66176a3b07b47</t>
        </is>
      </c>
      <c r="E1307" s="9" t="inlineStr">
        <is>
          <t>ANILLO LOVE GOLD</t>
        </is>
      </c>
      <c r="F1307" s="9" t="inlineStr">
        <is>
          <t>8</t>
        </is>
      </c>
      <c r="G1307" s="9" t="n">
        <v>3</v>
      </c>
      <c r="H1307" s="21" t="n">
        <v>1.8</v>
      </c>
      <c r="I1307" s="21" t="n">
        <v>37.65</v>
      </c>
      <c r="J1307" s="21" t="n">
        <v>112.95</v>
      </c>
      <c r="K1307" s="21" t="n">
        <v>131.78</v>
      </c>
      <c r="L1307" s="21" t="n">
        <v>150.6</v>
      </c>
      <c r="M1307" s="21" t="n">
        <v>400</v>
      </c>
    </row>
    <row r="1308">
      <c r="A1308" s="9" t="inlineStr">
        <is>
          <t>HAIFENG</t>
        </is>
      </c>
      <c r="B1308" s="9" t="inlineStr">
        <is>
          <t>HAIFENG 03/12/2025</t>
        </is>
      </c>
      <c r="C1308" s="9" t="inlineStr">
        <is>
          <t>2025-12-03</t>
        </is>
      </c>
      <c r="D1308" s="9" t="inlineStr">
        <is>
          <t>66176a3b97be5</t>
        </is>
      </c>
      <c r="E1308" s="9" t="inlineStr">
        <is>
          <t>ANILLO LOVE GOLD</t>
        </is>
      </c>
      <c r="F1308" s="9" t="inlineStr">
        <is>
          <t>9</t>
        </is>
      </c>
      <c r="G1308" s="9" t="n">
        <v>4</v>
      </c>
      <c r="H1308" s="21" t="n">
        <v>1.8</v>
      </c>
      <c r="I1308" s="21" t="n">
        <v>37.65</v>
      </c>
      <c r="J1308" s="21" t="n">
        <v>112.95</v>
      </c>
      <c r="K1308" s="21" t="n">
        <v>131.78</v>
      </c>
      <c r="L1308" s="21" t="n">
        <v>150.6</v>
      </c>
      <c r="M1308" s="21" t="n">
        <v>400</v>
      </c>
    </row>
    <row r="1309">
      <c r="A1309" s="9" t="inlineStr">
        <is>
          <t>HAIFENG</t>
        </is>
      </c>
      <c r="B1309" s="9" t="inlineStr">
        <is>
          <t>HAIFENG 03/12/2025</t>
        </is>
      </c>
      <c r="C1309" s="9" t="inlineStr">
        <is>
          <t>2025-12-03</t>
        </is>
      </c>
      <c r="D1309" s="9" t="inlineStr">
        <is>
          <t>66176a3c25a91</t>
        </is>
      </c>
      <c r="E1309" s="9" t="inlineStr">
        <is>
          <t>ANILLO LOVE GOLD</t>
        </is>
      </c>
      <c r="F1309" s="9" t="inlineStr">
        <is>
          <t>10</t>
        </is>
      </c>
      <c r="G1309" s="9" t="n">
        <v>2</v>
      </c>
      <c r="H1309" s="21" t="n">
        <v>1.8</v>
      </c>
      <c r="I1309" s="21" t="n">
        <v>37.65</v>
      </c>
      <c r="J1309" s="21" t="n">
        <v>112.95</v>
      </c>
      <c r="K1309" s="21" t="n">
        <v>131.78</v>
      </c>
      <c r="L1309" s="21" t="n">
        <v>150.6</v>
      </c>
      <c r="M1309" s="21" t="n">
        <v>400</v>
      </c>
    </row>
    <row r="1310">
      <c r="A1310" s="9" t="inlineStr">
        <is>
          <t>HAIFENG</t>
        </is>
      </c>
      <c r="B1310" s="9" t="inlineStr">
        <is>
          <t>HAIFENG 03/12/2025</t>
        </is>
      </c>
      <c r="C1310" s="9" t="inlineStr">
        <is>
          <t>2025-12-03</t>
        </is>
      </c>
      <c r="D1310" s="9" t="inlineStr">
        <is>
          <t>2653021417996</t>
        </is>
      </c>
      <c r="E1310" s="9" t="inlineStr">
        <is>
          <t>ANILLO LOVE GOLD ANCHO</t>
        </is>
      </c>
      <c r="F1310" s="9" t="inlineStr">
        <is>
          <t>5</t>
        </is>
      </c>
      <c r="G1310" s="9" t="n">
        <v>5</v>
      </c>
      <c r="H1310" s="21" t="n">
        <v>1.8</v>
      </c>
      <c r="I1310" s="21" t="n">
        <v>37.65</v>
      </c>
      <c r="J1310" s="21" t="n">
        <v>112.95</v>
      </c>
      <c r="K1310" s="21" t="n">
        <v>131.78</v>
      </c>
      <c r="L1310" s="21" t="n">
        <v>150.6</v>
      </c>
      <c r="M1310" s="21" t="n">
        <v>400</v>
      </c>
    </row>
    <row r="1311">
      <c r="A1311" s="9" t="inlineStr">
        <is>
          <t>HAIFENG</t>
        </is>
      </c>
      <c r="B1311" s="9" t="inlineStr">
        <is>
          <t>HAIFENG 03/12/2025</t>
        </is>
      </c>
      <c r="C1311" s="9" t="inlineStr">
        <is>
          <t>2025-12-03</t>
        </is>
      </c>
      <c r="D1311" s="9" t="inlineStr">
        <is>
          <t>2653021450764</t>
        </is>
      </c>
      <c r="E1311" s="9" t="inlineStr">
        <is>
          <t>ANILLO LOVE GOLD ANCHO</t>
        </is>
      </c>
      <c r="F1311" s="9" t="inlineStr">
        <is>
          <t>6</t>
        </is>
      </c>
      <c r="G1311" s="9" t="n">
        <v>5</v>
      </c>
      <c r="H1311" s="21" t="n">
        <v>1.8</v>
      </c>
      <c r="I1311" s="21" t="n">
        <v>37.65</v>
      </c>
      <c r="J1311" s="21" t="n">
        <v>112.95</v>
      </c>
      <c r="K1311" s="21" t="n">
        <v>131.78</v>
      </c>
      <c r="L1311" s="21" t="n">
        <v>150.6</v>
      </c>
      <c r="M1311" s="21" t="n">
        <v>400</v>
      </c>
    </row>
    <row r="1312">
      <c r="A1312" s="9" t="inlineStr">
        <is>
          <t>HAIFENG</t>
        </is>
      </c>
      <c r="B1312" s="9" t="inlineStr">
        <is>
          <t>HAIFENG 03/12/2025</t>
        </is>
      </c>
      <c r="C1312" s="9" t="inlineStr">
        <is>
          <t>2025-12-03</t>
        </is>
      </c>
      <c r="D1312" s="9" t="inlineStr">
        <is>
          <t>2653021483532</t>
        </is>
      </c>
      <c r="E1312" s="9" t="inlineStr">
        <is>
          <t>ANILLO LOVE GOLD ANCHO</t>
        </is>
      </c>
      <c r="F1312" s="9" t="inlineStr">
        <is>
          <t>7</t>
        </is>
      </c>
      <c r="G1312" s="9" t="n">
        <v>4</v>
      </c>
      <c r="H1312" s="21" t="n">
        <v>1.8</v>
      </c>
      <c r="I1312" s="21" t="n">
        <v>37.65</v>
      </c>
      <c r="J1312" s="21" t="n">
        <v>112.95</v>
      </c>
      <c r="K1312" s="21" t="n">
        <v>131.78</v>
      </c>
      <c r="L1312" s="21" t="n">
        <v>150.6</v>
      </c>
      <c r="M1312" s="21" t="n">
        <v>400</v>
      </c>
    </row>
    <row r="1313">
      <c r="A1313" s="9" t="inlineStr">
        <is>
          <t>HAIFENG</t>
        </is>
      </c>
      <c r="B1313" s="9" t="inlineStr">
        <is>
          <t>HAIFENG 03/12/2025</t>
        </is>
      </c>
      <c r="C1313" s="9" t="inlineStr">
        <is>
          <t>2025-12-03</t>
        </is>
      </c>
      <c r="D1313" s="9" t="inlineStr">
        <is>
          <t>2653021516300</t>
        </is>
      </c>
      <c r="E1313" s="9" t="inlineStr">
        <is>
          <t>ANILLO LOVE GOLD ANCHO</t>
        </is>
      </c>
      <c r="F1313" s="9" t="inlineStr">
        <is>
          <t>8</t>
        </is>
      </c>
      <c r="G1313" s="9" t="n">
        <v>1</v>
      </c>
      <c r="H1313" s="21" t="n">
        <v>1.8</v>
      </c>
      <c r="I1313" s="21" t="n">
        <v>37.65</v>
      </c>
      <c r="J1313" s="21" t="n">
        <v>112.95</v>
      </c>
      <c r="K1313" s="21" t="n">
        <v>131.78</v>
      </c>
      <c r="L1313" s="21" t="n">
        <v>150.6</v>
      </c>
      <c r="M1313" s="21" t="n">
        <v>400</v>
      </c>
    </row>
    <row r="1314">
      <c r="A1314" s="9" t="inlineStr">
        <is>
          <t>HAIFENG</t>
        </is>
      </c>
      <c r="B1314" s="9" t="inlineStr">
        <is>
          <t>HAIFENG 03/12/2025</t>
        </is>
      </c>
      <c r="C1314" s="9" t="inlineStr">
        <is>
          <t>2025-12-03</t>
        </is>
      </c>
      <c r="D1314" s="9" t="inlineStr">
        <is>
          <t>66176c93808a4</t>
        </is>
      </c>
      <c r="E1314" s="9" t="inlineStr">
        <is>
          <t>ANILLO LOVE GOLD ANCHO CON ZIRCONIA</t>
        </is>
      </c>
      <c r="F1314" s="9" t="inlineStr">
        <is>
          <t>10</t>
        </is>
      </c>
      <c r="G1314" s="9" t="n">
        <v>1</v>
      </c>
      <c r="H1314" s="21" t="n">
        <v>1.8</v>
      </c>
      <c r="I1314" s="21" t="n">
        <v>37.65</v>
      </c>
      <c r="J1314" s="21" t="n">
        <v>112.95</v>
      </c>
      <c r="K1314" s="21" t="n">
        <v>131.78</v>
      </c>
      <c r="L1314" s="21" t="n">
        <v>150.6</v>
      </c>
      <c r="M1314" s="21" t="n">
        <v>450</v>
      </c>
    </row>
    <row r="1315">
      <c r="A1315" s="9" t="inlineStr">
        <is>
          <t>HAIFENG</t>
        </is>
      </c>
      <c r="B1315" s="9" t="inlineStr">
        <is>
          <t>HAIFENG 03/12/2025</t>
        </is>
      </c>
      <c r="C1315" s="9" t="inlineStr">
        <is>
          <t>2025-12-03</t>
        </is>
      </c>
      <c r="D1315" s="9" t="inlineStr">
        <is>
          <t>56481480610956</t>
        </is>
      </c>
      <c r="E1315" s="9" t="inlineStr">
        <is>
          <t>ANILLO LOVE LOVE ROSEGOLD-SILVER ZIRCONIAS</t>
        </is>
      </c>
      <c r="F1315" s="9" t="inlineStr">
        <is>
          <t>6</t>
        </is>
      </c>
      <c r="G1315" s="9" t="n">
        <v>1</v>
      </c>
      <c r="H1315" s="21" t="n">
        <v>7.5</v>
      </c>
      <c r="I1315" s="21" t="n">
        <v>156.88</v>
      </c>
      <c r="J1315" s="21" t="n">
        <v>470.64</v>
      </c>
      <c r="K1315" s="21" t="n">
        <v>549.08</v>
      </c>
      <c r="L1315" s="21" t="n">
        <v>627.51</v>
      </c>
      <c r="M1315" s="21" t="n">
        <v>620</v>
      </c>
    </row>
    <row r="1316">
      <c r="A1316" s="9" t="inlineStr">
        <is>
          <t>HAIFENG</t>
        </is>
      </c>
      <c r="B1316" s="9" t="inlineStr">
        <is>
          <t>HAIFENG 03/12/2025</t>
        </is>
      </c>
      <c r="C1316" s="9" t="inlineStr">
        <is>
          <t>2025-12-03</t>
        </is>
      </c>
      <c r="D1316" s="9" t="inlineStr">
        <is>
          <t>66593bc296789</t>
        </is>
      </c>
      <c r="E1316" s="9" t="inlineStr">
        <is>
          <t>ANILLO LOVE MZ SILVER</t>
        </is>
      </c>
      <c r="F1316" s="9" t="inlineStr">
        <is>
          <t>6</t>
        </is>
      </c>
      <c r="G1316" s="9" t="n">
        <v>2</v>
      </c>
      <c r="H1316" s="21" t="n">
        <v>5.8</v>
      </c>
      <c r="I1316" s="21" t="n">
        <v>121.32</v>
      </c>
      <c r="J1316" s="21" t="n">
        <v>363.96</v>
      </c>
      <c r="K1316" s="21" t="n">
        <v>424.62</v>
      </c>
      <c r="L1316" s="21" t="n">
        <v>485.28</v>
      </c>
      <c r="M1316" s="21" t="n">
        <v>550</v>
      </c>
    </row>
    <row r="1317">
      <c r="A1317" s="9" t="inlineStr">
        <is>
          <t>HAIFENG</t>
        </is>
      </c>
      <c r="B1317" s="9" t="inlineStr">
        <is>
          <t>HAIFENG 03/12/2025</t>
        </is>
      </c>
      <c r="C1317" s="9" t="inlineStr">
        <is>
          <t>2025-12-03</t>
        </is>
      </c>
      <c r="D1317" s="9" t="inlineStr">
        <is>
          <t>66593bc339714</t>
        </is>
      </c>
      <c r="E1317" s="9" t="inlineStr">
        <is>
          <t>ANILLO LOVE MZ SILVER</t>
        </is>
      </c>
      <c r="F1317" s="9" t="inlineStr">
        <is>
          <t>7</t>
        </is>
      </c>
      <c r="G1317" s="9" t="n">
        <v>3</v>
      </c>
      <c r="H1317" s="21" t="n">
        <v>5.8</v>
      </c>
      <c r="I1317" s="21" t="n">
        <v>121.32</v>
      </c>
      <c r="J1317" s="21" t="n">
        <v>363.96</v>
      </c>
      <c r="K1317" s="21" t="n">
        <v>424.62</v>
      </c>
      <c r="L1317" s="21" t="n">
        <v>485.28</v>
      </c>
      <c r="M1317" s="21" t="n">
        <v>550</v>
      </c>
    </row>
    <row r="1318">
      <c r="A1318" s="9" t="inlineStr">
        <is>
          <t>HAIFENG</t>
        </is>
      </c>
      <c r="B1318" s="9" t="inlineStr">
        <is>
          <t>HAIFENG 03/12/2025</t>
        </is>
      </c>
      <c r="C1318" s="9" t="inlineStr">
        <is>
          <t>2025-12-03</t>
        </is>
      </c>
      <c r="D1318" s="9" t="inlineStr">
        <is>
          <t>66593bc531d7c</t>
        </is>
      </c>
      <c r="E1318" s="9" t="inlineStr">
        <is>
          <t>ANILLO LOVE MZ SILVER</t>
        </is>
      </c>
      <c r="F1318" s="9" t="inlineStr">
        <is>
          <t>10</t>
        </is>
      </c>
      <c r="G1318" s="9" t="n">
        <v>2</v>
      </c>
      <c r="H1318" s="21" t="n">
        <v>5.8</v>
      </c>
      <c r="I1318" s="21" t="n">
        <v>121.32</v>
      </c>
      <c r="J1318" s="21" t="n">
        <v>363.96</v>
      </c>
      <c r="K1318" s="21" t="n">
        <v>424.62</v>
      </c>
      <c r="L1318" s="21" t="n">
        <v>485.28</v>
      </c>
      <c r="M1318" s="21" t="n">
        <v>550</v>
      </c>
    </row>
    <row r="1319">
      <c r="A1319" s="9" t="inlineStr">
        <is>
          <t>HAIFENG</t>
        </is>
      </c>
      <c r="B1319" s="9" t="inlineStr">
        <is>
          <t>HAIFENG 03/12/2025</t>
        </is>
      </c>
      <c r="C1319" s="9" t="inlineStr">
        <is>
          <t>2025-12-03</t>
        </is>
      </c>
      <c r="D1319" s="9" t="inlineStr">
        <is>
          <t>66176c87347f1</t>
        </is>
      </c>
      <c r="E1319" s="9" t="inlineStr">
        <is>
          <t>ANILLO LOVE ROSE GOLD</t>
        </is>
      </c>
      <c r="F1319" s="9" t="inlineStr">
        <is>
          <t>5</t>
        </is>
      </c>
      <c r="G1319" s="9" t="n">
        <v>2</v>
      </c>
      <c r="H1319" s="21" t="n">
        <v>1.8</v>
      </c>
      <c r="I1319" s="21" t="n">
        <v>37.65</v>
      </c>
      <c r="J1319" s="21" t="n">
        <v>112.95</v>
      </c>
      <c r="K1319" s="21" t="n">
        <v>131.78</v>
      </c>
      <c r="L1319" s="21" t="n">
        <v>150.6</v>
      </c>
      <c r="M1319" s="21" t="n">
        <v>400</v>
      </c>
    </row>
    <row r="1320">
      <c r="A1320" s="9" t="inlineStr">
        <is>
          <t>HAIFENG</t>
        </is>
      </c>
      <c r="B1320" s="9" t="inlineStr">
        <is>
          <t>HAIFENG 03/12/2025</t>
        </is>
      </c>
      <c r="C1320" s="9" t="inlineStr">
        <is>
          <t>2025-12-03</t>
        </is>
      </c>
      <c r="D1320" s="9" t="inlineStr">
        <is>
          <t>66176c895cc2a</t>
        </is>
      </c>
      <c r="E1320" s="9" t="inlineStr">
        <is>
          <t>ANILLO LOVE ROSE GOLD</t>
        </is>
      </c>
      <c r="F1320" s="9" t="inlineStr">
        <is>
          <t>9</t>
        </is>
      </c>
      <c r="G1320" s="9" t="n">
        <v>2</v>
      </c>
      <c r="H1320" s="21" t="n">
        <v>1.8</v>
      </c>
      <c r="I1320" s="21" t="n">
        <v>37.65</v>
      </c>
      <c r="J1320" s="21" t="n">
        <v>112.95</v>
      </c>
      <c r="K1320" s="21" t="n">
        <v>131.78</v>
      </c>
      <c r="L1320" s="21" t="n">
        <v>150.6</v>
      </c>
      <c r="M1320" s="21" t="n">
        <v>400</v>
      </c>
    </row>
    <row r="1321">
      <c r="A1321" s="9" t="inlineStr">
        <is>
          <t>HAIFENG</t>
        </is>
      </c>
      <c r="B1321" s="9" t="inlineStr">
        <is>
          <t>HAIFENG 03/12/2025</t>
        </is>
      </c>
      <c r="C1321" s="9" t="inlineStr">
        <is>
          <t>2025-12-03</t>
        </is>
      </c>
      <c r="D1321" s="9" t="inlineStr">
        <is>
          <t>66176c8ac28e0</t>
        </is>
      </c>
      <c r="E1321" s="9" t="inlineStr">
        <is>
          <t>ANILLO LOVE ROSE GOLD ANCHO</t>
        </is>
      </c>
      <c r="F1321" s="9" t="inlineStr">
        <is>
          <t>6</t>
        </is>
      </c>
      <c r="G1321" s="9" t="n">
        <v>1</v>
      </c>
      <c r="H1321" s="21" t="n">
        <v>1.8</v>
      </c>
      <c r="I1321" s="21" t="n">
        <v>37.65</v>
      </c>
      <c r="J1321" s="21" t="n">
        <v>112.95</v>
      </c>
      <c r="K1321" s="21" t="n">
        <v>131.78</v>
      </c>
      <c r="L1321" s="21" t="n">
        <v>150.6</v>
      </c>
      <c r="M1321" s="21" t="n">
        <v>400</v>
      </c>
    </row>
    <row r="1322">
      <c r="A1322" s="9" t="inlineStr">
        <is>
          <t>HAIFENG</t>
        </is>
      </c>
      <c r="B1322" s="9" t="inlineStr">
        <is>
          <t>HAIFENG 03/12/2025</t>
        </is>
      </c>
      <c r="C1322" s="9" t="inlineStr">
        <is>
          <t>2025-12-03</t>
        </is>
      </c>
      <c r="D1322" s="9" t="inlineStr">
        <is>
          <t>66176c8b55e0c</t>
        </is>
      </c>
      <c r="E1322" s="9" t="inlineStr">
        <is>
          <t>ANILLO LOVE ROSE GOLD ANCHO</t>
        </is>
      </c>
      <c r="F1322" s="9" t="inlineStr">
        <is>
          <t>7</t>
        </is>
      </c>
      <c r="G1322" s="9" t="n">
        <v>4</v>
      </c>
      <c r="H1322" s="21" t="n">
        <v>1.8</v>
      </c>
      <c r="I1322" s="21" t="n">
        <v>37.65</v>
      </c>
      <c r="J1322" s="21" t="n">
        <v>112.95</v>
      </c>
      <c r="K1322" s="21" t="n">
        <v>131.78</v>
      </c>
      <c r="L1322" s="21" t="n">
        <v>150.6</v>
      </c>
      <c r="M1322" s="21" t="n">
        <v>400</v>
      </c>
    </row>
    <row r="1323">
      <c r="A1323" s="9" t="inlineStr">
        <is>
          <t>HAIFENG</t>
        </is>
      </c>
      <c r="B1323" s="9" t="inlineStr">
        <is>
          <t>HAIFENG 03/12/2025</t>
        </is>
      </c>
      <c r="C1323" s="9" t="inlineStr">
        <is>
          <t>2025-12-03</t>
        </is>
      </c>
      <c r="D1323" s="9" t="inlineStr">
        <is>
          <t>66176c83f3f50</t>
        </is>
      </c>
      <c r="E1323" s="9" t="inlineStr">
        <is>
          <t>ANILLO LOVE SILVER</t>
        </is>
      </c>
      <c r="F1323" s="9" t="inlineStr">
        <is>
          <t>5</t>
        </is>
      </c>
      <c r="G1323" s="9" t="n">
        <v>2</v>
      </c>
      <c r="H1323" s="21" t="n">
        <v>1.8</v>
      </c>
      <c r="I1323" s="21" t="n">
        <v>37.65</v>
      </c>
      <c r="J1323" s="21" t="n">
        <v>112.95</v>
      </c>
      <c r="K1323" s="21" t="n">
        <v>131.78</v>
      </c>
      <c r="L1323" s="21" t="n">
        <v>150.6</v>
      </c>
      <c r="M1323" s="21" t="n">
        <v>400</v>
      </c>
    </row>
    <row r="1324">
      <c r="A1324" s="9" t="inlineStr">
        <is>
          <t>HAIFENG</t>
        </is>
      </c>
      <c r="B1324" s="9" t="inlineStr">
        <is>
          <t>HAIFENG 03/12/2025</t>
        </is>
      </c>
      <c r="C1324" s="9" t="inlineStr">
        <is>
          <t>2025-12-03</t>
        </is>
      </c>
      <c r="D1324" s="9" t="inlineStr">
        <is>
          <t>66176c850b76a</t>
        </is>
      </c>
      <c r="E1324" s="9" t="inlineStr">
        <is>
          <t>ANILLO LOVE SILVER</t>
        </is>
      </c>
      <c r="F1324" s="9" t="inlineStr">
        <is>
          <t>7</t>
        </is>
      </c>
      <c r="G1324" s="9" t="n">
        <v>3</v>
      </c>
      <c r="H1324" s="21" t="n">
        <v>1.8</v>
      </c>
      <c r="I1324" s="21" t="n">
        <v>37.65</v>
      </c>
      <c r="J1324" s="21" t="n">
        <v>112.95</v>
      </c>
      <c r="K1324" s="21" t="n">
        <v>131.78</v>
      </c>
      <c r="L1324" s="21" t="n">
        <v>150.6</v>
      </c>
      <c r="M1324" s="21" t="n">
        <v>400</v>
      </c>
    </row>
    <row r="1325">
      <c r="A1325" s="9" t="inlineStr">
        <is>
          <t>HAIFENG</t>
        </is>
      </c>
      <c r="B1325" s="9" t="inlineStr">
        <is>
          <t>HAIFENG 03/12/2025</t>
        </is>
      </c>
      <c r="C1325" s="9" t="inlineStr">
        <is>
          <t>2025-12-03</t>
        </is>
      </c>
      <c r="D1325" s="9" t="inlineStr">
        <is>
          <t>66176c8589787</t>
        </is>
      </c>
      <c r="E1325" s="9" t="inlineStr">
        <is>
          <t>ANILLO LOVE SILVER</t>
        </is>
      </c>
      <c r="F1325" s="9" t="inlineStr">
        <is>
          <t>8</t>
        </is>
      </c>
      <c r="G1325" s="9" t="n">
        <v>2</v>
      </c>
      <c r="H1325" s="21" t="n">
        <v>1.8</v>
      </c>
      <c r="I1325" s="21" t="n">
        <v>37.65</v>
      </c>
      <c r="J1325" s="21" t="n">
        <v>112.95</v>
      </c>
      <c r="K1325" s="21" t="n">
        <v>131.78</v>
      </c>
      <c r="L1325" s="21" t="n">
        <v>150.6</v>
      </c>
      <c r="M1325" s="21" t="n">
        <v>400</v>
      </c>
    </row>
    <row r="1326">
      <c r="A1326" s="9" t="inlineStr">
        <is>
          <t>HAIFENG</t>
        </is>
      </c>
      <c r="B1326" s="9" t="inlineStr">
        <is>
          <t>HAIFENG 03/12/2025</t>
        </is>
      </c>
      <c r="C1326" s="9" t="inlineStr">
        <is>
          <t>2025-12-03</t>
        </is>
      </c>
      <c r="D1326" s="9" t="inlineStr">
        <is>
          <t>66176c8628af3</t>
        </is>
      </c>
      <c r="E1326" s="9" t="inlineStr">
        <is>
          <t>ANILLO LOVE SILVER</t>
        </is>
      </c>
      <c r="F1326" s="9" t="inlineStr">
        <is>
          <t>9</t>
        </is>
      </c>
      <c r="G1326" s="9" t="n">
        <v>4</v>
      </c>
      <c r="H1326" s="21" t="n">
        <v>1.8</v>
      </c>
      <c r="I1326" s="21" t="n">
        <v>37.65</v>
      </c>
      <c r="J1326" s="21" t="n">
        <v>112.95</v>
      </c>
      <c r="K1326" s="21" t="n">
        <v>131.78</v>
      </c>
      <c r="L1326" s="21" t="n">
        <v>150.6</v>
      </c>
      <c r="M1326" s="21" t="n">
        <v>400</v>
      </c>
    </row>
    <row r="1327">
      <c r="A1327" s="9" t="inlineStr">
        <is>
          <t>HAIFENG</t>
        </is>
      </c>
      <c r="B1327" s="9" t="inlineStr">
        <is>
          <t>HAIFENG 03/12/2025</t>
        </is>
      </c>
      <c r="C1327" s="9" t="inlineStr">
        <is>
          <t>2025-12-03</t>
        </is>
      </c>
      <c r="D1327" s="9" t="inlineStr">
        <is>
          <t>66176c86bbe5a</t>
        </is>
      </c>
      <c r="E1327" s="9" t="inlineStr">
        <is>
          <t>ANILLO LOVE SILVER</t>
        </is>
      </c>
      <c r="F1327" s="9" t="inlineStr">
        <is>
          <t>10</t>
        </is>
      </c>
      <c r="G1327" s="9" t="n">
        <v>2</v>
      </c>
      <c r="H1327" s="21" t="n">
        <v>1.8</v>
      </c>
      <c r="I1327" s="21" t="n">
        <v>37.65</v>
      </c>
      <c r="J1327" s="21" t="n">
        <v>112.95</v>
      </c>
      <c r="K1327" s="21" t="n">
        <v>131.78</v>
      </c>
      <c r="L1327" s="21" t="n">
        <v>150.6</v>
      </c>
      <c r="M1327" s="21" t="n">
        <v>400</v>
      </c>
    </row>
    <row r="1328">
      <c r="A1328" s="9" t="inlineStr">
        <is>
          <t>HAIFENG</t>
        </is>
      </c>
      <c r="B1328" s="9" t="inlineStr">
        <is>
          <t>HAIFENG 03/12/2025</t>
        </is>
      </c>
      <c r="C1328" s="9" t="inlineStr">
        <is>
          <t>2025-12-03</t>
        </is>
      </c>
      <c r="D1328" s="9" t="inlineStr">
        <is>
          <t>2653036169356</t>
        </is>
      </c>
      <c r="E1328" s="9" t="inlineStr">
        <is>
          <t>ANILLO LOVE SILVER ANCHO</t>
        </is>
      </c>
      <c r="F1328" s="9" t="inlineStr">
        <is>
          <t>8</t>
        </is>
      </c>
      <c r="G1328" s="9" t="n">
        <v>2</v>
      </c>
      <c r="H1328" s="21" t="n">
        <v>1.8</v>
      </c>
      <c r="I1328" s="21" t="n">
        <v>37.65</v>
      </c>
      <c r="J1328" s="21" t="n">
        <v>112.95</v>
      </c>
      <c r="K1328" s="21" t="n">
        <v>131.78</v>
      </c>
      <c r="L1328" s="21" t="n">
        <v>150.6</v>
      </c>
      <c r="M1328" s="21" t="n">
        <v>400</v>
      </c>
    </row>
    <row r="1329">
      <c r="A1329" s="9" t="inlineStr">
        <is>
          <t>HAIFENG</t>
        </is>
      </c>
      <c r="B1329" s="9" t="inlineStr">
        <is>
          <t>HAIFENG 03/12/2025</t>
        </is>
      </c>
      <c r="C1329" s="9" t="inlineStr">
        <is>
          <t>2025-12-03</t>
        </is>
      </c>
      <c r="D1329" s="9" t="inlineStr">
        <is>
          <t>2653036202124</t>
        </is>
      </c>
      <c r="E1329" s="9" t="inlineStr">
        <is>
          <t>ANILLO LOVE SILVER ANCHO</t>
        </is>
      </c>
      <c r="F1329" s="9" t="inlineStr">
        <is>
          <t>9</t>
        </is>
      </c>
      <c r="G1329" s="9" t="n">
        <v>5</v>
      </c>
      <c r="H1329" s="21" t="n">
        <v>1.8</v>
      </c>
      <c r="I1329" s="21" t="n">
        <v>37.65</v>
      </c>
      <c r="J1329" s="21" t="n">
        <v>112.95</v>
      </c>
      <c r="K1329" s="21" t="n">
        <v>131.78</v>
      </c>
      <c r="L1329" s="21" t="n">
        <v>150.6</v>
      </c>
      <c r="M1329" s="21" t="n">
        <v>400</v>
      </c>
    </row>
    <row r="1330">
      <c r="A1330" s="9" t="inlineStr">
        <is>
          <t>HAIFENG</t>
        </is>
      </c>
      <c r="B1330" s="9" t="inlineStr">
        <is>
          <t>HAIFENG 03/12/2025</t>
        </is>
      </c>
      <c r="C1330" s="9" t="inlineStr">
        <is>
          <t>2025-12-03</t>
        </is>
      </c>
      <c r="D1330" s="9" t="inlineStr">
        <is>
          <t>66593bcf8df22</t>
        </is>
      </c>
      <c r="E1330" s="9" t="inlineStr">
        <is>
          <t>ANILLO LOVE SILVER ANCHO CON ZIRCONIA</t>
        </is>
      </c>
      <c r="F1330" s="9" t="inlineStr">
        <is>
          <t>8</t>
        </is>
      </c>
      <c r="G1330" s="9" t="n">
        <v>2</v>
      </c>
      <c r="H1330" s="21" t="n">
        <v>1.8</v>
      </c>
      <c r="I1330" s="21" t="n">
        <v>37.65</v>
      </c>
      <c r="J1330" s="21" t="n">
        <v>112.95</v>
      </c>
      <c r="K1330" s="21" t="n">
        <v>131.78</v>
      </c>
      <c r="L1330" s="21" t="n">
        <v>150.6</v>
      </c>
      <c r="M1330" s="21" t="n">
        <v>292</v>
      </c>
    </row>
    <row r="1331">
      <c r="A1331" s="9" t="inlineStr">
        <is>
          <t>HAIFENG</t>
        </is>
      </c>
      <c r="B1331" s="9" t="inlineStr">
        <is>
          <t>HAIFENG 03/12/2025</t>
        </is>
      </c>
      <c r="C1331" s="9" t="inlineStr">
        <is>
          <t>2025-12-03</t>
        </is>
      </c>
      <c r="D1331" s="9" t="inlineStr">
        <is>
          <t>66075801474733</t>
        </is>
      </c>
      <c r="E1331" s="9" t="inlineStr">
        <is>
          <t>ANILLO LOVE SOLITAIRE ROSE GOLD C</t>
        </is>
      </c>
      <c r="F1331" s="9" t="inlineStr">
        <is>
          <t>6</t>
        </is>
      </c>
      <c r="G1331" s="9" t="n">
        <v>2</v>
      </c>
      <c r="H1331" s="21" t="n">
        <v>7</v>
      </c>
      <c r="I1331" s="21" t="n">
        <v>146.42</v>
      </c>
      <c r="J1331" s="21" t="n">
        <v>439.26</v>
      </c>
      <c r="K1331" s="21" t="n">
        <v>512.47</v>
      </c>
      <c r="L1331" s="21" t="n">
        <v>585.6799999999999</v>
      </c>
      <c r="M1331" s="21" t="n">
        <v>577</v>
      </c>
    </row>
    <row r="1332">
      <c r="A1332" s="9" t="inlineStr">
        <is>
          <t>HAIFENG</t>
        </is>
      </c>
      <c r="B1332" s="9" t="inlineStr">
        <is>
          <t>HAIFENG 03/12/2025</t>
        </is>
      </c>
      <c r="C1332" s="9" t="inlineStr">
        <is>
          <t>2025-12-03</t>
        </is>
      </c>
      <c r="D1332" s="9" t="inlineStr">
        <is>
          <t>67201534287725</t>
        </is>
      </c>
      <c r="E1332" s="9" t="inlineStr">
        <is>
          <t>ANILLO MINI BEAN T SILVER</t>
        </is>
      </c>
      <c r="F1332" s="9" t="inlineStr">
        <is>
          <t>6</t>
        </is>
      </c>
      <c r="G1332" s="9" t="n">
        <v>2</v>
      </c>
      <c r="H1332" s="21" t="n">
        <v>5</v>
      </c>
      <c r="I1332" s="21" t="n">
        <v>104.59</v>
      </c>
      <c r="J1332" s="21" t="n">
        <v>313.76</v>
      </c>
      <c r="K1332" s="21" t="n">
        <v>366.05</v>
      </c>
      <c r="L1332" s="21" t="n">
        <v>418.34</v>
      </c>
      <c r="M1332" s="21" t="n">
        <v>495</v>
      </c>
    </row>
    <row r="1333">
      <c r="A1333" s="9" t="inlineStr">
        <is>
          <t>HAIFENG</t>
        </is>
      </c>
      <c r="B1333" s="9" t="inlineStr">
        <is>
          <t>HAIFENG 03/12/2025</t>
        </is>
      </c>
      <c r="C1333" s="9" t="inlineStr">
        <is>
          <t>2025-12-03</t>
        </is>
      </c>
      <c r="D1333" s="9" t="inlineStr">
        <is>
          <t>67201534320493</t>
        </is>
      </c>
      <c r="E1333" s="9" t="inlineStr">
        <is>
          <t>ANILLO MINI BEAN T SILVER</t>
        </is>
      </c>
      <c r="F1333" s="9" t="inlineStr">
        <is>
          <t>7</t>
        </is>
      </c>
      <c r="G1333" s="9" t="n">
        <v>4</v>
      </c>
      <c r="H1333" s="21" t="n">
        <v>5</v>
      </c>
      <c r="I1333" s="21" t="n">
        <v>104.59</v>
      </c>
      <c r="J1333" s="21" t="n">
        <v>313.76</v>
      </c>
      <c r="K1333" s="21" t="n">
        <v>366.05</v>
      </c>
      <c r="L1333" s="21" t="n">
        <v>418.34</v>
      </c>
      <c r="M1333" s="21" t="n">
        <v>495</v>
      </c>
    </row>
    <row r="1334">
      <c r="A1334" s="9" t="inlineStr">
        <is>
          <t>HAIFENG</t>
        </is>
      </c>
      <c r="B1334" s="9" t="inlineStr">
        <is>
          <t>HAIFENG 03/12/2025</t>
        </is>
      </c>
      <c r="C1334" s="9" t="inlineStr">
        <is>
          <t>2025-12-03</t>
        </is>
      </c>
      <c r="D1334" s="9" t="inlineStr">
        <is>
          <t>673cd55edea9b</t>
        </is>
      </c>
      <c r="E1334" s="9" t="inlineStr">
        <is>
          <t>ANILLO ONE T CON ZIRCONIA GOLD</t>
        </is>
      </c>
      <c r="F1334" s="9" t="inlineStr">
        <is>
          <t>7</t>
        </is>
      </c>
      <c r="G1334" s="9" t="n">
        <v>2</v>
      </c>
      <c r="H1334" s="21" t="n">
        <v>5</v>
      </c>
      <c r="I1334" s="21" t="n">
        <v>104.59</v>
      </c>
      <c r="J1334" s="21" t="n">
        <v>313.76</v>
      </c>
      <c r="K1334" s="21" t="n">
        <v>366.05</v>
      </c>
      <c r="L1334" s="21" t="n">
        <v>418.34</v>
      </c>
      <c r="M1334" s="21" t="n">
        <v>450</v>
      </c>
    </row>
    <row r="1335">
      <c r="A1335" s="9" t="inlineStr">
        <is>
          <t>HAIFENG</t>
        </is>
      </c>
      <c r="B1335" s="9" t="inlineStr">
        <is>
          <t>HAIFENG 03/12/2025</t>
        </is>
      </c>
      <c r="C1335" s="9" t="inlineStr">
        <is>
          <t>2025-12-03</t>
        </is>
      </c>
      <c r="D1335" s="9" t="inlineStr">
        <is>
          <t>43047225884812</t>
        </is>
      </c>
      <c r="E1335" s="9" t="inlineStr">
        <is>
          <t>ANILLO ONE T GOLD</t>
        </is>
      </c>
      <c r="F1335" s="9" t="inlineStr">
        <is>
          <t>6</t>
        </is>
      </c>
      <c r="G1335" s="9" t="n">
        <v>1</v>
      </c>
      <c r="H1335" s="21" t="n">
        <v>4</v>
      </c>
      <c r="I1335" s="21" t="n">
        <v>83.67</v>
      </c>
      <c r="J1335" s="21" t="n">
        <v>251.01</v>
      </c>
      <c r="K1335" s="21" t="n">
        <v>292.84</v>
      </c>
      <c r="L1335" s="21" t="n">
        <v>334.67</v>
      </c>
      <c r="M1335" s="21" t="n">
        <v>499</v>
      </c>
    </row>
    <row r="1336">
      <c r="A1336" s="9" t="inlineStr">
        <is>
          <t>HAIFENG</t>
        </is>
      </c>
      <c r="B1336" s="9" t="inlineStr">
        <is>
          <t>HAIFENG 03/12/2025</t>
        </is>
      </c>
      <c r="C1336" s="9" t="inlineStr">
        <is>
          <t>2025-12-03</t>
        </is>
      </c>
      <c r="D1336" s="9" t="inlineStr">
        <is>
          <t>47861321014669</t>
        </is>
      </c>
      <c r="E1336" s="9" t="inlineStr">
        <is>
          <t>ANILLO PANTHERE BIG GOLD C</t>
        </is>
      </c>
      <c r="F1336" s="9" t="inlineStr">
        <is>
          <t>Default Title</t>
        </is>
      </c>
      <c r="G1336" s="9" t="n">
        <v>2</v>
      </c>
      <c r="H1336" s="21" t="n">
        <v>9</v>
      </c>
      <c r="I1336" s="21" t="n">
        <v>188.25</v>
      </c>
      <c r="J1336" s="21" t="n">
        <v>564.76</v>
      </c>
      <c r="K1336" s="21" t="n">
        <v>658.89</v>
      </c>
      <c r="L1336" s="21" t="n">
        <v>753.02</v>
      </c>
      <c r="M1336" s="21" t="n">
        <v>750</v>
      </c>
    </row>
    <row r="1337">
      <c r="A1337" s="9" t="inlineStr">
        <is>
          <t>HAIFENG</t>
        </is>
      </c>
      <c r="B1337" s="9" t="inlineStr">
        <is>
          <t>HAIFENG 03/12/2025</t>
        </is>
      </c>
      <c r="C1337" s="9" t="inlineStr">
        <is>
          <t>2025-12-03</t>
        </is>
      </c>
      <c r="D1337" s="9" t="inlineStr">
        <is>
          <t>27009181053197</t>
        </is>
      </c>
      <c r="E1337" s="9" t="inlineStr">
        <is>
          <t>ANILLO PANTHERE BIG SILVER C</t>
        </is>
      </c>
      <c r="F1337" s="9" t="inlineStr">
        <is>
          <t>Default Title</t>
        </is>
      </c>
      <c r="G1337" s="9" t="n">
        <v>2</v>
      </c>
      <c r="H1337" s="21" t="n">
        <v>9</v>
      </c>
      <c r="I1337" s="21" t="n">
        <v>188.25</v>
      </c>
      <c r="J1337" s="21" t="n">
        <v>564.76</v>
      </c>
      <c r="K1337" s="21" t="n">
        <v>658.89</v>
      </c>
      <c r="L1337" s="21" t="n">
        <v>753.02</v>
      </c>
      <c r="M1337" s="21" t="n">
        <v>750</v>
      </c>
    </row>
    <row r="1338">
      <c r="A1338" s="9" t="inlineStr">
        <is>
          <t>HAIFENG</t>
        </is>
      </c>
      <c r="B1338" s="9" t="inlineStr">
        <is>
          <t>HAIFENG 03/12/2025</t>
        </is>
      </c>
      <c r="C1338" s="9" t="inlineStr">
        <is>
          <t>2025-12-03</t>
        </is>
      </c>
      <c r="D1338" s="9" t="inlineStr">
        <is>
          <t>56481484246028</t>
        </is>
      </c>
      <c r="E1338" s="9" t="inlineStr">
        <is>
          <t>ANILLO SIXTEEN STONE GOLD/RED</t>
        </is>
      </c>
      <c r="F1338" s="9" t="inlineStr">
        <is>
          <t>6</t>
        </is>
      </c>
      <c r="G1338" s="9" t="n">
        <v>2</v>
      </c>
      <c r="H1338" s="21" t="n">
        <v>6</v>
      </c>
      <c r="I1338" s="21" t="n">
        <v>125.5</v>
      </c>
      <c r="J1338" s="21" t="n">
        <v>376.51</v>
      </c>
      <c r="K1338" s="21" t="n">
        <v>439.26</v>
      </c>
      <c r="L1338" s="21" t="n">
        <v>502.01</v>
      </c>
      <c r="M1338" s="21" t="n">
        <v>550</v>
      </c>
    </row>
    <row r="1339">
      <c r="A1339" s="9" t="inlineStr">
        <is>
          <t>HAIFENG</t>
        </is>
      </c>
      <c r="B1339" s="9" t="inlineStr">
        <is>
          <t>HAIFENG 03/12/2025</t>
        </is>
      </c>
      <c r="C1339" s="9" t="inlineStr">
        <is>
          <t>2025-12-03</t>
        </is>
      </c>
      <c r="D1339" s="9" t="inlineStr">
        <is>
          <t>56481484278796</t>
        </is>
      </c>
      <c r="E1339" s="9" t="inlineStr">
        <is>
          <t>ANILLO SIXTEEN STONE GOLD/RED</t>
        </is>
      </c>
      <c r="F1339" s="9" t="inlineStr">
        <is>
          <t>7</t>
        </is>
      </c>
      <c r="G1339" s="9" t="n">
        <v>2</v>
      </c>
      <c r="H1339" s="21" t="n">
        <v>6</v>
      </c>
      <c r="I1339" s="21" t="n">
        <v>125.5</v>
      </c>
      <c r="J1339" s="21" t="n">
        <v>376.51</v>
      </c>
      <c r="K1339" s="21" t="n">
        <v>439.26</v>
      </c>
      <c r="L1339" s="21" t="n">
        <v>502.01</v>
      </c>
      <c r="M1339" s="21" t="n">
        <v>550</v>
      </c>
    </row>
    <row r="1340">
      <c r="A1340" s="9" t="inlineStr">
        <is>
          <t>HAIFENG</t>
        </is>
      </c>
      <c r="B1340" s="9" t="inlineStr">
        <is>
          <t>HAIFENG 03/12/2025</t>
        </is>
      </c>
      <c r="C1340" s="9" t="inlineStr">
        <is>
          <t>2025-12-03</t>
        </is>
      </c>
      <c r="D1340" s="9" t="inlineStr">
        <is>
          <t>56481484311564</t>
        </is>
      </c>
      <c r="E1340" s="9" t="inlineStr">
        <is>
          <t>ANILLO SIXTEEN STONE GOLD/RED</t>
        </is>
      </c>
      <c r="F1340" s="9" t="inlineStr">
        <is>
          <t>8</t>
        </is>
      </c>
      <c r="G1340" s="9" t="n">
        <v>2</v>
      </c>
      <c r="H1340" s="21" t="n">
        <v>6</v>
      </c>
      <c r="I1340" s="21" t="n">
        <v>125.5</v>
      </c>
      <c r="J1340" s="21" t="n">
        <v>376.51</v>
      </c>
      <c r="K1340" s="21" t="n">
        <v>439.26</v>
      </c>
      <c r="L1340" s="21" t="n">
        <v>502.01</v>
      </c>
      <c r="M1340" s="21" t="n">
        <v>550</v>
      </c>
    </row>
    <row r="1341">
      <c r="A1341" s="9" t="inlineStr">
        <is>
          <t>HAIFENG</t>
        </is>
      </c>
      <c r="B1341" s="9" t="inlineStr">
        <is>
          <t>HAIFENG 03/12/2025</t>
        </is>
      </c>
      <c r="C1341" s="9" t="inlineStr">
        <is>
          <t>2025-12-03</t>
        </is>
      </c>
      <c r="D1341" s="9" t="inlineStr">
        <is>
          <t>2653019476748</t>
        </is>
      </c>
      <c r="E1341" s="9" t="inlineStr">
        <is>
          <t>ANILLO SIXTEEN STONE SILVER</t>
        </is>
      </c>
      <c r="F1341" s="9" t="inlineStr">
        <is>
          <t>HIGH QUALITY 5</t>
        </is>
      </c>
      <c r="G1341" s="9" t="n">
        <v>2</v>
      </c>
      <c r="H1341" s="21" t="n">
        <v>6</v>
      </c>
      <c r="I1341" s="21" t="n">
        <v>125.5</v>
      </c>
      <c r="J1341" s="21" t="n">
        <v>376.51</v>
      </c>
      <c r="K1341" s="21" t="n">
        <v>439.26</v>
      </c>
      <c r="L1341" s="21" t="n">
        <v>502.01</v>
      </c>
      <c r="M1341" s="21" t="n">
        <v>999</v>
      </c>
    </row>
    <row r="1342">
      <c r="A1342" s="9" t="inlineStr">
        <is>
          <t>HAIFENG</t>
        </is>
      </c>
      <c r="B1342" s="9" t="inlineStr">
        <is>
          <t>HAIFENG 03/12/2025</t>
        </is>
      </c>
      <c r="C1342" s="9" t="inlineStr">
        <is>
          <t>2025-12-03</t>
        </is>
      </c>
      <c r="D1342" s="9" t="inlineStr">
        <is>
          <t>2653019509516</t>
        </is>
      </c>
      <c r="E1342" s="9" t="inlineStr">
        <is>
          <t>ANILLO SIXTEEN STONE SILVER</t>
        </is>
      </c>
      <c r="F1342" s="9" t="inlineStr">
        <is>
          <t>HIGH QUALITY 6</t>
        </is>
      </c>
      <c r="G1342" s="9" t="n">
        <v>3</v>
      </c>
      <c r="H1342" s="21" t="n">
        <v>6</v>
      </c>
      <c r="I1342" s="21" t="n">
        <v>125.5</v>
      </c>
      <c r="J1342" s="21" t="n">
        <v>376.51</v>
      </c>
      <c r="K1342" s="21" t="n">
        <v>439.26</v>
      </c>
      <c r="L1342" s="21" t="n">
        <v>502.01</v>
      </c>
      <c r="M1342" s="21" t="n">
        <v>999</v>
      </c>
    </row>
    <row r="1343">
      <c r="A1343" s="9" t="inlineStr">
        <is>
          <t>HAIFENG</t>
        </is>
      </c>
      <c r="B1343" s="9" t="inlineStr">
        <is>
          <t>HAIFENG 03/12/2025</t>
        </is>
      </c>
      <c r="C1343" s="9" t="inlineStr">
        <is>
          <t>2025-12-03</t>
        </is>
      </c>
      <c r="D1343" s="9" t="inlineStr">
        <is>
          <t>668eee497dfb4</t>
        </is>
      </c>
      <c r="E1343" s="9" t="inlineStr">
        <is>
          <t>ANILLO T CON TURQUESA Y ZIRCONIA</t>
        </is>
      </c>
      <c r="F1343" s="9" t="inlineStr">
        <is>
          <t>AJUSTABLE</t>
        </is>
      </c>
      <c r="G1343" s="9" t="n">
        <v>3</v>
      </c>
      <c r="H1343" s="21" t="n">
        <v>5</v>
      </c>
      <c r="I1343" s="21" t="n">
        <v>104.59</v>
      </c>
      <c r="J1343" s="21" t="n">
        <v>313.76</v>
      </c>
      <c r="K1343" s="21" t="n">
        <v>366.05</v>
      </c>
      <c r="L1343" s="21" t="n">
        <v>418.34</v>
      </c>
      <c r="M1343" s="21" t="n">
        <v>450</v>
      </c>
    </row>
    <row r="1344">
      <c r="A1344" s="9" t="inlineStr">
        <is>
          <t>HAIFENG</t>
        </is>
      </c>
      <c r="B1344" s="9" t="inlineStr">
        <is>
          <t>HAIFENG 03/12/2025</t>
        </is>
      </c>
      <c r="C1344" s="9" t="inlineStr">
        <is>
          <t>2025-12-03</t>
        </is>
      </c>
      <c r="D1344" s="9" t="inlineStr">
        <is>
          <t>71036879166988</t>
        </is>
      </c>
      <c r="E1344" s="9" t="inlineStr">
        <is>
          <t>ANILLO T DE COMPROMISO</t>
        </is>
      </c>
      <c r="F1344" s="9" t="inlineStr">
        <is>
          <t>6</t>
        </is>
      </c>
      <c r="G1344" s="9" t="n">
        <v>4</v>
      </c>
      <c r="H1344" s="21" t="n">
        <v>5</v>
      </c>
      <c r="I1344" s="21" t="n">
        <v>104.59</v>
      </c>
      <c r="J1344" s="21" t="n">
        <v>313.76</v>
      </c>
      <c r="K1344" s="21" t="n">
        <v>366.05</v>
      </c>
      <c r="L1344" s="21" t="n">
        <v>418.34</v>
      </c>
      <c r="M1344" s="21" t="n">
        <v>599</v>
      </c>
    </row>
    <row r="1345">
      <c r="A1345" s="9" t="inlineStr">
        <is>
          <t>HAIFENG</t>
        </is>
      </c>
      <c r="B1345" s="9" t="inlineStr">
        <is>
          <t>HAIFENG 03/12/2025</t>
        </is>
      </c>
      <c r="C1345" s="9" t="inlineStr">
        <is>
          <t>2025-12-03</t>
        </is>
      </c>
      <c r="D1345" s="9" t="inlineStr">
        <is>
          <t>71036889199756</t>
        </is>
      </c>
      <c r="E1345" s="9" t="inlineStr">
        <is>
          <t>ANILLO T DE COMPROMISO</t>
        </is>
      </c>
      <c r="F1345" s="9" t="inlineStr">
        <is>
          <t>7</t>
        </is>
      </c>
      <c r="G1345" s="9" t="n">
        <v>3</v>
      </c>
      <c r="H1345" s="21" t="n">
        <v>5</v>
      </c>
      <c r="I1345" s="21" t="n">
        <v>104.59</v>
      </c>
      <c r="J1345" s="21" t="n">
        <v>313.76</v>
      </c>
      <c r="K1345" s="21" t="n">
        <v>366.05</v>
      </c>
      <c r="L1345" s="21" t="n">
        <v>418.34</v>
      </c>
      <c r="M1345" s="21" t="n">
        <v>599</v>
      </c>
    </row>
    <row r="1346">
      <c r="A1346" s="9" t="inlineStr">
        <is>
          <t>HAIFENG</t>
        </is>
      </c>
      <c r="B1346" s="9" t="inlineStr">
        <is>
          <t>HAIFENG 03/12/2025</t>
        </is>
      </c>
      <c r="C1346" s="9" t="inlineStr">
        <is>
          <t>2025-12-03</t>
        </is>
      </c>
      <c r="D1346" s="9" t="inlineStr">
        <is>
          <t>668eecd447a15</t>
        </is>
      </c>
      <c r="E1346" s="9" t="inlineStr">
        <is>
          <t>ANILLO T GOLD</t>
        </is>
      </c>
      <c r="F1346" s="9" t="inlineStr">
        <is>
          <t>6</t>
        </is>
      </c>
      <c r="G1346" s="9" t="n">
        <v>3</v>
      </c>
      <c r="H1346" s="21" t="n">
        <v>5</v>
      </c>
      <c r="I1346" s="21" t="n">
        <v>104.59</v>
      </c>
      <c r="J1346" s="21" t="n">
        <v>313.76</v>
      </c>
      <c r="K1346" s="21" t="n">
        <v>366.05</v>
      </c>
      <c r="L1346" s="21" t="n">
        <v>418.34</v>
      </c>
      <c r="M1346" s="21" t="n">
        <v>450</v>
      </c>
    </row>
    <row r="1347">
      <c r="A1347" s="9" t="inlineStr">
        <is>
          <t>HAIFENG</t>
        </is>
      </c>
      <c r="B1347" s="9" t="inlineStr">
        <is>
          <t>HAIFENG 03/12/2025</t>
        </is>
      </c>
      <c r="C1347" s="9" t="inlineStr">
        <is>
          <t>2025-12-03</t>
        </is>
      </c>
      <c r="D1347" s="9" t="inlineStr">
        <is>
          <t>668eecd4df850</t>
        </is>
      </c>
      <c r="E1347" s="9" t="inlineStr">
        <is>
          <t>ANILLO T GOLD</t>
        </is>
      </c>
      <c r="F1347" s="9" t="inlineStr">
        <is>
          <t>7</t>
        </is>
      </c>
      <c r="G1347" s="9" t="n">
        <v>4</v>
      </c>
      <c r="H1347" s="21" t="n">
        <v>5</v>
      </c>
      <c r="I1347" s="21" t="n">
        <v>104.59</v>
      </c>
      <c r="J1347" s="21" t="n">
        <v>313.76</v>
      </c>
      <c r="K1347" s="21" t="n">
        <v>366.05</v>
      </c>
      <c r="L1347" s="21" t="n">
        <v>418.34</v>
      </c>
      <c r="M1347" s="21" t="n">
        <v>450</v>
      </c>
    </row>
    <row r="1348">
      <c r="A1348" s="9" t="inlineStr">
        <is>
          <t>HAIFENG</t>
        </is>
      </c>
      <c r="B1348" s="9" t="inlineStr">
        <is>
          <t>HAIFENG 03/12/2025</t>
        </is>
      </c>
      <c r="C1348" s="9" t="inlineStr">
        <is>
          <t>2025-12-03</t>
        </is>
      </c>
      <c r="D1348" s="9" t="inlineStr">
        <is>
          <t>668eecd5a989f</t>
        </is>
      </c>
      <c r="E1348" s="9" t="inlineStr">
        <is>
          <t>ANILLO T GOLD</t>
        </is>
      </c>
      <c r="F1348" s="9" t="inlineStr">
        <is>
          <t>8</t>
        </is>
      </c>
      <c r="G1348" s="9" t="n">
        <v>5</v>
      </c>
      <c r="H1348" s="21" t="n">
        <v>5</v>
      </c>
      <c r="I1348" s="21" t="n">
        <v>104.59</v>
      </c>
      <c r="J1348" s="21" t="n">
        <v>313.76</v>
      </c>
      <c r="K1348" s="21" t="n">
        <v>366.05</v>
      </c>
      <c r="L1348" s="21" t="n">
        <v>418.34</v>
      </c>
      <c r="M1348" s="21" t="n">
        <v>450</v>
      </c>
    </row>
    <row r="1349">
      <c r="A1349" s="9" t="inlineStr">
        <is>
          <t>HAIFENG</t>
        </is>
      </c>
      <c r="B1349" s="9" t="inlineStr">
        <is>
          <t>HAIFENG 03/12/2025</t>
        </is>
      </c>
      <c r="C1349" s="9" t="inlineStr">
        <is>
          <t>2025-12-03</t>
        </is>
      </c>
      <c r="D1349" s="9" t="inlineStr">
        <is>
          <t>668eecd028acd</t>
        </is>
      </c>
      <c r="E1349" s="9" t="inlineStr">
        <is>
          <t>ANILLO T ROSE GOLD</t>
        </is>
      </c>
      <c r="F1349" s="9" t="inlineStr">
        <is>
          <t>6</t>
        </is>
      </c>
      <c r="G1349" s="9" t="n">
        <v>5</v>
      </c>
      <c r="H1349" s="21" t="n">
        <v>5</v>
      </c>
      <c r="I1349" s="21" t="n">
        <v>104.59</v>
      </c>
      <c r="J1349" s="21" t="n">
        <v>313.76</v>
      </c>
      <c r="K1349" s="21" t="n">
        <v>366.05</v>
      </c>
      <c r="L1349" s="21" t="n">
        <v>418.34</v>
      </c>
      <c r="M1349" s="21" t="n">
        <v>450</v>
      </c>
    </row>
    <row r="1350">
      <c r="A1350" s="9" t="inlineStr">
        <is>
          <t>HAIFENG</t>
        </is>
      </c>
      <c r="B1350" s="9" t="inlineStr">
        <is>
          <t>HAIFENG 03/12/2025</t>
        </is>
      </c>
      <c r="C1350" s="9" t="inlineStr">
        <is>
          <t>2025-12-03</t>
        </is>
      </c>
      <c r="D1350" s="9" t="inlineStr">
        <is>
          <t>668eecd0c3f2e</t>
        </is>
      </c>
      <c r="E1350" s="9" t="inlineStr">
        <is>
          <t>ANILLO T ROSE GOLD</t>
        </is>
      </c>
      <c r="F1350" s="9" t="inlineStr">
        <is>
          <t>7</t>
        </is>
      </c>
      <c r="G1350" s="9" t="n">
        <v>2</v>
      </c>
      <c r="H1350" s="21" t="n">
        <v>5</v>
      </c>
      <c r="I1350" s="21" t="n">
        <v>104.59</v>
      </c>
      <c r="J1350" s="21" t="n">
        <v>313.76</v>
      </c>
      <c r="K1350" s="21" t="n">
        <v>366.05</v>
      </c>
      <c r="L1350" s="21" t="n">
        <v>418.34</v>
      </c>
      <c r="M1350" s="21" t="n">
        <v>450</v>
      </c>
    </row>
    <row r="1351">
      <c r="A1351" s="9" t="inlineStr">
        <is>
          <t>HAIFENG</t>
        </is>
      </c>
      <c r="B1351" s="9" t="inlineStr">
        <is>
          <t>HAIFENG 03/12/2025</t>
        </is>
      </c>
      <c r="C1351" s="9" t="inlineStr">
        <is>
          <t>2025-12-03</t>
        </is>
      </c>
      <c r="D1351" s="9" t="inlineStr">
        <is>
          <t>668eee338c77b</t>
        </is>
      </c>
      <c r="E1351" s="9" t="inlineStr">
        <is>
          <t>ANILLO T SILVER</t>
        </is>
      </c>
      <c r="F1351" s="9" t="inlineStr">
        <is>
          <t>6</t>
        </is>
      </c>
      <c r="G1351" s="9" t="n">
        <v>6</v>
      </c>
      <c r="H1351" s="21" t="n">
        <v>5</v>
      </c>
      <c r="I1351" s="21" t="n">
        <v>104.59</v>
      </c>
      <c r="J1351" s="21" t="n">
        <v>313.76</v>
      </c>
      <c r="K1351" s="21" t="n">
        <v>366.05</v>
      </c>
      <c r="L1351" s="21" t="n">
        <v>418.34</v>
      </c>
      <c r="M1351" s="21" t="n">
        <v>450</v>
      </c>
    </row>
    <row r="1352">
      <c r="A1352" s="9" t="inlineStr">
        <is>
          <t>HAIFENG</t>
        </is>
      </c>
      <c r="B1352" s="9" t="inlineStr">
        <is>
          <t>HAIFENG 03/12/2025</t>
        </is>
      </c>
      <c r="C1352" s="9" t="inlineStr">
        <is>
          <t>2025-12-03</t>
        </is>
      </c>
      <c r="D1352" s="9" t="inlineStr">
        <is>
          <t>668eee34e7e6d</t>
        </is>
      </c>
      <c r="E1352" s="9" t="inlineStr">
        <is>
          <t>ANILLO T SILVER</t>
        </is>
      </c>
      <c r="F1352" s="9" t="inlineStr">
        <is>
          <t>8</t>
        </is>
      </c>
      <c r="G1352" s="9" t="n">
        <v>4</v>
      </c>
      <c r="H1352" s="21" t="n">
        <v>5</v>
      </c>
      <c r="I1352" s="21" t="n">
        <v>104.59</v>
      </c>
      <c r="J1352" s="21" t="n">
        <v>313.76</v>
      </c>
      <c r="K1352" s="21" t="n">
        <v>366.05</v>
      </c>
      <c r="L1352" s="21" t="n">
        <v>418.34</v>
      </c>
      <c r="M1352" s="21" t="n">
        <v>450</v>
      </c>
    </row>
    <row r="1353">
      <c r="A1353" s="9" t="inlineStr">
        <is>
          <t>HAIFENG</t>
        </is>
      </c>
      <c r="B1353" s="9" t="inlineStr">
        <is>
          <t>HAIFENG 03/12/2025</t>
        </is>
      </c>
      <c r="C1353" s="9" t="inlineStr">
        <is>
          <t>2025-12-03</t>
        </is>
      </c>
      <c r="D1353" s="9" t="inlineStr">
        <is>
          <t>67201533116173</t>
        </is>
      </c>
      <c r="E1353" s="9" t="inlineStr">
        <is>
          <t>ANILLO T1 T SILVER</t>
        </is>
      </c>
      <c r="F1353" s="9" t="inlineStr">
        <is>
          <t>6</t>
        </is>
      </c>
      <c r="G1353" s="9" t="n">
        <v>2</v>
      </c>
      <c r="H1353" s="21" t="n">
        <v>5.5</v>
      </c>
      <c r="I1353" s="21" t="n">
        <v>115.04</v>
      </c>
      <c r="J1353" s="21" t="n">
        <v>345.13</v>
      </c>
      <c r="K1353" s="21" t="n">
        <v>402.66</v>
      </c>
      <c r="L1353" s="21" t="n">
        <v>460.18</v>
      </c>
      <c r="M1353" s="21" t="n">
        <v>530</v>
      </c>
    </row>
    <row r="1354">
      <c r="A1354" s="9" t="inlineStr">
        <is>
          <t>HAIFENG</t>
        </is>
      </c>
      <c r="B1354" s="9" t="inlineStr">
        <is>
          <t>HAIFENG 03/12/2025</t>
        </is>
      </c>
      <c r="C1354" s="9" t="inlineStr">
        <is>
          <t>2025-12-03</t>
        </is>
      </c>
      <c r="D1354" s="9" t="inlineStr">
        <is>
          <t>67201533248941</t>
        </is>
      </c>
      <c r="E1354" s="9" t="inlineStr">
        <is>
          <t>ANILLO T1 T SILVER</t>
        </is>
      </c>
      <c r="F1354" s="9" t="inlineStr">
        <is>
          <t>7</t>
        </is>
      </c>
      <c r="G1354" s="9" t="n">
        <v>1</v>
      </c>
      <c r="H1354" s="21" t="n">
        <v>5.5</v>
      </c>
      <c r="I1354" s="21" t="n">
        <v>115.04</v>
      </c>
      <c r="J1354" s="21" t="n">
        <v>345.13</v>
      </c>
      <c r="K1354" s="21" t="n">
        <v>402.66</v>
      </c>
      <c r="L1354" s="21" t="n">
        <v>460.18</v>
      </c>
      <c r="M1354" s="21" t="n">
        <v>530</v>
      </c>
    </row>
    <row r="1355">
      <c r="A1355" s="9" t="inlineStr">
        <is>
          <t>HAIFENG</t>
        </is>
      </c>
      <c r="B1355" s="9" t="inlineStr">
        <is>
          <t>HAIFENG 03/12/2025</t>
        </is>
      </c>
      <c r="C1355" s="9" t="inlineStr">
        <is>
          <t>2025-12-03</t>
        </is>
      </c>
      <c r="D1355" s="9" t="inlineStr">
        <is>
          <t>15857683908876</t>
        </is>
      </c>
      <c r="E1355" s="9" t="inlineStr">
        <is>
          <t>ANILLO TRES AROS</t>
        </is>
      </c>
      <c r="F1355" s="9" t="inlineStr">
        <is>
          <t>7</t>
        </is>
      </c>
      <c r="G1355" s="9" t="n">
        <v>3</v>
      </c>
      <c r="H1355" s="21" t="n">
        <v>4.7</v>
      </c>
      <c r="I1355" s="21" t="n">
        <v>98.31</v>
      </c>
      <c r="J1355" s="21" t="n">
        <v>294.93</v>
      </c>
      <c r="K1355" s="21" t="n">
        <v>344.09</v>
      </c>
      <c r="L1355" s="21" t="n">
        <v>393.24</v>
      </c>
      <c r="M1355" s="21" t="n">
        <v>650</v>
      </c>
    </row>
    <row r="1356">
      <c r="A1356" s="9" t="inlineStr">
        <is>
          <t>HAIFENG</t>
        </is>
      </c>
      <c r="B1356" s="9" t="inlineStr">
        <is>
          <t>HAIFENG 03/12/2025</t>
        </is>
      </c>
      <c r="C1356" s="9" t="inlineStr">
        <is>
          <t>2025-12-03</t>
        </is>
      </c>
      <c r="D1356" s="9" t="inlineStr">
        <is>
          <t>15857685448972</t>
        </is>
      </c>
      <c r="E1356" s="9" t="inlineStr">
        <is>
          <t>ANILLO TRES AROS</t>
        </is>
      </c>
      <c r="F1356" s="9" t="inlineStr">
        <is>
          <t>8</t>
        </is>
      </c>
      <c r="G1356" s="9" t="n">
        <v>3</v>
      </c>
      <c r="H1356" s="21" t="n">
        <v>4.7</v>
      </c>
      <c r="I1356" s="21" t="n">
        <v>98.31</v>
      </c>
      <c r="J1356" s="21" t="n">
        <v>294.93</v>
      </c>
      <c r="K1356" s="21" t="n">
        <v>344.09</v>
      </c>
      <c r="L1356" s="21" t="n">
        <v>393.24</v>
      </c>
      <c r="M1356" s="21" t="n">
        <v>650</v>
      </c>
    </row>
    <row r="1357">
      <c r="A1357" s="9" t="inlineStr">
        <is>
          <t>HAIFENG</t>
        </is>
      </c>
      <c r="B1357" s="9" t="inlineStr">
        <is>
          <t>HAIFENG 03/12/2025</t>
        </is>
      </c>
      <c r="C1357" s="9" t="inlineStr">
        <is>
          <t>2025-12-03</t>
        </is>
      </c>
      <c r="D1357" s="9" t="inlineStr">
        <is>
          <t>15857685585804</t>
        </is>
      </c>
      <c r="E1357" s="9" t="inlineStr">
        <is>
          <t>ANILLO TRES AROS</t>
        </is>
      </c>
      <c r="F1357" s="9" t="inlineStr">
        <is>
          <t>6</t>
        </is>
      </c>
      <c r="G1357" s="9" t="n">
        <v>8</v>
      </c>
      <c r="H1357" s="21" t="n">
        <v>4.7</v>
      </c>
      <c r="I1357" s="21" t="n">
        <v>98.31</v>
      </c>
      <c r="J1357" s="21" t="n">
        <v>294.93</v>
      </c>
      <c r="K1357" s="21" t="n">
        <v>344.09</v>
      </c>
      <c r="L1357" s="21" t="n">
        <v>393.24</v>
      </c>
      <c r="M1357" s="21" t="n">
        <v>650</v>
      </c>
    </row>
    <row r="1358">
      <c r="A1358" s="9" t="inlineStr">
        <is>
          <t>HAIFENG</t>
        </is>
      </c>
      <c r="B1358" s="9" t="inlineStr">
        <is>
          <t>HAIFENG 03/12/2025</t>
        </is>
      </c>
      <c r="C1358" s="9" t="inlineStr">
        <is>
          <t>2025-12-03</t>
        </is>
      </c>
      <c r="D1358" s="9" t="inlineStr">
        <is>
          <t>673cd567a7edc</t>
        </is>
      </c>
      <c r="E1358" s="9" t="inlineStr">
        <is>
          <t>ANILLO TRES AROS</t>
        </is>
      </c>
      <c r="F1358" s="9" t="inlineStr">
        <is>
          <t>5</t>
        </is>
      </c>
      <c r="G1358" s="9" t="n">
        <v>8</v>
      </c>
      <c r="H1358" s="21" t="n">
        <v>4.7</v>
      </c>
      <c r="I1358" s="21" t="n">
        <v>98.31</v>
      </c>
      <c r="J1358" s="21" t="n">
        <v>294.93</v>
      </c>
      <c r="K1358" s="21" t="n">
        <v>344.09</v>
      </c>
      <c r="L1358" s="21" t="n">
        <v>393.24</v>
      </c>
      <c r="M1358" s="21" t="n">
        <v>650</v>
      </c>
    </row>
    <row r="1359">
      <c r="A1359" s="9" t="inlineStr">
        <is>
          <t>HAIFENG</t>
        </is>
      </c>
      <c r="B1359" s="9" t="inlineStr">
        <is>
          <t>HAIFENG 03/12/2025</t>
        </is>
      </c>
      <c r="C1359" s="9" t="inlineStr">
        <is>
          <t>2025-12-03</t>
        </is>
      </c>
      <c r="D1359" s="9" t="inlineStr">
        <is>
          <t>56481488554124</t>
        </is>
      </c>
      <c r="E1359" s="9" t="inlineStr">
        <is>
          <t>ANILLO TRES AROS CON ZIRCONIA</t>
        </is>
      </c>
      <c r="F1359" s="9" t="inlineStr">
        <is>
          <t>6</t>
        </is>
      </c>
      <c r="G1359" s="9" t="n">
        <v>4</v>
      </c>
      <c r="H1359" s="21" t="n">
        <v>10</v>
      </c>
      <c r="I1359" s="21" t="n">
        <v>209.17</v>
      </c>
      <c r="J1359" s="21" t="n">
        <v>627.51</v>
      </c>
      <c r="K1359" s="21" t="n">
        <v>732.1</v>
      </c>
      <c r="L1359" s="21" t="n">
        <v>836.6900000000001</v>
      </c>
      <c r="M1359" s="21" t="n">
        <v>1405</v>
      </c>
    </row>
    <row r="1360">
      <c r="A1360" s="9" t="inlineStr">
        <is>
          <t>HAIFENG</t>
        </is>
      </c>
      <c r="B1360" s="9" t="inlineStr">
        <is>
          <t>HAIFENG 03/12/2025</t>
        </is>
      </c>
      <c r="C1360" s="9" t="inlineStr">
        <is>
          <t>2025-12-03</t>
        </is>
      </c>
      <c r="D1360" s="9" t="inlineStr">
        <is>
          <t>56481488586892</t>
        </is>
      </c>
      <c r="E1360" s="9" t="inlineStr">
        <is>
          <t>ANILLO TRES AROS CON ZIRCONIA</t>
        </is>
      </c>
      <c r="F1360" s="9" t="inlineStr">
        <is>
          <t>7</t>
        </is>
      </c>
      <c r="G1360" s="9" t="n">
        <v>4</v>
      </c>
      <c r="H1360" s="21" t="n">
        <v>10</v>
      </c>
      <c r="I1360" s="21" t="n">
        <v>209.17</v>
      </c>
      <c r="J1360" s="21" t="n">
        <v>627.51</v>
      </c>
      <c r="K1360" s="21" t="n">
        <v>732.1</v>
      </c>
      <c r="L1360" s="21" t="n">
        <v>836.6900000000001</v>
      </c>
      <c r="M1360" s="21" t="n">
        <v>850</v>
      </c>
    </row>
    <row r="1361">
      <c r="A1361" s="9" t="inlineStr">
        <is>
          <t>HAIFENG</t>
        </is>
      </c>
      <c r="B1361" s="9" t="inlineStr">
        <is>
          <t>HAIFENG 03/12/2025</t>
        </is>
      </c>
      <c r="C1361" s="9" t="inlineStr">
        <is>
          <t>2025-12-03</t>
        </is>
      </c>
      <c r="D1361" s="9" t="inlineStr">
        <is>
          <t>56481485030668</t>
        </is>
      </c>
      <c r="E1361" s="9" t="inlineStr">
        <is>
          <t>ANILLO TRES AROS SILVER/BLACK</t>
        </is>
      </c>
      <c r="F1361" s="9" t="inlineStr">
        <is>
          <t>8</t>
        </is>
      </c>
      <c r="G1361" s="9" t="n">
        <v>3</v>
      </c>
      <c r="H1361" s="21" t="n">
        <v>5</v>
      </c>
      <c r="I1361" s="21" t="n">
        <v>104.59</v>
      </c>
      <c r="J1361" s="21" t="n">
        <v>313.76</v>
      </c>
      <c r="K1361" s="21" t="n">
        <v>366.05</v>
      </c>
      <c r="L1361" s="21" t="n">
        <v>418.34</v>
      </c>
      <c r="M1361" s="21" t="n">
        <v>639</v>
      </c>
    </row>
    <row r="1362">
      <c r="A1362" s="9" t="inlineStr">
        <is>
          <t>HAIFENG</t>
        </is>
      </c>
      <c r="B1362" s="9" t="inlineStr">
        <is>
          <t>HAIFENG 03/12/2025</t>
        </is>
      </c>
      <c r="C1362" s="9" t="inlineStr">
        <is>
          <t>2025-12-03</t>
        </is>
      </c>
      <c r="D1362" s="9" t="inlineStr">
        <is>
          <t>56481485096204</t>
        </is>
      </c>
      <c r="E1362" s="9" t="inlineStr">
        <is>
          <t>ANILLO TRES AROS SILVER/BLACK</t>
        </is>
      </c>
      <c r="F1362" s="9" t="inlineStr">
        <is>
          <t>10</t>
        </is>
      </c>
      <c r="G1362" s="9" t="n">
        <v>1</v>
      </c>
      <c r="H1362" s="21" t="n">
        <v>5</v>
      </c>
      <c r="I1362" s="21" t="n">
        <v>104.59</v>
      </c>
      <c r="J1362" s="21" t="n">
        <v>313.76</v>
      </c>
      <c r="K1362" s="21" t="n">
        <v>366.05</v>
      </c>
      <c r="L1362" s="21" t="n">
        <v>418.34</v>
      </c>
      <c r="M1362" s="21" t="n">
        <v>500</v>
      </c>
    </row>
    <row r="1363">
      <c r="A1363" s="9" t="inlineStr">
        <is>
          <t>HAIFENG</t>
        </is>
      </c>
      <c r="B1363" s="9" t="inlineStr">
        <is>
          <t>HAIFENG 03/12/2025</t>
        </is>
      </c>
      <c r="C1363" s="9" t="inlineStr">
        <is>
          <t>2025-12-03</t>
        </is>
      </c>
      <c r="D1363" s="9" t="inlineStr">
        <is>
          <t>38334521369409</t>
        </is>
      </c>
      <c r="E1363" s="9" t="inlineStr">
        <is>
          <t>ANILLO TR√âBOL SILVER</t>
        </is>
      </c>
      <c r="F1363" s="9" t="inlineStr">
        <is>
          <t>7</t>
        </is>
      </c>
      <c r="G1363" s="9" t="n">
        <v>2</v>
      </c>
      <c r="H1363" s="21" t="n">
        <v>5.99</v>
      </c>
      <c r="I1363" s="21" t="n">
        <v>125.29</v>
      </c>
      <c r="J1363" s="21" t="n">
        <v>375.88</v>
      </c>
      <c r="K1363" s="21" t="n">
        <v>438.53</v>
      </c>
      <c r="L1363" s="21" t="n">
        <v>501.18</v>
      </c>
      <c r="M1363" s="21" t="n">
        <v>599</v>
      </c>
    </row>
    <row r="1364">
      <c r="A1364" s="9" t="inlineStr">
        <is>
          <t>HAIFENG</t>
        </is>
      </c>
      <c r="B1364" s="9" t="inlineStr">
        <is>
          <t>HAIFENG 03/12/2025</t>
        </is>
      </c>
      <c r="C1364" s="9" t="inlineStr">
        <is>
          <t>2025-12-03</t>
        </is>
      </c>
      <c r="D1364" s="9" t="inlineStr">
        <is>
          <t>64085742023341</t>
        </is>
      </c>
      <c r="E1364" s="9" t="inlineStr">
        <is>
          <t>ANILLO VENDOME TRICOLOR C</t>
        </is>
      </c>
      <c r="F1364" s="9" t="inlineStr">
        <is>
          <t>5</t>
        </is>
      </c>
      <c r="G1364" s="9" t="n">
        <v>3</v>
      </c>
      <c r="H1364" s="21" t="n">
        <v>6</v>
      </c>
      <c r="I1364" s="21" t="n">
        <v>125.5</v>
      </c>
      <c r="J1364" s="21" t="n">
        <v>376.51</v>
      </c>
      <c r="K1364" s="21" t="n">
        <v>439.26</v>
      </c>
      <c r="L1364" s="21" t="n">
        <v>502.01</v>
      </c>
      <c r="M1364" s="21" t="n">
        <v>499</v>
      </c>
    </row>
    <row r="1365">
      <c r="A1365" s="9" t="inlineStr">
        <is>
          <t>HAIFENG</t>
        </is>
      </c>
      <c r="B1365" s="9" t="inlineStr">
        <is>
          <t>HAIFENG 03/12/2025</t>
        </is>
      </c>
      <c r="C1365" s="9" t="inlineStr">
        <is>
          <t>2025-12-03</t>
        </is>
      </c>
      <c r="D1365" s="9" t="inlineStr">
        <is>
          <t>64085742247629</t>
        </is>
      </c>
      <c r="E1365" s="9" t="inlineStr">
        <is>
          <t>ANILLO VENDOME TRICOLOR C</t>
        </is>
      </c>
      <c r="F1365" s="9" t="inlineStr">
        <is>
          <t>7</t>
        </is>
      </c>
      <c r="G1365" s="9" t="n">
        <v>3</v>
      </c>
      <c r="H1365" s="21" t="n">
        <v>6</v>
      </c>
      <c r="I1365" s="21" t="n">
        <v>125.5</v>
      </c>
      <c r="J1365" s="21" t="n">
        <v>376.51</v>
      </c>
      <c r="K1365" s="21" t="n">
        <v>439.26</v>
      </c>
      <c r="L1365" s="21" t="n">
        <v>502.01</v>
      </c>
      <c r="M1365" s="21" t="n">
        <v>499</v>
      </c>
    </row>
    <row r="1366">
      <c r="A1366" s="9" t="inlineStr">
        <is>
          <t>HAIFENG</t>
        </is>
      </c>
      <c r="B1366" s="9" t="inlineStr">
        <is>
          <t>HAIFENG 03/12/2025</t>
        </is>
      </c>
      <c r="C1366" s="9" t="inlineStr">
        <is>
          <t>2025-12-03</t>
        </is>
      </c>
      <c r="D1366" s="9" t="inlineStr">
        <is>
          <t>66075802035149</t>
        </is>
      </c>
      <c r="E1366" s="9" t="inlineStr">
        <is>
          <t>ARETES CLAIR D LUNE GOLD CD</t>
        </is>
      </c>
      <c r="F1366" s="9" t="inlineStr">
        <is>
          <t>Default Title</t>
        </is>
      </c>
      <c r="G1366" s="9" t="n">
        <v>10</v>
      </c>
      <c r="H1366" s="21" t="n">
        <v>5</v>
      </c>
      <c r="I1366" s="21" t="n">
        <v>104.59</v>
      </c>
      <c r="J1366" s="21" t="n">
        <v>313.76</v>
      </c>
      <c r="K1366" s="21" t="n">
        <v>366.05</v>
      </c>
      <c r="L1366" s="21" t="n">
        <v>418.34</v>
      </c>
      <c r="M1366" s="21" t="n">
        <v>450</v>
      </c>
    </row>
    <row r="1367">
      <c r="A1367" s="9" t="inlineStr">
        <is>
          <t>HAIFENG</t>
        </is>
      </c>
      <c r="B1367" s="9" t="inlineStr">
        <is>
          <t>HAIFENG 03/12/2025</t>
        </is>
      </c>
      <c r="C1367" s="9" t="inlineStr">
        <is>
          <t>2025-12-03</t>
        </is>
      </c>
      <c r="D1367" s="9" t="inlineStr">
        <is>
          <t>64085741294285</t>
        </is>
      </c>
      <c r="E1367" s="9" t="inlineStr">
        <is>
          <t>ARETES CLASH GOLD C</t>
        </is>
      </c>
      <c r="F1367" s="9" t="inlineStr">
        <is>
          <t>Default Title</t>
        </is>
      </c>
      <c r="G1367" s="9" t="n">
        <v>1</v>
      </c>
      <c r="H1367" s="21" t="n">
        <v>9</v>
      </c>
      <c r="I1367" s="21" t="n">
        <v>188.25</v>
      </c>
      <c r="J1367" s="21" t="n">
        <v>564.76</v>
      </c>
      <c r="K1367" s="21" t="n">
        <v>658.89</v>
      </c>
      <c r="L1367" s="21" t="n">
        <v>753.02</v>
      </c>
      <c r="M1367" s="21" t="n">
        <v>750</v>
      </c>
    </row>
    <row r="1368">
      <c r="A1368" s="9" t="inlineStr">
        <is>
          <t>HAIFENG</t>
        </is>
      </c>
      <c r="B1368" s="9" t="inlineStr">
        <is>
          <t>HAIFENG 03/12/2025</t>
        </is>
      </c>
      <c r="C1368" s="9" t="inlineStr">
        <is>
          <t>2025-12-03</t>
        </is>
      </c>
      <c r="D1368" s="9" t="inlineStr">
        <is>
          <t>64085741359693</t>
        </is>
      </c>
      <c r="E1368" s="9" t="inlineStr">
        <is>
          <t>ARETES CLASH ROSE GOLD C</t>
        </is>
      </c>
      <c r="F1368" s="9" t="inlineStr">
        <is>
          <t>Default Title</t>
        </is>
      </c>
      <c r="G1368" s="9" t="n">
        <v>1</v>
      </c>
      <c r="H1368" s="21" t="n">
        <v>9</v>
      </c>
      <c r="I1368" s="21" t="n">
        <v>188.25</v>
      </c>
      <c r="J1368" s="21" t="n">
        <v>564.76</v>
      </c>
      <c r="K1368" s="21" t="n">
        <v>658.89</v>
      </c>
      <c r="L1368" s="21" t="n">
        <v>753.02</v>
      </c>
      <c r="M1368" s="21" t="n">
        <v>742</v>
      </c>
    </row>
    <row r="1369">
      <c r="A1369" s="9" t="inlineStr">
        <is>
          <t>HAIFENG</t>
        </is>
      </c>
      <c r="B1369" s="9" t="inlineStr">
        <is>
          <t>HAIFENG 03/12/2025</t>
        </is>
      </c>
      <c r="C1369" s="9" t="inlineStr">
        <is>
          <t>2025-12-03</t>
        </is>
      </c>
      <c r="D1369" s="9" t="inlineStr">
        <is>
          <t>665bd4a63435b</t>
        </is>
      </c>
      <c r="E1369" s="9" t="inlineStr">
        <is>
          <t>ARETES CLAVO GOLD</t>
        </is>
      </c>
      <c r="F1369" s="9" t="inlineStr">
        <is>
          <t>Default Title</t>
        </is>
      </c>
      <c r="G1369" s="9" t="n">
        <v>3</v>
      </c>
      <c r="H1369" s="21" t="n">
        <v>2.99</v>
      </c>
      <c r="I1369" s="21" t="n">
        <v>62.54</v>
      </c>
      <c r="J1369" s="21" t="n">
        <v>187.63</v>
      </c>
      <c r="K1369" s="21" t="n">
        <v>218.9</v>
      </c>
      <c r="L1369" s="21" t="n">
        <v>250.17</v>
      </c>
      <c r="M1369" s="21" t="n">
        <v>400</v>
      </c>
    </row>
    <row r="1370">
      <c r="A1370" s="9" t="inlineStr">
        <is>
          <t>HAIFENG</t>
        </is>
      </c>
      <c r="B1370" s="9" t="inlineStr">
        <is>
          <t>HAIFENG 03/12/2025</t>
        </is>
      </c>
      <c r="C1370" s="9" t="inlineStr">
        <is>
          <t>2025-12-03</t>
        </is>
      </c>
      <c r="D1370" s="9" t="inlineStr">
        <is>
          <t>665bd4a42501a-1</t>
        </is>
      </c>
      <c r="E1370" s="9" t="inlineStr">
        <is>
          <t>ARETES CLAVO SILVER</t>
        </is>
      </c>
      <c r="F1370" s="9" t="inlineStr">
        <is>
          <t>Regular</t>
        </is>
      </c>
      <c r="G1370" s="9" t="n">
        <v>3</v>
      </c>
      <c r="H1370" s="21" t="n">
        <v>2.99</v>
      </c>
      <c r="I1370" s="21" t="n">
        <v>62.54</v>
      </c>
      <c r="J1370" s="21" t="n">
        <v>187.63</v>
      </c>
      <c r="K1370" s="21" t="n">
        <v>218.9</v>
      </c>
      <c r="L1370" s="21" t="n">
        <v>250.17</v>
      </c>
      <c r="M1370" s="21" t="n">
        <v>400</v>
      </c>
    </row>
    <row r="1371">
      <c r="A1371" s="9" t="inlineStr">
        <is>
          <t>HAIFENG</t>
        </is>
      </c>
      <c r="B1371" s="9" t="inlineStr">
        <is>
          <t>HAIFENG 03/12/2025</t>
        </is>
      </c>
      <c r="C1371" s="9" t="inlineStr">
        <is>
          <t>2025-12-03</t>
        </is>
      </c>
      <c r="D1371" s="9" t="inlineStr">
        <is>
          <t>43047218282636</t>
        </is>
      </c>
      <c r="E1371" s="9" t="inlineStr">
        <is>
          <t>ARETES CORAZ√ìN TURQUESA</t>
        </is>
      </c>
      <c r="F1371" s="9" t="inlineStr">
        <is>
          <t>Regular</t>
        </is>
      </c>
      <c r="G1371" s="9" t="n">
        <v>5</v>
      </c>
      <c r="H1371" s="21" t="n">
        <v>6</v>
      </c>
      <c r="I1371" s="21" t="n">
        <v>125.5</v>
      </c>
      <c r="J1371" s="21" t="n">
        <v>376.51</v>
      </c>
      <c r="K1371" s="21" t="n">
        <v>439.26</v>
      </c>
      <c r="L1371" s="21" t="n">
        <v>502.01</v>
      </c>
      <c r="M1371" s="21" t="n">
        <v>618</v>
      </c>
    </row>
    <row r="1372">
      <c r="A1372" s="9" t="inlineStr">
        <is>
          <t>HAIFENG</t>
        </is>
      </c>
      <c r="B1372" s="9" t="inlineStr">
        <is>
          <t>HAIFENG 03/12/2025</t>
        </is>
      </c>
      <c r="C1372" s="9" t="inlineStr">
        <is>
          <t>2025-12-03</t>
        </is>
      </c>
      <c r="D1372" s="9" t="inlineStr">
        <is>
          <t>37491250366220</t>
        </is>
      </c>
      <c r="E1372" s="9" t="inlineStr">
        <is>
          <t>ARETES FLOWER VF</t>
        </is>
      </c>
      <c r="F1372" s="9" t="inlineStr">
        <is>
          <t>Default Title</t>
        </is>
      </c>
      <c r="G1372" s="9" t="n">
        <v>6</v>
      </c>
      <c r="H1372" s="21" t="n">
        <v>8</v>
      </c>
      <c r="I1372" s="21" t="n">
        <v>167.34</v>
      </c>
      <c r="J1372" s="21" t="n">
        <v>502.01</v>
      </c>
      <c r="K1372" s="21" t="n">
        <v>585.6799999999999</v>
      </c>
      <c r="L1372" s="21" t="n">
        <v>669.35</v>
      </c>
      <c r="M1372" s="21" t="n">
        <v>699</v>
      </c>
    </row>
    <row r="1373">
      <c r="A1373" s="9" t="inlineStr">
        <is>
          <t>HAIFENG</t>
        </is>
      </c>
      <c r="B1373" s="9" t="inlineStr">
        <is>
          <t>HAIFENG 03/12/2025</t>
        </is>
      </c>
      <c r="C1373" s="9" t="inlineStr">
        <is>
          <t>2025-12-03</t>
        </is>
      </c>
      <c r="D1373" s="9" t="inlineStr">
        <is>
          <t>56481474339212</t>
        </is>
      </c>
      <c r="E1373" s="9" t="inlineStr">
        <is>
          <t>ARETES FULL HEART GOLD</t>
        </is>
      </c>
      <c r="F1373" s="9" t="inlineStr">
        <is>
          <t>Default Title</t>
        </is>
      </c>
      <c r="G1373" s="9" t="n">
        <v>5</v>
      </c>
      <c r="H1373" s="21" t="n">
        <v>5</v>
      </c>
      <c r="I1373" s="21" t="n">
        <v>104.59</v>
      </c>
      <c r="J1373" s="21" t="n">
        <v>313.76</v>
      </c>
      <c r="K1373" s="21" t="n">
        <v>366.05</v>
      </c>
      <c r="L1373" s="21" t="n">
        <v>418.34</v>
      </c>
      <c r="M1373" s="21" t="n">
        <v>450</v>
      </c>
    </row>
    <row r="1374">
      <c r="A1374" s="9" t="inlineStr">
        <is>
          <t>HAIFENG</t>
        </is>
      </c>
      <c r="B1374" s="9" t="inlineStr">
        <is>
          <t>HAIFENG 03/12/2025</t>
        </is>
      </c>
      <c r="C1374" s="9" t="inlineStr">
        <is>
          <t>2025-12-03</t>
        </is>
      </c>
      <c r="D1374" s="9" t="inlineStr">
        <is>
          <t>56481471411340</t>
        </is>
      </c>
      <c r="E1374" s="9" t="inlineStr">
        <is>
          <t>ARETES FULL HEART ROSE GOLD</t>
        </is>
      </c>
      <c r="F1374" s="9" t="inlineStr">
        <is>
          <t>Default Title</t>
        </is>
      </c>
      <c r="G1374" s="9" t="n">
        <v>3</v>
      </c>
      <c r="H1374" s="21" t="n">
        <v>5</v>
      </c>
      <c r="I1374" s="21" t="n">
        <v>104.59</v>
      </c>
      <c r="J1374" s="21" t="n">
        <v>313.76</v>
      </c>
      <c r="K1374" s="21" t="n">
        <v>366.05</v>
      </c>
      <c r="L1374" s="21" t="n">
        <v>418.34</v>
      </c>
      <c r="M1374" s="21" t="n">
        <v>450</v>
      </c>
    </row>
    <row r="1375">
      <c r="A1375" s="9" t="inlineStr">
        <is>
          <t>HAIFENG</t>
        </is>
      </c>
      <c r="B1375" s="9" t="inlineStr">
        <is>
          <t>HAIFENG 03/12/2025</t>
        </is>
      </c>
      <c r="C1375" s="9" t="inlineStr">
        <is>
          <t>2025-12-03</t>
        </is>
      </c>
      <c r="D1375" s="9" t="inlineStr">
        <is>
          <t>56481477937932</t>
        </is>
      </c>
      <c r="E1375" s="9" t="inlineStr">
        <is>
          <t>ARETES FULL HEART SILVER</t>
        </is>
      </c>
      <c r="F1375" s="9" t="inlineStr">
        <is>
          <t>Default Title</t>
        </is>
      </c>
      <c r="G1375" s="9" t="n">
        <v>10</v>
      </c>
      <c r="H1375" s="21" t="n">
        <v>5</v>
      </c>
      <c r="I1375" s="21" t="n">
        <v>104.59</v>
      </c>
      <c r="J1375" s="21" t="n">
        <v>313.76</v>
      </c>
      <c r="K1375" s="21" t="n">
        <v>366.05</v>
      </c>
      <c r="L1375" s="21" t="n">
        <v>418.34</v>
      </c>
      <c r="M1375" s="21" t="n">
        <v>450</v>
      </c>
    </row>
    <row r="1376">
      <c r="A1376" s="9" t="inlineStr">
        <is>
          <t>HAIFENG</t>
        </is>
      </c>
      <c r="B1376" s="9" t="inlineStr">
        <is>
          <t>HAIFENG 03/12/2025</t>
        </is>
      </c>
      <c r="C1376" s="9" t="inlineStr">
        <is>
          <t>2025-12-03</t>
        </is>
      </c>
      <c r="D1376" s="9" t="inlineStr">
        <is>
          <t>56481478255884</t>
        </is>
      </c>
      <c r="E1376" s="9" t="inlineStr">
        <is>
          <t>ARETES KNOT GOLD CON ZIRCONIA</t>
        </is>
      </c>
      <c r="F1376" s="9" t="inlineStr">
        <is>
          <t>Default Title</t>
        </is>
      </c>
      <c r="G1376" s="9" t="n">
        <v>3</v>
      </c>
      <c r="H1376" s="21" t="n">
        <v>7</v>
      </c>
      <c r="I1376" s="21" t="n">
        <v>146.42</v>
      </c>
      <c r="J1376" s="21" t="n">
        <v>439.26</v>
      </c>
      <c r="K1376" s="21" t="n">
        <v>512.47</v>
      </c>
      <c r="L1376" s="21" t="n">
        <v>585.6799999999999</v>
      </c>
      <c r="M1376" s="21" t="n">
        <v>780</v>
      </c>
    </row>
    <row r="1377">
      <c r="A1377" s="9" t="inlineStr">
        <is>
          <t>HAIFENG</t>
        </is>
      </c>
      <c r="B1377" s="9" t="inlineStr">
        <is>
          <t>HAIFENG 03/12/2025</t>
        </is>
      </c>
      <c r="C1377" s="9" t="inlineStr">
        <is>
          <t>2025-12-03</t>
        </is>
      </c>
      <c r="D1377" s="9" t="inlineStr">
        <is>
          <t>67201531170029</t>
        </is>
      </c>
      <c r="E1377" s="9" t="inlineStr">
        <is>
          <t>ARETES LOGO CD CON ZIRCONIA</t>
        </is>
      </c>
      <c r="F1377" s="9" t="inlineStr">
        <is>
          <t>Default Title</t>
        </is>
      </c>
      <c r="G1377" s="9" t="n">
        <v>8</v>
      </c>
      <c r="H1377" s="21" t="n">
        <v>5.9</v>
      </c>
      <c r="I1377" s="21" t="n">
        <v>123.41</v>
      </c>
      <c r="J1377" s="21" t="n">
        <v>370.23</v>
      </c>
      <c r="K1377" s="21" t="n">
        <v>431.94</v>
      </c>
      <c r="L1377" s="21" t="n">
        <v>493.64</v>
      </c>
      <c r="M1377" s="21" t="n">
        <v>487</v>
      </c>
    </row>
    <row r="1378">
      <c r="A1378" s="9" t="inlineStr">
        <is>
          <t>HAIFENG</t>
        </is>
      </c>
      <c r="B1378" s="9" t="inlineStr">
        <is>
          <t>HAIFENG 03/12/2025</t>
        </is>
      </c>
      <c r="C1378" s="9" t="inlineStr">
        <is>
          <t>2025-12-03</t>
        </is>
      </c>
      <c r="D1378" s="9" t="inlineStr">
        <is>
          <t>67201531685421</t>
        </is>
      </c>
      <c r="E1378" s="9" t="inlineStr">
        <is>
          <t>ARETES LOGO H GOLD</t>
        </is>
      </c>
      <c r="F1378" s="9" t="inlineStr">
        <is>
          <t>Default Title</t>
        </is>
      </c>
      <c r="G1378" s="9" t="n">
        <v>4</v>
      </c>
      <c r="H1378" s="21" t="n">
        <v>5</v>
      </c>
      <c r="I1378" s="21" t="n">
        <v>104.59</v>
      </c>
      <c r="J1378" s="21" t="n">
        <v>313.76</v>
      </c>
      <c r="K1378" s="21" t="n">
        <v>366.05</v>
      </c>
      <c r="L1378" s="21" t="n">
        <v>418.34</v>
      </c>
      <c r="M1378" s="21" t="n">
        <v>480</v>
      </c>
    </row>
    <row r="1379">
      <c r="A1379" s="9" t="inlineStr">
        <is>
          <t>HAIFENG</t>
        </is>
      </c>
      <c r="B1379" s="9" t="inlineStr">
        <is>
          <t>HAIFENG 03/12/2025</t>
        </is>
      </c>
      <c r="C1379" s="9" t="inlineStr">
        <is>
          <t>2025-12-03</t>
        </is>
      </c>
      <c r="D1379" s="9" t="inlineStr">
        <is>
          <t>67201531515469</t>
        </is>
      </c>
      <c r="E1379" s="9" t="inlineStr">
        <is>
          <t>ARETES LOGO H SILVER</t>
        </is>
      </c>
      <c r="F1379" s="9" t="inlineStr">
        <is>
          <t>Default Title</t>
        </is>
      </c>
      <c r="G1379" s="9" t="n">
        <v>2</v>
      </c>
      <c r="H1379" s="21" t="n">
        <v>5</v>
      </c>
      <c r="I1379" s="21" t="n">
        <v>104.59</v>
      </c>
      <c r="J1379" s="21" t="n">
        <v>313.76</v>
      </c>
      <c r="K1379" s="21" t="n">
        <v>366.05</v>
      </c>
      <c r="L1379" s="21" t="n">
        <v>418.34</v>
      </c>
      <c r="M1379" s="21" t="n">
        <v>480</v>
      </c>
    </row>
    <row r="1380">
      <c r="A1380" s="9" t="inlineStr">
        <is>
          <t>HAIFENG</t>
        </is>
      </c>
      <c r="B1380" s="9" t="inlineStr">
        <is>
          <t>HAIFENG 03/12/2025</t>
        </is>
      </c>
      <c r="C1380" s="9" t="inlineStr">
        <is>
          <t>2025-12-03</t>
        </is>
      </c>
      <c r="D1380" s="9" t="inlineStr">
        <is>
          <t>64085741543021</t>
        </is>
      </c>
      <c r="E1380" s="9" t="inlineStr">
        <is>
          <t>ARETES LOVE CON MICRO ZIRCONIAS GOLD C</t>
        </is>
      </c>
      <c r="F1380" s="9" t="inlineStr">
        <is>
          <t>Default Title</t>
        </is>
      </c>
      <c r="G1380" s="9" t="n">
        <v>2</v>
      </c>
      <c r="H1380" s="21" t="n">
        <v>9</v>
      </c>
      <c r="I1380" s="21" t="n">
        <v>188.25</v>
      </c>
      <c r="J1380" s="21" t="n">
        <v>564.76</v>
      </c>
      <c r="K1380" s="21" t="n">
        <v>658.89</v>
      </c>
      <c r="L1380" s="21" t="n">
        <v>753.02</v>
      </c>
      <c r="M1380" s="21" t="n">
        <v>742</v>
      </c>
    </row>
    <row r="1381">
      <c r="A1381" s="9" t="inlineStr">
        <is>
          <t>HAIFENG</t>
        </is>
      </c>
      <c r="B1381" s="9" t="inlineStr">
        <is>
          <t>HAIFENG 03/12/2025</t>
        </is>
      </c>
      <c r="C1381" s="9" t="inlineStr">
        <is>
          <t>2025-12-03</t>
        </is>
      </c>
      <c r="D1381" s="9" t="inlineStr">
        <is>
          <t>67201534966797</t>
        </is>
      </c>
      <c r="E1381" s="9" t="inlineStr">
        <is>
          <t>ARETES LOVING HEART</t>
        </is>
      </c>
      <c r="F1381" s="9" t="inlineStr">
        <is>
          <t>GOLD</t>
        </is>
      </c>
      <c r="G1381" s="9" t="n">
        <v>5</v>
      </c>
      <c r="H1381" s="21" t="n">
        <v>4</v>
      </c>
      <c r="I1381" s="21" t="n">
        <v>83.67</v>
      </c>
      <c r="J1381" s="21" t="n">
        <v>251.01</v>
      </c>
      <c r="K1381" s="21" t="n">
        <v>292.84</v>
      </c>
      <c r="L1381" s="21" t="n">
        <v>334.67</v>
      </c>
      <c r="M1381" s="21" t="n">
        <v>499</v>
      </c>
    </row>
    <row r="1382">
      <c r="A1382" s="9" t="inlineStr">
        <is>
          <t>HAIFENG</t>
        </is>
      </c>
      <c r="B1382" s="9" t="inlineStr">
        <is>
          <t>HAIFENG 03/12/2025</t>
        </is>
      </c>
      <c r="C1382" s="9" t="inlineStr">
        <is>
          <t>2025-12-03</t>
        </is>
      </c>
      <c r="D1382" s="9" t="inlineStr">
        <is>
          <t>67201535108205</t>
        </is>
      </c>
      <c r="E1382" s="9" t="inlineStr">
        <is>
          <t>ARETES MARIPOSA BICOLOR GOLD BLUE VF</t>
        </is>
      </c>
      <c r="F1382" s="9" t="inlineStr">
        <is>
          <t>Default Title</t>
        </is>
      </c>
      <c r="G1382" s="9" t="n">
        <v>3</v>
      </c>
      <c r="H1382" s="21" t="n">
        <v>7</v>
      </c>
      <c r="I1382" s="21" t="n">
        <v>146.42</v>
      </c>
      <c r="J1382" s="21" t="n">
        <v>439.26</v>
      </c>
      <c r="K1382" s="21" t="n">
        <v>512.47</v>
      </c>
      <c r="L1382" s="21" t="n">
        <v>585.6799999999999</v>
      </c>
      <c r="M1382" s="21" t="n">
        <v>599</v>
      </c>
    </row>
    <row r="1383">
      <c r="A1383" s="9" t="inlineStr">
        <is>
          <t>HAIFENG</t>
        </is>
      </c>
      <c r="B1383" s="9" t="inlineStr">
        <is>
          <t>HAIFENG 03/12/2025</t>
        </is>
      </c>
      <c r="C1383" s="9" t="inlineStr">
        <is>
          <t>2025-12-03</t>
        </is>
      </c>
      <c r="D1383" s="9" t="inlineStr">
        <is>
          <t>67201535022509</t>
        </is>
      </c>
      <c r="E1383" s="9" t="inlineStr">
        <is>
          <t>ARETES MARIPOSA ROSE GOLD WHITE VF</t>
        </is>
      </c>
      <c r="F1383" s="9" t="inlineStr">
        <is>
          <t>Default Title</t>
        </is>
      </c>
      <c r="G1383" s="9" t="n">
        <v>8</v>
      </c>
      <c r="H1383" s="21" t="n">
        <v>7</v>
      </c>
      <c r="I1383" s="21" t="n">
        <v>146.42</v>
      </c>
      <c r="J1383" s="21" t="n">
        <v>439.26</v>
      </c>
      <c r="K1383" s="21" t="n">
        <v>512.47</v>
      </c>
      <c r="L1383" s="21" t="n">
        <v>585.6799999999999</v>
      </c>
      <c r="M1383" s="21" t="n">
        <v>599</v>
      </c>
    </row>
    <row r="1384">
      <c r="A1384" s="9" t="inlineStr">
        <is>
          <t>HAIFENG</t>
        </is>
      </c>
      <c r="B1384" s="9" t="inlineStr">
        <is>
          <t>HAIFENG 03/12/2025</t>
        </is>
      </c>
      <c r="C1384" s="9" t="inlineStr">
        <is>
          <t>2025-12-03</t>
        </is>
      </c>
      <c r="D1384" s="9" t="inlineStr">
        <is>
          <t>74011331080589</t>
        </is>
      </c>
      <c r="E1384" s="9" t="inlineStr">
        <is>
          <t>ARETES MM GOLD</t>
        </is>
      </c>
      <c r="F1384" s="9" t="inlineStr">
        <is>
          <t>Default Title</t>
        </is>
      </c>
      <c r="G1384" s="9" t="n">
        <v>6</v>
      </c>
      <c r="H1384" s="21" t="n">
        <v>7</v>
      </c>
      <c r="I1384" s="21" t="n">
        <v>146.42</v>
      </c>
      <c r="J1384" s="21" t="n">
        <v>439.26</v>
      </c>
      <c r="K1384" s="21" t="n">
        <v>512.47</v>
      </c>
      <c r="L1384" s="21" t="n">
        <v>585.6799999999999</v>
      </c>
      <c r="M1384" s="21" t="n">
        <v>599</v>
      </c>
    </row>
    <row r="1385">
      <c r="A1385" s="9" t="inlineStr">
        <is>
          <t>HAIFENG</t>
        </is>
      </c>
      <c r="B1385" s="9" t="inlineStr">
        <is>
          <t>HAIFENG 03/12/2025</t>
        </is>
      </c>
      <c r="C1385" s="9" t="inlineStr">
        <is>
          <t>2025-12-03</t>
        </is>
      </c>
      <c r="D1385" s="9" t="inlineStr">
        <is>
          <t>94663831026189</t>
        </is>
      </c>
      <c r="E1385" s="9" t="inlineStr">
        <is>
          <t>ARETES MM ROSEGOLD</t>
        </is>
      </c>
      <c r="F1385" s="9" t="inlineStr">
        <is>
          <t>Default Title</t>
        </is>
      </c>
      <c r="G1385" s="9" t="n">
        <v>3</v>
      </c>
      <c r="H1385" s="21" t="n">
        <v>7</v>
      </c>
      <c r="I1385" s="21" t="n">
        <v>146.42</v>
      </c>
      <c r="J1385" s="21" t="n">
        <v>439.26</v>
      </c>
      <c r="K1385" s="21" t="n">
        <v>512.47</v>
      </c>
      <c r="L1385" s="21" t="n">
        <v>585.6799999999999</v>
      </c>
      <c r="M1385" s="21" t="n">
        <v>599</v>
      </c>
    </row>
    <row r="1386">
      <c r="A1386" s="9" t="inlineStr">
        <is>
          <t>HAIFENG</t>
        </is>
      </c>
      <c r="B1386" s="9" t="inlineStr">
        <is>
          <t>HAIFENG 03/12/2025</t>
        </is>
      </c>
      <c r="C1386" s="9" t="inlineStr">
        <is>
          <t>2025-12-03</t>
        </is>
      </c>
      <c r="D1386" s="9" t="inlineStr">
        <is>
          <t>36568531067821</t>
        </is>
      </c>
      <c r="E1386" s="9" t="inlineStr">
        <is>
          <t>ARETES MM SILVER</t>
        </is>
      </c>
      <c r="F1386" s="9" t="inlineStr">
        <is>
          <t>Default Title</t>
        </is>
      </c>
      <c r="G1386" s="9" t="n">
        <v>6</v>
      </c>
      <c r="H1386" s="21" t="n">
        <v>7</v>
      </c>
      <c r="I1386" s="21" t="n">
        <v>146.42</v>
      </c>
      <c r="J1386" s="21" t="n">
        <v>439.26</v>
      </c>
      <c r="K1386" s="21" t="n">
        <v>512.47</v>
      </c>
      <c r="L1386" s="21" t="n">
        <v>585.6799999999999</v>
      </c>
      <c r="M1386" s="21" t="n">
        <v>599</v>
      </c>
    </row>
    <row r="1387">
      <c r="A1387" s="9" t="inlineStr">
        <is>
          <t>HAIFENG</t>
        </is>
      </c>
      <c r="B1387" s="9" t="inlineStr">
        <is>
          <t>HAIFENG 03/12/2025</t>
        </is>
      </c>
      <c r="C1387" s="9" t="inlineStr">
        <is>
          <t>2025-12-03</t>
        </is>
      </c>
      <c r="D1387" s="9" t="inlineStr">
        <is>
          <t>66075801971917</t>
        </is>
      </c>
      <c r="E1387" s="9" t="inlineStr">
        <is>
          <t>ARETES PETIT GOLD CD</t>
        </is>
      </c>
      <c r="F1387" s="9" t="inlineStr">
        <is>
          <t>Default Title</t>
        </is>
      </c>
      <c r="G1387" s="9" t="n">
        <v>8</v>
      </c>
      <c r="H1387" s="21" t="n">
        <v>3.8</v>
      </c>
      <c r="I1387" s="21" t="n">
        <v>79.48999999999999</v>
      </c>
      <c r="J1387" s="21" t="n">
        <v>238.46</v>
      </c>
      <c r="K1387" s="21" t="n">
        <v>278.2</v>
      </c>
      <c r="L1387" s="21" t="n">
        <v>317.94</v>
      </c>
      <c r="M1387" s="21" t="n">
        <v>350</v>
      </c>
    </row>
    <row r="1388">
      <c r="A1388" s="9" t="inlineStr">
        <is>
          <t>HAIFENG</t>
        </is>
      </c>
      <c r="B1388" s="9" t="inlineStr">
        <is>
          <t>HAIFENG 03/12/2025</t>
        </is>
      </c>
      <c r="C1388" s="9" t="inlineStr">
        <is>
          <t>2025-12-03</t>
        </is>
      </c>
      <c r="D1388" s="9" t="inlineStr">
        <is>
          <t>665bb75f8312e</t>
        </is>
      </c>
      <c r="E1388" s="9" t="inlineStr">
        <is>
          <t>ARETES SCREW LOVE ROSE GOLD</t>
        </is>
      </c>
      <c r="F1388" s="9" t="inlineStr">
        <is>
          <t>MEDIUM</t>
        </is>
      </c>
      <c r="G1388" s="9" t="n">
        <v>3</v>
      </c>
      <c r="H1388" s="21" t="n">
        <v>2.99</v>
      </c>
      <c r="I1388" s="21" t="n">
        <v>62.54</v>
      </c>
      <c r="J1388" s="21" t="n">
        <v>187.63</v>
      </c>
      <c r="K1388" s="21" t="n">
        <v>218.9</v>
      </c>
      <c r="L1388" s="21" t="n">
        <v>250.17</v>
      </c>
      <c r="M1388" s="21" t="n">
        <v>550</v>
      </c>
    </row>
    <row r="1389">
      <c r="A1389" s="9" t="inlineStr">
        <is>
          <t>HAIFENG</t>
        </is>
      </c>
      <c r="B1389" s="9" t="inlineStr">
        <is>
          <t>HAIFENG 03/12/2025</t>
        </is>
      </c>
      <c r="C1389" s="9" t="inlineStr">
        <is>
          <t>2025-12-03</t>
        </is>
      </c>
      <c r="D1389" s="9" t="inlineStr">
        <is>
          <t>665bb75f8312e</t>
        </is>
      </c>
      <c r="E1389" s="9" t="inlineStr">
        <is>
          <t>ARETES SCREW LOVE ROSE GOLD</t>
        </is>
      </c>
      <c r="F1389" s="9" t="inlineStr">
        <is>
          <t>MEDIUM</t>
        </is>
      </c>
      <c r="G1389" s="9" t="n">
        <v>1</v>
      </c>
      <c r="H1389" s="21" t="n">
        <v>2.99</v>
      </c>
      <c r="I1389" s="21" t="n">
        <v>62.54</v>
      </c>
      <c r="J1389" s="21" t="n">
        <v>187.63</v>
      </c>
      <c r="K1389" s="21" t="n">
        <v>218.9</v>
      </c>
      <c r="L1389" s="21" t="n">
        <v>250.17</v>
      </c>
      <c r="M1389" s="21" t="n">
        <v>550</v>
      </c>
    </row>
    <row r="1390">
      <c r="A1390" s="9" t="inlineStr">
        <is>
          <t>HAIFENG</t>
        </is>
      </c>
      <c r="B1390" s="9" t="inlineStr">
        <is>
          <t>HAIFENG 03/12/2025</t>
        </is>
      </c>
      <c r="C1390" s="9" t="inlineStr">
        <is>
          <t>2025-12-03</t>
        </is>
      </c>
      <c r="D1390" s="9" t="inlineStr">
        <is>
          <t>665bb7668ef3c</t>
        </is>
      </c>
      <c r="E1390" s="9" t="inlineStr">
        <is>
          <t>ARETES SCREW LOVE SILVER</t>
        </is>
      </c>
      <c r="F1390" s="9" t="inlineStr">
        <is>
          <t>MEDIUM</t>
        </is>
      </c>
      <c r="G1390" s="9" t="n">
        <v>2</v>
      </c>
      <c r="H1390" s="21" t="n">
        <v>2.99</v>
      </c>
      <c r="I1390" s="21" t="n">
        <v>62.54</v>
      </c>
      <c r="J1390" s="21" t="n">
        <v>187.63</v>
      </c>
      <c r="K1390" s="21" t="n">
        <v>218.9</v>
      </c>
      <c r="L1390" s="21" t="n">
        <v>250.17</v>
      </c>
      <c r="M1390" s="21" t="n">
        <v>550</v>
      </c>
    </row>
    <row r="1391">
      <c r="A1391" s="9" t="inlineStr">
        <is>
          <t>HAIFENG</t>
        </is>
      </c>
      <c r="B1391" s="9" t="inlineStr">
        <is>
          <t>HAIFENG 03/12/2025</t>
        </is>
      </c>
      <c r="C1391" s="9" t="inlineStr">
        <is>
          <t>2025-12-03</t>
        </is>
      </c>
      <c r="D1391" s="9" t="inlineStr">
        <is>
          <t>15118061083949</t>
        </is>
      </c>
      <c r="E1391" s="9" t="inlineStr">
        <is>
          <t>ARETES T CORAZÓN CON FLECHA</t>
        </is>
      </c>
      <c r="F1391" s="9" t="inlineStr">
        <is>
          <t>Default Title</t>
        </is>
      </c>
      <c r="G1391" s="9" t="n">
        <v>4</v>
      </c>
      <c r="H1391" s="21" t="n">
        <v>5</v>
      </c>
      <c r="I1391" s="21" t="n">
        <v>104.59</v>
      </c>
      <c r="J1391" s="21" t="n">
        <v>313.76</v>
      </c>
      <c r="K1391" s="21" t="n">
        <v>366.05</v>
      </c>
      <c r="L1391" s="21" t="n">
        <v>418.34</v>
      </c>
      <c r="M1391" s="21" t="n">
        <v>450</v>
      </c>
    </row>
    <row r="1392">
      <c r="A1392" s="9" t="inlineStr">
        <is>
          <t>HAIFENG</t>
        </is>
      </c>
      <c r="B1392" s="9" t="inlineStr">
        <is>
          <t>HAIFENG 03/12/2025</t>
        </is>
      </c>
      <c r="C1392" s="9" t="inlineStr">
        <is>
          <t>2025-12-03</t>
        </is>
      </c>
      <c r="D1392" s="9" t="inlineStr">
        <is>
          <t>665bb779a07ff</t>
        </is>
      </c>
      <c r="E1392" s="9" t="inlineStr">
        <is>
          <t>ARETES TREBOL ROSE GOLD WHITE</t>
        </is>
      </c>
      <c r="F1392" s="9" t="inlineStr">
        <is>
          <t>REGULAR</t>
        </is>
      </c>
      <c r="G1392" s="9" t="n">
        <v>2</v>
      </c>
      <c r="H1392" s="21" t="n">
        <v>16</v>
      </c>
      <c r="I1392" s="21" t="n">
        <v>334.67</v>
      </c>
      <c r="J1392" s="21" t="n">
        <v>1004.02</v>
      </c>
      <c r="K1392" s="21" t="n">
        <v>1171.36</v>
      </c>
      <c r="L1392" s="21" t="n">
        <v>1338.7</v>
      </c>
      <c r="M1392" s="21" t="n">
        <v>850</v>
      </c>
    </row>
    <row r="1393">
      <c r="A1393" s="9" t="inlineStr">
        <is>
          <t>HAIFENG</t>
        </is>
      </c>
      <c r="B1393" s="9" t="inlineStr">
        <is>
          <t>HAIFENG 03/12/2025</t>
        </is>
      </c>
      <c r="C1393" s="9" t="inlineStr">
        <is>
          <t>2025-12-03</t>
        </is>
      </c>
      <c r="D1393" s="9" t="inlineStr">
        <is>
          <t>6617849b98dff</t>
        </is>
      </c>
      <c r="E1393" s="9" t="inlineStr">
        <is>
          <t>ARETES TREBOL SILVER</t>
        </is>
      </c>
      <c r="F1393" s="9" t="inlineStr">
        <is>
          <t>Default Title</t>
        </is>
      </c>
      <c r="G1393" s="9" t="n">
        <v>2</v>
      </c>
      <c r="H1393" s="21" t="n">
        <v>17</v>
      </c>
      <c r="I1393" s="21" t="n">
        <v>355.59</v>
      </c>
      <c r="J1393" s="21" t="n">
        <v>1066.78</v>
      </c>
      <c r="K1393" s="21" t="n">
        <v>1244.57</v>
      </c>
      <c r="L1393" s="21" t="n">
        <v>1422.37</v>
      </c>
      <c r="M1393" s="21" t="n">
        <v>850</v>
      </c>
    </row>
    <row r="1394">
      <c r="A1394" s="9" t="inlineStr">
        <is>
          <t>HAIFENG</t>
        </is>
      </c>
      <c r="B1394" s="9" t="inlineStr">
        <is>
          <t>HAIFENG 03/12/2025</t>
        </is>
      </c>
      <c r="C1394" s="9" t="inlineStr">
        <is>
          <t>2025-12-03</t>
        </is>
      </c>
      <c r="D1394" s="9" t="inlineStr">
        <is>
          <t>665bb7808142d</t>
        </is>
      </c>
      <c r="E1394" s="9" t="inlineStr">
        <is>
          <t>ARETES TRES AROS</t>
        </is>
      </c>
      <c r="F1394" s="9" t="inlineStr">
        <is>
          <t>Default Title</t>
        </is>
      </c>
      <c r="G1394" s="9" t="n">
        <v>5</v>
      </c>
      <c r="H1394" s="21" t="n">
        <v>7.9</v>
      </c>
      <c r="I1394" s="21" t="n">
        <v>165.25</v>
      </c>
      <c r="J1394" s="21" t="n">
        <v>495.74</v>
      </c>
      <c r="K1394" s="21" t="n">
        <v>578.36</v>
      </c>
      <c r="L1394" s="21" t="n">
        <v>660.98</v>
      </c>
      <c r="M1394" s="21" t="n">
        <v>651</v>
      </c>
    </row>
    <row r="1395">
      <c r="A1395" s="9" t="inlineStr">
        <is>
          <t>HAIFENG</t>
        </is>
      </c>
      <c r="B1395" s="9" t="inlineStr">
        <is>
          <t>HAIFENG 03/12/2025</t>
        </is>
      </c>
      <c r="C1395" s="9" t="inlineStr">
        <is>
          <t>2025-12-03</t>
        </is>
      </c>
      <c r="D1395" s="9" t="inlineStr">
        <is>
          <t>99507971069997</t>
        </is>
      </c>
      <c r="E1395" s="9" t="inlineStr">
        <is>
          <t>ARETES TRES AROS CON ZIRCONIA</t>
        </is>
      </c>
      <c r="F1395" s="9" t="inlineStr">
        <is>
          <t>2cm</t>
        </is>
      </c>
      <c r="G1395" s="9" t="n">
        <v>6</v>
      </c>
      <c r="H1395" s="21" t="n">
        <v>9</v>
      </c>
      <c r="I1395" s="21" t="n">
        <v>188.25</v>
      </c>
      <c r="J1395" s="21" t="n">
        <v>564.76</v>
      </c>
      <c r="K1395" s="21" t="n">
        <v>658.89</v>
      </c>
      <c r="L1395" s="21" t="n">
        <v>753.02</v>
      </c>
      <c r="M1395" s="21" t="n">
        <v>906</v>
      </c>
    </row>
    <row r="1396">
      <c r="A1396" s="9" t="inlineStr">
        <is>
          <t>HAIFENG</t>
        </is>
      </c>
      <c r="B1396" s="9" t="inlineStr">
        <is>
          <t>HAIFENG 03/12/2025</t>
        </is>
      </c>
      <c r="C1396" s="9" t="inlineStr">
        <is>
          <t>2025-12-03</t>
        </is>
      </c>
      <c r="D1396" s="9" t="inlineStr">
        <is>
          <t>37491258087948</t>
        </is>
      </c>
      <c r="E1396" s="9" t="inlineStr">
        <is>
          <t>ARETES TRINITY DIAMOND</t>
        </is>
      </c>
      <c r="F1396" s="9" t="inlineStr">
        <is>
          <t>Default Title</t>
        </is>
      </c>
      <c r="G1396" s="9" t="n">
        <v>10</v>
      </c>
      <c r="H1396" s="21" t="n">
        <v>7</v>
      </c>
      <c r="I1396" s="21" t="n">
        <v>146.42</v>
      </c>
      <c r="J1396" s="21" t="n">
        <v>439.26</v>
      </c>
      <c r="K1396" s="21" t="n">
        <v>512.47</v>
      </c>
      <c r="L1396" s="21" t="n">
        <v>585.6799999999999</v>
      </c>
      <c r="M1396" s="21" t="n">
        <v>599</v>
      </c>
    </row>
    <row r="1397">
      <c r="A1397" s="9" t="inlineStr">
        <is>
          <t>HAIFENG</t>
        </is>
      </c>
      <c r="B1397" s="9" t="inlineStr">
        <is>
          <t>HAIFENG 03/12/2025</t>
        </is>
      </c>
      <c r="C1397" s="9" t="inlineStr">
        <is>
          <t>2025-12-03</t>
        </is>
      </c>
      <c r="D1397" s="9" t="inlineStr">
        <is>
          <t>6617849b9a844</t>
        </is>
      </c>
      <c r="E1397" s="9" t="inlineStr">
        <is>
          <t>ARETES TRÉBOL GOLD</t>
        </is>
      </c>
      <c r="F1397" s="9" t="inlineStr">
        <is>
          <t>HIGH QUALITY</t>
        </is>
      </c>
      <c r="G1397" s="9" t="n">
        <v>2</v>
      </c>
      <c r="H1397" s="21" t="n">
        <v>17</v>
      </c>
      <c r="I1397" s="21" t="n">
        <v>355.59</v>
      </c>
      <c r="J1397" s="21" t="n">
        <v>1066.78</v>
      </c>
      <c r="K1397" s="21" t="n">
        <v>1244.57</v>
      </c>
      <c r="L1397" s="21" t="n">
        <v>1422.37</v>
      </c>
      <c r="M1397" s="21" t="n">
        <v>699</v>
      </c>
    </row>
    <row r="1398">
      <c r="A1398" s="9" t="inlineStr">
        <is>
          <t>HAIFENG</t>
        </is>
      </c>
      <c r="B1398" s="9" t="inlineStr">
        <is>
          <t>HAIFENG 03/12/2025</t>
        </is>
      </c>
      <c r="C1398" s="9" t="inlineStr">
        <is>
          <t>2025-12-03</t>
        </is>
      </c>
      <c r="D1398" s="9" t="inlineStr">
        <is>
          <t>661784a18007c</t>
        </is>
      </c>
      <c r="E1398" s="9" t="inlineStr">
        <is>
          <t>ARETES TRÉBOL GOLD-GREEN</t>
        </is>
      </c>
      <c r="F1398" s="9" t="inlineStr">
        <is>
          <t>HIGH QUALITY</t>
        </is>
      </c>
      <c r="G1398" s="9" t="n">
        <v>3</v>
      </c>
      <c r="H1398" s="21" t="n">
        <v>16</v>
      </c>
      <c r="I1398" s="21" t="n">
        <v>334.67</v>
      </c>
      <c r="J1398" s="21" t="n">
        <v>1004.02</v>
      </c>
      <c r="K1398" s="21" t="n">
        <v>1171.36</v>
      </c>
      <c r="L1398" s="21" t="n">
        <v>1338.7</v>
      </c>
      <c r="M1398" s="21" t="n">
        <v>850</v>
      </c>
    </row>
    <row r="1399">
      <c r="A1399" s="9" t="inlineStr">
        <is>
          <t>HAIFENG</t>
        </is>
      </c>
      <c r="B1399" s="9" t="inlineStr">
        <is>
          <t>HAIFENG 03/12/2025</t>
        </is>
      </c>
      <c r="C1399" s="9" t="inlineStr">
        <is>
          <t>2025-12-03</t>
        </is>
      </c>
      <c r="D1399" s="9" t="inlineStr">
        <is>
          <t>661784a3704f4</t>
        </is>
      </c>
      <c r="E1399" s="9" t="inlineStr">
        <is>
          <t>ARETES TRÉBOL SILVER WHITE</t>
        </is>
      </c>
      <c r="F1399" s="9" t="inlineStr">
        <is>
          <t>Default Title</t>
        </is>
      </c>
      <c r="G1399" s="9" t="n">
        <v>2</v>
      </c>
      <c r="H1399" s="21" t="n">
        <v>16</v>
      </c>
      <c r="I1399" s="21" t="n">
        <v>334.67</v>
      </c>
      <c r="J1399" s="21" t="n">
        <v>1004.02</v>
      </c>
      <c r="K1399" s="21" t="n">
        <v>1171.36</v>
      </c>
      <c r="L1399" s="21" t="n">
        <v>1338.7</v>
      </c>
      <c r="M1399" s="21" t="n">
        <v>1350</v>
      </c>
    </row>
    <row r="1400">
      <c r="A1400" s="9" t="inlineStr">
        <is>
          <t>HAIFENG</t>
        </is>
      </c>
      <c r="B1400" s="9" t="inlineStr">
        <is>
          <t>HAIFENG 03/12/2025</t>
        </is>
      </c>
      <c r="C1400" s="9" t="inlineStr">
        <is>
          <t>2025-12-03</t>
        </is>
      </c>
      <c r="D1400" s="9" t="inlineStr">
        <is>
          <t>64e78ca4a13f0</t>
        </is>
      </c>
      <c r="E1400" s="9" t="inlineStr">
        <is>
          <t>BRAZALETE CD BLACK</t>
        </is>
      </c>
      <c r="F1400" s="9" t="inlineStr">
        <is>
          <t>AJUSTABLE</t>
        </is>
      </c>
      <c r="G1400" s="9" t="n">
        <v>3</v>
      </c>
      <c r="H1400" s="21" t="n">
        <v>6.59</v>
      </c>
      <c r="I1400" s="21" t="n">
        <v>137.84</v>
      </c>
      <c r="J1400" s="21" t="n">
        <v>413.53</v>
      </c>
      <c r="K1400" s="21" t="n">
        <v>482.45</v>
      </c>
      <c r="L1400" s="21" t="n">
        <v>551.38</v>
      </c>
      <c r="M1400" s="21" t="n">
        <v>720</v>
      </c>
    </row>
    <row r="1401">
      <c r="A1401" s="9" t="inlineStr">
        <is>
          <t>HAIFENG</t>
        </is>
      </c>
      <c r="B1401" s="9" t="inlineStr">
        <is>
          <t>HAIFENG 03/12/2025</t>
        </is>
      </c>
      <c r="C1401" s="9" t="inlineStr">
        <is>
          <t>2025-12-03</t>
        </is>
      </c>
      <c r="D1401" s="9" t="inlineStr">
        <is>
          <t>665bb919e080e</t>
        </is>
      </c>
      <c r="E1401" s="9" t="inlineStr">
        <is>
          <t>BRAZALETE CLASH GOLD</t>
        </is>
      </c>
      <c r="F1401" s="9" t="inlineStr">
        <is>
          <t>Default Title</t>
        </is>
      </c>
      <c r="G1401" s="9" t="n">
        <v>3</v>
      </c>
      <c r="H1401" s="21" t="n">
        <v>22</v>
      </c>
      <c r="I1401" s="21" t="n">
        <v>460.18</v>
      </c>
      <c r="J1401" s="21" t="n">
        <v>1380.53</v>
      </c>
      <c r="K1401" s="21" t="n">
        <v>1610.62</v>
      </c>
      <c r="L1401" s="21" t="n">
        <v>1840.71</v>
      </c>
      <c r="M1401" s="21" t="n">
        <v>1850</v>
      </c>
    </row>
    <row r="1402">
      <c r="A1402" s="9" t="inlineStr">
        <is>
          <t>HAIFENG</t>
        </is>
      </c>
      <c r="B1402" s="9" t="inlineStr">
        <is>
          <t>HAIFENG 03/12/2025</t>
        </is>
      </c>
      <c r="C1402" s="9" t="inlineStr">
        <is>
          <t>2025-12-03</t>
        </is>
      </c>
      <c r="D1402" s="9" t="inlineStr">
        <is>
          <t>665bb920c632c</t>
        </is>
      </c>
      <c r="E1402" s="9" t="inlineStr">
        <is>
          <t>BRAZALETE CLASH SILVER</t>
        </is>
      </c>
      <c r="F1402" s="9" t="inlineStr">
        <is>
          <t>16CM</t>
        </is>
      </c>
      <c r="G1402" s="9" t="n">
        <v>3</v>
      </c>
      <c r="H1402" s="21" t="n">
        <v>22</v>
      </c>
      <c r="I1402" s="21" t="n">
        <v>460.18</v>
      </c>
      <c r="J1402" s="21" t="n">
        <v>1380.53</v>
      </c>
      <c r="K1402" s="21" t="n">
        <v>1610.62</v>
      </c>
      <c r="L1402" s="21" t="n">
        <v>1840.71</v>
      </c>
      <c r="M1402" s="21" t="n">
        <v>1850</v>
      </c>
    </row>
    <row r="1403">
      <c r="A1403" s="9" t="inlineStr">
        <is>
          <t>HAIFENG</t>
        </is>
      </c>
      <c r="B1403" s="9" t="inlineStr">
        <is>
          <t>HAIFENG 03/12/2025</t>
        </is>
      </c>
      <c r="C1403" s="9" t="inlineStr">
        <is>
          <t>2025-12-03</t>
        </is>
      </c>
      <c r="D1403" s="9" t="inlineStr">
        <is>
          <t>67201531837869</t>
        </is>
      </c>
      <c r="E1403" s="9" t="inlineStr">
        <is>
          <t>BRAZALETE KELLY CLIC H ROSE GOLD</t>
        </is>
      </c>
      <c r="F1403" s="9" t="inlineStr">
        <is>
          <t>Default Title</t>
        </is>
      </c>
      <c r="G1403" s="9" t="n">
        <v>5</v>
      </c>
      <c r="H1403" s="21" t="n">
        <v>10</v>
      </c>
      <c r="I1403" s="21" t="n">
        <v>209.17</v>
      </c>
      <c r="J1403" s="21" t="n">
        <v>627.51</v>
      </c>
      <c r="K1403" s="21" t="n">
        <v>732.1</v>
      </c>
      <c r="L1403" s="21" t="n">
        <v>836.6900000000001</v>
      </c>
      <c r="M1403" s="21" t="n">
        <v>824</v>
      </c>
    </row>
    <row r="1404">
      <c r="A1404" s="9" t="inlineStr">
        <is>
          <t>HAIFENG</t>
        </is>
      </c>
      <c r="B1404" s="9" t="inlineStr">
        <is>
          <t>HAIFENG 03/12/2025</t>
        </is>
      </c>
      <c r="C1404" s="9" t="inlineStr">
        <is>
          <t>2025-12-03</t>
        </is>
      </c>
      <c r="D1404" s="9" t="inlineStr">
        <is>
          <t>63e0bdd7637c5</t>
        </is>
      </c>
      <c r="E1404" s="9" t="inlineStr">
        <is>
          <t>COLLAR ARO LOVE GOLD</t>
        </is>
      </c>
      <c r="F1404" s="9" t="inlineStr">
        <is>
          <t>42cm</t>
        </is>
      </c>
      <c r="G1404" s="9" t="n">
        <v>3</v>
      </c>
      <c r="H1404" s="21" t="n">
        <v>5</v>
      </c>
      <c r="I1404" s="21" t="n">
        <v>104.59</v>
      </c>
      <c r="J1404" s="21" t="n">
        <v>313.76</v>
      </c>
      <c r="K1404" s="21" t="n">
        <v>366.05</v>
      </c>
      <c r="L1404" s="21" t="n">
        <v>418.34</v>
      </c>
      <c r="M1404" s="21" t="n">
        <v>460</v>
      </c>
    </row>
    <row r="1405">
      <c r="A1405" s="9" t="inlineStr">
        <is>
          <t>HAIFENG</t>
        </is>
      </c>
      <c r="B1405" s="9" t="inlineStr">
        <is>
          <t>HAIFENG 03/12/2025</t>
        </is>
      </c>
      <c r="C1405" s="9" t="inlineStr">
        <is>
          <t>2025-12-03</t>
        </is>
      </c>
      <c r="D1405" s="9" t="inlineStr">
        <is>
          <t>56481484584844</t>
        </is>
      </c>
      <c r="E1405" s="9" t="inlineStr">
        <is>
          <t>COLLAR BEAN GOLD</t>
        </is>
      </c>
      <c r="F1405" s="9" t="inlineStr">
        <is>
          <t>41cm con 5cm de extensi√≥n</t>
        </is>
      </c>
      <c r="G1405" s="9" t="n">
        <v>7</v>
      </c>
      <c r="H1405" s="21" t="n">
        <v>6</v>
      </c>
      <c r="I1405" s="21" t="n">
        <v>125.5</v>
      </c>
      <c r="J1405" s="21" t="n">
        <v>376.51</v>
      </c>
      <c r="K1405" s="21" t="n">
        <v>439.26</v>
      </c>
      <c r="L1405" s="21" t="n">
        <v>502.01</v>
      </c>
      <c r="M1405" s="21" t="n">
        <v>520</v>
      </c>
    </row>
    <row r="1406">
      <c r="A1406" s="9" t="inlineStr">
        <is>
          <t>HAIFENG</t>
        </is>
      </c>
      <c r="B1406" s="9" t="inlineStr">
        <is>
          <t>HAIFENG 03/12/2025</t>
        </is>
      </c>
      <c r="C1406" s="9" t="inlineStr">
        <is>
          <t>2025-12-03</t>
        </is>
      </c>
      <c r="D1406" s="9" t="inlineStr">
        <is>
          <t>56481482264076</t>
        </is>
      </c>
      <c r="E1406" s="9" t="inlineStr">
        <is>
          <t>COLLAR BEAN SILVER</t>
        </is>
      </c>
      <c r="F1406" s="9" t="inlineStr">
        <is>
          <t>41cm con 5cm de extensi√≥n</t>
        </is>
      </c>
      <c r="G1406" s="9" t="n">
        <v>6</v>
      </c>
      <c r="H1406" s="21" t="n">
        <v>6</v>
      </c>
      <c r="I1406" s="21" t="n">
        <v>125.5</v>
      </c>
      <c r="J1406" s="21" t="n">
        <v>376.51</v>
      </c>
      <c r="K1406" s="21" t="n">
        <v>439.26</v>
      </c>
      <c r="L1406" s="21" t="n">
        <v>502.01</v>
      </c>
      <c r="M1406" s="21" t="n">
        <v>520</v>
      </c>
    </row>
    <row r="1407">
      <c r="A1407" s="9" t="inlineStr">
        <is>
          <t>HAIFENG</t>
        </is>
      </c>
      <c r="B1407" s="9" t="inlineStr">
        <is>
          <t>HAIFENG 03/12/2025</t>
        </is>
      </c>
      <c r="C1407" s="9" t="inlineStr">
        <is>
          <t>2025-12-03</t>
        </is>
      </c>
      <c r="D1407" s="9" t="inlineStr">
        <is>
          <t>643ec108c3efe</t>
        </is>
      </c>
      <c r="E1407" s="9" t="inlineStr">
        <is>
          <t>COLLAR BV GOLD</t>
        </is>
      </c>
      <c r="F1407" s="9" t="inlineStr">
        <is>
          <t>Largo de cadena total 40cm  Extensi√≥n 8 cm  Dije 1 cm</t>
        </is>
      </c>
      <c r="G1407" s="9" t="n">
        <v>2</v>
      </c>
      <c r="H1407" s="21" t="n">
        <v>5</v>
      </c>
      <c r="I1407" s="21" t="n">
        <v>104.59</v>
      </c>
      <c r="J1407" s="21" t="n">
        <v>313.76</v>
      </c>
      <c r="K1407" s="21" t="n">
        <v>366.05</v>
      </c>
      <c r="L1407" s="21" t="n">
        <v>418.34</v>
      </c>
      <c r="M1407" s="21" t="n">
        <v>499</v>
      </c>
    </row>
    <row r="1408">
      <c r="A1408" s="9" t="inlineStr">
        <is>
          <t>HAIFENG</t>
        </is>
      </c>
      <c r="B1408" s="9" t="inlineStr">
        <is>
          <t>HAIFENG 03/12/2025</t>
        </is>
      </c>
      <c r="C1408" s="9" t="inlineStr">
        <is>
          <t>2025-12-03</t>
        </is>
      </c>
      <c r="D1408" s="9" t="inlineStr">
        <is>
          <t>643ec10bc63f5</t>
        </is>
      </c>
      <c r="E1408" s="9" t="inlineStr">
        <is>
          <t>COLLAR BV SILVER</t>
        </is>
      </c>
      <c r="F1408" s="9" t="inlineStr">
        <is>
          <t>Largo de cadena total 40cm Extensi√≥n 8 cm Dije 1 cm</t>
        </is>
      </c>
      <c r="G1408" s="9" t="n">
        <v>5</v>
      </c>
      <c r="H1408" s="21" t="n">
        <v>5</v>
      </c>
      <c r="I1408" s="21" t="n">
        <v>104.59</v>
      </c>
      <c r="J1408" s="21" t="n">
        <v>313.76</v>
      </c>
      <c r="K1408" s="21" t="n">
        <v>366.05</v>
      </c>
      <c r="L1408" s="21" t="n">
        <v>418.34</v>
      </c>
      <c r="M1408" s="21" t="n">
        <v>450</v>
      </c>
    </row>
    <row r="1409">
      <c r="A1409" s="9" t="inlineStr">
        <is>
          <t>HAIFENG</t>
        </is>
      </c>
      <c r="B1409" s="9" t="inlineStr">
        <is>
          <t>HAIFENG 03/12/2025</t>
        </is>
      </c>
      <c r="C1409" s="9" t="inlineStr">
        <is>
          <t>2025-12-03</t>
        </is>
      </c>
      <c r="D1409" s="9" t="inlineStr">
        <is>
          <t>27127011173132</t>
        </is>
      </c>
      <c r="E1409" s="9" t="inlineStr">
        <is>
          <t>COLLAR Bzero SILVER BLACK</t>
        </is>
      </c>
      <c r="F1409" s="9" t="inlineStr">
        <is>
          <t>41cm de largo con 8cm de Extension.</t>
        </is>
      </c>
      <c r="G1409" s="9" t="n">
        <v>2</v>
      </c>
      <c r="H1409" s="21" t="n">
        <v>5</v>
      </c>
      <c r="I1409" s="21" t="n">
        <v>104.59</v>
      </c>
      <c r="J1409" s="21" t="n">
        <v>313.76</v>
      </c>
      <c r="K1409" s="21" t="n">
        <v>366.05</v>
      </c>
      <c r="L1409" s="21" t="n">
        <v>418.34</v>
      </c>
      <c r="M1409" s="21" t="n">
        <v>550</v>
      </c>
    </row>
    <row r="1410">
      <c r="A1410" s="9" t="inlineStr">
        <is>
          <t>HAIFENG</t>
        </is>
      </c>
      <c r="B1410" s="9" t="inlineStr">
        <is>
          <t>HAIFENG 03/12/2025</t>
        </is>
      </c>
      <c r="C1410" s="9" t="inlineStr">
        <is>
          <t>2025-12-03</t>
        </is>
      </c>
      <c r="D1410" s="9" t="inlineStr">
        <is>
          <t>43728082327916</t>
        </is>
      </c>
      <c r="E1410" s="9" t="inlineStr">
        <is>
          <t>COLLAR C D‚ÄôAMOUR GOLD</t>
        </is>
      </c>
      <c r="F1410" s="9" t="inlineStr">
        <is>
          <t>44cm con 5cm de extensi√≥n</t>
        </is>
      </c>
      <c r="G1410" s="9" t="n">
        <v>3</v>
      </c>
      <c r="H1410" s="21" t="n">
        <v>2.99</v>
      </c>
      <c r="I1410" s="21" t="n">
        <v>62.54</v>
      </c>
      <c r="J1410" s="21" t="n">
        <v>187.63</v>
      </c>
      <c r="K1410" s="21" t="n">
        <v>218.9</v>
      </c>
      <c r="L1410" s="21" t="n">
        <v>250.17</v>
      </c>
      <c r="M1410" s="21" t="n">
        <v>525</v>
      </c>
    </row>
    <row r="1411">
      <c r="A1411" s="9" t="inlineStr">
        <is>
          <t>HAIFENG</t>
        </is>
      </c>
      <c r="B1411" s="9" t="inlineStr">
        <is>
          <t>HAIFENG 03/12/2025</t>
        </is>
      </c>
      <c r="C1411" s="9" t="inlineStr">
        <is>
          <t>2025-12-03</t>
        </is>
      </c>
      <c r="D1411" s="9" t="inlineStr">
        <is>
          <t>43728082231852</t>
        </is>
      </c>
      <c r="E1411" s="9" t="inlineStr">
        <is>
          <t>COLLAR C D‚ÄôAMOUR SILVER</t>
        </is>
      </c>
      <c r="F1411" s="9" t="inlineStr">
        <is>
          <t>44cm con 5cm de extensi√≥n</t>
        </is>
      </c>
      <c r="G1411" s="9" t="n">
        <v>4</v>
      </c>
      <c r="H1411" s="21" t="n">
        <v>2.99</v>
      </c>
      <c r="I1411" s="21" t="n">
        <v>62.54</v>
      </c>
      <c r="J1411" s="21" t="n">
        <v>187.63</v>
      </c>
      <c r="K1411" s="21" t="n">
        <v>218.9</v>
      </c>
      <c r="L1411" s="21" t="n">
        <v>250.17</v>
      </c>
      <c r="M1411" s="21" t="n">
        <v>399</v>
      </c>
    </row>
    <row r="1412">
      <c r="A1412" s="9" t="inlineStr">
        <is>
          <t>HAIFENG</t>
        </is>
      </c>
      <c r="B1412" s="9" t="inlineStr">
        <is>
          <t>HAIFENG 03/12/2025</t>
        </is>
      </c>
      <c r="C1412" s="9" t="inlineStr">
        <is>
          <t>2025-12-03</t>
        </is>
      </c>
      <c r="D1412" s="9" t="inlineStr">
        <is>
          <t>36002951405580</t>
        </is>
      </c>
      <c r="E1412" s="9" t="inlineStr">
        <is>
          <t>COLLAR CLAVO GOLD CON ZIRCONIA</t>
        </is>
      </c>
      <c r="F1412" s="9" t="inlineStr">
        <is>
          <t>40cm de largo x 5cm de extensi√≥n</t>
        </is>
      </c>
      <c r="G1412" s="9" t="n">
        <v>5</v>
      </c>
      <c r="H1412" s="21" t="n">
        <v>6</v>
      </c>
      <c r="I1412" s="21" t="n">
        <v>125.5</v>
      </c>
      <c r="J1412" s="21" t="n">
        <v>376.51</v>
      </c>
      <c r="K1412" s="21" t="n">
        <v>439.26</v>
      </c>
      <c r="L1412" s="21" t="n">
        <v>502.01</v>
      </c>
      <c r="M1412" s="21" t="n">
        <v>618</v>
      </c>
    </row>
    <row r="1413">
      <c r="A1413" s="9" t="inlineStr">
        <is>
          <t>HAIFENG</t>
        </is>
      </c>
      <c r="B1413" s="9" t="inlineStr">
        <is>
          <t>HAIFENG 03/12/2025</t>
        </is>
      </c>
      <c r="C1413" s="9" t="inlineStr">
        <is>
          <t>2025-12-03</t>
        </is>
      </c>
      <c r="D1413" s="9" t="inlineStr">
        <is>
          <t>53864631024909</t>
        </is>
      </c>
      <c r="E1413" s="9" t="inlineStr">
        <is>
          <t>COLLAR CON PASADOR Y PLACA ESTILO CORAZ√ìN SILVER</t>
        </is>
      </c>
      <c r="F1413" s="9" t="inlineStr">
        <is>
          <t>44 cm</t>
        </is>
      </c>
      <c r="G1413" s="9" t="n">
        <v>5</v>
      </c>
      <c r="H1413" s="21" t="n">
        <v>12</v>
      </c>
      <c r="I1413" s="21" t="n">
        <v>251.01</v>
      </c>
      <c r="J1413" s="21" t="n">
        <v>753.02</v>
      </c>
      <c r="K1413" s="21" t="n">
        <v>878.52</v>
      </c>
      <c r="L1413" s="21" t="n">
        <v>1004.02</v>
      </c>
      <c r="M1413" s="21" t="n">
        <v>989</v>
      </c>
    </row>
    <row r="1414">
      <c r="A1414" s="9" t="inlineStr">
        <is>
          <t>HAIFENG</t>
        </is>
      </c>
      <c r="B1414" s="9" t="inlineStr">
        <is>
          <t>HAIFENG 03/12/2025</t>
        </is>
      </c>
      <c r="C1414" s="9" t="inlineStr">
        <is>
          <t>2025-12-03</t>
        </is>
      </c>
      <c r="D1414" s="9" t="inlineStr">
        <is>
          <t>67201534708013</t>
        </is>
      </c>
      <c r="E1414" s="9" t="inlineStr">
        <is>
          <t>COLLAR CRUZ T GOLD</t>
        </is>
      </c>
      <c r="F1414" s="9" t="inlineStr">
        <is>
          <t>Default Title</t>
        </is>
      </c>
      <c r="G1414" s="9" t="n">
        <v>5</v>
      </c>
      <c r="H1414" s="21" t="n">
        <v>7</v>
      </c>
      <c r="I1414" s="21" t="n">
        <v>146.42</v>
      </c>
      <c r="J1414" s="21" t="n">
        <v>439.26</v>
      </c>
      <c r="K1414" s="21" t="n">
        <v>512.47</v>
      </c>
      <c r="L1414" s="21" t="n">
        <v>585.6799999999999</v>
      </c>
      <c r="M1414" s="21" t="n">
        <v>577</v>
      </c>
    </row>
    <row r="1415">
      <c r="A1415" s="9" t="inlineStr">
        <is>
          <t>HAIFENG</t>
        </is>
      </c>
      <c r="B1415" s="9" t="inlineStr">
        <is>
          <t>HAIFENG 03/12/2025</t>
        </is>
      </c>
      <c r="C1415" s="9" t="inlineStr">
        <is>
          <t>2025-12-03</t>
        </is>
      </c>
      <c r="D1415" s="9" t="inlineStr">
        <is>
          <t>668eee3e3e067</t>
        </is>
      </c>
      <c r="E1415" s="9" t="inlineStr">
        <is>
          <t>COLLAR DOBLE PLACA CORAZÓN TURQUESA-PLATA</t>
        </is>
      </c>
      <c r="F1415" s="9" t="inlineStr">
        <is>
          <t>Copper</t>
        </is>
      </c>
      <c r="G1415" s="9" t="n">
        <v>10</v>
      </c>
      <c r="H1415" s="21" t="n">
        <v>5</v>
      </c>
      <c r="I1415" s="21" t="n">
        <v>104.59</v>
      </c>
      <c r="J1415" s="21" t="n">
        <v>313.76</v>
      </c>
      <c r="K1415" s="21" t="n">
        <v>366.05</v>
      </c>
      <c r="L1415" s="21" t="n">
        <v>418.34</v>
      </c>
      <c r="M1415" s="21" t="n">
        <v>550</v>
      </c>
    </row>
    <row r="1416">
      <c r="A1416" s="9" t="inlineStr">
        <is>
          <t>HAIFENG</t>
        </is>
      </c>
      <c r="B1416" s="9" t="inlineStr">
        <is>
          <t>HAIFENG 03/12/2025</t>
        </is>
      </c>
      <c r="C1416" s="9" t="inlineStr">
        <is>
          <t>2025-12-03</t>
        </is>
      </c>
      <c r="D1416" s="9" t="inlineStr">
        <is>
          <t>56481497508748</t>
        </is>
      </c>
      <c r="E1416" s="9" t="inlineStr">
        <is>
          <t>COLLAR DOBLE PLACA ROSEGOLD PLATA</t>
        </is>
      </c>
      <c r="F1416" s="9" t="inlineStr">
        <is>
          <t>39cm con 5cm de extensi√≥n (REMATE)</t>
        </is>
      </c>
      <c r="G1416" s="9" t="n">
        <v>5</v>
      </c>
      <c r="H1416" s="21" t="n">
        <v>5</v>
      </c>
      <c r="I1416" s="21" t="n">
        <v>104.59</v>
      </c>
      <c r="J1416" s="21" t="n">
        <v>313.76</v>
      </c>
      <c r="K1416" s="21" t="n">
        <v>366.05</v>
      </c>
      <c r="L1416" s="21" t="n">
        <v>418.34</v>
      </c>
      <c r="M1416" s="21" t="n">
        <v>550</v>
      </c>
    </row>
    <row r="1417">
      <c r="A1417" s="9" t="inlineStr">
        <is>
          <t>HAIFENG</t>
        </is>
      </c>
      <c r="B1417" s="9" t="inlineStr">
        <is>
          <t>HAIFENG 03/12/2025</t>
        </is>
      </c>
      <c r="C1417" s="9" t="inlineStr">
        <is>
          <t>2025-12-03</t>
        </is>
      </c>
      <c r="D1417" s="9" t="inlineStr">
        <is>
          <t>37491258394380</t>
        </is>
      </c>
      <c r="E1417" s="9" t="inlineStr">
        <is>
          <t>COLLAR FLOWER VF</t>
        </is>
      </c>
      <c r="F1417" s="9" t="inlineStr">
        <is>
          <t>45cm</t>
        </is>
      </c>
      <c r="G1417" s="9" t="n">
        <v>3</v>
      </c>
      <c r="H1417" s="21" t="n">
        <v>5</v>
      </c>
      <c r="I1417" s="21" t="n">
        <v>104.59</v>
      </c>
      <c r="J1417" s="21" t="n">
        <v>313.76</v>
      </c>
      <c r="K1417" s="21" t="n">
        <v>366.05</v>
      </c>
      <c r="L1417" s="21" t="n">
        <v>418.34</v>
      </c>
      <c r="M1417" s="21" t="n">
        <v>432.6</v>
      </c>
    </row>
    <row r="1418">
      <c r="A1418" s="9" t="inlineStr">
        <is>
          <t>HAIFENG</t>
        </is>
      </c>
      <c r="B1418" s="9" t="inlineStr">
        <is>
          <t>HAIFENG 03/12/2025</t>
        </is>
      </c>
      <c r="C1418" s="9" t="inlineStr">
        <is>
          <t>2025-12-03</t>
        </is>
      </c>
      <c r="D1418" s="9" t="inlineStr">
        <is>
          <t>63e0beee6c617</t>
        </is>
      </c>
      <c r="E1418" s="9" t="inlineStr">
        <is>
          <t>COLLAR LOVE GOLD</t>
        </is>
      </c>
      <c r="F1418" s="9" t="inlineStr">
        <is>
          <t>42cm</t>
        </is>
      </c>
      <c r="G1418" s="9" t="n">
        <v>2</v>
      </c>
      <c r="H1418" s="21" t="n">
        <v>5</v>
      </c>
      <c r="I1418" s="21" t="n">
        <v>104.59</v>
      </c>
      <c r="J1418" s="21" t="n">
        <v>313.76</v>
      </c>
      <c r="K1418" s="21" t="n">
        <v>366.05</v>
      </c>
      <c r="L1418" s="21" t="n">
        <v>418.34</v>
      </c>
      <c r="M1418" s="21" t="n">
        <v>550</v>
      </c>
    </row>
    <row r="1419">
      <c r="A1419" s="9" t="inlineStr">
        <is>
          <t>HAIFENG</t>
        </is>
      </c>
      <c r="B1419" s="9" t="inlineStr">
        <is>
          <t>HAIFENG 03/12/2025</t>
        </is>
      </c>
      <c r="C1419" s="9" t="inlineStr">
        <is>
          <t>2025-12-03</t>
        </is>
      </c>
      <c r="D1419" s="9" t="inlineStr">
        <is>
          <t>665bbe3eb9388</t>
        </is>
      </c>
      <c r="E1419" s="9" t="inlineStr">
        <is>
          <t>COLLAR LOVE SILVER</t>
        </is>
      </c>
      <c r="F1419" s="9" t="inlineStr">
        <is>
          <t>Default Title</t>
        </is>
      </c>
      <c r="G1419" s="9" t="n">
        <v>4</v>
      </c>
      <c r="H1419" s="21" t="n">
        <v>5</v>
      </c>
      <c r="I1419" s="21" t="n">
        <v>104.59</v>
      </c>
      <c r="J1419" s="21" t="n">
        <v>313.76</v>
      </c>
      <c r="K1419" s="21" t="n">
        <v>366.05</v>
      </c>
      <c r="L1419" s="21" t="n">
        <v>418.34</v>
      </c>
      <c r="M1419" s="21" t="n">
        <v>460</v>
      </c>
    </row>
    <row r="1420">
      <c r="A1420" s="9" t="inlineStr">
        <is>
          <t>HAIFENG</t>
        </is>
      </c>
      <c r="B1420" s="9" t="inlineStr">
        <is>
          <t>HAIFENG 03/12/2025</t>
        </is>
      </c>
      <c r="C1420" s="9" t="inlineStr">
        <is>
          <t>2025-12-03</t>
        </is>
      </c>
      <c r="D1420" s="9" t="inlineStr">
        <is>
          <t>66177c3e7206b</t>
        </is>
      </c>
      <c r="E1420" s="9" t="inlineStr">
        <is>
          <t>COLLAR LOVE-LOVE GOLD</t>
        </is>
      </c>
      <c r="F1420" s="9" t="inlineStr">
        <is>
          <t>46cm con 5cm de extension</t>
        </is>
      </c>
      <c r="G1420" s="9" t="n">
        <v>10</v>
      </c>
      <c r="H1420" s="21" t="n">
        <v>3.8</v>
      </c>
      <c r="I1420" s="21" t="n">
        <v>79.48999999999999</v>
      </c>
      <c r="J1420" s="21" t="n">
        <v>238.46</v>
      </c>
      <c r="K1420" s="21" t="n">
        <v>278.2</v>
      </c>
      <c r="L1420" s="21" t="n">
        <v>317.94</v>
      </c>
      <c r="M1420" s="21" t="n">
        <v>440</v>
      </c>
    </row>
    <row r="1421">
      <c r="A1421" s="9" t="inlineStr">
        <is>
          <t>HAIFENG</t>
        </is>
      </c>
      <c r="B1421" s="9" t="inlineStr">
        <is>
          <t>HAIFENG 03/12/2025</t>
        </is>
      </c>
      <c r="C1421" s="9" t="inlineStr">
        <is>
          <t>2025-12-03</t>
        </is>
      </c>
      <c r="D1421" s="9" t="inlineStr">
        <is>
          <t>63e0bef7903cb</t>
        </is>
      </c>
      <c r="E1421" s="9" t="inlineStr">
        <is>
          <t>COLLAR LOVE-LOVE SILVER</t>
        </is>
      </c>
      <c r="F1421" s="9" t="inlineStr">
        <is>
          <t>46cm con extensi√≥n de 5cm</t>
        </is>
      </c>
      <c r="G1421" s="9" t="n">
        <v>4</v>
      </c>
      <c r="H1421" s="21" t="n">
        <v>3.8</v>
      </c>
      <c r="I1421" s="21" t="n">
        <v>79.48999999999999</v>
      </c>
      <c r="J1421" s="21" t="n">
        <v>238.46</v>
      </c>
      <c r="K1421" s="21" t="n">
        <v>278.2</v>
      </c>
      <c r="L1421" s="21" t="n">
        <v>317.94</v>
      </c>
      <c r="M1421" s="21" t="n">
        <v>440</v>
      </c>
    </row>
    <row r="1422">
      <c r="A1422" s="9" t="inlineStr">
        <is>
          <t>HAIFENG</t>
        </is>
      </c>
      <c r="B1422" s="9" t="inlineStr">
        <is>
          <t>HAIFENG 03/12/2025</t>
        </is>
      </c>
      <c r="C1422" s="9" t="inlineStr">
        <is>
          <t>2025-12-03</t>
        </is>
      </c>
      <c r="D1422" s="9" t="inlineStr">
        <is>
          <t>37491254947980</t>
        </is>
      </c>
      <c r="E1422" s="9" t="inlineStr">
        <is>
          <t>COLLAR MARIQUITA VF</t>
        </is>
      </c>
      <c r="F1422" s="9" t="inlineStr">
        <is>
          <t>47cm</t>
        </is>
      </c>
      <c r="G1422" s="9" t="n">
        <v>4</v>
      </c>
      <c r="H1422" s="21" t="n">
        <v>7</v>
      </c>
      <c r="I1422" s="21" t="n">
        <v>146.42</v>
      </c>
      <c r="J1422" s="21" t="n">
        <v>439.26</v>
      </c>
      <c r="K1422" s="21" t="n">
        <v>512.47</v>
      </c>
      <c r="L1422" s="21" t="n">
        <v>585.6799999999999</v>
      </c>
      <c r="M1422" s="21" t="n">
        <v>580</v>
      </c>
    </row>
    <row r="1423">
      <c r="A1423" s="9" t="inlineStr">
        <is>
          <t>HAIFENG</t>
        </is>
      </c>
      <c r="B1423" s="9" t="inlineStr">
        <is>
          <t>HAIFENG 03/12/2025</t>
        </is>
      </c>
      <c r="C1423" s="9" t="inlineStr">
        <is>
          <t>2025-12-03</t>
        </is>
      </c>
      <c r="D1423" s="9" t="inlineStr">
        <is>
          <t>39966871032781</t>
        </is>
      </c>
      <c r="E1423" s="9" t="inlineStr">
        <is>
          <t>COLLAR MSS GOLD CON ZIRCONIA</t>
        </is>
      </c>
      <c r="F1423" s="9" t="inlineStr">
        <is>
          <t>Default Title</t>
        </is>
      </c>
      <c r="G1423" s="9" t="n">
        <v>8</v>
      </c>
      <c r="H1423" s="21" t="n">
        <v>8</v>
      </c>
      <c r="I1423" s="21" t="n">
        <v>167.34</v>
      </c>
      <c r="J1423" s="21" t="n">
        <v>502.01</v>
      </c>
      <c r="K1423" s="21" t="n">
        <v>585.6799999999999</v>
      </c>
      <c r="L1423" s="21" t="n">
        <v>669.35</v>
      </c>
      <c r="M1423" s="21" t="n">
        <v>660</v>
      </c>
    </row>
    <row r="1424">
      <c r="A1424" s="9" t="inlineStr">
        <is>
          <t>HAIFENG</t>
        </is>
      </c>
      <c r="B1424" s="9" t="inlineStr">
        <is>
          <t>HAIFENG 03/12/2025</t>
        </is>
      </c>
      <c r="C1424" s="9" t="inlineStr">
        <is>
          <t>2025-12-03</t>
        </is>
      </c>
      <c r="D1424" s="9" t="inlineStr">
        <is>
          <t>89668081080557</t>
        </is>
      </c>
      <c r="E1424" s="9" t="inlineStr">
        <is>
          <t>COLLAR MSS MOVE UNO GOLD</t>
        </is>
      </c>
      <c r="F1424" s="9" t="inlineStr">
        <is>
          <t>Default Title</t>
        </is>
      </c>
      <c r="G1424" s="9" t="n">
        <v>2</v>
      </c>
      <c r="H1424" s="21" t="n">
        <v>8</v>
      </c>
      <c r="I1424" s="21" t="n">
        <v>167.34</v>
      </c>
      <c r="J1424" s="21" t="n">
        <v>502.01</v>
      </c>
      <c r="K1424" s="21" t="n">
        <v>585.6799999999999</v>
      </c>
      <c r="L1424" s="21" t="n">
        <v>669.35</v>
      </c>
      <c r="M1424" s="21" t="n">
        <v>659.2</v>
      </c>
    </row>
    <row r="1425">
      <c r="A1425" s="9" t="inlineStr">
        <is>
          <t>HAIFENG</t>
        </is>
      </c>
      <c r="B1425" s="9" t="inlineStr">
        <is>
          <t>HAIFENG 03/12/2025</t>
        </is>
      </c>
      <c r="C1425" s="9" t="inlineStr">
        <is>
          <t>2025-12-03</t>
        </is>
      </c>
      <c r="D1425" s="9" t="inlineStr">
        <is>
          <t>50869451078413</t>
        </is>
      </c>
      <c r="E1425" s="9" t="inlineStr">
        <is>
          <t>COLLAR MSS ROSEGOLD CON ZIRCONIA</t>
        </is>
      </c>
      <c r="F1425" s="9" t="inlineStr">
        <is>
          <t>Default Title</t>
        </is>
      </c>
      <c r="G1425" s="9" t="n">
        <v>2</v>
      </c>
      <c r="H1425" s="21" t="n">
        <v>8</v>
      </c>
      <c r="I1425" s="21" t="n">
        <v>167.34</v>
      </c>
      <c r="J1425" s="21" t="n">
        <v>502.01</v>
      </c>
      <c r="K1425" s="21" t="n">
        <v>585.6799999999999</v>
      </c>
      <c r="L1425" s="21" t="n">
        <v>669.35</v>
      </c>
      <c r="M1425" s="21" t="n">
        <v>660</v>
      </c>
    </row>
    <row r="1426">
      <c r="A1426" s="9" t="inlineStr">
        <is>
          <t>HAIFENG</t>
        </is>
      </c>
      <c r="B1426" s="9" t="inlineStr">
        <is>
          <t>HAIFENG 03/12/2025</t>
        </is>
      </c>
      <c r="C1426" s="9" t="inlineStr">
        <is>
          <t>2025-12-03</t>
        </is>
      </c>
      <c r="D1426" s="9" t="inlineStr">
        <is>
          <t>54479961098957</t>
        </is>
      </c>
      <c r="E1426" s="9" t="inlineStr">
        <is>
          <t>COLLAR MSS SILVER CON ZIRCONIA</t>
        </is>
      </c>
      <c r="F1426" s="9" t="inlineStr">
        <is>
          <t>Default Title</t>
        </is>
      </c>
      <c r="G1426" s="9" t="n">
        <v>8</v>
      </c>
      <c r="H1426" s="21" t="n">
        <v>8</v>
      </c>
      <c r="I1426" s="21" t="n">
        <v>167.34</v>
      </c>
      <c r="J1426" s="21" t="n">
        <v>502.01</v>
      </c>
      <c r="K1426" s="21" t="n">
        <v>585.6799999999999</v>
      </c>
      <c r="L1426" s="21" t="n">
        <v>669.35</v>
      </c>
      <c r="M1426" s="21" t="n">
        <v>699</v>
      </c>
    </row>
    <row r="1427">
      <c r="A1427" s="9" t="inlineStr">
        <is>
          <t>HAIFENG</t>
        </is>
      </c>
      <c r="B1427" s="9" t="inlineStr">
        <is>
          <t>HAIFENG 03/12/2025</t>
        </is>
      </c>
      <c r="C1427" s="9" t="inlineStr">
        <is>
          <t>2025-12-03</t>
        </is>
      </c>
      <c r="D1427" s="9" t="inlineStr">
        <is>
          <t>56481485321228</t>
        </is>
      </c>
      <c r="E1427" s="9" t="inlineStr">
        <is>
          <t>COLLAR OPEN HEART</t>
        </is>
      </c>
      <c r="F1427" s="9" t="inlineStr">
        <is>
          <t>42cm (REMATE)</t>
        </is>
      </c>
      <c r="G1427" s="9" t="n">
        <v>3</v>
      </c>
      <c r="H1427" s="21" t="n">
        <v>7</v>
      </c>
      <c r="I1427" s="21" t="n">
        <v>146.42</v>
      </c>
      <c r="J1427" s="21" t="n">
        <v>439.26</v>
      </c>
      <c r="K1427" s="21" t="n">
        <v>512.47</v>
      </c>
      <c r="L1427" s="21" t="n">
        <v>585.6799999999999</v>
      </c>
      <c r="M1427" s="21" t="n">
        <v>599</v>
      </c>
    </row>
    <row r="1428">
      <c r="A1428" s="9" t="inlineStr">
        <is>
          <t>HAIFENG</t>
        </is>
      </c>
      <c r="B1428" s="9" t="inlineStr">
        <is>
          <t>HAIFENG 03/12/2025</t>
        </is>
      </c>
      <c r="C1428" s="9" t="inlineStr">
        <is>
          <t>2025-12-03</t>
        </is>
      </c>
      <c r="D1428" s="9" t="inlineStr">
        <is>
          <t>67201534607245</t>
        </is>
      </c>
      <c r="E1428" s="9" t="inlineStr">
        <is>
          <t>COLLAR OPEN HEART GOLD</t>
        </is>
      </c>
      <c r="F1428" s="9" t="inlineStr">
        <is>
          <t>Default Title</t>
        </is>
      </c>
      <c r="G1428" s="9" t="n">
        <v>3</v>
      </c>
      <c r="H1428" s="21" t="n">
        <v>7</v>
      </c>
      <c r="I1428" s="21" t="n">
        <v>146.42</v>
      </c>
      <c r="J1428" s="21" t="n">
        <v>439.26</v>
      </c>
      <c r="K1428" s="21" t="n">
        <v>512.47</v>
      </c>
      <c r="L1428" s="21" t="n">
        <v>585.6799999999999</v>
      </c>
      <c r="M1428" s="21" t="n">
        <v>599</v>
      </c>
    </row>
    <row r="1429">
      <c r="A1429" s="9" t="inlineStr">
        <is>
          <t>HAIFENG</t>
        </is>
      </c>
      <c r="B1429" s="9" t="inlineStr">
        <is>
          <t>HAIFENG 03/12/2025</t>
        </is>
      </c>
      <c r="C1429" s="9" t="inlineStr">
        <is>
          <t>2025-12-03</t>
        </is>
      </c>
      <c r="D1429" s="9" t="inlineStr">
        <is>
          <t>67201534558861</t>
        </is>
      </c>
      <c r="E1429" s="9" t="inlineStr">
        <is>
          <t>COLLAR OPEN HEART ROSE GOLD</t>
        </is>
      </c>
      <c r="F1429" s="9" t="inlineStr">
        <is>
          <t>Default Title</t>
        </is>
      </c>
      <c r="G1429" s="9" t="n">
        <v>4</v>
      </c>
      <c r="H1429" s="21" t="n">
        <v>7</v>
      </c>
      <c r="I1429" s="21" t="n">
        <v>146.42</v>
      </c>
      <c r="J1429" s="21" t="n">
        <v>439.26</v>
      </c>
      <c r="K1429" s="21" t="n">
        <v>512.47</v>
      </c>
      <c r="L1429" s="21" t="n">
        <v>585.6799999999999</v>
      </c>
      <c r="M1429" s="21" t="n">
        <v>577</v>
      </c>
    </row>
    <row r="1430">
      <c r="A1430" s="9" t="inlineStr">
        <is>
          <t>HAIFENG</t>
        </is>
      </c>
      <c r="B1430" s="9" t="inlineStr">
        <is>
          <t>HAIFENG 03/12/2025</t>
        </is>
      </c>
      <c r="C1430" s="9" t="inlineStr">
        <is>
          <t>2025-12-03</t>
        </is>
      </c>
      <c r="D1430" s="9" t="inlineStr">
        <is>
          <t>64085741986765</t>
        </is>
      </c>
      <c r="E1430" s="9" t="inlineStr">
        <is>
          <t>COLLAR PANTHERE GOLD C</t>
        </is>
      </c>
      <c r="F1430" s="9" t="inlineStr">
        <is>
          <t>Default Title</t>
        </is>
      </c>
      <c r="G1430" s="9" t="n">
        <v>3</v>
      </c>
      <c r="H1430" s="21" t="n">
        <v>7</v>
      </c>
      <c r="I1430" s="21" t="n">
        <v>146.42</v>
      </c>
      <c r="J1430" s="21" t="n">
        <v>439.26</v>
      </c>
      <c r="K1430" s="21" t="n">
        <v>512.47</v>
      </c>
      <c r="L1430" s="21" t="n">
        <v>585.6799999999999</v>
      </c>
      <c r="M1430" s="21" t="n">
        <v>577</v>
      </c>
    </row>
    <row r="1431">
      <c r="A1431" s="9" t="inlineStr">
        <is>
          <t>HAIFENG</t>
        </is>
      </c>
      <c r="B1431" s="9" t="inlineStr">
        <is>
          <t>HAIFENG 03/12/2025</t>
        </is>
      </c>
      <c r="C1431" s="9" t="inlineStr">
        <is>
          <t>2025-12-03</t>
        </is>
      </c>
      <c r="D1431" s="9" t="inlineStr">
        <is>
          <t>56481488272140</t>
        </is>
      </c>
      <c r="E1431" s="9" t="inlineStr">
        <is>
          <t>COLLAR PASADOR FULL HEART</t>
        </is>
      </c>
      <c r="F1431" s="9" t="inlineStr">
        <is>
          <t>45cm</t>
        </is>
      </c>
      <c r="G1431" s="9" t="n">
        <v>6</v>
      </c>
      <c r="H1431" s="21" t="n">
        <v>12</v>
      </c>
      <c r="I1431" s="21" t="n">
        <v>251.01</v>
      </c>
      <c r="J1431" s="21" t="n">
        <v>753.02</v>
      </c>
      <c r="K1431" s="21" t="n">
        <v>878.52</v>
      </c>
      <c r="L1431" s="21" t="n">
        <v>1004.02</v>
      </c>
      <c r="M1431" s="21" t="n">
        <v>989</v>
      </c>
    </row>
    <row r="1432">
      <c r="A1432" s="9" t="inlineStr">
        <is>
          <t>HAIFENG</t>
        </is>
      </c>
      <c r="B1432" s="9" t="inlineStr">
        <is>
          <t>HAIFENG 03/12/2025</t>
        </is>
      </c>
      <c r="C1432" s="9" t="inlineStr">
        <is>
          <t>2025-12-03</t>
        </is>
      </c>
      <c r="D1432" s="9" t="inlineStr">
        <is>
          <t>43016701149324</t>
        </is>
      </c>
      <c r="E1432" s="9" t="inlineStr">
        <is>
          <t>COLLAR ROUND T SILVER CON ZIRCONIAS</t>
        </is>
      </c>
      <c r="F1432" s="9" t="inlineStr">
        <is>
          <t>47cm de cadena dije: 3cm</t>
        </is>
      </c>
      <c r="G1432" s="9" t="n">
        <v>1</v>
      </c>
      <c r="H1432" s="21" t="n">
        <v>8.5</v>
      </c>
      <c r="I1432" s="21" t="n">
        <v>177.8</v>
      </c>
      <c r="J1432" s="21" t="n">
        <v>533.39</v>
      </c>
      <c r="K1432" s="21" t="n">
        <v>622.29</v>
      </c>
      <c r="L1432" s="21" t="n">
        <v>711.1799999999999</v>
      </c>
      <c r="M1432" s="21" t="n">
        <v>750</v>
      </c>
    </row>
    <row r="1433">
      <c r="A1433" s="9" t="inlineStr">
        <is>
          <t>HAIFENG</t>
        </is>
      </c>
      <c r="B1433" s="9" t="inlineStr">
        <is>
          <t>HAIFENG 03/12/2025</t>
        </is>
      </c>
      <c r="C1433" s="9" t="inlineStr">
        <is>
          <t>2025-12-03</t>
        </is>
      </c>
      <c r="D1433" s="9" t="inlineStr">
        <is>
          <t>63e0bf8dbe95e</t>
        </is>
      </c>
      <c r="E1433" s="9" t="inlineStr">
        <is>
          <t>COLLAR SMILE DORADO</t>
        </is>
      </c>
      <c r="F1433" s="9" t="inlineStr">
        <is>
          <t>MEDIUM</t>
        </is>
      </c>
      <c r="G1433" s="9" t="n">
        <v>3</v>
      </c>
      <c r="H1433" s="21" t="n">
        <v>3.4</v>
      </c>
      <c r="I1433" s="21" t="n">
        <v>71.12</v>
      </c>
      <c r="J1433" s="21" t="n">
        <v>213.36</v>
      </c>
      <c r="K1433" s="21" t="n">
        <v>248.91</v>
      </c>
      <c r="L1433" s="21" t="n">
        <v>284.47</v>
      </c>
      <c r="M1433" s="21" t="n">
        <v>460</v>
      </c>
    </row>
    <row r="1434">
      <c r="A1434" s="9" t="inlineStr">
        <is>
          <t>HAIFENG</t>
        </is>
      </c>
      <c r="B1434" s="9" t="inlineStr">
        <is>
          <t>HAIFENG 03/12/2025</t>
        </is>
      </c>
      <c r="C1434" s="9" t="inlineStr">
        <is>
          <t>2025-12-03</t>
        </is>
      </c>
      <c r="D1434" s="9" t="inlineStr">
        <is>
          <t>668eee430f697</t>
        </is>
      </c>
      <c r="E1434" s="9" t="inlineStr">
        <is>
          <t>COLLAR SMILE ROSE GOLD</t>
        </is>
      </c>
      <c r="F1434" s="9" t="inlineStr">
        <is>
          <t>Cadena ajustable de 40.6 a 45.7 cm</t>
        </is>
      </c>
      <c r="G1434" s="9" t="n">
        <v>3</v>
      </c>
      <c r="H1434" s="21" t="n">
        <v>3.4</v>
      </c>
      <c r="I1434" s="21" t="n">
        <v>71.12</v>
      </c>
      <c r="J1434" s="21" t="n">
        <v>213.36</v>
      </c>
      <c r="K1434" s="21" t="n">
        <v>248.91</v>
      </c>
      <c r="L1434" s="21" t="n">
        <v>284.47</v>
      </c>
      <c r="M1434" s="21" t="n">
        <v>460</v>
      </c>
    </row>
    <row r="1435">
      <c r="A1435" s="9" t="inlineStr">
        <is>
          <t>HAIFENG</t>
        </is>
      </c>
      <c r="B1435" s="9" t="inlineStr">
        <is>
          <t>HAIFENG 03/12/2025</t>
        </is>
      </c>
      <c r="C1435" s="9" t="inlineStr">
        <is>
          <t>2025-12-03</t>
        </is>
      </c>
      <c r="D1435" s="9" t="inlineStr">
        <is>
          <t>668eee443df70</t>
        </is>
      </c>
      <c r="E1435" s="9" t="inlineStr">
        <is>
          <t>COLLAR SMILE SILVER</t>
        </is>
      </c>
      <c r="F1435" s="9" t="inlineStr">
        <is>
          <t>Cadena ajustable de 40.6 a 45.7 cm</t>
        </is>
      </c>
      <c r="G1435" s="9" t="n">
        <v>5</v>
      </c>
      <c r="H1435" s="21" t="n">
        <v>3.8</v>
      </c>
      <c r="I1435" s="21" t="n">
        <v>79.48999999999999</v>
      </c>
      <c r="J1435" s="21" t="n">
        <v>238.46</v>
      </c>
      <c r="K1435" s="21" t="n">
        <v>278.2</v>
      </c>
      <c r="L1435" s="21" t="n">
        <v>317.94</v>
      </c>
      <c r="M1435" s="21" t="n">
        <v>460</v>
      </c>
    </row>
    <row r="1436">
      <c r="A1436" s="9" t="inlineStr">
        <is>
          <t>HAIFENG</t>
        </is>
      </c>
      <c r="B1436" s="9" t="inlineStr">
        <is>
          <t>HAIFENG 03/12/2025</t>
        </is>
      </c>
      <c r="C1436" s="9" t="inlineStr">
        <is>
          <t>2025-12-03</t>
        </is>
      </c>
      <c r="D1436" s="9" t="inlineStr">
        <is>
          <t>63ebdb90c5a7d</t>
        </is>
      </c>
      <c r="E1436" s="9" t="inlineStr">
        <is>
          <t>COLLAR TREBOL BLACK-ROSE GOLD</t>
        </is>
      </c>
      <c r="F1436" s="9" t="inlineStr">
        <is>
          <t>High Quality 45cm</t>
        </is>
      </c>
      <c r="G1436" s="9" t="n">
        <v>1</v>
      </c>
      <c r="H1436" s="21" t="n">
        <v>12</v>
      </c>
      <c r="I1436" s="21" t="n">
        <v>251.01</v>
      </c>
      <c r="J1436" s="21" t="n">
        <v>753.02</v>
      </c>
      <c r="K1436" s="21" t="n">
        <v>878.52</v>
      </c>
      <c r="L1436" s="21" t="n">
        <v>1004.02</v>
      </c>
      <c r="M1436" s="21" t="n">
        <v>584</v>
      </c>
    </row>
    <row r="1437">
      <c r="A1437" s="9" t="inlineStr">
        <is>
          <t>HAIFENG</t>
        </is>
      </c>
      <c r="B1437" s="9" t="inlineStr">
        <is>
          <t>HAIFENG 03/12/2025</t>
        </is>
      </c>
      <c r="C1437" s="9" t="inlineStr">
        <is>
          <t>2025-12-03</t>
        </is>
      </c>
      <c r="D1437" s="9" t="inlineStr">
        <is>
          <t>82224434630413</t>
        </is>
      </c>
      <c r="E1437" s="9" t="inlineStr">
        <is>
          <t>COLLAR TREBOL ROSEGOLD WHITE</t>
        </is>
      </c>
      <c r="F1437" s="9" t="inlineStr">
        <is>
          <t>45cm</t>
        </is>
      </c>
      <c r="G1437" s="9" t="n">
        <v>5</v>
      </c>
      <c r="H1437" s="21" t="n">
        <v>12</v>
      </c>
      <c r="I1437" s="21" t="n">
        <v>251.01</v>
      </c>
      <c r="J1437" s="21" t="n">
        <v>753.02</v>
      </c>
      <c r="K1437" s="21" t="n">
        <v>878.52</v>
      </c>
      <c r="L1437" s="21" t="n">
        <v>1004.02</v>
      </c>
      <c r="M1437" s="21" t="n">
        <v>989</v>
      </c>
    </row>
    <row r="1438">
      <c r="A1438" s="9" t="inlineStr">
        <is>
          <t>HAIFENG</t>
        </is>
      </c>
      <c r="B1438" s="9" t="inlineStr">
        <is>
          <t>HAIFENG 03/12/2025</t>
        </is>
      </c>
      <c r="C1438" s="9" t="inlineStr">
        <is>
          <t>2025-12-03</t>
        </is>
      </c>
      <c r="D1438" s="9" t="inlineStr">
        <is>
          <t>43728133191212</t>
        </is>
      </c>
      <c r="E1438" s="9" t="inlineStr">
        <is>
          <t>COLLAR TREBOL SILVER</t>
        </is>
      </c>
      <c r="F1438" s="9" t="inlineStr">
        <is>
          <t>plata esterlina 925</t>
        </is>
      </c>
      <c r="G1438" s="9" t="n">
        <v>4</v>
      </c>
      <c r="H1438" s="21" t="n">
        <v>10</v>
      </c>
      <c r="I1438" s="21" t="n">
        <v>209.17</v>
      </c>
      <c r="J1438" s="21" t="n">
        <v>627.51</v>
      </c>
      <c r="K1438" s="21" t="n">
        <v>732.1</v>
      </c>
      <c r="L1438" s="21" t="n">
        <v>836.6900000000001</v>
      </c>
      <c r="M1438" s="21" t="n">
        <v>899</v>
      </c>
    </row>
    <row r="1439">
      <c r="A1439" s="9" t="inlineStr">
        <is>
          <t>HAIFENG</t>
        </is>
      </c>
      <c r="B1439" s="9" t="inlineStr">
        <is>
          <t>HAIFENG 03/12/2025</t>
        </is>
      </c>
      <c r="C1439" s="9" t="inlineStr">
        <is>
          <t>2025-12-03</t>
        </is>
      </c>
      <c r="D1439" s="9" t="inlineStr">
        <is>
          <t>3886385575564</t>
        </is>
      </c>
      <c r="E1439" s="9" t="inlineStr">
        <is>
          <t>COLLAR TREBOL SILVER BLACK</t>
        </is>
      </c>
      <c r="F1439" s="9" t="inlineStr">
        <is>
          <t>45cm</t>
        </is>
      </c>
      <c r="G1439" s="9" t="n">
        <v>4</v>
      </c>
      <c r="H1439" s="21" t="n">
        <v>12</v>
      </c>
      <c r="I1439" s="21" t="n">
        <v>251.01</v>
      </c>
      <c r="J1439" s="21" t="n">
        <v>753.02</v>
      </c>
      <c r="K1439" s="21" t="n">
        <v>878.52</v>
      </c>
      <c r="L1439" s="21" t="n">
        <v>1004.02</v>
      </c>
      <c r="M1439" s="21" t="n">
        <v>989</v>
      </c>
    </row>
    <row r="1440">
      <c r="A1440" s="9" t="inlineStr">
        <is>
          <t>HAIFENG</t>
        </is>
      </c>
      <c r="B1440" s="9" t="inlineStr">
        <is>
          <t>HAIFENG 03/12/2025</t>
        </is>
      </c>
      <c r="C1440" s="9" t="inlineStr">
        <is>
          <t>2025-12-03</t>
        </is>
      </c>
      <c r="D1440" s="9" t="inlineStr">
        <is>
          <t>66177b50250a5</t>
        </is>
      </c>
      <c r="E1440" s="9" t="inlineStr">
        <is>
          <t>COLLAR TREBOL SILVER WHITE</t>
        </is>
      </c>
      <c r="F1440" s="9" t="inlineStr">
        <is>
          <t>45cm</t>
        </is>
      </c>
      <c r="G1440" s="9" t="n">
        <v>3</v>
      </c>
      <c r="H1440" s="21" t="n">
        <v>12</v>
      </c>
      <c r="I1440" s="21" t="n">
        <v>251.01</v>
      </c>
      <c r="J1440" s="21" t="n">
        <v>753.02</v>
      </c>
      <c r="K1440" s="21" t="n">
        <v>878.52</v>
      </c>
      <c r="L1440" s="21" t="n">
        <v>1004.02</v>
      </c>
      <c r="M1440" s="21" t="n">
        <v>899</v>
      </c>
    </row>
    <row r="1441">
      <c r="A1441" s="9" t="inlineStr">
        <is>
          <t>HAIFENG</t>
        </is>
      </c>
      <c r="B1441" s="9" t="inlineStr">
        <is>
          <t>HAIFENG 03/12/2025</t>
        </is>
      </c>
      <c r="C1441" s="9" t="inlineStr">
        <is>
          <t>2025-12-03</t>
        </is>
      </c>
      <c r="D1441" s="9" t="inlineStr">
        <is>
          <t>71136141049485</t>
        </is>
      </c>
      <c r="E1441" s="9" t="inlineStr">
        <is>
          <t>COLLAR TRINITY SQUARE</t>
        </is>
      </c>
      <c r="F1441" s="9" t="inlineStr">
        <is>
          <t>Default Title</t>
        </is>
      </c>
      <c r="G1441" s="9" t="n">
        <v>5</v>
      </c>
      <c r="H1441" s="21" t="n">
        <v>8</v>
      </c>
      <c r="I1441" s="21" t="n">
        <v>167.34</v>
      </c>
      <c r="J1441" s="21" t="n">
        <v>502.01</v>
      </c>
      <c r="K1441" s="21" t="n">
        <v>585.6799999999999</v>
      </c>
      <c r="L1441" s="21" t="n">
        <v>669.35</v>
      </c>
      <c r="M1441" s="21" t="n">
        <v>429</v>
      </c>
    </row>
    <row r="1442">
      <c r="A1442" s="9" t="inlineStr">
        <is>
          <t>HAIFENG</t>
        </is>
      </c>
      <c r="B1442" s="9" t="inlineStr">
        <is>
          <t>HAIFENG 03/12/2025</t>
        </is>
      </c>
      <c r="C1442" s="9" t="inlineStr">
        <is>
          <t>2025-12-03</t>
        </is>
      </c>
      <c r="D1442" s="9" t="inlineStr">
        <is>
          <t>641887036d043</t>
        </is>
      </c>
      <c r="E1442" s="9" t="inlineStr">
        <is>
          <t>COLLAR TR√âBOL GOLD-RED</t>
        </is>
      </c>
      <c r="F1442" s="9" t="inlineStr">
        <is>
          <t>40cm con extensi√≥n de 5cm</t>
        </is>
      </c>
      <c r="G1442" s="9" t="n">
        <v>1</v>
      </c>
      <c r="H1442" s="21" t="n">
        <v>12</v>
      </c>
      <c r="I1442" s="21" t="n">
        <v>251.01</v>
      </c>
      <c r="J1442" s="21" t="n">
        <v>753.02</v>
      </c>
      <c r="K1442" s="21" t="n">
        <v>878.52</v>
      </c>
      <c r="L1442" s="21" t="n">
        <v>1004.02</v>
      </c>
      <c r="M1442" s="21" t="n">
        <v>699</v>
      </c>
    </row>
    <row r="1443">
      <c r="A1443" s="9" t="inlineStr">
        <is>
          <t>HAIFENG</t>
        </is>
      </c>
      <c r="B1443" s="9" t="inlineStr">
        <is>
          <t>HAIFENG 03/12/2025</t>
        </is>
      </c>
      <c r="C1443" s="9" t="inlineStr">
        <is>
          <t>2025-12-03</t>
        </is>
      </c>
      <c r="D1443" s="9" t="inlineStr">
        <is>
          <t>63ebdbffe0b2d</t>
        </is>
      </c>
      <c r="E1443" s="9" t="inlineStr">
        <is>
          <t>GARGANTILLA CD PERLAS</t>
        </is>
      </c>
      <c r="F1443" s="9" t="inlineStr">
        <is>
          <t>Largo 43 cm  M√°s Extensi√≥n 5 cm</t>
        </is>
      </c>
      <c r="G1443" s="9" t="n">
        <v>2</v>
      </c>
      <c r="H1443" s="21" t="n">
        <v>12.9</v>
      </c>
      <c r="I1443" s="21" t="n">
        <v>269.83</v>
      </c>
      <c r="J1443" s="21" t="n">
        <v>809.49</v>
      </c>
      <c r="K1443" s="21" t="n">
        <v>944.41</v>
      </c>
      <c r="L1443" s="21" t="n">
        <v>1079.33</v>
      </c>
      <c r="M1443" s="21" t="n">
        <v>1062</v>
      </c>
    </row>
    <row r="1444">
      <c r="A1444" s="9" t="inlineStr">
        <is>
          <t>HAIFENG</t>
        </is>
      </c>
      <c r="B1444" s="9" t="inlineStr">
        <is>
          <t>HAIFENG 03/12/2025</t>
        </is>
      </c>
      <c r="C1444" s="9" t="inlineStr">
        <is>
          <t>2025-12-03</t>
        </is>
      </c>
      <c r="D1444" s="9" t="inlineStr">
        <is>
          <t>77216891573644</t>
        </is>
      </c>
      <c r="E1444" s="9" t="inlineStr">
        <is>
          <t>GARGANTILLA SIXTEEN STONE</t>
        </is>
      </c>
      <c r="F1444" s="9" t="inlineStr">
        <is>
          <t>42cm</t>
        </is>
      </c>
      <c r="G1444" s="9" t="n">
        <v>5</v>
      </c>
      <c r="H1444" s="21" t="n">
        <v>25</v>
      </c>
      <c r="I1444" s="21" t="n">
        <v>522.9299999999999</v>
      </c>
      <c r="J1444" s="21" t="n">
        <v>1568.79</v>
      </c>
      <c r="K1444" s="21" t="n">
        <v>1830.25</v>
      </c>
      <c r="L1444" s="21" t="n">
        <v>2091.72</v>
      </c>
      <c r="M1444" s="21" t="n">
        <v>2099</v>
      </c>
    </row>
    <row r="1445">
      <c r="A1445" s="9" t="inlineStr">
        <is>
          <t>HAIFENG</t>
        </is>
      </c>
      <c r="B1445" s="9" t="inlineStr">
        <is>
          <t>HAIFENG 03/12/2025</t>
        </is>
      </c>
      <c r="C1445" s="9" t="inlineStr">
        <is>
          <t>2025-12-03</t>
        </is>
      </c>
      <c r="D1445" s="9" t="inlineStr">
        <is>
          <t>67201531268621</t>
        </is>
      </c>
      <c r="E1445" s="9" t="inlineStr">
        <is>
          <t>LENTES EYEWEAR BROWN MM</t>
        </is>
      </c>
      <c r="F1445" s="9" t="inlineStr">
        <is>
          <t>Default Title</t>
        </is>
      </c>
      <c r="G1445" s="9" t="n">
        <v>3</v>
      </c>
      <c r="H1445" s="21" t="n">
        <v>42</v>
      </c>
      <c r="I1445" s="21" t="n">
        <v>878.52</v>
      </c>
      <c r="J1445" s="21" t="n">
        <v>2635.56</v>
      </c>
      <c r="K1445" s="21" t="n">
        <v>3074.82</v>
      </c>
      <c r="L1445" s="21" t="n">
        <v>3514.08</v>
      </c>
      <c r="M1445" s="21" t="n">
        <v>3499</v>
      </c>
    </row>
    <row r="1446">
      <c r="A1446" s="9" t="inlineStr">
        <is>
          <t>HAIFENG</t>
        </is>
      </c>
      <c r="B1446" s="9" t="inlineStr">
        <is>
          <t>HAIFENG 03/12/2025</t>
        </is>
      </c>
      <c r="C1446" s="9" t="inlineStr">
        <is>
          <t>2025-12-03</t>
        </is>
      </c>
      <c r="D1446" s="9" t="inlineStr">
        <is>
          <t>67201531386477</t>
        </is>
      </c>
      <c r="E1446" s="9" t="inlineStr">
        <is>
          <t>LENTES GOLD BLACK GC</t>
        </is>
      </c>
      <c r="F1446" s="9" t="inlineStr">
        <is>
          <t>Default Title</t>
        </is>
      </c>
      <c r="G1446" s="9" t="n">
        <v>2</v>
      </c>
      <c r="H1446" s="21" t="n">
        <v>35</v>
      </c>
      <c r="I1446" s="21" t="n">
        <v>732.1</v>
      </c>
      <c r="J1446" s="21" t="n">
        <v>2196.3</v>
      </c>
      <c r="K1446" s="21" t="n">
        <v>2562.35</v>
      </c>
      <c r="L1446" s="21" t="n">
        <v>2928.4</v>
      </c>
      <c r="M1446" s="21" t="n">
        <v>2884</v>
      </c>
    </row>
    <row r="1447">
      <c r="A1447" s="9" t="inlineStr">
        <is>
          <t>HAIFENG</t>
        </is>
      </c>
      <c r="B1447" s="9" t="inlineStr">
        <is>
          <t>HAIFENG 03/12/2025</t>
        </is>
      </c>
      <c r="C1447" s="9" t="inlineStr">
        <is>
          <t>2025-12-03</t>
        </is>
      </c>
      <c r="D1447" s="9" t="inlineStr">
        <is>
          <t>67201531422989</t>
        </is>
      </c>
      <c r="E1447" s="9" t="inlineStr">
        <is>
          <t>LENTES TRIOMPHE C BROWN</t>
        </is>
      </c>
      <c r="F1447" s="9" t="inlineStr">
        <is>
          <t>Brown</t>
        </is>
      </c>
      <c r="G1447" s="9" t="n">
        <v>2</v>
      </c>
      <c r="H1447" s="21" t="n">
        <v>32</v>
      </c>
      <c r="I1447" s="21" t="n">
        <v>669.35</v>
      </c>
      <c r="J1447" s="21" t="n">
        <v>2008.05</v>
      </c>
      <c r="K1447" s="21" t="n">
        <v>2342.72</v>
      </c>
      <c r="L1447" s="21" t="n">
        <v>2677.4</v>
      </c>
      <c r="M1447" s="21" t="n">
        <v>2699</v>
      </c>
    </row>
    <row r="1448">
      <c r="A1448" s="9" t="inlineStr">
        <is>
          <t>HAIFENG</t>
        </is>
      </c>
      <c r="B1448" s="9" t="inlineStr">
        <is>
          <t>HAIFENG 03/12/2025</t>
        </is>
      </c>
      <c r="C1448" s="9" t="inlineStr">
        <is>
          <t>2025-12-03</t>
        </is>
      </c>
      <c r="D1448" s="9" t="inlineStr">
        <is>
          <t>26487151099425</t>
        </is>
      </c>
      <c r="E1448" s="9" t="inlineStr">
        <is>
          <t>PULSERA BEAN GOLD</t>
        </is>
      </c>
      <c r="F1448" s="9" t="inlineStr">
        <is>
          <t>16 CM</t>
        </is>
      </c>
      <c r="G1448" s="9" t="n">
        <v>3</v>
      </c>
      <c r="H1448" s="21" t="n">
        <v>7.5</v>
      </c>
      <c r="I1448" s="21" t="n">
        <v>156.88</v>
      </c>
      <c r="J1448" s="21" t="n">
        <v>470.64</v>
      </c>
      <c r="K1448" s="21" t="n">
        <v>549.08</v>
      </c>
      <c r="L1448" s="21" t="n">
        <v>627.51</v>
      </c>
      <c r="M1448" s="21" t="n">
        <v>650</v>
      </c>
    </row>
    <row r="1449">
      <c r="A1449" s="9" t="inlineStr">
        <is>
          <t>HAIFENG</t>
        </is>
      </c>
      <c r="B1449" s="9" t="inlineStr">
        <is>
          <t>HAIFENG 03/12/2025</t>
        </is>
      </c>
      <c r="C1449" s="9" t="inlineStr">
        <is>
          <t>2025-12-03</t>
        </is>
      </c>
      <c r="D1449" s="9" t="inlineStr">
        <is>
          <t>56481470598284</t>
        </is>
      </c>
      <c r="E1449" s="9" t="inlineStr">
        <is>
          <t>PULSERA BEAN SILVER</t>
        </is>
      </c>
      <c r="F1449" s="9" t="inlineStr">
        <is>
          <t>17cm</t>
        </is>
      </c>
      <c r="G1449" s="9" t="n">
        <v>3</v>
      </c>
      <c r="H1449" s="21" t="n">
        <v>7.5</v>
      </c>
      <c r="I1449" s="21" t="n">
        <v>156.88</v>
      </c>
      <c r="J1449" s="21" t="n">
        <v>470.64</v>
      </c>
      <c r="K1449" s="21" t="n">
        <v>549.08</v>
      </c>
      <c r="L1449" s="21" t="n">
        <v>627.51</v>
      </c>
      <c r="M1449" s="21" t="n">
        <v>618</v>
      </c>
    </row>
    <row r="1450">
      <c r="A1450" s="9" t="inlineStr">
        <is>
          <t>HAIFENG</t>
        </is>
      </c>
      <c r="B1450" s="9" t="inlineStr">
        <is>
          <t>HAIFENG 03/12/2025</t>
        </is>
      </c>
      <c r="C1450" s="9" t="inlineStr">
        <is>
          <t>2025-12-03</t>
        </is>
      </c>
      <c r="D1450" s="9" t="inlineStr">
        <is>
          <t>66075802307341</t>
        </is>
      </c>
      <c r="E1450" s="9" t="inlineStr">
        <is>
          <t>PULSERA CLAIR D LUNE SILVER CD</t>
        </is>
      </c>
      <c r="F1450" s="9" t="inlineStr">
        <is>
          <t>Default Title</t>
        </is>
      </c>
      <c r="G1450" s="9" t="n">
        <v>3</v>
      </c>
      <c r="H1450" s="21" t="n">
        <v>4</v>
      </c>
      <c r="I1450" s="21" t="n">
        <v>83.67</v>
      </c>
      <c r="J1450" s="21" t="n">
        <v>251.01</v>
      </c>
      <c r="K1450" s="21" t="n">
        <v>292.84</v>
      </c>
      <c r="L1450" s="21" t="n">
        <v>334.67</v>
      </c>
      <c r="M1450" s="21" t="n">
        <v>267</v>
      </c>
    </row>
    <row r="1451">
      <c r="A1451" s="9" t="inlineStr">
        <is>
          <t>HAIFENG</t>
        </is>
      </c>
      <c r="B1451" s="9" t="inlineStr">
        <is>
          <t>HAIFENG 03/12/2025</t>
        </is>
      </c>
      <c r="C1451" s="9" t="inlineStr">
        <is>
          <t>2025-12-03</t>
        </is>
      </c>
      <c r="D1451" s="9" t="inlineStr">
        <is>
          <t>63e0c2310d7f4</t>
        </is>
      </c>
      <c r="E1451" s="9" t="inlineStr">
        <is>
          <t>PULSERA CLIC H SILVER WHITE</t>
        </is>
      </c>
      <c r="F1451" s="9" t="inlineStr">
        <is>
          <t>16.8 cm</t>
        </is>
      </c>
      <c r="G1451" s="9" t="n">
        <v>2</v>
      </c>
      <c r="H1451" s="21" t="n">
        <v>5</v>
      </c>
      <c r="I1451" s="21" t="n">
        <v>104.59</v>
      </c>
      <c r="J1451" s="21" t="n">
        <v>313.76</v>
      </c>
      <c r="K1451" s="21" t="n">
        <v>366.05</v>
      </c>
      <c r="L1451" s="21" t="n">
        <v>418.34</v>
      </c>
      <c r="M1451" s="21" t="n">
        <v>569</v>
      </c>
    </row>
    <row r="1452">
      <c r="A1452" s="9" t="inlineStr">
        <is>
          <t>HAIFENG</t>
        </is>
      </c>
      <c r="B1452" s="9" t="inlineStr">
        <is>
          <t>HAIFENG 03/12/2025</t>
        </is>
      </c>
      <c r="C1452" s="9" t="inlineStr">
        <is>
          <t>2025-12-03</t>
        </is>
      </c>
      <c r="D1452" s="9" t="inlineStr">
        <is>
          <t>43728081992652</t>
        </is>
      </c>
      <c r="E1452" s="9" t="inlineStr">
        <is>
          <t>PULSERA CON PASADOR Y PLACA ESTILO CORAZON SILVER</t>
        </is>
      </c>
      <c r="F1452" s="9" t="inlineStr">
        <is>
          <t>17cm</t>
        </is>
      </c>
      <c r="G1452" s="9" t="n">
        <v>10</v>
      </c>
      <c r="H1452" s="21" t="n">
        <v>7</v>
      </c>
      <c r="I1452" s="21" t="n">
        <v>146.42</v>
      </c>
      <c r="J1452" s="21" t="n">
        <v>439.26</v>
      </c>
      <c r="K1452" s="21" t="n">
        <v>512.47</v>
      </c>
      <c r="L1452" s="21" t="n">
        <v>585.6799999999999</v>
      </c>
      <c r="M1452" s="21" t="n">
        <v>699</v>
      </c>
    </row>
    <row r="1453">
      <c r="A1453" s="9" t="inlineStr">
        <is>
          <t>HAIFENG</t>
        </is>
      </c>
      <c r="B1453" s="9" t="inlineStr">
        <is>
          <t>HAIFENG 03/12/2025</t>
        </is>
      </c>
      <c r="C1453" s="9" t="inlineStr">
        <is>
          <t>2025-12-03</t>
        </is>
      </c>
      <c r="D1453" s="9" t="inlineStr">
        <is>
          <t>668eee34bc314</t>
        </is>
      </c>
      <c r="E1453" s="9" t="inlineStr">
        <is>
          <t>PULSERA DE CUENTAS CON INSIGNIA DE CORAZÓN BLUE</t>
        </is>
      </c>
      <c r="F1453" s="9" t="inlineStr">
        <is>
          <t>16 cm</t>
        </is>
      </c>
      <c r="G1453" s="9" t="n">
        <v>20</v>
      </c>
      <c r="H1453" s="21" t="n">
        <v>5</v>
      </c>
      <c r="I1453" s="21" t="n">
        <v>104.59</v>
      </c>
      <c r="J1453" s="21" t="n">
        <v>313.76</v>
      </c>
      <c r="K1453" s="21" t="n">
        <v>366.05</v>
      </c>
      <c r="L1453" s="21" t="n">
        <v>418.34</v>
      </c>
      <c r="M1453" s="21" t="n">
        <v>550</v>
      </c>
    </row>
    <row r="1454">
      <c r="A1454" s="9" t="inlineStr">
        <is>
          <t>HAIFENG</t>
        </is>
      </c>
      <c r="B1454" s="9" t="inlineStr">
        <is>
          <t>HAIFENG 03/12/2025</t>
        </is>
      </c>
      <c r="C1454" s="9" t="inlineStr">
        <is>
          <t>2025-12-03</t>
        </is>
      </c>
      <c r="D1454" s="9" t="inlineStr">
        <is>
          <t>668eee357952c</t>
        </is>
      </c>
      <c r="E1454" s="9" t="inlineStr">
        <is>
          <t>PULSERA DE CUENTAS CON INSIGNIA DE CORAZÓN BLUE</t>
        </is>
      </c>
      <c r="F1454" s="9" t="inlineStr">
        <is>
          <t>17 cm</t>
        </is>
      </c>
      <c r="G1454" s="9" t="n">
        <v>2</v>
      </c>
      <c r="H1454" s="21" t="n">
        <v>5</v>
      </c>
      <c r="I1454" s="21" t="n">
        <v>104.59</v>
      </c>
      <c r="J1454" s="21" t="n">
        <v>313.76</v>
      </c>
      <c r="K1454" s="21" t="n">
        <v>366.05</v>
      </c>
      <c r="L1454" s="21" t="n">
        <v>418.34</v>
      </c>
      <c r="M1454" s="21" t="n">
        <v>550</v>
      </c>
    </row>
    <row r="1455">
      <c r="A1455" s="9" t="inlineStr">
        <is>
          <t>HAIFENG</t>
        </is>
      </c>
      <c r="B1455" s="9" t="inlineStr">
        <is>
          <t>HAIFENG 03/12/2025</t>
        </is>
      </c>
      <c r="C1455" s="9" t="inlineStr">
        <is>
          <t>2025-12-03</t>
        </is>
      </c>
      <c r="D1455" s="9" t="inlineStr">
        <is>
          <t>43047224541324</t>
        </is>
      </c>
      <c r="E1455" s="9" t="inlineStr">
        <is>
          <t>PULSERA DE CUENTAS CON INSIGNIA DE CORAZÓN PINK</t>
        </is>
      </c>
      <c r="F1455" s="9" t="inlineStr">
        <is>
          <t>17 cm</t>
        </is>
      </c>
      <c r="G1455" s="9" t="n">
        <v>4</v>
      </c>
      <c r="H1455" s="21" t="n">
        <v>5</v>
      </c>
      <c r="I1455" s="21" t="n">
        <v>104.59</v>
      </c>
      <c r="J1455" s="21" t="n">
        <v>313.76</v>
      </c>
      <c r="K1455" s="21" t="n">
        <v>366.05</v>
      </c>
      <c r="L1455" s="21" t="n">
        <v>418.34</v>
      </c>
      <c r="M1455" s="21" t="n">
        <v>550</v>
      </c>
    </row>
    <row r="1456">
      <c r="A1456" s="9" t="inlineStr">
        <is>
          <t>HAIFENG</t>
        </is>
      </c>
      <c r="B1456" s="9" t="inlineStr">
        <is>
          <t>HAIFENG 03/12/2025</t>
        </is>
      </c>
      <c r="C1456" s="9" t="inlineStr">
        <is>
          <t>2025-12-03</t>
        </is>
      </c>
      <c r="D1456" s="9" t="inlineStr">
        <is>
          <t>668eee51ba91b</t>
        </is>
      </c>
      <c r="E1456" s="9" t="inlineStr">
        <is>
          <t>PULSERA DE CUENTAS CON INSIGNIA DE CORAZÓN RED</t>
        </is>
      </c>
      <c r="F1456" s="9" t="inlineStr">
        <is>
          <t>17 cm</t>
        </is>
      </c>
      <c r="G1456" s="9" t="n">
        <v>4</v>
      </c>
      <c r="H1456" s="21" t="n">
        <v>5</v>
      </c>
      <c r="I1456" s="21" t="n">
        <v>104.59</v>
      </c>
      <c r="J1456" s="21" t="n">
        <v>313.76</v>
      </c>
      <c r="K1456" s="21" t="n">
        <v>366.05</v>
      </c>
      <c r="L1456" s="21" t="n">
        <v>418.34</v>
      </c>
      <c r="M1456" s="21" t="n">
        <v>550</v>
      </c>
    </row>
    <row r="1457">
      <c r="A1457" s="9" t="inlineStr">
        <is>
          <t>HAIFENG</t>
        </is>
      </c>
      <c r="B1457" s="9" t="inlineStr">
        <is>
          <t>HAIFENG 03/12/2025</t>
        </is>
      </c>
      <c r="C1457" s="9" t="inlineStr">
        <is>
          <t>2025-12-03</t>
        </is>
      </c>
      <c r="D1457" s="9" t="inlineStr">
        <is>
          <t>6617748fe62cc</t>
        </is>
      </c>
      <c r="E1457" s="9" t="inlineStr">
        <is>
          <t>PULSERA DE TELA TRES AROS BLACK</t>
        </is>
      </c>
      <c r="F1457" s="9" t="inlineStr">
        <is>
          <t>AJUSTABLE</t>
        </is>
      </c>
      <c r="G1457" s="9" t="n">
        <v>10</v>
      </c>
      <c r="H1457" s="21" t="n">
        <v>4.7</v>
      </c>
      <c r="I1457" s="21" t="n">
        <v>98.31</v>
      </c>
      <c r="J1457" s="21" t="n">
        <v>294.93</v>
      </c>
      <c r="K1457" s="21" t="n">
        <v>344.09</v>
      </c>
      <c r="L1457" s="21" t="n">
        <v>393.24</v>
      </c>
      <c r="M1457" s="21" t="n">
        <v>399</v>
      </c>
    </row>
    <row r="1458">
      <c r="A1458" s="9" t="inlineStr">
        <is>
          <t>HAIFENG</t>
        </is>
      </c>
      <c r="B1458" s="9" t="inlineStr">
        <is>
          <t>HAIFENG 03/12/2025</t>
        </is>
      </c>
      <c r="C1458" s="9" t="inlineStr">
        <is>
          <t>2025-12-03</t>
        </is>
      </c>
      <c r="D1458" s="9" t="inlineStr">
        <is>
          <t>18652671095713</t>
        </is>
      </c>
      <c r="E1458" s="9" t="inlineStr">
        <is>
          <t>PULSERA DE TELA TRES AROS GREY</t>
        </is>
      </c>
      <c r="F1458" s="9" t="inlineStr">
        <is>
          <t>Default Title</t>
        </is>
      </c>
      <c r="G1458" s="9" t="n">
        <v>3</v>
      </c>
      <c r="H1458" s="21" t="n">
        <v>4.7</v>
      </c>
      <c r="I1458" s="21" t="n">
        <v>98.31</v>
      </c>
      <c r="J1458" s="21" t="n">
        <v>294.93</v>
      </c>
      <c r="K1458" s="21" t="n">
        <v>344.09</v>
      </c>
      <c r="L1458" s="21" t="n">
        <v>393.24</v>
      </c>
      <c r="M1458" s="21" t="n">
        <v>399</v>
      </c>
    </row>
    <row r="1459">
      <c r="A1459" s="9" t="inlineStr">
        <is>
          <t>HAIFENG</t>
        </is>
      </c>
      <c r="B1459" s="9" t="inlineStr">
        <is>
          <t>HAIFENG 03/12/2025</t>
        </is>
      </c>
      <c r="C1459" s="9" t="inlineStr">
        <is>
          <t>2025-12-03</t>
        </is>
      </c>
      <c r="D1459" s="9" t="inlineStr">
        <is>
          <t>67201534427213</t>
        </is>
      </c>
      <c r="E1459" s="9" t="inlineStr">
        <is>
          <t>PULSERA DOBLE CADENA Y PLACA ESTILO CORAZÓN T SILVER</t>
        </is>
      </c>
      <c r="F1459" s="9" t="inlineStr">
        <is>
          <t>Default Title</t>
        </is>
      </c>
      <c r="G1459" s="9" t="n">
        <v>8</v>
      </c>
      <c r="H1459" s="21" t="n">
        <v>5</v>
      </c>
      <c r="I1459" s="21" t="n">
        <v>104.59</v>
      </c>
      <c r="J1459" s="21" t="n">
        <v>313.76</v>
      </c>
      <c r="K1459" s="21" t="n">
        <v>366.05</v>
      </c>
      <c r="L1459" s="21" t="n">
        <v>418.34</v>
      </c>
      <c r="M1459" s="21" t="n">
        <v>525</v>
      </c>
    </row>
    <row r="1460">
      <c r="A1460" s="9" t="inlineStr">
        <is>
          <t>HAIFENG</t>
        </is>
      </c>
      <c r="B1460" s="9" t="inlineStr">
        <is>
          <t>HAIFENG 03/12/2025</t>
        </is>
      </c>
      <c r="C1460" s="9" t="inlineStr">
        <is>
          <t>2025-12-03</t>
        </is>
      </c>
      <c r="D1460" s="9" t="inlineStr">
        <is>
          <t>63e0c53946490</t>
        </is>
      </c>
      <c r="E1460" s="9" t="inlineStr">
        <is>
          <t>PULSERA LOVE CON ZIRCONIA GOLD</t>
        </is>
      </c>
      <c r="F1460" s="9" t="inlineStr">
        <is>
          <t>17cm</t>
        </is>
      </c>
      <c r="G1460" s="9" t="n">
        <v>6</v>
      </c>
      <c r="H1460" s="21" t="n">
        <v>4.5</v>
      </c>
      <c r="I1460" s="21" t="n">
        <v>94.13</v>
      </c>
      <c r="J1460" s="21" t="n">
        <v>282.38</v>
      </c>
      <c r="K1460" s="21" t="n">
        <v>329.45</v>
      </c>
      <c r="L1460" s="21" t="n">
        <v>376.51</v>
      </c>
      <c r="M1460" s="21" t="n">
        <v>499</v>
      </c>
    </row>
    <row r="1461">
      <c r="A1461" s="9" t="inlineStr">
        <is>
          <t>HAIFENG</t>
        </is>
      </c>
      <c r="B1461" s="9" t="inlineStr">
        <is>
          <t>HAIFENG 03/12/2025</t>
        </is>
      </c>
      <c r="C1461" s="9" t="inlineStr">
        <is>
          <t>2025-12-03</t>
        </is>
      </c>
      <c r="D1461" s="9" t="inlineStr">
        <is>
          <t>63e0c53a2b722</t>
        </is>
      </c>
      <c r="E1461" s="9" t="inlineStr">
        <is>
          <t>PULSERA LOVE CON ZIRCONIA GOLD</t>
        </is>
      </c>
      <c r="F1461" s="9" t="inlineStr">
        <is>
          <t>18 cm</t>
        </is>
      </c>
      <c r="G1461" s="9" t="n">
        <v>5</v>
      </c>
      <c r="H1461" s="21" t="n">
        <v>4.5</v>
      </c>
      <c r="I1461" s="21" t="n">
        <v>94.13</v>
      </c>
      <c r="J1461" s="21" t="n">
        <v>282.38</v>
      </c>
      <c r="K1461" s="21" t="n">
        <v>329.45</v>
      </c>
      <c r="L1461" s="21" t="n">
        <v>376.51</v>
      </c>
      <c r="M1461" s="21" t="n">
        <v>499</v>
      </c>
    </row>
    <row r="1462">
      <c r="A1462" s="9" t="inlineStr">
        <is>
          <t>HAIFENG</t>
        </is>
      </c>
      <c r="B1462" s="9" t="inlineStr">
        <is>
          <t>HAIFENG 03/12/2025</t>
        </is>
      </c>
      <c r="C1462" s="9" t="inlineStr">
        <is>
          <t>2025-12-03</t>
        </is>
      </c>
      <c r="D1462" s="9" t="inlineStr">
        <is>
          <t>63e0c53cbec21</t>
        </is>
      </c>
      <c r="E1462" s="9" t="inlineStr">
        <is>
          <t>PULSERA LOVE CON ZIRCONIA GOLD</t>
        </is>
      </c>
      <c r="F1462" s="9" t="inlineStr">
        <is>
          <t>21 cm</t>
        </is>
      </c>
      <c r="G1462" s="9" t="n">
        <v>2</v>
      </c>
      <c r="H1462" s="21" t="n">
        <v>4.5</v>
      </c>
      <c r="I1462" s="21" t="n">
        <v>94.13</v>
      </c>
      <c r="J1462" s="21" t="n">
        <v>282.38</v>
      </c>
      <c r="K1462" s="21" t="n">
        <v>329.45</v>
      </c>
      <c r="L1462" s="21" t="n">
        <v>376.51</v>
      </c>
      <c r="M1462" s="21" t="n">
        <v>499</v>
      </c>
    </row>
    <row r="1463">
      <c r="A1463" s="9" t="inlineStr">
        <is>
          <t>HAIFENG</t>
        </is>
      </c>
      <c r="B1463" s="9" t="inlineStr">
        <is>
          <t>HAIFENG 03/12/2025</t>
        </is>
      </c>
      <c r="C1463" s="9" t="inlineStr">
        <is>
          <t>2025-12-03</t>
        </is>
      </c>
      <c r="D1463" s="9" t="inlineStr">
        <is>
          <t>63e0c5395cc64</t>
        </is>
      </c>
      <c r="E1463" s="9" t="inlineStr">
        <is>
          <t>PULSERA LOVE CON ZIRCONIA ROSE GOLD</t>
        </is>
      </c>
      <c r="F1463" s="9" t="inlineStr">
        <is>
          <t>17 cm</t>
        </is>
      </c>
      <c r="G1463" s="9" t="n">
        <v>3</v>
      </c>
      <c r="H1463" s="21" t="n">
        <v>4.5</v>
      </c>
      <c r="I1463" s="21" t="n">
        <v>94.13</v>
      </c>
      <c r="J1463" s="21" t="n">
        <v>282.38</v>
      </c>
      <c r="K1463" s="21" t="n">
        <v>329.45</v>
      </c>
      <c r="L1463" s="21" t="n">
        <v>376.51</v>
      </c>
      <c r="M1463" s="21" t="n">
        <v>499</v>
      </c>
    </row>
    <row r="1464">
      <c r="A1464" s="9" t="inlineStr">
        <is>
          <t>HAIFENG</t>
        </is>
      </c>
      <c r="B1464" s="9" t="inlineStr">
        <is>
          <t>HAIFENG 03/12/2025</t>
        </is>
      </c>
      <c r="C1464" s="9" t="inlineStr">
        <is>
          <t>2025-12-03</t>
        </is>
      </c>
      <c r="D1464" s="9" t="inlineStr">
        <is>
          <t>79274691076205</t>
        </is>
      </c>
      <c r="E1464" s="9" t="inlineStr">
        <is>
          <t>PULSERA LOVE DELGADA GOLD</t>
        </is>
      </c>
      <c r="F1464" s="9" t="inlineStr">
        <is>
          <t>16cm</t>
        </is>
      </c>
      <c r="G1464" s="9" t="n">
        <v>15</v>
      </c>
      <c r="H1464" s="21" t="n">
        <v>4.5</v>
      </c>
      <c r="I1464" s="21" t="n">
        <v>94.13</v>
      </c>
      <c r="J1464" s="21" t="n">
        <v>282.38</v>
      </c>
      <c r="K1464" s="21" t="n">
        <v>329.45</v>
      </c>
      <c r="L1464" s="21" t="n">
        <v>376.51</v>
      </c>
      <c r="M1464" s="21" t="n">
        <v>499</v>
      </c>
    </row>
    <row r="1465">
      <c r="A1465" s="9" t="inlineStr">
        <is>
          <t>HAIFENG</t>
        </is>
      </c>
      <c r="B1465" s="9" t="inlineStr">
        <is>
          <t>HAIFENG 03/12/2025</t>
        </is>
      </c>
      <c r="C1465" s="9" t="inlineStr">
        <is>
          <t>2025-12-03</t>
        </is>
      </c>
      <c r="D1465" s="9" t="inlineStr">
        <is>
          <t>79274691108973</t>
        </is>
      </c>
      <c r="E1465" s="9" t="inlineStr">
        <is>
          <t>PULSERA LOVE DELGADA GOLD</t>
        </is>
      </c>
      <c r="F1465" s="9" t="inlineStr">
        <is>
          <t>17cm</t>
        </is>
      </c>
      <c r="G1465" s="9" t="n">
        <v>5</v>
      </c>
      <c r="H1465" s="21" t="n">
        <v>4.5</v>
      </c>
      <c r="I1465" s="21" t="n">
        <v>94.13</v>
      </c>
      <c r="J1465" s="21" t="n">
        <v>282.38</v>
      </c>
      <c r="K1465" s="21" t="n">
        <v>329.45</v>
      </c>
      <c r="L1465" s="21" t="n">
        <v>376.51</v>
      </c>
      <c r="M1465" s="21" t="n">
        <v>499</v>
      </c>
    </row>
    <row r="1466">
      <c r="A1466" s="9" t="inlineStr">
        <is>
          <t>HAIFENG</t>
        </is>
      </c>
      <c r="B1466" s="9" t="inlineStr">
        <is>
          <t>HAIFENG 03/12/2025</t>
        </is>
      </c>
      <c r="C1466" s="9" t="inlineStr">
        <is>
          <t>2025-12-03</t>
        </is>
      </c>
      <c r="D1466" s="9" t="inlineStr">
        <is>
          <t>79274691374509</t>
        </is>
      </c>
      <c r="E1466" s="9" t="inlineStr">
        <is>
          <t>PULSERA LOVE DELGADA GOLD</t>
        </is>
      </c>
      <c r="F1466" s="9" t="inlineStr">
        <is>
          <t>19cm</t>
        </is>
      </c>
      <c r="G1466" s="9" t="n">
        <v>5</v>
      </c>
      <c r="H1466" s="21" t="n">
        <v>4.5</v>
      </c>
      <c r="I1466" s="21" t="n">
        <v>94.13</v>
      </c>
      <c r="J1466" s="21" t="n">
        <v>282.38</v>
      </c>
      <c r="K1466" s="21" t="n">
        <v>329.45</v>
      </c>
      <c r="L1466" s="21" t="n">
        <v>376.51</v>
      </c>
      <c r="M1466" s="21" t="n">
        <v>499</v>
      </c>
    </row>
    <row r="1467">
      <c r="A1467" s="9" t="inlineStr">
        <is>
          <t>HAIFENG</t>
        </is>
      </c>
      <c r="B1467" s="9" t="inlineStr">
        <is>
          <t>HAIFENG 03/12/2025</t>
        </is>
      </c>
      <c r="C1467" s="9" t="inlineStr">
        <is>
          <t>2025-12-03</t>
        </is>
      </c>
      <c r="D1467" s="9" t="inlineStr">
        <is>
          <t>63ebdf992a2c6</t>
        </is>
      </c>
      <c r="E1467" s="9" t="inlineStr">
        <is>
          <t>PULSERA LOVE DELGADA GOLD CON MICRO ZIRCONIAS</t>
        </is>
      </c>
      <c r="F1467" s="9" t="inlineStr">
        <is>
          <t>17cm</t>
        </is>
      </c>
      <c r="G1467" s="9" t="n">
        <v>5</v>
      </c>
      <c r="H1467" s="21" t="n">
        <v>13</v>
      </c>
      <c r="I1467" s="21" t="n">
        <v>271.92</v>
      </c>
      <c r="J1467" s="21" t="n">
        <v>815.77</v>
      </c>
      <c r="K1467" s="21" t="n">
        <v>951.73</v>
      </c>
      <c r="L1467" s="21" t="n">
        <v>1087.69</v>
      </c>
      <c r="M1467" s="21" t="n">
        <v>1099</v>
      </c>
    </row>
    <row r="1468">
      <c r="A1468" s="9" t="inlineStr">
        <is>
          <t>HAIFENG</t>
        </is>
      </c>
      <c r="B1468" s="9" t="inlineStr">
        <is>
          <t>HAIFENG 03/12/2025</t>
        </is>
      </c>
      <c r="C1468" s="9" t="inlineStr">
        <is>
          <t>2025-12-03</t>
        </is>
      </c>
      <c r="D1468" s="9" t="inlineStr">
        <is>
          <t>63ebdf99e880b</t>
        </is>
      </c>
      <c r="E1468" s="9" t="inlineStr">
        <is>
          <t>PULSERA LOVE DELGADA GOLD CON MICRO ZIRCONIAS</t>
        </is>
      </c>
      <c r="F1468" s="9" t="inlineStr">
        <is>
          <t>18 cm</t>
        </is>
      </c>
      <c r="G1468" s="9" t="n">
        <v>2</v>
      </c>
      <c r="H1468" s="21" t="n">
        <v>13</v>
      </c>
      <c r="I1468" s="21" t="n">
        <v>271.92</v>
      </c>
      <c r="J1468" s="21" t="n">
        <v>815.77</v>
      </c>
      <c r="K1468" s="21" t="n">
        <v>951.73</v>
      </c>
      <c r="L1468" s="21" t="n">
        <v>1087.69</v>
      </c>
      <c r="M1468" s="21" t="n">
        <v>1099</v>
      </c>
    </row>
    <row r="1469">
      <c r="A1469" s="9" t="inlineStr">
        <is>
          <t>HAIFENG</t>
        </is>
      </c>
      <c r="B1469" s="9" t="inlineStr">
        <is>
          <t>HAIFENG 03/12/2025</t>
        </is>
      </c>
      <c r="C1469" s="9" t="inlineStr">
        <is>
          <t>2025-12-03</t>
        </is>
      </c>
      <c r="D1469" s="9" t="inlineStr">
        <is>
          <t>63e0c58ca26ac</t>
        </is>
      </c>
      <c r="E1469" s="9" t="inlineStr">
        <is>
          <t>PULSERA LOVE DELGADA ROSE GOLD</t>
        </is>
      </c>
      <c r="F1469" s="9" t="inlineStr">
        <is>
          <t>16 cm</t>
        </is>
      </c>
      <c r="G1469" s="9" t="n">
        <v>3</v>
      </c>
      <c r="H1469" s="21" t="n">
        <v>4.5</v>
      </c>
      <c r="I1469" s="21" t="n">
        <v>94.13</v>
      </c>
      <c r="J1469" s="21" t="n">
        <v>282.38</v>
      </c>
      <c r="K1469" s="21" t="n">
        <v>329.45</v>
      </c>
      <c r="L1469" s="21" t="n">
        <v>376.51</v>
      </c>
      <c r="M1469" s="21" t="n">
        <v>499</v>
      </c>
    </row>
    <row r="1470">
      <c r="A1470" s="9" t="inlineStr">
        <is>
          <t>HAIFENG</t>
        </is>
      </c>
      <c r="B1470" s="9" t="inlineStr">
        <is>
          <t>HAIFENG 03/12/2025</t>
        </is>
      </c>
      <c r="C1470" s="9" t="inlineStr">
        <is>
          <t>2025-12-03</t>
        </is>
      </c>
      <c r="D1470" s="9" t="inlineStr">
        <is>
          <t>63e0c58e84d6e</t>
        </is>
      </c>
      <c r="E1470" s="9" t="inlineStr">
        <is>
          <t>PULSERA LOVE DELGADA ROSE GOLD</t>
        </is>
      </c>
      <c r="F1470" s="9" t="inlineStr">
        <is>
          <t>18 cm</t>
        </is>
      </c>
      <c r="G1470" s="9" t="n">
        <v>3</v>
      </c>
      <c r="H1470" s="21" t="n">
        <v>4.5</v>
      </c>
      <c r="I1470" s="21" t="n">
        <v>94.13</v>
      </c>
      <c r="J1470" s="21" t="n">
        <v>282.38</v>
      </c>
      <c r="K1470" s="21" t="n">
        <v>329.45</v>
      </c>
      <c r="L1470" s="21" t="n">
        <v>376.51</v>
      </c>
      <c r="M1470" s="21" t="n">
        <v>499</v>
      </c>
    </row>
    <row r="1471">
      <c r="A1471" s="9" t="inlineStr">
        <is>
          <t>HAIFENG</t>
        </is>
      </c>
      <c r="B1471" s="9" t="inlineStr">
        <is>
          <t>HAIFENG 03/12/2025</t>
        </is>
      </c>
      <c r="C1471" s="9" t="inlineStr">
        <is>
          <t>2025-12-03</t>
        </is>
      </c>
      <c r="D1471" s="9" t="inlineStr">
        <is>
          <t>77724991007277</t>
        </is>
      </c>
      <c r="E1471" s="9" t="inlineStr">
        <is>
          <t>PULSERA LOVE DELGADA SILVER</t>
        </is>
      </c>
      <c r="F1471" s="9" t="inlineStr">
        <is>
          <t>16cm</t>
        </is>
      </c>
      <c r="G1471" s="9" t="n">
        <v>10</v>
      </c>
      <c r="H1471" s="21" t="n">
        <v>4.5</v>
      </c>
      <c r="I1471" s="21" t="n">
        <v>94.13</v>
      </c>
      <c r="J1471" s="21" t="n">
        <v>282.38</v>
      </c>
      <c r="K1471" s="21" t="n">
        <v>329.45</v>
      </c>
      <c r="L1471" s="21" t="n">
        <v>376.51</v>
      </c>
      <c r="M1471" s="21" t="n">
        <v>499</v>
      </c>
    </row>
    <row r="1472">
      <c r="A1472" s="9" t="inlineStr">
        <is>
          <t>HAIFENG</t>
        </is>
      </c>
      <c r="B1472" s="9" t="inlineStr">
        <is>
          <t>HAIFENG 03/12/2025</t>
        </is>
      </c>
      <c r="C1472" s="9" t="inlineStr">
        <is>
          <t>2025-12-03</t>
        </is>
      </c>
      <c r="D1472" s="9" t="inlineStr">
        <is>
          <t>77724991140045</t>
        </is>
      </c>
      <c r="E1472" s="9" t="inlineStr">
        <is>
          <t>PULSERA LOVE DELGADA SILVER</t>
        </is>
      </c>
      <c r="F1472" s="9" t="inlineStr">
        <is>
          <t>17cm</t>
        </is>
      </c>
      <c r="G1472" s="9" t="n">
        <v>2</v>
      </c>
      <c r="H1472" s="21" t="n">
        <v>4.5</v>
      </c>
      <c r="I1472" s="21" t="n">
        <v>94.13</v>
      </c>
      <c r="J1472" s="21" t="n">
        <v>282.38</v>
      </c>
      <c r="K1472" s="21" t="n">
        <v>329.45</v>
      </c>
      <c r="L1472" s="21" t="n">
        <v>376.51</v>
      </c>
      <c r="M1472" s="21" t="n">
        <v>499</v>
      </c>
    </row>
    <row r="1473">
      <c r="A1473" s="9" t="inlineStr">
        <is>
          <t>HAIFENG</t>
        </is>
      </c>
      <c r="B1473" s="9" t="inlineStr">
        <is>
          <t>HAIFENG 03/12/2025</t>
        </is>
      </c>
      <c r="C1473" s="9" t="inlineStr">
        <is>
          <t>2025-12-03</t>
        </is>
      </c>
      <c r="D1473" s="9" t="inlineStr">
        <is>
          <t>77724991305581</t>
        </is>
      </c>
      <c r="E1473" s="9" t="inlineStr">
        <is>
          <t>PULSERA LOVE DELGADA SILVER</t>
        </is>
      </c>
      <c r="F1473" s="9" t="inlineStr">
        <is>
          <t>19cm</t>
        </is>
      </c>
      <c r="G1473" s="9" t="n">
        <v>2</v>
      </c>
      <c r="H1473" s="21" t="n">
        <v>4.5</v>
      </c>
      <c r="I1473" s="21" t="n">
        <v>94.13</v>
      </c>
      <c r="J1473" s="21" t="n">
        <v>282.38</v>
      </c>
      <c r="K1473" s="21" t="n">
        <v>329.45</v>
      </c>
      <c r="L1473" s="21" t="n">
        <v>376.51</v>
      </c>
      <c r="M1473" s="21" t="n">
        <v>499</v>
      </c>
    </row>
    <row r="1474">
      <c r="A1474" s="9" t="inlineStr">
        <is>
          <t>HAIFENG</t>
        </is>
      </c>
      <c r="B1474" s="9" t="inlineStr">
        <is>
          <t>HAIFENG 03/12/2025</t>
        </is>
      </c>
      <c r="C1474" s="9" t="inlineStr">
        <is>
          <t>2025-12-03</t>
        </is>
      </c>
      <c r="D1474" s="9" t="inlineStr">
        <is>
          <t>63ebdf2503ebb</t>
        </is>
      </c>
      <c r="E1474" s="9" t="inlineStr">
        <is>
          <t>PULSERA LOVE DELGADA SILVER CON MICRO ZIRCONIAS</t>
        </is>
      </c>
      <c r="F1474" s="9" t="inlineStr">
        <is>
          <t>18 cm</t>
        </is>
      </c>
      <c r="G1474" s="9" t="n">
        <v>2</v>
      </c>
      <c r="H1474" s="21" t="n">
        <v>13</v>
      </c>
      <c r="I1474" s="21" t="n">
        <v>271.92</v>
      </c>
      <c r="J1474" s="21" t="n">
        <v>815.77</v>
      </c>
      <c r="K1474" s="21" t="n">
        <v>951.73</v>
      </c>
      <c r="L1474" s="21" t="n">
        <v>1087.69</v>
      </c>
      <c r="M1474" s="21" t="n">
        <v>1099</v>
      </c>
    </row>
    <row r="1475">
      <c r="A1475" s="9" t="inlineStr">
        <is>
          <t>HAIFENG</t>
        </is>
      </c>
      <c r="B1475" s="9" t="inlineStr">
        <is>
          <t>HAIFENG 03/12/2025</t>
        </is>
      </c>
      <c r="C1475" s="9" t="inlineStr">
        <is>
          <t>2025-12-03</t>
        </is>
      </c>
      <c r="D1475" s="9" t="inlineStr">
        <is>
          <t>663528bd8c9d8</t>
        </is>
      </c>
      <c r="E1475" s="9" t="inlineStr">
        <is>
          <t>PULSERA LOVE DELGADA SILVER CON MICRO ZIRCONIAS</t>
        </is>
      </c>
      <c r="F1475" s="9" t="inlineStr">
        <is>
          <t>17 cm</t>
        </is>
      </c>
      <c r="G1475" s="9" t="n">
        <v>3</v>
      </c>
      <c r="H1475" s="21" t="n">
        <v>13</v>
      </c>
      <c r="I1475" s="21" t="n">
        <v>271.92</v>
      </c>
      <c r="J1475" s="21" t="n">
        <v>815.77</v>
      </c>
      <c r="K1475" s="21" t="n">
        <v>951.73</v>
      </c>
      <c r="L1475" s="21" t="n">
        <v>1087.69</v>
      </c>
      <c r="M1475" s="21" t="n">
        <v>1099</v>
      </c>
    </row>
    <row r="1476">
      <c r="A1476" s="9" t="inlineStr">
        <is>
          <t>HAIFENG</t>
        </is>
      </c>
      <c r="B1476" s="9" t="inlineStr">
        <is>
          <t>HAIFENG 03/12/2025</t>
        </is>
      </c>
      <c r="C1476" s="9" t="inlineStr">
        <is>
          <t>2025-12-03</t>
        </is>
      </c>
      <c r="D1476" s="9" t="inlineStr">
        <is>
          <t>66177006d3573</t>
        </is>
      </c>
      <c r="E1476" s="9" t="inlineStr">
        <is>
          <t>PULSERA LOVE GOLD</t>
        </is>
      </c>
      <c r="F1476" s="9" t="inlineStr">
        <is>
          <t>16 CM</t>
        </is>
      </c>
      <c r="G1476" s="9" t="n">
        <v>5</v>
      </c>
      <c r="H1476" s="21" t="n">
        <v>4.5</v>
      </c>
      <c r="I1476" s="21" t="n">
        <v>94.13</v>
      </c>
      <c r="J1476" s="21" t="n">
        <v>282.38</v>
      </c>
      <c r="K1476" s="21" t="n">
        <v>329.45</v>
      </c>
      <c r="L1476" s="21" t="n">
        <v>376.51</v>
      </c>
      <c r="M1476" s="21" t="n">
        <v>499</v>
      </c>
    </row>
    <row r="1477">
      <c r="A1477" s="9" t="inlineStr">
        <is>
          <t>HAIFENG</t>
        </is>
      </c>
      <c r="B1477" s="9" t="inlineStr">
        <is>
          <t>HAIFENG 03/12/2025</t>
        </is>
      </c>
      <c r="C1477" s="9" t="inlineStr">
        <is>
          <t>2025-12-03</t>
        </is>
      </c>
      <c r="D1477" s="9" t="inlineStr">
        <is>
          <t>66177007689da</t>
        </is>
      </c>
      <c r="E1477" s="9" t="inlineStr">
        <is>
          <t>PULSERA LOVE GOLD</t>
        </is>
      </c>
      <c r="F1477" s="9" t="inlineStr">
        <is>
          <t>17 CM</t>
        </is>
      </c>
      <c r="G1477" s="9" t="n">
        <v>10</v>
      </c>
      <c r="H1477" s="21" t="n">
        <v>4.5</v>
      </c>
      <c r="I1477" s="21" t="n">
        <v>94.13</v>
      </c>
      <c r="J1477" s="21" t="n">
        <v>282.38</v>
      </c>
      <c r="K1477" s="21" t="n">
        <v>329.45</v>
      </c>
      <c r="L1477" s="21" t="n">
        <v>376.51</v>
      </c>
      <c r="M1477" s="21" t="n">
        <v>499</v>
      </c>
    </row>
    <row r="1478">
      <c r="A1478" s="9" t="inlineStr">
        <is>
          <t>HAIFENG</t>
        </is>
      </c>
      <c r="B1478" s="9" t="inlineStr">
        <is>
          <t>HAIFENG 03/12/2025</t>
        </is>
      </c>
      <c r="C1478" s="9" t="inlineStr">
        <is>
          <t>2025-12-03</t>
        </is>
      </c>
      <c r="D1478" s="9" t="inlineStr">
        <is>
          <t>66177008100f3</t>
        </is>
      </c>
      <c r="E1478" s="9" t="inlineStr">
        <is>
          <t>PULSERA LOVE GOLD</t>
        </is>
      </c>
      <c r="F1478" s="9" t="inlineStr">
        <is>
          <t>18 CM</t>
        </is>
      </c>
      <c r="G1478" s="9" t="n">
        <v>3</v>
      </c>
      <c r="H1478" s="21" t="n">
        <v>4.5</v>
      </c>
      <c r="I1478" s="21" t="n">
        <v>94.13</v>
      </c>
      <c r="J1478" s="21" t="n">
        <v>282.38</v>
      </c>
      <c r="K1478" s="21" t="n">
        <v>329.45</v>
      </c>
      <c r="L1478" s="21" t="n">
        <v>376.51</v>
      </c>
      <c r="M1478" s="21" t="n">
        <v>499</v>
      </c>
    </row>
    <row r="1479">
      <c r="A1479" s="9" t="inlineStr">
        <is>
          <t>HAIFENG</t>
        </is>
      </c>
      <c r="B1479" s="9" t="inlineStr">
        <is>
          <t>HAIFENG 03/12/2025</t>
        </is>
      </c>
      <c r="C1479" s="9" t="inlineStr">
        <is>
          <t>2025-12-03</t>
        </is>
      </c>
      <c r="D1479" s="9" t="inlineStr">
        <is>
          <t>66177009444c0</t>
        </is>
      </c>
      <c r="E1479" s="9" t="inlineStr">
        <is>
          <t>PULSERA LOVE GOLD</t>
        </is>
      </c>
      <c r="F1479" s="9" t="inlineStr">
        <is>
          <t>20 CM</t>
        </is>
      </c>
      <c r="G1479" s="9" t="n">
        <v>2</v>
      </c>
      <c r="H1479" s="21" t="n">
        <v>4.5</v>
      </c>
      <c r="I1479" s="21" t="n">
        <v>94.13</v>
      </c>
      <c r="J1479" s="21" t="n">
        <v>282.38</v>
      </c>
      <c r="K1479" s="21" t="n">
        <v>329.45</v>
      </c>
      <c r="L1479" s="21" t="n">
        <v>376.51</v>
      </c>
      <c r="M1479" s="21" t="n">
        <v>499</v>
      </c>
    </row>
    <row r="1480">
      <c r="A1480" s="9" t="inlineStr">
        <is>
          <t>HAIFENG</t>
        </is>
      </c>
      <c r="B1480" s="9" t="inlineStr">
        <is>
          <t>HAIFENG 03/12/2025</t>
        </is>
      </c>
      <c r="C1480" s="9" t="inlineStr">
        <is>
          <t>2025-12-03</t>
        </is>
      </c>
      <c r="D1480" s="9" t="inlineStr">
        <is>
          <t>63e0c59aab12a</t>
        </is>
      </c>
      <c r="E1480" s="9" t="inlineStr">
        <is>
          <t>PULSERA LOVE ROSE GOLD</t>
        </is>
      </c>
      <c r="F1480" s="9" t="inlineStr">
        <is>
          <t>21 cm</t>
        </is>
      </c>
      <c r="G1480" s="9" t="n">
        <v>2</v>
      </c>
      <c r="H1480" s="21" t="n">
        <v>4.5</v>
      </c>
      <c r="I1480" s="21" t="n">
        <v>94.13</v>
      </c>
      <c r="J1480" s="21" t="n">
        <v>282.38</v>
      </c>
      <c r="K1480" s="21" t="n">
        <v>329.45</v>
      </c>
      <c r="L1480" s="21" t="n">
        <v>376.51</v>
      </c>
      <c r="M1480" s="21" t="n">
        <v>499</v>
      </c>
    </row>
    <row r="1481">
      <c r="A1481" s="9" t="inlineStr">
        <is>
          <t>HAIFENG</t>
        </is>
      </c>
      <c r="B1481" s="9" t="inlineStr">
        <is>
          <t>HAIFENG 03/12/2025</t>
        </is>
      </c>
      <c r="C1481" s="9" t="inlineStr">
        <is>
          <t>2025-12-03</t>
        </is>
      </c>
      <c r="D1481" s="9" t="inlineStr">
        <is>
          <t>43728091014092</t>
        </is>
      </c>
      <c r="E1481" s="9" t="inlineStr">
        <is>
          <t>PULSERA LOVE SILVER</t>
        </is>
      </c>
      <c r="F1481" s="9" t="inlineStr">
        <is>
          <t>19cm</t>
        </is>
      </c>
      <c r="G1481" s="9" t="n">
        <v>2</v>
      </c>
      <c r="H1481" s="21" t="n">
        <v>4.5</v>
      </c>
      <c r="I1481" s="21" t="n">
        <v>94.13</v>
      </c>
      <c r="J1481" s="21" t="n">
        <v>282.38</v>
      </c>
      <c r="K1481" s="21" t="n">
        <v>329.45</v>
      </c>
      <c r="L1481" s="21" t="n">
        <v>376.51</v>
      </c>
      <c r="M1481" s="21" t="n">
        <v>499</v>
      </c>
    </row>
    <row r="1482">
      <c r="A1482" s="9" t="inlineStr">
        <is>
          <t>HAIFENG</t>
        </is>
      </c>
      <c r="B1482" s="9" t="inlineStr">
        <is>
          <t>HAIFENG 03/12/2025</t>
        </is>
      </c>
      <c r="C1482" s="9" t="inlineStr">
        <is>
          <t>2025-12-03</t>
        </is>
      </c>
      <c r="D1482" s="9" t="inlineStr">
        <is>
          <t>43728091146860</t>
        </is>
      </c>
      <c r="E1482" s="9" t="inlineStr">
        <is>
          <t>PULSERA LOVE SILVER</t>
        </is>
      </c>
      <c r="F1482" s="9" t="inlineStr">
        <is>
          <t>20cm</t>
        </is>
      </c>
      <c r="G1482" s="9" t="n">
        <v>2</v>
      </c>
      <c r="H1482" s="21" t="n">
        <v>4.5</v>
      </c>
      <c r="I1482" s="21" t="n">
        <v>94.13</v>
      </c>
      <c r="J1482" s="21" t="n">
        <v>282.38</v>
      </c>
      <c r="K1482" s="21" t="n">
        <v>329.45</v>
      </c>
      <c r="L1482" s="21" t="n">
        <v>376.51</v>
      </c>
      <c r="M1482" s="21" t="n">
        <v>499</v>
      </c>
    </row>
    <row r="1483">
      <c r="A1483" s="9" t="inlineStr">
        <is>
          <t>HAIFENG</t>
        </is>
      </c>
      <c r="B1483" s="9" t="inlineStr">
        <is>
          <t>HAIFENG 03/12/2025</t>
        </is>
      </c>
      <c r="C1483" s="9" t="inlineStr">
        <is>
          <t>2025-12-03</t>
        </is>
      </c>
      <c r="D1483" s="9" t="inlineStr">
        <is>
          <t>88621311058381</t>
        </is>
      </c>
      <c r="E1483" s="9" t="inlineStr">
        <is>
          <t>PULSERA LOVE UNLIMITED GOLD</t>
        </is>
      </c>
      <c r="F1483" s="9" t="inlineStr">
        <is>
          <t>17cm</t>
        </is>
      </c>
      <c r="G1483" s="9" t="n">
        <v>10</v>
      </c>
      <c r="H1483" s="21" t="n">
        <v>15</v>
      </c>
      <c r="I1483" s="21" t="n">
        <v>313.76</v>
      </c>
      <c r="J1483" s="21" t="n">
        <v>941.27</v>
      </c>
      <c r="K1483" s="21" t="n">
        <v>1098.15</v>
      </c>
      <c r="L1483" s="21" t="n">
        <v>1255.03</v>
      </c>
      <c r="M1483" s="21" t="n">
        <v>1399</v>
      </c>
    </row>
    <row r="1484">
      <c r="A1484" s="9" t="inlineStr">
        <is>
          <t>HAIFENG</t>
        </is>
      </c>
      <c r="B1484" s="9" t="inlineStr">
        <is>
          <t>HAIFENG 03/12/2025</t>
        </is>
      </c>
      <c r="C1484" s="9" t="inlineStr">
        <is>
          <t>2025-12-03</t>
        </is>
      </c>
      <c r="D1484" s="9" t="inlineStr">
        <is>
          <t>73379601029069</t>
        </is>
      </c>
      <c r="E1484" s="9" t="inlineStr">
        <is>
          <t>PULSERA LOVE UNLIMITED GOLD</t>
        </is>
      </c>
      <c r="F1484" s="9" t="inlineStr">
        <is>
          <t>19cm</t>
        </is>
      </c>
      <c r="G1484" s="9" t="n">
        <v>5</v>
      </c>
      <c r="H1484" s="21" t="n">
        <v>15</v>
      </c>
      <c r="I1484" s="21" t="n">
        <v>313.76</v>
      </c>
      <c r="J1484" s="21" t="n">
        <v>941.27</v>
      </c>
      <c r="K1484" s="21" t="n">
        <v>1098.15</v>
      </c>
      <c r="L1484" s="21" t="n">
        <v>1255.03</v>
      </c>
      <c r="M1484" s="21" t="n">
        <v>1399</v>
      </c>
    </row>
    <row r="1485">
      <c r="A1485" s="9" t="inlineStr">
        <is>
          <t>HAIFENG</t>
        </is>
      </c>
      <c r="B1485" s="9" t="inlineStr">
        <is>
          <t>HAIFENG 03/12/2025</t>
        </is>
      </c>
      <c r="C1485" s="9" t="inlineStr">
        <is>
          <t>2025-12-03</t>
        </is>
      </c>
      <c r="D1485" s="9" t="inlineStr">
        <is>
          <t>73379601161837</t>
        </is>
      </c>
      <c r="E1485" s="9" t="inlineStr">
        <is>
          <t>PULSERA LOVE UNLIMITED GOLD</t>
        </is>
      </c>
      <c r="F1485" s="9" t="inlineStr">
        <is>
          <t>21cm</t>
        </is>
      </c>
      <c r="G1485" s="9" t="n">
        <v>5</v>
      </c>
      <c r="H1485" s="21" t="n">
        <v>15</v>
      </c>
      <c r="I1485" s="21" t="n">
        <v>313.76</v>
      </c>
      <c r="J1485" s="21" t="n">
        <v>941.27</v>
      </c>
      <c r="K1485" s="21" t="n">
        <v>1098.15</v>
      </c>
      <c r="L1485" s="21" t="n">
        <v>1255.03</v>
      </c>
      <c r="M1485" s="21" t="n">
        <v>1399</v>
      </c>
    </row>
    <row r="1486">
      <c r="A1486" s="9" t="inlineStr">
        <is>
          <t>HAIFENG</t>
        </is>
      </c>
      <c r="B1486" s="9" t="inlineStr">
        <is>
          <t>HAIFENG 03/12/2025</t>
        </is>
      </c>
      <c r="C1486" s="9" t="inlineStr">
        <is>
          <t>2025-12-03</t>
        </is>
      </c>
      <c r="D1486" s="9" t="inlineStr">
        <is>
          <t>74289381073037</t>
        </is>
      </c>
      <c r="E1486" s="9" t="inlineStr">
        <is>
          <t>PULSERA LOVE UNLIMITED ROSEGOLD</t>
        </is>
      </c>
      <c r="F1486" s="9" t="inlineStr">
        <is>
          <t>17cm</t>
        </is>
      </c>
      <c r="G1486" s="9" t="n">
        <v>5</v>
      </c>
      <c r="H1486" s="21" t="n">
        <v>15</v>
      </c>
      <c r="I1486" s="21" t="n">
        <v>313.76</v>
      </c>
      <c r="J1486" s="21" t="n">
        <v>941.27</v>
      </c>
      <c r="K1486" s="21" t="n">
        <v>1098.15</v>
      </c>
      <c r="L1486" s="21" t="n">
        <v>1255.03</v>
      </c>
      <c r="M1486" s="21" t="n">
        <v>1399</v>
      </c>
    </row>
    <row r="1487">
      <c r="A1487" s="9" t="inlineStr">
        <is>
          <t>HAIFENG</t>
        </is>
      </c>
      <c r="B1487" s="9" t="inlineStr">
        <is>
          <t>HAIFENG 03/12/2025</t>
        </is>
      </c>
      <c r="C1487" s="9" t="inlineStr">
        <is>
          <t>2025-12-03</t>
        </is>
      </c>
      <c r="D1487" s="9" t="inlineStr">
        <is>
          <t>74289381105805</t>
        </is>
      </c>
      <c r="E1487" s="9" t="inlineStr">
        <is>
          <t>PULSERA LOVE UNLIMITED ROSEGOLD</t>
        </is>
      </c>
      <c r="F1487" s="9" t="inlineStr">
        <is>
          <t>19cm</t>
        </is>
      </c>
      <c r="G1487" s="9" t="n">
        <v>5</v>
      </c>
      <c r="H1487" s="21" t="n">
        <v>15</v>
      </c>
      <c r="I1487" s="21" t="n">
        <v>313.76</v>
      </c>
      <c r="J1487" s="21" t="n">
        <v>941.27</v>
      </c>
      <c r="K1487" s="21" t="n">
        <v>1098.15</v>
      </c>
      <c r="L1487" s="21" t="n">
        <v>1255.03</v>
      </c>
      <c r="M1487" s="21" t="n">
        <v>1399</v>
      </c>
    </row>
    <row r="1488">
      <c r="A1488" s="9" t="inlineStr">
        <is>
          <t>HAIFENG</t>
        </is>
      </c>
      <c r="B1488" s="9" t="inlineStr">
        <is>
          <t>HAIFENG 03/12/2025</t>
        </is>
      </c>
      <c r="C1488" s="9" t="inlineStr">
        <is>
          <t>2025-12-03</t>
        </is>
      </c>
      <c r="D1488" s="9" t="inlineStr">
        <is>
          <t>74289381238573</t>
        </is>
      </c>
      <c r="E1488" s="9" t="inlineStr">
        <is>
          <t>PULSERA LOVE UNLIMITED ROSEGOLD</t>
        </is>
      </c>
      <c r="F1488" s="9" t="inlineStr">
        <is>
          <t>21cm</t>
        </is>
      </c>
      <c r="G1488" s="9" t="n">
        <v>5</v>
      </c>
      <c r="H1488" s="21" t="n">
        <v>15</v>
      </c>
      <c r="I1488" s="21" t="n">
        <v>313.76</v>
      </c>
      <c r="J1488" s="21" t="n">
        <v>941.27</v>
      </c>
      <c r="K1488" s="21" t="n">
        <v>1098.15</v>
      </c>
      <c r="L1488" s="21" t="n">
        <v>1255.03</v>
      </c>
      <c r="M1488" s="21" t="n">
        <v>1399</v>
      </c>
    </row>
    <row r="1489">
      <c r="A1489" s="9" t="inlineStr">
        <is>
          <t>HAIFENG</t>
        </is>
      </c>
      <c r="B1489" s="9" t="inlineStr">
        <is>
          <t>HAIFENG 03/12/2025</t>
        </is>
      </c>
      <c r="C1489" s="9" t="inlineStr">
        <is>
          <t>2025-12-03</t>
        </is>
      </c>
      <c r="D1489" s="9" t="inlineStr">
        <is>
          <t>70975141082189</t>
        </is>
      </c>
      <c r="E1489" s="9" t="inlineStr">
        <is>
          <t>PULSERA LOVE UNLIMITED SILVER</t>
        </is>
      </c>
      <c r="F1489" s="9" t="inlineStr">
        <is>
          <t>17cm</t>
        </is>
      </c>
      <c r="G1489" s="9" t="n">
        <v>10</v>
      </c>
      <c r="H1489" s="21" t="n">
        <v>15</v>
      </c>
      <c r="I1489" s="21" t="n">
        <v>313.76</v>
      </c>
      <c r="J1489" s="21" t="n">
        <v>941.27</v>
      </c>
      <c r="K1489" s="21" t="n">
        <v>1098.15</v>
      </c>
      <c r="L1489" s="21" t="n">
        <v>1255.03</v>
      </c>
      <c r="M1489" s="21" t="n">
        <v>1399</v>
      </c>
    </row>
    <row r="1490">
      <c r="A1490" s="9" t="inlineStr">
        <is>
          <t>HAIFENG</t>
        </is>
      </c>
      <c r="B1490" s="9" t="inlineStr">
        <is>
          <t>HAIFENG 03/12/2025</t>
        </is>
      </c>
      <c r="C1490" s="9" t="inlineStr">
        <is>
          <t>2025-12-03</t>
        </is>
      </c>
      <c r="D1490" s="9" t="inlineStr">
        <is>
          <t>70975151114957</t>
        </is>
      </c>
      <c r="E1490" s="9" t="inlineStr">
        <is>
          <t>PULSERA LOVE UNLIMITED SILVER</t>
        </is>
      </c>
      <c r="F1490" s="9" t="inlineStr">
        <is>
          <t>19cm</t>
        </is>
      </c>
      <c r="G1490" s="9" t="n">
        <v>5</v>
      </c>
      <c r="H1490" s="21" t="n">
        <v>15</v>
      </c>
      <c r="I1490" s="21" t="n">
        <v>313.76</v>
      </c>
      <c r="J1490" s="21" t="n">
        <v>941.27</v>
      </c>
      <c r="K1490" s="21" t="n">
        <v>1098.15</v>
      </c>
      <c r="L1490" s="21" t="n">
        <v>1255.03</v>
      </c>
      <c r="M1490" s="21" t="n">
        <v>1399</v>
      </c>
    </row>
    <row r="1491">
      <c r="A1491" s="9" t="inlineStr">
        <is>
          <t>HAIFENG</t>
        </is>
      </c>
      <c r="B1491" s="9" t="inlineStr">
        <is>
          <t>HAIFENG 03/12/2025</t>
        </is>
      </c>
      <c r="C1491" s="9" t="inlineStr">
        <is>
          <t>2025-12-03</t>
        </is>
      </c>
      <c r="D1491" s="9" t="inlineStr">
        <is>
          <t>70975151247725</t>
        </is>
      </c>
      <c r="E1491" s="9" t="inlineStr">
        <is>
          <t>PULSERA LOVE UNLIMITED SILVER</t>
        </is>
      </c>
      <c r="F1491" s="9" t="inlineStr">
        <is>
          <t>21cm</t>
        </is>
      </c>
      <c r="G1491" s="9" t="n">
        <v>5</v>
      </c>
      <c r="H1491" s="21" t="n">
        <v>15</v>
      </c>
      <c r="I1491" s="21" t="n">
        <v>313.76</v>
      </c>
      <c r="J1491" s="21" t="n">
        <v>941.27</v>
      </c>
      <c r="K1491" s="21" t="n">
        <v>1098.15</v>
      </c>
      <c r="L1491" s="21" t="n">
        <v>1255.03</v>
      </c>
      <c r="M1491" s="21" t="n">
        <v>1399</v>
      </c>
    </row>
    <row r="1492">
      <c r="A1492" s="9" t="inlineStr">
        <is>
          <t>HAIFENG</t>
        </is>
      </c>
      <c r="B1492" s="9" t="inlineStr">
        <is>
          <t>HAIFENG 03/12/2025</t>
        </is>
      </c>
      <c r="C1492" s="9" t="inlineStr">
        <is>
          <t>2025-12-03</t>
        </is>
      </c>
      <c r="D1492" s="9" t="inlineStr">
        <is>
          <t>67201531075373</t>
        </is>
      </c>
      <c r="E1492" s="9" t="inlineStr">
        <is>
          <t>PULSERA LUCKY GOLD CD</t>
        </is>
      </c>
      <c r="F1492" s="9" t="inlineStr">
        <is>
          <t>Default Title</t>
        </is>
      </c>
      <c r="G1492" s="9" t="n">
        <v>5</v>
      </c>
      <c r="H1492" s="21" t="n">
        <v>6</v>
      </c>
      <c r="I1492" s="21" t="n">
        <v>125.5</v>
      </c>
      <c r="J1492" s="21" t="n">
        <v>376.51</v>
      </c>
      <c r="K1492" s="21" t="n">
        <v>439.26</v>
      </c>
      <c r="L1492" s="21" t="n">
        <v>502.01</v>
      </c>
      <c r="M1492" s="21" t="n">
        <v>499</v>
      </c>
    </row>
    <row r="1493">
      <c r="A1493" s="9" t="inlineStr">
        <is>
          <t>HAIFENG</t>
        </is>
      </c>
      <c r="B1493" s="9" t="inlineStr">
        <is>
          <t>HAIFENG 03/12/2025</t>
        </is>
      </c>
      <c r="C1493" s="9" t="inlineStr">
        <is>
          <t>2025-12-03</t>
        </is>
      </c>
      <c r="D1493" s="9" t="inlineStr">
        <is>
          <t>67201535214413</t>
        </is>
      </c>
      <c r="E1493" s="9" t="inlineStr">
        <is>
          <t>PULSERA LUCKY SPRING ROSE GOLD VF</t>
        </is>
      </c>
      <c r="F1493" s="9" t="inlineStr">
        <is>
          <t>Default Title</t>
        </is>
      </c>
      <c r="G1493" s="9" t="n">
        <v>8</v>
      </c>
      <c r="H1493" s="21" t="n">
        <v>7</v>
      </c>
      <c r="I1493" s="21" t="n">
        <v>146.42</v>
      </c>
      <c r="J1493" s="21" t="n">
        <v>439.26</v>
      </c>
      <c r="K1493" s="21" t="n">
        <v>512.47</v>
      </c>
      <c r="L1493" s="21" t="n">
        <v>585.6799999999999</v>
      </c>
      <c r="M1493" s="21" t="n">
        <v>599</v>
      </c>
    </row>
    <row r="1494">
      <c r="A1494" s="9" t="inlineStr">
        <is>
          <t>HAIFENG</t>
        </is>
      </c>
      <c r="B1494" s="9" t="inlineStr">
        <is>
          <t>HAIFENG 03/12/2025</t>
        </is>
      </c>
      <c r="C1494" s="9" t="inlineStr">
        <is>
          <t>2025-12-03</t>
        </is>
      </c>
      <c r="D1494" s="9" t="inlineStr">
        <is>
          <t>37491253271052</t>
        </is>
      </c>
      <c r="E1494" s="9" t="inlineStr">
        <is>
          <t>PULSERA MARIQUITA VF</t>
        </is>
      </c>
      <c r="F1494" s="9" t="inlineStr">
        <is>
          <t>17cm con 2cm de extensi√≥n</t>
        </is>
      </c>
      <c r="G1494" s="9" t="n">
        <v>3</v>
      </c>
      <c r="H1494" s="21" t="n">
        <v>6</v>
      </c>
      <c r="I1494" s="21" t="n">
        <v>125.5</v>
      </c>
      <c r="J1494" s="21" t="n">
        <v>376.51</v>
      </c>
      <c r="K1494" s="21" t="n">
        <v>439.26</v>
      </c>
      <c r="L1494" s="21" t="n">
        <v>502.01</v>
      </c>
      <c r="M1494" s="21" t="n">
        <v>520</v>
      </c>
    </row>
    <row r="1495">
      <c r="A1495" s="9" t="inlineStr">
        <is>
          <t>HAIFENG</t>
        </is>
      </c>
      <c r="B1495" s="9" t="inlineStr">
        <is>
          <t>HAIFENG 03/12/2025</t>
        </is>
      </c>
      <c r="C1495" s="9" t="inlineStr">
        <is>
          <t>2025-12-03</t>
        </is>
      </c>
      <c r="D1495" s="9" t="inlineStr">
        <is>
          <t>66075802259373</t>
        </is>
      </c>
      <c r="E1495" s="9" t="inlineStr">
        <is>
          <t>PULSERA MONTAIGNE GOLD CD</t>
        </is>
      </c>
      <c r="F1495" s="9" t="inlineStr">
        <is>
          <t>20 CM</t>
        </is>
      </c>
      <c r="G1495" s="9" t="n">
        <v>2</v>
      </c>
      <c r="H1495" s="21" t="n">
        <v>7</v>
      </c>
      <c r="I1495" s="21" t="n">
        <v>146.42</v>
      </c>
      <c r="J1495" s="21" t="n">
        <v>439.26</v>
      </c>
      <c r="K1495" s="21" t="n">
        <v>512.47</v>
      </c>
      <c r="L1495" s="21" t="n">
        <v>585.6799999999999</v>
      </c>
      <c r="M1495" s="21" t="n">
        <v>599</v>
      </c>
    </row>
    <row r="1496">
      <c r="A1496" s="9" t="inlineStr">
        <is>
          <t>HAIFENG</t>
        </is>
      </c>
      <c r="B1496" s="9" t="inlineStr">
        <is>
          <t>HAIFENG 03/12/2025</t>
        </is>
      </c>
      <c r="C1496" s="9" t="inlineStr">
        <is>
          <t>2025-12-03</t>
        </is>
      </c>
      <c r="D1496" s="9" t="inlineStr">
        <is>
          <t>67201532161837</t>
        </is>
      </c>
      <c r="E1496" s="9" t="inlineStr">
        <is>
          <t>PULSERA MSS GOLD</t>
        </is>
      </c>
      <c r="F1496" s="9" t="inlineStr">
        <is>
          <t>Default Title</t>
        </is>
      </c>
      <c r="G1496" s="9" t="n">
        <v>5</v>
      </c>
      <c r="H1496" s="21" t="n">
        <v>7</v>
      </c>
      <c r="I1496" s="21" t="n">
        <v>146.42</v>
      </c>
      <c r="J1496" s="21" t="n">
        <v>439.26</v>
      </c>
      <c r="K1496" s="21" t="n">
        <v>512.47</v>
      </c>
      <c r="L1496" s="21" t="n">
        <v>585.6799999999999</v>
      </c>
      <c r="M1496" s="21" t="n">
        <v>599</v>
      </c>
    </row>
    <row r="1497">
      <c r="A1497" s="9" t="inlineStr">
        <is>
          <t>HAIFENG</t>
        </is>
      </c>
      <c r="B1497" s="9" t="inlineStr">
        <is>
          <t>HAIFENG 03/12/2025</t>
        </is>
      </c>
      <c r="C1497" s="9" t="inlineStr">
        <is>
          <t>2025-12-03</t>
        </is>
      </c>
      <c r="D1497" s="9" t="inlineStr">
        <is>
          <t>67201532004237</t>
        </is>
      </c>
      <c r="E1497" s="9" t="inlineStr">
        <is>
          <t>PULSERA MSS SILVER</t>
        </is>
      </c>
      <c r="F1497" s="9" t="inlineStr">
        <is>
          <t>Default Title</t>
        </is>
      </c>
      <c r="G1497" s="9" t="n">
        <v>5</v>
      </c>
      <c r="H1497" s="21" t="n">
        <v>7</v>
      </c>
      <c r="I1497" s="21" t="n">
        <v>146.42</v>
      </c>
      <c r="J1497" s="21" t="n">
        <v>439.26</v>
      </c>
      <c r="K1497" s="21" t="n">
        <v>512.47</v>
      </c>
      <c r="L1497" s="21" t="n">
        <v>585.6799999999999</v>
      </c>
      <c r="M1497" s="21" t="n">
        <v>599</v>
      </c>
    </row>
    <row r="1498">
      <c r="A1498" s="9" t="inlineStr">
        <is>
          <t>HAIFENG</t>
        </is>
      </c>
      <c r="B1498" s="9" t="inlineStr">
        <is>
          <t>HAIFENG 03/12/2025</t>
        </is>
      </c>
      <c r="C1498" s="9" t="inlineStr">
        <is>
          <t>2025-12-03</t>
        </is>
      </c>
      <c r="D1498" s="9" t="inlineStr">
        <is>
          <t>15711171972493</t>
        </is>
      </c>
      <c r="E1498" s="9" t="inlineStr">
        <is>
          <t>PULSERA PANTHERE DOBLE CADENA C</t>
        </is>
      </c>
      <c r="F1498" s="9" t="inlineStr">
        <is>
          <t>Default Title</t>
        </is>
      </c>
      <c r="G1498" s="9" t="n">
        <v>4</v>
      </c>
      <c r="H1498" s="21" t="n">
        <v>7</v>
      </c>
      <c r="I1498" s="21" t="n">
        <v>146.42</v>
      </c>
      <c r="J1498" s="21" t="n">
        <v>439.26</v>
      </c>
      <c r="K1498" s="21" t="n">
        <v>512.47</v>
      </c>
      <c r="L1498" s="21" t="n">
        <v>585.6799999999999</v>
      </c>
      <c r="M1498" s="21" t="n">
        <v>599</v>
      </c>
    </row>
    <row r="1499">
      <c r="A1499" s="9" t="inlineStr">
        <is>
          <t>HAIFENG</t>
        </is>
      </c>
      <c r="B1499" s="9" t="inlineStr">
        <is>
          <t>HAIFENG 03/12/2025</t>
        </is>
      </c>
      <c r="C1499" s="9" t="inlineStr">
        <is>
          <t>2025-12-03</t>
        </is>
      </c>
      <c r="D1499" s="9" t="inlineStr">
        <is>
          <t>66075801735181</t>
        </is>
      </c>
      <c r="E1499" s="9" t="inlineStr">
        <is>
          <t>PULSERA PANTHERE SILVER C</t>
        </is>
      </c>
      <c r="F1499" s="9" t="inlineStr">
        <is>
          <t>Default Title</t>
        </is>
      </c>
      <c r="G1499" s="9" t="n">
        <v>2</v>
      </c>
      <c r="H1499" s="21" t="n">
        <v>8</v>
      </c>
      <c r="I1499" s="21" t="n">
        <v>167.34</v>
      </c>
      <c r="J1499" s="21" t="n">
        <v>502.01</v>
      </c>
      <c r="K1499" s="21" t="n">
        <v>585.6799999999999</v>
      </c>
      <c r="L1499" s="21" t="n">
        <v>669.35</v>
      </c>
      <c r="M1499" s="21" t="n">
        <v>659</v>
      </c>
    </row>
    <row r="1500">
      <c r="A1500" s="9" t="inlineStr">
        <is>
          <t>HAIFENG</t>
        </is>
      </c>
      <c r="B1500" s="9" t="inlineStr">
        <is>
          <t>HAIFENG 03/12/2025</t>
        </is>
      </c>
      <c r="C1500" s="9" t="inlineStr">
        <is>
          <t>2025-12-03</t>
        </is>
      </c>
      <c r="D1500" s="9" t="inlineStr">
        <is>
          <t>56481494507404</t>
        </is>
      </c>
      <c r="E1500" s="9" t="inlineStr">
        <is>
          <t>PULSERA PASADOR FULL HEART</t>
        </is>
      </c>
      <c r="F1500" s="9" t="inlineStr">
        <is>
          <t>17cm</t>
        </is>
      </c>
      <c r="G1500" s="9" t="n">
        <v>8</v>
      </c>
      <c r="H1500" s="21" t="n">
        <v>10</v>
      </c>
      <c r="I1500" s="21" t="n">
        <v>209.17</v>
      </c>
      <c r="J1500" s="21" t="n">
        <v>627.51</v>
      </c>
      <c r="K1500" s="21" t="n">
        <v>732.1</v>
      </c>
      <c r="L1500" s="21" t="n">
        <v>836.6900000000001</v>
      </c>
      <c r="M1500" s="21" t="n">
        <v>850</v>
      </c>
    </row>
    <row r="1501">
      <c r="A1501" s="9" t="inlineStr">
        <is>
          <t>HAIFENG</t>
        </is>
      </c>
      <c r="B1501" s="9" t="inlineStr">
        <is>
          <t>HAIFENG 03/12/2025</t>
        </is>
      </c>
      <c r="C1501" s="9" t="inlineStr">
        <is>
          <t>2025-12-03</t>
        </is>
      </c>
      <c r="D1501" s="9" t="inlineStr">
        <is>
          <t>82014675495692</t>
        </is>
      </c>
      <c r="E1501" s="9" t="inlineStr">
        <is>
          <t>PULSERA SMILE SILVER</t>
        </is>
      </c>
      <c r="F1501" s="9" t="inlineStr">
        <is>
          <t>16cm con extensi√≥n de 3cm</t>
        </is>
      </c>
      <c r="G1501" s="9" t="n">
        <v>1</v>
      </c>
      <c r="H1501" s="21" t="n">
        <v>6</v>
      </c>
      <c r="I1501" s="21" t="n">
        <v>125.5</v>
      </c>
      <c r="J1501" s="21" t="n">
        <v>376.51</v>
      </c>
      <c r="K1501" s="21" t="n">
        <v>439.26</v>
      </c>
      <c r="L1501" s="21" t="n">
        <v>502.01</v>
      </c>
      <c r="M1501" s="21" t="n">
        <v>650</v>
      </c>
    </row>
    <row r="1502">
      <c r="A1502" s="9" t="inlineStr">
        <is>
          <t>HAIFENG</t>
        </is>
      </c>
      <c r="B1502" s="9" t="inlineStr">
        <is>
          <t>HAIFENG 03/12/2025</t>
        </is>
      </c>
      <c r="C1502" s="9" t="inlineStr">
        <is>
          <t>2025-12-03</t>
        </is>
      </c>
      <c r="D1502" s="9" t="inlineStr">
        <is>
          <t>67201535328333</t>
        </is>
      </c>
      <c r="E1502" s="9" t="inlineStr">
        <is>
          <t>PULSERA SWEET BUTTERFLY WHITE VF</t>
        </is>
      </c>
      <c r="F1502" s="9" t="inlineStr">
        <is>
          <t>Default Title</t>
        </is>
      </c>
      <c r="G1502" s="9" t="n">
        <v>8</v>
      </c>
      <c r="H1502" s="21" t="n">
        <v>6</v>
      </c>
      <c r="I1502" s="21" t="n">
        <v>125.5</v>
      </c>
      <c r="J1502" s="21" t="n">
        <v>376.51</v>
      </c>
      <c r="K1502" s="21" t="n">
        <v>439.26</v>
      </c>
      <c r="L1502" s="21" t="n">
        <v>502.01</v>
      </c>
      <c r="M1502" s="21" t="n">
        <v>499</v>
      </c>
    </row>
    <row r="1503">
      <c r="A1503" s="9" t="inlineStr">
        <is>
          <t>HAIFENG</t>
        </is>
      </c>
      <c r="B1503" s="9" t="inlineStr">
        <is>
          <t>HAIFENG 03/12/2025</t>
        </is>
      </c>
      <c r="C1503" s="9" t="inlineStr">
        <is>
          <t>2025-12-03</t>
        </is>
      </c>
      <c r="D1503" s="9" t="inlineStr">
        <is>
          <t>56481473329548</t>
        </is>
      </c>
      <c r="E1503" s="9" t="inlineStr">
        <is>
          <t>PULSERA T DE CUENTAS LOVE</t>
        </is>
      </c>
      <c r="F1503" s="9" t="inlineStr">
        <is>
          <t>17cm</t>
        </is>
      </c>
      <c r="G1503" s="9" t="n">
        <v>2</v>
      </c>
      <c r="H1503" s="21" t="n">
        <v>8</v>
      </c>
      <c r="I1503" s="21" t="n">
        <v>167.34</v>
      </c>
      <c r="J1503" s="21" t="n">
        <v>502.01</v>
      </c>
      <c r="K1503" s="21" t="n">
        <v>585.6799999999999</v>
      </c>
      <c r="L1503" s="21" t="n">
        <v>669.35</v>
      </c>
      <c r="M1503" s="21" t="n">
        <v>692</v>
      </c>
    </row>
    <row r="1504">
      <c r="A1504" s="9" t="inlineStr">
        <is>
          <t>HAIFENG</t>
        </is>
      </c>
      <c r="B1504" s="9" t="inlineStr">
        <is>
          <t>HAIFENG 03/12/2025</t>
        </is>
      </c>
      <c r="C1504" s="9" t="inlineStr">
        <is>
          <t>2025-12-03</t>
        </is>
      </c>
      <c r="D1504" s="9" t="inlineStr">
        <is>
          <t>29852177262732</t>
        </is>
      </c>
      <c r="E1504" s="9" t="inlineStr">
        <is>
          <t>PULSERA TRÉBOL GOLD VF</t>
        </is>
      </c>
      <c r="F1504" s="9" t="inlineStr">
        <is>
          <t>18cm</t>
        </is>
      </c>
      <c r="G1504" s="9" t="n">
        <v>10</v>
      </c>
      <c r="H1504" s="21" t="n">
        <v>34</v>
      </c>
      <c r="I1504" s="21" t="n">
        <v>711.1799999999999</v>
      </c>
      <c r="J1504" s="21" t="n">
        <v>2133.55</v>
      </c>
      <c r="K1504" s="21" t="n">
        <v>2489.14</v>
      </c>
      <c r="L1504" s="21" t="n">
        <v>2844.73</v>
      </c>
      <c r="M1504" s="21" t="n">
        <v>900</v>
      </c>
    </row>
    <row r="1505">
      <c r="A1505" s="9" t="inlineStr">
        <is>
          <t>HAIFENG</t>
        </is>
      </c>
      <c r="B1505" s="9" t="inlineStr">
        <is>
          <t>HAIFENG 03/12/2025</t>
        </is>
      </c>
      <c r="C1505" s="9" t="inlineStr">
        <is>
          <t>2025-12-03</t>
        </is>
      </c>
      <c r="D1505" s="9" t="inlineStr">
        <is>
          <t>6617744e4fde3</t>
        </is>
      </c>
      <c r="E1505" s="9" t="inlineStr">
        <is>
          <t>PULSERA TRÉBOL GOLD WHITE VF</t>
        </is>
      </c>
      <c r="F1505" s="9" t="inlineStr">
        <is>
          <t>18cm</t>
        </is>
      </c>
      <c r="G1505" s="9" t="n">
        <v>7</v>
      </c>
      <c r="H1505" s="21" t="n">
        <v>24</v>
      </c>
      <c r="I1505" s="21" t="n">
        <v>502.01</v>
      </c>
      <c r="J1505" s="21" t="n">
        <v>1506.04</v>
      </c>
      <c r="K1505" s="21" t="n">
        <v>1757.04</v>
      </c>
      <c r="L1505" s="21" t="n">
        <v>2008.05</v>
      </c>
      <c r="M1505" s="21" t="n">
        <v>1286</v>
      </c>
    </row>
    <row r="1506">
      <c r="A1506" s="9" t="inlineStr">
        <is>
          <t>HAIFENG</t>
        </is>
      </c>
      <c r="B1506" s="9" t="inlineStr">
        <is>
          <t>HAIFENG 03/12/2025</t>
        </is>
      </c>
      <c r="C1506" s="9" t="inlineStr">
        <is>
          <t>2025-12-03</t>
        </is>
      </c>
      <c r="D1506" s="9" t="inlineStr">
        <is>
          <t>668ef00538c27</t>
        </is>
      </c>
      <c r="E1506" s="9" t="inlineStr">
        <is>
          <t>PULSERA TRÉBOL SILVER RED</t>
        </is>
      </c>
      <c r="F1506" s="9" t="inlineStr">
        <is>
          <t>18cm</t>
        </is>
      </c>
      <c r="G1506" s="9" t="n">
        <v>3</v>
      </c>
      <c r="H1506" s="21" t="n">
        <v>24</v>
      </c>
      <c r="I1506" s="21" t="n">
        <v>502.01</v>
      </c>
      <c r="J1506" s="21" t="n">
        <v>1506.04</v>
      </c>
      <c r="K1506" s="21" t="n">
        <v>1757.04</v>
      </c>
      <c r="L1506" s="21" t="n">
        <v>2008.05</v>
      </c>
      <c r="M1506" s="21" t="n">
        <v>650</v>
      </c>
    </row>
    <row r="1507">
      <c r="A1507" s="9" t="inlineStr">
        <is>
          <t>HAIFENG</t>
        </is>
      </c>
      <c r="B1507" s="9" t="inlineStr">
        <is>
          <t>HAIFENG 03/12/2025</t>
        </is>
      </c>
      <c r="C1507" s="9" t="inlineStr">
        <is>
          <t>2025-12-03</t>
        </is>
      </c>
      <c r="D1507" s="9" t="inlineStr">
        <is>
          <t>654bdb8083165</t>
        </is>
      </c>
      <c r="E1507" s="9" t="inlineStr">
        <is>
          <t>PULSERA TRÉBOL SILVER VF</t>
        </is>
      </c>
      <c r="F1507" s="9" t="inlineStr">
        <is>
          <t>18cm</t>
        </is>
      </c>
      <c r="G1507" s="9" t="n">
        <v>10</v>
      </c>
      <c r="H1507" s="21" t="n">
        <v>34</v>
      </c>
      <c r="I1507" s="21" t="n">
        <v>711.1799999999999</v>
      </c>
      <c r="J1507" s="21" t="n">
        <v>2133.55</v>
      </c>
      <c r="K1507" s="21" t="n">
        <v>2489.14</v>
      </c>
      <c r="L1507" s="21" t="n">
        <v>2844.73</v>
      </c>
      <c r="M1507" s="21" t="n">
        <v>1286</v>
      </c>
    </row>
    <row r="1508">
      <c r="A1508" s="9" t="inlineStr">
        <is>
          <t>HAIFENG</t>
        </is>
      </c>
      <c r="B1508" s="9" t="inlineStr">
        <is>
          <t>HAIFENG 03/12/2025</t>
        </is>
      </c>
      <c r="C1508" s="9" t="inlineStr">
        <is>
          <t>2025-12-03</t>
        </is>
      </c>
      <c r="D1508" s="9" t="inlineStr">
        <is>
          <t>661774512157c</t>
        </is>
      </c>
      <c r="E1508" s="9" t="inlineStr">
        <is>
          <t>PULSERA TRÉBOL SILVER WHITE VF</t>
        </is>
      </c>
      <c r="F1508" s="9" t="inlineStr">
        <is>
          <t>18cm</t>
        </is>
      </c>
      <c r="G1508" s="9" t="n">
        <v>2</v>
      </c>
      <c r="H1508" s="21" t="n">
        <v>27</v>
      </c>
      <c r="I1508" s="21" t="n">
        <v>564.76</v>
      </c>
      <c r="J1508" s="21" t="n">
        <v>1694.29</v>
      </c>
      <c r="K1508" s="21" t="n">
        <v>1976.67</v>
      </c>
      <c r="L1508" s="21" t="n">
        <v>2259.05</v>
      </c>
      <c r="M1508" s="21" t="n">
        <v>900</v>
      </c>
    </row>
    <row r="1509">
      <c r="A1509" s="9" t="inlineStr">
        <is>
          <t>NANCY</t>
        </is>
      </c>
      <c r="B1509" s="9" t="inlineStr">
        <is>
          <t>NANCY 03/12/2025</t>
        </is>
      </c>
      <c r="C1509" s="9" t="inlineStr">
        <is>
          <t>2025-12-03</t>
        </is>
      </c>
      <c r="D1509" s="9" t="inlineStr">
        <is>
          <t>66593be0a0b51</t>
        </is>
      </c>
      <c r="E1509" s="9" t="inlineStr"/>
      <c r="F1509" s="9" t="inlineStr">
        <is>
          <t>8</t>
        </is>
      </c>
      <c r="G1509" s="9" t="n">
        <v>2</v>
      </c>
      <c r="H1509" s="21" t="n">
        <v>5.59</v>
      </c>
      <c r="I1509" s="21" t="n">
        <v>132.24</v>
      </c>
      <c r="J1509" s="21" t="n">
        <v>396.72</v>
      </c>
      <c r="K1509" s="21" t="n">
        <v>462.84</v>
      </c>
      <c r="L1509" s="21" t="n">
        <v>528.96</v>
      </c>
      <c r="M1509" s="21" t="n">
        <v>466</v>
      </c>
    </row>
    <row r="1510">
      <c r="A1510" s="9" t="inlineStr">
        <is>
          <t>NANCY</t>
        </is>
      </c>
      <c r="B1510" s="9" t="inlineStr">
        <is>
          <t>NANCY 03/12/2025</t>
        </is>
      </c>
      <c r="C1510" s="9" t="inlineStr">
        <is>
          <t>2025-12-03</t>
        </is>
      </c>
      <c r="D1510" s="9" t="inlineStr">
        <is>
          <t>66593be202d61</t>
        </is>
      </c>
      <c r="E1510" s="9" t="inlineStr"/>
      <c r="F1510" s="9" t="inlineStr">
        <is>
          <t>7</t>
        </is>
      </c>
      <c r="G1510" s="9" t="n">
        <v>3</v>
      </c>
      <c r="H1510" s="21" t="n">
        <v>5.59</v>
      </c>
      <c r="I1510" s="21" t="n">
        <v>132.24</v>
      </c>
      <c r="J1510" s="21" t="n">
        <v>396.72</v>
      </c>
      <c r="K1510" s="21" t="n">
        <v>462.84</v>
      </c>
      <c r="L1510" s="21" t="n">
        <v>528.96</v>
      </c>
      <c r="M1510" s="21" t="n">
        <v>499</v>
      </c>
    </row>
    <row r="1511">
      <c r="A1511" s="9" t="inlineStr">
        <is>
          <t>NANCY</t>
        </is>
      </c>
      <c r="B1511" s="9" t="inlineStr">
        <is>
          <t>NANCY 03/12/2025</t>
        </is>
      </c>
      <c r="C1511" s="9" t="inlineStr">
        <is>
          <t>2025-12-03</t>
        </is>
      </c>
      <c r="D1511" s="9" t="inlineStr">
        <is>
          <t>665bb4bf5d480</t>
        </is>
      </c>
      <c r="E1511" s="9" t="inlineStr"/>
      <c r="F1511" s="9" t="inlineStr">
        <is>
          <t>7</t>
        </is>
      </c>
      <c r="G1511" s="9" t="n">
        <v>1</v>
      </c>
      <c r="H1511" s="21" t="n">
        <v>5.59</v>
      </c>
      <c r="I1511" s="21" t="n">
        <v>132.24</v>
      </c>
      <c r="J1511" s="21" t="n">
        <v>396.72</v>
      </c>
      <c r="K1511" s="21" t="n">
        <v>462.84</v>
      </c>
      <c r="L1511" s="21" t="n">
        <v>528.96</v>
      </c>
      <c r="M1511" s="21" t="n">
        <v>599</v>
      </c>
    </row>
    <row r="1512">
      <c r="A1512" s="9" t="inlineStr">
        <is>
          <t>NANCY</t>
        </is>
      </c>
      <c r="B1512" s="9" t="inlineStr">
        <is>
          <t>NANCY 03/12/2025</t>
        </is>
      </c>
      <c r="C1512" s="9" t="inlineStr">
        <is>
          <t>2025-12-03</t>
        </is>
      </c>
      <c r="D1512" s="9" t="inlineStr">
        <is>
          <t>2653020127500</t>
        </is>
      </c>
      <c r="E1512" s="9" t="inlineStr"/>
      <c r="F1512" s="9" t="inlineStr">
        <is>
          <t>8</t>
        </is>
      </c>
      <c r="G1512" s="9" t="n">
        <v>3</v>
      </c>
      <c r="H1512" s="21" t="n">
        <v>5.59</v>
      </c>
      <c r="I1512" s="21" t="n">
        <v>132.24</v>
      </c>
      <c r="J1512" s="21" t="n">
        <v>396.72</v>
      </c>
      <c r="K1512" s="21" t="n">
        <v>462.84</v>
      </c>
      <c r="L1512" s="21" t="n">
        <v>528.96</v>
      </c>
      <c r="M1512" s="21" t="n">
        <v>599</v>
      </c>
    </row>
    <row r="1513">
      <c r="A1513" s="9" t="inlineStr">
        <is>
          <t>NANCY</t>
        </is>
      </c>
      <c r="B1513" s="9" t="inlineStr">
        <is>
          <t>NANCY 03/12/2025</t>
        </is>
      </c>
      <c r="C1513" s="9" t="inlineStr">
        <is>
          <t>2025-12-03</t>
        </is>
      </c>
      <c r="D1513" s="9" t="inlineStr">
        <is>
          <t>2653032923532</t>
        </is>
      </c>
      <c r="E1513" s="9" t="inlineStr"/>
      <c r="F1513" s="9" t="inlineStr">
        <is>
          <t>6</t>
        </is>
      </c>
      <c r="G1513" s="9" t="n">
        <v>2</v>
      </c>
      <c r="H1513" s="21" t="n">
        <v>5.59</v>
      </c>
      <c r="I1513" s="21" t="n">
        <v>132.24</v>
      </c>
      <c r="J1513" s="21" t="n">
        <v>396.72</v>
      </c>
      <c r="K1513" s="21" t="n">
        <v>462.84</v>
      </c>
      <c r="L1513" s="21" t="n">
        <v>528.96</v>
      </c>
      <c r="M1513" s="21" t="n">
        <v>499</v>
      </c>
    </row>
    <row r="1514">
      <c r="A1514" s="9" t="inlineStr">
        <is>
          <t>NANCY</t>
        </is>
      </c>
      <c r="B1514" s="9" t="inlineStr">
        <is>
          <t>NANCY 03/12/2025</t>
        </is>
      </c>
      <c r="C1514" s="9" t="inlineStr">
        <is>
          <t>2025-12-03</t>
        </is>
      </c>
      <c r="D1514" s="9" t="inlineStr">
        <is>
          <t>63ebd61958890</t>
        </is>
      </c>
      <c r="E1514" s="9" t="inlineStr"/>
      <c r="F1514" s="9" t="inlineStr">
        <is>
          <t>1cm</t>
        </is>
      </c>
      <c r="G1514" s="9" t="n">
        <v>1</v>
      </c>
      <c r="H1514" s="21" t="n">
        <v>3.69</v>
      </c>
      <c r="I1514" s="21" t="n">
        <v>87.29000000000001</v>
      </c>
      <c r="J1514" s="21" t="n">
        <v>261.88</v>
      </c>
      <c r="K1514" s="21" t="n">
        <v>305.53</v>
      </c>
      <c r="L1514" s="21" t="n">
        <v>349.17</v>
      </c>
      <c r="M1514" s="21" t="n">
        <v>499</v>
      </c>
    </row>
    <row r="1515">
      <c r="A1515" s="9" t="inlineStr">
        <is>
          <t>NANCY</t>
        </is>
      </c>
      <c r="B1515" s="9" t="inlineStr">
        <is>
          <t>NANCY 03/12/2025</t>
        </is>
      </c>
      <c r="C1515" s="9" t="inlineStr">
        <is>
          <t>2025-12-03</t>
        </is>
      </c>
      <c r="D1515" s="9" t="inlineStr">
        <is>
          <t>66745aa830c56</t>
        </is>
      </c>
      <c r="E1515" s="9" t="inlineStr"/>
      <c r="F1515" s="9" t="inlineStr">
        <is>
          <t>15mm</t>
        </is>
      </c>
      <c r="G1515" s="9" t="n">
        <v>1</v>
      </c>
      <c r="H1515" s="21" t="n">
        <v>16.59</v>
      </c>
      <c r="I1515" s="21" t="n">
        <v>392.47</v>
      </c>
      <c r="J1515" s="21" t="n">
        <v>1177.4</v>
      </c>
      <c r="K1515" s="21" t="n">
        <v>1373.63</v>
      </c>
      <c r="L1515" s="21" t="n">
        <v>1569.86</v>
      </c>
      <c r="M1515" s="21" t="n">
        <v>1428</v>
      </c>
    </row>
    <row r="1516">
      <c r="A1516" s="9" t="inlineStr">
        <is>
          <t>NANCY</t>
        </is>
      </c>
      <c r="B1516" s="9" t="inlineStr">
        <is>
          <t>NANCY 03/12/2025</t>
        </is>
      </c>
      <c r="C1516" s="9" t="inlineStr">
        <is>
          <t>2025-12-03</t>
        </is>
      </c>
      <c r="D1516" s="9" t="inlineStr">
        <is>
          <t>63e0c0f2996bf</t>
        </is>
      </c>
      <c r="E1516" s="9" t="inlineStr"/>
      <c r="F1516" s="9" t="inlineStr">
        <is>
          <t>19 cm</t>
        </is>
      </c>
      <c r="G1516" s="9" t="n">
        <v>8</v>
      </c>
      <c r="H1516" s="21" t="n">
        <v>3.99</v>
      </c>
      <c r="I1516" s="21" t="n">
        <v>94.39</v>
      </c>
      <c r="J1516" s="21" t="n">
        <v>283.17</v>
      </c>
      <c r="K1516" s="21" t="n">
        <v>330.37</v>
      </c>
      <c r="L1516" s="21" t="n">
        <v>377.56</v>
      </c>
      <c r="M1516" s="21" t="n">
        <v>450</v>
      </c>
    </row>
    <row r="1517">
      <c r="A1517" s="9" t="inlineStr">
        <is>
          <t>NANCY</t>
        </is>
      </c>
      <c r="B1517" s="9" t="inlineStr">
        <is>
          <t>NANCY 03/12/2025</t>
        </is>
      </c>
      <c r="C1517" s="9" t="inlineStr">
        <is>
          <t>2025-12-03</t>
        </is>
      </c>
      <c r="D1517" s="9" t="inlineStr">
        <is>
          <t>82224433003885</t>
        </is>
      </c>
      <c r="E1517" s="9" t="inlineStr"/>
      <c r="F1517" s="9" t="inlineStr">
        <is>
          <t>19 cm</t>
        </is>
      </c>
      <c r="G1517" s="9" t="n">
        <v>2</v>
      </c>
      <c r="H1517" s="21" t="n">
        <v>3.99</v>
      </c>
      <c r="I1517" s="21" t="n">
        <v>94.39</v>
      </c>
      <c r="J1517" s="21" t="n">
        <v>283.17</v>
      </c>
      <c r="K1517" s="21" t="n">
        <v>330.37</v>
      </c>
      <c r="L1517" s="21" t="n">
        <v>377.56</v>
      </c>
      <c r="M1517" s="21" t="n">
        <v>250</v>
      </c>
    </row>
    <row r="1518">
      <c r="A1518" s="9" t="inlineStr">
        <is>
          <t>NANCY</t>
        </is>
      </c>
      <c r="B1518" s="9" t="inlineStr">
        <is>
          <t>NANCY 03/12/2025</t>
        </is>
      </c>
      <c r="C1518" s="9" t="inlineStr">
        <is>
          <t>2025-12-03</t>
        </is>
      </c>
      <c r="D1518" s="9" t="inlineStr">
        <is>
          <t>63e0c22967d6a</t>
        </is>
      </c>
      <c r="E1518" s="9" t="inlineStr"/>
      <c r="F1518" s="9" t="inlineStr">
        <is>
          <t>19CM</t>
        </is>
      </c>
      <c r="G1518" s="9" t="n">
        <v>5</v>
      </c>
      <c r="H1518" s="21" t="n">
        <v>3.99</v>
      </c>
      <c r="I1518" s="21" t="n">
        <v>94.39</v>
      </c>
      <c r="J1518" s="21" t="n">
        <v>283.17</v>
      </c>
      <c r="K1518" s="21" t="n">
        <v>330.37</v>
      </c>
      <c r="L1518" s="21" t="n">
        <v>377.56</v>
      </c>
      <c r="M1518" s="21" t="n">
        <v>450</v>
      </c>
    </row>
    <row r="1519">
      <c r="A1519" s="9" t="inlineStr">
        <is>
          <t>NANCY</t>
        </is>
      </c>
      <c r="B1519" s="9" t="inlineStr">
        <is>
          <t>NANCY 03/12/2025</t>
        </is>
      </c>
      <c r="C1519" s="9" t="inlineStr">
        <is>
          <t>2025-12-03</t>
        </is>
      </c>
      <c r="D1519" s="9" t="inlineStr">
        <is>
          <t>63e0c0ee76103</t>
        </is>
      </c>
      <c r="E1519" s="9" t="inlineStr"/>
      <c r="F1519" s="9" t="inlineStr">
        <is>
          <t>19 cm</t>
        </is>
      </c>
      <c r="G1519" s="9" t="n">
        <v>15</v>
      </c>
      <c r="H1519" s="21" t="n">
        <v>2.99</v>
      </c>
      <c r="I1519" s="21" t="n">
        <v>70.73</v>
      </c>
      <c r="J1519" s="21" t="n">
        <v>212.2</v>
      </c>
      <c r="K1519" s="21" t="n">
        <v>247.57</v>
      </c>
      <c r="L1519" s="21" t="n">
        <v>282.93</v>
      </c>
      <c r="M1519" s="21" t="n">
        <v>450</v>
      </c>
    </row>
    <row r="1520">
      <c r="A1520" s="9" t="inlineStr">
        <is>
          <t>NANCY</t>
        </is>
      </c>
      <c r="B1520" s="9" t="inlineStr">
        <is>
          <t>NANCY 03/12/2025</t>
        </is>
      </c>
      <c r="C1520" s="9" t="inlineStr">
        <is>
          <t>2025-12-03</t>
        </is>
      </c>
      <c r="D1520" s="9" t="inlineStr">
        <is>
          <t>661770f12a6a9</t>
        </is>
      </c>
      <c r="E1520" s="9" t="inlineStr"/>
      <c r="F1520" s="9" t="inlineStr">
        <is>
          <t>19 CM</t>
        </is>
      </c>
      <c r="G1520" s="9" t="n">
        <v>10</v>
      </c>
      <c r="H1520" s="21" t="n">
        <v>2.99</v>
      </c>
      <c r="I1520" s="21" t="n">
        <v>70.73</v>
      </c>
      <c r="J1520" s="21" t="n">
        <v>212.2</v>
      </c>
      <c r="K1520" s="21" t="n">
        <v>247.57</v>
      </c>
      <c r="L1520" s="21" t="n">
        <v>282.93</v>
      </c>
      <c r="M1520" s="21" t="n">
        <v>450</v>
      </c>
    </row>
    <row r="1521">
      <c r="A1521" s="9" t="inlineStr">
        <is>
          <t>NANCY</t>
        </is>
      </c>
      <c r="B1521" s="9" t="inlineStr">
        <is>
          <t>NANCY 03/12/2025</t>
        </is>
      </c>
      <c r="C1521" s="9" t="inlineStr">
        <is>
          <t>2025-12-03</t>
        </is>
      </c>
      <c r="D1521" s="9" t="inlineStr">
        <is>
          <t>661774c22d9a0</t>
        </is>
      </c>
      <c r="E1521" s="9" t="inlineStr"/>
      <c r="F1521" s="9" t="inlineStr">
        <is>
          <t>20cm</t>
        </is>
      </c>
      <c r="G1521" s="9" t="n">
        <v>4</v>
      </c>
      <c r="H1521" s="21" t="n">
        <v>5.39</v>
      </c>
      <c r="I1521" s="21" t="n">
        <v>127.51</v>
      </c>
      <c r="J1521" s="21" t="n">
        <v>382.53</v>
      </c>
      <c r="K1521" s="21" t="n">
        <v>446.28</v>
      </c>
      <c r="L1521" s="21" t="n">
        <v>510.04</v>
      </c>
      <c r="M1521" s="21" t="n">
        <v>499</v>
      </c>
    </row>
    <row r="1522">
      <c r="A1522" s="9" t="inlineStr">
        <is>
          <t>NANCY</t>
        </is>
      </c>
      <c r="B1522" s="9" t="inlineStr">
        <is>
          <t>NANCY 03/12/2025</t>
        </is>
      </c>
      <c r="C1522" s="9" t="inlineStr">
        <is>
          <t>2025-12-03</t>
        </is>
      </c>
      <c r="D1522" s="9" t="inlineStr">
        <is>
          <t>43728135084716</t>
        </is>
      </c>
      <c r="E1522" s="9" t="inlineStr"/>
      <c r="F1522" s="9" t="inlineStr">
        <is>
          <t>REGULAR</t>
        </is>
      </c>
      <c r="G1522" s="9" t="n">
        <v>8</v>
      </c>
      <c r="H1522" s="21" t="n">
        <v>5.59</v>
      </c>
      <c r="I1522" s="21" t="n">
        <v>132.24</v>
      </c>
      <c r="J1522" s="21" t="n">
        <v>396.72</v>
      </c>
      <c r="K1522" s="21" t="n">
        <v>462.84</v>
      </c>
      <c r="L1522" s="21" t="n">
        <v>528.96</v>
      </c>
      <c r="M1522" s="21" t="n">
        <v>460</v>
      </c>
    </row>
    <row r="1523">
      <c r="A1523" s="9" t="inlineStr">
        <is>
          <t>NANCY</t>
        </is>
      </c>
      <c r="B1523" s="9" t="inlineStr">
        <is>
          <t>NANCY 03/12/2025</t>
        </is>
      </c>
      <c r="C1523" s="9" t="inlineStr">
        <is>
          <t>2025-12-03</t>
        </is>
      </c>
      <c r="D1523" s="9" t="inlineStr">
        <is>
          <t>56481462623884</t>
        </is>
      </c>
      <c r="E1523" s="9" t="inlineStr">
        <is>
          <t>ANILLO KNOT GOLD</t>
        </is>
      </c>
      <c r="F1523" s="9" t="inlineStr">
        <is>
          <t>8</t>
        </is>
      </c>
      <c r="G1523" s="9" t="n">
        <v>2</v>
      </c>
      <c r="H1523" s="21" t="n">
        <v>3.29</v>
      </c>
      <c r="I1523" s="21" t="n">
        <v>77.83</v>
      </c>
      <c r="J1523" s="21" t="n">
        <v>233.49</v>
      </c>
      <c r="K1523" s="21" t="n">
        <v>272.41</v>
      </c>
      <c r="L1523" s="21" t="n">
        <v>311.32</v>
      </c>
      <c r="M1523" s="21" t="n">
        <v>560</v>
      </c>
    </row>
    <row r="1524">
      <c r="A1524" s="9" t="inlineStr">
        <is>
          <t>NANCY</t>
        </is>
      </c>
      <c r="B1524" s="9" t="inlineStr">
        <is>
          <t>NANCY 03/12/2025</t>
        </is>
      </c>
      <c r="C1524" s="9" t="inlineStr">
        <is>
          <t>2025-12-03</t>
        </is>
      </c>
      <c r="D1524" s="9" t="inlineStr">
        <is>
          <t>66593a9c168cf</t>
        </is>
      </c>
      <c r="E1524" s="9" t="inlineStr">
        <is>
          <t>ANILLO KNOT GOLD</t>
        </is>
      </c>
      <c r="F1524" s="9" t="inlineStr">
        <is>
          <t>6</t>
        </is>
      </c>
      <c r="G1524" s="9" t="n">
        <v>1</v>
      </c>
      <c r="H1524" s="21" t="n">
        <v>5.99</v>
      </c>
      <c r="I1524" s="21" t="n">
        <v>141.7</v>
      </c>
      <c r="J1524" s="21" t="n">
        <v>425.11</v>
      </c>
      <c r="K1524" s="21" t="n">
        <v>495.96</v>
      </c>
      <c r="L1524" s="21" t="n">
        <v>566.8200000000001</v>
      </c>
      <c r="M1524" s="21" t="n">
        <v>480</v>
      </c>
    </row>
    <row r="1525">
      <c r="A1525" s="9" t="inlineStr">
        <is>
          <t>NANCY</t>
        </is>
      </c>
      <c r="B1525" s="9" t="inlineStr">
        <is>
          <t>NANCY 03/12/2025</t>
        </is>
      </c>
      <c r="C1525" s="9" t="inlineStr">
        <is>
          <t>2025-12-03</t>
        </is>
      </c>
      <c r="D1525" s="9" t="inlineStr">
        <is>
          <t>66593a9cc1aaa</t>
        </is>
      </c>
      <c r="E1525" s="9" t="inlineStr">
        <is>
          <t>ANILLO KNOT GOLD</t>
        </is>
      </c>
      <c r="F1525" s="9" t="inlineStr">
        <is>
          <t>7</t>
        </is>
      </c>
      <c r="G1525" s="9" t="n">
        <v>1</v>
      </c>
      <c r="H1525" s="21" t="n">
        <v>0</v>
      </c>
      <c r="I1525" s="21" t="n">
        <v>0</v>
      </c>
      <c r="J1525" s="21" t="n">
        <v>0</v>
      </c>
      <c r="K1525" s="21" t="n">
        <v>0</v>
      </c>
      <c r="L1525" s="21" t="n">
        <v>0</v>
      </c>
      <c r="M1525" s="21" t="n">
        <v>480</v>
      </c>
    </row>
    <row r="1526">
      <c r="A1526" s="9" t="inlineStr">
        <is>
          <t>NANCY</t>
        </is>
      </c>
      <c r="B1526" s="9" t="inlineStr">
        <is>
          <t>NANCY 03/12/2025</t>
        </is>
      </c>
      <c r="C1526" s="9" t="inlineStr">
        <is>
          <t>2025-12-03</t>
        </is>
      </c>
      <c r="D1526" s="9" t="inlineStr">
        <is>
          <t>42981773246604</t>
        </is>
      </c>
      <c r="E1526" s="9" t="inlineStr">
        <is>
          <t>ANILLO PANTHERE GOLD</t>
        </is>
      </c>
      <c r="F1526" s="9" t="inlineStr">
        <is>
          <t>Regular</t>
        </is>
      </c>
      <c r="G1526" s="9" t="n">
        <v>2</v>
      </c>
      <c r="H1526" s="21" t="n">
        <v>5.59</v>
      </c>
      <c r="I1526" s="21" t="n">
        <v>132.24</v>
      </c>
      <c r="J1526" s="21" t="n">
        <v>396.72</v>
      </c>
      <c r="K1526" s="21" t="n">
        <v>462.84</v>
      </c>
      <c r="L1526" s="21" t="n">
        <v>528.96</v>
      </c>
      <c r="M1526" s="21" t="n">
        <v>480</v>
      </c>
    </row>
    <row r="1527">
      <c r="A1527" s="9" t="inlineStr">
        <is>
          <t>NANCY</t>
        </is>
      </c>
      <c r="B1527" s="9" t="inlineStr">
        <is>
          <t>NANCY 03/12/2025</t>
        </is>
      </c>
      <c r="C1527" s="9" t="inlineStr">
        <is>
          <t>2025-12-03</t>
        </is>
      </c>
      <c r="D1527" s="9" t="inlineStr">
        <is>
          <t>66593be00cc70</t>
        </is>
      </c>
      <c r="E1527" s="9" t="inlineStr">
        <is>
          <t>ANILLO PERLEE ROSEGOLD</t>
        </is>
      </c>
      <c r="F1527" s="9" t="inlineStr">
        <is>
          <t>7</t>
        </is>
      </c>
      <c r="G1527" s="9" t="n">
        <v>2</v>
      </c>
      <c r="H1527" s="21" t="n">
        <v>5.59</v>
      </c>
      <c r="I1527" s="21" t="n">
        <v>132.24</v>
      </c>
      <c r="J1527" s="21" t="n">
        <v>396.72</v>
      </c>
      <c r="K1527" s="21" t="n">
        <v>462.84</v>
      </c>
      <c r="L1527" s="21" t="n">
        <v>528.96</v>
      </c>
      <c r="M1527" s="21" t="n">
        <v>760</v>
      </c>
    </row>
    <row r="1528">
      <c r="A1528" s="9" t="inlineStr">
        <is>
          <t>NANCY</t>
        </is>
      </c>
      <c r="B1528" s="9" t="inlineStr">
        <is>
          <t>NANCY 03/12/2025</t>
        </is>
      </c>
      <c r="C1528" s="9" t="inlineStr">
        <is>
          <t>2025-12-03</t>
        </is>
      </c>
      <c r="D1528" s="9" t="inlineStr">
        <is>
          <t>665bb4c1438b1</t>
        </is>
      </c>
      <c r="E1528" s="9" t="inlineStr">
        <is>
          <t>ANILLO TREBOL GOLD GREEN</t>
        </is>
      </c>
      <c r="F1528" s="9" t="inlineStr">
        <is>
          <t>7</t>
        </is>
      </c>
      <c r="G1528" s="9" t="n">
        <v>1</v>
      </c>
      <c r="H1528" s="21" t="n">
        <v>5.59</v>
      </c>
      <c r="I1528" s="21" t="n">
        <v>132.24</v>
      </c>
      <c r="J1528" s="21" t="n">
        <v>396.72</v>
      </c>
      <c r="K1528" s="21" t="n">
        <v>462.84</v>
      </c>
      <c r="L1528" s="21" t="n">
        <v>528.96</v>
      </c>
      <c r="M1528" s="21" t="n">
        <v>499</v>
      </c>
    </row>
    <row r="1529">
      <c r="A1529" s="9" t="inlineStr">
        <is>
          <t>NANCY</t>
        </is>
      </c>
      <c r="B1529" s="9" t="inlineStr">
        <is>
          <t>NANCY 03/12/2025</t>
        </is>
      </c>
      <c r="C1529" s="9" t="inlineStr">
        <is>
          <t>2025-12-03</t>
        </is>
      </c>
      <c r="D1529" s="9" t="inlineStr">
        <is>
          <t>63ebd619250f6</t>
        </is>
      </c>
      <c r="E1529" s="9" t="inlineStr">
        <is>
          <t>ARETES BV ROSE GOLD CON ZIRCONIA</t>
        </is>
      </c>
      <c r="F1529" s="9" t="inlineStr">
        <is>
          <t>Default Title</t>
        </is>
      </c>
      <c r="G1529" s="9" t="n">
        <v>2</v>
      </c>
      <c r="H1529" s="21" t="n">
        <v>5.59</v>
      </c>
      <c r="I1529" s="21" t="n">
        <v>132.24</v>
      </c>
      <c r="J1529" s="21" t="n">
        <v>396.72</v>
      </c>
      <c r="K1529" s="21" t="n">
        <v>462.84</v>
      </c>
      <c r="L1529" s="21" t="n">
        <v>528.96</v>
      </c>
      <c r="M1529" s="21" t="n">
        <v>499</v>
      </c>
    </row>
    <row r="1530">
      <c r="A1530" s="9" t="inlineStr">
        <is>
          <t>NANCY</t>
        </is>
      </c>
      <c r="B1530" s="9" t="inlineStr">
        <is>
          <t>NANCY 03/12/2025</t>
        </is>
      </c>
      <c r="C1530" s="9" t="inlineStr">
        <is>
          <t>2025-12-03</t>
        </is>
      </c>
      <c r="D1530" s="9" t="inlineStr">
        <is>
          <t>64e78ca71edc7</t>
        </is>
      </c>
      <c r="E1530" s="9" t="inlineStr">
        <is>
          <t>ARETES BV SILVER- WHITE</t>
        </is>
      </c>
      <c r="F1530" s="9" t="inlineStr">
        <is>
          <t>Regular</t>
        </is>
      </c>
      <c r="G1530" s="9" t="n">
        <v>2</v>
      </c>
      <c r="H1530" s="21" t="n">
        <v>3.69</v>
      </c>
      <c r="I1530" s="21" t="n">
        <v>87.29000000000001</v>
      </c>
      <c r="J1530" s="21" t="n">
        <v>261.88</v>
      </c>
      <c r="K1530" s="21" t="n">
        <v>305.53</v>
      </c>
      <c r="L1530" s="21" t="n">
        <v>349.17</v>
      </c>
      <c r="M1530" s="21" t="n">
        <v>450</v>
      </c>
    </row>
    <row r="1531">
      <c r="A1531" s="9" t="inlineStr">
        <is>
          <t>NANCY</t>
        </is>
      </c>
      <c r="B1531" s="9" t="inlineStr">
        <is>
          <t>NANCY 03/12/2025</t>
        </is>
      </c>
      <c r="C1531" s="9" t="inlineStr">
        <is>
          <t>2025-12-03</t>
        </is>
      </c>
      <c r="D1531" s="9" t="inlineStr">
        <is>
          <t>64e78ca690d8e</t>
        </is>
      </c>
      <c r="E1531" s="9" t="inlineStr">
        <is>
          <t>ARETES BV SILVER-BLACK</t>
        </is>
      </c>
      <c r="F1531" s="9" t="inlineStr">
        <is>
          <t>0.7 cm</t>
        </is>
      </c>
      <c r="G1531" s="9" t="n">
        <v>2</v>
      </c>
      <c r="H1531" s="21" t="n">
        <v>3.69</v>
      </c>
      <c r="I1531" s="21" t="n">
        <v>87.29000000000001</v>
      </c>
      <c r="J1531" s="21" t="n">
        <v>261.88</v>
      </c>
      <c r="K1531" s="21" t="n">
        <v>305.53</v>
      </c>
      <c r="L1531" s="21" t="n">
        <v>349.17</v>
      </c>
      <c r="M1531" s="21" t="n">
        <v>450</v>
      </c>
    </row>
    <row r="1532">
      <c r="A1532" s="9" t="inlineStr">
        <is>
          <t>NANCY</t>
        </is>
      </c>
      <c r="B1532" s="9" t="inlineStr">
        <is>
          <t>NANCY 03/12/2025</t>
        </is>
      </c>
      <c r="C1532" s="9" t="inlineStr">
        <is>
          <t>2025-12-03</t>
        </is>
      </c>
      <c r="D1532" s="9" t="inlineStr">
        <is>
          <t>42981640208524</t>
        </is>
      </c>
      <c r="E1532" s="9" t="inlineStr">
        <is>
          <t>ARETES CD GOLD CON PERLA COLGANTE</t>
        </is>
      </c>
      <c r="F1532" s="9" t="inlineStr">
        <is>
          <t>Default Title</t>
        </is>
      </c>
      <c r="G1532" s="9" t="n">
        <v>3</v>
      </c>
      <c r="H1532" s="21" t="n">
        <v>4.49</v>
      </c>
      <c r="I1532" s="21" t="n">
        <v>106.22</v>
      </c>
      <c r="J1532" s="21" t="n">
        <v>318.66</v>
      </c>
      <c r="K1532" s="21" t="n">
        <v>371.77</v>
      </c>
      <c r="L1532" s="21" t="n">
        <v>424.88</v>
      </c>
      <c r="M1532" s="21" t="n">
        <v>466</v>
      </c>
    </row>
    <row r="1533">
      <c r="A1533" s="9" t="inlineStr">
        <is>
          <t>NANCY</t>
        </is>
      </c>
      <c r="B1533" s="9" t="inlineStr">
        <is>
          <t>NANCY 03/12/2025</t>
        </is>
      </c>
      <c r="C1533" s="9" t="inlineStr">
        <is>
          <t>2025-12-03</t>
        </is>
      </c>
      <c r="D1533" s="9" t="inlineStr">
        <is>
          <t>68eee447fb3d</t>
        </is>
      </c>
      <c r="E1533" s="9" t="inlineStr">
        <is>
          <t>ARETES DE ESLABONES GOLD MZ</t>
        </is>
      </c>
      <c r="F1533" s="9" t="inlineStr"/>
      <c r="G1533" s="9" t="n">
        <v>3</v>
      </c>
      <c r="H1533" s="21" t="n">
        <v>6.99</v>
      </c>
      <c r="I1533" s="21" t="n">
        <v>165.36</v>
      </c>
      <c r="J1533" s="21" t="n">
        <v>496.08</v>
      </c>
      <c r="K1533" s="21" t="n">
        <v>578.76</v>
      </c>
      <c r="L1533" s="21" t="n">
        <v>661.4400000000001</v>
      </c>
      <c r="M1533" s="21" t="n"/>
    </row>
    <row r="1534">
      <c r="A1534" s="9" t="inlineStr">
        <is>
          <t>NANCY</t>
        </is>
      </c>
      <c r="B1534" s="9" t="inlineStr">
        <is>
          <t>NANCY 03/12/2025</t>
        </is>
      </c>
      <c r="C1534" s="9" t="inlineStr">
        <is>
          <t>2025-12-03</t>
        </is>
      </c>
      <c r="D1534" s="9" t="inlineStr">
        <is>
          <t>43047216775308</t>
        </is>
      </c>
      <c r="E1534" s="9" t="inlineStr">
        <is>
          <t>ARETES ESLABON LISO  GOLD</t>
        </is>
      </c>
      <c r="F1534" s="9" t="inlineStr">
        <is>
          <t>Default Title</t>
        </is>
      </c>
      <c r="G1534" s="9" t="n">
        <v>4</v>
      </c>
      <c r="H1534" s="21" t="n">
        <v>5.79</v>
      </c>
      <c r="I1534" s="21" t="n">
        <v>136.97</v>
      </c>
      <c r="J1534" s="21" t="n">
        <v>410.92</v>
      </c>
      <c r="K1534" s="21" t="n">
        <v>479.4</v>
      </c>
      <c r="L1534" s="21" t="n">
        <v>547.89</v>
      </c>
      <c r="M1534" s="21" t="n">
        <v>650</v>
      </c>
    </row>
    <row r="1535">
      <c r="A1535" s="9" t="inlineStr">
        <is>
          <t>NANCY</t>
        </is>
      </c>
      <c r="B1535" s="9" t="inlineStr">
        <is>
          <t>NANCY 03/12/2025</t>
        </is>
      </c>
      <c r="C1535" s="9" t="inlineStr">
        <is>
          <t>2025-12-03</t>
        </is>
      </c>
      <c r="D1535" s="9" t="inlineStr">
        <is>
          <t>42981553012876</t>
        </is>
      </c>
      <c r="E1535" s="9" t="inlineStr">
        <is>
          <t>ARETES ESSENTIAL LV GOLD</t>
        </is>
      </c>
      <c r="F1535" s="9" t="inlineStr">
        <is>
          <t>Default Title</t>
        </is>
      </c>
      <c r="G1535" s="9" t="n">
        <v>3</v>
      </c>
      <c r="H1535" s="21" t="n">
        <v>5.59</v>
      </c>
      <c r="I1535" s="21" t="n">
        <v>132.24</v>
      </c>
      <c r="J1535" s="21" t="n">
        <v>396.72</v>
      </c>
      <c r="K1535" s="21" t="n">
        <v>462.84</v>
      </c>
      <c r="L1535" s="21" t="n">
        <v>528.96</v>
      </c>
      <c r="M1535" s="21" t="n">
        <v>499</v>
      </c>
    </row>
    <row r="1536">
      <c r="A1536" s="9" t="inlineStr">
        <is>
          <t>NANCY</t>
        </is>
      </c>
      <c r="B1536" s="9" t="inlineStr">
        <is>
          <t>NANCY 03/12/2025</t>
        </is>
      </c>
      <c r="C1536" s="9" t="inlineStr">
        <is>
          <t>2025-12-03</t>
        </is>
      </c>
      <c r="D1536" s="9" t="inlineStr">
        <is>
          <t>42981998657676</t>
        </is>
      </c>
      <c r="E1536" s="9" t="inlineStr">
        <is>
          <t>ARETES FR GOLD</t>
        </is>
      </c>
      <c r="F1536" s="9" t="inlineStr">
        <is>
          <t>Regular</t>
        </is>
      </c>
      <c r="G1536" s="9" t="n">
        <v>14</v>
      </c>
      <c r="H1536" s="21" t="n">
        <v>4.49</v>
      </c>
      <c r="I1536" s="21" t="n">
        <v>106.22</v>
      </c>
      <c r="J1536" s="21" t="n">
        <v>318.66</v>
      </c>
      <c r="K1536" s="21" t="n">
        <v>371.77</v>
      </c>
      <c r="L1536" s="21" t="n">
        <v>424.88</v>
      </c>
      <c r="M1536" s="21" t="n">
        <v>499</v>
      </c>
    </row>
    <row r="1537">
      <c r="A1537" s="9" t="inlineStr">
        <is>
          <t>NANCY</t>
        </is>
      </c>
      <c r="B1537" s="9" t="inlineStr">
        <is>
          <t>NANCY 03/12/2025</t>
        </is>
      </c>
      <c r="C1537" s="9" t="inlineStr">
        <is>
          <t>2025-12-03</t>
        </is>
      </c>
      <c r="D1537" s="9" t="inlineStr">
        <is>
          <t>42982006882444</t>
        </is>
      </c>
      <c r="E1537" s="9" t="inlineStr">
        <is>
          <t>ARETES FR GOLD CON PERLA</t>
        </is>
      </c>
      <c r="F1537" s="9" t="inlineStr">
        <is>
          <t>Default Title</t>
        </is>
      </c>
      <c r="G1537" s="9" t="n">
        <v>12</v>
      </c>
      <c r="H1537" s="21" t="n">
        <v>4.49</v>
      </c>
      <c r="I1537" s="21" t="n">
        <v>106.22</v>
      </c>
      <c r="J1537" s="21" t="n">
        <v>318.66</v>
      </c>
      <c r="K1537" s="21" t="n">
        <v>371.77</v>
      </c>
      <c r="L1537" s="21" t="n">
        <v>424.88</v>
      </c>
      <c r="M1537" s="21" t="n">
        <v>499</v>
      </c>
    </row>
    <row r="1538">
      <c r="A1538" s="9" t="inlineStr">
        <is>
          <t>NANCY</t>
        </is>
      </c>
      <c r="B1538" s="9" t="inlineStr">
        <is>
          <t>NANCY 03/12/2025</t>
        </is>
      </c>
      <c r="C1538" s="9" t="inlineStr">
        <is>
          <t>2025-12-03</t>
        </is>
      </c>
      <c r="D1538" s="9" t="inlineStr">
        <is>
          <t>678a9af396518</t>
        </is>
      </c>
      <c r="E1538" s="9" t="inlineStr">
        <is>
          <t>ARETES FR SILVER</t>
        </is>
      </c>
      <c r="F1538" s="9" t="inlineStr">
        <is>
          <t>Regular</t>
        </is>
      </c>
      <c r="G1538" s="9" t="n">
        <v>14</v>
      </c>
      <c r="H1538" s="21" t="n">
        <v>4.49</v>
      </c>
      <c r="I1538" s="21" t="n">
        <v>106.22</v>
      </c>
      <c r="J1538" s="21" t="n">
        <v>318.66</v>
      </c>
      <c r="K1538" s="21" t="n">
        <v>371.77</v>
      </c>
      <c r="L1538" s="21" t="n">
        <v>424.88</v>
      </c>
      <c r="M1538" s="21" t="n">
        <v>450</v>
      </c>
    </row>
    <row r="1539">
      <c r="A1539" s="9" t="inlineStr">
        <is>
          <t>NANCY</t>
        </is>
      </c>
      <c r="B1539" s="9" t="inlineStr">
        <is>
          <t>NANCY 03/12/2025</t>
        </is>
      </c>
      <c r="C1539" s="9" t="inlineStr">
        <is>
          <t>2025-12-03</t>
        </is>
      </c>
      <c r="D1539" s="9" t="inlineStr">
        <is>
          <t>665bb512aacaa</t>
        </is>
      </c>
      <c r="E1539" s="9" t="inlineStr">
        <is>
          <t>ARETES GC LOGO GOLD</t>
        </is>
      </c>
      <c r="F1539" s="9" t="inlineStr">
        <is>
          <t>Default Title</t>
        </is>
      </c>
      <c r="G1539" s="9" t="n">
        <v>4</v>
      </c>
      <c r="H1539" s="21" t="n">
        <v>3.99</v>
      </c>
      <c r="I1539" s="21" t="n">
        <v>94.39</v>
      </c>
      <c r="J1539" s="21" t="n">
        <v>283.17</v>
      </c>
      <c r="K1539" s="21" t="n">
        <v>330.37</v>
      </c>
      <c r="L1539" s="21" t="n">
        <v>377.56</v>
      </c>
      <c r="M1539" s="21" t="n">
        <v>480</v>
      </c>
    </row>
    <row r="1540">
      <c r="A1540" s="9" t="inlineStr">
        <is>
          <t>NANCY</t>
        </is>
      </c>
      <c r="B1540" s="9" t="inlineStr">
        <is>
          <t>NANCY 03/12/2025</t>
        </is>
      </c>
      <c r="C1540" s="9" t="inlineStr">
        <is>
          <t>2025-12-03</t>
        </is>
      </c>
      <c r="D1540" s="9" t="inlineStr">
        <is>
          <t>665bb5192cc3b</t>
        </is>
      </c>
      <c r="E1540" s="9" t="inlineStr">
        <is>
          <t>ARETES LOCK GOLD</t>
        </is>
      </c>
      <c r="F1540" s="9" t="inlineStr">
        <is>
          <t>Default Title</t>
        </is>
      </c>
      <c r="G1540" s="9" t="n">
        <v>3</v>
      </c>
      <c r="H1540" s="21" t="n">
        <v>7.59</v>
      </c>
      <c r="I1540" s="21" t="n">
        <v>179.55</v>
      </c>
      <c r="J1540" s="21" t="n">
        <v>538.66</v>
      </c>
      <c r="K1540" s="21" t="n">
        <v>628.4400000000001</v>
      </c>
      <c r="L1540" s="21" t="n">
        <v>718.22</v>
      </c>
      <c r="M1540" s="21" t="n">
        <v>749</v>
      </c>
    </row>
    <row r="1541">
      <c r="A1541" s="9" t="inlineStr">
        <is>
          <t>NANCY</t>
        </is>
      </c>
      <c r="B1541" s="9" t="inlineStr">
        <is>
          <t>NANCY 03/12/2025</t>
        </is>
      </c>
      <c r="C1541" s="9" t="inlineStr">
        <is>
          <t>2025-12-03</t>
        </is>
      </c>
      <c r="D1541" s="9" t="inlineStr">
        <is>
          <t>665bb75c10369</t>
        </is>
      </c>
      <c r="E1541" s="9" t="inlineStr">
        <is>
          <t>ARETES LV MY GOLD</t>
        </is>
      </c>
      <c r="F1541" s="9" t="inlineStr">
        <is>
          <t>Regular</t>
        </is>
      </c>
      <c r="G1541" s="9" t="n">
        <v>3</v>
      </c>
      <c r="H1541" s="21" t="n">
        <v>5.59</v>
      </c>
      <c r="I1541" s="21" t="n">
        <v>132.24</v>
      </c>
      <c r="J1541" s="21" t="n">
        <v>396.72</v>
      </c>
      <c r="K1541" s="21" t="n">
        <v>462.84</v>
      </c>
      <c r="L1541" s="21" t="n">
        <v>528.96</v>
      </c>
      <c r="M1541" s="21" t="n">
        <v>400</v>
      </c>
    </row>
    <row r="1542">
      <c r="A1542" s="9" t="inlineStr">
        <is>
          <t>NANCY</t>
        </is>
      </c>
      <c r="B1542" s="9" t="inlineStr">
        <is>
          <t>NANCY 03/12/2025</t>
        </is>
      </c>
      <c r="C1542" s="9" t="inlineStr">
        <is>
          <t>2025-12-03</t>
        </is>
      </c>
      <c r="D1542" s="9" t="inlineStr">
        <is>
          <t>665bb4fe45383</t>
        </is>
      </c>
      <c r="E1542" s="9" t="inlineStr">
        <is>
          <t>ARETES PERLA YSL</t>
        </is>
      </c>
      <c r="F1542" s="9" t="inlineStr">
        <is>
          <t>Regular</t>
        </is>
      </c>
      <c r="G1542" s="9" t="n">
        <v>8</v>
      </c>
      <c r="H1542" s="21" t="n">
        <v>4.19</v>
      </c>
      <c r="I1542" s="21" t="n">
        <v>99.12</v>
      </c>
      <c r="J1542" s="21" t="n">
        <v>297.37</v>
      </c>
      <c r="K1542" s="21" t="n">
        <v>346.93</v>
      </c>
      <c r="L1542" s="21" t="n">
        <v>396.49</v>
      </c>
      <c r="M1542" s="21" t="n">
        <v>499</v>
      </c>
    </row>
    <row r="1543">
      <c r="A1543" s="9" t="inlineStr">
        <is>
          <t>NANCY</t>
        </is>
      </c>
      <c r="B1543" s="9" t="inlineStr">
        <is>
          <t>NANCY 03/12/2025</t>
        </is>
      </c>
      <c r="C1543" s="9" t="inlineStr">
        <is>
          <t>2025-12-03</t>
        </is>
      </c>
      <c r="D1543" s="9" t="inlineStr">
        <is>
          <t>665bb76e6de16</t>
        </is>
      </c>
      <c r="E1543" s="9" t="inlineStr">
        <is>
          <t>ARETES TB GOLD</t>
        </is>
      </c>
      <c r="F1543" s="9" t="inlineStr">
        <is>
          <t>Regular</t>
        </is>
      </c>
      <c r="G1543" s="9" t="n">
        <v>5</v>
      </c>
      <c r="H1543" s="21" t="n">
        <v>2.79</v>
      </c>
      <c r="I1543" s="21" t="n">
        <v>66</v>
      </c>
      <c r="J1543" s="21" t="n">
        <v>198.01</v>
      </c>
      <c r="K1543" s="21" t="n">
        <v>231.01</v>
      </c>
      <c r="L1543" s="21" t="n">
        <v>264.01</v>
      </c>
      <c r="M1543" s="21" t="n">
        <v>450</v>
      </c>
    </row>
    <row r="1544">
      <c r="A1544" s="9" t="inlineStr">
        <is>
          <t>NANCY</t>
        </is>
      </c>
      <c r="B1544" s="9" t="inlineStr">
        <is>
          <t>NANCY 03/12/2025</t>
        </is>
      </c>
      <c r="C1544" s="9" t="inlineStr">
        <is>
          <t>2025-12-03</t>
        </is>
      </c>
      <c r="D1544" s="9" t="inlineStr">
        <is>
          <t>665bb76fc6270</t>
        </is>
      </c>
      <c r="E1544" s="9" t="inlineStr">
        <is>
          <t>ARETES TB SILVER</t>
        </is>
      </c>
      <c r="F1544" s="9" t="inlineStr">
        <is>
          <t>1.5 cm</t>
        </is>
      </c>
      <c r="G1544" s="9" t="n">
        <v>6</v>
      </c>
      <c r="H1544" s="21" t="n">
        <v>2.79</v>
      </c>
      <c r="I1544" s="21" t="n">
        <v>66</v>
      </c>
      <c r="J1544" s="21" t="n">
        <v>198.01</v>
      </c>
      <c r="K1544" s="21" t="n">
        <v>231.01</v>
      </c>
      <c r="L1544" s="21" t="n">
        <v>264.01</v>
      </c>
      <c r="M1544" s="21" t="n">
        <v>450</v>
      </c>
    </row>
    <row r="1545">
      <c r="A1545" s="9" t="inlineStr">
        <is>
          <t>NANCY</t>
        </is>
      </c>
      <c r="B1545" s="9" t="inlineStr">
        <is>
          <t>NANCY 03/12/2025</t>
        </is>
      </c>
      <c r="C1545" s="9" t="inlineStr">
        <is>
          <t>2025-12-03</t>
        </is>
      </c>
      <c r="D1545" s="9" t="inlineStr">
        <is>
          <t>26487151166497</t>
        </is>
      </c>
      <c r="E1545" s="9" t="inlineStr">
        <is>
          <t>ARETES TRINITY</t>
        </is>
      </c>
      <c r="F1545" s="9" t="inlineStr">
        <is>
          <t>1 cm</t>
        </is>
      </c>
      <c r="G1545" s="9" t="n">
        <v>5</v>
      </c>
      <c r="H1545" s="21" t="n">
        <v>4.99</v>
      </c>
      <c r="I1545" s="21" t="n">
        <v>118.05</v>
      </c>
      <c r="J1545" s="21" t="n">
        <v>354.14</v>
      </c>
      <c r="K1545" s="21" t="n">
        <v>413.16</v>
      </c>
      <c r="L1545" s="21" t="n">
        <v>472.19</v>
      </c>
      <c r="M1545" s="21" t="n">
        <v>576.8</v>
      </c>
    </row>
    <row r="1546">
      <c r="A1546" s="9" t="inlineStr">
        <is>
          <t>NANCY</t>
        </is>
      </c>
      <c r="B1546" s="9" t="inlineStr">
        <is>
          <t>NANCY 03/12/2025</t>
        </is>
      </c>
      <c r="C1546" s="9" t="inlineStr">
        <is>
          <t>2025-12-03</t>
        </is>
      </c>
      <c r="D1546" s="9" t="inlineStr">
        <is>
          <t>64e78c9c19fe7</t>
        </is>
      </c>
      <c r="E1546" s="9" t="inlineStr">
        <is>
          <t>ARETES V CON PERLA COLGANTE</t>
        </is>
      </c>
      <c r="F1546" s="9" t="inlineStr">
        <is>
          <t>Regular</t>
        </is>
      </c>
      <c r="G1546" s="9" t="n">
        <v>4</v>
      </c>
      <c r="H1546" s="21" t="n">
        <v>6.59</v>
      </c>
      <c r="I1546" s="21" t="n">
        <v>155.9</v>
      </c>
      <c r="J1546" s="21" t="n">
        <v>467.69</v>
      </c>
      <c r="K1546" s="21" t="n">
        <v>545.64</v>
      </c>
      <c r="L1546" s="21" t="n">
        <v>623.59</v>
      </c>
      <c r="M1546" s="21" t="n">
        <v>599</v>
      </c>
    </row>
    <row r="1547">
      <c r="A1547" s="9" t="inlineStr">
        <is>
          <t>NANCY</t>
        </is>
      </c>
      <c r="B1547" s="9" t="inlineStr">
        <is>
          <t>NANCY 03/12/2025</t>
        </is>
      </c>
      <c r="C1547" s="9" t="inlineStr">
        <is>
          <t>2025-12-03</t>
        </is>
      </c>
      <c r="D1547" s="9" t="inlineStr">
        <is>
          <t>654bdb2332905</t>
        </is>
      </c>
      <c r="E1547" s="9" t="inlineStr">
        <is>
          <t>ARETES V GOLD</t>
        </is>
      </c>
      <c r="F1547" s="9" t="inlineStr">
        <is>
          <t>Regular</t>
        </is>
      </c>
      <c r="G1547" s="9" t="n">
        <v>15</v>
      </c>
      <c r="H1547" s="21" t="n">
        <v>5.59</v>
      </c>
      <c r="I1547" s="21" t="n">
        <v>132.24</v>
      </c>
      <c r="J1547" s="21" t="n">
        <v>396.72</v>
      </c>
      <c r="K1547" s="21" t="n">
        <v>462.84</v>
      </c>
      <c r="L1547" s="21" t="n">
        <v>528.96</v>
      </c>
      <c r="M1547" s="21" t="n">
        <v>550</v>
      </c>
    </row>
    <row r="1548">
      <c r="A1548" s="9" t="inlineStr">
        <is>
          <t>NANCY</t>
        </is>
      </c>
      <c r="B1548" s="9" t="inlineStr">
        <is>
          <t>NANCY 03/12/2025</t>
        </is>
      </c>
      <c r="C1548" s="9" t="inlineStr">
        <is>
          <t>2025-12-03</t>
        </is>
      </c>
      <c r="D1548" s="9" t="inlineStr">
        <is>
          <t>665bb78f1ae43</t>
        </is>
      </c>
      <c r="E1548" s="9" t="inlineStr">
        <is>
          <t>ARETES YSL GOLD CON ZIRCONIA</t>
        </is>
      </c>
      <c r="F1548" s="9" t="inlineStr">
        <is>
          <t>Regular</t>
        </is>
      </c>
      <c r="G1548" s="9" t="n">
        <v>3</v>
      </c>
      <c r="H1548" s="21" t="n">
        <v>6.99</v>
      </c>
      <c r="I1548" s="21" t="n">
        <v>165.36</v>
      </c>
      <c r="J1548" s="21" t="n">
        <v>496.08</v>
      </c>
      <c r="K1548" s="21" t="n">
        <v>578.76</v>
      </c>
      <c r="L1548" s="21" t="n">
        <v>661.4400000000001</v>
      </c>
      <c r="M1548" s="21" t="n">
        <v>650</v>
      </c>
    </row>
    <row r="1549">
      <c r="A1549" s="9" t="inlineStr">
        <is>
          <t>NANCY</t>
        </is>
      </c>
      <c r="B1549" s="9" t="inlineStr">
        <is>
          <t>NANCY 03/12/2025</t>
        </is>
      </c>
      <c r="C1549" s="9" t="inlineStr">
        <is>
          <t>2025-12-03</t>
        </is>
      </c>
      <c r="D1549" s="9" t="inlineStr">
        <is>
          <t>665bb79224272</t>
        </is>
      </c>
      <c r="E1549" s="9" t="inlineStr">
        <is>
          <t>ARRACADAS CD GOLD BLACK</t>
        </is>
      </c>
      <c r="F1549" s="9" t="inlineStr">
        <is>
          <t>Default Title</t>
        </is>
      </c>
      <c r="G1549" s="9" t="n">
        <v>2</v>
      </c>
      <c r="H1549" s="21" t="n">
        <v>6.99</v>
      </c>
      <c r="I1549" s="21" t="n">
        <v>165.36</v>
      </c>
      <c r="J1549" s="21" t="n">
        <v>496.08</v>
      </c>
      <c r="K1549" s="21" t="n">
        <v>578.76</v>
      </c>
      <c r="L1549" s="21" t="n">
        <v>661.4400000000001</v>
      </c>
      <c r="M1549" s="21" t="n">
        <v>649</v>
      </c>
    </row>
    <row r="1550">
      <c r="A1550" s="9" t="inlineStr">
        <is>
          <t>NANCY</t>
        </is>
      </c>
      <c r="B1550" s="9" t="inlineStr">
        <is>
          <t>NANCY 03/12/2025</t>
        </is>
      </c>
      <c r="C1550" s="9" t="inlineStr">
        <is>
          <t>2025-12-03</t>
        </is>
      </c>
      <c r="D1550" s="9" t="inlineStr">
        <is>
          <t>42951540310156</t>
        </is>
      </c>
      <c r="E1550" s="9" t="inlineStr">
        <is>
          <t>ARRACADAS GC SILVER</t>
        </is>
      </c>
      <c r="F1550" s="9" t="inlineStr">
        <is>
          <t>Default Title</t>
        </is>
      </c>
      <c r="G1550" s="9" t="n">
        <v>2</v>
      </c>
      <c r="H1550" s="21" t="n">
        <v>6.59</v>
      </c>
      <c r="I1550" s="21" t="n">
        <v>155.9</v>
      </c>
      <c r="J1550" s="21" t="n">
        <v>467.69</v>
      </c>
      <c r="K1550" s="21" t="n">
        <v>545.64</v>
      </c>
      <c r="L1550" s="21" t="n">
        <v>623.59</v>
      </c>
      <c r="M1550" s="21" t="n">
        <v>699</v>
      </c>
    </row>
    <row r="1551">
      <c r="A1551" s="9" t="inlineStr">
        <is>
          <t>NANCY</t>
        </is>
      </c>
      <c r="B1551" s="9" t="inlineStr">
        <is>
          <t>NANCY 03/12/2025</t>
        </is>
      </c>
      <c r="C1551" s="9" t="inlineStr">
        <is>
          <t>2025-12-03</t>
        </is>
      </c>
      <c r="D1551" s="9" t="inlineStr">
        <is>
          <t>665bb79776b6f-1</t>
        </is>
      </c>
      <c r="E1551" s="9" t="inlineStr">
        <is>
          <t>ARRACADAS NANOGRAMA LV</t>
        </is>
      </c>
      <c r="F1551" s="9" t="inlineStr">
        <is>
          <t>Regular</t>
        </is>
      </c>
      <c r="G1551" s="9" t="n">
        <v>2</v>
      </c>
      <c r="H1551" s="21" t="n">
        <v>4.99</v>
      </c>
      <c r="I1551" s="21" t="n">
        <v>118.05</v>
      </c>
      <c r="J1551" s="21" t="n">
        <v>354.14</v>
      </c>
      <c r="K1551" s="21" t="n">
        <v>413.16</v>
      </c>
      <c r="L1551" s="21" t="n">
        <v>472.19</v>
      </c>
      <c r="M1551" s="21" t="n">
        <v>480</v>
      </c>
    </row>
    <row r="1552">
      <c r="A1552" s="9" t="inlineStr">
        <is>
          <t>NANCY</t>
        </is>
      </c>
      <c r="B1552" s="9" t="inlineStr">
        <is>
          <t>NANCY 03/12/2025</t>
        </is>
      </c>
      <c r="C1552" s="9" t="inlineStr">
        <is>
          <t>2025-12-03</t>
        </is>
      </c>
      <c r="D1552" s="9" t="inlineStr">
        <is>
          <t>64e78ca1ee3ac</t>
        </is>
      </c>
      <c r="E1552" s="9" t="inlineStr">
        <is>
          <t>BRAZALETE CD WHITE</t>
        </is>
      </c>
      <c r="F1552" s="9" t="inlineStr">
        <is>
          <t>AJUSTABLE</t>
        </is>
      </c>
      <c r="G1552" s="9" t="n">
        <v>4</v>
      </c>
      <c r="H1552" s="21" t="n">
        <v>6.59</v>
      </c>
      <c r="I1552" s="21" t="n">
        <v>155.9</v>
      </c>
      <c r="J1552" s="21" t="n">
        <v>467.69</v>
      </c>
      <c r="K1552" s="21" t="n">
        <v>545.64</v>
      </c>
      <c r="L1552" s="21" t="n">
        <v>623.59</v>
      </c>
      <c r="M1552" s="21" t="n">
        <v>599</v>
      </c>
    </row>
    <row r="1553">
      <c r="A1553" s="9" t="inlineStr">
        <is>
          <t>NANCY</t>
        </is>
      </c>
      <c r="B1553" s="9" t="inlineStr">
        <is>
          <t>NANCY 03/12/2025</t>
        </is>
      </c>
      <c r="C1553" s="9" t="inlineStr">
        <is>
          <t>2025-12-03</t>
        </is>
      </c>
      <c r="D1553" s="9" t="inlineStr">
        <is>
          <t>66177be17fc51</t>
        </is>
      </c>
      <c r="E1553" s="9" t="inlineStr">
        <is>
          <t>COLLAR CLAVO ROUND GOLD</t>
        </is>
      </c>
      <c r="F1553" s="9" t="inlineStr">
        <is>
          <t>Regular</t>
        </is>
      </c>
      <c r="G1553" s="9" t="n">
        <v>5</v>
      </c>
      <c r="H1553" s="21" t="n">
        <v>7.59</v>
      </c>
      <c r="I1553" s="21" t="n">
        <v>179.55</v>
      </c>
      <c r="J1553" s="21" t="n">
        <v>538.66</v>
      </c>
      <c r="K1553" s="21" t="n">
        <v>628.4400000000001</v>
      </c>
      <c r="L1553" s="21" t="n">
        <v>718.22</v>
      </c>
      <c r="M1553" s="21" t="n">
        <v>650</v>
      </c>
    </row>
    <row r="1554">
      <c r="A1554" s="9" t="inlineStr">
        <is>
          <t>NANCY</t>
        </is>
      </c>
      <c r="B1554" s="9" t="inlineStr">
        <is>
          <t>NANCY 03/12/2025</t>
        </is>
      </c>
      <c r="C1554" s="9" t="inlineStr">
        <is>
          <t>2025-12-03</t>
        </is>
      </c>
      <c r="D1554" s="9" t="inlineStr">
        <is>
          <t>66177be17fc51</t>
        </is>
      </c>
      <c r="E1554" s="9" t="inlineStr">
        <is>
          <t>COLLAR CLAVO ROUND GOLD</t>
        </is>
      </c>
      <c r="F1554" s="9" t="inlineStr">
        <is>
          <t>Regular</t>
        </is>
      </c>
      <c r="G1554" s="9" t="n">
        <v>8</v>
      </c>
      <c r="H1554" s="21" t="n">
        <v>0</v>
      </c>
      <c r="I1554" s="21" t="n">
        <v>0</v>
      </c>
      <c r="J1554" s="21" t="n">
        <v>0</v>
      </c>
      <c r="K1554" s="21" t="n">
        <v>0</v>
      </c>
      <c r="L1554" s="21" t="n">
        <v>0</v>
      </c>
      <c r="M1554" s="21" t="n">
        <v>650</v>
      </c>
    </row>
    <row r="1555">
      <c r="A1555" s="9" t="inlineStr">
        <is>
          <t>NANCY</t>
        </is>
      </c>
      <c r="B1555" s="9" t="inlineStr">
        <is>
          <t>NANCY 03/12/2025</t>
        </is>
      </c>
      <c r="C1555" s="9" t="inlineStr">
        <is>
          <t>2025-12-03</t>
        </is>
      </c>
      <c r="D1555" s="9" t="inlineStr">
        <is>
          <t>66177be17fc51</t>
        </is>
      </c>
      <c r="E1555" s="9" t="inlineStr">
        <is>
          <t>COLLAR CLAVO ROUND GOLD</t>
        </is>
      </c>
      <c r="F1555" s="9" t="inlineStr">
        <is>
          <t>Regular</t>
        </is>
      </c>
      <c r="G1555" s="9" t="n">
        <v>1</v>
      </c>
      <c r="H1555" s="21" t="n">
        <v>0</v>
      </c>
      <c r="I1555" s="21" t="n">
        <v>0</v>
      </c>
      <c r="J1555" s="21" t="n">
        <v>0</v>
      </c>
      <c r="K1555" s="21" t="n">
        <v>0</v>
      </c>
      <c r="L1555" s="21" t="n">
        <v>0</v>
      </c>
      <c r="M1555" s="21" t="n">
        <v>650</v>
      </c>
    </row>
    <row r="1556">
      <c r="A1556" s="9" t="inlineStr">
        <is>
          <t>NANCY</t>
        </is>
      </c>
      <c r="B1556" s="9" t="inlineStr">
        <is>
          <t>NANCY 03/12/2025</t>
        </is>
      </c>
      <c r="C1556" s="9" t="inlineStr">
        <is>
          <t>2025-12-03</t>
        </is>
      </c>
      <c r="D1556" s="9" t="inlineStr">
        <is>
          <t>66177be046ec0-1</t>
        </is>
      </c>
      <c r="E1556" s="9" t="inlineStr">
        <is>
          <t>COLLAR CLAVO ROUND ROSEGOLD</t>
        </is>
      </c>
      <c r="F1556" s="9" t="inlineStr">
        <is>
          <t>Regular</t>
        </is>
      </c>
      <c r="G1556" s="9" t="n">
        <v>5</v>
      </c>
      <c r="H1556" s="21" t="n">
        <v>7.59</v>
      </c>
      <c r="I1556" s="21" t="n">
        <v>179.55</v>
      </c>
      <c r="J1556" s="21" t="n">
        <v>538.66</v>
      </c>
      <c r="K1556" s="21" t="n">
        <v>628.4400000000001</v>
      </c>
      <c r="L1556" s="21" t="n">
        <v>718.22</v>
      </c>
      <c r="M1556" s="21" t="n">
        <v>650</v>
      </c>
    </row>
    <row r="1557">
      <c r="A1557" s="9" t="inlineStr">
        <is>
          <t>NANCY</t>
        </is>
      </c>
      <c r="B1557" s="9" t="inlineStr">
        <is>
          <t>NANCY 03/12/2025</t>
        </is>
      </c>
      <c r="C1557" s="9" t="inlineStr">
        <is>
          <t>2025-12-03</t>
        </is>
      </c>
      <c r="D1557" s="9" t="inlineStr">
        <is>
          <t>66177be046ec0-1</t>
        </is>
      </c>
      <c r="E1557" s="9" t="inlineStr">
        <is>
          <t>COLLAR CLAVO ROUND ROSEGOLD</t>
        </is>
      </c>
      <c r="F1557" s="9" t="inlineStr">
        <is>
          <t>Regular</t>
        </is>
      </c>
      <c r="G1557" s="9" t="n">
        <v>3</v>
      </c>
      <c r="H1557" s="21" t="n">
        <v>0</v>
      </c>
      <c r="I1557" s="21" t="n">
        <v>0</v>
      </c>
      <c r="J1557" s="21" t="n">
        <v>0</v>
      </c>
      <c r="K1557" s="21" t="n">
        <v>0</v>
      </c>
      <c r="L1557" s="21" t="n">
        <v>0</v>
      </c>
      <c r="M1557" s="21" t="n">
        <v>650</v>
      </c>
    </row>
    <row r="1558">
      <c r="A1558" s="9" t="inlineStr">
        <is>
          <t>NANCY</t>
        </is>
      </c>
      <c r="B1558" s="9" t="inlineStr">
        <is>
          <t>NANCY 03/12/2025</t>
        </is>
      </c>
      <c r="C1558" s="9" t="inlineStr">
        <is>
          <t>2025-12-03</t>
        </is>
      </c>
      <c r="D1558" s="9" t="inlineStr">
        <is>
          <t>42833577705612</t>
        </is>
      </c>
      <c r="E1558" s="9" t="inlineStr">
        <is>
          <t>COLLAR CLAVO ROUND SILVER</t>
        </is>
      </c>
      <c r="F1558" s="9" t="inlineStr">
        <is>
          <t>Stainless steel</t>
        </is>
      </c>
      <c r="G1558" s="9" t="n">
        <v>6</v>
      </c>
      <c r="H1558" s="21" t="n">
        <v>7.59</v>
      </c>
      <c r="I1558" s="21" t="n">
        <v>179.55</v>
      </c>
      <c r="J1558" s="21" t="n">
        <v>538.66</v>
      </c>
      <c r="K1558" s="21" t="n">
        <v>628.4400000000001</v>
      </c>
      <c r="L1558" s="21" t="n">
        <v>718.22</v>
      </c>
      <c r="M1558" s="21" t="n">
        <v>650</v>
      </c>
    </row>
    <row r="1559">
      <c r="A1559" s="9" t="inlineStr">
        <is>
          <t>NANCY</t>
        </is>
      </c>
      <c r="B1559" s="9" t="inlineStr">
        <is>
          <t>NANCY 03/12/2025</t>
        </is>
      </c>
      <c r="C1559" s="9" t="inlineStr">
        <is>
          <t>2025-12-03</t>
        </is>
      </c>
      <c r="D1559" s="9" t="inlineStr">
        <is>
          <t>42833577705612</t>
        </is>
      </c>
      <c r="E1559" s="9" t="inlineStr">
        <is>
          <t>COLLAR CLAVO ROUND SILVER</t>
        </is>
      </c>
      <c r="F1559" s="9" t="inlineStr">
        <is>
          <t>Stainless steel</t>
        </is>
      </c>
      <c r="G1559" s="9" t="n">
        <v>6</v>
      </c>
      <c r="H1559" s="21" t="n">
        <v>0</v>
      </c>
      <c r="I1559" s="21" t="n">
        <v>0</v>
      </c>
      <c r="J1559" s="21" t="n">
        <v>0</v>
      </c>
      <c r="K1559" s="21" t="n">
        <v>0</v>
      </c>
      <c r="L1559" s="21" t="n">
        <v>0</v>
      </c>
      <c r="M1559" s="21" t="n">
        <v>650</v>
      </c>
    </row>
    <row r="1560">
      <c r="A1560" s="9" t="inlineStr">
        <is>
          <t>NANCY</t>
        </is>
      </c>
      <c r="B1560" s="9" t="inlineStr">
        <is>
          <t>NANCY 03/12/2025</t>
        </is>
      </c>
      <c r="C1560" s="9" t="inlineStr">
        <is>
          <t>2025-12-03</t>
        </is>
      </c>
      <c r="D1560" s="9" t="inlineStr">
        <is>
          <t>9977461071949</t>
        </is>
      </c>
      <c r="E1560" s="9" t="inlineStr">
        <is>
          <t>COLLAR DOBLE PLACA - GOLD PINK</t>
        </is>
      </c>
      <c r="F1560" s="9" t="inlineStr"/>
      <c r="G1560" s="9" t="n">
        <v>1</v>
      </c>
      <c r="H1560" s="21" t="n">
        <v>0</v>
      </c>
      <c r="I1560" s="21" t="n">
        <v>0</v>
      </c>
      <c r="J1560" s="21" t="n">
        <v>0</v>
      </c>
      <c r="K1560" s="21" t="n">
        <v>0</v>
      </c>
      <c r="L1560" s="21" t="n">
        <v>0</v>
      </c>
      <c r="M1560" s="21" t="n"/>
    </row>
    <row r="1561">
      <c r="A1561" s="9" t="inlineStr">
        <is>
          <t>NANCY</t>
        </is>
      </c>
      <c r="B1561" s="9" t="inlineStr">
        <is>
          <t>NANCY 03/12/2025</t>
        </is>
      </c>
      <c r="C1561" s="9" t="inlineStr">
        <is>
          <t>2025-12-03</t>
        </is>
      </c>
      <c r="D1561" s="9" t="inlineStr">
        <is>
          <t>43728096383020</t>
        </is>
      </c>
      <c r="E1561" s="9" t="inlineStr">
        <is>
          <t>COLLAR FR GOLD</t>
        </is>
      </c>
      <c r="F1561" s="9" t="inlineStr">
        <is>
          <t>46cm de largo con 5 cm de Extension</t>
        </is>
      </c>
      <c r="G1561" s="9" t="n">
        <v>5</v>
      </c>
      <c r="H1561" s="21" t="n">
        <v>5.59</v>
      </c>
      <c r="I1561" s="21" t="n">
        <v>132.24</v>
      </c>
      <c r="J1561" s="21" t="n">
        <v>396.72</v>
      </c>
      <c r="K1561" s="21" t="n">
        <v>462.84</v>
      </c>
      <c r="L1561" s="21" t="n">
        <v>528.96</v>
      </c>
      <c r="M1561" s="21" t="n">
        <v>599</v>
      </c>
    </row>
    <row r="1562">
      <c r="A1562" s="9" t="inlineStr">
        <is>
          <t>NANCY</t>
        </is>
      </c>
      <c r="B1562" s="9" t="inlineStr">
        <is>
          <t>NANCY 03/12/2025</t>
        </is>
      </c>
      <c r="C1562" s="9" t="inlineStr">
        <is>
          <t>2025-12-03</t>
        </is>
      </c>
      <c r="D1562" s="9" t="inlineStr">
        <is>
          <t>43047205240972</t>
        </is>
      </c>
      <c r="E1562" s="9" t="inlineStr">
        <is>
          <t>COLLAR KNOT GOLD</t>
        </is>
      </c>
      <c r="F1562" s="9" t="inlineStr">
        <is>
          <t>Tamaño del dije: 4.5cm  40cm con extensión de 4cm</t>
        </is>
      </c>
      <c r="G1562" s="9" t="n">
        <v>3</v>
      </c>
      <c r="H1562" s="21" t="n">
        <v>4.99</v>
      </c>
      <c r="I1562" s="21" t="n">
        <v>118.05</v>
      </c>
      <c r="J1562" s="21" t="n">
        <v>354.14</v>
      </c>
      <c r="K1562" s="21" t="n">
        <v>413.16</v>
      </c>
      <c r="L1562" s="21" t="n">
        <v>472.19</v>
      </c>
      <c r="M1562" s="21" t="n">
        <v>550</v>
      </c>
    </row>
    <row r="1563">
      <c r="A1563" s="9" t="inlineStr">
        <is>
          <t>NANCY</t>
        </is>
      </c>
      <c r="B1563" s="9" t="inlineStr">
        <is>
          <t>NANCY 03/12/2025</t>
        </is>
      </c>
      <c r="C1563" s="9" t="inlineStr">
        <is>
          <t>2025-12-03</t>
        </is>
      </c>
      <c r="D1563" s="9" t="inlineStr">
        <is>
          <t>43047205240972</t>
        </is>
      </c>
      <c r="E1563" s="9" t="inlineStr">
        <is>
          <t>COLLAR KNOT GOLD</t>
        </is>
      </c>
      <c r="F1563" s="9" t="inlineStr">
        <is>
          <t>Tamaño del dije: 4.5cm  40cm con extensión de 4cm</t>
        </is>
      </c>
      <c r="G1563" s="9" t="n">
        <v>1</v>
      </c>
      <c r="H1563" s="21" t="n">
        <v>0</v>
      </c>
      <c r="I1563" s="21" t="n">
        <v>0</v>
      </c>
      <c r="J1563" s="21" t="n">
        <v>0</v>
      </c>
      <c r="K1563" s="21" t="n">
        <v>0</v>
      </c>
      <c r="L1563" s="21" t="n">
        <v>0</v>
      </c>
      <c r="M1563" s="21" t="n">
        <v>550</v>
      </c>
    </row>
    <row r="1564">
      <c r="A1564" s="9" t="inlineStr">
        <is>
          <t>NANCY</t>
        </is>
      </c>
      <c r="B1564" s="9" t="inlineStr">
        <is>
          <t>NANCY 03/12/2025</t>
        </is>
      </c>
      <c r="C1564" s="9" t="inlineStr">
        <is>
          <t>2025-12-03</t>
        </is>
      </c>
      <c r="D1564" s="9" t="inlineStr">
        <is>
          <t>64e78caf2dfa6</t>
        </is>
      </c>
      <c r="E1564" s="9" t="inlineStr">
        <is>
          <t>COLLAR LV FLOWER GOLD</t>
        </is>
      </c>
      <c r="F1564" s="9" t="inlineStr">
        <is>
          <t>Default Title</t>
        </is>
      </c>
      <c r="G1564" s="9" t="n">
        <v>2</v>
      </c>
      <c r="H1564" s="21" t="n">
        <v>5.59</v>
      </c>
      <c r="I1564" s="21" t="n">
        <v>132.24</v>
      </c>
      <c r="J1564" s="21" t="n">
        <v>396.72</v>
      </c>
      <c r="K1564" s="21" t="n">
        <v>462.84</v>
      </c>
      <c r="L1564" s="21" t="n">
        <v>528.96</v>
      </c>
      <c r="M1564" s="21" t="n">
        <v>650</v>
      </c>
    </row>
    <row r="1565">
      <c r="A1565" s="9" t="inlineStr">
        <is>
          <t>NANCY</t>
        </is>
      </c>
      <c r="B1565" s="9" t="inlineStr">
        <is>
          <t>NANCY 03/12/2025</t>
        </is>
      </c>
      <c r="C1565" s="9" t="inlineStr">
        <is>
          <t>2025-12-03</t>
        </is>
      </c>
      <c r="D1565" s="9" t="inlineStr">
        <is>
          <t>64e78caeba151</t>
        </is>
      </c>
      <c r="E1565" s="9" t="inlineStr">
        <is>
          <t>COLLAR LV FLOWER ROSE-GOLD</t>
        </is>
      </c>
      <c r="F1565" s="9" t="inlineStr">
        <is>
          <t>Default Title</t>
        </is>
      </c>
      <c r="G1565" s="9" t="n">
        <v>5</v>
      </c>
      <c r="H1565" s="21" t="n">
        <v>5.59</v>
      </c>
      <c r="I1565" s="21" t="n">
        <v>132.24</v>
      </c>
      <c r="J1565" s="21" t="n">
        <v>396.72</v>
      </c>
      <c r="K1565" s="21" t="n">
        <v>462.84</v>
      </c>
      <c r="L1565" s="21" t="n">
        <v>528.96</v>
      </c>
      <c r="M1565" s="21" t="n">
        <v>650</v>
      </c>
    </row>
    <row r="1566">
      <c r="A1566" s="9" t="inlineStr">
        <is>
          <t>NANCY</t>
        </is>
      </c>
      <c r="B1566" s="9" t="inlineStr">
        <is>
          <t>NANCY 03/12/2025</t>
        </is>
      </c>
      <c r="C1566" s="9" t="inlineStr">
        <is>
          <t>2025-12-03</t>
        </is>
      </c>
      <c r="D1566" s="9" t="inlineStr">
        <is>
          <t>42981966872716</t>
        </is>
      </c>
      <c r="E1566" s="9" t="inlineStr">
        <is>
          <t>COLLAR POP H GOLD BLACK</t>
        </is>
      </c>
      <c r="F1566" s="9" t="inlineStr">
        <is>
          <t>MEDIUM QUALITY</t>
        </is>
      </c>
      <c r="G1566" s="9" t="n">
        <v>3</v>
      </c>
      <c r="H1566" s="21" t="n">
        <v>3.99</v>
      </c>
      <c r="I1566" s="21" t="n">
        <v>94.39</v>
      </c>
      <c r="J1566" s="21" t="n">
        <v>283.17</v>
      </c>
      <c r="K1566" s="21" t="n">
        <v>330.37</v>
      </c>
      <c r="L1566" s="21" t="n">
        <v>377.56</v>
      </c>
      <c r="M1566" s="21" t="n">
        <v>499</v>
      </c>
    </row>
    <row r="1567">
      <c r="A1567" s="9" t="inlineStr">
        <is>
          <t>NANCY</t>
        </is>
      </c>
      <c r="B1567" s="9" t="inlineStr">
        <is>
          <t>NANCY 03/12/2025</t>
        </is>
      </c>
      <c r="C1567" s="9" t="inlineStr">
        <is>
          <t>2025-12-03</t>
        </is>
      </c>
      <c r="D1567" s="9" t="inlineStr">
        <is>
          <t>42981971361932</t>
        </is>
      </c>
      <c r="E1567" s="9" t="inlineStr">
        <is>
          <t>COLLAR POP H ROSEGOLD WHITE</t>
        </is>
      </c>
      <c r="F1567" s="9" t="inlineStr">
        <is>
          <t>largo de Cadena 49cm  1.5cm de dije</t>
        </is>
      </c>
      <c r="G1567" s="9" t="n">
        <v>2</v>
      </c>
      <c r="H1567" s="21" t="n">
        <v>3.99</v>
      </c>
      <c r="I1567" s="21" t="n">
        <v>94.39</v>
      </c>
      <c r="J1567" s="21" t="n">
        <v>283.17</v>
      </c>
      <c r="K1567" s="21" t="n">
        <v>330.37</v>
      </c>
      <c r="L1567" s="21" t="n">
        <v>377.56</v>
      </c>
      <c r="M1567" s="21" t="n">
        <v>399</v>
      </c>
    </row>
    <row r="1568">
      <c r="A1568" s="9" t="inlineStr">
        <is>
          <t>NANCY</t>
        </is>
      </c>
      <c r="B1568" s="9" t="inlineStr">
        <is>
          <t>NANCY 03/12/2025</t>
        </is>
      </c>
      <c r="C1568" s="9" t="inlineStr">
        <is>
          <t>2025-12-03</t>
        </is>
      </c>
      <c r="D1568" s="9" t="inlineStr">
        <is>
          <t>42981971361932</t>
        </is>
      </c>
      <c r="E1568" s="9" t="inlineStr">
        <is>
          <t>COLLAR POP H ROSEGOLD WHITE</t>
        </is>
      </c>
      <c r="F1568" s="9" t="inlineStr">
        <is>
          <t>largo de Cadena 49cm  1.5cm de dije</t>
        </is>
      </c>
      <c r="G1568" s="9" t="n">
        <v>2</v>
      </c>
      <c r="H1568" s="21" t="n">
        <v>0</v>
      </c>
      <c r="I1568" s="21" t="n">
        <v>0</v>
      </c>
      <c r="J1568" s="21" t="n">
        <v>0</v>
      </c>
      <c r="K1568" s="21" t="n">
        <v>0</v>
      </c>
      <c r="L1568" s="21" t="n">
        <v>0</v>
      </c>
      <c r="M1568" s="21" t="n">
        <v>399</v>
      </c>
    </row>
    <row r="1569">
      <c r="A1569" s="9" t="inlineStr">
        <is>
          <t>NANCY</t>
        </is>
      </c>
      <c r="B1569" s="9" t="inlineStr">
        <is>
          <t>NANCY 03/12/2025</t>
        </is>
      </c>
      <c r="C1569" s="9" t="inlineStr">
        <is>
          <t>2025-12-03</t>
        </is>
      </c>
      <c r="D1569" s="9" t="inlineStr">
        <is>
          <t>42981964578956</t>
        </is>
      </c>
      <c r="E1569" s="9" t="inlineStr">
        <is>
          <t>COLLAR POP H SILVER BLACK</t>
        </is>
      </c>
      <c r="F1569" s="9" t="inlineStr">
        <is>
          <t>MEDIUM QUALITY</t>
        </is>
      </c>
      <c r="G1569" s="9" t="n">
        <v>1</v>
      </c>
      <c r="H1569" s="21" t="n">
        <v>3.99</v>
      </c>
      <c r="I1569" s="21" t="n">
        <v>94.39</v>
      </c>
      <c r="J1569" s="21" t="n">
        <v>283.17</v>
      </c>
      <c r="K1569" s="21" t="n">
        <v>330.37</v>
      </c>
      <c r="L1569" s="21" t="n">
        <v>377.56</v>
      </c>
      <c r="M1569" s="21" t="n">
        <v>499</v>
      </c>
    </row>
    <row r="1570">
      <c r="A1570" s="9" t="inlineStr">
        <is>
          <t>NANCY</t>
        </is>
      </c>
      <c r="B1570" s="9" t="inlineStr">
        <is>
          <t>NANCY 03/12/2025</t>
        </is>
      </c>
      <c r="C1570" s="9" t="inlineStr">
        <is>
          <t>2025-12-03</t>
        </is>
      </c>
      <c r="D1570" s="9" t="inlineStr">
        <is>
          <t>66178423967c9</t>
        </is>
      </c>
      <c r="E1570" s="9" t="inlineStr">
        <is>
          <t>COLLAR SERPENTI CON ZIRCONIA</t>
        </is>
      </c>
      <c r="F1570" s="9" t="inlineStr">
        <is>
          <t>46cm</t>
        </is>
      </c>
      <c r="G1570" s="9" t="n">
        <v>1</v>
      </c>
      <c r="H1570" s="21" t="n">
        <v>19.99</v>
      </c>
      <c r="I1570" s="21" t="n">
        <v>472.9</v>
      </c>
      <c r="J1570" s="21" t="n">
        <v>1418.69</v>
      </c>
      <c r="K1570" s="21" t="n">
        <v>1655.14</v>
      </c>
      <c r="L1570" s="21" t="n">
        <v>1891.59</v>
      </c>
      <c r="M1570" s="21" t="n">
        <v>2650</v>
      </c>
    </row>
    <row r="1571">
      <c r="A1571" s="9" t="inlineStr">
        <is>
          <t>NANCY</t>
        </is>
      </c>
      <c r="B1571" s="9" t="inlineStr">
        <is>
          <t>NANCY 03/12/2025</t>
        </is>
      </c>
      <c r="C1571" s="9" t="inlineStr">
        <is>
          <t>2025-12-03</t>
        </is>
      </c>
      <c r="D1571" s="9" t="inlineStr">
        <is>
          <t>665bbe4f55773</t>
        </is>
      </c>
      <c r="E1571" s="9" t="inlineStr">
        <is>
          <t>COLLAR SERPENTI SILVER LISO</t>
        </is>
      </c>
      <c r="F1571" s="9" t="inlineStr">
        <is>
          <t>Regular</t>
        </is>
      </c>
      <c r="G1571" s="9" t="n">
        <v>4</v>
      </c>
      <c r="H1571" s="21" t="n">
        <v>17.99</v>
      </c>
      <c r="I1571" s="21" t="n">
        <v>425.58</v>
      </c>
      <c r="J1571" s="21" t="n">
        <v>1276.75</v>
      </c>
      <c r="K1571" s="21" t="n">
        <v>1489.55</v>
      </c>
      <c r="L1571" s="21" t="n">
        <v>1702.34</v>
      </c>
      <c r="M1571" s="21" t="n">
        <v>899</v>
      </c>
    </row>
    <row r="1572">
      <c r="A1572" s="9" t="inlineStr">
        <is>
          <t>NANCY</t>
        </is>
      </c>
      <c r="B1572" s="9" t="inlineStr">
        <is>
          <t>NANCY 03/12/2025</t>
        </is>
      </c>
      <c r="C1572" s="9" t="inlineStr">
        <is>
          <t>2025-12-03</t>
        </is>
      </c>
      <c r="D1572" s="9" t="inlineStr">
        <is>
          <t>81836201485581</t>
        </is>
      </c>
      <c r="E1572" s="9" t="inlineStr">
        <is>
          <t>COLLAR TRES AROS</t>
        </is>
      </c>
      <c r="F1572" s="9" t="inlineStr">
        <is>
          <t>45cm middle quality</t>
        </is>
      </c>
      <c r="G1572" s="9" t="n">
        <v>2</v>
      </c>
      <c r="H1572" s="21" t="n">
        <v>7.39</v>
      </c>
      <c r="I1572" s="21" t="n">
        <v>174.82</v>
      </c>
      <c r="J1572" s="21" t="n">
        <v>524.47</v>
      </c>
      <c r="K1572" s="21" t="n">
        <v>611.88</v>
      </c>
      <c r="L1572" s="21" t="n">
        <v>699.29</v>
      </c>
      <c r="M1572" s="21" t="n">
        <v>529.9400000000001</v>
      </c>
    </row>
    <row r="1573">
      <c r="A1573" s="9" t="inlineStr">
        <is>
          <t>NANCY</t>
        </is>
      </c>
      <c r="B1573" s="9" t="inlineStr">
        <is>
          <t>NANCY 03/12/2025</t>
        </is>
      </c>
      <c r="C1573" s="9" t="inlineStr">
        <is>
          <t>2025-12-03</t>
        </is>
      </c>
      <c r="D1573" s="9" t="inlineStr">
        <is>
          <t>63ebdc0092a53</t>
        </is>
      </c>
      <c r="E1573" s="9" t="inlineStr">
        <is>
          <t>GARGANTILLA TRÉBOL GOLD</t>
        </is>
      </c>
      <c r="F1573" s="9" t="inlineStr">
        <is>
          <t>47cm</t>
        </is>
      </c>
      <c r="G1573" s="9" t="n">
        <v>4</v>
      </c>
      <c r="H1573" s="21" t="n">
        <v>16.59</v>
      </c>
      <c r="I1573" s="21" t="n">
        <v>392.47</v>
      </c>
      <c r="J1573" s="21" t="n">
        <v>1177.4</v>
      </c>
      <c r="K1573" s="21" t="n">
        <v>1373.63</v>
      </c>
      <c r="L1573" s="21" t="n">
        <v>1569.86</v>
      </c>
      <c r="M1573" s="21" t="n">
        <v>1850</v>
      </c>
    </row>
    <row r="1574">
      <c r="A1574" s="9" t="inlineStr">
        <is>
          <t>NANCY</t>
        </is>
      </c>
      <c r="B1574" s="9" t="inlineStr">
        <is>
          <t>NANCY 03/12/2025</t>
        </is>
      </c>
      <c r="C1574" s="9" t="inlineStr">
        <is>
          <t>2025-12-03</t>
        </is>
      </c>
      <c r="D1574" s="9" t="inlineStr">
        <is>
          <t>63e0c0e63c828</t>
        </is>
      </c>
      <c r="E1574" s="9" t="inlineStr">
        <is>
          <t>PULSERA CLAVO DELGADA ROSE GOLD CON ZIRCONIA</t>
        </is>
      </c>
      <c r="F1574" s="9" t="inlineStr">
        <is>
          <t>17cm</t>
        </is>
      </c>
      <c r="G1574" s="9" t="n">
        <v>3</v>
      </c>
      <c r="H1574" s="21" t="n">
        <v>3.99</v>
      </c>
      <c r="I1574" s="21" t="n">
        <v>94.39</v>
      </c>
      <c r="J1574" s="21" t="n">
        <v>283.17</v>
      </c>
      <c r="K1574" s="21" t="n">
        <v>330.37</v>
      </c>
      <c r="L1574" s="21" t="n">
        <v>377.56</v>
      </c>
      <c r="M1574" s="21" t="n">
        <v>480</v>
      </c>
    </row>
    <row r="1575">
      <c r="A1575" s="9" t="inlineStr">
        <is>
          <t>NANCY</t>
        </is>
      </c>
      <c r="B1575" s="9" t="inlineStr">
        <is>
          <t>NANCY 03/12/2025</t>
        </is>
      </c>
      <c r="C1575" s="9" t="inlineStr">
        <is>
          <t>2025-12-03</t>
        </is>
      </c>
      <c r="D1575" s="9" t="inlineStr">
        <is>
          <t>63e0c0ed991c0</t>
        </is>
      </c>
      <c r="E1575" s="9" t="inlineStr">
        <is>
          <t>PULSERA CLAVO GOLD</t>
        </is>
      </c>
      <c r="F1575" s="9" t="inlineStr">
        <is>
          <t>17 cm</t>
        </is>
      </c>
      <c r="G1575" s="9" t="n">
        <v>22</v>
      </c>
      <c r="H1575" s="21" t="n">
        <v>2.99</v>
      </c>
      <c r="I1575" s="21" t="n">
        <v>70.73</v>
      </c>
      <c r="J1575" s="21" t="n">
        <v>212.2</v>
      </c>
      <c r="K1575" s="21" t="n">
        <v>247.57</v>
      </c>
      <c r="L1575" s="21" t="n">
        <v>282.93</v>
      </c>
      <c r="M1575" s="21" t="n">
        <v>450</v>
      </c>
    </row>
    <row r="1576">
      <c r="A1576" s="9" t="inlineStr">
        <is>
          <t>NANCY</t>
        </is>
      </c>
      <c r="B1576" s="9" t="inlineStr">
        <is>
          <t>NANCY 03/12/2025</t>
        </is>
      </c>
      <c r="C1576" s="9" t="inlineStr">
        <is>
          <t>2025-12-03</t>
        </is>
      </c>
      <c r="D1576" s="9" t="inlineStr">
        <is>
          <t>63e0c0f1b69e8</t>
        </is>
      </c>
      <c r="E1576" s="9" t="inlineStr">
        <is>
          <t>PULSERA CLAVO GOLD CON ZIRCONIA</t>
        </is>
      </c>
      <c r="F1576" s="9" t="inlineStr">
        <is>
          <t>17cm</t>
        </is>
      </c>
      <c r="G1576" s="9" t="n">
        <v>15</v>
      </c>
      <c r="H1576" s="21" t="n">
        <v>3.99</v>
      </c>
      <c r="I1576" s="21" t="n">
        <v>94.39</v>
      </c>
      <c r="J1576" s="21" t="n">
        <v>283.17</v>
      </c>
      <c r="K1576" s="21" t="n">
        <v>330.37</v>
      </c>
      <c r="L1576" s="21" t="n">
        <v>377.56</v>
      </c>
      <c r="M1576" s="21" t="n">
        <v>450</v>
      </c>
    </row>
    <row r="1577">
      <c r="A1577" s="9" t="inlineStr">
        <is>
          <t>NANCY</t>
        </is>
      </c>
      <c r="B1577" s="9" t="inlineStr">
        <is>
          <t>NANCY 03/12/2025</t>
        </is>
      </c>
      <c r="C1577" s="9" t="inlineStr">
        <is>
          <t>2025-12-03</t>
        </is>
      </c>
      <c r="D1577" s="9" t="inlineStr">
        <is>
          <t>63e0c0f1b69e8</t>
        </is>
      </c>
      <c r="E1577" s="9" t="inlineStr">
        <is>
          <t>PULSERA CLAVO GOLD CON ZIRCONIA</t>
        </is>
      </c>
      <c r="F1577" s="9" t="inlineStr">
        <is>
          <t>17cm</t>
        </is>
      </c>
      <c r="G1577" s="9" t="n">
        <v>1</v>
      </c>
      <c r="H1577" s="21" t="n">
        <v>0</v>
      </c>
      <c r="I1577" s="21" t="n">
        <v>0</v>
      </c>
      <c r="J1577" s="21" t="n">
        <v>0</v>
      </c>
      <c r="K1577" s="21" t="n">
        <v>0</v>
      </c>
      <c r="L1577" s="21" t="n">
        <v>0</v>
      </c>
      <c r="M1577" s="21" t="n">
        <v>450</v>
      </c>
    </row>
    <row r="1578">
      <c r="A1578" s="9" t="inlineStr">
        <is>
          <t>NANCY</t>
        </is>
      </c>
      <c r="B1578" s="9" t="inlineStr">
        <is>
          <t>NANCY 03/12/2025</t>
        </is>
      </c>
      <c r="C1578" s="9" t="inlineStr">
        <is>
          <t>2025-12-03</t>
        </is>
      </c>
      <c r="D1578" s="9" t="inlineStr">
        <is>
          <t>63e0c0e97703d</t>
        </is>
      </c>
      <c r="E1578" s="9" t="inlineStr">
        <is>
          <t>PULSERA CLAVO GOLD DELGADA</t>
        </is>
      </c>
      <c r="F1578" s="9" t="inlineStr">
        <is>
          <t>16cm</t>
        </is>
      </c>
      <c r="G1578" s="9" t="n">
        <v>5</v>
      </c>
      <c r="H1578" s="21" t="n">
        <v>2.99</v>
      </c>
      <c r="I1578" s="21" t="n">
        <v>70.73</v>
      </c>
      <c r="J1578" s="21" t="n">
        <v>212.2</v>
      </c>
      <c r="K1578" s="21" t="n">
        <v>247.57</v>
      </c>
      <c r="L1578" s="21" t="n">
        <v>282.93</v>
      </c>
      <c r="M1578" s="21" t="n">
        <v>550</v>
      </c>
    </row>
    <row r="1579">
      <c r="A1579" s="9" t="inlineStr">
        <is>
          <t>NANCY</t>
        </is>
      </c>
      <c r="B1579" s="9" t="inlineStr">
        <is>
          <t>NANCY 03/12/2025</t>
        </is>
      </c>
      <c r="C1579" s="9" t="inlineStr">
        <is>
          <t>2025-12-03</t>
        </is>
      </c>
      <c r="D1579" s="9" t="inlineStr">
        <is>
          <t>82224432971117</t>
        </is>
      </c>
      <c r="E1579" s="9" t="inlineStr">
        <is>
          <t>PULSERA CLAVO JUST UN CLOU ZIRCONIA ROSEGOLD</t>
        </is>
      </c>
      <c r="F1579" s="9" t="inlineStr">
        <is>
          <t>17 cm</t>
        </is>
      </c>
      <c r="G1579" s="9" t="n">
        <v>3</v>
      </c>
      <c r="H1579" s="21" t="n">
        <v>3.99</v>
      </c>
      <c r="I1579" s="21" t="n">
        <v>94.39</v>
      </c>
      <c r="J1579" s="21" t="n">
        <v>283.17</v>
      </c>
      <c r="K1579" s="21" t="n">
        <v>330.37</v>
      </c>
      <c r="L1579" s="21" t="n">
        <v>377.56</v>
      </c>
      <c r="M1579" s="21" t="n">
        <v>430</v>
      </c>
    </row>
    <row r="1580">
      <c r="A1580" s="9" t="inlineStr">
        <is>
          <t>NANCY</t>
        </is>
      </c>
      <c r="B1580" s="9" t="inlineStr">
        <is>
          <t>NANCY 03/12/2025</t>
        </is>
      </c>
      <c r="C1580" s="9" t="inlineStr">
        <is>
          <t>2025-12-03</t>
        </is>
      </c>
      <c r="D1580" s="9" t="inlineStr">
        <is>
          <t>63e0c2284930d</t>
        </is>
      </c>
      <c r="E1580" s="9" t="inlineStr">
        <is>
          <t>PULSERA CLAVO ROSE GOLD DELGADA</t>
        </is>
      </c>
      <c r="F1580" s="9" t="inlineStr">
        <is>
          <t>17cm</t>
        </is>
      </c>
      <c r="G1580" s="9" t="n">
        <v>15</v>
      </c>
      <c r="H1580" s="21" t="n">
        <v>2.99</v>
      </c>
      <c r="I1580" s="21" t="n">
        <v>70.73</v>
      </c>
      <c r="J1580" s="21" t="n">
        <v>212.2</v>
      </c>
      <c r="K1580" s="21" t="n">
        <v>247.57</v>
      </c>
      <c r="L1580" s="21" t="n">
        <v>282.93</v>
      </c>
      <c r="M1580" s="21" t="n">
        <v>480</v>
      </c>
    </row>
    <row r="1581">
      <c r="A1581" s="9" t="inlineStr">
        <is>
          <t>NANCY</t>
        </is>
      </c>
      <c r="B1581" s="9" t="inlineStr">
        <is>
          <t>NANCY 03/12/2025</t>
        </is>
      </c>
      <c r="C1581" s="9" t="inlineStr">
        <is>
          <t>2025-12-03</t>
        </is>
      </c>
      <c r="D1581" s="9" t="inlineStr">
        <is>
          <t>661770f08cba3</t>
        </is>
      </c>
      <c r="E1581" s="9" t="inlineStr">
        <is>
          <t>PULSERA CLAVO SILVER</t>
        </is>
      </c>
      <c r="F1581" s="9" t="inlineStr">
        <is>
          <t>17 CM</t>
        </is>
      </c>
      <c r="G1581" s="9" t="n">
        <v>6</v>
      </c>
      <c r="H1581" s="21" t="n">
        <v>2.99</v>
      </c>
      <c r="I1581" s="21" t="n">
        <v>70.73</v>
      </c>
      <c r="J1581" s="21" t="n">
        <v>212.2</v>
      </c>
      <c r="K1581" s="21" t="n">
        <v>247.57</v>
      </c>
      <c r="L1581" s="21" t="n">
        <v>282.93</v>
      </c>
      <c r="M1581" s="21" t="n">
        <v>430</v>
      </c>
    </row>
    <row r="1582">
      <c r="A1582" s="9" t="inlineStr">
        <is>
          <t>NANCY</t>
        </is>
      </c>
      <c r="B1582" s="9" t="inlineStr">
        <is>
          <t>NANCY 03/12/2025</t>
        </is>
      </c>
      <c r="C1582" s="9" t="inlineStr">
        <is>
          <t>2025-12-03</t>
        </is>
      </c>
      <c r="D1582" s="9" t="inlineStr">
        <is>
          <t>661774c19f755</t>
        </is>
      </c>
      <c r="E1582" s="9" t="inlineStr">
        <is>
          <t>PULSERA ECROU ROSEGOLD</t>
        </is>
      </c>
      <c r="F1582" s="9" t="inlineStr">
        <is>
          <t>16cm</t>
        </is>
      </c>
      <c r="G1582" s="9" t="n">
        <v>2</v>
      </c>
      <c r="H1582" s="21" t="n">
        <v>5.39</v>
      </c>
      <c r="I1582" s="21" t="n">
        <v>127.51</v>
      </c>
      <c r="J1582" s="21" t="n">
        <v>382.53</v>
      </c>
      <c r="K1582" s="21" t="n">
        <v>446.28</v>
      </c>
      <c r="L1582" s="21" t="n">
        <v>510.04</v>
      </c>
      <c r="M1582" s="21" t="n">
        <v>479</v>
      </c>
    </row>
    <row r="1583">
      <c r="A1583" s="9" t="inlineStr">
        <is>
          <t>NANCY</t>
        </is>
      </c>
      <c r="B1583" s="9" t="inlineStr">
        <is>
          <t>NANCY 03/12/2025</t>
        </is>
      </c>
      <c r="C1583" s="9" t="inlineStr">
        <is>
          <t>2025-12-03</t>
        </is>
      </c>
      <c r="D1583" s="9" t="inlineStr">
        <is>
          <t>661774c181d21</t>
        </is>
      </c>
      <c r="E1583" s="9" t="inlineStr">
        <is>
          <t>PULSERA ECROU SILVER</t>
        </is>
      </c>
      <c r="F1583" s="9" t="inlineStr">
        <is>
          <t>16cm</t>
        </is>
      </c>
      <c r="G1583" s="9" t="n">
        <v>6</v>
      </c>
      <c r="H1583" s="21" t="n">
        <v>5.39</v>
      </c>
      <c r="I1583" s="21" t="n">
        <v>127.51</v>
      </c>
      <c r="J1583" s="21" t="n">
        <v>382.53</v>
      </c>
      <c r="K1583" s="21" t="n">
        <v>446.28</v>
      </c>
      <c r="L1583" s="21" t="n">
        <v>510.04</v>
      </c>
      <c r="M1583" s="21" t="n">
        <v>499</v>
      </c>
    </row>
    <row r="1584">
      <c r="A1584" s="9" t="inlineStr">
        <is>
          <t>NANCY</t>
        </is>
      </c>
      <c r="B1584" s="9" t="inlineStr">
        <is>
          <t>NANCY 03/12/2025</t>
        </is>
      </c>
      <c r="C1584" s="9" t="inlineStr">
        <is>
          <t>2025-12-03</t>
        </is>
      </c>
      <c r="D1584" s="9" t="inlineStr">
        <is>
          <t>6617744996481</t>
        </is>
      </c>
      <c r="E1584" s="9" t="inlineStr">
        <is>
          <t>PULSERA ONE TRÉBOL GOLD BLACK</t>
        </is>
      </c>
      <c r="F1584" s="9" t="inlineStr">
        <is>
          <t>17cm con extensión de 3cm</t>
        </is>
      </c>
      <c r="G1584" s="9" t="n">
        <v>8</v>
      </c>
      <c r="H1584" s="21" t="n">
        <v>5.59</v>
      </c>
      <c r="I1584" s="21" t="n">
        <v>132.24</v>
      </c>
      <c r="J1584" s="21" t="n">
        <v>396.72</v>
      </c>
      <c r="K1584" s="21" t="n">
        <v>462.84</v>
      </c>
      <c r="L1584" s="21" t="n">
        <v>528.96</v>
      </c>
      <c r="M1584" s="21" t="n">
        <v>450</v>
      </c>
    </row>
    <row r="1585">
      <c r="A1585" s="9" t="inlineStr">
        <is>
          <t>NANCY</t>
        </is>
      </c>
      <c r="B1585" s="9" t="inlineStr">
        <is>
          <t>NANCY 03/12/2025</t>
        </is>
      </c>
      <c r="C1585" s="9" t="inlineStr">
        <is>
          <t>2025-12-03</t>
        </is>
      </c>
      <c r="D1585" s="9" t="inlineStr">
        <is>
          <t>6701d185b1594</t>
        </is>
      </c>
      <c r="E1585" s="9" t="inlineStr">
        <is>
          <t>PULSERA ONE TRÉBOL GOLD GREEN</t>
        </is>
      </c>
      <c r="F1585" s="9" t="inlineStr">
        <is>
          <t>17cm con extensión de 3cm</t>
        </is>
      </c>
      <c r="G1585" s="9" t="n">
        <v>3</v>
      </c>
      <c r="H1585" s="21" t="n">
        <v>5.59</v>
      </c>
      <c r="I1585" s="21" t="n">
        <v>132.24</v>
      </c>
      <c r="J1585" s="21" t="n">
        <v>396.72</v>
      </c>
      <c r="K1585" s="21" t="n">
        <v>462.84</v>
      </c>
      <c r="L1585" s="21" t="n">
        <v>528.96</v>
      </c>
      <c r="M1585" s="21" t="n">
        <v>599</v>
      </c>
    </row>
    <row r="1586">
      <c r="A1586" s="9" t="inlineStr">
        <is>
          <t>NANCY</t>
        </is>
      </c>
      <c r="B1586" s="9" t="inlineStr">
        <is>
          <t>NANCY 03/12/2025</t>
        </is>
      </c>
      <c r="C1586" s="9" t="inlineStr">
        <is>
          <t>2025-12-03</t>
        </is>
      </c>
      <c r="D1586" s="9" t="inlineStr">
        <is>
          <t>6617744c91a0e</t>
        </is>
      </c>
      <c r="E1586" s="9" t="inlineStr">
        <is>
          <t>PULSERA ONE TRÉBOL GOLD WHITE</t>
        </is>
      </c>
      <c r="F1586" s="9" t="inlineStr">
        <is>
          <t>17cm con extensión de 3cm</t>
        </is>
      </c>
      <c r="G1586" s="9" t="n">
        <v>8</v>
      </c>
      <c r="H1586" s="21" t="n">
        <v>5.59</v>
      </c>
      <c r="I1586" s="21" t="n">
        <v>132.24</v>
      </c>
      <c r="J1586" s="21" t="n">
        <v>396.72</v>
      </c>
      <c r="K1586" s="21" t="n">
        <v>462.84</v>
      </c>
      <c r="L1586" s="21" t="n">
        <v>528.96</v>
      </c>
      <c r="M1586" s="21" t="n">
        <v>575</v>
      </c>
    </row>
    <row r="1587">
      <c r="A1587" s="9" t="inlineStr">
        <is>
          <t>NANCY</t>
        </is>
      </c>
      <c r="B1587" s="9" t="inlineStr">
        <is>
          <t>NANCY 03/12/2025</t>
        </is>
      </c>
      <c r="C1587" s="9" t="inlineStr">
        <is>
          <t>2025-12-03</t>
        </is>
      </c>
      <c r="D1587" s="9" t="inlineStr">
        <is>
          <t>6701d185cad9a</t>
        </is>
      </c>
      <c r="E1587" s="9" t="inlineStr">
        <is>
          <t>PULSERA ONE TRÉBOL ROSEGOLD RED</t>
        </is>
      </c>
      <c r="F1587" s="9" t="inlineStr">
        <is>
          <t>Talla 17 con extensión de 3cm</t>
        </is>
      </c>
      <c r="G1587" s="9" t="n">
        <v>2</v>
      </c>
      <c r="H1587" s="21" t="n">
        <v>5.59</v>
      </c>
      <c r="I1587" s="21" t="n">
        <v>132.24</v>
      </c>
      <c r="J1587" s="21" t="n">
        <v>396.72</v>
      </c>
      <c r="K1587" s="21" t="n">
        <v>462.84</v>
      </c>
      <c r="L1587" s="21" t="n">
        <v>528.96</v>
      </c>
      <c r="M1587" s="21" t="n">
        <v>599</v>
      </c>
    </row>
    <row r="1588">
      <c r="A1588" s="9" t="inlineStr">
        <is>
          <t>NANCY</t>
        </is>
      </c>
      <c r="B1588" s="9" t="inlineStr">
        <is>
          <t>NANCY 03/12/2025</t>
        </is>
      </c>
      <c r="C1588" s="9" t="inlineStr">
        <is>
          <t>2025-12-03</t>
        </is>
      </c>
      <c r="D1588" s="9" t="inlineStr">
        <is>
          <t>665bce4e1ec6b</t>
        </is>
      </c>
      <c r="E1588" s="9" t="inlineStr">
        <is>
          <t>PULSERA PERLEÉ GOLD</t>
        </is>
      </c>
      <c r="F1588" s="9" t="inlineStr">
        <is>
          <t>16cm</t>
        </is>
      </c>
      <c r="G1588" s="9" t="n">
        <v>3</v>
      </c>
      <c r="H1588" s="21" t="n">
        <v>10.99</v>
      </c>
      <c r="I1588" s="21" t="n">
        <v>259.99</v>
      </c>
      <c r="J1588" s="21" t="n">
        <v>779.96</v>
      </c>
      <c r="K1588" s="21" t="n">
        <v>909.96</v>
      </c>
      <c r="L1588" s="21" t="n">
        <v>1039.95</v>
      </c>
      <c r="M1588" s="21" t="n">
        <v>950</v>
      </c>
    </row>
    <row r="1589">
      <c r="A1589" s="9" t="inlineStr">
        <is>
          <t>NANCY</t>
        </is>
      </c>
      <c r="B1589" s="9" t="inlineStr">
        <is>
          <t>NANCY 03/12/2025</t>
        </is>
      </c>
      <c r="C1589" s="9" t="inlineStr">
        <is>
          <t>2025-12-03</t>
        </is>
      </c>
      <c r="D1589" s="9" t="inlineStr">
        <is>
          <t>665bce619b90b</t>
        </is>
      </c>
      <c r="E1589" s="9" t="inlineStr">
        <is>
          <t>PULSERA SERPENTI LISA ROSEGOLD</t>
        </is>
      </c>
      <c r="F1589" s="9" t="inlineStr">
        <is>
          <t>18cm</t>
        </is>
      </c>
      <c r="G1589" s="9" t="n">
        <v>1</v>
      </c>
      <c r="H1589" s="21" t="n">
        <v>9.390000000000001</v>
      </c>
      <c r="I1589" s="21" t="n">
        <v>222.14</v>
      </c>
      <c r="J1589" s="21" t="n">
        <v>666.41</v>
      </c>
      <c r="K1589" s="21" t="n">
        <v>777.48</v>
      </c>
      <c r="L1589" s="21" t="n">
        <v>888.55</v>
      </c>
      <c r="M1589" s="21" t="n">
        <v>789</v>
      </c>
    </row>
    <row r="1590">
      <c r="A1590" s="9" t="inlineStr">
        <is>
          <t>NANCY</t>
        </is>
      </c>
      <c r="B1590" s="9" t="inlineStr">
        <is>
          <t>NANCY 03/12/2025</t>
        </is>
      </c>
      <c r="C1590" s="9" t="inlineStr">
        <is>
          <t>2025-12-03</t>
        </is>
      </c>
      <c r="D1590" s="9" t="inlineStr">
        <is>
          <t>665bce65c57fd</t>
        </is>
      </c>
      <c r="E1590" s="9" t="inlineStr">
        <is>
          <t>PULSERA SERPENTI LISA SILVER</t>
        </is>
      </c>
      <c r="F1590" s="9" t="inlineStr">
        <is>
          <t>18cm</t>
        </is>
      </c>
      <c r="G1590" s="9" t="n">
        <v>6</v>
      </c>
      <c r="H1590" s="21" t="n">
        <v>9.390000000000001</v>
      </c>
      <c r="I1590" s="21" t="n">
        <v>222.14</v>
      </c>
      <c r="J1590" s="21" t="n">
        <v>666.41</v>
      </c>
      <c r="K1590" s="21" t="n">
        <v>777.48</v>
      </c>
      <c r="L1590" s="21" t="n">
        <v>888.55</v>
      </c>
      <c r="M1590" s="21" t="n">
        <v>789</v>
      </c>
    </row>
    <row r="1591">
      <c r="A1591" s="9" t="inlineStr">
        <is>
          <t>NANCY</t>
        </is>
      </c>
      <c r="B1591" s="9" t="inlineStr">
        <is>
          <t>NANCY 03/12/2025</t>
        </is>
      </c>
      <c r="C1591" s="9" t="inlineStr">
        <is>
          <t>2025-12-03</t>
        </is>
      </c>
      <c r="D1591" s="9" t="inlineStr">
        <is>
          <t>69645921049005</t>
        </is>
      </c>
      <c r="E1591" s="9" t="inlineStr">
        <is>
          <t>PULSERA YSL GOLD</t>
        </is>
      </c>
      <c r="F1591" s="9" t="inlineStr">
        <is>
          <t>Default Title</t>
        </is>
      </c>
      <c r="G1591" s="9" t="n">
        <v>12</v>
      </c>
      <c r="H1591" s="21" t="n">
        <v>0</v>
      </c>
      <c r="I1591" s="21" t="n">
        <v>0</v>
      </c>
      <c r="J1591" s="21" t="n">
        <v>0</v>
      </c>
      <c r="K1591" s="21" t="n">
        <v>0</v>
      </c>
      <c r="L1591" s="21" t="n">
        <v>0</v>
      </c>
      <c r="M1591" s="21" t="n">
        <v>380</v>
      </c>
    </row>
    <row r="1592">
      <c r="A1592" s="9" t="inlineStr">
        <is>
          <t>NANCY</t>
        </is>
      </c>
      <c r="B1592" s="9" t="inlineStr">
        <is>
          <t>NANCY 03/12/2025</t>
        </is>
      </c>
      <c r="C1592" s="9" t="inlineStr">
        <is>
          <t>2025-12-03</t>
        </is>
      </c>
      <c r="D1592" s="9" t="inlineStr">
        <is>
          <t>42981908742284</t>
        </is>
      </c>
      <c r="E1592" s="9" t="inlineStr">
        <is>
          <t>SET DE COLLAR Y PULSERA CORAZÓN</t>
        </is>
      </c>
      <c r="F1592" s="9" t="inlineStr">
        <is>
          <t>42 cm / 17 cm</t>
        </is>
      </c>
      <c r="G1592" s="9" t="n">
        <v>4</v>
      </c>
      <c r="H1592" s="21" t="n">
        <v>16.98</v>
      </c>
      <c r="I1592" s="21" t="n">
        <v>401.69</v>
      </c>
      <c r="J1592" s="21" t="n">
        <v>1205.07</v>
      </c>
      <c r="K1592" s="21" t="n">
        <v>1405.92</v>
      </c>
      <c r="L1592" s="21" t="n">
        <v>1606.77</v>
      </c>
      <c r="M1592" s="21" t="n">
        <v>1238</v>
      </c>
    </row>
    <row r="1593">
      <c r="A1593" s="9" t="inlineStr">
        <is>
          <t>CYNTHIA</t>
        </is>
      </c>
      <c r="B1593" s="9" t="inlineStr">
        <is>
          <t>CYNTHIA 07/01/2026</t>
        </is>
      </c>
      <c r="C1593" s="9" t="inlineStr">
        <is>
          <t>2026-01-07</t>
        </is>
      </c>
      <c r="D1593" s="9" t="inlineStr">
        <is>
          <t>43047206322316</t>
        </is>
      </c>
      <c r="E1593" s="9" t="inlineStr"/>
      <c r="F1593" s="9" t="inlineStr">
        <is>
          <t>8</t>
        </is>
      </c>
      <c r="G1593" s="9" t="n">
        <v>3</v>
      </c>
      <c r="H1593" s="21" t="n">
        <v>11.8</v>
      </c>
      <c r="I1593" s="21" t="n">
        <v>313.73</v>
      </c>
      <c r="J1593" s="21" t="n">
        <v>941.1900000000001</v>
      </c>
      <c r="K1593" s="21" t="n">
        <v>1098.06</v>
      </c>
      <c r="L1593" s="21" t="n">
        <v>1254.93</v>
      </c>
      <c r="M1593" s="21" t="n">
        <v>1189</v>
      </c>
    </row>
    <row r="1594">
      <c r="A1594" s="9" t="inlineStr">
        <is>
          <t>CYNTHIA</t>
        </is>
      </c>
      <c r="B1594" s="9" t="inlineStr">
        <is>
          <t>CYNTHIA 07/01/2026</t>
        </is>
      </c>
      <c r="C1594" s="9" t="inlineStr">
        <is>
          <t>2026-01-07</t>
        </is>
      </c>
      <c r="D1594" s="9" t="inlineStr">
        <is>
          <t>43047206289548</t>
        </is>
      </c>
      <c r="E1594" s="9" t="inlineStr"/>
      <c r="F1594" s="9" t="inlineStr">
        <is>
          <t>7</t>
        </is>
      </c>
      <c r="G1594" s="9" t="n">
        <v>5</v>
      </c>
      <c r="H1594" s="21" t="n">
        <v>11.8</v>
      </c>
      <c r="I1594" s="21" t="n">
        <v>313.73</v>
      </c>
      <c r="J1594" s="21" t="n">
        <v>941.1900000000001</v>
      </c>
      <c r="K1594" s="21" t="n">
        <v>1098.06</v>
      </c>
      <c r="L1594" s="21" t="n">
        <v>1254.93</v>
      </c>
      <c r="M1594" s="21" t="n">
        <v>1189</v>
      </c>
    </row>
    <row r="1595">
      <c r="A1595" s="9" t="inlineStr">
        <is>
          <t>CYNTHIA</t>
        </is>
      </c>
      <c r="B1595" s="9" t="inlineStr">
        <is>
          <t>CYNTHIA 07/01/2026</t>
        </is>
      </c>
      <c r="C1595" s="9" t="inlineStr">
        <is>
          <t>2026-01-07</t>
        </is>
      </c>
      <c r="D1595" s="9" t="inlineStr">
        <is>
          <t>43047206715532</t>
        </is>
      </c>
      <c r="E1595" s="9" t="inlineStr"/>
      <c r="F1595" s="9" t="inlineStr">
        <is>
          <t>7</t>
        </is>
      </c>
      <c r="G1595" s="9" t="n">
        <v>5</v>
      </c>
      <c r="H1595" s="21" t="n">
        <v>11.8</v>
      </c>
      <c r="I1595" s="21" t="n">
        <v>313.73</v>
      </c>
      <c r="J1595" s="21" t="n">
        <v>941.1900000000001</v>
      </c>
      <c r="K1595" s="21" t="n">
        <v>1098.06</v>
      </c>
      <c r="L1595" s="21" t="n">
        <v>1254.93</v>
      </c>
      <c r="M1595" s="21" t="n">
        <v>1169</v>
      </c>
    </row>
    <row r="1596">
      <c r="A1596" s="9" t="inlineStr">
        <is>
          <t>CYNTHIA</t>
        </is>
      </c>
      <c r="B1596" s="9" t="inlineStr">
        <is>
          <t>CYNTHIA 07/01/2026</t>
        </is>
      </c>
      <c r="C1596" s="9" t="inlineStr">
        <is>
          <t>2026-01-07</t>
        </is>
      </c>
      <c r="D1596" s="9" t="inlineStr">
        <is>
          <t>43047206748300</t>
        </is>
      </c>
      <c r="E1596" s="9" t="inlineStr"/>
      <c r="F1596" s="9" t="inlineStr">
        <is>
          <t>8</t>
        </is>
      </c>
      <c r="G1596" s="9" t="n">
        <v>2</v>
      </c>
      <c r="H1596" s="21" t="n">
        <v>11.8</v>
      </c>
      <c r="I1596" s="21" t="n">
        <v>313.73</v>
      </c>
      <c r="J1596" s="21" t="n">
        <v>941.1900000000001</v>
      </c>
      <c r="K1596" s="21" t="n">
        <v>1098.06</v>
      </c>
      <c r="L1596" s="21" t="n">
        <v>1254.93</v>
      </c>
      <c r="M1596" s="21" t="n">
        <v>1169</v>
      </c>
    </row>
    <row r="1597">
      <c r="A1597" s="9" t="inlineStr">
        <is>
          <t>CYNTHIA</t>
        </is>
      </c>
      <c r="B1597" s="9" t="inlineStr">
        <is>
          <t>CYNTHIA 07/01/2026</t>
        </is>
      </c>
      <c r="C1597" s="9" t="inlineStr">
        <is>
          <t>2026-01-07</t>
        </is>
      </c>
      <c r="D1597" s="9" t="inlineStr">
        <is>
          <t>43047228080268</t>
        </is>
      </c>
      <c r="E1597" s="9" t="inlineStr"/>
      <c r="F1597" s="9" t="inlineStr">
        <is>
          <t>8</t>
        </is>
      </c>
      <c r="G1597" s="9" t="n">
        <v>2</v>
      </c>
      <c r="H1597" s="21" t="n">
        <v>9.800000000000001</v>
      </c>
      <c r="I1597" s="21" t="n">
        <v>260.56</v>
      </c>
      <c r="J1597" s="21" t="n">
        <v>781.67</v>
      </c>
      <c r="K1597" s="21" t="n">
        <v>911.95</v>
      </c>
      <c r="L1597" s="21" t="n">
        <v>1042.23</v>
      </c>
      <c r="M1597" s="21" t="n">
        <v>1039.33</v>
      </c>
    </row>
    <row r="1598">
      <c r="A1598" s="9" t="inlineStr">
        <is>
          <t>CYNTHIA</t>
        </is>
      </c>
      <c r="B1598" s="9" t="inlineStr">
        <is>
          <t>CYNTHIA 07/01/2026</t>
        </is>
      </c>
      <c r="C1598" s="9" t="inlineStr">
        <is>
          <t>2026-01-07</t>
        </is>
      </c>
      <c r="D1598" s="9" t="inlineStr">
        <is>
          <t>38332091186797</t>
        </is>
      </c>
      <c r="E1598" s="9" t="inlineStr"/>
      <c r="F1598" s="9" t="inlineStr">
        <is>
          <t>7</t>
        </is>
      </c>
      <c r="G1598" s="9" t="n">
        <v>2</v>
      </c>
      <c r="H1598" s="21" t="n">
        <v>10.8</v>
      </c>
      <c r="I1598" s="21" t="n">
        <v>287.14</v>
      </c>
      <c r="J1598" s="21" t="n">
        <v>861.4299999999999</v>
      </c>
      <c r="K1598" s="21" t="n">
        <v>1005</v>
      </c>
      <c r="L1598" s="21" t="n">
        <v>1148.58</v>
      </c>
      <c r="M1598" s="21" t="n">
        <v>1149</v>
      </c>
    </row>
    <row r="1599">
      <c r="A1599" s="9" t="inlineStr">
        <is>
          <t>CYNTHIA</t>
        </is>
      </c>
      <c r="B1599" s="9" t="inlineStr">
        <is>
          <t>CYNTHIA 07/01/2026</t>
        </is>
      </c>
      <c r="C1599" s="9" t="inlineStr">
        <is>
          <t>2026-01-07</t>
        </is>
      </c>
      <c r="D1599" s="9" t="inlineStr">
        <is>
          <t>34876761468109</t>
        </is>
      </c>
      <c r="E1599" s="9" t="inlineStr"/>
      <c r="F1599" s="9" t="inlineStr">
        <is>
          <t>7</t>
        </is>
      </c>
      <c r="G1599" s="9" t="n">
        <v>2</v>
      </c>
      <c r="H1599" s="21" t="n">
        <v>8.800000000000001</v>
      </c>
      <c r="I1599" s="21" t="n">
        <v>233.97</v>
      </c>
      <c r="J1599" s="21" t="n">
        <v>701.91</v>
      </c>
      <c r="K1599" s="21" t="n">
        <v>818.89</v>
      </c>
      <c r="L1599" s="21" t="n">
        <v>935.88</v>
      </c>
      <c r="M1599" s="21" t="n">
        <v>915</v>
      </c>
    </row>
    <row r="1600">
      <c r="A1600" s="9" t="inlineStr">
        <is>
          <t>CYNTHIA</t>
        </is>
      </c>
      <c r="B1600" s="9" t="inlineStr">
        <is>
          <t>CYNTHIA 07/01/2026</t>
        </is>
      </c>
      <c r="C1600" s="9" t="inlineStr">
        <is>
          <t>2026-01-07</t>
        </is>
      </c>
      <c r="D1600" s="9" t="inlineStr">
        <is>
          <t>64e78d3bae5c1</t>
        </is>
      </c>
      <c r="E1600" s="9" t="inlineStr"/>
      <c r="F1600" s="9" t="inlineStr"/>
      <c r="G1600" s="9" t="n">
        <v>2</v>
      </c>
      <c r="H1600" s="21" t="n">
        <v>6.8</v>
      </c>
      <c r="I1600" s="21" t="n">
        <v>180.79</v>
      </c>
      <c r="J1600" s="21" t="n">
        <v>542.38</v>
      </c>
      <c r="K1600" s="21" t="n">
        <v>632.78</v>
      </c>
      <c r="L1600" s="21" t="n">
        <v>723.1799999999999</v>
      </c>
      <c r="M1600" s="21" t="n"/>
    </row>
    <row r="1601">
      <c r="A1601" s="9" t="inlineStr">
        <is>
          <t>CYNTHIA</t>
        </is>
      </c>
      <c r="B1601" s="9" t="inlineStr">
        <is>
          <t>CYNTHIA 07/01/2026</t>
        </is>
      </c>
      <c r="C1601" s="9" t="inlineStr">
        <is>
          <t>2026-01-07</t>
        </is>
      </c>
      <c r="D1601" s="9" t="inlineStr">
        <is>
          <t>63e0bd2165d38</t>
        </is>
      </c>
      <c r="E1601" s="9" t="inlineStr"/>
      <c r="F1601" s="9" t="inlineStr">
        <is>
          <t>1cm</t>
        </is>
      </c>
      <c r="G1601" s="9" t="n">
        <v>2</v>
      </c>
      <c r="H1601" s="21" t="n">
        <v>3.3</v>
      </c>
      <c r="I1601" s="21" t="n">
        <v>87.73999999999999</v>
      </c>
      <c r="J1601" s="21" t="n">
        <v>263.22</v>
      </c>
      <c r="K1601" s="21" t="n">
        <v>307.08</v>
      </c>
      <c r="L1601" s="21" t="n">
        <v>350.95</v>
      </c>
      <c r="M1601" s="21" t="n">
        <v>570</v>
      </c>
    </row>
    <row r="1602">
      <c r="A1602" s="9" t="inlineStr">
        <is>
          <t>CYNTHIA</t>
        </is>
      </c>
      <c r="B1602" s="9" t="inlineStr">
        <is>
          <t>CYNTHIA 07/01/2026</t>
        </is>
      </c>
      <c r="C1602" s="9" t="inlineStr">
        <is>
          <t>2026-01-07</t>
        </is>
      </c>
      <c r="D1602" s="9" t="inlineStr">
        <is>
          <t>677c26b82bccf</t>
        </is>
      </c>
      <c r="E1602" s="9" t="inlineStr"/>
      <c r="F1602" s="9" t="inlineStr"/>
      <c r="G1602" s="9" t="n">
        <v>2</v>
      </c>
      <c r="H1602" s="21" t="n">
        <v>8.800000000000001</v>
      </c>
      <c r="I1602" s="21" t="n">
        <v>233.97</v>
      </c>
      <c r="J1602" s="21" t="n">
        <v>701.91</v>
      </c>
      <c r="K1602" s="21" t="n">
        <v>818.89</v>
      </c>
      <c r="L1602" s="21" t="n">
        <v>935.88</v>
      </c>
      <c r="M1602" s="21" t="n"/>
    </row>
    <row r="1603">
      <c r="A1603" s="9" t="inlineStr">
        <is>
          <t>CYNTHIA</t>
        </is>
      </c>
      <c r="B1603" s="9" t="inlineStr">
        <is>
          <t>CYNTHIA 07/01/2026</t>
        </is>
      </c>
      <c r="C1603" s="9" t="inlineStr">
        <is>
          <t>2026-01-07</t>
        </is>
      </c>
      <c r="D1603" s="9" t="inlineStr">
        <is>
          <t>19976221521036</t>
        </is>
      </c>
      <c r="E1603" s="9" t="inlineStr"/>
      <c r="F1603" s="9" t="inlineStr">
        <is>
          <t>HIGH QUALITY</t>
        </is>
      </c>
      <c r="G1603" s="9" t="n">
        <v>1</v>
      </c>
      <c r="H1603" s="21" t="n">
        <v>54</v>
      </c>
      <c r="I1603" s="21" t="n">
        <v>1435.72</v>
      </c>
      <c r="J1603" s="21" t="n">
        <v>4307.16</v>
      </c>
      <c r="K1603" s="21" t="n">
        <v>5025.02</v>
      </c>
      <c r="L1603" s="21" t="n">
        <v>5742.88</v>
      </c>
      <c r="M1603" s="21" t="n">
        <v>5609</v>
      </c>
    </row>
    <row r="1604">
      <c r="A1604" s="9" t="inlineStr">
        <is>
          <t>CYNTHIA</t>
        </is>
      </c>
      <c r="B1604" s="9" t="inlineStr">
        <is>
          <t>CYNTHIA 07/01/2026</t>
        </is>
      </c>
      <c r="C1604" s="9" t="inlineStr">
        <is>
          <t>2026-01-07</t>
        </is>
      </c>
      <c r="D1604" s="9" t="inlineStr">
        <is>
          <t>58120951042445</t>
        </is>
      </c>
      <c r="E1604" s="9" t="inlineStr"/>
      <c r="F1604" s="9" t="inlineStr">
        <is>
          <t>18cm de largo x 15cm de alto x 6cm de ancho</t>
        </is>
      </c>
      <c r="G1604" s="9" t="n">
        <v>8</v>
      </c>
      <c r="H1604" s="21" t="n">
        <v>57</v>
      </c>
      <c r="I1604" s="21" t="n">
        <v>1515.48</v>
      </c>
      <c r="J1604" s="21" t="n">
        <v>4546.45</v>
      </c>
      <c r="K1604" s="21" t="n">
        <v>5304.19</v>
      </c>
      <c r="L1604" s="21" t="n">
        <v>6061.93</v>
      </c>
      <c r="M1604" s="21" t="n">
        <v>5305</v>
      </c>
    </row>
    <row r="1605">
      <c r="A1605" s="9" t="inlineStr">
        <is>
          <t>CYNTHIA</t>
        </is>
      </c>
      <c r="B1605" s="9" t="inlineStr">
        <is>
          <t>CYNTHIA 07/01/2026</t>
        </is>
      </c>
      <c r="C1605" s="9" t="inlineStr">
        <is>
          <t>2026-01-07</t>
        </is>
      </c>
      <c r="D1605" s="9" t="inlineStr">
        <is>
          <t>58120951042445</t>
        </is>
      </c>
      <c r="E1605" s="9" t="inlineStr"/>
      <c r="F1605" s="9" t="inlineStr">
        <is>
          <t>18cm de largo x 15cm de alto x 6cm de ancho</t>
        </is>
      </c>
      <c r="G1605" s="9" t="n">
        <v>2</v>
      </c>
      <c r="H1605" s="21" t="n">
        <v>57</v>
      </c>
      <c r="I1605" s="21" t="n">
        <v>1515.48</v>
      </c>
      <c r="J1605" s="21" t="n">
        <v>4546.45</v>
      </c>
      <c r="K1605" s="21" t="n">
        <v>5304.19</v>
      </c>
      <c r="L1605" s="21" t="n">
        <v>6061.93</v>
      </c>
      <c r="M1605" s="21" t="n">
        <v>5305</v>
      </c>
    </row>
    <row r="1606">
      <c r="A1606" s="9" t="inlineStr">
        <is>
          <t>CYNTHIA</t>
        </is>
      </c>
      <c r="B1606" s="9" t="inlineStr">
        <is>
          <t>CYNTHIA 07/01/2026</t>
        </is>
      </c>
      <c r="C1606" s="9" t="inlineStr">
        <is>
          <t>2026-01-07</t>
        </is>
      </c>
      <c r="D1606" s="9" t="inlineStr">
        <is>
          <t>43728085170668</t>
        </is>
      </c>
      <c r="E1606" s="9" t="inlineStr"/>
      <c r="F1606" s="9" t="inlineStr">
        <is>
          <t>47cm HIGH QUALITY</t>
        </is>
      </c>
      <c r="G1606" s="9" t="n">
        <v>5</v>
      </c>
      <c r="H1606" s="21" t="n">
        <v>11.8</v>
      </c>
      <c r="I1606" s="21" t="n">
        <v>313.73</v>
      </c>
      <c r="J1606" s="21" t="n">
        <v>941.1900000000001</v>
      </c>
      <c r="K1606" s="21" t="n">
        <v>1098.06</v>
      </c>
      <c r="L1606" s="21" t="n">
        <v>1254.93</v>
      </c>
      <c r="M1606" s="21" t="n">
        <v>1149</v>
      </c>
    </row>
    <row r="1607">
      <c r="A1607" s="9" t="inlineStr">
        <is>
          <t>CYNTHIA</t>
        </is>
      </c>
      <c r="B1607" s="9" t="inlineStr">
        <is>
          <t>CYNTHIA 07/01/2026</t>
        </is>
      </c>
      <c r="C1607" s="9" t="inlineStr">
        <is>
          <t>2026-01-07</t>
        </is>
      </c>
      <c r="D1607" s="9" t="inlineStr">
        <is>
          <t>668eee3921529</t>
        </is>
      </c>
      <c r="E1607" s="9" t="inlineStr"/>
      <c r="F1607" s="9" t="inlineStr">
        <is>
          <t>HIGH QUALITY 46cm</t>
        </is>
      </c>
      <c r="G1607" s="9" t="n">
        <v>4</v>
      </c>
      <c r="H1607" s="21" t="n">
        <v>13.8</v>
      </c>
      <c r="I1607" s="21" t="n">
        <v>366.91</v>
      </c>
      <c r="J1607" s="21" t="n">
        <v>1100.72</v>
      </c>
      <c r="K1607" s="21" t="n">
        <v>1284.17</v>
      </c>
      <c r="L1607" s="21" t="n">
        <v>1467.63</v>
      </c>
      <c r="M1607" s="21" t="n">
        <v>1499</v>
      </c>
    </row>
    <row r="1608">
      <c r="A1608" s="9" t="inlineStr">
        <is>
          <t>CYNTHIA</t>
        </is>
      </c>
      <c r="B1608" s="9" t="inlineStr">
        <is>
          <t>CYNTHIA 07/01/2026</t>
        </is>
      </c>
      <c r="C1608" s="9" t="inlineStr">
        <is>
          <t>2026-01-07</t>
        </is>
      </c>
      <c r="D1608" s="9" t="inlineStr">
        <is>
          <t>36002955634060</t>
        </is>
      </c>
      <c r="E1608" s="9" t="inlineStr"/>
      <c r="F1608" s="9" t="inlineStr">
        <is>
          <t>45cm</t>
        </is>
      </c>
      <c r="G1608" s="9" t="n">
        <v>5</v>
      </c>
      <c r="H1608" s="21" t="n">
        <v>12.8</v>
      </c>
      <c r="I1608" s="21" t="n">
        <v>340.32</v>
      </c>
      <c r="J1608" s="21" t="n">
        <v>1020.96</v>
      </c>
      <c r="K1608" s="21" t="n">
        <v>1191.12</v>
      </c>
      <c r="L1608" s="21" t="n">
        <v>1361.28</v>
      </c>
      <c r="M1608" s="21" t="n">
        <v>1099</v>
      </c>
    </row>
    <row r="1609">
      <c r="A1609" s="9" t="inlineStr">
        <is>
          <t>CYNTHIA</t>
        </is>
      </c>
      <c r="B1609" s="9" t="inlineStr">
        <is>
          <t>CYNTHIA 07/01/2026</t>
        </is>
      </c>
      <c r="C1609" s="9" t="inlineStr">
        <is>
          <t>2026-01-07</t>
        </is>
      </c>
      <c r="D1609" s="9" t="inlineStr">
        <is>
          <t>64e78dfc1baee</t>
        </is>
      </c>
      <c r="E1609" s="9" t="inlineStr"/>
      <c r="F1609" s="9" t="inlineStr"/>
      <c r="G1609" s="9" t="n">
        <v>2</v>
      </c>
      <c r="H1609" s="21" t="n">
        <v>11.5</v>
      </c>
      <c r="I1609" s="21" t="n">
        <v>305.76</v>
      </c>
      <c r="J1609" s="21" t="n">
        <v>917.27</v>
      </c>
      <c r="K1609" s="21" t="n">
        <v>1070.14</v>
      </c>
      <c r="L1609" s="21" t="n">
        <v>1223.02</v>
      </c>
      <c r="M1609" s="21" t="n">
        <v>1239</v>
      </c>
    </row>
    <row r="1610">
      <c r="A1610" s="9" t="inlineStr">
        <is>
          <t>CYNTHIA</t>
        </is>
      </c>
      <c r="B1610" s="9" t="inlineStr">
        <is>
          <t>CYNTHIA 07/01/2026</t>
        </is>
      </c>
      <c r="C1610" s="9" t="inlineStr">
        <is>
          <t>2026-01-07</t>
        </is>
      </c>
      <c r="D1610" s="9" t="inlineStr">
        <is>
          <t>668eee4272e66</t>
        </is>
      </c>
      <c r="E1610" s="9" t="inlineStr"/>
      <c r="F1610" s="9" t="inlineStr">
        <is>
          <t>High Quality 20.5cm</t>
        </is>
      </c>
      <c r="G1610" s="9" t="n">
        <v>5</v>
      </c>
      <c r="H1610" s="21" t="n">
        <v>15</v>
      </c>
      <c r="I1610" s="21" t="n">
        <v>398.81</v>
      </c>
      <c r="J1610" s="21" t="n">
        <v>1196.43</v>
      </c>
      <c r="K1610" s="21" t="n">
        <v>1395.84</v>
      </c>
      <c r="L1610" s="21" t="n">
        <v>1595.25</v>
      </c>
      <c r="M1610" s="21" t="n">
        <v>1469</v>
      </c>
    </row>
    <row r="1611">
      <c r="A1611" s="9" t="inlineStr">
        <is>
          <t>CYNTHIA</t>
        </is>
      </c>
      <c r="B1611" s="9" t="inlineStr">
        <is>
          <t>CYNTHIA 07/01/2026</t>
        </is>
      </c>
      <c r="C1611" s="9" t="inlineStr">
        <is>
          <t>2026-01-07</t>
        </is>
      </c>
      <c r="D1611" s="9" t="inlineStr">
        <is>
          <t>668eee4ea136d</t>
        </is>
      </c>
      <c r="E1611" s="9" t="inlineStr"/>
      <c r="F1611" s="9" t="inlineStr">
        <is>
          <t>High Quality 20.5cm</t>
        </is>
      </c>
      <c r="G1611" s="9" t="n">
        <v>3</v>
      </c>
      <c r="H1611" s="21" t="n">
        <v>15</v>
      </c>
      <c r="I1611" s="21" t="n">
        <v>398.81</v>
      </c>
      <c r="J1611" s="21" t="n">
        <v>1196.43</v>
      </c>
      <c r="K1611" s="21" t="n">
        <v>1395.84</v>
      </c>
      <c r="L1611" s="21" t="n">
        <v>1595.25</v>
      </c>
      <c r="M1611" s="21" t="n">
        <v>1469</v>
      </c>
    </row>
    <row r="1612">
      <c r="A1612" s="9" t="inlineStr">
        <is>
          <t>CYNTHIA</t>
        </is>
      </c>
      <c r="B1612" s="9" t="inlineStr">
        <is>
          <t>CYNTHIA 07/01/2026</t>
        </is>
      </c>
      <c r="C1612" s="9" t="inlineStr">
        <is>
          <t>2026-01-07</t>
        </is>
      </c>
      <c r="D1612" s="9" t="inlineStr">
        <is>
          <t>71036872883724</t>
        </is>
      </c>
      <c r="E1612" s="9" t="inlineStr"/>
      <c r="F1612" s="9" t="inlineStr">
        <is>
          <t>20cm</t>
        </is>
      </c>
      <c r="G1612" s="9" t="n">
        <v>1</v>
      </c>
      <c r="H1612" s="21" t="n">
        <v>12.8</v>
      </c>
      <c r="I1612" s="21" t="n">
        <v>340.32</v>
      </c>
      <c r="J1612" s="21" t="n">
        <v>1020.96</v>
      </c>
      <c r="K1612" s="21" t="n">
        <v>1191.12</v>
      </c>
      <c r="L1612" s="21" t="n">
        <v>1361.28</v>
      </c>
      <c r="M1612" s="21" t="n">
        <v>1205</v>
      </c>
    </row>
    <row r="1613">
      <c r="A1613" s="9" t="inlineStr">
        <is>
          <t>CYNTHIA</t>
        </is>
      </c>
      <c r="B1613" s="9" t="inlineStr">
        <is>
          <t>CYNTHIA 07/01/2026</t>
        </is>
      </c>
      <c r="C1613" s="9" t="inlineStr">
        <is>
          <t>2026-01-07</t>
        </is>
      </c>
      <c r="D1613" s="9" t="inlineStr">
        <is>
          <t>81712814361484</t>
        </is>
      </c>
      <c r="E1613" s="9" t="inlineStr"/>
      <c r="F1613" s="9" t="inlineStr">
        <is>
          <t>MEDIUM QUALITY 40/ 25cm</t>
        </is>
      </c>
      <c r="G1613" s="9" t="n">
        <v>2</v>
      </c>
      <c r="H1613" s="21" t="n">
        <v>28</v>
      </c>
      <c r="I1613" s="21" t="n">
        <v>744.45</v>
      </c>
      <c r="J1613" s="21" t="n">
        <v>2233.34</v>
      </c>
      <c r="K1613" s="21" t="n">
        <v>2605.57</v>
      </c>
      <c r="L1613" s="21" t="n">
        <v>2977.79</v>
      </c>
      <c r="M1613" s="21" t="n">
        <v>1999</v>
      </c>
    </row>
    <row r="1614">
      <c r="A1614" s="9" t="inlineStr">
        <is>
          <t>CYNTHIA</t>
        </is>
      </c>
      <c r="B1614" s="9" t="inlineStr">
        <is>
          <t>CYNTHIA 07/01/2026</t>
        </is>
      </c>
      <c r="C1614" s="9" t="inlineStr">
        <is>
          <t>2026-01-07</t>
        </is>
      </c>
      <c r="D1614" s="9" t="inlineStr">
        <is>
          <t>6701d26098e78</t>
        </is>
      </c>
      <c r="E1614" s="9" t="inlineStr"/>
      <c r="F1614" s="9" t="inlineStr">
        <is>
          <t>40 (25cm)</t>
        </is>
      </c>
      <c r="G1614" s="9" t="n">
        <v>3</v>
      </c>
      <c r="H1614" s="21" t="n">
        <v>34</v>
      </c>
      <c r="I1614" s="21" t="n">
        <v>903.97</v>
      </c>
      <c r="J1614" s="21" t="n">
        <v>2711.92</v>
      </c>
      <c r="K1614" s="21" t="n">
        <v>3163.9</v>
      </c>
      <c r="L1614" s="21" t="n">
        <v>3615.89</v>
      </c>
      <c r="M1614" s="21" t="n">
        <v>3649</v>
      </c>
    </row>
    <row r="1615">
      <c r="A1615" s="9" t="inlineStr">
        <is>
          <t>CYNTHIA</t>
        </is>
      </c>
      <c r="B1615" s="9" t="inlineStr">
        <is>
          <t>CYNTHIA 07/01/2026</t>
        </is>
      </c>
      <c r="C1615" s="9" t="inlineStr">
        <is>
          <t>2026-01-07</t>
        </is>
      </c>
      <c r="D1615" s="9" t="inlineStr">
        <is>
          <t>71628204959884</t>
        </is>
      </c>
      <c r="E1615" s="9" t="inlineStr"/>
      <c r="F1615" s="9" t="inlineStr">
        <is>
          <t>38 (24cm)</t>
        </is>
      </c>
      <c r="G1615" s="9" t="n">
        <v>1</v>
      </c>
      <c r="H1615" s="21" t="n">
        <v>34</v>
      </c>
      <c r="I1615" s="21" t="n">
        <v>903.97</v>
      </c>
      <c r="J1615" s="21" t="n">
        <v>2711.92</v>
      </c>
      <c r="K1615" s="21" t="n">
        <v>3163.9</v>
      </c>
      <c r="L1615" s="21" t="n">
        <v>3615.89</v>
      </c>
      <c r="M1615" s="21" t="n">
        <v>3649</v>
      </c>
    </row>
    <row r="1616">
      <c r="A1616" s="9" t="inlineStr">
        <is>
          <t>CYNTHIA</t>
        </is>
      </c>
      <c r="B1616" s="9" t="inlineStr">
        <is>
          <t>CYNTHIA 07/01/2026</t>
        </is>
      </c>
      <c r="C1616" s="9" t="inlineStr">
        <is>
          <t>2026-01-07</t>
        </is>
      </c>
      <c r="D1616" s="9" t="inlineStr">
        <is>
          <t>71628204959884</t>
        </is>
      </c>
      <c r="E1616" s="9" t="inlineStr"/>
      <c r="F1616" s="9" t="inlineStr">
        <is>
          <t>38 (24cm)</t>
        </is>
      </c>
      <c r="G1616" s="9" t="n">
        <v>1</v>
      </c>
      <c r="H1616" s="21" t="n">
        <v>34</v>
      </c>
      <c r="I1616" s="21" t="n">
        <v>903.97</v>
      </c>
      <c r="J1616" s="21" t="n">
        <v>2711.92</v>
      </c>
      <c r="K1616" s="21" t="n">
        <v>3163.9</v>
      </c>
      <c r="L1616" s="21" t="n">
        <v>3615.89</v>
      </c>
      <c r="M1616" s="21" t="n">
        <v>3649</v>
      </c>
    </row>
    <row r="1617">
      <c r="A1617" s="9" t="inlineStr">
        <is>
          <t>CYNTHIA</t>
        </is>
      </c>
      <c r="B1617" s="9" t="inlineStr">
        <is>
          <t>CYNTHIA 07/01/2026</t>
        </is>
      </c>
      <c r="C1617" s="9" t="inlineStr">
        <is>
          <t>2026-01-07</t>
        </is>
      </c>
      <c r="D1617" s="9" t="inlineStr">
        <is>
          <t>6701d25e998f7</t>
        </is>
      </c>
      <c r="E1617" s="9" t="inlineStr"/>
      <c r="F1617" s="9" t="inlineStr">
        <is>
          <t>40 (25cm)</t>
        </is>
      </c>
      <c r="G1617" s="9" t="n">
        <v>1</v>
      </c>
      <c r="H1617" s="21" t="n">
        <v>30</v>
      </c>
      <c r="I1617" s="21" t="n">
        <v>797.62</v>
      </c>
      <c r="J1617" s="21" t="n">
        <v>2392.87</v>
      </c>
      <c r="K1617" s="21" t="n">
        <v>2791.68</v>
      </c>
      <c r="L1617" s="21" t="n">
        <v>3190.49</v>
      </c>
      <c r="M1617" s="21" t="n">
        <v>3189</v>
      </c>
    </row>
    <row r="1618">
      <c r="A1618" s="9" t="inlineStr">
        <is>
          <t>CYNTHIA</t>
        </is>
      </c>
      <c r="B1618" s="9" t="inlineStr">
        <is>
          <t>CYNTHIA 07/01/2026</t>
        </is>
      </c>
      <c r="C1618" s="9" t="inlineStr">
        <is>
          <t>2026-01-07</t>
        </is>
      </c>
      <c r="D1618" s="9" t="inlineStr">
        <is>
          <t>81712806153996</t>
        </is>
      </c>
      <c r="E1618" s="9" t="inlineStr"/>
      <c r="F1618" s="9" t="inlineStr">
        <is>
          <t>40/ 25cm</t>
        </is>
      </c>
      <c r="G1618" s="9" t="n">
        <v>1</v>
      </c>
      <c r="H1618" s="21" t="n">
        <v>28</v>
      </c>
      <c r="I1618" s="21" t="n">
        <v>744.45</v>
      </c>
      <c r="J1618" s="21" t="n">
        <v>2233.34</v>
      </c>
      <c r="K1618" s="21" t="n">
        <v>2605.57</v>
      </c>
      <c r="L1618" s="21" t="n">
        <v>2977.79</v>
      </c>
      <c r="M1618" s="21" t="n">
        <v>2999</v>
      </c>
    </row>
    <row r="1619">
      <c r="A1619" s="9" t="inlineStr">
        <is>
          <t>CYNTHIA</t>
        </is>
      </c>
      <c r="B1619" s="9" t="inlineStr">
        <is>
          <t>CYNTHIA 07/01/2026</t>
        </is>
      </c>
      <c r="C1619" s="9" t="inlineStr">
        <is>
          <t>2026-01-07</t>
        </is>
      </c>
      <c r="D1619" s="9" t="inlineStr">
        <is>
          <t>16572644570636</t>
        </is>
      </c>
      <c r="E1619" s="9" t="inlineStr"/>
      <c r="F1619" s="9" t="inlineStr">
        <is>
          <t>L</t>
        </is>
      </c>
      <c r="G1619" s="9" t="n">
        <v>1</v>
      </c>
      <c r="H1619" s="21" t="n">
        <v>10.8</v>
      </c>
      <c r="I1619" s="21" t="n">
        <v>287.14</v>
      </c>
      <c r="J1619" s="21" t="n">
        <v>861.4299999999999</v>
      </c>
      <c r="K1619" s="21" t="n">
        <v>1005</v>
      </c>
      <c r="L1619" s="21" t="n">
        <v>1148.58</v>
      </c>
      <c r="M1619" s="21" t="n">
        <v>1129</v>
      </c>
    </row>
    <row r="1620">
      <c r="A1620" s="9" t="inlineStr">
        <is>
          <t>CYNTHIA</t>
        </is>
      </c>
      <c r="B1620" s="9" t="inlineStr">
        <is>
          <t>CYNTHIA 07/01/2026</t>
        </is>
      </c>
      <c r="C1620" s="9" t="inlineStr">
        <is>
          <t>2026-01-07</t>
        </is>
      </c>
      <c r="D1620" s="9" t="inlineStr">
        <is>
          <t>35127151093997</t>
        </is>
      </c>
      <c r="E1620" s="9" t="inlineStr"/>
      <c r="F1620" s="9" t="inlineStr">
        <is>
          <t>MEDIUM</t>
        </is>
      </c>
      <c r="G1620" s="9" t="n">
        <v>3</v>
      </c>
      <c r="H1620" s="21" t="n">
        <v>48</v>
      </c>
      <c r="I1620" s="21" t="n">
        <v>1276.2</v>
      </c>
      <c r="J1620" s="21" t="n">
        <v>3828.59</v>
      </c>
      <c r="K1620" s="21" t="n">
        <v>4466.69</v>
      </c>
      <c r="L1620" s="21" t="n">
        <v>5104.79</v>
      </c>
      <c r="M1620" s="21" t="n">
        <v>4599</v>
      </c>
    </row>
    <row r="1621">
      <c r="A1621" s="9" t="inlineStr">
        <is>
          <t>CYNTHIA</t>
        </is>
      </c>
      <c r="B1621" s="9" t="inlineStr">
        <is>
          <t>CYNTHIA 07/01/2026</t>
        </is>
      </c>
      <c r="C1621" s="9" t="inlineStr">
        <is>
          <t>2026-01-07</t>
        </is>
      </c>
      <c r="D1621" s="9" t="inlineStr">
        <is>
          <t>43047206256780</t>
        </is>
      </c>
      <c r="E1621" s="9" t="inlineStr">
        <is>
          <t>ANILLO LOCK GOLD-SILVER CON ZIRCONIAS</t>
        </is>
      </c>
      <c r="F1621" s="9" t="inlineStr">
        <is>
          <t>6</t>
        </is>
      </c>
      <c r="G1621" s="9" t="n">
        <v>2</v>
      </c>
      <c r="H1621" s="21" t="n">
        <v>11.8</v>
      </c>
      <c r="I1621" s="21" t="n">
        <v>313.73</v>
      </c>
      <c r="J1621" s="21" t="n">
        <v>941.1900000000001</v>
      </c>
      <c r="K1621" s="21" t="n">
        <v>1098.06</v>
      </c>
      <c r="L1621" s="21" t="n">
        <v>1254.93</v>
      </c>
      <c r="M1621" s="21" t="n">
        <v>1189</v>
      </c>
    </row>
    <row r="1622">
      <c r="A1622" s="9" t="inlineStr">
        <is>
          <t>CYNTHIA</t>
        </is>
      </c>
      <c r="B1622" s="9" t="inlineStr">
        <is>
          <t>CYNTHIA 07/01/2026</t>
        </is>
      </c>
      <c r="C1622" s="9" t="inlineStr">
        <is>
          <t>2026-01-07</t>
        </is>
      </c>
      <c r="D1622" s="9" t="inlineStr">
        <is>
          <t>43047206682764</t>
        </is>
      </c>
      <c r="E1622" s="9" t="inlineStr">
        <is>
          <t>ANILLO LOCK ROSEGOLD-SILVER CON ZIRCONIAS</t>
        </is>
      </c>
      <c r="F1622" s="9" t="inlineStr">
        <is>
          <t>6</t>
        </is>
      </c>
      <c r="G1622" s="9" t="n">
        <v>3</v>
      </c>
      <c r="H1622" s="21" t="n">
        <v>11.8</v>
      </c>
      <c r="I1622" s="21" t="n">
        <v>313.73</v>
      </c>
      <c r="J1622" s="21" t="n">
        <v>941.1900000000001</v>
      </c>
      <c r="K1622" s="21" t="n">
        <v>1098.06</v>
      </c>
      <c r="L1622" s="21" t="n">
        <v>1254.93</v>
      </c>
      <c r="M1622" s="21" t="n">
        <v>1169</v>
      </c>
    </row>
    <row r="1623">
      <c r="A1623" s="9" t="inlineStr">
        <is>
          <t>CYNTHIA</t>
        </is>
      </c>
      <c r="B1623" s="9" t="inlineStr">
        <is>
          <t>CYNTHIA 07/01/2026</t>
        </is>
      </c>
      <c r="C1623" s="9" t="inlineStr">
        <is>
          <t>2026-01-07</t>
        </is>
      </c>
      <c r="D1623" s="9" t="inlineStr">
        <is>
          <t>43047228014732</t>
        </is>
      </c>
      <c r="E1623" s="9" t="inlineStr">
        <is>
          <t>ANILLO ONE T SILVER CON ZIRCONIA</t>
        </is>
      </c>
      <c r="F1623" s="9" t="inlineStr">
        <is>
          <t>6</t>
        </is>
      </c>
      <c r="G1623" s="9" t="n">
        <v>3</v>
      </c>
      <c r="H1623" s="21" t="n">
        <v>9.800000000000001</v>
      </c>
      <c r="I1623" s="21" t="n">
        <v>260.56</v>
      </c>
      <c r="J1623" s="21" t="n">
        <v>781.67</v>
      </c>
      <c r="K1623" s="21" t="n">
        <v>911.95</v>
      </c>
      <c r="L1623" s="21" t="n">
        <v>1042.23</v>
      </c>
      <c r="M1623" s="21" t="n">
        <v>1039.33</v>
      </c>
    </row>
    <row r="1624">
      <c r="A1624" s="9" t="inlineStr">
        <is>
          <t>CYNTHIA</t>
        </is>
      </c>
      <c r="B1624" s="9" t="inlineStr">
        <is>
          <t>CYNTHIA 07/01/2026</t>
        </is>
      </c>
      <c r="C1624" s="9" t="inlineStr">
        <is>
          <t>2026-01-07</t>
        </is>
      </c>
      <c r="D1624" s="9" t="inlineStr">
        <is>
          <t>43078594756748</t>
        </is>
      </c>
      <c r="E1624" s="9" t="inlineStr">
        <is>
          <t>ANILLO P SHINNY FLOWER</t>
        </is>
      </c>
      <c r="F1624" s="9" t="inlineStr">
        <is>
          <t>7</t>
        </is>
      </c>
      <c r="G1624" s="9" t="n">
        <v>2</v>
      </c>
      <c r="H1624" s="21" t="n">
        <v>2.6</v>
      </c>
      <c r="I1624" s="21" t="n">
        <v>69.13</v>
      </c>
      <c r="J1624" s="21" t="n">
        <v>207.38</v>
      </c>
      <c r="K1624" s="21" t="n">
        <v>241.95</v>
      </c>
      <c r="L1624" s="21" t="n">
        <v>276.51</v>
      </c>
      <c r="M1624" s="21" t="n">
        <v>520</v>
      </c>
    </row>
    <row r="1625">
      <c r="A1625" s="9" t="inlineStr">
        <is>
          <t>CYNTHIA</t>
        </is>
      </c>
      <c r="B1625" s="9" t="inlineStr">
        <is>
          <t>CYNTHIA 07/01/2026</t>
        </is>
      </c>
      <c r="C1625" s="9" t="inlineStr">
        <is>
          <t>2026-01-07</t>
        </is>
      </c>
      <c r="D1625" s="9" t="inlineStr">
        <is>
          <t>38332091054029</t>
        </is>
      </c>
      <c r="E1625" s="9" t="inlineStr">
        <is>
          <t>ANILLO T EDGE SILVER</t>
        </is>
      </c>
      <c r="F1625" s="9" t="inlineStr">
        <is>
          <t>6</t>
        </is>
      </c>
      <c r="G1625" s="9" t="n">
        <v>2</v>
      </c>
      <c r="H1625" s="21" t="n">
        <v>10.8</v>
      </c>
      <c r="I1625" s="21" t="n">
        <v>287.14</v>
      </c>
      <c r="J1625" s="21" t="n">
        <v>861.4299999999999</v>
      </c>
      <c r="K1625" s="21" t="n">
        <v>1005</v>
      </c>
      <c r="L1625" s="21" t="n">
        <v>1148.58</v>
      </c>
      <c r="M1625" s="21" t="n">
        <v>1149</v>
      </c>
    </row>
    <row r="1626">
      <c r="A1626" s="9" t="inlineStr">
        <is>
          <t>CYNTHIA</t>
        </is>
      </c>
      <c r="B1626" s="9" t="inlineStr">
        <is>
          <t>CYNTHIA 07/01/2026</t>
        </is>
      </c>
      <c r="C1626" s="9" t="inlineStr">
        <is>
          <t>2026-01-07</t>
        </is>
      </c>
      <c r="D1626" s="9" t="inlineStr">
        <is>
          <t>34876761335341</t>
        </is>
      </c>
      <c r="E1626" s="9" t="inlineStr">
        <is>
          <t>ANILLO T LOVESTRUCK SILVER-ROSE GOLD</t>
        </is>
      </c>
      <c r="F1626" s="9" t="inlineStr">
        <is>
          <t>6</t>
        </is>
      </c>
      <c r="G1626" s="9" t="n">
        <v>4</v>
      </c>
      <c r="H1626" s="21" t="n">
        <v>8.800000000000001</v>
      </c>
      <c r="I1626" s="21" t="n">
        <v>233.97</v>
      </c>
      <c r="J1626" s="21" t="n">
        <v>701.91</v>
      </c>
      <c r="K1626" s="21" t="n">
        <v>818.89</v>
      </c>
      <c r="L1626" s="21" t="n">
        <v>935.88</v>
      </c>
      <c r="M1626" s="21" t="n">
        <v>915</v>
      </c>
    </row>
    <row r="1627">
      <c r="A1627" s="9" t="inlineStr">
        <is>
          <t>CYNTHIA</t>
        </is>
      </c>
      <c r="B1627" s="9" t="inlineStr">
        <is>
          <t>CYNTHIA 07/01/2026</t>
        </is>
      </c>
      <c r="C1627" s="9" t="inlineStr">
        <is>
          <t>2026-01-07</t>
        </is>
      </c>
      <c r="D1627" s="9" t="inlineStr">
        <is>
          <t>64e78d3baafe7</t>
        </is>
      </c>
      <c r="E1627" s="9" t="inlineStr">
        <is>
          <t>ARETES BLOSSOM STAR ROSE GOLD</t>
        </is>
      </c>
      <c r="F1627" s="9" t="inlineStr">
        <is>
          <t>Default Title</t>
        </is>
      </c>
      <c r="G1627" s="9" t="n">
        <v>2</v>
      </c>
      <c r="H1627" s="21" t="n">
        <v>6.8</v>
      </c>
      <c r="I1627" s="21" t="n">
        <v>180.79</v>
      </c>
      <c r="J1627" s="21" t="n">
        <v>542.38</v>
      </c>
      <c r="K1627" s="21" t="n">
        <v>632.78</v>
      </c>
      <c r="L1627" s="21" t="n">
        <v>723.1799999999999</v>
      </c>
      <c r="M1627" s="21" t="n">
        <v>709</v>
      </c>
    </row>
    <row r="1628">
      <c r="A1628" s="9" t="inlineStr">
        <is>
          <t>CYNTHIA</t>
        </is>
      </c>
      <c r="B1628" s="9" t="inlineStr">
        <is>
          <t>CYNTHIA 07/01/2026</t>
        </is>
      </c>
      <c r="C1628" s="9" t="inlineStr">
        <is>
          <t>2026-01-07</t>
        </is>
      </c>
      <c r="D1628" s="9" t="inlineStr">
        <is>
          <t>64e78d3c1c538</t>
        </is>
      </c>
      <c r="E1628" s="9" t="inlineStr">
        <is>
          <t>ARETES BLOSSOM STAR SILVER</t>
        </is>
      </c>
      <c r="F1628" s="9" t="inlineStr">
        <is>
          <t>Default Title</t>
        </is>
      </c>
      <c r="G1628" s="9" t="n">
        <v>4</v>
      </c>
      <c r="H1628" s="21" t="n">
        <v>6.8</v>
      </c>
      <c r="I1628" s="21" t="n">
        <v>180.79</v>
      </c>
      <c r="J1628" s="21" t="n">
        <v>542.38</v>
      </c>
      <c r="K1628" s="21" t="n">
        <v>632.78</v>
      </c>
      <c r="L1628" s="21" t="n">
        <v>723.1799999999999</v>
      </c>
      <c r="M1628" s="21" t="n">
        <v>709</v>
      </c>
    </row>
    <row r="1629">
      <c r="A1629" s="9" t="inlineStr">
        <is>
          <t>CYNTHIA</t>
        </is>
      </c>
      <c r="B1629" s="9" t="inlineStr">
        <is>
          <t>CYNTHIA 07/01/2026</t>
        </is>
      </c>
      <c r="C1629" s="9" t="inlineStr">
        <is>
          <t>2026-01-07</t>
        </is>
      </c>
      <c r="D1629" s="9" t="inlineStr">
        <is>
          <t>63ebd72976d60</t>
        </is>
      </c>
      <c r="E1629" s="9" t="inlineStr">
        <is>
          <t>ARETES CC ROSE GOLD</t>
        </is>
      </c>
      <c r="F1629" s="9" t="inlineStr">
        <is>
          <t>HIGH QUALITY</t>
        </is>
      </c>
      <c r="G1629" s="9" t="n">
        <v>2</v>
      </c>
      <c r="H1629" s="21" t="n">
        <v>2</v>
      </c>
      <c r="I1629" s="21" t="n">
        <v>53.17</v>
      </c>
      <c r="J1629" s="21" t="n">
        <v>159.52</v>
      </c>
      <c r="K1629" s="21" t="n">
        <v>186.11</v>
      </c>
      <c r="L1629" s="21" t="n">
        <v>212.7</v>
      </c>
      <c r="M1629" s="21" t="n">
        <v>220</v>
      </c>
    </row>
    <row r="1630">
      <c r="A1630" s="9" t="inlineStr">
        <is>
          <t>CYNTHIA</t>
        </is>
      </c>
      <c r="B1630" s="9" t="inlineStr">
        <is>
          <t>CYNTHIA 07/01/2026</t>
        </is>
      </c>
      <c r="C1630" s="9" t="inlineStr">
        <is>
          <t>2026-01-07</t>
        </is>
      </c>
      <c r="D1630" s="9" t="inlineStr">
        <is>
          <t>64e78e725d8db</t>
        </is>
      </c>
      <c r="E1630" s="9" t="inlineStr">
        <is>
          <t>ARETES CD CON PERLA GOLD DR</t>
        </is>
      </c>
      <c r="F1630" s="9" t="inlineStr">
        <is>
          <t>Default Title</t>
        </is>
      </c>
      <c r="G1630" s="9" t="n">
        <v>2</v>
      </c>
      <c r="H1630" s="21" t="n">
        <v>6.08</v>
      </c>
      <c r="I1630" s="21" t="n">
        <v>161.65</v>
      </c>
      <c r="J1630" s="21" t="n">
        <v>484.95</v>
      </c>
      <c r="K1630" s="21" t="n">
        <v>565.78</v>
      </c>
      <c r="L1630" s="21" t="n">
        <v>646.61</v>
      </c>
      <c r="M1630" s="21" t="n">
        <v>650</v>
      </c>
    </row>
    <row r="1631">
      <c r="A1631" s="9" t="inlineStr">
        <is>
          <t>CYNTHIA</t>
        </is>
      </c>
      <c r="B1631" s="9" t="inlineStr">
        <is>
          <t>CYNTHIA 07/01/2026</t>
        </is>
      </c>
      <c r="C1631" s="9" t="inlineStr">
        <is>
          <t>2026-01-07</t>
        </is>
      </c>
      <c r="D1631" s="9" t="inlineStr">
        <is>
          <t>665bb4e678422</t>
        </is>
      </c>
      <c r="E1631" s="9" t="inlineStr">
        <is>
          <t>ARETES CD GOLD</t>
        </is>
      </c>
      <c r="F1631" s="9" t="inlineStr">
        <is>
          <t>Default Title</t>
        </is>
      </c>
      <c r="G1631" s="9" t="n">
        <v>4</v>
      </c>
      <c r="H1631" s="21" t="n">
        <v>7</v>
      </c>
      <c r="I1631" s="21" t="n">
        <v>186.11</v>
      </c>
      <c r="J1631" s="21" t="n">
        <v>558.34</v>
      </c>
      <c r="K1631" s="21" t="n">
        <v>651.39</v>
      </c>
      <c r="L1631" s="21" t="n">
        <v>744.45</v>
      </c>
      <c r="M1631" s="21" t="n">
        <v>745</v>
      </c>
    </row>
    <row r="1632">
      <c r="A1632" s="9" t="inlineStr">
        <is>
          <t>CYNTHIA</t>
        </is>
      </c>
      <c r="B1632" s="9" t="inlineStr">
        <is>
          <t>CYNTHIA 07/01/2026</t>
        </is>
      </c>
      <c r="C1632" s="9" t="inlineStr">
        <is>
          <t>2026-01-07</t>
        </is>
      </c>
      <c r="D1632" s="9" t="inlineStr">
        <is>
          <t>665bd4aee8cb5</t>
        </is>
      </c>
      <c r="E1632" s="9" t="inlineStr">
        <is>
          <t>ARETES CD PERLAS/ ZIRCONIAS</t>
        </is>
      </c>
      <c r="F1632" s="9" t="inlineStr">
        <is>
          <t>Default Title</t>
        </is>
      </c>
      <c r="G1632" s="9" t="n">
        <v>5</v>
      </c>
      <c r="H1632" s="21" t="n">
        <v>8.800000000000001</v>
      </c>
      <c r="I1632" s="21" t="n">
        <v>233.97</v>
      </c>
      <c r="J1632" s="21" t="n">
        <v>701.91</v>
      </c>
      <c r="K1632" s="21" t="n">
        <v>818.89</v>
      </c>
      <c r="L1632" s="21" t="n">
        <v>935.88</v>
      </c>
      <c r="M1632" s="21" t="n">
        <v>850</v>
      </c>
    </row>
    <row r="1633">
      <c r="A1633" s="9" t="inlineStr">
        <is>
          <t>CYNTHIA</t>
        </is>
      </c>
      <c r="B1633" s="9" t="inlineStr">
        <is>
          <t>CYNTHIA 07/01/2026</t>
        </is>
      </c>
      <c r="C1633" s="9" t="inlineStr">
        <is>
          <t>2026-01-07</t>
        </is>
      </c>
      <c r="D1633" s="9" t="inlineStr">
        <is>
          <t>15711172330573</t>
        </is>
      </c>
      <c r="E1633" s="9" t="inlineStr">
        <is>
          <t>ARETES CD PETIT JOLIE GOLD</t>
        </is>
      </c>
      <c r="F1633" s="9" t="inlineStr">
        <is>
          <t>Default Title</t>
        </is>
      </c>
      <c r="G1633" s="9" t="n">
        <v>3</v>
      </c>
      <c r="H1633" s="21" t="n">
        <v>6</v>
      </c>
      <c r="I1633" s="21" t="n">
        <v>159.52</v>
      </c>
      <c r="J1633" s="21" t="n">
        <v>478.57</v>
      </c>
      <c r="K1633" s="21" t="n">
        <v>558.34</v>
      </c>
      <c r="L1633" s="21" t="n">
        <v>638.1</v>
      </c>
      <c r="M1633" s="21" t="n">
        <v>709</v>
      </c>
    </row>
    <row r="1634">
      <c r="A1634" s="9" t="inlineStr">
        <is>
          <t>CYNTHIA</t>
        </is>
      </c>
      <c r="B1634" s="9" t="inlineStr">
        <is>
          <t>CYNTHIA 07/01/2026</t>
        </is>
      </c>
      <c r="C1634" s="9" t="inlineStr">
        <is>
          <t>2026-01-07</t>
        </is>
      </c>
      <c r="D1634" s="9" t="inlineStr">
        <is>
          <t>89633861063789</t>
        </is>
      </c>
      <c r="E1634" s="9" t="inlineStr">
        <is>
          <t>ARETES CD ROUND LOGO CON ZIRCONIAS</t>
        </is>
      </c>
      <c r="F1634" s="9" t="inlineStr">
        <is>
          <t>HIGH QUALITY</t>
        </is>
      </c>
      <c r="G1634" s="9" t="n">
        <v>5</v>
      </c>
      <c r="H1634" s="21" t="n">
        <v>7</v>
      </c>
      <c r="I1634" s="21" t="n">
        <v>186.11</v>
      </c>
      <c r="J1634" s="21" t="n">
        <v>558.34</v>
      </c>
      <c r="K1634" s="21" t="n">
        <v>651.39</v>
      </c>
      <c r="L1634" s="21" t="n">
        <v>744.45</v>
      </c>
      <c r="M1634" s="21" t="n">
        <v>749</v>
      </c>
    </row>
    <row r="1635">
      <c r="A1635" s="9" t="inlineStr">
        <is>
          <t>CYNTHIA</t>
        </is>
      </c>
      <c r="B1635" s="9" t="inlineStr">
        <is>
          <t>CYNTHIA 07/01/2026</t>
        </is>
      </c>
      <c r="C1635" s="9" t="inlineStr">
        <is>
          <t>2026-01-07</t>
        </is>
      </c>
      <c r="D1635" s="9" t="inlineStr">
        <is>
          <t>17235661006529</t>
        </is>
      </c>
      <c r="E1635" s="9" t="inlineStr">
        <is>
          <t>ARETES CD TRIBALES</t>
        </is>
      </c>
      <c r="F1635" s="9" t="inlineStr">
        <is>
          <t>Default Title</t>
        </is>
      </c>
      <c r="G1635" s="9" t="n">
        <v>2</v>
      </c>
      <c r="H1635" s="21" t="n">
        <v>8.800000000000001</v>
      </c>
      <c r="I1635" s="21" t="n">
        <v>233.97</v>
      </c>
      <c r="J1635" s="21" t="n">
        <v>701.91</v>
      </c>
      <c r="K1635" s="21" t="n">
        <v>818.89</v>
      </c>
      <c r="L1635" s="21" t="n">
        <v>935.88</v>
      </c>
      <c r="M1635" s="21" t="n">
        <v>935</v>
      </c>
    </row>
    <row r="1636">
      <c r="A1636" s="9" t="inlineStr">
        <is>
          <t>CYNTHIA</t>
        </is>
      </c>
      <c r="B1636" s="9" t="inlineStr">
        <is>
          <t>CYNTHIA 07/01/2026</t>
        </is>
      </c>
      <c r="C1636" s="9" t="inlineStr">
        <is>
          <t>2026-01-07</t>
        </is>
      </c>
      <c r="D1636" s="9" t="inlineStr">
        <is>
          <t>43047196360844</t>
        </is>
      </c>
      <c r="E1636" s="9" t="inlineStr">
        <is>
          <t>ARETES CORAZÓN GRABADO SILVER</t>
        </is>
      </c>
      <c r="F1636" s="9" t="inlineStr">
        <is>
          <t>Default Title</t>
        </is>
      </c>
      <c r="G1636" s="9" t="n">
        <v>4</v>
      </c>
      <c r="H1636" s="21" t="n">
        <v>5.88</v>
      </c>
      <c r="I1636" s="21" t="n">
        <v>156.33</v>
      </c>
      <c r="J1636" s="21" t="n">
        <v>469</v>
      </c>
      <c r="K1636" s="21" t="n">
        <v>547.17</v>
      </c>
      <c r="L1636" s="21" t="n">
        <v>625.34</v>
      </c>
      <c r="M1636" s="21" t="n">
        <v>550</v>
      </c>
    </row>
    <row r="1637">
      <c r="A1637" s="9" t="inlineStr">
        <is>
          <t>CYNTHIA</t>
        </is>
      </c>
      <c r="B1637" s="9" t="inlineStr">
        <is>
          <t>CYNTHIA 07/01/2026</t>
        </is>
      </c>
      <c r="C1637" s="9" t="inlineStr">
        <is>
          <t>2026-01-07</t>
        </is>
      </c>
      <c r="D1637" s="9" t="inlineStr">
        <is>
          <t>38332091970605</t>
        </is>
      </c>
      <c r="E1637" s="9" t="inlineStr">
        <is>
          <t>ARETES DG CON PERLA GOLD</t>
        </is>
      </c>
      <c r="F1637" s="9" t="inlineStr">
        <is>
          <t>Default Title</t>
        </is>
      </c>
      <c r="G1637" s="9" t="n">
        <v>3</v>
      </c>
      <c r="H1637" s="21" t="n">
        <v>8.800000000000001</v>
      </c>
      <c r="I1637" s="21" t="n">
        <v>233.97</v>
      </c>
      <c r="J1637" s="21" t="n">
        <v>701.91</v>
      </c>
      <c r="K1637" s="21" t="n">
        <v>818.89</v>
      </c>
      <c r="L1637" s="21" t="n">
        <v>935.88</v>
      </c>
      <c r="M1637" s="21" t="n">
        <v>850</v>
      </c>
    </row>
    <row r="1638">
      <c r="A1638" s="9" t="inlineStr">
        <is>
          <t>CYNTHIA</t>
        </is>
      </c>
      <c r="B1638" s="9" t="inlineStr">
        <is>
          <t>CYNTHIA 07/01/2026</t>
        </is>
      </c>
      <c r="C1638" s="9" t="inlineStr">
        <is>
          <t>2026-01-07</t>
        </is>
      </c>
      <c r="D1638" s="9" t="inlineStr">
        <is>
          <t>43071800901772</t>
        </is>
      </c>
      <c r="E1638" s="9" t="inlineStr">
        <is>
          <t>ARETES F GOLD BLACK</t>
        </is>
      </c>
      <c r="F1638" s="9" t="inlineStr">
        <is>
          <t>Regular</t>
        </is>
      </c>
      <c r="G1638" s="9" t="n">
        <v>3</v>
      </c>
      <c r="H1638" s="21" t="n">
        <v>8.800000000000001</v>
      </c>
      <c r="I1638" s="21" t="n">
        <v>233.97</v>
      </c>
      <c r="J1638" s="21" t="n">
        <v>701.91</v>
      </c>
      <c r="K1638" s="21" t="n">
        <v>818.89</v>
      </c>
      <c r="L1638" s="21" t="n">
        <v>935.88</v>
      </c>
      <c r="M1638" s="21" t="n">
        <v>879</v>
      </c>
    </row>
    <row r="1639">
      <c r="A1639" s="9" t="inlineStr">
        <is>
          <t>CYNTHIA</t>
        </is>
      </c>
      <c r="B1639" s="9" t="inlineStr">
        <is>
          <t>CYNTHIA 07/01/2026</t>
        </is>
      </c>
      <c r="C1639" s="9" t="inlineStr">
        <is>
          <t>2026-01-07</t>
        </is>
      </c>
      <c r="D1639" s="9" t="inlineStr">
        <is>
          <t>38332091513773</t>
        </is>
      </c>
      <c r="E1639" s="9" t="inlineStr">
        <is>
          <t>ARETES LOGO CC GOLD CON ZIRCONIAS</t>
        </is>
      </c>
      <c r="F1639" s="9" t="inlineStr">
        <is>
          <t>Default Title</t>
        </is>
      </c>
      <c r="G1639" s="9" t="n">
        <v>8</v>
      </c>
      <c r="H1639" s="21" t="n">
        <v>3.78</v>
      </c>
      <c r="I1639" s="21" t="n">
        <v>100.5</v>
      </c>
      <c r="J1639" s="21" t="n">
        <v>301.5</v>
      </c>
      <c r="K1639" s="21" t="n">
        <v>351.75</v>
      </c>
      <c r="L1639" s="21" t="n">
        <v>402</v>
      </c>
      <c r="M1639" s="21" t="n">
        <v>399</v>
      </c>
    </row>
    <row r="1640">
      <c r="A1640" s="9" t="inlineStr">
        <is>
          <t>CYNTHIA</t>
        </is>
      </c>
      <c r="B1640" s="9" t="inlineStr">
        <is>
          <t>CYNTHIA 07/01/2026</t>
        </is>
      </c>
      <c r="C1640" s="9" t="inlineStr">
        <is>
          <t>2026-01-07</t>
        </is>
      </c>
      <c r="D1640" s="9" t="inlineStr">
        <is>
          <t>665bb51b8f87b-1</t>
        </is>
      </c>
      <c r="E1640" s="9" t="inlineStr">
        <is>
          <t>ARETES LOVE DORADOS</t>
        </is>
      </c>
      <c r="F1640" s="9" t="inlineStr">
        <is>
          <t>Regular</t>
        </is>
      </c>
      <c r="G1640" s="9" t="n">
        <v>8</v>
      </c>
      <c r="H1640" s="21" t="n">
        <v>2.6</v>
      </c>
      <c r="I1640" s="21" t="n">
        <v>69.13</v>
      </c>
      <c r="J1640" s="21" t="n">
        <v>207.38</v>
      </c>
      <c r="K1640" s="21" t="n">
        <v>241.95</v>
      </c>
      <c r="L1640" s="21" t="n">
        <v>276.51</v>
      </c>
      <c r="M1640" s="21" t="n">
        <v>400</v>
      </c>
    </row>
    <row r="1641">
      <c r="A1641" s="9" t="inlineStr">
        <is>
          <t>CYNTHIA</t>
        </is>
      </c>
      <c r="B1641" s="9" t="inlineStr">
        <is>
          <t>CYNTHIA 07/01/2026</t>
        </is>
      </c>
      <c r="C1641" s="9" t="inlineStr">
        <is>
          <t>2026-01-07</t>
        </is>
      </c>
      <c r="D1641" s="9" t="inlineStr">
        <is>
          <t>6617867e8acd0</t>
        </is>
      </c>
      <c r="E1641" s="9" t="inlineStr">
        <is>
          <t>ARETES LOVE GOLD CON ZIRCONIA</t>
        </is>
      </c>
      <c r="F1641" s="9" t="inlineStr">
        <is>
          <t>Default Title</t>
        </is>
      </c>
      <c r="G1641" s="9" t="n">
        <v>8</v>
      </c>
      <c r="H1641" s="21" t="n">
        <v>2.6</v>
      </c>
      <c r="I1641" s="21" t="n">
        <v>69.13</v>
      </c>
      <c r="J1641" s="21" t="n">
        <v>207.38</v>
      </c>
      <c r="K1641" s="21" t="n">
        <v>241.95</v>
      </c>
      <c r="L1641" s="21" t="n">
        <v>276.51</v>
      </c>
      <c r="M1641" s="21" t="n">
        <v>450</v>
      </c>
    </row>
    <row r="1642">
      <c r="A1642" s="9" t="inlineStr">
        <is>
          <t>CYNTHIA</t>
        </is>
      </c>
      <c r="B1642" s="9" t="inlineStr">
        <is>
          <t>CYNTHIA 07/01/2026</t>
        </is>
      </c>
      <c r="C1642" s="9" t="inlineStr">
        <is>
          <t>2026-01-07</t>
        </is>
      </c>
      <c r="D1642" s="9" t="inlineStr">
        <is>
          <t>43071645614220</t>
        </is>
      </c>
      <c r="E1642" s="9" t="inlineStr">
        <is>
          <t>ARETES LV CON ZIRCONIA</t>
        </is>
      </c>
      <c r="F1642" s="9" t="inlineStr">
        <is>
          <t>Default Title</t>
        </is>
      </c>
      <c r="G1642" s="9" t="n">
        <v>5</v>
      </c>
      <c r="H1642" s="21" t="n">
        <v>8.800000000000001</v>
      </c>
      <c r="I1642" s="21" t="n">
        <v>233.97</v>
      </c>
      <c r="J1642" s="21" t="n">
        <v>701.91</v>
      </c>
      <c r="K1642" s="21" t="n">
        <v>818.89</v>
      </c>
      <c r="L1642" s="21" t="n">
        <v>935.88</v>
      </c>
      <c r="M1642" s="21" t="n">
        <v>935</v>
      </c>
    </row>
    <row r="1643">
      <c r="A1643" s="9" t="inlineStr">
        <is>
          <t>CYNTHIA</t>
        </is>
      </c>
      <c r="B1643" s="9" t="inlineStr">
        <is>
          <t>CYNTHIA 07/01/2026</t>
        </is>
      </c>
      <c r="C1643" s="9" t="inlineStr">
        <is>
          <t>2026-01-07</t>
        </is>
      </c>
      <c r="D1643" s="9" t="inlineStr">
        <is>
          <t>63e0bd172995f-1</t>
        </is>
      </c>
      <c r="E1643" s="9" t="inlineStr">
        <is>
          <t>ARETES LV GOLD</t>
        </is>
      </c>
      <c r="F1643" s="9" t="inlineStr">
        <is>
          <t>Regular</t>
        </is>
      </c>
      <c r="G1643" s="9" t="n">
        <v>1</v>
      </c>
      <c r="H1643" s="21" t="n">
        <v>5.18</v>
      </c>
      <c r="I1643" s="21" t="n">
        <v>137.72</v>
      </c>
      <c r="J1643" s="21" t="n">
        <v>413.17</v>
      </c>
      <c r="K1643" s="21" t="n">
        <v>482.03</v>
      </c>
      <c r="L1643" s="21" t="n">
        <v>550.89</v>
      </c>
      <c r="M1643" s="21" t="n">
        <v>559</v>
      </c>
    </row>
    <row r="1644">
      <c r="A1644" s="9" t="inlineStr">
        <is>
          <t>CYNTHIA</t>
        </is>
      </c>
      <c r="B1644" s="9" t="inlineStr">
        <is>
          <t>CYNTHIA 07/01/2026</t>
        </is>
      </c>
      <c r="C1644" s="9" t="inlineStr">
        <is>
          <t>2026-01-07</t>
        </is>
      </c>
      <c r="D1644" s="9" t="inlineStr">
        <is>
          <t>38332091841901</t>
        </is>
      </c>
      <c r="E1644" s="9" t="inlineStr">
        <is>
          <t>ARETES LW ANAGRAM GOLD</t>
        </is>
      </c>
      <c r="F1644" s="9" t="inlineStr">
        <is>
          <t>Default Title</t>
        </is>
      </c>
      <c r="G1644" s="9" t="n">
        <v>20</v>
      </c>
      <c r="H1644" s="21" t="n">
        <v>3.5</v>
      </c>
      <c r="I1644" s="21" t="n">
        <v>93.06</v>
      </c>
      <c r="J1644" s="21" t="n">
        <v>279.17</v>
      </c>
      <c r="K1644" s="21" t="n">
        <v>325.7</v>
      </c>
      <c r="L1644" s="21" t="n">
        <v>372.22</v>
      </c>
      <c r="M1644" s="21" t="n">
        <v>450</v>
      </c>
    </row>
    <row r="1645">
      <c r="A1645" s="9" t="inlineStr">
        <is>
          <t>CYNTHIA</t>
        </is>
      </c>
      <c r="B1645" s="9" t="inlineStr">
        <is>
          <t>CYNTHIA 07/01/2026</t>
        </is>
      </c>
      <c r="C1645" s="9" t="inlineStr">
        <is>
          <t>2026-01-07</t>
        </is>
      </c>
      <c r="D1645" s="9" t="inlineStr">
        <is>
          <t>43047214612620</t>
        </is>
      </c>
      <c r="E1645" s="9" t="inlineStr">
        <is>
          <t>ARETES SIXTEEN STONE</t>
        </is>
      </c>
      <c r="F1645" s="9" t="inlineStr">
        <is>
          <t>Default Title</t>
        </is>
      </c>
      <c r="G1645" s="9" t="n">
        <v>3</v>
      </c>
      <c r="H1645" s="21" t="n">
        <v>12.8</v>
      </c>
      <c r="I1645" s="21" t="n">
        <v>340.32</v>
      </c>
      <c r="J1645" s="21" t="n">
        <v>1020.96</v>
      </c>
      <c r="K1645" s="21" t="n">
        <v>1191.12</v>
      </c>
      <c r="L1645" s="21" t="n">
        <v>1361.28</v>
      </c>
      <c r="M1645" s="21" t="n">
        <v>1329</v>
      </c>
    </row>
    <row r="1646">
      <c r="A1646" s="9" t="inlineStr">
        <is>
          <t>CYNTHIA</t>
        </is>
      </c>
      <c r="B1646" s="9" t="inlineStr">
        <is>
          <t>CYNTHIA 07/01/2026</t>
        </is>
      </c>
      <c r="C1646" s="9" t="inlineStr">
        <is>
          <t>2026-01-07</t>
        </is>
      </c>
      <c r="D1646" s="9" t="inlineStr">
        <is>
          <t>34876761251373</t>
        </is>
      </c>
      <c r="E1646" s="9" t="inlineStr">
        <is>
          <t>ARETES T SQUARE SIXTEEN STONE</t>
        </is>
      </c>
      <c r="F1646" s="9" t="inlineStr">
        <is>
          <t>Default Title</t>
        </is>
      </c>
      <c r="G1646" s="9" t="n">
        <v>5</v>
      </c>
      <c r="H1646" s="21" t="n">
        <v>7</v>
      </c>
      <c r="I1646" s="21" t="n">
        <v>186.11</v>
      </c>
      <c r="J1646" s="21" t="n">
        <v>558.34</v>
      </c>
      <c r="K1646" s="21" t="n">
        <v>651.39</v>
      </c>
      <c r="L1646" s="21" t="n">
        <v>744.45</v>
      </c>
      <c r="M1646" s="21" t="n">
        <v>750</v>
      </c>
    </row>
    <row r="1647">
      <c r="A1647" s="9" t="inlineStr">
        <is>
          <t>CYNTHIA</t>
        </is>
      </c>
      <c r="B1647" s="9" t="inlineStr">
        <is>
          <t>CYNTHIA 07/01/2026</t>
        </is>
      </c>
      <c r="C1647" s="9" t="inlineStr">
        <is>
          <t>2026-01-07</t>
        </is>
      </c>
      <c r="D1647" s="9" t="inlineStr">
        <is>
          <t>63e0bd204f826</t>
        </is>
      </c>
      <c r="E1647" s="9" t="inlineStr">
        <is>
          <t>ARETES T-SMILE GOLD</t>
        </is>
      </c>
      <c r="F1647" s="9" t="inlineStr">
        <is>
          <t>Default Title</t>
        </is>
      </c>
      <c r="G1647" s="9" t="n">
        <v>4</v>
      </c>
      <c r="H1647" s="21" t="n">
        <v>3.3</v>
      </c>
      <c r="I1647" s="21" t="n">
        <v>87.73999999999999</v>
      </c>
      <c r="J1647" s="21" t="n">
        <v>263.22</v>
      </c>
      <c r="K1647" s="21" t="n">
        <v>307.08</v>
      </c>
      <c r="L1647" s="21" t="n">
        <v>350.95</v>
      </c>
      <c r="M1647" s="21" t="n">
        <v>573</v>
      </c>
    </row>
    <row r="1648">
      <c r="A1648" s="9" t="inlineStr">
        <is>
          <t>CYNTHIA</t>
        </is>
      </c>
      <c r="B1648" s="9" t="inlineStr">
        <is>
          <t>CYNTHIA 07/01/2026</t>
        </is>
      </c>
      <c r="C1648" s="9" t="inlineStr">
        <is>
          <t>2026-01-07</t>
        </is>
      </c>
      <c r="D1648" s="9" t="inlineStr">
        <is>
          <t>63529311036333</t>
        </is>
      </c>
      <c r="E1648" s="9" t="inlineStr">
        <is>
          <t>ARETES T-SMILE GOLD CON ZIRCONIAS</t>
        </is>
      </c>
      <c r="F1648" s="9" t="inlineStr">
        <is>
          <t>Default Title</t>
        </is>
      </c>
      <c r="G1648" s="9" t="n">
        <v>2</v>
      </c>
      <c r="H1648" s="21" t="n">
        <v>6.8</v>
      </c>
      <c r="I1648" s="21" t="n">
        <v>180.79</v>
      </c>
      <c r="J1648" s="21" t="n">
        <v>542.38</v>
      </c>
      <c r="K1648" s="21" t="n">
        <v>632.78</v>
      </c>
      <c r="L1648" s="21" t="n">
        <v>723.1799999999999</v>
      </c>
      <c r="M1648" s="21" t="n">
        <v>739</v>
      </c>
    </row>
    <row r="1649">
      <c r="A1649" s="9" t="inlineStr">
        <is>
          <t>CYNTHIA</t>
        </is>
      </c>
      <c r="B1649" s="9" t="inlineStr">
        <is>
          <t>CYNTHIA 07/01/2026</t>
        </is>
      </c>
      <c r="C1649" s="9" t="inlineStr">
        <is>
          <t>2026-01-07</t>
        </is>
      </c>
      <c r="D1649" s="9" t="inlineStr">
        <is>
          <t>63e0bd216689b-1</t>
        </is>
      </c>
      <c r="E1649" s="9" t="inlineStr">
        <is>
          <t>ARETES T-SMILE SILVER</t>
        </is>
      </c>
      <c r="F1649" s="9" t="inlineStr">
        <is>
          <t>1.5cm</t>
        </is>
      </c>
      <c r="G1649" s="9" t="n">
        <v>10</v>
      </c>
      <c r="H1649" s="21" t="n">
        <v>3.3</v>
      </c>
      <c r="I1649" s="21" t="n">
        <v>87.73999999999999</v>
      </c>
      <c r="J1649" s="21" t="n">
        <v>263.22</v>
      </c>
      <c r="K1649" s="21" t="n">
        <v>307.08</v>
      </c>
      <c r="L1649" s="21" t="n">
        <v>350.95</v>
      </c>
      <c r="M1649" s="21" t="n">
        <v>420</v>
      </c>
    </row>
    <row r="1650">
      <c r="A1650" s="9" t="inlineStr">
        <is>
          <t>CYNTHIA</t>
        </is>
      </c>
      <c r="B1650" s="9" t="inlineStr">
        <is>
          <t>CYNTHIA 07/01/2026</t>
        </is>
      </c>
      <c r="C1650" s="9" t="inlineStr">
        <is>
          <t>2026-01-07</t>
        </is>
      </c>
      <c r="D1650" s="9" t="inlineStr">
        <is>
          <t>63ebd921017f7</t>
        </is>
      </c>
      <c r="E1650" s="9" t="inlineStr">
        <is>
          <t>ARETES T-SMILE SILVER CON ZIRCONIA</t>
        </is>
      </c>
      <c r="F1650" s="9" t="inlineStr">
        <is>
          <t>Default Title</t>
        </is>
      </c>
      <c r="G1650" s="9" t="n">
        <v>2</v>
      </c>
      <c r="H1650" s="21" t="n">
        <v>6.8</v>
      </c>
      <c r="I1650" s="21" t="n">
        <v>180.79</v>
      </c>
      <c r="J1650" s="21" t="n">
        <v>542.38</v>
      </c>
      <c r="K1650" s="21" t="n">
        <v>632.78</v>
      </c>
      <c r="L1650" s="21" t="n">
        <v>723.1799999999999</v>
      </c>
      <c r="M1650" s="21" t="n">
        <v>722</v>
      </c>
    </row>
    <row r="1651">
      <c r="A1651" s="9" t="inlineStr">
        <is>
          <t>CYNTHIA</t>
        </is>
      </c>
      <c r="B1651" s="9" t="inlineStr">
        <is>
          <t>CYNTHIA 07/01/2026</t>
        </is>
      </c>
      <c r="C1651" s="9" t="inlineStr">
        <is>
          <t>2026-01-07</t>
        </is>
      </c>
      <c r="D1651" s="9" t="inlineStr">
        <is>
          <t>43071749587084</t>
        </is>
      </c>
      <c r="E1651" s="9" t="inlineStr">
        <is>
          <t>ARETES V CON PERLA</t>
        </is>
      </c>
      <c r="F1651" s="9" t="inlineStr">
        <is>
          <t>Regular</t>
        </is>
      </c>
      <c r="G1651" s="9" t="n">
        <v>4</v>
      </c>
      <c r="H1651" s="21" t="n">
        <v>8.800000000000001</v>
      </c>
      <c r="I1651" s="21" t="n">
        <v>233.97</v>
      </c>
      <c r="J1651" s="21" t="n">
        <v>701.91</v>
      </c>
      <c r="K1651" s="21" t="n">
        <v>818.89</v>
      </c>
      <c r="L1651" s="21" t="n">
        <v>935.88</v>
      </c>
      <c r="M1651" s="21" t="n">
        <v>915</v>
      </c>
    </row>
    <row r="1652">
      <c r="A1652" s="9" t="inlineStr">
        <is>
          <t>CYNTHIA</t>
        </is>
      </c>
      <c r="B1652" s="9" t="inlineStr">
        <is>
          <t>CYNTHIA 07/01/2026</t>
        </is>
      </c>
      <c r="C1652" s="9" t="inlineStr">
        <is>
          <t>2026-01-07</t>
        </is>
      </c>
      <c r="D1652" s="9" t="inlineStr">
        <is>
          <t>64e78ed3b6948</t>
        </is>
      </c>
      <c r="E1652" s="9" t="inlineStr">
        <is>
          <t>ARETES YSL</t>
        </is>
      </c>
      <c r="F1652" s="9" t="inlineStr">
        <is>
          <t>Default Title</t>
        </is>
      </c>
      <c r="G1652" s="9" t="n">
        <v>8</v>
      </c>
      <c r="H1652" s="21" t="n">
        <v>9.800000000000001</v>
      </c>
      <c r="I1652" s="21" t="n">
        <v>260.56</v>
      </c>
      <c r="J1652" s="21" t="n">
        <v>781.67</v>
      </c>
      <c r="K1652" s="21" t="n">
        <v>911.95</v>
      </c>
      <c r="L1652" s="21" t="n">
        <v>1042.23</v>
      </c>
      <c r="M1652" s="21" t="n">
        <v>1049</v>
      </c>
    </row>
    <row r="1653">
      <c r="A1653" s="9" t="inlineStr">
        <is>
          <t>CYNTHIA</t>
        </is>
      </c>
      <c r="B1653" s="9" t="inlineStr">
        <is>
          <t>CYNTHIA 07/01/2026</t>
        </is>
      </c>
      <c r="C1653" s="9" t="inlineStr">
        <is>
          <t>2026-01-07</t>
        </is>
      </c>
      <c r="D1653" s="9" t="inlineStr">
        <is>
          <t>665bd4b033012</t>
        </is>
      </c>
      <c r="E1653" s="9" t="inlineStr">
        <is>
          <t>ARETES YSL SILVER</t>
        </is>
      </c>
      <c r="F1653" s="9" t="inlineStr">
        <is>
          <t>Default Title</t>
        </is>
      </c>
      <c r="G1653" s="9" t="n">
        <v>1</v>
      </c>
      <c r="H1653" s="21" t="n">
        <v>4.6</v>
      </c>
      <c r="I1653" s="21" t="n">
        <v>122.3</v>
      </c>
      <c r="J1653" s="21" t="n">
        <v>366.91</v>
      </c>
      <c r="K1653" s="21" t="n">
        <v>428.06</v>
      </c>
      <c r="L1653" s="21" t="n">
        <v>489.21</v>
      </c>
      <c r="M1653" s="21" t="n">
        <v>499</v>
      </c>
    </row>
    <row r="1654">
      <c r="A1654" s="9" t="inlineStr">
        <is>
          <t>CYNTHIA</t>
        </is>
      </c>
      <c r="B1654" s="9" t="inlineStr">
        <is>
          <t>CYNTHIA 07/01/2026</t>
        </is>
      </c>
      <c r="C1654" s="9" t="inlineStr">
        <is>
          <t>2026-01-07</t>
        </is>
      </c>
      <c r="D1654" s="9" t="inlineStr">
        <is>
          <t>43728071088236</t>
        </is>
      </c>
      <c r="E1654" s="9" t="inlineStr">
        <is>
          <t>ARRACADAS BV SERPENTI</t>
        </is>
      </c>
      <c r="F1654" s="9" t="inlineStr">
        <is>
          <t>Default Title</t>
        </is>
      </c>
      <c r="G1654" s="9" t="n">
        <v>4</v>
      </c>
      <c r="H1654" s="21" t="n">
        <v>8.800000000000001</v>
      </c>
      <c r="I1654" s="21" t="n">
        <v>233.97</v>
      </c>
      <c r="J1654" s="21" t="n">
        <v>701.91</v>
      </c>
      <c r="K1654" s="21" t="n">
        <v>818.89</v>
      </c>
      <c r="L1654" s="21" t="n">
        <v>935.88</v>
      </c>
      <c r="M1654" s="21" t="n">
        <v>915</v>
      </c>
    </row>
    <row r="1655">
      <c r="A1655" s="9" t="inlineStr">
        <is>
          <t>CYNTHIA</t>
        </is>
      </c>
      <c r="B1655" s="9" t="inlineStr">
        <is>
          <t>CYNTHIA 07/01/2026</t>
        </is>
      </c>
      <c r="C1655" s="9" t="inlineStr">
        <is>
          <t>2026-01-07</t>
        </is>
      </c>
      <c r="D1655" s="9" t="inlineStr">
        <is>
          <t>42101481043501</t>
        </is>
      </c>
      <c r="E1655" s="9" t="inlineStr">
        <is>
          <t>BOLSA CC Nº25</t>
        </is>
      </c>
      <c r="F1655" s="9" t="inlineStr">
        <is>
          <t>HIGH QUALITY</t>
        </is>
      </c>
      <c r="G1655" s="9" t="n">
        <v>5</v>
      </c>
      <c r="H1655" s="21" t="n">
        <v>66</v>
      </c>
      <c r="I1655" s="21" t="n">
        <v>1754.77</v>
      </c>
      <c r="J1655" s="21" t="n">
        <v>5264.31</v>
      </c>
      <c r="K1655" s="21" t="n">
        <v>6141.7</v>
      </c>
      <c r="L1655" s="21" t="n">
        <v>7019.08</v>
      </c>
      <c r="M1655" s="21" t="n">
        <v>5999</v>
      </c>
    </row>
    <row r="1656">
      <c r="A1656" s="9" t="inlineStr">
        <is>
          <t>CYNTHIA</t>
        </is>
      </c>
      <c r="B1656" s="9" t="inlineStr">
        <is>
          <t>CYNTHIA 07/01/2026</t>
        </is>
      </c>
      <c r="C1656" s="9" t="inlineStr">
        <is>
          <t>2026-01-07</t>
        </is>
      </c>
      <c r="D1656" s="9" t="inlineStr">
        <is>
          <t>42101481043501</t>
        </is>
      </c>
      <c r="E1656" s="9" t="inlineStr">
        <is>
          <t>BOLSA CC Nº25</t>
        </is>
      </c>
      <c r="F1656" s="9" t="inlineStr">
        <is>
          <t>HIGH QUALITY</t>
        </is>
      </c>
      <c r="G1656" s="9" t="n">
        <v>3</v>
      </c>
      <c r="H1656" s="21" t="n">
        <v>66</v>
      </c>
      <c r="I1656" s="21" t="n">
        <v>1754.77</v>
      </c>
      <c r="J1656" s="21" t="n">
        <v>5264.31</v>
      </c>
      <c r="K1656" s="21" t="n">
        <v>6141.7</v>
      </c>
      <c r="L1656" s="21" t="n">
        <v>7019.08</v>
      </c>
      <c r="M1656" s="21" t="n">
        <v>5999</v>
      </c>
    </row>
    <row r="1657">
      <c r="A1657" s="9" t="inlineStr">
        <is>
          <t>CYNTHIA</t>
        </is>
      </c>
      <c r="B1657" s="9" t="inlineStr">
        <is>
          <t>CYNTHIA 07/01/2026</t>
        </is>
      </c>
      <c r="C1657" s="9" t="inlineStr">
        <is>
          <t>2026-01-07</t>
        </is>
      </c>
      <c r="D1657" s="9" t="inlineStr">
        <is>
          <t>43897301164429</t>
        </is>
      </c>
      <c r="E1657" s="9" t="inlineStr">
        <is>
          <t>BOLSA CC Nº25 BABY BLUE</t>
        </is>
      </c>
      <c r="F1657" s="9" t="inlineStr">
        <is>
          <t>Default Title</t>
        </is>
      </c>
      <c r="G1657" s="9" t="n">
        <v>3</v>
      </c>
      <c r="H1657" s="21" t="n">
        <v>63</v>
      </c>
      <c r="I1657" s="21" t="n">
        <v>1675.01</v>
      </c>
      <c r="J1657" s="21" t="n">
        <v>5025.02</v>
      </c>
      <c r="K1657" s="21" t="n">
        <v>5862.53</v>
      </c>
      <c r="L1657" s="21" t="n">
        <v>6700.03</v>
      </c>
      <c r="M1657" s="21" t="n">
        <v>5999</v>
      </c>
    </row>
    <row r="1658">
      <c r="A1658" s="9" t="inlineStr">
        <is>
          <t>CYNTHIA</t>
        </is>
      </c>
      <c r="B1658" s="9" t="inlineStr">
        <is>
          <t>CYNTHIA 07/01/2026</t>
        </is>
      </c>
      <c r="C1658" s="9" t="inlineStr">
        <is>
          <t>2026-01-07</t>
        </is>
      </c>
      <c r="D1658" s="9" t="inlineStr">
        <is>
          <t>98269341115213</t>
        </is>
      </c>
      <c r="E1658" s="9" t="inlineStr">
        <is>
          <t>BOLSA CC Nº25 BURDEOS</t>
        </is>
      </c>
      <c r="F1658" s="9" t="inlineStr">
        <is>
          <t>Default Title</t>
        </is>
      </c>
      <c r="G1658" s="9" t="n">
        <v>5</v>
      </c>
      <c r="H1658" s="21" t="n">
        <v>66</v>
      </c>
      <c r="I1658" s="21" t="n">
        <v>1754.77</v>
      </c>
      <c r="J1658" s="21" t="n">
        <v>5264.31</v>
      </c>
      <c r="K1658" s="21" t="n">
        <v>6141.7</v>
      </c>
      <c r="L1658" s="21" t="n">
        <v>7019.08</v>
      </c>
      <c r="M1658" s="21" t="n">
        <v>6999.6</v>
      </c>
    </row>
    <row r="1659">
      <c r="A1659" s="9" t="inlineStr">
        <is>
          <t>CYNTHIA</t>
        </is>
      </c>
      <c r="B1659" s="9" t="inlineStr">
        <is>
          <t>CYNTHIA 07/01/2026</t>
        </is>
      </c>
      <c r="C1659" s="9" t="inlineStr">
        <is>
          <t>2026-01-07</t>
        </is>
      </c>
      <c r="D1659" s="9" t="inlineStr">
        <is>
          <t>43897301288173</t>
        </is>
      </c>
      <c r="E1659" s="9" t="inlineStr">
        <is>
          <t>BOLSA CC Nº25 WHITE</t>
        </is>
      </c>
      <c r="F1659" s="9" t="inlineStr">
        <is>
          <t>Default Title</t>
        </is>
      </c>
      <c r="G1659" s="9" t="n">
        <v>3</v>
      </c>
      <c r="H1659" s="21" t="n">
        <v>63</v>
      </c>
      <c r="I1659" s="21" t="n">
        <v>1675.01</v>
      </c>
      <c r="J1659" s="21" t="n">
        <v>5025.02</v>
      </c>
      <c r="K1659" s="21" t="n">
        <v>5862.53</v>
      </c>
      <c r="L1659" s="21" t="n">
        <v>6700.03</v>
      </c>
      <c r="M1659" s="21" t="n">
        <v>5999</v>
      </c>
    </row>
    <row r="1660">
      <c r="A1660" s="9" t="inlineStr">
        <is>
          <t>CYNTHIA</t>
        </is>
      </c>
      <c r="B1660" s="9" t="inlineStr">
        <is>
          <t>CYNTHIA 07/01/2026</t>
        </is>
      </c>
      <c r="C1660" s="9" t="inlineStr">
        <is>
          <t>2026-01-07</t>
        </is>
      </c>
      <c r="D1660" s="9" t="inlineStr">
        <is>
          <t>43897301090413</t>
        </is>
      </c>
      <c r="E1660" s="9" t="inlineStr">
        <is>
          <t>BOLSA CC Nº25 YELLOW</t>
        </is>
      </c>
      <c r="F1660" s="9" t="inlineStr">
        <is>
          <t>Default Title</t>
        </is>
      </c>
      <c r="G1660" s="9" t="n">
        <v>3</v>
      </c>
      <c r="H1660" s="21" t="n">
        <v>63</v>
      </c>
      <c r="I1660" s="21" t="n">
        <v>1675.01</v>
      </c>
      <c r="J1660" s="21" t="n">
        <v>5025.02</v>
      </c>
      <c r="K1660" s="21" t="n">
        <v>5862.53</v>
      </c>
      <c r="L1660" s="21" t="n">
        <v>6700.03</v>
      </c>
      <c r="M1660" s="21" t="n">
        <v>6899</v>
      </c>
    </row>
    <row r="1661">
      <c r="A1661" s="9" t="inlineStr">
        <is>
          <t>CYNTHIA</t>
        </is>
      </c>
      <c r="B1661" s="9" t="inlineStr">
        <is>
          <t>CYNTHIA 07/01/2026</t>
        </is>
      </c>
      <c r="C1661" s="9" t="inlineStr">
        <is>
          <t>2026-01-07</t>
        </is>
      </c>
      <c r="D1661" s="9" t="inlineStr">
        <is>
          <t>66581e33ea15d</t>
        </is>
      </c>
      <c r="E1661" s="9" t="inlineStr">
        <is>
          <t>BOLSA G GREEN</t>
        </is>
      </c>
      <c r="F1661" s="9" t="inlineStr">
        <is>
          <t>34cm largo x 27cm ancho</t>
        </is>
      </c>
      <c r="G1661" s="9" t="n">
        <v>3</v>
      </c>
      <c r="H1661" s="21" t="n">
        <v>40</v>
      </c>
      <c r="I1661" s="21" t="n">
        <v>1063.5</v>
      </c>
      <c r="J1661" s="21" t="n">
        <v>3190.49</v>
      </c>
      <c r="K1661" s="21" t="n">
        <v>3722.24</v>
      </c>
      <c r="L1661" s="21" t="n">
        <v>4253.99</v>
      </c>
      <c r="M1661" s="21" t="n">
        <v>4250</v>
      </c>
    </row>
    <row r="1662">
      <c r="A1662" s="9" t="inlineStr">
        <is>
          <t>CYNTHIA</t>
        </is>
      </c>
      <c r="B1662" s="9" t="inlineStr">
        <is>
          <t>CYNTHIA 07/01/2026</t>
        </is>
      </c>
      <c r="C1662" s="9" t="inlineStr">
        <is>
          <t>2026-01-07</t>
        </is>
      </c>
      <c r="D1662" s="9" t="inlineStr">
        <is>
          <t>68374516907020</t>
        </is>
      </c>
      <c r="E1662" s="9" t="inlineStr">
        <is>
          <t>BOLSO C CLAUDE BLACK</t>
        </is>
      </c>
      <c r="F1662" s="9" t="inlineStr">
        <is>
          <t>21.5cm de largo x 11.5cm de alto x 4.5cm de ancho</t>
        </is>
      </c>
      <c r="G1662" s="9" t="n">
        <v>4</v>
      </c>
      <c r="H1662" s="21" t="n">
        <v>46</v>
      </c>
      <c r="I1662" s="21" t="n">
        <v>1223.02</v>
      </c>
      <c r="J1662" s="21" t="n">
        <v>3669.07</v>
      </c>
      <c r="K1662" s="21" t="n">
        <v>4280.58</v>
      </c>
      <c r="L1662" s="21" t="n">
        <v>4892.09</v>
      </c>
      <c r="M1662" s="21" t="n">
        <v>5095</v>
      </c>
    </row>
    <row r="1663">
      <c r="A1663" s="9" t="inlineStr">
        <is>
          <t>CYNTHIA</t>
        </is>
      </c>
      <c r="B1663" s="9" t="inlineStr">
        <is>
          <t>CYNTHIA 07/01/2026</t>
        </is>
      </c>
      <c r="C1663" s="9" t="inlineStr">
        <is>
          <t>2026-01-07</t>
        </is>
      </c>
      <c r="D1663" s="9" t="inlineStr">
        <is>
          <t>81712809885196</t>
        </is>
      </c>
      <c r="E1663" s="9" t="inlineStr">
        <is>
          <t>BOLSO C CLAUDE SILVER BLACK</t>
        </is>
      </c>
      <c r="F1663" s="9" t="inlineStr">
        <is>
          <t>20.5cm de largo x 11.5cm de alto x 3.5cm de ancho</t>
        </is>
      </c>
      <c r="G1663" s="9" t="n">
        <v>2</v>
      </c>
      <c r="H1663" s="21" t="n">
        <v>46</v>
      </c>
      <c r="I1663" s="21" t="n">
        <v>1223.02</v>
      </c>
      <c r="J1663" s="21" t="n">
        <v>3669.07</v>
      </c>
      <c r="K1663" s="21" t="n">
        <v>4280.58</v>
      </c>
      <c r="L1663" s="21" t="n">
        <v>4892.09</v>
      </c>
      <c r="M1663" s="21" t="n">
        <v>5095</v>
      </c>
    </row>
    <row r="1664">
      <c r="A1664" s="9" t="inlineStr">
        <is>
          <t>CYNTHIA</t>
        </is>
      </c>
      <c r="B1664" s="9" t="inlineStr">
        <is>
          <t>CYNTHIA 07/01/2026</t>
        </is>
      </c>
      <c r="C1664" s="9" t="inlineStr">
        <is>
          <t>2026-01-07</t>
        </is>
      </c>
      <c r="D1664" s="9" t="inlineStr">
        <is>
          <t>654bdc4810167</t>
        </is>
      </c>
      <c r="E1664" s="9" t="inlineStr">
        <is>
          <t>BOLSO CC BLACK SILVER</t>
        </is>
      </c>
      <c r="F1664" s="9" t="inlineStr">
        <is>
          <t>16cm de alto x 25cm de largo x 7cm de ancho</t>
        </is>
      </c>
      <c r="G1664" s="9" t="n">
        <v>4</v>
      </c>
      <c r="H1664" s="21" t="n">
        <v>54</v>
      </c>
      <c r="I1664" s="21" t="n">
        <v>1435.72</v>
      </c>
      <c r="J1664" s="21" t="n">
        <v>4307.16</v>
      </c>
      <c r="K1664" s="21" t="n">
        <v>5025.02</v>
      </c>
      <c r="L1664" s="21" t="n">
        <v>5742.88</v>
      </c>
      <c r="M1664" s="21" t="n">
        <v>5730</v>
      </c>
    </row>
    <row r="1665">
      <c r="A1665" s="9" t="inlineStr">
        <is>
          <t>CYNTHIA</t>
        </is>
      </c>
      <c r="B1665" s="9" t="inlineStr">
        <is>
          <t>CYNTHIA 07/01/2026</t>
        </is>
      </c>
      <c r="C1665" s="9" t="inlineStr">
        <is>
          <t>2026-01-07</t>
        </is>
      </c>
      <c r="D1665" s="9" t="inlineStr">
        <is>
          <t>24469411472813</t>
        </is>
      </c>
      <c r="E1665" s="9" t="inlineStr">
        <is>
          <t>BOLSO CC CLASIC BROWN</t>
        </is>
      </c>
      <c r="F1665" s="9" t="inlineStr">
        <is>
          <t>Default Title</t>
        </is>
      </c>
      <c r="G1665" s="9" t="n">
        <v>1</v>
      </c>
      <c r="H1665" s="21" t="n">
        <v>54</v>
      </c>
      <c r="I1665" s="21" t="n">
        <v>1435.72</v>
      </c>
      <c r="J1665" s="21" t="n">
        <v>4307.16</v>
      </c>
      <c r="K1665" s="21" t="n">
        <v>5025.02</v>
      </c>
      <c r="L1665" s="21" t="n">
        <v>5742.88</v>
      </c>
      <c r="M1665" s="21" t="n">
        <v>4999</v>
      </c>
    </row>
    <row r="1666">
      <c r="A1666" s="9" t="inlineStr">
        <is>
          <t>CYNTHIA</t>
        </is>
      </c>
      <c r="B1666" s="9" t="inlineStr">
        <is>
          <t>CYNTHIA 07/01/2026</t>
        </is>
      </c>
      <c r="C1666" s="9" t="inlineStr">
        <is>
          <t>2026-01-07</t>
        </is>
      </c>
      <c r="D1666" s="9" t="inlineStr">
        <is>
          <t>24469411472813</t>
        </is>
      </c>
      <c r="E1666" s="9" t="inlineStr">
        <is>
          <t>BOLSO CC CLASIC BROWN</t>
        </is>
      </c>
      <c r="F1666" s="9" t="inlineStr">
        <is>
          <t>Default Title</t>
        </is>
      </c>
      <c r="G1666" s="9" t="n">
        <v>3</v>
      </c>
      <c r="H1666" s="21" t="n">
        <v>54</v>
      </c>
      <c r="I1666" s="21" t="n">
        <v>1435.72</v>
      </c>
      <c r="J1666" s="21" t="n">
        <v>4307.16</v>
      </c>
      <c r="K1666" s="21" t="n">
        <v>5025.02</v>
      </c>
      <c r="L1666" s="21" t="n">
        <v>5742.88</v>
      </c>
      <c r="M1666" s="21" t="n">
        <v>4999</v>
      </c>
    </row>
    <row r="1667">
      <c r="A1667" s="9" t="inlineStr">
        <is>
          <t>CYNTHIA</t>
        </is>
      </c>
      <c r="B1667" s="9" t="inlineStr">
        <is>
          <t>CYNTHIA 07/01/2026</t>
        </is>
      </c>
      <c r="C1667" s="9" t="inlineStr">
        <is>
          <t>2026-01-07</t>
        </is>
      </c>
      <c r="D1667" s="9" t="inlineStr">
        <is>
          <t>24072851105773</t>
        </is>
      </c>
      <c r="E1667" s="9" t="inlineStr">
        <is>
          <t>BOLSO CC MINI KELLY BLACK</t>
        </is>
      </c>
      <c r="F1667" s="9" t="inlineStr">
        <is>
          <t>Default Title</t>
        </is>
      </c>
      <c r="G1667" s="9" t="n">
        <v>2</v>
      </c>
      <c r="H1667" s="21" t="n">
        <v>51</v>
      </c>
      <c r="I1667" s="21" t="n">
        <v>1355.96</v>
      </c>
      <c r="J1667" s="21" t="n">
        <v>4067.88</v>
      </c>
      <c r="K1667" s="21" t="n">
        <v>4745.86</v>
      </c>
      <c r="L1667" s="21" t="n">
        <v>5423.84</v>
      </c>
      <c r="M1667" s="21" t="n">
        <v>4819</v>
      </c>
    </row>
    <row r="1668">
      <c r="A1668" s="9" t="inlineStr">
        <is>
          <t>CYNTHIA</t>
        </is>
      </c>
      <c r="B1668" s="9" t="inlineStr">
        <is>
          <t>CYNTHIA 07/01/2026</t>
        </is>
      </c>
      <c r="C1668" s="9" t="inlineStr">
        <is>
          <t>2026-01-07</t>
        </is>
      </c>
      <c r="D1668" s="9" t="inlineStr">
        <is>
          <t>98269351344877</t>
        </is>
      </c>
      <c r="E1668" s="9" t="inlineStr">
        <is>
          <t>BOLSO CC MINI KELLY BURDEOS</t>
        </is>
      </c>
      <c r="F1668" s="9" t="inlineStr">
        <is>
          <t>Default Title</t>
        </is>
      </c>
      <c r="G1668" s="9" t="n">
        <v>3</v>
      </c>
      <c r="H1668" s="21" t="n">
        <v>51</v>
      </c>
      <c r="I1668" s="21" t="n">
        <v>1355.96</v>
      </c>
      <c r="J1668" s="21" t="n">
        <v>4067.88</v>
      </c>
      <c r="K1668" s="21" t="n">
        <v>4745.86</v>
      </c>
      <c r="L1668" s="21" t="n">
        <v>5423.84</v>
      </c>
      <c r="M1668" s="21" t="n">
        <v>5629</v>
      </c>
    </row>
    <row r="1669">
      <c r="A1669" s="9" t="inlineStr">
        <is>
          <t>CYNTHIA</t>
        </is>
      </c>
      <c r="B1669" s="9" t="inlineStr">
        <is>
          <t>CYNTHIA 07/01/2026</t>
        </is>
      </c>
      <c r="C1669" s="9" t="inlineStr">
        <is>
          <t>2026-01-07</t>
        </is>
      </c>
      <c r="D1669" s="9" t="inlineStr">
        <is>
          <t>24072851084557</t>
        </is>
      </c>
      <c r="E1669" s="9" t="inlineStr">
        <is>
          <t>BOLSO CC MINI KELLY WHITE</t>
        </is>
      </c>
      <c r="F1669" s="9" t="inlineStr">
        <is>
          <t>Default Title</t>
        </is>
      </c>
      <c r="G1669" s="9" t="n">
        <v>3</v>
      </c>
      <c r="H1669" s="21" t="n">
        <v>51</v>
      </c>
      <c r="I1669" s="21" t="n">
        <v>1355.96</v>
      </c>
      <c r="J1669" s="21" t="n">
        <v>4067.88</v>
      </c>
      <c r="K1669" s="21" t="n">
        <v>4745.86</v>
      </c>
      <c r="L1669" s="21" t="n">
        <v>5423.84</v>
      </c>
      <c r="M1669" s="21" t="n">
        <v>5629</v>
      </c>
    </row>
    <row r="1670">
      <c r="A1670" s="9" t="inlineStr">
        <is>
          <t>CYNTHIA</t>
        </is>
      </c>
      <c r="B1670" s="9" t="inlineStr">
        <is>
          <t>CYNTHIA 07/01/2026</t>
        </is>
      </c>
      <c r="C1670" s="9" t="inlineStr">
        <is>
          <t>2026-01-07</t>
        </is>
      </c>
      <c r="D1670" s="9" t="inlineStr">
        <is>
          <t>13863311065325</t>
        </is>
      </c>
      <c r="E1670" s="9" t="inlineStr">
        <is>
          <t>BOLSO CD MESSENGER SADDLE BLACK</t>
        </is>
      </c>
      <c r="F1670" s="9" t="inlineStr">
        <is>
          <t>Default Title</t>
        </is>
      </c>
      <c r="G1670" s="9" t="n">
        <v>3</v>
      </c>
      <c r="H1670" s="21" t="n">
        <v>49</v>
      </c>
      <c r="I1670" s="21" t="n">
        <v>1302.78</v>
      </c>
      <c r="J1670" s="21" t="n">
        <v>3908.35</v>
      </c>
      <c r="K1670" s="21" t="n">
        <v>4559.74</v>
      </c>
      <c r="L1670" s="21" t="n">
        <v>5211.14</v>
      </c>
      <c r="M1670" s="21" t="n">
        <v>4700</v>
      </c>
    </row>
    <row r="1671">
      <c r="A1671" s="9" t="inlineStr">
        <is>
          <t>CYNTHIA</t>
        </is>
      </c>
      <c r="B1671" s="9" t="inlineStr">
        <is>
          <t>CYNTHIA 07/01/2026</t>
        </is>
      </c>
      <c r="C1671" s="9" t="inlineStr">
        <is>
          <t>2026-01-07</t>
        </is>
      </c>
      <c r="D1671" s="9" t="inlineStr">
        <is>
          <t>43026605146252</t>
        </is>
      </c>
      <c r="E1671" s="9" t="inlineStr">
        <is>
          <t>BOLSO G BLACK</t>
        </is>
      </c>
      <c r="F1671" s="9" t="inlineStr">
        <is>
          <t>Default Title</t>
        </is>
      </c>
      <c r="G1671" s="9" t="n">
        <v>5</v>
      </c>
      <c r="H1671" s="21" t="n">
        <v>49</v>
      </c>
      <c r="I1671" s="21" t="n">
        <v>1302.78</v>
      </c>
      <c r="J1671" s="21" t="n">
        <v>3908.35</v>
      </c>
      <c r="K1671" s="21" t="n">
        <v>4559.74</v>
      </c>
      <c r="L1671" s="21" t="n">
        <v>5211.14</v>
      </c>
      <c r="M1671" s="21" t="n">
        <v>5200</v>
      </c>
    </row>
    <row r="1672">
      <c r="A1672" s="9" t="inlineStr">
        <is>
          <t>CYNTHIA</t>
        </is>
      </c>
      <c r="B1672" s="9" t="inlineStr">
        <is>
          <t>CYNTHIA 07/01/2026</t>
        </is>
      </c>
      <c r="C1672" s="9" t="inlineStr">
        <is>
          <t>2026-01-07</t>
        </is>
      </c>
      <c r="D1672" s="9" t="inlineStr">
        <is>
          <t>6701d2610aff8</t>
        </is>
      </c>
      <c r="E1672" s="9" t="inlineStr">
        <is>
          <t>BOLSO G BROWN</t>
        </is>
      </c>
      <c r="F1672" s="9" t="inlineStr">
        <is>
          <t>54cm de largo x 29.8cm de alto</t>
        </is>
      </c>
      <c r="G1672" s="9" t="n">
        <v>2</v>
      </c>
      <c r="H1672" s="21" t="n">
        <v>49</v>
      </c>
      <c r="I1672" s="21" t="n">
        <v>1302.78</v>
      </c>
      <c r="J1672" s="21" t="n">
        <v>3908.35</v>
      </c>
      <c r="K1672" s="21" t="n">
        <v>4559.74</v>
      </c>
      <c r="L1672" s="21" t="n">
        <v>5211.14</v>
      </c>
      <c r="M1672" s="21" t="n">
        <v>5200</v>
      </c>
    </row>
    <row r="1673">
      <c r="A1673" s="9" t="inlineStr">
        <is>
          <t>CYNTHIA</t>
        </is>
      </c>
      <c r="B1673" s="9" t="inlineStr">
        <is>
          <t>CYNTHIA 07/01/2026</t>
        </is>
      </c>
      <c r="C1673" s="9" t="inlineStr">
        <is>
          <t>2026-01-07</t>
        </is>
      </c>
      <c r="D1673" s="9" t="inlineStr">
        <is>
          <t>6701d26e04890</t>
        </is>
      </c>
      <c r="E1673" s="9" t="inlineStr">
        <is>
          <t>BOLSO H BIRKIN 30 GRIS TOURTERELLE</t>
        </is>
      </c>
      <c r="F1673" s="9" t="inlineStr">
        <is>
          <t>20.5cm de alto x 25cm de largo x 13cm ancho</t>
        </is>
      </c>
      <c r="G1673" s="9" t="n">
        <v>1</v>
      </c>
      <c r="H1673" s="21" t="n">
        <v>65</v>
      </c>
      <c r="I1673" s="21" t="n">
        <v>1728.18</v>
      </c>
      <c r="J1673" s="21" t="n">
        <v>5184.55</v>
      </c>
      <c r="K1673" s="21" t="n">
        <v>6048.64</v>
      </c>
      <c r="L1673" s="21" t="n">
        <v>6912.73</v>
      </c>
      <c r="M1673" s="21" t="n">
        <v>6035</v>
      </c>
    </row>
    <row r="1674">
      <c r="A1674" s="9" t="inlineStr">
        <is>
          <t>CYNTHIA</t>
        </is>
      </c>
      <c r="B1674" s="9" t="inlineStr">
        <is>
          <t>CYNTHIA 07/01/2026</t>
        </is>
      </c>
      <c r="C1674" s="9" t="inlineStr">
        <is>
          <t>2026-01-07</t>
        </is>
      </c>
      <c r="D1674" s="9" t="inlineStr">
        <is>
          <t>43728071990540</t>
        </is>
      </c>
      <c r="E1674" s="9" t="inlineStr">
        <is>
          <t>BOLSO LW BLACK</t>
        </is>
      </c>
      <c r="F1674" s="9" t="inlineStr">
        <is>
          <t>28cm x 20cm</t>
        </is>
      </c>
      <c r="G1674" s="9" t="n">
        <v>3</v>
      </c>
      <c r="H1674" s="21" t="n">
        <v>74</v>
      </c>
      <c r="I1674" s="21" t="n">
        <v>1967.47</v>
      </c>
      <c r="J1674" s="21" t="n">
        <v>5902.41</v>
      </c>
      <c r="K1674" s="21" t="n">
        <v>6886.14</v>
      </c>
      <c r="L1674" s="21" t="n">
        <v>7869.88</v>
      </c>
      <c r="M1674" s="21" t="n">
        <v>6999</v>
      </c>
    </row>
    <row r="1675">
      <c r="A1675" s="9" t="inlineStr">
        <is>
          <t>CYNTHIA</t>
        </is>
      </c>
      <c r="B1675" s="9" t="inlineStr">
        <is>
          <t>CYNTHIA 07/01/2026</t>
        </is>
      </c>
      <c r="C1675" s="9" t="inlineStr">
        <is>
          <t>2026-01-07</t>
        </is>
      </c>
      <c r="D1675" s="9" t="inlineStr">
        <is>
          <t>43728082064620</t>
        </is>
      </c>
      <c r="E1675" s="9" t="inlineStr">
        <is>
          <t>BOLSO LW CHERRY</t>
        </is>
      </c>
      <c r="F1675" s="9" t="inlineStr">
        <is>
          <t>28cmx20cm</t>
        </is>
      </c>
      <c r="G1675" s="9" t="n">
        <v>3</v>
      </c>
      <c r="H1675" s="21" t="n">
        <v>74</v>
      </c>
      <c r="I1675" s="21" t="n">
        <v>1967.47</v>
      </c>
      <c r="J1675" s="21" t="n">
        <v>5902.41</v>
      </c>
      <c r="K1675" s="21" t="n">
        <v>6886.14</v>
      </c>
      <c r="L1675" s="21" t="n">
        <v>7869.88</v>
      </c>
      <c r="M1675" s="21" t="n">
        <v>6999</v>
      </c>
    </row>
    <row r="1676">
      <c r="A1676" s="9" t="inlineStr">
        <is>
          <t>CYNTHIA</t>
        </is>
      </c>
      <c r="B1676" s="9" t="inlineStr">
        <is>
          <t>CYNTHIA 07/01/2026</t>
        </is>
      </c>
      <c r="C1676" s="9" t="inlineStr">
        <is>
          <t>2026-01-07</t>
        </is>
      </c>
      <c r="D1676" s="9" t="inlineStr">
        <is>
          <t>677c26b31023a</t>
        </is>
      </c>
      <c r="E1676" s="9" t="inlineStr">
        <is>
          <t>BOLSO LW GREEN</t>
        </is>
      </c>
      <c r="F1676" s="9" t="inlineStr">
        <is>
          <t>28cmx20cm</t>
        </is>
      </c>
      <c r="G1676" s="9" t="n">
        <v>1</v>
      </c>
      <c r="H1676" s="21" t="n">
        <v>74</v>
      </c>
      <c r="I1676" s="21" t="n">
        <v>1967.47</v>
      </c>
      <c r="J1676" s="21" t="n">
        <v>5902.41</v>
      </c>
      <c r="K1676" s="21" t="n">
        <v>6886.14</v>
      </c>
      <c r="L1676" s="21" t="n">
        <v>7869.88</v>
      </c>
      <c r="M1676" s="21" t="n">
        <v>8099</v>
      </c>
    </row>
    <row r="1677">
      <c r="A1677" s="9" t="inlineStr">
        <is>
          <t>CYNTHIA</t>
        </is>
      </c>
      <c r="B1677" s="9" t="inlineStr">
        <is>
          <t>CYNTHIA 07/01/2026</t>
        </is>
      </c>
      <c r="C1677" s="9" t="inlineStr">
        <is>
          <t>2026-01-07</t>
        </is>
      </c>
      <c r="D1677" s="9" t="inlineStr">
        <is>
          <t>677c26b31023a</t>
        </is>
      </c>
      <c r="E1677" s="9" t="inlineStr">
        <is>
          <t>BOLSO LW GREEN</t>
        </is>
      </c>
      <c r="F1677" s="9" t="inlineStr">
        <is>
          <t>28cmx20cm</t>
        </is>
      </c>
      <c r="G1677" s="9" t="n">
        <v>2</v>
      </c>
      <c r="H1677" s="21" t="n">
        <v>74</v>
      </c>
      <c r="I1677" s="21" t="n">
        <v>1967.47</v>
      </c>
      <c r="J1677" s="21" t="n">
        <v>5902.41</v>
      </c>
      <c r="K1677" s="21" t="n">
        <v>6886.14</v>
      </c>
      <c r="L1677" s="21" t="n">
        <v>7869.88</v>
      </c>
      <c r="M1677" s="21" t="n">
        <v>8099</v>
      </c>
    </row>
    <row r="1678">
      <c r="A1678" s="9" t="inlineStr">
        <is>
          <t>CYNTHIA</t>
        </is>
      </c>
      <c r="B1678" s="9" t="inlineStr">
        <is>
          <t>CYNTHIA 07/01/2026</t>
        </is>
      </c>
      <c r="C1678" s="9" t="inlineStr">
        <is>
          <t>2026-01-07</t>
        </is>
      </c>
      <c r="D1678" s="9" t="inlineStr">
        <is>
          <t>34313011061229</t>
        </is>
      </c>
      <c r="E1678" s="9" t="inlineStr">
        <is>
          <t>BOLSO PR HANDBAG BROWN</t>
        </is>
      </c>
      <c r="F1678" s="9" t="inlineStr">
        <is>
          <t>BIG</t>
        </is>
      </c>
      <c r="G1678" s="9" t="n">
        <v>2</v>
      </c>
      <c r="H1678" s="21" t="n">
        <v>52</v>
      </c>
      <c r="I1678" s="21" t="n">
        <v>1382.55</v>
      </c>
      <c r="J1678" s="21" t="n">
        <v>4147.64</v>
      </c>
      <c r="K1678" s="21" t="n">
        <v>4838.91</v>
      </c>
      <c r="L1678" s="21" t="n">
        <v>5530.18</v>
      </c>
      <c r="M1678" s="21" t="n">
        <v>5099</v>
      </c>
    </row>
    <row r="1679">
      <c r="A1679" s="9" t="inlineStr">
        <is>
          <t>CYNTHIA</t>
        </is>
      </c>
      <c r="B1679" s="9" t="inlineStr">
        <is>
          <t>CYNTHIA 07/01/2026</t>
        </is>
      </c>
      <c r="C1679" s="9" t="inlineStr">
        <is>
          <t>2026-01-07</t>
        </is>
      </c>
      <c r="D1679" s="9" t="inlineStr">
        <is>
          <t>668eeef9cf7b1</t>
        </is>
      </c>
      <c r="E1679" s="9" t="inlineStr">
        <is>
          <t>BOLSO SADDLE CD JACQUARD BLUE</t>
        </is>
      </c>
      <c r="F1679" s="9" t="inlineStr">
        <is>
          <t>18cm de largo x 15cm de alto</t>
        </is>
      </c>
      <c r="G1679" s="9" t="n">
        <v>2</v>
      </c>
      <c r="H1679" s="21" t="n">
        <v>55</v>
      </c>
      <c r="I1679" s="21" t="n">
        <v>1462.31</v>
      </c>
      <c r="J1679" s="21" t="n">
        <v>4386.93</v>
      </c>
      <c r="K1679" s="21" t="n">
        <v>5118.08</v>
      </c>
      <c r="L1679" s="21" t="n">
        <v>5849.23</v>
      </c>
      <c r="M1679" s="21" t="n">
        <v>5119</v>
      </c>
    </row>
    <row r="1680">
      <c r="A1680" s="9" t="inlineStr">
        <is>
          <t>CYNTHIA</t>
        </is>
      </c>
      <c r="B1680" s="9" t="inlineStr">
        <is>
          <t>CYNTHIA 07/01/2026</t>
        </is>
      </c>
      <c r="C1680" s="9" t="inlineStr">
        <is>
          <t>2026-01-07</t>
        </is>
      </c>
      <c r="D1680" s="9" t="inlineStr">
        <is>
          <t>668eeefb6a924</t>
        </is>
      </c>
      <c r="E1680" s="9" t="inlineStr">
        <is>
          <t>BOLSO YSL KATE</t>
        </is>
      </c>
      <c r="F1680" s="9" t="inlineStr">
        <is>
          <t>27cm de largo x 18 cm de alto</t>
        </is>
      </c>
      <c r="G1680" s="9" t="n">
        <v>3</v>
      </c>
      <c r="H1680" s="21" t="n">
        <v>34</v>
      </c>
      <c r="I1680" s="21" t="n">
        <v>903.97</v>
      </c>
      <c r="J1680" s="21" t="n">
        <v>2711.92</v>
      </c>
      <c r="K1680" s="21" t="n">
        <v>3163.9</v>
      </c>
      <c r="L1680" s="21" t="n">
        <v>3615.89</v>
      </c>
      <c r="M1680" s="21" t="n">
        <v>3620</v>
      </c>
    </row>
    <row r="1681">
      <c r="A1681" s="9" t="inlineStr">
        <is>
          <t>CYNTHIA</t>
        </is>
      </c>
      <c r="B1681" s="9" t="inlineStr">
        <is>
          <t>CYNTHIA 07/01/2026</t>
        </is>
      </c>
      <c r="C1681" s="9" t="inlineStr">
        <is>
          <t>2026-01-07</t>
        </is>
      </c>
      <c r="D1681" s="9" t="inlineStr">
        <is>
          <t>35245867974284</t>
        </is>
      </c>
      <c r="E1681" s="9" t="inlineStr">
        <is>
          <t>BOLSO YSL SHOPER ICARE</t>
        </is>
      </c>
      <c r="F1681" s="9" t="inlineStr">
        <is>
          <t>51cm x 58cm</t>
        </is>
      </c>
      <c r="G1681" s="9" t="n">
        <v>4</v>
      </c>
      <c r="H1681" s="21" t="n">
        <v>55</v>
      </c>
      <c r="I1681" s="21" t="n">
        <v>1462.31</v>
      </c>
      <c r="J1681" s="21" t="n">
        <v>4386.93</v>
      </c>
      <c r="K1681" s="21" t="n">
        <v>5118.08</v>
      </c>
      <c r="L1681" s="21" t="n">
        <v>5849.23</v>
      </c>
      <c r="M1681" s="21" t="n">
        <v>5840</v>
      </c>
    </row>
    <row r="1682">
      <c r="A1682" s="9" t="inlineStr">
        <is>
          <t>CYNTHIA</t>
        </is>
      </c>
      <c r="B1682" s="9" t="inlineStr">
        <is>
          <t>CYNTHIA 07/01/2026</t>
        </is>
      </c>
      <c r="C1682" s="9" t="inlineStr">
        <is>
          <t>2026-01-07</t>
        </is>
      </c>
      <c r="D1682" s="9" t="inlineStr">
        <is>
          <t>66f1ed26445d0</t>
        </is>
      </c>
      <c r="E1682" s="9" t="inlineStr">
        <is>
          <t>CARTERA G VICTORIE BLACK</t>
        </is>
      </c>
      <c r="F1682" s="9" t="inlineStr">
        <is>
          <t>12cm de largo x 9.5cm de alto</t>
        </is>
      </c>
      <c r="G1682" s="9" t="n">
        <v>5</v>
      </c>
      <c r="H1682" s="21" t="n">
        <v>19</v>
      </c>
      <c r="I1682" s="21" t="n">
        <v>505.16</v>
      </c>
      <c r="J1682" s="21" t="n">
        <v>1515.48</v>
      </c>
      <c r="K1682" s="21" t="n">
        <v>1768.06</v>
      </c>
      <c r="L1682" s="21" t="n">
        <v>2020.64</v>
      </c>
      <c r="M1682" s="21" t="n">
        <v>2025</v>
      </c>
    </row>
    <row r="1683">
      <c r="A1683" s="9" t="inlineStr">
        <is>
          <t>CYNTHIA</t>
        </is>
      </c>
      <c r="B1683" s="9" t="inlineStr">
        <is>
          <t>CYNTHIA 07/01/2026</t>
        </is>
      </c>
      <c r="C1683" s="9" t="inlineStr">
        <is>
          <t>2026-01-07</t>
        </is>
      </c>
      <c r="D1683" s="9" t="inlineStr">
        <is>
          <t>66f1ed264fc77</t>
        </is>
      </c>
      <c r="E1683" s="9" t="inlineStr">
        <is>
          <t>CARTERA G VICTORIE GREEN</t>
        </is>
      </c>
      <c r="F1683" s="9" t="inlineStr">
        <is>
          <t>12cm de largo x 9.5cm de alto</t>
        </is>
      </c>
      <c r="G1683" s="9" t="n">
        <v>5</v>
      </c>
      <c r="H1683" s="21" t="n">
        <v>19</v>
      </c>
      <c r="I1683" s="21" t="n">
        <v>505.16</v>
      </c>
      <c r="J1683" s="21" t="n">
        <v>1515.48</v>
      </c>
      <c r="K1683" s="21" t="n">
        <v>1768.06</v>
      </c>
      <c r="L1683" s="21" t="n">
        <v>2020.64</v>
      </c>
      <c r="M1683" s="21" t="n">
        <v>2199</v>
      </c>
    </row>
    <row r="1684">
      <c r="A1684" s="9" t="inlineStr">
        <is>
          <t>CYNTHIA</t>
        </is>
      </c>
      <c r="B1684" s="9" t="inlineStr">
        <is>
          <t>CYNTHIA 07/01/2026</t>
        </is>
      </c>
      <c r="C1684" s="9" t="inlineStr">
        <is>
          <t>2026-01-07</t>
        </is>
      </c>
      <c r="D1684" s="9" t="inlineStr">
        <is>
          <t>41353991048077</t>
        </is>
      </c>
      <c r="E1684" s="9" t="inlineStr">
        <is>
          <t>CINTO C TRIOMPHE BLACK</t>
        </is>
      </c>
      <c r="F1684" s="9" t="inlineStr">
        <is>
          <t>Default Title</t>
        </is>
      </c>
      <c r="G1684" s="9" t="n">
        <v>10</v>
      </c>
      <c r="H1684" s="21" t="n">
        <v>7.5</v>
      </c>
      <c r="I1684" s="21" t="n">
        <v>199.41</v>
      </c>
      <c r="J1684" s="21" t="n">
        <v>598.22</v>
      </c>
      <c r="K1684" s="21" t="n">
        <v>697.92</v>
      </c>
      <c r="L1684" s="21" t="n">
        <v>797.62</v>
      </c>
      <c r="M1684" s="21" t="n">
        <v>999</v>
      </c>
    </row>
    <row r="1685">
      <c r="A1685" s="9" t="inlineStr">
        <is>
          <t>CYNTHIA</t>
        </is>
      </c>
      <c r="B1685" s="9" t="inlineStr">
        <is>
          <t>CYNTHIA 07/01/2026</t>
        </is>
      </c>
      <c r="C1685" s="9" t="inlineStr">
        <is>
          <t>2026-01-07</t>
        </is>
      </c>
      <c r="D1685" s="9" t="inlineStr">
        <is>
          <t>98269341086957</t>
        </is>
      </c>
      <c r="E1685" s="9" t="inlineStr">
        <is>
          <t>CINTO C TRIOMPHE BROWN</t>
        </is>
      </c>
      <c r="F1685" s="9" t="inlineStr">
        <is>
          <t>Default Title</t>
        </is>
      </c>
      <c r="G1685" s="9" t="n">
        <v>10</v>
      </c>
      <c r="H1685" s="21" t="n">
        <v>7.5</v>
      </c>
      <c r="I1685" s="21" t="n">
        <v>199.41</v>
      </c>
      <c r="J1685" s="21" t="n">
        <v>598.22</v>
      </c>
      <c r="K1685" s="21" t="n">
        <v>697.92</v>
      </c>
      <c r="L1685" s="21" t="n">
        <v>797.62</v>
      </c>
      <c r="M1685" s="21" t="n">
        <v>999</v>
      </c>
    </row>
    <row r="1686">
      <c r="A1686" s="9" t="inlineStr">
        <is>
          <t>CYNTHIA</t>
        </is>
      </c>
      <c r="B1686" s="9" t="inlineStr">
        <is>
          <t>CYNTHIA 07/01/2026</t>
        </is>
      </c>
      <c r="C1686" s="9" t="inlineStr">
        <is>
          <t>2026-01-07</t>
        </is>
      </c>
      <c r="D1686" s="9" t="inlineStr">
        <is>
          <t>41353991156557</t>
        </is>
      </c>
      <c r="E1686" s="9" t="inlineStr">
        <is>
          <t>CINTO C TRIOMPHE BURDEOS</t>
        </is>
      </c>
      <c r="F1686" s="9" t="inlineStr">
        <is>
          <t>Default Title</t>
        </is>
      </c>
      <c r="G1686" s="9" t="n">
        <v>5</v>
      </c>
      <c r="H1686" s="21" t="n">
        <v>7.5</v>
      </c>
      <c r="I1686" s="21" t="n">
        <v>199.41</v>
      </c>
      <c r="J1686" s="21" t="n">
        <v>598.22</v>
      </c>
      <c r="K1686" s="21" t="n">
        <v>697.92</v>
      </c>
      <c r="L1686" s="21" t="n">
        <v>797.62</v>
      </c>
      <c r="M1686" s="21" t="n">
        <v>999</v>
      </c>
    </row>
    <row r="1687">
      <c r="A1687" s="9" t="inlineStr">
        <is>
          <t>CYNTHIA</t>
        </is>
      </c>
      <c r="B1687" s="9" t="inlineStr">
        <is>
          <t>CYNTHIA 07/01/2026</t>
        </is>
      </c>
      <c r="C1687" s="9" t="inlineStr">
        <is>
          <t>2026-01-07</t>
        </is>
      </c>
      <c r="D1687" s="9" t="inlineStr">
        <is>
          <t>43728071667212</t>
        </is>
      </c>
      <c r="E1687" s="9" t="inlineStr">
        <is>
          <t>CINTO H KELLY BLACK</t>
        </is>
      </c>
      <c r="F1687" s="9" t="inlineStr">
        <is>
          <t>AJUSTABLE</t>
        </is>
      </c>
      <c r="G1687" s="9" t="n">
        <v>10</v>
      </c>
      <c r="H1687" s="21" t="n">
        <v>5.8</v>
      </c>
      <c r="I1687" s="21" t="n">
        <v>154.21</v>
      </c>
      <c r="J1687" s="21" t="n">
        <v>462.62</v>
      </c>
      <c r="K1687" s="21" t="n">
        <v>539.72</v>
      </c>
      <c r="L1687" s="21" t="n">
        <v>616.83</v>
      </c>
      <c r="M1687" s="21" t="n">
        <v>899</v>
      </c>
    </row>
    <row r="1688">
      <c r="A1688" s="9" t="inlineStr">
        <is>
          <t>CYNTHIA</t>
        </is>
      </c>
      <c r="B1688" s="9" t="inlineStr">
        <is>
          <t>CYNTHIA 07/01/2026</t>
        </is>
      </c>
      <c r="C1688" s="9" t="inlineStr">
        <is>
          <t>2026-01-07</t>
        </is>
      </c>
      <c r="D1688" s="9" t="inlineStr">
        <is>
          <t>648cc32b9ef2d</t>
        </is>
      </c>
      <c r="E1688" s="9" t="inlineStr">
        <is>
          <t>COLLAR CC DORADO</t>
        </is>
      </c>
      <c r="F1688" s="9" t="inlineStr">
        <is>
          <t>Largo de cadena 41.5 cm  Extensión 6 cm  Dije 1.5 cm</t>
        </is>
      </c>
      <c r="G1688" s="9" t="n">
        <v>4</v>
      </c>
      <c r="H1688" s="21" t="n">
        <v>2.25</v>
      </c>
      <c r="I1688" s="21" t="n">
        <v>59.82</v>
      </c>
      <c r="J1688" s="21" t="n">
        <v>179.47</v>
      </c>
      <c r="K1688" s="21" t="n">
        <v>209.38</v>
      </c>
      <c r="L1688" s="21" t="n">
        <v>239.29</v>
      </c>
      <c r="M1688" s="21" t="n">
        <v>350</v>
      </c>
    </row>
    <row r="1689">
      <c r="A1689" s="9" t="inlineStr">
        <is>
          <t>CYNTHIA</t>
        </is>
      </c>
      <c r="B1689" s="9" t="inlineStr">
        <is>
          <t>CYNTHIA 07/01/2026</t>
        </is>
      </c>
      <c r="C1689" s="9" t="inlineStr">
        <is>
          <t>2026-01-07</t>
        </is>
      </c>
      <c r="D1689" s="9" t="inlineStr">
        <is>
          <t>665bbd3eee796</t>
        </is>
      </c>
      <c r="E1689" s="9" t="inlineStr">
        <is>
          <t>COLLAR CC SILVER</t>
        </is>
      </c>
      <c r="F1689" s="9" t="inlineStr">
        <is>
          <t>49cm x 6cm de extensión</t>
        </is>
      </c>
      <c r="G1689" s="9" t="n">
        <v>5</v>
      </c>
      <c r="H1689" s="21" t="n">
        <v>2.25</v>
      </c>
      <c r="I1689" s="21" t="n">
        <v>59.82</v>
      </c>
      <c r="J1689" s="21" t="n">
        <v>179.47</v>
      </c>
      <c r="K1689" s="21" t="n">
        <v>209.38</v>
      </c>
      <c r="L1689" s="21" t="n">
        <v>239.29</v>
      </c>
      <c r="M1689" s="21" t="n">
        <v>460</v>
      </c>
    </row>
    <row r="1690">
      <c r="A1690" s="9" t="inlineStr">
        <is>
          <t>CYNTHIA</t>
        </is>
      </c>
      <c r="B1690" s="9" t="inlineStr">
        <is>
          <t>CYNTHIA 07/01/2026</t>
        </is>
      </c>
      <c r="C1690" s="9" t="inlineStr">
        <is>
          <t>2026-01-07</t>
        </is>
      </c>
      <c r="D1690" s="9" t="inlineStr">
        <is>
          <t>64e78f24a8521</t>
        </is>
      </c>
      <c r="E1690" s="9" t="inlineStr">
        <is>
          <t>COLLAR DE INSIGNIAS LV GOLD</t>
        </is>
      </c>
      <c r="F1690" s="9" t="inlineStr">
        <is>
          <t>41cm con extension de 6cm</t>
        </is>
      </c>
      <c r="G1690" s="9" t="n">
        <v>4</v>
      </c>
      <c r="H1690" s="21" t="n">
        <v>10.8</v>
      </c>
      <c r="I1690" s="21" t="n">
        <v>287.14</v>
      </c>
      <c r="J1690" s="21" t="n">
        <v>861.4299999999999</v>
      </c>
      <c r="K1690" s="21" t="n">
        <v>1005</v>
      </c>
      <c r="L1690" s="21" t="n">
        <v>1148.58</v>
      </c>
      <c r="M1690" s="21" t="n">
        <v>1149</v>
      </c>
    </row>
    <row r="1691">
      <c r="A1691" s="9" t="inlineStr">
        <is>
          <t>CYNTHIA</t>
        </is>
      </c>
      <c r="B1691" s="9" t="inlineStr">
        <is>
          <t>CYNTHIA 07/01/2026</t>
        </is>
      </c>
      <c r="C1691" s="9" t="inlineStr">
        <is>
          <t>2026-01-07</t>
        </is>
      </c>
      <c r="D1691" s="9" t="inlineStr">
        <is>
          <t>668eee4037675</t>
        </is>
      </c>
      <c r="E1691" s="9" t="inlineStr">
        <is>
          <t>COLLAR ESLABONES GOLD</t>
        </is>
      </c>
      <c r="F1691" s="9" t="inlineStr">
        <is>
          <t>46cm</t>
        </is>
      </c>
      <c r="G1691" s="9" t="n">
        <v>3</v>
      </c>
      <c r="H1691" s="21" t="n">
        <v>13.8</v>
      </c>
      <c r="I1691" s="21" t="n">
        <v>366.91</v>
      </c>
      <c r="J1691" s="21" t="n">
        <v>1100.72</v>
      </c>
      <c r="K1691" s="21" t="n">
        <v>1284.17</v>
      </c>
      <c r="L1691" s="21" t="n">
        <v>1467.63</v>
      </c>
      <c r="M1691" s="21" t="n">
        <v>1499</v>
      </c>
    </row>
    <row r="1692">
      <c r="A1692" s="9" t="inlineStr">
        <is>
          <t>CYNTHIA</t>
        </is>
      </c>
      <c r="B1692" s="9" t="inlineStr">
        <is>
          <t>CYNTHIA 07/01/2026</t>
        </is>
      </c>
      <c r="C1692" s="9" t="inlineStr">
        <is>
          <t>2026-01-07</t>
        </is>
      </c>
      <c r="D1692" s="9" t="inlineStr">
        <is>
          <t>15711172573869</t>
        </is>
      </c>
      <c r="E1692" s="9" t="inlineStr">
        <is>
          <t>COLLAR JOLIE CD GOLD</t>
        </is>
      </c>
      <c r="F1692" s="9" t="inlineStr">
        <is>
          <t>Default Title</t>
        </is>
      </c>
      <c r="G1692" s="9" t="n">
        <v>7</v>
      </c>
      <c r="H1692" s="21" t="n">
        <v>8.800000000000001</v>
      </c>
      <c r="I1692" s="21" t="n">
        <v>233.97</v>
      </c>
      <c r="J1692" s="21" t="n">
        <v>701.91</v>
      </c>
      <c r="K1692" s="21" t="n">
        <v>818.89</v>
      </c>
      <c r="L1692" s="21" t="n">
        <v>935.88</v>
      </c>
      <c r="M1692" s="21" t="n">
        <v>820</v>
      </c>
    </row>
    <row r="1693">
      <c r="A1693" s="9" t="inlineStr">
        <is>
          <t>CYNTHIA</t>
        </is>
      </c>
      <c r="B1693" s="9" t="inlineStr">
        <is>
          <t>CYNTHIA 07/01/2026</t>
        </is>
      </c>
      <c r="C1693" s="9" t="inlineStr">
        <is>
          <t>2026-01-07</t>
        </is>
      </c>
      <c r="D1693" s="9" t="inlineStr">
        <is>
          <t>3382860722828</t>
        </is>
      </c>
      <c r="E1693" s="9" t="inlineStr">
        <is>
          <t>GORRA C LOGO BLACK</t>
        </is>
      </c>
      <c r="F1693" s="9" t="inlineStr">
        <is>
          <t>AJUSTABLE</t>
        </is>
      </c>
      <c r="G1693" s="9" t="n">
        <v>3</v>
      </c>
      <c r="H1693" s="21" t="n">
        <v>8.300000000000001</v>
      </c>
      <c r="I1693" s="21" t="n">
        <v>220.68</v>
      </c>
      <c r="J1693" s="21" t="n">
        <v>662.03</v>
      </c>
      <c r="K1693" s="21" t="n">
        <v>772.36</v>
      </c>
      <c r="L1693" s="21" t="n">
        <v>882.7</v>
      </c>
      <c r="M1693" s="21" t="n">
        <v>899</v>
      </c>
    </row>
    <row r="1694">
      <c r="A1694" s="9" t="inlineStr">
        <is>
          <t>CYNTHIA</t>
        </is>
      </c>
      <c r="B1694" s="9" t="inlineStr">
        <is>
          <t>CYNTHIA 07/01/2026</t>
        </is>
      </c>
      <c r="C1694" s="9" t="inlineStr">
        <is>
          <t>2026-01-07</t>
        </is>
      </c>
      <c r="D1694" s="9" t="inlineStr">
        <is>
          <t>77216894110092</t>
        </is>
      </c>
      <c r="E1694" s="9" t="inlineStr">
        <is>
          <t>GORRA C LOGO WHITE</t>
        </is>
      </c>
      <c r="F1694" s="9" t="inlineStr">
        <is>
          <t>AJUSTABLE</t>
        </is>
      </c>
      <c r="G1694" s="9" t="n">
        <v>4</v>
      </c>
      <c r="H1694" s="21" t="n">
        <v>8.300000000000001</v>
      </c>
      <c r="I1694" s="21" t="n">
        <v>220.68</v>
      </c>
      <c r="J1694" s="21" t="n">
        <v>662.03</v>
      </c>
      <c r="K1694" s="21" t="n">
        <v>772.36</v>
      </c>
      <c r="L1694" s="21" t="n">
        <v>882.7</v>
      </c>
      <c r="M1694" s="21" t="n">
        <v>750</v>
      </c>
    </row>
    <row r="1695">
      <c r="A1695" s="9" t="inlineStr">
        <is>
          <t>CYNTHIA</t>
        </is>
      </c>
      <c r="B1695" s="9" t="inlineStr">
        <is>
          <t>CYNTHIA 07/01/2026</t>
        </is>
      </c>
      <c r="C1695" s="9" t="inlineStr">
        <is>
          <t>2026-01-07</t>
        </is>
      </c>
      <c r="D1695" s="9" t="inlineStr">
        <is>
          <t>664fc85ecbb14</t>
        </is>
      </c>
      <c r="E1695" s="9" t="inlineStr">
        <is>
          <t>LENTES C BROWN</t>
        </is>
      </c>
      <c r="F1695" s="9" t="inlineStr">
        <is>
          <t>Regular</t>
        </is>
      </c>
      <c r="G1695" s="9" t="n">
        <v>4</v>
      </c>
      <c r="H1695" s="21" t="n">
        <v>8.5</v>
      </c>
      <c r="I1695" s="21" t="n">
        <v>225.99</v>
      </c>
      <c r="J1695" s="21" t="n">
        <v>677.98</v>
      </c>
      <c r="K1695" s="21" t="n">
        <v>790.98</v>
      </c>
      <c r="L1695" s="21" t="n">
        <v>903.97</v>
      </c>
      <c r="M1695" s="21" t="n">
        <v>1100</v>
      </c>
    </row>
    <row r="1696">
      <c r="A1696" s="9" t="inlineStr">
        <is>
          <t>CYNTHIA</t>
        </is>
      </c>
      <c r="B1696" s="9" t="inlineStr">
        <is>
          <t>CYNTHIA 07/01/2026</t>
        </is>
      </c>
      <c r="C1696" s="9" t="inlineStr">
        <is>
          <t>2026-01-07</t>
        </is>
      </c>
      <c r="D1696" s="9" t="inlineStr">
        <is>
          <t>665bc0bb805f5</t>
        </is>
      </c>
      <c r="E1696" s="9" t="inlineStr">
        <is>
          <t>LENTES C OVAL GOLD BLACK</t>
        </is>
      </c>
      <c r="F1696" s="9" t="inlineStr">
        <is>
          <t>REGULAR</t>
        </is>
      </c>
      <c r="G1696" s="9" t="n">
        <v>2</v>
      </c>
      <c r="H1696" s="21" t="n">
        <v>29.5</v>
      </c>
      <c r="I1696" s="21" t="n">
        <v>784.33</v>
      </c>
      <c r="J1696" s="21" t="n">
        <v>2352.99</v>
      </c>
      <c r="K1696" s="21" t="n">
        <v>2745.15</v>
      </c>
      <c r="L1696" s="21" t="n">
        <v>3137.32</v>
      </c>
      <c r="M1696" s="21" t="n">
        <v>3199</v>
      </c>
    </row>
    <row r="1697">
      <c r="A1697" s="9" t="inlineStr">
        <is>
          <t>CYNTHIA</t>
        </is>
      </c>
      <c r="B1697" s="9" t="inlineStr">
        <is>
          <t>CYNTHIA 07/01/2026</t>
        </is>
      </c>
      <c r="C1697" s="9" t="inlineStr">
        <is>
          <t>2026-01-07</t>
        </is>
      </c>
      <c r="D1697" s="9" t="inlineStr">
        <is>
          <t>664fc85011676</t>
        </is>
      </c>
      <c r="E1697" s="9" t="inlineStr">
        <is>
          <t>LENTES C THICK GOLD</t>
        </is>
      </c>
      <c r="F1697" s="9" t="inlineStr">
        <is>
          <t>Default Title</t>
        </is>
      </c>
      <c r="G1697" s="9" t="n">
        <v>3</v>
      </c>
      <c r="H1697" s="21" t="n">
        <v>9</v>
      </c>
      <c r="I1697" s="21" t="n">
        <v>239.29</v>
      </c>
      <c r="J1697" s="21" t="n">
        <v>717.86</v>
      </c>
      <c r="K1697" s="21" t="n">
        <v>837.5</v>
      </c>
      <c r="L1697" s="21" t="n">
        <v>957.15</v>
      </c>
      <c r="M1697" s="21" t="n">
        <v>959</v>
      </c>
    </row>
    <row r="1698">
      <c r="A1698" s="9" t="inlineStr">
        <is>
          <t>CYNTHIA</t>
        </is>
      </c>
      <c r="B1698" s="9" t="inlineStr">
        <is>
          <t>CYNTHIA 07/01/2026</t>
        </is>
      </c>
      <c r="C1698" s="9" t="inlineStr">
        <is>
          <t>2026-01-07</t>
        </is>
      </c>
      <c r="D1698" s="9" t="inlineStr">
        <is>
          <t>90487929592844</t>
        </is>
      </c>
      <c r="E1698" s="9" t="inlineStr">
        <is>
          <t>LENTES CD B23</t>
        </is>
      </c>
      <c r="F1698" s="9" t="inlineStr">
        <is>
          <t>Default Title</t>
        </is>
      </c>
      <c r="G1698" s="9" t="n">
        <v>4</v>
      </c>
      <c r="H1698" s="21" t="n">
        <v>30</v>
      </c>
      <c r="I1698" s="21" t="n">
        <v>797.62</v>
      </c>
      <c r="J1698" s="21" t="n">
        <v>2392.87</v>
      </c>
      <c r="K1698" s="21" t="n">
        <v>2791.68</v>
      </c>
      <c r="L1698" s="21" t="n">
        <v>3190.49</v>
      </c>
      <c r="M1698" s="21" t="n">
        <v>3195</v>
      </c>
    </row>
    <row r="1699">
      <c r="A1699" s="9" t="inlineStr">
        <is>
          <t>CYNTHIA</t>
        </is>
      </c>
      <c r="B1699" s="9" t="inlineStr">
        <is>
          <t>CYNTHIA 07/01/2026</t>
        </is>
      </c>
      <c r="C1699" s="9" t="inlineStr">
        <is>
          <t>2026-01-07</t>
        </is>
      </c>
      <c r="D1699" s="9" t="inlineStr">
        <is>
          <t>11915826071979</t>
        </is>
      </c>
      <c r="E1699" s="9" t="inlineStr">
        <is>
          <t>LENTES LV EVIDENCE</t>
        </is>
      </c>
      <c r="F1699" s="9" t="inlineStr">
        <is>
          <t>HIGH QUALITY</t>
        </is>
      </c>
      <c r="G1699" s="9" t="n">
        <v>3</v>
      </c>
      <c r="H1699" s="21" t="n">
        <v>9</v>
      </c>
      <c r="I1699" s="21" t="n">
        <v>239.29</v>
      </c>
      <c r="J1699" s="21" t="n">
        <v>717.86</v>
      </c>
      <c r="K1699" s="21" t="n">
        <v>837.5</v>
      </c>
      <c r="L1699" s="21" t="n">
        <v>957.15</v>
      </c>
      <c r="M1699" s="21" t="n">
        <v>955</v>
      </c>
    </row>
    <row r="1700">
      <c r="A1700" s="9" t="inlineStr">
        <is>
          <t>CYNTHIA</t>
        </is>
      </c>
      <c r="B1700" s="9" t="inlineStr">
        <is>
          <t>CYNTHIA 07/01/2026</t>
        </is>
      </c>
      <c r="C1700" s="9" t="inlineStr">
        <is>
          <t>2026-01-07</t>
        </is>
      </c>
      <c r="D1700" s="9" t="inlineStr">
        <is>
          <t>38332092017357</t>
        </is>
      </c>
      <c r="E1700" s="9" t="inlineStr">
        <is>
          <t>LENTES LV MILIONAIRES SQUARE</t>
        </is>
      </c>
      <c r="F1700" s="9" t="inlineStr">
        <is>
          <t>Default Title</t>
        </is>
      </c>
      <c r="G1700" s="9" t="n">
        <v>2</v>
      </c>
      <c r="H1700" s="21" t="n">
        <v>30</v>
      </c>
      <c r="I1700" s="21" t="n">
        <v>797.62</v>
      </c>
      <c r="J1700" s="21" t="n">
        <v>2392.87</v>
      </c>
      <c r="K1700" s="21" t="n">
        <v>2791.68</v>
      </c>
      <c r="L1700" s="21" t="n">
        <v>3190.49</v>
      </c>
      <c r="M1700" s="21" t="n">
        <v>3115</v>
      </c>
    </row>
    <row r="1701">
      <c r="A1701" s="9" t="inlineStr">
        <is>
          <t>CYNTHIA</t>
        </is>
      </c>
      <c r="B1701" s="9" t="inlineStr">
        <is>
          <t>CYNTHIA 07/01/2026</t>
        </is>
      </c>
      <c r="C1701" s="9" t="inlineStr">
        <is>
          <t>2026-01-07</t>
        </is>
      </c>
      <c r="D1701" s="9" t="inlineStr">
        <is>
          <t>43728084018412</t>
        </is>
      </c>
      <c r="E1701" s="9" t="inlineStr">
        <is>
          <t>LENTES MM</t>
        </is>
      </c>
      <c r="F1701" s="9" t="inlineStr">
        <is>
          <t>Negro</t>
        </is>
      </c>
      <c r="G1701" s="9" t="n">
        <v>3</v>
      </c>
      <c r="H1701" s="21" t="n">
        <v>39</v>
      </c>
      <c r="I1701" s="21" t="n">
        <v>1036.91</v>
      </c>
      <c r="J1701" s="21" t="n">
        <v>3110.73</v>
      </c>
      <c r="K1701" s="21" t="n">
        <v>3629.18</v>
      </c>
      <c r="L1701" s="21" t="n">
        <v>4147.64</v>
      </c>
      <c r="M1701" s="21" t="n">
        <v>3999</v>
      </c>
    </row>
    <row r="1702">
      <c r="A1702" s="9" t="inlineStr">
        <is>
          <t>CYNTHIA</t>
        </is>
      </c>
      <c r="B1702" s="9" t="inlineStr">
        <is>
          <t>CYNTHIA 07/01/2026</t>
        </is>
      </c>
      <c r="C1702" s="9" t="inlineStr">
        <is>
          <t>2026-01-07</t>
        </is>
      </c>
      <c r="D1702" s="9" t="inlineStr">
        <is>
          <t>11915820343339</t>
        </is>
      </c>
      <c r="E1702" s="9" t="inlineStr">
        <is>
          <t>LENTES MM HAVANA</t>
        </is>
      </c>
      <c r="F1702" s="9" t="inlineStr">
        <is>
          <t>Default Title</t>
        </is>
      </c>
      <c r="G1702" s="9" t="n">
        <v>5</v>
      </c>
      <c r="H1702" s="21" t="n">
        <v>27</v>
      </c>
      <c r="I1702" s="21" t="n">
        <v>717.86</v>
      </c>
      <c r="J1702" s="21" t="n">
        <v>2153.58</v>
      </c>
      <c r="K1702" s="21" t="n">
        <v>2512.51</v>
      </c>
      <c r="L1702" s="21" t="n">
        <v>2871.44</v>
      </c>
      <c r="M1702" s="21" t="n">
        <v>2899</v>
      </c>
    </row>
    <row r="1703">
      <c r="A1703" s="9" t="inlineStr">
        <is>
          <t>CYNTHIA</t>
        </is>
      </c>
      <c r="B1703" s="9" t="inlineStr">
        <is>
          <t>CYNTHIA 07/01/2026</t>
        </is>
      </c>
      <c r="C1703" s="9" t="inlineStr">
        <is>
          <t>2026-01-07</t>
        </is>
      </c>
      <c r="D1703" s="9" t="inlineStr">
        <is>
          <t>43026599575692</t>
        </is>
      </c>
      <c r="E1703" s="9" t="inlineStr">
        <is>
          <t>LENTES YSL</t>
        </is>
      </c>
      <c r="F1703" s="9" t="inlineStr">
        <is>
          <t>Regular</t>
        </is>
      </c>
      <c r="G1703" s="9" t="n">
        <v>5</v>
      </c>
      <c r="H1703" s="21" t="n">
        <v>8</v>
      </c>
      <c r="I1703" s="21" t="n">
        <v>212.7</v>
      </c>
      <c r="J1703" s="21" t="n">
        <v>638.1</v>
      </c>
      <c r="K1703" s="21" t="n">
        <v>744.45</v>
      </c>
      <c r="L1703" s="21" t="n">
        <v>850.8</v>
      </c>
      <c r="M1703" s="21" t="n">
        <v>860</v>
      </c>
    </row>
    <row r="1704">
      <c r="A1704" s="9" t="inlineStr">
        <is>
          <t>CYNTHIA</t>
        </is>
      </c>
      <c r="B1704" s="9" t="inlineStr">
        <is>
          <t>CYNTHIA 07/01/2026</t>
        </is>
      </c>
      <c r="C1704" s="9" t="inlineStr">
        <is>
          <t>2026-01-07</t>
        </is>
      </c>
      <c r="D1704" s="9" t="inlineStr">
        <is>
          <t>43026586435724</t>
        </is>
      </c>
      <c r="E1704" s="9" t="inlineStr">
        <is>
          <t>LENTES YSL SQUARE</t>
        </is>
      </c>
      <c r="F1704" s="9" t="inlineStr">
        <is>
          <t>HIGH QUALITY</t>
        </is>
      </c>
      <c r="G1704" s="9" t="n">
        <v>5</v>
      </c>
      <c r="H1704" s="21" t="n">
        <v>8</v>
      </c>
      <c r="I1704" s="21" t="n">
        <v>212.7</v>
      </c>
      <c r="J1704" s="21" t="n">
        <v>638.1</v>
      </c>
      <c r="K1704" s="21" t="n">
        <v>744.45</v>
      </c>
      <c r="L1704" s="21" t="n">
        <v>850.8</v>
      </c>
      <c r="M1704" s="21" t="n">
        <v>850</v>
      </c>
    </row>
    <row r="1705">
      <c r="A1705" s="9" t="inlineStr">
        <is>
          <t>CYNTHIA</t>
        </is>
      </c>
      <c r="B1705" s="9" t="inlineStr">
        <is>
          <t>CYNTHIA 07/01/2026</t>
        </is>
      </c>
      <c r="C1705" s="9" t="inlineStr">
        <is>
          <t>2026-01-07</t>
        </is>
      </c>
      <c r="D1705" s="9" t="inlineStr">
        <is>
          <t>64e78ed47e099</t>
        </is>
      </c>
      <c r="E1705" s="9" t="inlineStr">
        <is>
          <t>PULSERA BLOSSOM STAR ROSEGOLD</t>
        </is>
      </c>
      <c r="F1705" s="9" t="inlineStr">
        <is>
          <t>16cm con extension 5cm</t>
        </is>
      </c>
      <c r="G1705" s="9" t="n">
        <v>7</v>
      </c>
      <c r="H1705" s="21" t="n">
        <v>3.98</v>
      </c>
      <c r="I1705" s="21" t="n">
        <v>105.82</v>
      </c>
      <c r="J1705" s="21" t="n">
        <v>317.45</v>
      </c>
      <c r="K1705" s="21" t="n">
        <v>370.36</v>
      </c>
      <c r="L1705" s="21" t="n">
        <v>423.27</v>
      </c>
      <c r="M1705" s="21" t="n">
        <v>435</v>
      </c>
    </row>
    <row r="1706">
      <c r="A1706" s="9" t="inlineStr">
        <is>
          <t>CYNTHIA</t>
        </is>
      </c>
      <c r="B1706" s="9" t="inlineStr">
        <is>
          <t>CYNTHIA 07/01/2026</t>
        </is>
      </c>
      <c r="C1706" s="9" t="inlineStr">
        <is>
          <t>2026-01-07</t>
        </is>
      </c>
      <c r="D1706" s="9" t="inlineStr">
        <is>
          <t>15711172845805</t>
        </is>
      </c>
      <c r="E1706" s="9" t="inlineStr">
        <is>
          <t>PULSERA C SILVER</t>
        </is>
      </c>
      <c r="F1706" s="9" t="inlineStr">
        <is>
          <t>16 cm</t>
        </is>
      </c>
      <c r="G1706" s="9" t="n">
        <v>3</v>
      </c>
      <c r="H1706" s="21" t="n">
        <v>8.800000000000001</v>
      </c>
      <c r="I1706" s="21" t="n">
        <v>233.97</v>
      </c>
      <c r="J1706" s="21" t="n">
        <v>701.91</v>
      </c>
      <c r="K1706" s="21" t="n">
        <v>818.89</v>
      </c>
      <c r="L1706" s="21" t="n">
        <v>935.88</v>
      </c>
      <c r="M1706" s="21" t="n">
        <v>820</v>
      </c>
    </row>
    <row r="1707">
      <c r="A1707" s="9" t="inlineStr">
        <is>
          <t>CYNTHIA</t>
        </is>
      </c>
      <c r="B1707" s="9" t="inlineStr">
        <is>
          <t>CYNTHIA 07/01/2026</t>
        </is>
      </c>
      <c r="C1707" s="9" t="inlineStr">
        <is>
          <t>2026-01-07</t>
        </is>
      </c>
      <c r="D1707" s="9" t="inlineStr">
        <is>
          <t>646f850714a60</t>
        </is>
      </c>
      <c r="E1707" s="9" t="inlineStr">
        <is>
          <t>PULSERA COCO SILVER</t>
        </is>
      </c>
      <c r="F1707" s="9" t="inlineStr">
        <is>
          <t>17cm</t>
        </is>
      </c>
      <c r="G1707" s="9" t="n">
        <v>1</v>
      </c>
      <c r="H1707" s="21" t="n">
        <v>14</v>
      </c>
      <c r="I1707" s="21" t="n">
        <v>372.22</v>
      </c>
      <c r="J1707" s="21" t="n">
        <v>1116.67</v>
      </c>
      <c r="K1707" s="21" t="n">
        <v>1302.78</v>
      </c>
      <c r="L1707" s="21" t="n">
        <v>1488.9</v>
      </c>
      <c r="M1707" s="21" t="n">
        <v>1489</v>
      </c>
    </row>
    <row r="1708">
      <c r="A1708" s="9" t="inlineStr">
        <is>
          <t>CYNTHIA</t>
        </is>
      </c>
      <c r="B1708" s="9" t="inlineStr">
        <is>
          <t>CYNTHIA 07/01/2026</t>
        </is>
      </c>
      <c r="C1708" s="9" t="inlineStr">
        <is>
          <t>2026-01-07</t>
        </is>
      </c>
      <c r="D1708" s="9" t="inlineStr">
        <is>
          <t>668eee41bab7a</t>
        </is>
      </c>
      <c r="E1708" s="9" t="inlineStr">
        <is>
          <t>PULSERA ESLABONES GOLD</t>
        </is>
      </c>
      <c r="F1708" s="9" t="inlineStr">
        <is>
          <t>High Quality 17.5cm</t>
        </is>
      </c>
      <c r="G1708" s="9" t="n">
        <v>8</v>
      </c>
      <c r="H1708" s="21" t="n">
        <v>12.8</v>
      </c>
      <c r="I1708" s="21" t="n">
        <v>340.32</v>
      </c>
      <c r="J1708" s="21" t="n">
        <v>1020.96</v>
      </c>
      <c r="K1708" s="21" t="n">
        <v>1191.12</v>
      </c>
      <c r="L1708" s="21" t="n">
        <v>1361.28</v>
      </c>
      <c r="M1708" s="21" t="n">
        <v>1469</v>
      </c>
    </row>
    <row r="1709">
      <c r="A1709" s="9" t="inlineStr">
        <is>
          <t>CYNTHIA</t>
        </is>
      </c>
      <c r="B1709" s="9" t="inlineStr">
        <is>
          <t>CYNTHIA 07/01/2026</t>
        </is>
      </c>
      <c r="C1709" s="9" t="inlineStr">
        <is>
          <t>2026-01-07</t>
        </is>
      </c>
      <c r="D1709" s="9" t="inlineStr">
        <is>
          <t>43047195574412</t>
        </is>
      </c>
      <c r="E1709" s="9" t="inlineStr">
        <is>
          <t>PULSERA ESLABONES ROSE GOLD</t>
        </is>
      </c>
      <c r="F1709" s="9" t="inlineStr">
        <is>
          <t>17.5cm</t>
        </is>
      </c>
      <c r="G1709" s="9" t="n">
        <v>3</v>
      </c>
      <c r="H1709" s="21" t="n">
        <v>12.8</v>
      </c>
      <c r="I1709" s="21" t="n">
        <v>340.32</v>
      </c>
      <c r="J1709" s="21" t="n">
        <v>1020.96</v>
      </c>
      <c r="K1709" s="21" t="n">
        <v>1191.12</v>
      </c>
      <c r="L1709" s="21" t="n">
        <v>1361.28</v>
      </c>
      <c r="M1709" s="21" t="n">
        <v>1445</v>
      </c>
    </row>
    <row r="1710">
      <c r="A1710" s="9" t="inlineStr">
        <is>
          <t>CYNTHIA</t>
        </is>
      </c>
      <c r="B1710" s="9" t="inlineStr">
        <is>
          <t>CYNTHIA 07/01/2026</t>
        </is>
      </c>
      <c r="C1710" s="9" t="inlineStr">
        <is>
          <t>2026-01-07</t>
        </is>
      </c>
      <c r="D1710" s="9" t="inlineStr">
        <is>
          <t>668eee4e0326c</t>
        </is>
      </c>
      <c r="E1710" s="9" t="inlineStr">
        <is>
          <t>PULSERA ESLABONES SILVER</t>
        </is>
      </c>
      <c r="F1710" s="9" t="inlineStr">
        <is>
          <t>High Quality 17.5 cm</t>
        </is>
      </c>
      <c r="G1710" s="9" t="n">
        <v>1</v>
      </c>
      <c r="H1710" s="21" t="n">
        <v>12.8</v>
      </c>
      <c r="I1710" s="21" t="n">
        <v>340.32</v>
      </c>
      <c r="J1710" s="21" t="n">
        <v>1020.96</v>
      </c>
      <c r="K1710" s="21" t="n">
        <v>1191.12</v>
      </c>
      <c r="L1710" s="21" t="n">
        <v>1361.28</v>
      </c>
      <c r="M1710" s="21" t="n">
        <v>1369</v>
      </c>
    </row>
    <row r="1711">
      <c r="A1711" s="9" t="inlineStr">
        <is>
          <t>CYNTHIA</t>
        </is>
      </c>
      <c r="B1711" s="9" t="inlineStr">
        <is>
          <t>CYNTHIA 07/01/2026</t>
        </is>
      </c>
      <c r="C1711" s="9" t="inlineStr">
        <is>
          <t>2026-01-07</t>
        </is>
      </c>
      <c r="D1711" s="9" t="inlineStr">
        <is>
          <t>71036872850956</t>
        </is>
      </c>
      <c r="E1711" s="9" t="inlineStr">
        <is>
          <t>PULSERA GC INTERLOCKING</t>
        </is>
      </c>
      <c r="F1711" s="9" t="inlineStr">
        <is>
          <t>18cm</t>
        </is>
      </c>
      <c r="G1711" s="9" t="n">
        <v>2</v>
      </c>
      <c r="H1711" s="21" t="n">
        <v>12.8</v>
      </c>
      <c r="I1711" s="21" t="n">
        <v>340.32</v>
      </c>
      <c r="J1711" s="21" t="n">
        <v>1020.96</v>
      </c>
      <c r="K1711" s="21" t="n">
        <v>1191.12</v>
      </c>
      <c r="L1711" s="21" t="n">
        <v>1361.28</v>
      </c>
      <c r="M1711" s="21" t="n">
        <v>1205</v>
      </c>
    </row>
    <row r="1712">
      <c r="A1712" s="9" t="inlineStr">
        <is>
          <t>CYNTHIA</t>
        </is>
      </c>
      <c r="B1712" s="9" t="inlineStr">
        <is>
          <t>CYNTHIA 07/01/2026</t>
        </is>
      </c>
      <c r="C1712" s="9" t="inlineStr">
        <is>
          <t>2026-01-07</t>
        </is>
      </c>
      <c r="D1712" s="9" t="inlineStr">
        <is>
          <t>43047213301900</t>
        </is>
      </c>
      <c r="E1712" s="9" t="inlineStr">
        <is>
          <t>PULSERA KNOT GOLD</t>
        </is>
      </c>
      <c r="F1712" s="9" t="inlineStr">
        <is>
          <t>17cm</t>
        </is>
      </c>
      <c r="G1712" s="9" t="n">
        <v>2</v>
      </c>
      <c r="H1712" s="21" t="n">
        <v>16</v>
      </c>
      <c r="I1712" s="21" t="n">
        <v>425.4</v>
      </c>
      <c r="J1712" s="21" t="n">
        <v>1276.2</v>
      </c>
      <c r="K1712" s="21" t="n">
        <v>1488.9</v>
      </c>
      <c r="L1712" s="21" t="n">
        <v>1701.6</v>
      </c>
      <c r="M1712" s="21" t="n">
        <v>1699</v>
      </c>
    </row>
    <row r="1713">
      <c r="A1713" s="9" t="inlineStr">
        <is>
          <t>CYNTHIA</t>
        </is>
      </c>
      <c r="B1713" s="9" t="inlineStr">
        <is>
          <t>CYNTHIA 07/01/2026</t>
        </is>
      </c>
      <c r="C1713" s="9" t="inlineStr">
        <is>
          <t>2026-01-07</t>
        </is>
      </c>
      <c r="D1713" s="9" t="inlineStr">
        <is>
          <t>43047248920716</t>
        </is>
      </c>
      <c r="E1713" s="9" t="inlineStr">
        <is>
          <t>PULSERA KNOT ROSE GOLD</t>
        </is>
      </c>
      <c r="F1713" s="9" t="inlineStr">
        <is>
          <t>16cm</t>
        </is>
      </c>
      <c r="G1713" s="9" t="n">
        <v>1</v>
      </c>
      <c r="H1713" s="21" t="n">
        <v>16</v>
      </c>
      <c r="I1713" s="21" t="n">
        <v>425.4</v>
      </c>
      <c r="J1713" s="21" t="n">
        <v>1276.2</v>
      </c>
      <c r="K1713" s="21" t="n">
        <v>1488.9</v>
      </c>
      <c r="L1713" s="21" t="n">
        <v>1701.6</v>
      </c>
      <c r="M1713" s="21" t="n">
        <v>1720</v>
      </c>
    </row>
    <row r="1714">
      <c r="A1714" s="9" t="inlineStr">
        <is>
          <t>CYNTHIA</t>
        </is>
      </c>
      <c r="B1714" s="9" t="inlineStr">
        <is>
          <t>CYNTHIA 07/01/2026</t>
        </is>
      </c>
      <c r="C1714" s="9" t="inlineStr">
        <is>
          <t>2026-01-07</t>
        </is>
      </c>
      <c r="D1714" s="9" t="inlineStr">
        <is>
          <t>43047216218252</t>
        </is>
      </c>
      <c r="E1714" s="9" t="inlineStr">
        <is>
          <t>PULSERA LOCK GOLD GOLD</t>
        </is>
      </c>
      <c r="F1714" s="9" t="inlineStr">
        <is>
          <t>17.5cm</t>
        </is>
      </c>
      <c r="G1714" s="9" t="n">
        <v>2</v>
      </c>
      <c r="H1714" s="21" t="n">
        <v>16.5</v>
      </c>
      <c r="I1714" s="21" t="n">
        <v>438.69</v>
      </c>
      <c r="J1714" s="21" t="n">
        <v>1316.08</v>
      </c>
      <c r="K1714" s="21" t="n">
        <v>1535.42</v>
      </c>
      <c r="L1714" s="21" t="n">
        <v>1754.77</v>
      </c>
      <c r="M1714" s="21" t="n">
        <v>1539</v>
      </c>
    </row>
    <row r="1715">
      <c r="A1715" s="9" t="inlineStr">
        <is>
          <t>CYNTHIA</t>
        </is>
      </c>
      <c r="B1715" s="9" t="inlineStr">
        <is>
          <t>CYNTHIA 07/01/2026</t>
        </is>
      </c>
      <c r="C1715" s="9" t="inlineStr">
        <is>
          <t>2026-01-07</t>
        </is>
      </c>
      <c r="D1715" s="9" t="inlineStr">
        <is>
          <t>43047215530124</t>
        </is>
      </c>
      <c r="E1715" s="9" t="inlineStr">
        <is>
          <t>PULSERA LOCK GOLD-SILVER</t>
        </is>
      </c>
      <c r="F1715" s="9" t="inlineStr">
        <is>
          <t>17.5cm</t>
        </is>
      </c>
      <c r="G1715" s="9" t="n">
        <v>4</v>
      </c>
      <c r="H1715" s="21" t="n">
        <v>16.5</v>
      </c>
      <c r="I1715" s="21" t="n">
        <v>438.69</v>
      </c>
      <c r="J1715" s="21" t="n">
        <v>1316.08</v>
      </c>
      <c r="K1715" s="21" t="n">
        <v>1535.42</v>
      </c>
      <c r="L1715" s="21" t="n">
        <v>1754.77</v>
      </c>
      <c r="M1715" s="21" t="n">
        <v>1750</v>
      </c>
    </row>
    <row r="1716">
      <c r="A1716" s="9" t="inlineStr">
        <is>
          <t>CYNTHIA</t>
        </is>
      </c>
      <c r="B1716" s="9" t="inlineStr">
        <is>
          <t>CYNTHIA 07/01/2026</t>
        </is>
      </c>
      <c r="C1716" s="9" t="inlineStr">
        <is>
          <t>2026-01-07</t>
        </is>
      </c>
      <c r="D1716" s="9" t="inlineStr">
        <is>
          <t>43047212384396</t>
        </is>
      </c>
      <c r="E1716" s="9" t="inlineStr">
        <is>
          <t>PULSERA LOCK SILVER</t>
        </is>
      </c>
      <c r="F1716" s="9" t="inlineStr">
        <is>
          <t>17.5cm</t>
        </is>
      </c>
      <c r="G1716" s="9" t="n">
        <v>3</v>
      </c>
      <c r="H1716" s="21" t="n">
        <v>15.8</v>
      </c>
      <c r="I1716" s="21" t="n">
        <v>420.08</v>
      </c>
      <c r="J1716" s="21" t="n">
        <v>1260.24</v>
      </c>
      <c r="K1716" s="21" t="n">
        <v>1470.28</v>
      </c>
      <c r="L1716" s="21" t="n">
        <v>1680.33</v>
      </c>
      <c r="M1716" s="21" t="n">
        <v>1679</v>
      </c>
    </row>
    <row r="1717">
      <c r="A1717" s="9" t="inlineStr">
        <is>
          <t>CYNTHIA</t>
        </is>
      </c>
      <c r="B1717" s="9" t="inlineStr">
        <is>
          <t>CYNTHIA 07/01/2026</t>
        </is>
      </c>
      <c r="C1717" s="9" t="inlineStr">
        <is>
          <t>2026-01-07</t>
        </is>
      </c>
      <c r="D1717" s="9" t="inlineStr">
        <is>
          <t>8275735417996</t>
        </is>
      </c>
      <c r="E1717" s="9" t="inlineStr">
        <is>
          <t>PULSERA LV BLOSSOM GOLD</t>
        </is>
      </c>
      <c r="F1717" s="9" t="inlineStr">
        <is>
          <t>17cm</t>
        </is>
      </c>
      <c r="G1717" s="9" t="n">
        <v>6</v>
      </c>
      <c r="H1717" s="21" t="n">
        <v>12.8</v>
      </c>
      <c r="I1717" s="21" t="n">
        <v>340.32</v>
      </c>
      <c r="J1717" s="21" t="n">
        <v>1020.96</v>
      </c>
      <c r="K1717" s="21" t="n">
        <v>1191.12</v>
      </c>
      <c r="L1717" s="21" t="n">
        <v>1361.28</v>
      </c>
      <c r="M1717" s="21" t="n">
        <v>1399</v>
      </c>
    </row>
    <row r="1718">
      <c r="A1718" s="9" t="inlineStr">
        <is>
          <t>CYNTHIA</t>
        </is>
      </c>
      <c r="B1718" s="9" t="inlineStr">
        <is>
          <t>CYNTHIA 07/01/2026</t>
        </is>
      </c>
      <c r="C1718" s="9" t="inlineStr">
        <is>
          <t>2026-01-07</t>
        </is>
      </c>
      <c r="D1718" s="9" t="inlineStr">
        <is>
          <t>38332091487821</t>
        </is>
      </c>
      <c r="E1718" s="9" t="inlineStr">
        <is>
          <t>PULSERA LV DOUBLE HEART GOLD-SILVER</t>
        </is>
      </c>
      <c r="F1718" s="9" t="inlineStr">
        <is>
          <t>Default Title</t>
        </is>
      </c>
      <c r="G1718" s="9" t="n">
        <v>3</v>
      </c>
      <c r="H1718" s="21" t="n">
        <v>4.5</v>
      </c>
      <c r="I1718" s="21" t="n">
        <v>119.64</v>
      </c>
      <c r="J1718" s="21" t="n">
        <v>358.93</v>
      </c>
      <c r="K1718" s="21" t="n">
        <v>418.75</v>
      </c>
      <c r="L1718" s="21" t="n">
        <v>478.57</v>
      </c>
      <c r="M1718" s="21" t="n">
        <v>479</v>
      </c>
    </row>
    <row r="1719">
      <c r="A1719" s="9" t="inlineStr">
        <is>
          <t>CYNTHIA</t>
        </is>
      </c>
      <c r="B1719" s="9" t="inlineStr">
        <is>
          <t>CYNTHIA 07/01/2026</t>
        </is>
      </c>
      <c r="C1719" s="9" t="inlineStr">
        <is>
          <t>2026-01-07</t>
        </is>
      </c>
      <c r="D1719" s="9" t="inlineStr">
        <is>
          <t>679aa28b5f6b1</t>
        </is>
      </c>
      <c r="E1719" s="9" t="inlineStr">
        <is>
          <t>PULSERA P DIAMOND BLUE</t>
        </is>
      </c>
      <c r="F1719" s="9" t="inlineStr">
        <is>
          <t>16cm de largo con 3cm de extensión</t>
        </is>
      </c>
      <c r="G1719" s="9" t="n">
        <v>3</v>
      </c>
      <c r="H1719" s="21" t="n">
        <v>6</v>
      </c>
      <c r="I1719" s="21" t="n">
        <v>159.52</v>
      </c>
      <c r="J1719" s="21" t="n">
        <v>478.57</v>
      </c>
      <c r="K1719" s="21" t="n">
        <v>558.34</v>
      </c>
      <c r="L1719" s="21" t="n">
        <v>638.1</v>
      </c>
      <c r="M1719" s="21" t="n">
        <v>545</v>
      </c>
    </row>
    <row r="1720">
      <c r="A1720" s="9" t="inlineStr">
        <is>
          <t>CYNTHIA</t>
        </is>
      </c>
      <c r="B1720" s="9" t="inlineStr">
        <is>
          <t>CYNTHIA 07/01/2026</t>
        </is>
      </c>
      <c r="C1720" s="9" t="inlineStr">
        <is>
          <t>2026-01-07</t>
        </is>
      </c>
      <c r="D1720" s="9" t="inlineStr">
        <is>
          <t>665bce42479e9</t>
        </is>
      </c>
      <c r="E1720" s="9" t="inlineStr">
        <is>
          <t>PULSERA P STARS</t>
        </is>
      </c>
      <c r="F1720" s="9" t="inlineStr">
        <is>
          <t>16cm extensión de 4cm</t>
        </is>
      </c>
      <c r="G1720" s="9" t="n">
        <v>3</v>
      </c>
      <c r="H1720" s="21" t="n">
        <v>6</v>
      </c>
      <c r="I1720" s="21" t="n">
        <v>159.52</v>
      </c>
      <c r="J1720" s="21" t="n">
        <v>478.57</v>
      </c>
      <c r="K1720" s="21" t="n">
        <v>558.34</v>
      </c>
      <c r="L1720" s="21" t="n">
        <v>638.1</v>
      </c>
      <c r="M1720" s="21" t="n">
        <v>545</v>
      </c>
    </row>
    <row r="1721">
      <c r="A1721" s="9" t="inlineStr">
        <is>
          <t>CYNTHIA</t>
        </is>
      </c>
      <c r="B1721" s="9" t="inlineStr">
        <is>
          <t>CYNTHIA 07/01/2026</t>
        </is>
      </c>
      <c r="C1721" s="9" t="inlineStr">
        <is>
          <t>2026-01-07</t>
        </is>
      </c>
      <c r="D1721" s="9" t="inlineStr">
        <is>
          <t>15711172404461</t>
        </is>
      </c>
      <c r="E1721" s="9" t="inlineStr">
        <is>
          <t>PULSERA PETIT CD JOLIE GOLD</t>
        </is>
      </c>
      <c r="F1721" s="9" t="inlineStr">
        <is>
          <t>20 cm</t>
        </is>
      </c>
      <c r="G1721" s="9" t="n">
        <v>4</v>
      </c>
      <c r="H1721" s="21" t="n">
        <v>8.800000000000001</v>
      </c>
      <c r="I1721" s="21" t="n">
        <v>233.97</v>
      </c>
      <c r="J1721" s="21" t="n">
        <v>701.91</v>
      </c>
      <c r="K1721" s="21" t="n">
        <v>818.89</v>
      </c>
      <c r="L1721" s="21" t="n">
        <v>935.88</v>
      </c>
      <c r="M1721" s="21" t="n">
        <v>935</v>
      </c>
    </row>
    <row r="1722">
      <c r="A1722" s="9" t="inlineStr">
        <is>
          <t>CYNTHIA</t>
        </is>
      </c>
      <c r="B1722" s="9" t="inlineStr">
        <is>
          <t>CYNTHIA 07/01/2026</t>
        </is>
      </c>
      <c r="C1722" s="9" t="inlineStr">
        <is>
          <t>2026-01-07</t>
        </is>
      </c>
      <c r="D1722" s="9" t="inlineStr">
        <is>
          <t>63ebe0260e034</t>
        </is>
      </c>
      <c r="E1722" s="9" t="inlineStr">
        <is>
          <t>PULSERA SERPENTI SILVER CON ZIRCONIA</t>
        </is>
      </c>
      <c r="F1722" s="9" t="inlineStr">
        <is>
          <t>18 cm</t>
        </is>
      </c>
      <c r="G1722" s="9" t="n">
        <v>3</v>
      </c>
      <c r="H1722" s="21" t="n">
        <v>13.8</v>
      </c>
      <c r="I1722" s="21" t="n">
        <v>366.91</v>
      </c>
      <c r="J1722" s="21" t="n">
        <v>1100.72</v>
      </c>
      <c r="K1722" s="21" t="n">
        <v>1284.17</v>
      </c>
      <c r="L1722" s="21" t="n">
        <v>1467.63</v>
      </c>
      <c r="M1722" s="21" t="n">
        <v>1435</v>
      </c>
    </row>
    <row r="1723">
      <c r="A1723" s="9" t="inlineStr">
        <is>
          <t>CYNTHIA</t>
        </is>
      </c>
      <c r="B1723" s="9" t="inlineStr">
        <is>
          <t>CYNTHIA 07/01/2026</t>
        </is>
      </c>
      <c r="C1723" s="9" t="inlineStr">
        <is>
          <t>2026-01-07</t>
        </is>
      </c>
      <c r="D1723" s="9" t="inlineStr">
        <is>
          <t>43047214907532</t>
        </is>
      </c>
      <c r="E1723" s="9" t="inlineStr">
        <is>
          <t>PULSERA SIXTEEN STONES</t>
        </is>
      </c>
      <c r="F1723" s="9" t="inlineStr">
        <is>
          <t>19cm</t>
        </is>
      </c>
      <c r="G1723" s="9" t="n">
        <v>3</v>
      </c>
      <c r="H1723" s="21" t="n">
        <v>20</v>
      </c>
      <c r="I1723" s="21" t="n">
        <v>531.75</v>
      </c>
      <c r="J1723" s="21" t="n">
        <v>1595.25</v>
      </c>
      <c r="K1723" s="21" t="n">
        <v>1861.12</v>
      </c>
      <c r="L1723" s="21" t="n">
        <v>2126.99</v>
      </c>
      <c r="M1723" s="21" t="n">
        <v>1816.51</v>
      </c>
    </row>
    <row r="1724">
      <c r="A1724" s="9" t="inlineStr">
        <is>
          <t>CYNTHIA</t>
        </is>
      </c>
      <c r="B1724" s="9" t="inlineStr">
        <is>
          <t>CYNTHIA 07/01/2026</t>
        </is>
      </c>
      <c r="C1724" s="9" t="inlineStr">
        <is>
          <t>2026-01-07</t>
        </is>
      </c>
      <c r="D1724" s="9" t="inlineStr">
        <is>
          <t>67201535928013</t>
        </is>
      </c>
      <c r="E1724" s="9" t="inlineStr">
        <is>
          <t>PULSERA SNAKE GOLD T</t>
        </is>
      </c>
      <c r="F1724" s="9" t="inlineStr">
        <is>
          <t>Default Title</t>
        </is>
      </c>
      <c r="G1724" s="9" t="n">
        <v>4</v>
      </c>
      <c r="H1724" s="21" t="n">
        <v>14</v>
      </c>
      <c r="I1724" s="21" t="n">
        <v>372.22</v>
      </c>
      <c r="J1724" s="21" t="n">
        <v>1116.67</v>
      </c>
      <c r="K1724" s="21" t="n">
        <v>1302.78</v>
      </c>
      <c r="L1724" s="21" t="n">
        <v>1488.9</v>
      </c>
      <c r="M1724" s="21" t="n">
        <v>1305</v>
      </c>
    </row>
    <row r="1725">
      <c r="A1725" s="9" t="inlineStr">
        <is>
          <t>CYNTHIA</t>
        </is>
      </c>
      <c r="B1725" s="9" t="inlineStr">
        <is>
          <t>CYNTHIA 07/01/2026</t>
        </is>
      </c>
      <c r="C1725" s="9" t="inlineStr">
        <is>
          <t>2026-01-07</t>
        </is>
      </c>
      <c r="D1725" s="9" t="inlineStr">
        <is>
          <t>43047203897484</t>
        </is>
      </c>
      <c r="E1725" s="9" t="inlineStr">
        <is>
          <t>PULSERA T ANGOSTA ROSE GOLD</t>
        </is>
      </c>
      <c r="F1725" s="9" t="inlineStr">
        <is>
          <t>16cm</t>
        </is>
      </c>
      <c r="G1725" s="9" t="n">
        <v>1</v>
      </c>
      <c r="H1725" s="21" t="n">
        <v>14</v>
      </c>
      <c r="I1725" s="21" t="n">
        <v>372.22</v>
      </c>
      <c r="J1725" s="21" t="n">
        <v>1116.67</v>
      </c>
      <c r="K1725" s="21" t="n">
        <v>1302.78</v>
      </c>
      <c r="L1725" s="21" t="n">
        <v>1488.9</v>
      </c>
      <c r="M1725" s="21" t="n">
        <v>1305</v>
      </c>
    </row>
    <row r="1726">
      <c r="A1726" s="9" t="inlineStr">
        <is>
          <t>CYNTHIA</t>
        </is>
      </c>
      <c r="B1726" s="9" t="inlineStr">
        <is>
          <t>CYNTHIA 07/01/2026</t>
        </is>
      </c>
      <c r="C1726" s="9" t="inlineStr">
        <is>
          <t>2026-01-07</t>
        </is>
      </c>
      <c r="D1726" s="9" t="inlineStr">
        <is>
          <t>668eee3b4af12</t>
        </is>
      </c>
      <c r="E1726" s="9" t="inlineStr">
        <is>
          <t>PULSERA T CON ZIRCONIA Y COLOR TURQUESA</t>
        </is>
      </c>
      <c r="F1726" s="9" t="inlineStr">
        <is>
          <t>16 cm</t>
        </is>
      </c>
      <c r="G1726" s="9" t="n">
        <v>3</v>
      </c>
      <c r="H1726" s="21" t="n">
        <v>6</v>
      </c>
      <c r="I1726" s="21" t="n">
        <v>159.52</v>
      </c>
      <c r="J1726" s="21" t="n">
        <v>478.57</v>
      </c>
      <c r="K1726" s="21" t="n">
        <v>558.34</v>
      </c>
      <c r="L1726" s="21" t="n">
        <v>638.1</v>
      </c>
      <c r="M1726" s="21" t="n">
        <v>639</v>
      </c>
    </row>
    <row r="1727">
      <c r="A1727" s="9" t="inlineStr">
        <is>
          <t>CYNTHIA</t>
        </is>
      </c>
      <c r="B1727" s="9" t="inlineStr">
        <is>
          <t>CYNTHIA 07/01/2026</t>
        </is>
      </c>
      <c r="C1727" s="9" t="inlineStr">
        <is>
          <t>2026-01-07</t>
        </is>
      </c>
      <c r="D1727" s="9" t="inlineStr">
        <is>
          <t>668eecb8df0eb</t>
        </is>
      </c>
      <c r="E1727" s="9" t="inlineStr">
        <is>
          <t>PULSERA T GOLD</t>
        </is>
      </c>
      <c r="F1727" s="9" t="inlineStr">
        <is>
          <t>16 cm</t>
        </is>
      </c>
      <c r="G1727" s="9" t="n">
        <v>5</v>
      </c>
      <c r="H1727" s="21" t="n">
        <v>9.5</v>
      </c>
      <c r="I1727" s="21" t="n">
        <v>252.58</v>
      </c>
      <c r="J1727" s="21" t="n">
        <v>757.74</v>
      </c>
      <c r="K1727" s="21" t="n">
        <v>884.03</v>
      </c>
      <c r="L1727" s="21" t="n">
        <v>1010.32</v>
      </c>
      <c r="M1727" s="21" t="n">
        <v>885</v>
      </c>
    </row>
    <row r="1728">
      <c r="A1728" s="9" t="inlineStr">
        <is>
          <t>CYNTHIA</t>
        </is>
      </c>
      <c r="B1728" s="9" t="inlineStr">
        <is>
          <t>CYNTHIA 07/01/2026</t>
        </is>
      </c>
      <c r="C1728" s="9" t="inlineStr">
        <is>
          <t>2026-01-07</t>
        </is>
      </c>
      <c r="D1728" s="9" t="inlineStr">
        <is>
          <t>66e2425fcbc7e</t>
        </is>
      </c>
      <c r="E1728" s="9" t="inlineStr">
        <is>
          <t>TARJETERO G BLACK</t>
        </is>
      </c>
      <c r="F1728" s="9" t="inlineStr">
        <is>
          <t>10.5cm de largo x 7.6cm de alto</t>
        </is>
      </c>
      <c r="G1728" s="9" t="n">
        <v>2</v>
      </c>
      <c r="H1728" s="21" t="n">
        <v>26</v>
      </c>
      <c r="I1728" s="21" t="n">
        <v>691.27</v>
      </c>
      <c r="J1728" s="21" t="n">
        <v>2073.82</v>
      </c>
      <c r="K1728" s="21" t="n">
        <v>2419.46</v>
      </c>
      <c r="L1728" s="21" t="n">
        <v>2765.09</v>
      </c>
      <c r="M1728" s="21" t="n">
        <v>2420</v>
      </c>
    </row>
    <row r="1729">
      <c r="A1729" s="9" t="inlineStr">
        <is>
          <t>CYNTHIA</t>
        </is>
      </c>
      <c r="B1729" s="9" t="inlineStr">
        <is>
          <t>CYNTHIA 07/01/2026</t>
        </is>
      </c>
      <c r="C1729" s="9" t="inlineStr">
        <is>
          <t>2026-01-07</t>
        </is>
      </c>
      <c r="D1729" s="9" t="inlineStr">
        <is>
          <t>66f1ed2f6cfb6</t>
        </is>
      </c>
      <c r="E1729" s="9" t="inlineStr">
        <is>
          <t>TARJETERO G GRAY</t>
        </is>
      </c>
      <c r="F1729" s="9" t="inlineStr">
        <is>
          <t>10.5cm de largo x 7.6cm de alto</t>
        </is>
      </c>
      <c r="G1729" s="9" t="n">
        <v>2</v>
      </c>
      <c r="H1729" s="21" t="n">
        <v>26</v>
      </c>
      <c r="I1729" s="21" t="n">
        <v>691.27</v>
      </c>
      <c r="J1729" s="21" t="n">
        <v>2073.82</v>
      </c>
      <c r="K1729" s="21" t="n">
        <v>2419.46</v>
      </c>
      <c r="L1729" s="21" t="n">
        <v>2765.09</v>
      </c>
      <c r="M1729" s="21" t="n">
        <v>2699</v>
      </c>
    </row>
    <row r="1730">
      <c r="A1730" s="9" t="inlineStr">
        <is>
          <t>CYNTHIA</t>
        </is>
      </c>
      <c r="B1730" s="9" t="inlineStr">
        <is>
          <t>CYNTHIA 07/01/2026</t>
        </is>
      </c>
      <c r="C1730" s="9" t="inlineStr">
        <is>
          <t>2026-01-07</t>
        </is>
      </c>
      <c r="D1730" s="9" t="inlineStr">
        <is>
          <t>665bd4aa5e311</t>
        </is>
      </c>
      <c r="E1730" s="9" t="inlineStr">
        <is>
          <t>TARJETERO YSL LOGO BLACK</t>
        </is>
      </c>
      <c r="F1730" s="9" t="inlineStr">
        <is>
          <t>10cm de largo x 7.5cm de alto</t>
        </is>
      </c>
      <c r="G1730" s="9" t="n">
        <v>5</v>
      </c>
      <c r="H1730" s="21" t="n">
        <v>24</v>
      </c>
      <c r="I1730" s="21" t="n">
        <v>638.1</v>
      </c>
      <c r="J1730" s="21" t="n">
        <v>1914.29</v>
      </c>
      <c r="K1730" s="21" t="n">
        <v>2233.34</v>
      </c>
      <c r="L1730" s="21" t="n">
        <v>2552.39</v>
      </c>
      <c r="M1730" s="21" t="n">
        <v>2279</v>
      </c>
    </row>
    <row r="1731">
      <c r="A1731" s="9" t="inlineStr">
        <is>
          <t>CYNTHIA</t>
        </is>
      </c>
      <c r="B1731" s="9" t="inlineStr">
        <is>
          <t>CYNTHIA 07/01/2026</t>
        </is>
      </c>
      <c r="C1731" s="9" t="inlineStr">
        <is>
          <t>2026-01-07</t>
        </is>
      </c>
      <c r="D1731" s="9" t="inlineStr">
        <is>
          <t>43728071397708</t>
        </is>
      </c>
      <c r="E1731" s="9" t="inlineStr">
        <is>
          <t>TARJETERO YSL RED</t>
        </is>
      </c>
      <c r="F1731" s="9" t="inlineStr">
        <is>
          <t>10.5cmx7.5cm</t>
        </is>
      </c>
      <c r="G1731" s="9" t="n">
        <v>4</v>
      </c>
      <c r="H1731" s="21" t="n">
        <v>20</v>
      </c>
      <c r="I1731" s="21" t="n">
        <v>531.75</v>
      </c>
      <c r="J1731" s="21" t="n">
        <v>1595.25</v>
      </c>
      <c r="K1731" s="21" t="n">
        <v>1861.12</v>
      </c>
      <c r="L1731" s="21" t="n">
        <v>2126.99</v>
      </c>
      <c r="M1731" s="21" t="n">
        <v>2079</v>
      </c>
    </row>
    <row r="1732">
      <c r="A1732" s="9" t="inlineStr">
        <is>
          <t>COCOMA</t>
        </is>
      </c>
      <c r="B1732" s="9" t="inlineStr">
        <is>
          <t>COCOMA 20/01/2026</t>
        </is>
      </c>
      <c r="C1732" s="9" t="inlineStr">
        <is>
          <t>2026-01-20</t>
        </is>
      </c>
      <c r="D1732" s="9" t="inlineStr">
        <is>
          <t>64e78e797f140</t>
        </is>
      </c>
      <c r="E1732" s="9" t="inlineStr">
        <is>
          <t>ANILLO BV 3 OROS</t>
        </is>
      </c>
      <c r="F1732" s="9" t="inlineStr">
        <is>
          <t>6</t>
        </is>
      </c>
      <c r="G1732" s="9" t="n">
        <v>10</v>
      </c>
      <c r="H1732" s="21" t="n">
        <v>4.08</v>
      </c>
      <c r="I1732" s="21" t="n">
        <v>98.59</v>
      </c>
      <c r="J1732" s="21" t="n">
        <v>295.78</v>
      </c>
      <c r="K1732" s="21" t="n">
        <v>345.07</v>
      </c>
      <c r="L1732" s="21" t="n">
        <v>394.37</v>
      </c>
      <c r="M1732" s="21" t="n">
        <v>520</v>
      </c>
    </row>
    <row r="1733">
      <c r="A1733" s="9" t="inlineStr">
        <is>
          <t>COCOMA</t>
        </is>
      </c>
      <c r="B1733" s="9" t="inlineStr">
        <is>
          <t>COCOMA 20/01/2026</t>
        </is>
      </c>
      <c r="C1733" s="9" t="inlineStr">
        <is>
          <t>2026-01-20</t>
        </is>
      </c>
      <c r="D1733" s="9" t="inlineStr">
        <is>
          <t>64e78e7a486d9</t>
        </is>
      </c>
      <c r="E1733" s="9" t="inlineStr">
        <is>
          <t>ANILLO BV 3 OROS</t>
        </is>
      </c>
      <c r="F1733" s="9" t="inlineStr">
        <is>
          <t>7</t>
        </is>
      </c>
      <c r="G1733" s="9" t="n">
        <v>10</v>
      </c>
      <c r="H1733" s="21" t="n">
        <v>4.08</v>
      </c>
      <c r="I1733" s="21" t="n">
        <v>98.59</v>
      </c>
      <c r="J1733" s="21" t="n">
        <v>295.78</v>
      </c>
      <c r="K1733" s="21" t="n">
        <v>345.07</v>
      </c>
      <c r="L1733" s="21" t="n">
        <v>394.37</v>
      </c>
      <c r="M1733" s="21" t="n">
        <v>520</v>
      </c>
    </row>
    <row r="1734">
      <c r="A1734" s="9" t="inlineStr">
        <is>
          <t>COCOMA</t>
        </is>
      </c>
      <c r="B1734" s="9" t="inlineStr">
        <is>
          <t>COCOMA 20/01/2026</t>
        </is>
      </c>
      <c r="C1734" s="9" t="inlineStr">
        <is>
          <t>2026-01-20</t>
        </is>
      </c>
      <c r="D1734" s="9" t="inlineStr">
        <is>
          <t>64e78e7b03ab1</t>
        </is>
      </c>
      <c r="E1734" s="9" t="inlineStr">
        <is>
          <t>ANILLO BV 3 OROS</t>
        </is>
      </c>
      <c r="F1734" s="9" t="inlineStr">
        <is>
          <t>8</t>
        </is>
      </c>
      <c r="G1734" s="9" t="n">
        <v>10</v>
      </c>
      <c r="H1734" s="21" t="n">
        <v>4.08</v>
      </c>
      <c r="I1734" s="21" t="n">
        <v>98.59</v>
      </c>
      <c r="J1734" s="21" t="n">
        <v>295.78</v>
      </c>
      <c r="K1734" s="21" t="n">
        <v>345.07</v>
      </c>
      <c r="L1734" s="21" t="n">
        <v>394.37</v>
      </c>
      <c r="M1734" s="21" t="n">
        <v>520</v>
      </c>
    </row>
    <row r="1735">
      <c r="A1735" s="9" t="inlineStr">
        <is>
          <t>COCOMA</t>
        </is>
      </c>
      <c r="B1735" s="9" t="inlineStr">
        <is>
          <t>COCOMA 20/01/2026</t>
        </is>
      </c>
      <c r="C1735" s="9" t="inlineStr">
        <is>
          <t>2026-01-20</t>
        </is>
      </c>
      <c r="D1735" s="9" t="inlineStr">
        <is>
          <t>654bd7ac2dee3</t>
        </is>
      </c>
      <c r="E1735" s="9" t="inlineStr">
        <is>
          <t>ANILLO BV 3 OROS</t>
        </is>
      </c>
      <c r="F1735" s="9" t="inlineStr">
        <is>
          <t>5</t>
        </is>
      </c>
      <c r="G1735" s="9" t="n">
        <v>5</v>
      </c>
      <c r="H1735" s="21" t="n">
        <v>4.08</v>
      </c>
      <c r="I1735" s="21" t="n">
        <v>98.59</v>
      </c>
      <c r="J1735" s="21" t="n">
        <v>295.78</v>
      </c>
      <c r="K1735" s="21" t="n">
        <v>345.07</v>
      </c>
      <c r="L1735" s="21" t="n">
        <v>394.37</v>
      </c>
      <c r="M1735" s="21" t="n">
        <v>520</v>
      </c>
    </row>
    <row r="1736">
      <c r="A1736" s="9" t="inlineStr">
        <is>
          <t>COCOMA</t>
        </is>
      </c>
      <c r="B1736" s="9" t="inlineStr">
        <is>
          <t>COCOMA 20/01/2026</t>
        </is>
      </c>
      <c r="C1736" s="9" t="inlineStr">
        <is>
          <t>2026-01-20</t>
        </is>
      </c>
      <c r="D1736" s="9" t="inlineStr">
        <is>
          <t>64e78e7bb52a6</t>
        </is>
      </c>
      <c r="E1736" s="9" t="inlineStr">
        <is>
          <t>ANILLO BV 3 OROS</t>
        </is>
      </c>
      <c r="F1736" s="9" t="inlineStr">
        <is>
          <t>9</t>
        </is>
      </c>
      <c r="G1736" s="9" t="n">
        <v>5</v>
      </c>
      <c r="H1736" s="21" t="n">
        <v>4.08</v>
      </c>
      <c r="I1736" s="21" t="n">
        <v>98.59</v>
      </c>
      <c r="J1736" s="21" t="n">
        <v>295.78</v>
      </c>
      <c r="K1736" s="21" t="n">
        <v>345.07</v>
      </c>
      <c r="L1736" s="21" t="n">
        <v>394.37</v>
      </c>
      <c r="M1736" s="21" t="n">
        <v>364</v>
      </c>
    </row>
    <row r="1737">
      <c r="A1737" s="9" t="inlineStr">
        <is>
          <t>COCOMA</t>
        </is>
      </c>
      <c r="B1737" s="9" t="inlineStr">
        <is>
          <t>COCOMA 20/01/2026</t>
        </is>
      </c>
      <c r="C1737" s="9" t="inlineStr">
        <is>
          <t>2026-01-20</t>
        </is>
      </c>
      <c r="D1737" s="9" t="inlineStr">
        <is>
          <t>2653039370892</t>
        </is>
      </c>
      <c r="E1737" s="9" t="inlineStr">
        <is>
          <t>ANILLO BV GOLD</t>
        </is>
      </c>
      <c r="F1737" s="9" t="inlineStr">
        <is>
          <t>6</t>
        </is>
      </c>
      <c r="G1737" s="9" t="n">
        <v>10</v>
      </c>
      <c r="H1737" s="21" t="n">
        <v>4.3</v>
      </c>
      <c r="I1737" s="21" t="n">
        <v>103.91</v>
      </c>
      <c r="J1737" s="21" t="n">
        <v>311.73</v>
      </c>
      <c r="K1737" s="21" t="n">
        <v>363.68</v>
      </c>
      <c r="L1737" s="21" t="n">
        <v>415.64</v>
      </c>
      <c r="M1737" s="21" t="n">
        <v>550</v>
      </c>
    </row>
    <row r="1738">
      <c r="A1738" s="9" t="inlineStr">
        <is>
          <t>COCOMA</t>
        </is>
      </c>
      <c r="B1738" s="9" t="inlineStr">
        <is>
          <t>COCOMA 20/01/2026</t>
        </is>
      </c>
      <c r="C1738" s="9" t="inlineStr">
        <is>
          <t>2026-01-20</t>
        </is>
      </c>
      <c r="D1738" s="9" t="inlineStr">
        <is>
          <t>2653039501964</t>
        </is>
      </c>
      <c r="E1738" s="9" t="inlineStr">
        <is>
          <t>ANILLO BV GOLD</t>
        </is>
      </c>
      <c r="F1738" s="9" t="inlineStr">
        <is>
          <t>10</t>
        </is>
      </c>
      <c r="G1738" s="9" t="n">
        <v>6</v>
      </c>
      <c r="H1738" s="21" t="n">
        <v>4.3</v>
      </c>
      <c r="I1738" s="21" t="n">
        <v>103.91</v>
      </c>
      <c r="J1738" s="21" t="n">
        <v>311.73</v>
      </c>
      <c r="K1738" s="21" t="n">
        <v>363.68</v>
      </c>
      <c r="L1738" s="21" t="n">
        <v>415.64</v>
      </c>
      <c r="M1738" s="21" t="n">
        <v>550</v>
      </c>
    </row>
    <row r="1739">
      <c r="A1739" s="9" t="inlineStr">
        <is>
          <t>COCOMA</t>
        </is>
      </c>
      <c r="B1739" s="9" t="inlineStr">
        <is>
          <t>COCOMA 20/01/2026</t>
        </is>
      </c>
      <c r="C1739" s="9" t="inlineStr">
        <is>
          <t>2026-01-20</t>
        </is>
      </c>
      <c r="D1739" s="9" t="inlineStr">
        <is>
          <t>2653039567500</t>
        </is>
      </c>
      <c r="E1739" s="9" t="inlineStr">
        <is>
          <t>ANILLO BV GOLD</t>
        </is>
      </c>
      <c r="F1739" s="9" t="inlineStr">
        <is>
          <t>12</t>
        </is>
      </c>
      <c r="G1739" s="9" t="n">
        <v>4</v>
      </c>
      <c r="H1739" s="21" t="n">
        <v>4.3</v>
      </c>
      <c r="I1739" s="21" t="n">
        <v>103.91</v>
      </c>
      <c r="J1739" s="21" t="n">
        <v>311.73</v>
      </c>
      <c r="K1739" s="21" t="n">
        <v>363.68</v>
      </c>
      <c r="L1739" s="21" t="n">
        <v>415.64</v>
      </c>
      <c r="M1739" s="21" t="n">
        <v>550</v>
      </c>
    </row>
    <row r="1740">
      <c r="A1740" s="9" t="inlineStr">
        <is>
          <t>COCOMA</t>
        </is>
      </c>
      <c r="B1740" s="9" t="inlineStr">
        <is>
          <t>COCOMA 20/01/2026</t>
        </is>
      </c>
      <c r="C1740" s="9" t="inlineStr">
        <is>
          <t>2026-01-20</t>
        </is>
      </c>
      <c r="D1740" s="9" t="inlineStr">
        <is>
          <t>2653039534732</t>
        </is>
      </c>
      <c r="E1740" s="9" t="inlineStr">
        <is>
          <t>ANILLO BV GOLD</t>
        </is>
      </c>
      <c r="F1740" s="9" t="inlineStr">
        <is>
          <t>11</t>
        </is>
      </c>
      <c r="G1740" s="9" t="n">
        <v>4</v>
      </c>
      <c r="H1740" s="21" t="n">
        <v>4.3</v>
      </c>
      <c r="I1740" s="21" t="n">
        <v>103.91</v>
      </c>
      <c r="J1740" s="21" t="n">
        <v>311.73</v>
      </c>
      <c r="K1740" s="21" t="n">
        <v>363.68</v>
      </c>
      <c r="L1740" s="21" t="n">
        <v>415.64</v>
      </c>
      <c r="M1740" s="21" t="n">
        <v>550</v>
      </c>
    </row>
    <row r="1741">
      <c r="A1741" s="9" t="inlineStr">
        <is>
          <t>COCOMA</t>
        </is>
      </c>
      <c r="B1741" s="9" t="inlineStr">
        <is>
          <t>COCOMA 20/01/2026</t>
        </is>
      </c>
      <c r="C1741" s="9" t="inlineStr">
        <is>
          <t>2026-01-20</t>
        </is>
      </c>
      <c r="D1741" s="9" t="inlineStr">
        <is>
          <t>2653039436428</t>
        </is>
      </c>
      <c r="E1741" s="9" t="inlineStr">
        <is>
          <t>ANILLO BV GOLD</t>
        </is>
      </c>
      <c r="F1741" s="9" t="inlineStr">
        <is>
          <t>8</t>
        </is>
      </c>
      <c r="G1741" s="9" t="n">
        <v>10</v>
      </c>
      <c r="H1741" s="21" t="n">
        <v>4.3</v>
      </c>
      <c r="I1741" s="21" t="n">
        <v>103.91</v>
      </c>
      <c r="J1741" s="21" t="n">
        <v>311.73</v>
      </c>
      <c r="K1741" s="21" t="n">
        <v>363.68</v>
      </c>
      <c r="L1741" s="21" t="n">
        <v>415.64</v>
      </c>
      <c r="M1741" s="21" t="n">
        <v>550</v>
      </c>
    </row>
    <row r="1742">
      <c r="A1742" s="9" t="inlineStr">
        <is>
          <t>COCOMA</t>
        </is>
      </c>
      <c r="B1742" s="9" t="inlineStr">
        <is>
          <t>COCOMA 20/01/2026</t>
        </is>
      </c>
      <c r="C1742" s="9" t="inlineStr">
        <is>
          <t>2026-01-20</t>
        </is>
      </c>
      <c r="D1742" s="9" t="inlineStr">
        <is>
          <t>2653039403660</t>
        </is>
      </c>
      <c r="E1742" s="9" t="inlineStr">
        <is>
          <t>ANILLO BV GOLD</t>
        </is>
      </c>
      <c r="F1742" s="9" t="inlineStr">
        <is>
          <t>7</t>
        </is>
      </c>
      <c r="G1742" s="9" t="n">
        <v>10</v>
      </c>
      <c r="H1742" s="21" t="n">
        <v>4.3</v>
      </c>
      <c r="I1742" s="21" t="n">
        <v>103.91</v>
      </c>
      <c r="J1742" s="21" t="n">
        <v>311.73</v>
      </c>
      <c r="K1742" s="21" t="n">
        <v>363.68</v>
      </c>
      <c r="L1742" s="21" t="n">
        <v>415.64</v>
      </c>
      <c r="M1742" s="21" t="n">
        <v>550</v>
      </c>
    </row>
    <row r="1743">
      <c r="A1743" s="9" t="inlineStr">
        <is>
          <t>COCOMA</t>
        </is>
      </c>
      <c r="B1743" s="9" t="inlineStr">
        <is>
          <t>COCOMA 20/01/2026</t>
        </is>
      </c>
      <c r="C1743" s="9" t="inlineStr">
        <is>
          <t>2026-01-20</t>
        </is>
      </c>
      <c r="D1743" s="9" t="inlineStr">
        <is>
          <t>2653039338124</t>
        </is>
      </c>
      <c r="E1743" s="9" t="inlineStr">
        <is>
          <t>ANILLO BV GOLD</t>
        </is>
      </c>
      <c r="F1743" s="9" t="inlineStr">
        <is>
          <t>5</t>
        </is>
      </c>
      <c r="G1743" s="9" t="n">
        <v>10</v>
      </c>
      <c r="H1743" s="21" t="n">
        <v>4.3</v>
      </c>
      <c r="I1743" s="21" t="n">
        <v>103.91</v>
      </c>
      <c r="J1743" s="21" t="n">
        <v>311.73</v>
      </c>
      <c r="K1743" s="21" t="n">
        <v>363.68</v>
      </c>
      <c r="L1743" s="21" t="n">
        <v>415.64</v>
      </c>
      <c r="M1743" s="21" t="n">
        <v>550</v>
      </c>
    </row>
    <row r="1744">
      <c r="A1744" s="9" t="inlineStr">
        <is>
          <t>COCOMA</t>
        </is>
      </c>
      <c r="B1744" s="9" t="inlineStr">
        <is>
          <t>COCOMA 20/01/2026</t>
        </is>
      </c>
      <c r="C1744" s="9" t="inlineStr">
        <is>
          <t>2026-01-20</t>
        </is>
      </c>
      <c r="D1744" s="9" t="inlineStr">
        <is>
          <t>2653039469196</t>
        </is>
      </c>
      <c r="E1744" s="9" t="inlineStr">
        <is>
          <t>ANILLO BV GOLD</t>
        </is>
      </c>
      <c r="F1744" s="9" t="inlineStr">
        <is>
          <t>9</t>
        </is>
      </c>
      <c r="G1744" s="9" t="n">
        <v>6</v>
      </c>
      <c r="H1744" s="21" t="n">
        <v>4.3</v>
      </c>
      <c r="I1744" s="21" t="n">
        <v>103.91</v>
      </c>
      <c r="J1744" s="21" t="n">
        <v>311.73</v>
      </c>
      <c r="K1744" s="21" t="n">
        <v>363.68</v>
      </c>
      <c r="L1744" s="21" t="n">
        <v>415.64</v>
      </c>
      <c r="M1744" s="21" t="n">
        <v>550</v>
      </c>
    </row>
    <row r="1745">
      <c r="A1745" s="9" t="inlineStr">
        <is>
          <t>COCOMA</t>
        </is>
      </c>
      <c r="B1745" s="9" t="inlineStr">
        <is>
          <t>COCOMA 20/01/2026</t>
        </is>
      </c>
      <c r="C1745" s="9" t="inlineStr">
        <is>
          <t>2026-01-20</t>
        </is>
      </c>
      <c r="D1745" s="9" t="inlineStr">
        <is>
          <t>63e0b1e52d057</t>
        </is>
      </c>
      <c r="E1745" s="9" t="inlineStr">
        <is>
          <t>ANILLO BV GOLD DELGADO</t>
        </is>
      </c>
      <c r="F1745" s="9" t="inlineStr">
        <is>
          <t>8 HIGH QUALITY</t>
        </is>
      </c>
      <c r="G1745" s="9" t="n">
        <v>5</v>
      </c>
      <c r="H1745" s="21" t="n">
        <v>7.89</v>
      </c>
      <c r="I1745" s="21" t="n">
        <v>190.66</v>
      </c>
      <c r="J1745" s="21" t="n">
        <v>571.98</v>
      </c>
      <c r="K1745" s="21" t="n">
        <v>667.3099999999999</v>
      </c>
      <c r="L1745" s="21" t="n">
        <v>762.64</v>
      </c>
      <c r="M1745" s="21" t="n">
        <v>678</v>
      </c>
    </row>
    <row r="1746">
      <c r="A1746" s="9" t="inlineStr">
        <is>
          <t>COCOMA</t>
        </is>
      </c>
      <c r="B1746" s="9" t="inlineStr">
        <is>
          <t>COCOMA 20/01/2026</t>
        </is>
      </c>
      <c r="C1746" s="9" t="inlineStr">
        <is>
          <t>2026-01-20</t>
        </is>
      </c>
      <c r="D1746" s="9" t="inlineStr">
        <is>
          <t>63e0b1e45372f</t>
        </is>
      </c>
      <c r="E1746" s="9" t="inlineStr">
        <is>
          <t>ANILLO BV GOLD DELGADO</t>
        </is>
      </c>
      <c r="F1746" s="9" t="inlineStr">
        <is>
          <t>7 HIGH QUALITY</t>
        </is>
      </c>
      <c r="G1746" s="9" t="n">
        <v>5</v>
      </c>
      <c r="H1746" s="21" t="n">
        <v>7.89</v>
      </c>
      <c r="I1746" s="21" t="n">
        <v>190.66</v>
      </c>
      <c r="J1746" s="21" t="n">
        <v>571.98</v>
      </c>
      <c r="K1746" s="21" t="n">
        <v>667.3099999999999</v>
      </c>
      <c r="L1746" s="21" t="n">
        <v>762.64</v>
      </c>
      <c r="M1746" s="21" t="n">
        <v>678</v>
      </c>
    </row>
    <row r="1747">
      <c r="A1747" s="9" t="inlineStr">
        <is>
          <t>COCOMA</t>
        </is>
      </c>
      <c r="B1747" s="9" t="inlineStr">
        <is>
          <t>COCOMA 20/01/2026</t>
        </is>
      </c>
      <c r="C1747" s="9" t="inlineStr">
        <is>
          <t>2026-01-20</t>
        </is>
      </c>
      <c r="D1747" s="9" t="inlineStr">
        <is>
          <t>63e0b1e6f022f</t>
        </is>
      </c>
      <c r="E1747" s="9" t="inlineStr">
        <is>
          <t>ANILLO BV GOLD DELGADO</t>
        </is>
      </c>
      <c r="F1747" s="9" t="inlineStr">
        <is>
          <t>10</t>
        </is>
      </c>
      <c r="G1747" s="9" t="n">
        <v>2</v>
      </c>
      <c r="H1747" s="21" t="n">
        <v>7.89</v>
      </c>
      <c r="I1747" s="21" t="n">
        <v>190.66</v>
      </c>
      <c r="J1747" s="21" t="n">
        <v>571.98</v>
      </c>
      <c r="K1747" s="21" t="n">
        <v>667.3099999999999</v>
      </c>
      <c r="L1747" s="21" t="n">
        <v>762.64</v>
      </c>
      <c r="M1747" s="21" t="n">
        <v>678</v>
      </c>
    </row>
    <row r="1748">
      <c r="A1748" s="9" t="inlineStr">
        <is>
          <t>COCOMA</t>
        </is>
      </c>
      <c r="B1748" s="9" t="inlineStr">
        <is>
          <t>COCOMA 20/01/2026</t>
        </is>
      </c>
      <c r="C1748" s="9" t="inlineStr">
        <is>
          <t>2026-01-20</t>
        </is>
      </c>
      <c r="D1748" s="9" t="inlineStr">
        <is>
          <t>63e0b1e29450b</t>
        </is>
      </c>
      <c r="E1748" s="9" t="inlineStr">
        <is>
          <t>ANILLO BV ROSE GOLD</t>
        </is>
      </c>
      <c r="F1748" s="9" t="inlineStr">
        <is>
          <t>5</t>
        </is>
      </c>
      <c r="G1748" s="9" t="n">
        <v>3</v>
      </c>
      <c r="H1748" s="21" t="n">
        <v>4.3</v>
      </c>
      <c r="I1748" s="21" t="n">
        <v>103.91</v>
      </c>
      <c r="J1748" s="21" t="n">
        <v>311.73</v>
      </c>
      <c r="K1748" s="21" t="n">
        <v>363.68</v>
      </c>
      <c r="L1748" s="21" t="n">
        <v>415.64</v>
      </c>
      <c r="M1748" s="21" t="n">
        <v>620</v>
      </c>
    </row>
    <row r="1749">
      <c r="A1749" s="9" t="inlineStr">
        <is>
          <t>COCOMA</t>
        </is>
      </c>
      <c r="B1749" s="9" t="inlineStr">
        <is>
          <t>COCOMA 20/01/2026</t>
        </is>
      </c>
      <c r="C1749" s="9" t="inlineStr">
        <is>
          <t>2026-01-20</t>
        </is>
      </c>
      <c r="D1749" s="9" t="inlineStr">
        <is>
          <t>63e0b1e628eb5</t>
        </is>
      </c>
      <c r="E1749" s="9" t="inlineStr">
        <is>
          <t>ANILLO BV ROSE GOLD</t>
        </is>
      </c>
      <c r="F1749" s="9" t="inlineStr">
        <is>
          <t>9</t>
        </is>
      </c>
      <c r="G1749" s="9" t="n">
        <v>2</v>
      </c>
      <c r="H1749" s="21" t="n">
        <v>4.3</v>
      </c>
      <c r="I1749" s="21" t="n">
        <v>103.91</v>
      </c>
      <c r="J1749" s="21" t="n">
        <v>311.73</v>
      </c>
      <c r="K1749" s="21" t="n">
        <v>363.68</v>
      </c>
      <c r="L1749" s="21" t="n">
        <v>415.64</v>
      </c>
      <c r="M1749" s="21" t="n">
        <v>620</v>
      </c>
    </row>
    <row r="1750">
      <c r="A1750" s="9" t="inlineStr">
        <is>
          <t>COCOMA</t>
        </is>
      </c>
      <c r="B1750" s="9" t="inlineStr">
        <is>
          <t>COCOMA 20/01/2026</t>
        </is>
      </c>
      <c r="C1750" s="9" t="inlineStr">
        <is>
          <t>2026-01-20</t>
        </is>
      </c>
      <c r="D1750" s="9" t="inlineStr">
        <is>
          <t>63e0b1e36f7c6</t>
        </is>
      </c>
      <c r="E1750" s="9" t="inlineStr">
        <is>
          <t>ANILLO BV ROSE GOLD</t>
        </is>
      </c>
      <c r="F1750" s="9" t="inlineStr">
        <is>
          <t>6</t>
        </is>
      </c>
      <c r="G1750" s="9" t="n">
        <v>3</v>
      </c>
      <c r="H1750" s="21" t="n">
        <v>4.3</v>
      </c>
      <c r="I1750" s="21" t="n">
        <v>103.91</v>
      </c>
      <c r="J1750" s="21" t="n">
        <v>311.73</v>
      </c>
      <c r="K1750" s="21" t="n">
        <v>363.68</v>
      </c>
      <c r="L1750" s="21" t="n">
        <v>415.64</v>
      </c>
      <c r="M1750" s="21" t="n">
        <v>310</v>
      </c>
    </row>
    <row r="1751">
      <c r="A1751" s="9" t="inlineStr">
        <is>
          <t>COCOMA</t>
        </is>
      </c>
      <c r="B1751" s="9" t="inlineStr">
        <is>
          <t>COCOMA 20/01/2026</t>
        </is>
      </c>
      <c r="C1751" s="9" t="inlineStr">
        <is>
          <t>2026-01-20</t>
        </is>
      </c>
      <c r="D1751" s="9" t="inlineStr">
        <is>
          <t>63e0b1e70453e</t>
        </is>
      </c>
      <c r="E1751" s="9" t="inlineStr">
        <is>
          <t>ANILLO BV ROSE GOLD</t>
        </is>
      </c>
      <c r="F1751" s="9" t="inlineStr">
        <is>
          <t>10</t>
        </is>
      </c>
      <c r="G1751" s="9" t="n">
        <v>1</v>
      </c>
      <c r="H1751" s="21" t="n">
        <v>4.3</v>
      </c>
      <c r="I1751" s="21" t="n">
        <v>103.91</v>
      </c>
      <c r="J1751" s="21" t="n">
        <v>311.73</v>
      </c>
      <c r="K1751" s="21" t="n">
        <v>363.68</v>
      </c>
      <c r="L1751" s="21" t="n">
        <v>415.64</v>
      </c>
      <c r="M1751" s="21" t="n">
        <v>300</v>
      </c>
    </row>
    <row r="1752">
      <c r="A1752" s="9" t="inlineStr">
        <is>
          <t>COCOMA</t>
        </is>
      </c>
      <c r="B1752" s="9" t="inlineStr">
        <is>
          <t>COCOMA 20/01/2026</t>
        </is>
      </c>
      <c r="C1752" s="9" t="inlineStr">
        <is>
          <t>2026-01-20</t>
        </is>
      </c>
      <c r="D1752" s="9" t="inlineStr">
        <is>
          <t>63e0b1e537df8</t>
        </is>
      </c>
      <c r="E1752" s="9" t="inlineStr">
        <is>
          <t>ANILLO BV ROSE GOLD</t>
        </is>
      </c>
      <c r="F1752" s="9" t="inlineStr">
        <is>
          <t>8</t>
        </is>
      </c>
      <c r="G1752" s="9" t="n">
        <v>1</v>
      </c>
      <c r="H1752" s="21" t="n">
        <v>4.3</v>
      </c>
      <c r="I1752" s="21" t="n">
        <v>103.91</v>
      </c>
      <c r="J1752" s="21" t="n">
        <v>311.73</v>
      </c>
      <c r="K1752" s="21" t="n">
        <v>363.68</v>
      </c>
      <c r="L1752" s="21" t="n">
        <v>415.64</v>
      </c>
      <c r="M1752" s="21" t="n">
        <v>620</v>
      </c>
    </row>
    <row r="1753">
      <c r="A1753" s="9" t="inlineStr">
        <is>
          <t>COCOMA</t>
        </is>
      </c>
      <c r="B1753" s="9" t="inlineStr">
        <is>
          <t>COCOMA 20/01/2026</t>
        </is>
      </c>
      <c r="C1753" s="9" t="inlineStr">
        <is>
          <t>2026-01-20</t>
        </is>
      </c>
      <c r="D1753" s="9" t="inlineStr">
        <is>
          <t>63e0b1e44c6d7</t>
        </is>
      </c>
      <c r="E1753" s="9" t="inlineStr">
        <is>
          <t>ANILLO BV ROSE GOLD</t>
        </is>
      </c>
      <c r="F1753" s="9" t="inlineStr">
        <is>
          <t>7</t>
        </is>
      </c>
      <c r="G1753" s="9" t="n">
        <v>3</v>
      </c>
      <c r="H1753" s="21" t="n">
        <v>4.3</v>
      </c>
      <c r="I1753" s="21" t="n">
        <v>103.91</v>
      </c>
      <c r="J1753" s="21" t="n">
        <v>311.73</v>
      </c>
      <c r="K1753" s="21" t="n">
        <v>363.68</v>
      </c>
      <c r="L1753" s="21" t="n">
        <v>415.64</v>
      </c>
      <c r="M1753" s="21" t="n">
        <v>620</v>
      </c>
    </row>
    <row r="1754">
      <c r="A1754" s="9" t="inlineStr">
        <is>
          <t>COCOMA</t>
        </is>
      </c>
      <c r="B1754" s="9" t="inlineStr">
        <is>
          <t>COCOMA 20/01/2026</t>
        </is>
      </c>
      <c r="C1754" s="9" t="inlineStr">
        <is>
          <t>2026-01-20</t>
        </is>
      </c>
      <c r="D1754" s="9" t="inlineStr">
        <is>
          <t>63e0b1e577108</t>
        </is>
      </c>
      <c r="E1754" s="9" t="inlineStr">
        <is>
          <t>ANILLO BV ROSE GOLD DELGADO</t>
        </is>
      </c>
      <c r="F1754" s="9" t="inlineStr">
        <is>
          <t>8</t>
        </is>
      </c>
      <c r="G1754" s="9" t="n">
        <v>1</v>
      </c>
      <c r="H1754" s="21" t="n">
        <v>7.89</v>
      </c>
      <c r="I1754" s="21" t="n">
        <v>190.66</v>
      </c>
      <c r="J1754" s="21" t="n">
        <v>571.98</v>
      </c>
      <c r="K1754" s="21" t="n">
        <v>667.3099999999999</v>
      </c>
      <c r="L1754" s="21" t="n">
        <v>762.64</v>
      </c>
      <c r="M1754" s="21" t="n">
        <v>678</v>
      </c>
    </row>
    <row r="1755">
      <c r="A1755" s="9" t="inlineStr">
        <is>
          <t>COCOMA</t>
        </is>
      </c>
      <c r="B1755" s="9" t="inlineStr">
        <is>
          <t>COCOMA 20/01/2026</t>
        </is>
      </c>
      <c r="C1755" s="9" t="inlineStr">
        <is>
          <t>2026-01-20</t>
        </is>
      </c>
      <c r="D1755" s="9" t="inlineStr">
        <is>
          <t>63e0b1e659918</t>
        </is>
      </c>
      <c r="E1755" s="9" t="inlineStr">
        <is>
          <t>ANILLO BV ROSE GOLD DELGADO</t>
        </is>
      </c>
      <c r="F1755" s="9" t="inlineStr">
        <is>
          <t>9</t>
        </is>
      </c>
      <c r="G1755" s="9" t="n">
        <v>1</v>
      </c>
      <c r="H1755" s="21" t="n">
        <v>7.89</v>
      </c>
      <c r="I1755" s="21" t="n">
        <v>190.66</v>
      </c>
      <c r="J1755" s="21" t="n">
        <v>571.98</v>
      </c>
      <c r="K1755" s="21" t="n">
        <v>667.3099999999999</v>
      </c>
      <c r="L1755" s="21" t="n">
        <v>762.64</v>
      </c>
      <c r="M1755" s="21" t="n">
        <v>678</v>
      </c>
    </row>
    <row r="1756">
      <c r="A1756" s="9" t="inlineStr">
        <is>
          <t>COCOMA</t>
        </is>
      </c>
      <c r="B1756" s="9" t="inlineStr">
        <is>
          <t>COCOMA 20/01/2026</t>
        </is>
      </c>
      <c r="C1756" s="9" t="inlineStr">
        <is>
          <t>2026-01-20</t>
        </is>
      </c>
      <c r="D1756" s="9" t="inlineStr">
        <is>
          <t>63e0b1e49258e</t>
        </is>
      </c>
      <c r="E1756" s="9" t="inlineStr">
        <is>
          <t>ANILLO BV ROSE GOLD DELGADO</t>
        </is>
      </c>
      <c r="F1756" s="9" t="inlineStr">
        <is>
          <t>7</t>
        </is>
      </c>
      <c r="G1756" s="9" t="n">
        <v>3</v>
      </c>
      <c r="H1756" s="21" t="n">
        <v>7.89</v>
      </c>
      <c r="I1756" s="21" t="n">
        <v>190.66</v>
      </c>
      <c r="J1756" s="21" t="n">
        <v>571.98</v>
      </c>
      <c r="K1756" s="21" t="n">
        <v>667.3099999999999</v>
      </c>
      <c r="L1756" s="21" t="n">
        <v>762.64</v>
      </c>
      <c r="M1756" s="21" t="n">
        <v>678</v>
      </c>
    </row>
    <row r="1757">
      <c r="A1757" s="9" t="inlineStr">
        <is>
          <t>COCOMA</t>
        </is>
      </c>
      <c r="B1757" s="9" t="inlineStr">
        <is>
          <t>COCOMA 20/01/2026</t>
        </is>
      </c>
      <c r="C1757" s="9" t="inlineStr">
        <is>
          <t>2026-01-20</t>
        </is>
      </c>
      <c r="D1757" s="9" t="inlineStr">
        <is>
          <t>63e0b1e2d5f1e</t>
        </is>
      </c>
      <c r="E1757" s="9" t="inlineStr">
        <is>
          <t>ANILLO BV ROSE GOLD DELGADO</t>
        </is>
      </c>
      <c r="F1757" s="9" t="inlineStr">
        <is>
          <t>5</t>
        </is>
      </c>
      <c r="G1757" s="9" t="n">
        <v>3</v>
      </c>
      <c r="H1757" s="21" t="n">
        <v>7.89</v>
      </c>
      <c r="I1757" s="21" t="n">
        <v>190.66</v>
      </c>
      <c r="J1757" s="21" t="n">
        <v>571.98</v>
      </c>
      <c r="K1757" s="21" t="n">
        <v>667.3099999999999</v>
      </c>
      <c r="L1757" s="21" t="n">
        <v>762.64</v>
      </c>
      <c r="M1757" s="21" t="n">
        <v>450</v>
      </c>
    </row>
    <row r="1758">
      <c r="A1758" s="9" t="inlineStr">
        <is>
          <t>COCOMA</t>
        </is>
      </c>
      <c r="B1758" s="9" t="inlineStr">
        <is>
          <t>COCOMA 20/01/2026</t>
        </is>
      </c>
      <c r="C1758" s="9" t="inlineStr">
        <is>
          <t>2026-01-20</t>
        </is>
      </c>
      <c r="D1758" s="9" t="inlineStr">
        <is>
          <t>63e0b1e3b4fa0</t>
        </is>
      </c>
      <c r="E1758" s="9" t="inlineStr">
        <is>
          <t>ANILLO BV ROSE GOLD DELGADO</t>
        </is>
      </c>
      <c r="F1758" s="9" t="inlineStr">
        <is>
          <t>6</t>
        </is>
      </c>
      <c r="G1758" s="9" t="n">
        <v>3</v>
      </c>
      <c r="H1758" s="21" t="n">
        <v>7.89</v>
      </c>
      <c r="I1758" s="21" t="n">
        <v>190.66</v>
      </c>
      <c r="J1758" s="21" t="n">
        <v>571.98</v>
      </c>
      <c r="K1758" s="21" t="n">
        <v>667.3099999999999</v>
      </c>
      <c r="L1758" s="21" t="n">
        <v>762.64</v>
      </c>
      <c r="M1758" s="21" t="n">
        <v>678</v>
      </c>
    </row>
    <row r="1759">
      <c r="A1759" s="9" t="inlineStr">
        <is>
          <t>COCOMA</t>
        </is>
      </c>
      <c r="B1759" s="9" t="inlineStr">
        <is>
          <t>COCOMA 20/01/2026</t>
        </is>
      </c>
      <c r="C1759" s="9" t="inlineStr">
        <is>
          <t>2026-01-20</t>
        </is>
      </c>
      <c r="D1759" s="9" t="inlineStr">
        <is>
          <t>63e0b1fcc7359</t>
        </is>
      </c>
      <c r="E1759" s="9" t="inlineStr">
        <is>
          <t>ANILLO BV SILVER</t>
        </is>
      </c>
      <c r="F1759" s="9" t="inlineStr">
        <is>
          <t>11</t>
        </is>
      </c>
      <c r="G1759" s="9" t="n">
        <v>3</v>
      </c>
      <c r="H1759" s="21" t="n">
        <v>4.06</v>
      </c>
      <c r="I1759" s="21" t="n">
        <v>98.11</v>
      </c>
      <c r="J1759" s="21" t="n">
        <v>294.33</v>
      </c>
      <c r="K1759" s="21" t="n">
        <v>343.38</v>
      </c>
      <c r="L1759" s="21" t="n">
        <v>392.44</v>
      </c>
      <c r="M1759" s="21" t="n">
        <v>520</v>
      </c>
    </row>
    <row r="1760">
      <c r="A1760" s="9" t="inlineStr">
        <is>
          <t>COCOMA</t>
        </is>
      </c>
      <c r="B1760" s="9" t="inlineStr">
        <is>
          <t>COCOMA 20/01/2026</t>
        </is>
      </c>
      <c r="C1760" s="9" t="inlineStr">
        <is>
          <t>2026-01-20</t>
        </is>
      </c>
      <c r="D1760" s="9" t="inlineStr">
        <is>
          <t>63e0b1f7d50b1</t>
        </is>
      </c>
      <c r="E1760" s="9" t="inlineStr">
        <is>
          <t>ANILLO BV SILVER</t>
        </is>
      </c>
      <c r="F1760" s="9" t="inlineStr">
        <is>
          <t>6</t>
        </is>
      </c>
      <c r="G1760" s="9" t="n">
        <v>5</v>
      </c>
      <c r="H1760" s="21" t="n">
        <v>4.06</v>
      </c>
      <c r="I1760" s="21" t="n">
        <v>98.11</v>
      </c>
      <c r="J1760" s="21" t="n">
        <v>294.33</v>
      </c>
      <c r="K1760" s="21" t="n">
        <v>343.38</v>
      </c>
      <c r="L1760" s="21" t="n">
        <v>392.44</v>
      </c>
      <c r="M1760" s="21" t="n">
        <v>520</v>
      </c>
    </row>
    <row r="1761">
      <c r="A1761" s="9" t="inlineStr">
        <is>
          <t>COCOMA</t>
        </is>
      </c>
      <c r="B1761" s="9" t="inlineStr">
        <is>
          <t>COCOMA 20/01/2026</t>
        </is>
      </c>
      <c r="C1761" s="9" t="inlineStr">
        <is>
          <t>2026-01-20</t>
        </is>
      </c>
      <c r="D1761" s="9" t="inlineStr">
        <is>
          <t>63e0b1fbdf1a6</t>
        </is>
      </c>
      <c r="E1761" s="9" t="inlineStr">
        <is>
          <t>ANILLO BV SILVER</t>
        </is>
      </c>
      <c r="F1761" s="9" t="inlineStr">
        <is>
          <t>10</t>
        </is>
      </c>
      <c r="G1761" s="9" t="n">
        <v>5</v>
      </c>
      <c r="H1761" s="21" t="n">
        <v>4.06</v>
      </c>
      <c r="I1761" s="21" t="n">
        <v>98.11</v>
      </c>
      <c r="J1761" s="21" t="n">
        <v>294.33</v>
      </c>
      <c r="K1761" s="21" t="n">
        <v>343.38</v>
      </c>
      <c r="L1761" s="21" t="n">
        <v>392.44</v>
      </c>
      <c r="M1761" s="21" t="n">
        <v>520</v>
      </c>
    </row>
    <row r="1762">
      <c r="A1762" s="9" t="inlineStr">
        <is>
          <t>COCOMA</t>
        </is>
      </c>
      <c r="B1762" s="9" t="inlineStr">
        <is>
          <t>COCOMA 20/01/2026</t>
        </is>
      </c>
      <c r="C1762" s="9" t="inlineStr">
        <is>
          <t>2026-01-20</t>
        </is>
      </c>
      <c r="D1762" s="9" t="inlineStr">
        <is>
          <t>63e0b1fde9905</t>
        </is>
      </c>
      <c r="E1762" s="9" t="inlineStr">
        <is>
          <t>ANILLO BV SILVER</t>
        </is>
      </c>
      <c r="F1762" s="9" t="inlineStr">
        <is>
          <t>12</t>
        </is>
      </c>
      <c r="G1762" s="9" t="n">
        <v>3</v>
      </c>
      <c r="H1762" s="21" t="n">
        <v>4.06</v>
      </c>
      <c r="I1762" s="21" t="n">
        <v>98.11</v>
      </c>
      <c r="J1762" s="21" t="n">
        <v>294.33</v>
      </c>
      <c r="K1762" s="21" t="n">
        <v>343.38</v>
      </c>
      <c r="L1762" s="21" t="n">
        <v>392.44</v>
      </c>
      <c r="M1762" s="21" t="n">
        <v>520</v>
      </c>
    </row>
    <row r="1763">
      <c r="A1763" s="9" t="inlineStr">
        <is>
          <t>COCOMA</t>
        </is>
      </c>
      <c r="B1763" s="9" t="inlineStr">
        <is>
          <t>COCOMA 20/01/2026</t>
        </is>
      </c>
      <c r="C1763" s="9" t="inlineStr">
        <is>
          <t>2026-01-20</t>
        </is>
      </c>
      <c r="D1763" s="9" t="inlineStr">
        <is>
          <t>63e0b1f9a5ac2</t>
        </is>
      </c>
      <c r="E1763" s="9" t="inlineStr">
        <is>
          <t>ANILLO BV SILVER</t>
        </is>
      </c>
      <c r="F1763" s="9" t="inlineStr">
        <is>
          <t>8</t>
        </is>
      </c>
      <c r="G1763" s="9" t="n">
        <v>5</v>
      </c>
      <c r="H1763" s="21" t="n">
        <v>4.06</v>
      </c>
      <c r="I1763" s="21" t="n">
        <v>98.11</v>
      </c>
      <c r="J1763" s="21" t="n">
        <v>294.33</v>
      </c>
      <c r="K1763" s="21" t="n">
        <v>343.38</v>
      </c>
      <c r="L1763" s="21" t="n">
        <v>392.44</v>
      </c>
      <c r="M1763" s="21" t="n">
        <v>520</v>
      </c>
    </row>
    <row r="1764">
      <c r="A1764" s="9" t="inlineStr">
        <is>
          <t>COCOMA</t>
        </is>
      </c>
      <c r="B1764" s="9" t="inlineStr">
        <is>
          <t>COCOMA 20/01/2026</t>
        </is>
      </c>
      <c r="C1764" s="9" t="inlineStr">
        <is>
          <t>2026-01-20</t>
        </is>
      </c>
      <c r="D1764" s="9" t="inlineStr">
        <is>
          <t>63e0b1f8bb7d5</t>
        </is>
      </c>
      <c r="E1764" s="9" t="inlineStr">
        <is>
          <t>ANILLO BV SILVER</t>
        </is>
      </c>
      <c r="F1764" s="9" t="inlineStr">
        <is>
          <t>7</t>
        </is>
      </c>
      <c r="G1764" s="9" t="n">
        <v>5</v>
      </c>
      <c r="H1764" s="21" t="n">
        <v>4.06</v>
      </c>
      <c r="I1764" s="21" t="n">
        <v>98.11</v>
      </c>
      <c r="J1764" s="21" t="n">
        <v>294.33</v>
      </c>
      <c r="K1764" s="21" t="n">
        <v>343.38</v>
      </c>
      <c r="L1764" s="21" t="n">
        <v>392.44</v>
      </c>
      <c r="M1764" s="21" t="n">
        <v>520</v>
      </c>
    </row>
    <row r="1765">
      <c r="A1765" s="9" t="inlineStr">
        <is>
          <t>COCOMA</t>
        </is>
      </c>
      <c r="B1765" s="9" t="inlineStr">
        <is>
          <t>COCOMA 20/01/2026</t>
        </is>
      </c>
      <c r="C1765" s="9" t="inlineStr">
        <is>
          <t>2026-01-20</t>
        </is>
      </c>
      <c r="D1765" s="9" t="inlineStr">
        <is>
          <t>63e0b1fa92d45</t>
        </is>
      </c>
      <c r="E1765" s="9" t="inlineStr">
        <is>
          <t>ANILLO BV SILVER</t>
        </is>
      </c>
      <c r="F1765" s="9" t="inlineStr">
        <is>
          <t>9</t>
        </is>
      </c>
      <c r="G1765" s="9" t="n">
        <v>4</v>
      </c>
      <c r="H1765" s="21" t="n">
        <v>4.06</v>
      </c>
      <c r="I1765" s="21" t="n">
        <v>98.11</v>
      </c>
      <c r="J1765" s="21" t="n">
        <v>294.33</v>
      </c>
      <c r="K1765" s="21" t="n">
        <v>343.38</v>
      </c>
      <c r="L1765" s="21" t="n">
        <v>392.44</v>
      </c>
      <c r="M1765" s="21" t="n">
        <v>520</v>
      </c>
    </row>
    <row r="1766">
      <c r="A1766" s="9" t="inlineStr">
        <is>
          <t>COCOMA</t>
        </is>
      </c>
      <c r="B1766" s="9" t="inlineStr">
        <is>
          <t>COCOMA 20/01/2026</t>
        </is>
      </c>
      <c r="C1766" s="9" t="inlineStr">
        <is>
          <t>2026-01-20</t>
        </is>
      </c>
      <c r="D1766" s="9" t="inlineStr">
        <is>
          <t>63e0b1fb11aa3</t>
        </is>
      </c>
      <c r="E1766" s="9" t="inlineStr">
        <is>
          <t>ANILLO BV SILVER DELGADO</t>
        </is>
      </c>
      <c r="F1766" s="9" t="inlineStr">
        <is>
          <t>8</t>
        </is>
      </c>
      <c r="G1766" s="9" t="n">
        <v>2</v>
      </c>
      <c r="H1766" s="21" t="n">
        <v>7.89</v>
      </c>
      <c r="I1766" s="21" t="n">
        <v>190.66</v>
      </c>
      <c r="J1766" s="21" t="n">
        <v>571.98</v>
      </c>
      <c r="K1766" s="21" t="n">
        <v>667.3099999999999</v>
      </c>
      <c r="L1766" s="21" t="n">
        <v>762.64</v>
      </c>
      <c r="M1766" s="21" t="n">
        <v>678</v>
      </c>
    </row>
    <row r="1767">
      <c r="A1767" s="9" t="inlineStr">
        <is>
          <t>COCOMA</t>
        </is>
      </c>
      <c r="B1767" s="9" t="inlineStr">
        <is>
          <t>COCOMA 20/01/2026</t>
        </is>
      </c>
      <c r="C1767" s="9" t="inlineStr">
        <is>
          <t>2026-01-20</t>
        </is>
      </c>
      <c r="D1767" s="9" t="inlineStr">
        <is>
          <t>63e0b1f91d20d</t>
        </is>
      </c>
      <c r="E1767" s="9" t="inlineStr">
        <is>
          <t>ANILLO BV SILVER DELGADO</t>
        </is>
      </c>
      <c r="F1767" s="9" t="inlineStr">
        <is>
          <t>6</t>
        </is>
      </c>
      <c r="G1767" s="9" t="n">
        <v>2</v>
      </c>
      <c r="H1767" s="21" t="n">
        <v>7.89</v>
      </c>
      <c r="I1767" s="21" t="n">
        <v>190.66</v>
      </c>
      <c r="J1767" s="21" t="n">
        <v>571.98</v>
      </c>
      <c r="K1767" s="21" t="n">
        <v>667.3099999999999</v>
      </c>
      <c r="L1767" s="21" t="n">
        <v>762.64</v>
      </c>
      <c r="M1767" s="21" t="n">
        <v>678</v>
      </c>
    </row>
    <row r="1768">
      <c r="A1768" s="9" t="inlineStr">
        <is>
          <t>COCOMA</t>
        </is>
      </c>
      <c r="B1768" s="9" t="inlineStr">
        <is>
          <t>COCOMA 20/01/2026</t>
        </is>
      </c>
      <c r="C1768" s="9" t="inlineStr">
        <is>
          <t>2026-01-20</t>
        </is>
      </c>
      <c r="D1768" s="9" t="inlineStr">
        <is>
          <t>63e0b1fd046c4</t>
        </is>
      </c>
      <c r="E1768" s="9" t="inlineStr">
        <is>
          <t>ANILLO BV SILVER DELGADO</t>
        </is>
      </c>
      <c r="F1768" s="9" t="inlineStr">
        <is>
          <t>10</t>
        </is>
      </c>
      <c r="G1768" s="9" t="n">
        <v>2</v>
      </c>
      <c r="H1768" s="21" t="n">
        <v>7.89</v>
      </c>
      <c r="I1768" s="21" t="n">
        <v>190.66</v>
      </c>
      <c r="J1768" s="21" t="n">
        <v>571.98</v>
      </c>
      <c r="K1768" s="21" t="n">
        <v>667.3099999999999</v>
      </c>
      <c r="L1768" s="21" t="n">
        <v>762.64</v>
      </c>
      <c r="M1768" s="21" t="n">
        <v>678</v>
      </c>
    </row>
    <row r="1769">
      <c r="A1769" s="9" t="inlineStr">
        <is>
          <t>COCOMA</t>
        </is>
      </c>
      <c r="B1769" s="9" t="inlineStr">
        <is>
          <t>COCOMA 20/01/2026</t>
        </is>
      </c>
      <c r="C1769" s="9" t="inlineStr">
        <is>
          <t>2026-01-20</t>
        </is>
      </c>
      <c r="D1769" s="9" t="inlineStr">
        <is>
          <t>63e0b1fc15c01</t>
        </is>
      </c>
      <c r="E1769" s="9" t="inlineStr">
        <is>
          <t>ANILLO BV SILVER DELGADO</t>
        </is>
      </c>
      <c r="F1769" s="9" t="inlineStr">
        <is>
          <t>9</t>
        </is>
      </c>
      <c r="G1769" s="9" t="n">
        <v>2</v>
      </c>
      <c r="H1769" s="21" t="n">
        <v>7.89</v>
      </c>
      <c r="I1769" s="21" t="n">
        <v>190.66</v>
      </c>
      <c r="J1769" s="21" t="n">
        <v>571.98</v>
      </c>
      <c r="K1769" s="21" t="n">
        <v>667.3099999999999</v>
      </c>
      <c r="L1769" s="21" t="n">
        <v>762.64</v>
      </c>
      <c r="M1769" s="21" t="n">
        <v>678</v>
      </c>
    </row>
    <row r="1770">
      <c r="A1770" s="9" t="inlineStr">
        <is>
          <t>COCOMA</t>
        </is>
      </c>
      <c r="B1770" s="9" t="inlineStr">
        <is>
          <t>COCOMA 20/01/2026</t>
        </is>
      </c>
      <c r="C1770" s="9" t="inlineStr">
        <is>
          <t>2026-01-20</t>
        </is>
      </c>
      <c r="D1770" s="9" t="inlineStr">
        <is>
          <t>63e0b1fa23537</t>
        </is>
      </c>
      <c r="E1770" s="9" t="inlineStr">
        <is>
          <t>ANILLO BV SILVER DELGADO</t>
        </is>
      </c>
      <c r="F1770" s="9" t="inlineStr">
        <is>
          <t>7</t>
        </is>
      </c>
      <c r="G1770" s="9" t="n">
        <v>2</v>
      </c>
      <c r="H1770" s="21" t="n">
        <v>7.89</v>
      </c>
      <c r="I1770" s="21" t="n">
        <v>190.66</v>
      </c>
      <c r="J1770" s="21" t="n">
        <v>571.98</v>
      </c>
      <c r="K1770" s="21" t="n">
        <v>667.3099999999999</v>
      </c>
      <c r="L1770" s="21" t="n">
        <v>762.64</v>
      </c>
      <c r="M1770" s="21" t="n">
        <v>678</v>
      </c>
    </row>
    <row r="1771">
      <c r="A1771" s="9" t="inlineStr">
        <is>
          <t>COCOMA</t>
        </is>
      </c>
      <c r="B1771" s="9" t="inlineStr">
        <is>
          <t>COCOMA 20/01/2026</t>
        </is>
      </c>
      <c r="C1771" s="9" t="inlineStr">
        <is>
          <t>2026-01-20</t>
        </is>
      </c>
      <c r="D1771" s="9" t="inlineStr">
        <is>
          <t>63ebd81634b8a</t>
        </is>
      </c>
      <c r="E1771" s="9" t="inlineStr">
        <is>
          <t>ARETES CC GOLD CON ZIRCONIA</t>
        </is>
      </c>
      <c r="F1771" s="9" t="inlineStr">
        <is>
          <t>Default Title</t>
        </is>
      </c>
      <c r="G1771" s="9" t="n">
        <v>4</v>
      </c>
      <c r="H1771" s="21" t="n">
        <v>4.18</v>
      </c>
      <c r="I1771" s="21" t="n">
        <v>101.01</v>
      </c>
      <c r="J1771" s="21" t="n">
        <v>303.03</v>
      </c>
      <c r="K1771" s="21" t="n">
        <v>353.53</v>
      </c>
      <c r="L1771" s="21" t="n">
        <v>404.04</v>
      </c>
      <c r="M1771" s="21" t="n">
        <v>250</v>
      </c>
    </row>
    <row r="1772">
      <c r="A1772" s="9" t="inlineStr">
        <is>
          <t>COCOMA</t>
        </is>
      </c>
      <c r="B1772" s="9" t="inlineStr">
        <is>
          <t>COCOMA 20/01/2026</t>
        </is>
      </c>
      <c r="C1772" s="9" t="inlineStr">
        <is>
          <t>2026-01-20</t>
        </is>
      </c>
      <c r="D1772" s="9" t="inlineStr">
        <is>
          <t>63e0bb0b18c6d</t>
        </is>
      </c>
      <c r="E1772" s="9" t="inlineStr">
        <is>
          <t>ARETES GC ZIRCONIA</t>
        </is>
      </c>
      <c r="F1772" s="9" t="inlineStr">
        <is>
          <t>Default Title</t>
        </is>
      </c>
      <c r="G1772" s="9" t="n">
        <v>2</v>
      </c>
      <c r="H1772" s="21" t="n">
        <v>3.46</v>
      </c>
      <c r="I1772" s="21" t="n">
        <v>83.61</v>
      </c>
      <c r="J1772" s="21" t="n">
        <v>250.83</v>
      </c>
      <c r="K1772" s="21" t="n">
        <v>292.64</v>
      </c>
      <c r="L1772" s="21" t="n">
        <v>334.44</v>
      </c>
      <c r="M1772" s="21" t="n">
        <v>405</v>
      </c>
    </row>
    <row r="1773">
      <c r="A1773" s="9" t="inlineStr">
        <is>
          <t>COCOMA</t>
        </is>
      </c>
      <c r="B1773" s="9" t="inlineStr">
        <is>
          <t>COCOMA 20/01/2026</t>
        </is>
      </c>
      <c r="C1773" s="9" t="inlineStr">
        <is>
          <t>2026-01-20</t>
        </is>
      </c>
      <c r="D1773" s="9" t="inlineStr">
        <is>
          <t>646f84c070459</t>
        </is>
      </c>
      <c r="E1773" s="9" t="inlineStr">
        <is>
          <t>ARETES LV COLGANTE</t>
        </is>
      </c>
      <c r="F1773" s="9" t="inlineStr">
        <is>
          <t>Regular</t>
        </is>
      </c>
      <c r="G1773" s="9" t="n">
        <v>2</v>
      </c>
      <c r="H1773" s="21" t="n">
        <v>3.7</v>
      </c>
      <c r="I1773" s="21" t="n">
        <v>89.41</v>
      </c>
      <c r="J1773" s="21" t="n">
        <v>268.23</v>
      </c>
      <c r="K1773" s="21" t="n">
        <v>312.94</v>
      </c>
      <c r="L1773" s="21" t="n">
        <v>357.64</v>
      </c>
      <c r="M1773" s="21" t="n">
        <v>480</v>
      </c>
    </row>
    <row r="1774">
      <c r="A1774" s="9" t="inlineStr">
        <is>
          <t>COCOMA</t>
        </is>
      </c>
      <c r="B1774" s="9" t="inlineStr">
        <is>
          <t>COCOMA 20/01/2026</t>
        </is>
      </c>
      <c r="C1774" s="9" t="inlineStr">
        <is>
          <t>2026-01-20</t>
        </is>
      </c>
      <c r="D1774" s="9" t="inlineStr">
        <is>
          <t>646f84bcb068f</t>
        </is>
      </c>
      <c r="E1774" s="9" t="inlineStr">
        <is>
          <t>ARETES T GOLD</t>
        </is>
      </c>
      <c r="F1774" s="9" t="inlineStr">
        <is>
          <t>Default Title</t>
        </is>
      </c>
      <c r="G1774" s="9" t="n">
        <v>3</v>
      </c>
      <c r="H1774" s="21" t="n">
        <v>3.7</v>
      </c>
      <c r="I1774" s="21" t="n">
        <v>89.41</v>
      </c>
      <c r="J1774" s="21" t="n">
        <v>268.23</v>
      </c>
      <c r="K1774" s="21" t="n">
        <v>312.94</v>
      </c>
      <c r="L1774" s="21" t="n">
        <v>357.64</v>
      </c>
      <c r="M1774" s="21" t="n">
        <v>420</v>
      </c>
    </row>
    <row r="1775">
      <c r="A1775" s="9" t="inlineStr">
        <is>
          <t>COCOMA</t>
        </is>
      </c>
      <c r="B1775" s="9" t="inlineStr">
        <is>
          <t>COCOMA 20/01/2026</t>
        </is>
      </c>
      <c r="C1775" s="9" t="inlineStr">
        <is>
          <t>2026-01-20</t>
        </is>
      </c>
      <c r="D1775" s="9" t="inlineStr">
        <is>
          <t>646f84b9b65ea</t>
        </is>
      </c>
      <c r="E1775" s="9" t="inlineStr">
        <is>
          <t>ARETES T ROSE GOLD</t>
        </is>
      </c>
      <c r="F1775" s="9" t="inlineStr">
        <is>
          <t>Default Title</t>
        </is>
      </c>
      <c r="G1775" s="9" t="n">
        <v>3</v>
      </c>
      <c r="H1775" s="21" t="n">
        <v>3.7</v>
      </c>
      <c r="I1775" s="21" t="n">
        <v>89.41</v>
      </c>
      <c r="J1775" s="21" t="n">
        <v>268.23</v>
      </c>
      <c r="K1775" s="21" t="n">
        <v>312.94</v>
      </c>
      <c r="L1775" s="21" t="n">
        <v>357.64</v>
      </c>
      <c r="M1775" s="21" t="n">
        <v>210</v>
      </c>
    </row>
    <row r="1776">
      <c r="A1776" s="9" t="inlineStr">
        <is>
          <t>COCOMA</t>
        </is>
      </c>
      <c r="B1776" s="9" t="inlineStr">
        <is>
          <t>COCOMA 20/01/2026</t>
        </is>
      </c>
      <c r="C1776" s="9" t="inlineStr">
        <is>
          <t>2026-01-20</t>
        </is>
      </c>
      <c r="D1776" s="9" t="inlineStr">
        <is>
          <t>646f84b99a256</t>
        </is>
      </c>
      <c r="E1776" s="9" t="inlineStr">
        <is>
          <t>ARETES T SILVER</t>
        </is>
      </c>
      <c r="F1776" s="9" t="inlineStr">
        <is>
          <t>Default Title</t>
        </is>
      </c>
      <c r="G1776" s="9" t="n">
        <v>3</v>
      </c>
      <c r="H1776" s="21" t="n">
        <v>3.7</v>
      </c>
      <c r="I1776" s="21" t="n">
        <v>89.41</v>
      </c>
      <c r="J1776" s="21" t="n">
        <v>268.23</v>
      </c>
      <c r="K1776" s="21" t="n">
        <v>312.94</v>
      </c>
      <c r="L1776" s="21" t="n">
        <v>357.64</v>
      </c>
      <c r="M1776" s="21" t="n">
        <v>420</v>
      </c>
    </row>
    <row r="1777">
      <c r="A1777" s="9" t="inlineStr">
        <is>
          <t>COCOMA</t>
        </is>
      </c>
      <c r="B1777" s="9" t="inlineStr">
        <is>
          <t>COCOMA 20/01/2026</t>
        </is>
      </c>
      <c r="C1777" s="9" t="inlineStr">
        <is>
          <t>2026-01-20</t>
        </is>
      </c>
      <c r="D1777" s="9" t="inlineStr">
        <is>
          <t>668eee4709a5f</t>
        </is>
      </c>
      <c r="E1777" s="9" t="inlineStr">
        <is>
          <t>PULSERA DE CUENTAS CON INSIGNIA DE CORAZÓN ROSE GOLD</t>
        </is>
      </c>
      <c r="F1777" s="9" t="inlineStr">
        <is>
          <t>17 cm</t>
        </is>
      </c>
      <c r="G1777" s="9" t="n">
        <v>15</v>
      </c>
      <c r="H1777" s="21" t="n">
        <v>4.42</v>
      </c>
      <c r="I1777" s="21" t="n">
        <v>106.81</v>
      </c>
      <c r="J1777" s="21" t="n">
        <v>320.43</v>
      </c>
      <c r="K1777" s="21" t="n">
        <v>373.83</v>
      </c>
      <c r="L1777" s="21" t="n">
        <v>427.24</v>
      </c>
      <c r="M1777" s="21" t="n">
        <v>525</v>
      </c>
    </row>
    <row r="1778">
      <c r="A1778" s="9" t="inlineStr">
        <is>
          <t>COCOMA</t>
        </is>
      </c>
      <c r="B1778" s="9" t="inlineStr">
        <is>
          <t>COCOMA 20/01/2026</t>
        </is>
      </c>
      <c r="C1778" s="9" t="inlineStr">
        <is>
          <t>2026-01-20</t>
        </is>
      </c>
      <c r="D1778" s="9" t="inlineStr">
        <is>
          <t>43047221198988</t>
        </is>
      </c>
      <c r="E1778" s="9" t="inlineStr">
        <is>
          <t>PULSERA DE CUENTAS GOLD</t>
        </is>
      </c>
      <c r="F1778" s="9" t="inlineStr">
        <is>
          <t>16cm</t>
        </is>
      </c>
      <c r="G1778" s="9" t="n">
        <v>10</v>
      </c>
      <c r="H1778" s="21" t="n">
        <v>4.42</v>
      </c>
      <c r="I1778" s="21" t="n">
        <v>106.81</v>
      </c>
      <c r="J1778" s="21" t="n">
        <v>320.43</v>
      </c>
      <c r="K1778" s="21" t="n">
        <v>373.83</v>
      </c>
      <c r="L1778" s="21" t="n">
        <v>427.24</v>
      </c>
      <c r="M1778" s="21" t="n">
        <v>525</v>
      </c>
    </row>
    <row r="1779">
      <c r="A1779" s="9" t="inlineStr">
        <is>
          <t>COCOMA</t>
        </is>
      </c>
      <c r="B1779" s="9" t="inlineStr">
        <is>
          <t>COCOMA 20/01/2026</t>
        </is>
      </c>
      <c r="C1779" s="9" t="inlineStr">
        <is>
          <t>2026-01-20</t>
        </is>
      </c>
      <c r="D1779" s="9" t="inlineStr">
        <is>
          <t>43047209828492</t>
        </is>
      </c>
      <c r="E1779" s="9" t="inlineStr">
        <is>
          <t>PULSERA DE CUENTAS GOLD CON INSIGNIA DE CORAZÓN BLUE</t>
        </is>
      </c>
      <c r="F1779" s="9" t="inlineStr">
        <is>
          <t>16cm</t>
        </is>
      </c>
      <c r="G1779" s="9" t="n">
        <v>10</v>
      </c>
      <c r="H1779" s="21" t="n">
        <v>4.66</v>
      </c>
      <c r="I1779" s="21" t="n">
        <v>112.61</v>
      </c>
      <c r="J1779" s="21" t="n">
        <v>337.83</v>
      </c>
      <c r="K1779" s="21" t="n">
        <v>394.13</v>
      </c>
      <c r="L1779" s="21" t="n">
        <v>450.43</v>
      </c>
      <c r="M1779" s="21" t="n">
        <v>525</v>
      </c>
    </row>
    <row r="1780">
      <c r="A1780" s="9" t="inlineStr">
        <is>
          <t>COCOMA</t>
        </is>
      </c>
      <c r="B1780" s="9" t="inlineStr">
        <is>
          <t>COCOMA 20/01/2026</t>
        </is>
      </c>
      <c r="C1780" s="9" t="inlineStr">
        <is>
          <t>2026-01-20</t>
        </is>
      </c>
      <c r="D1780" s="9" t="inlineStr">
        <is>
          <t>43047210680460</t>
        </is>
      </c>
      <c r="E1780" s="9" t="inlineStr">
        <is>
          <t>PULSERA DE CUENTAS GOLD CON INSIGNIA DE CORAZÓN RED</t>
        </is>
      </c>
      <c r="F1780" s="9" t="inlineStr">
        <is>
          <t>16cm</t>
        </is>
      </c>
      <c r="G1780" s="9" t="n">
        <v>3</v>
      </c>
      <c r="H1780" s="21" t="n">
        <v>4.66</v>
      </c>
      <c r="I1780" s="21" t="n">
        <v>112.61</v>
      </c>
      <c r="J1780" s="21" t="n">
        <v>337.83</v>
      </c>
      <c r="K1780" s="21" t="n">
        <v>394.13</v>
      </c>
      <c r="L1780" s="21" t="n">
        <v>450.43</v>
      </c>
      <c r="M1780" s="21" t="n">
        <v>525</v>
      </c>
    </row>
    <row r="1781">
      <c r="A1781" s="9" t="inlineStr">
        <is>
          <t>COCOMA</t>
        </is>
      </c>
      <c r="B1781" s="9" t="inlineStr">
        <is>
          <t>COCOMA 20/01/2026</t>
        </is>
      </c>
      <c r="C1781" s="9" t="inlineStr">
        <is>
          <t>2026-01-20</t>
        </is>
      </c>
      <c r="D1781" s="9" t="inlineStr">
        <is>
          <t>43728095967788</t>
        </is>
      </c>
      <c r="E1781" s="9" t="inlineStr">
        <is>
          <t>PULSERA DOBLE STAR CD</t>
        </is>
      </c>
      <c r="F1781" s="9" t="inlineStr">
        <is>
          <t>16cm con extensión de 5cm</t>
        </is>
      </c>
      <c r="G1781" s="9" t="n">
        <v>10</v>
      </c>
      <c r="H1781" s="21" t="n">
        <v>3.98</v>
      </c>
      <c r="I1781" s="21" t="n">
        <v>96.18000000000001</v>
      </c>
      <c r="J1781" s="21" t="n">
        <v>288.53</v>
      </c>
      <c r="K1781" s="21" t="n">
        <v>336.62</v>
      </c>
      <c r="L1781" s="21" t="n">
        <v>384.71</v>
      </c>
      <c r="M1781" s="21" t="n">
        <v>455</v>
      </c>
    </row>
    <row r="1782">
      <c r="A1782" s="9" t="inlineStr">
        <is>
          <t>HAIFENG</t>
        </is>
      </c>
      <c r="B1782" s="9" t="inlineStr">
        <is>
          <t>HAIFENG 20/01/2026</t>
        </is>
      </c>
      <c r="C1782" s="9" t="inlineStr">
        <is>
          <t>2026-01-20</t>
        </is>
      </c>
      <c r="D1782" s="9" t="inlineStr">
        <is>
          <t>66075801273229</t>
        </is>
      </c>
      <c r="E1782" s="9" t="inlineStr">
        <is>
          <t>ANILLO ALLIANCE SILVER C</t>
        </is>
      </c>
      <c r="F1782" s="9" t="inlineStr">
        <is>
          <t>9</t>
        </is>
      </c>
      <c r="G1782" s="9" t="n">
        <v>1</v>
      </c>
      <c r="H1782" s="21" t="n">
        <v>2</v>
      </c>
      <c r="I1782" s="21" t="n">
        <v>42.4</v>
      </c>
      <c r="J1782" s="21" t="n">
        <v>127.2</v>
      </c>
      <c r="K1782" s="21" t="n">
        <v>148.4</v>
      </c>
      <c r="L1782" s="21" t="n">
        <v>169.6</v>
      </c>
      <c r="M1782" s="21" t="n">
        <v>400</v>
      </c>
    </row>
    <row r="1783">
      <c r="A1783" s="9" t="inlineStr">
        <is>
          <t>HAIFENG</t>
        </is>
      </c>
      <c r="B1783" s="9" t="inlineStr">
        <is>
          <t>HAIFENG 20/01/2026</t>
        </is>
      </c>
      <c r="C1783" s="9" t="inlineStr">
        <is>
          <t>2026-01-20</t>
        </is>
      </c>
      <c r="D1783" s="9" t="inlineStr">
        <is>
          <t>21605774283693</t>
        </is>
      </c>
      <c r="E1783" s="9" t="inlineStr">
        <is>
          <t>ANILLO BACK SOON T SILVER</t>
        </is>
      </c>
      <c r="F1783" s="9" t="inlineStr">
        <is>
          <t>6</t>
        </is>
      </c>
      <c r="G1783" s="9" t="n">
        <v>2</v>
      </c>
      <c r="H1783" s="21" t="n">
        <v>3</v>
      </c>
      <c r="I1783" s="21" t="n">
        <v>63.6</v>
      </c>
      <c r="J1783" s="21" t="n">
        <v>190.8</v>
      </c>
      <c r="K1783" s="21" t="n">
        <v>222.6</v>
      </c>
      <c r="L1783" s="21" t="n">
        <v>254.41</v>
      </c>
      <c r="M1783" s="21" t="n">
        <v>450</v>
      </c>
    </row>
    <row r="1784">
      <c r="A1784" s="9" t="inlineStr">
        <is>
          <t>HAIFENG</t>
        </is>
      </c>
      <c r="B1784" s="9" t="inlineStr">
        <is>
          <t>HAIFENG 20/01/2026</t>
        </is>
      </c>
      <c r="C1784" s="9" t="inlineStr">
        <is>
          <t>2026-01-20</t>
        </is>
      </c>
      <c r="D1784" s="9" t="inlineStr">
        <is>
          <t>21605774316461</t>
        </is>
      </c>
      <c r="E1784" s="9" t="inlineStr">
        <is>
          <t>ANILLO BACK SOON T SILVER</t>
        </is>
      </c>
      <c r="F1784" s="9" t="inlineStr">
        <is>
          <t>7</t>
        </is>
      </c>
      <c r="G1784" s="9" t="n">
        <v>2</v>
      </c>
      <c r="H1784" s="21" t="n">
        <v>3</v>
      </c>
      <c r="I1784" s="21" t="n">
        <v>63.6</v>
      </c>
      <c r="J1784" s="21" t="n">
        <v>190.8</v>
      </c>
      <c r="K1784" s="21" t="n">
        <v>222.6</v>
      </c>
      <c r="L1784" s="21" t="n">
        <v>254.41</v>
      </c>
      <c r="M1784" s="21" t="n">
        <v>450</v>
      </c>
    </row>
    <row r="1785">
      <c r="A1785" s="9" t="inlineStr">
        <is>
          <t>HAIFENG</t>
        </is>
      </c>
      <c r="B1785" s="9" t="inlineStr">
        <is>
          <t>HAIFENG 20/01/2026</t>
        </is>
      </c>
      <c r="C1785" s="9" t="inlineStr">
        <is>
          <t>2026-01-20</t>
        </is>
      </c>
      <c r="D1785" s="9" t="inlineStr">
        <is>
          <t>67201533809613</t>
        </is>
      </c>
      <c r="E1785" s="9" t="inlineStr">
        <is>
          <t>ANILLO BEAN CON ZIRCONIA GOLD</t>
        </is>
      </c>
      <c r="F1785" s="9" t="inlineStr">
        <is>
          <t>7</t>
        </is>
      </c>
      <c r="G1785" s="9" t="n">
        <v>2</v>
      </c>
      <c r="H1785" s="21" t="n">
        <v>5</v>
      </c>
      <c r="I1785" s="21" t="n">
        <v>106</v>
      </c>
      <c r="J1785" s="21" t="n">
        <v>318.01</v>
      </c>
      <c r="K1785" s="21" t="n">
        <v>371.01</v>
      </c>
      <c r="L1785" s="21" t="n">
        <v>424.01</v>
      </c>
      <c r="M1785" s="21" t="n">
        <v>450</v>
      </c>
    </row>
    <row r="1786">
      <c r="A1786" s="9" t="inlineStr">
        <is>
          <t>HAIFENG</t>
        </is>
      </c>
      <c r="B1786" s="9" t="inlineStr">
        <is>
          <t>HAIFENG 20/01/2026</t>
        </is>
      </c>
      <c r="C1786" s="9" t="inlineStr">
        <is>
          <t>2026-01-20</t>
        </is>
      </c>
      <c r="D1786" s="9" t="inlineStr">
        <is>
          <t>67201533776845</t>
        </is>
      </c>
      <c r="E1786" s="9" t="inlineStr">
        <is>
          <t>ANILLO BEAN CON ZIRCONIA GOLD</t>
        </is>
      </c>
      <c r="F1786" s="9" t="inlineStr">
        <is>
          <t>6</t>
        </is>
      </c>
      <c r="G1786" s="9" t="n">
        <v>1</v>
      </c>
      <c r="H1786" s="21" t="n">
        <v>5</v>
      </c>
      <c r="I1786" s="21" t="n">
        <v>106</v>
      </c>
      <c r="J1786" s="21" t="n">
        <v>318.01</v>
      </c>
      <c r="K1786" s="21" t="n">
        <v>371.01</v>
      </c>
      <c r="L1786" s="21" t="n">
        <v>424.01</v>
      </c>
      <c r="M1786" s="21" t="n">
        <v>450</v>
      </c>
    </row>
    <row r="1787">
      <c r="A1787" s="9" t="inlineStr">
        <is>
          <t>HAIFENG</t>
        </is>
      </c>
      <c r="B1787" s="9" t="inlineStr">
        <is>
          <t>HAIFENG 20/01/2026</t>
        </is>
      </c>
      <c r="C1787" s="9" t="inlineStr">
        <is>
          <t>2026-01-20</t>
        </is>
      </c>
      <c r="D1787" s="9" t="inlineStr">
        <is>
          <t>66009451058223</t>
        </is>
      </c>
      <c r="E1787" s="9" t="inlineStr">
        <is>
          <t>ANILLO BV BROWN</t>
        </is>
      </c>
      <c r="F1787" s="9" t="inlineStr">
        <is>
          <t>8</t>
        </is>
      </c>
      <c r="G1787" s="9" t="n">
        <v>3</v>
      </c>
      <c r="H1787" s="21" t="n">
        <v>7</v>
      </c>
      <c r="I1787" s="21" t="n">
        <v>148.4</v>
      </c>
      <c r="J1787" s="21" t="n">
        <v>445.21</v>
      </c>
      <c r="K1787" s="21" t="n">
        <v>519.41</v>
      </c>
      <c r="L1787" s="21" t="n">
        <v>593.61</v>
      </c>
      <c r="M1787" s="21" t="n">
        <v>580</v>
      </c>
    </row>
    <row r="1788">
      <c r="A1788" s="9" t="inlineStr">
        <is>
          <t>HAIFENG</t>
        </is>
      </c>
      <c r="B1788" s="9" t="inlineStr">
        <is>
          <t>HAIFENG 20/01/2026</t>
        </is>
      </c>
      <c r="C1788" s="9" t="inlineStr">
        <is>
          <t>2026-01-20</t>
        </is>
      </c>
      <c r="D1788" s="9" t="inlineStr">
        <is>
          <t>66009451058222</t>
        </is>
      </c>
      <c r="E1788" s="9" t="inlineStr">
        <is>
          <t>ANILLO BV BROWN</t>
        </is>
      </c>
      <c r="F1788" s="9" t="inlineStr">
        <is>
          <t>7</t>
        </is>
      </c>
      <c r="G1788" s="9" t="n">
        <v>3</v>
      </c>
      <c r="H1788" s="21" t="n">
        <v>7</v>
      </c>
      <c r="I1788" s="21" t="n">
        <v>148.4</v>
      </c>
      <c r="J1788" s="21" t="n">
        <v>445.21</v>
      </c>
      <c r="K1788" s="21" t="n">
        <v>519.41</v>
      </c>
      <c r="L1788" s="21" t="n">
        <v>593.61</v>
      </c>
      <c r="M1788" s="21" t="n">
        <v>593</v>
      </c>
    </row>
    <row r="1789">
      <c r="A1789" s="9" t="inlineStr">
        <is>
          <t>HAIFENG</t>
        </is>
      </c>
      <c r="B1789" s="9" t="inlineStr">
        <is>
          <t>HAIFENG 20/01/2026</t>
        </is>
      </c>
      <c r="C1789" s="9" t="inlineStr">
        <is>
          <t>2026-01-20</t>
        </is>
      </c>
      <c r="D1789" s="9" t="inlineStr">
        <is>
          <t>10717801055213</t>
        </is>
      </c>
      <c r="E1789" s="9" t="inlineStr">
        <is>
          <t>ANILLO CD ZIRCONIAS GOLD-BLACK</t>
        </is>
      </c>
      <c r="F1789" s="9" t="inlineStr">
        <is>
          <t>7</t>
        </is>
      </c>
      <c r="G1789" s="9" t="n">
        <v>1</v>
      </c>
      <c r="H1789" s="21" t="n">
        <v>9.5</v>
      </c>
      <c r="I1789" s="21" t="n">
        <v>201.4</v>
      </c>
      <c r="J1789" s="21" t="n">
        <v>604.21</v>
      </c>
      <c r="K1789" s="21" t="n">
        <v>704.91</v>
      </c>
      <c r="L1789" s="21" t="n">
        <v>805.62</v>
      </c>
      <c r="M1789" s="21" t="n">
        <v>790.5</v>
      </c>
    </row>
    <row r="1790">
      <c r="A1790" s="9" t="inlineStr">
        <is>
          <t>HAIFENG</t>
        </is>
      </c>
      <c r="B1790" s="9" t="inlineStr">
        <is>
          <t>HAIFENG 20/01/2026</t>
        </is>
      </c>
      <c r="C1790" s="9" t="inlineStr">
        <is>
          <t>2026-01-20</t>
        </is>
      </c>
      <c r="D1790" s="9" t="inlineStr">
        <is>
          <t>66176e6009ab0</t>
        </is>
      </c>
      <c r="E1790" s="9" t="inlineStr">
        <is>
          <t>ANILLO CLASH GOLD</t>
        </is>
      </c>
      <c r="F1790" s="9" t="inlineStr">
        <is>
          <t>7</t>
        </is>
      </c>
      <c r="G1790" s="9" t="n">
        <v>1</v>
      </c>
      <c r="H1790" s="21" t="n">
        <v>10</v>
      </c>
      <c r="I1790" s="21" t="n">
        <v>212</v>
      </c>
      <c r="J1790" s="21" t="n">
        <v>636.01</v>
      </c>
      <c r="K1790" s="21" t="n">
        <v>742.01</v>
      </c>
      <c r="L1790" s="21" t="n">
        <v>848.02</v>
      </c>
      <c r="M1790" s="21" t="n">
        <v>850</v>
      </c>
    </row>
    <row r="1791">
      <c r="A1791" s="9" t="inlineStr">
        <is>
          <t>HAIFENG</t>
        </is>
      </c>
      <c r="B1791" s="9" t="inlineStr">
        <is>
          <t>HAIFENG 20/01/2026</t>
        </is>
      </c>
      <c r="C1791" s="9" t="inlineStr">
        <is>
          <t>2026-01-20</t>
        </is>
      </c>
      <c r="D1791" s="9" t="inlineStr">
        <is>
          <t>66176e5f7392c</t>
        </is>
      </c>
      <c r="E1791" s="9" t="inlineStr">
        <is>
          <t>ANILLO CLASH GOLD</t>
        </is>
      </c>
      <c r="F1791" s="9" t="inlineStr">
        <is>
          <t>6</t>
        </is>
      </c>
      <c r="G1791" s="9" t="n">
        <v>1</v>
      </c>
      <c r="H1791" s="21" t="n">
        <v>10</v>
      </c>
      <c r="I1791" s="21" t="n">
        <v>212</v>
      </c>
      <c r="J1791" s="21" t="n">
        <v>636.01</v>
      </c>
      <c r="K1791" s="21" t="n">
        <v>742.01</v>
      </c>
      <c r="L1791" s="21" t="n">
        <v>848.02</v>
      </c>
      <c r="M1791" s="21" t="n">
        <v>850</v>
      </c>
    </row>
    <row r="1792">
      <c r="A1792" s="9" t="inlineStr">
        <is>
          <t>HAIFENG</t>
        </is>
      </c>
      <c r="B1792" s="9" t="inlineStr">
        <is>
          <t>HAIFENG 20/01/2026</t>
        </is>
      </c>
      <c r="C1792" s="9" t="inlineStr">
        <is>
          <t>2026-01-20</t>
        </is>
      </c>
      <c r="D1792" s="9" t="inlineStr">
        <is>
          <t>66176e62285d1</t>
        </is>
      </c>
      <c r="E1792" s="9" t="inlineStr">
        <is>
          <t>ANILLO CLASH ROSEGOLD</t>
        </is>
      </c>
      <c r="F1792" s="9" t="inlineStr">
        <is>
          <t>10</t>
        </is>
      </c>
      <c r="G1792" s="9" t="n">
        <v>2</v>
      </c>
      <c r="H1792" s="21" t="n">
        <v>10</v>
      </c>
      <c r="I1792" s="21" t="n">
        <v>212</v>
      </c>
      <c r="J1792" s="21" t="n">
        <v>636.01</v>
      </c>
      <c r="K1792" s="21" t="n">
        <v>742.01</v>
      </c>
      <c r="L1792" s="21" t="n">
        <v>848.02</v>
      </c>
      <c r="M1792" s="21" t="n">
        <v>850</v>
      </c>
    </row>
    <row r="1793">
      <c r="A1793" s="9" t="inlineStr">
        <is>
          <t>HAIFENG</t>
        </is>
      </c>
      <c r="B1793" s="9" t="inlineStr">
        <is>
          <t>HAIFENG 20/01/2026</t>
        </is>
      </c>
      <c r="C1793" s="9" t="inlineStr">
        <is>
          <t>2026-01-20</t>
        </is>
      </c>
      <c r="D1793" s="9" t="inlineStr">
        <is>
          <t>66176e60bbec9</t>
        </is>
      </c>
      <c r="E1793" s="9" t="inlineStr">
        <is>
          <t>ANILLO CLASH ROSEGOLD</t>
        </is>
      </c>
      <c r="F1793" s="9" t="inlineStr">
        <is>
          <t>8</t>
        </is>
      </c>
      <c r="G1793" s="9" t="n">
        <v>2</v>
      </c>
      <c r="H1793" s="21" t="n">
        <v>10</v>
      </c>
      <c r="I1793" s="21" t="n">
        <v>212</v>
      </c>
      <c r="J1793" s="21" t="n">
        <v>636.01</v>
      </c>
      <c r="K1793" s="21" t="n">
        <v>742.01</v>
      </c>
      <c r="L1793" s="21" t="n">
        <v>848.02</v>
      </c>
      <c r="M1793" s="21" t="n">
        <v>850</v>
      </c>
    </row>
    <row r="1794">
      <c r="A1794" s="9" t="inlineStr">
        <is>
          <t>HAIFENG</t>
        </is>
      </c>
      <c r="B1794" s="9" t="inlineStr">
        <is>
          <t>HAIFENG 20/01/2026</t>
        </is>
      </c>
      <c r="C1794" s="9" t="inlineStr">
        <is>
          <t>2026-01-20</t>
        </is>
      </c>
      <c r="D1794" s="9" t="inlineStr">
        <is>
          <t>66176e602b0bf</t>
        </is>
      </c>
      <c r="E1794" s="9" t="inlineStr">
        <is>
          <t>ANILLO CLASH ROSEGOLD</t>
        </is>
      </c>
      <c r="F1794" s="9" t="inlineStr">
        <is>
          <t>7</t>
        </is>
      </c>
      <c r="G1794" s="9" t="n">
        <v>1</v>
      </c>
      <c r="H1794" s="21" t="n">
        <v>10</v>
      </c>
      <c r="I1794" s="21" t="n">
        <v>212</v>
      </c>
      <c r="J1794" s="21" t="n">
        <v>636.01</v>
      </c>
      <c r="K1794" s="21" t="n">
        <v>742.01</v>
      </c>
      <c r="L1794" s="21" t="n">
        <v>848.02</v>
      </c>
      <c r="M1794" s="21" t="n">
        <v>850</v>
      </c>
    </row>
    <row r="1795">
      <c r="A1795" s="9" t="inlineStr">
        <is>
          <t>HAIFENG</t>
        </is>
      </c>
      <c r="B1795" s="9" t="inlineStr">
        <is>
          <t>HAIFENG 20/01/2026</t>
        </is>
      </c>
      <c r="C1795" s="9" t="inlineStr">
        <is>
          <t>2026-01-20</t>
        </is>
      </c>
      <c r="D1795" s="9" t="inlineStr">
        <is>
          <t>63ebd3f42d4db</t>
        </is>
      </c>
      <c r="E1795" s="9" t="inlineStr">
        <is>
          <t>ANILLO CLASH SILVER</t>
        </is>
      </c>
      <c r="F1795" s="9" t="inlineStr">
        <is>
          <t>8</t>
        </is>
      </c>
      <c r="G1795" s="9" t="n">
        <v>2</v>
      </c>
      <c r="H1795" s="21" t="n">
        <v>10</v>
      </c>
      <c r="I1795" s="21" t="n">
        <v>212</v>
      </c>
      <c r="J1795" s="21" t="n">
        <v>636.01</v>
      </c>
      <c r="K1795" s="21" t="n">
        <v>742.01</v>
      </c>
      <c r="L1795" s="21" t="n">
        <v>848.02</v>
      </c>
      <c r="M1795" s="21" t="n">
        <v>850</v>
      </c>
    </row>
    <row r="1796">
      <c r="A1796" s="9" t="inlineStr">
        <is>
          <t>HAIFENG</t>
        </is>
      </c>
      <c r="B1796" s="9" t="inlineStr">
        <is>
          <t>HAIFENG 20/01/2026</t>
        </is>
      </c>
      <c r="C1796" s="9" t="inlineStr">
        <is>
          <t>2026-01-20</t>
        </is>
      </c>
      <c r="D1796" s="9" t="inlineStr">
        <is>
          <t>66176cdc59c57</t>
        </is>
      </c>
      <c r="E1796" s="9" t="inlineStr">
        <is>
          <t>ANILLO CLAVO GOLD</t>
        </is>
      </c>
      <c r="F1796" s="9" t="inlineStr">
        <is>
          <t>7 HIGH QUALITY</t>
        </is>
      </c>
      <c r="G1796" s="9" t="n">
        <v>4</v>
      </c>
      <c r="H1796" s="21" t="n">
        <v>2.5</v>
      </c>
      <c r="I1796" s="21" t="n">
        <v>53</v>
      </c>
      <c r="J1796" s="21" t="n">
        <v>159</v>
      </c>
      <c r="K1796" s="21" t="n">
        <v>185.5</v>
      </c>
      <c r="L1796" s="21" t="n">
        <v>212</v>
      </c>
      <c r="M1796" s="21" t="n">
        <v>400</v>
      </c>
    </row>
    <row r="1797">
      <c r="A1797" s="9" t="inlineStr">
        <is>
          <t>HAIFENG</t>
        </is>
      </c>
      <c r="B1797" s="9" t="inlineStr">
        <is>
          <t>HAIFENG 20/01/2026</t>
        </is>
      </c>
      <c r="C1797" s="9" t="inlineStr">
        <is>
          <t>2026-01-20</t>
        </is>
      </c>
      <c r="D1797" s="9" t="inlineStr">
        <is>
          <t>66176cdae92c1</t>
        </is>
      </c>
      <c r="E1797" s="9" t="inlineStr">
        <is>
          <t>ANILLO CLAVO GOLD</t>
        </is>
      </c>
      <c r="F1797" s="9" t="inlineStr">
        <is>
          <t>5 HIGH QUALITY</t>
        </is>
      </c>
      <c r="G1797" s="9" t="n">
        <v>5</v>
      </c>
      <c r="H1797" s="21" t="n">
        <v>2.5</v>
      </c>
      <c r="I1797" s="21" t="n">
        <v>53</v>
      </c>
      <c r="J1797" s="21" t="n">
        <v>159</v>
      </c>
      <c r="K1797" s="21" t="n">
        <v>185.5</v>
      </c>
      <c r="L1797" s="21" t="n">
        <v>212</v>
      </c>
      <c r="M1797" s="21" t="n">
        <v>400</v>
      </c>
    </row>
    <row r="1798">
      <c r="A1798" s="9" t="inlineStr">
        <is>
          <t>HAIFENG</t>
        </is>
      </c>
      <c r="B1798" s="9" t="inlineStr">
        <is>
          <t>HAIFENG 20/01/2026</t>
        </is>
      </c>
      <c r="C1798" s="9" t="inlineStr">
        <is>
          <t>2026-01-20</t>
        </is>
      </c>
      <c r="D1798" s="9" t="inlineStr">
        <is>
          <t>63e0b72a8a859</t>
        </is>
      </c>
      <c r="E1798" s="9" t="inlineStr">
        <is>
          <t>ANILLO COCO GOLD</t>
        </is>
      </c>
      <c r="F1798" s="9" t="inlineStr">
        <is>
          <t>5</t>
        </is>
      </c>
      <c r="G1798" s="9" t="n">
        <v>4</v>
      </c>
      <c r="H1798" s="21" t="n">
        <v>1.8</v>
      </c>
      <c r="I1798" s="21" t="n">
        <v>38.16</v>
      </c>
      <c r="J1798" s="21" t="n">
        <v>114.48</v>
      </c>
      <c r="K1798" s="21" t="n">
        <v>133.56</v>
      </c>
      <c r="L1798" s="21" t="n">
        <v>152.64</v>
      </c>
      <c r="M1798" s="21" t="n">
        <v>400</v>
      </c>
    </row>
    <row r="1799">
      <c r="A1799" s="9" t="inlineStr">
        <is>
          <t>HAIFENG</t>
        </is>
      </c>
      <c r="B1799" s="9" t="inlineStr">
        <is>
          <t>HAIFENG 20/01/2026</t>
        </is>
      </c>
      <c r="C1799" s="9" t="inlineStr">
        <is>
          <t>2026-01-20</t>
        </is>
      </c>
      <c r="D1799" s="9" t="inlineStr">
        <is>
          <t>56481450564492</t>
        </is>
      </c>
      <c r="E1799" s="9" t="inlineStr">
        <is>
          <t>ANILLO CORAZ√ìN GRABADO</t>
        </is>
      </c>
      <c r="F1799" s="9" t="inlineStr">
        <is>
          <t>8</t>
        </is>
      </c>
      <c r="G1799" s="9" t="n">
        <v>5</v>
      </c>
      <c r="H1799" s="21" t="n">
        <v>5</v>
      </c>
      <c r="I1799" s="21" t="n">
        <v>106</v>
      </c>
      <c r="J1799" s="21" t="n">
        <v>318.01</v>
      </c>
      <c r="K1799" s="21" t="n">
        <v>371.01</v>
      </c>
      <c r="L1799" s="21" t="n">
        <v>424.01</v>
      </c>
      <c r="M1799" s="21" t="n">
        <v>450</v>
      </c>
    </row>
    <row r="1800">
      <c r="A1800" s="9" t="inlineStr">
        <is>
          <t>HAIFENG</t>
        </is>
      </c>
      <c r="B1800" s="9" t="inlineStr">
        <is>
          <t>HAIFENG 20/01/2026</t>
        </is>
      </c>
      <c r="C1800" s="9" t="inlineStr">
        <is>
          <t>2026-01-20</t>
        </is>
      </c>
      <c r="D1800" s="9" t="inlineStr">
        <is>
          <t>56481450498956</t>
        </is>
      </c>
      <c r="E1800" s="9" t="inlineStr">
        <is>
          <t>ANILLO CORAZ√ìN GRABADO</t>
        </is>
      </c>
      <c r="F1800" s="9" t="inlineStr">
        <is>
          <t>6</t>
        </is>
      </c>
      <c r="G1800" s="9" t="n">
        <v>2</v>
      </c>
      <c r="H1800" s="21" t="n">
        <v>5</v>
      </c>
      <c r="I1800" s="21" t="n">
        <v>106</v>
      </c>
      <c r="J1800" s="21" t="n">
        <v>318.01</v>
      </c>
      <c r="K1800" s="21" t="n">
        <v>371.01</v>
      </c>
      <c r="L1800" s="21" t="n">
        <v>424.01</v>
      </c>
      <c r="M1800" s="21" t="n">
        <v>450</v>
      </c>
    </row>
    <row r="1801">
      <c r="A1801" s="9" t="inlineStr">
        <is>
          <t>HAIFENG</t>
        </is>
      </c>
      <c r="B1801" s="9" t="inlineStr">
        <is>
          <t>HAIFENG 20/01/2026</t>
        </is>
      </c>
      <c r="C1801" s="9" t="inlineStr">
        <is>
          <t>2026-01-20</t>
        </is>
      </c>
      <c r="D1801" s="9" t="inlineStr">
        <is>
          <t>15711171151469</t>
        </is>
      </c>
      <c r="E1801" s="9" t="inlineStr">
        <is>
          <t>ANILLO DOBLE T GOLD</t>
        </is>
      </c>
      <c r="F1801" s="9" t="inlineStr">
        <is>
          <t>7</t>
        </is>
      </c>
      <c r="G1801" s="9" t="n">
        <v>3</v>
      </c>
      <c r="H1801" s="21" t="n">
        <v>5</v>
      </c>
      <c r="I1801" s="21" t="n">
        <v>106</v>
      </c>
      <c r="J1801" s="21" t="n">
        <v>318.01</v>
      </c>
      <c r="K1801" s="21" t="n">
        <v>371.01</v>
      </c>
      <c r="L1801" s="21" t="n">
        <v>424.01</v>
      </c>
      <c r="M1801" s="21" t="n">
        <v>480</v>
      </c>
    </row>
    <row r="1802">
      <c r="A1802" s="9" t="inlineStr">
        <is>
          <t>HAIFENG</t>
        </is>
      </c>
      <c r="B1802" s="9" t="inlineStr">
        <is>
          <t>HAIFENG 20/01/2026</t>
        </is>
      </c>
      <c r="C1802" s="9" t="inlineStr">
        <is>
          <t>2026-01-20</t>
        </is>
      </c>
      <c r="D1802" s="9" t="inlineStr">
        <is>
          <t>15711171526733</t>
        </is>
      </c>
      <c r="E1802" s="9" t="inlineStr">
        <is>
          <t>ANILLO DOBLE T ROSE GOLD</t>
        </is>
      </c>
      <c r="F1802" s="9" t="inlineStr">
        <is>
          <t>8</t>
        </is>
      </c>
      <c r="G1802" s="9" t="n">
        <v>2</v>
      </c>
      <c r="H1802" s="21" t="n">
        <v>5</v>
      </c>
      <c r="I1802" s="21" t="n">
        <v>106</v>
      </c>
      <c r="J1802" s="21" t="n">
        <v>318.01</v>
      </c>
      <c r="K1802" s="21" t="n">
        <v>371.01</v>
      </c>
      <c r="L1802" s="21" t="n">
        <v>424.01</v>
      </c>
      <c r="M1802" s="21" t="n">
        <v>312</v>
      </c>
    </row>
    <row r="1803">
      <c r="A1803" s="9" t="inlineStr">
        <is>
          <t>HAIFENG</t>
        </is>
      </c>
      <c r="B1803" s="9" t="inlineStr">
        <is>
          <t>HAIFENG 20/01/2026</t>
        </is>
      </c>
      <c r="C1803" s="9" t="inlineStr">
        <is>
          <t>2026-01-20</t>
        </is>
      </c>
      <c r="D1803" s="9" t="inlineStr">
        <is>
          <t>15711171889677</t>
        </is>
      </c>
      <c r="E1803" s="9" t="inlineStr">
        <is>
          <t>ANILLO DOBLE T SILVER</t>
        </is>
      </c>
      <c r="F1803" s="9" t="inlineStr">
        <is>
          <t>8</t>
        </is>
      </c>
      <c r="G1803" s="9" t="n">
        <v>2</v>
      </c>
      <c r="H1803" s="21" t="n">
        <v>5</v>
      </c>
      <c r="I1803" s="21" t="n">
        <v>106</v>
      </c>
      <c r="J1803" s="21" t="n">
        <v>318.01</v>
      </c>
      <c r="K1803" s="21" t="n">
        <v>371.01</v>
      </c>
      <c r="L1803" s="21" t="n">
        <v>424.01</v>
      </c>
      <c r="M1803" s="21" t="n">
        <v>450</v>
      </c>
    </row>
    <row r="1804">
      <c r="A1804" s="9" t="inlineStr">
        <is>
          <t>HAIFENG</t>
        </is>
      </c>
      <c r="B1804" s="9" t="inlineStr">
        <is>
          <t>HAIFENG 20/01/2026</t>
        </is>
      </c>
      <c r="C1804" s="9" t="inlineStr">
        <is>
          <t>2026-01-20</t>
        </is>
      </c>
      <c r="D1804" s="9" t="inlineStr">
        <is>
          <t>86347032827501</t>
        </is>
      </c>
      <c r="E1804" s="9" t="inlineStr">
        <is>
          <t>ANILLO ESLABONES ROSEGOLD ZIRCONIAS</t>
        </is>
      </c>
      <c r="F1804" s="9" t="inlineStr">
        <is>
          <t>7</t>
        </is>
      </c>
      <c r="G1804" s="9" t="n">
        <v>1</v>
      </c>
      <c r="H1804" s="21" t="n">
        <v>7</v>
      </c>
      <c r="I1804" s="21" t="n">
        <v>148.4</v>
      </c>
      <c r="J1804" s="21" t="n">
        <v>445.21</v>
      </c>
      <c r="K1804" s="21" t="n">
        <v>519.41</v>
      </c>
      <c r="L1804" s="21" t="n">
        <v>593.61</v>
      </c>
      <c r="M1804" s="21" t="n">
        <v>580</v>
      </c>
    </row>
    <row r="1805">
      <c r="A1805" s="9" t="inlineStr">
        <is>
          <t>HAIFENG</t>
        </is>
      </c>
      <c r="B1805" s="9" t="inlineStr">
        <is>
          <t>HAIFENG 20/01/2026</t>
        </is>
      </c>
      <c r="C1805" s="9" t="inlineStr">
        <is>
          <t>2026-01-20</t>
        </is>
      </c>
      <c r="D1805" s="9" t="inlineStr">
        <is>
          <t>86347032960269</t>
        </is>
      </c>
      <c r="E1805" s="9" t="inlineStr">
        <is>
          <t>ANILLO ESLABONES ROSEGOLD ZIRCONIAS</t>
        </is>
      </c>
      <c r="F1805" s="9" t="inlineStr">
        <is>
          <t>9</t>
        </is>
      </c>
      <c r="G1805" s="9" t="n">
        <v>2</v>
      </c>
      <c r="H1805" s="21" t="n">
        <v>7</v>
      </c>
      <c r="I1805" s="21" t="n">
        <v>148.4</v>
      </c>
      <c r="J1805" s="21" t="n">
        <v>445.21</v>
      </c>
      <c r="K1805" s="21" t="n">
        <v>519.41</v>
      </c>
      <c r="L1805" s="21" t="n">
        <v>593.61</v>
      </c>
      <c r="M1805" s="21" t="n">
        <v>580</v>
      </c>
    </row>
    <row r="1806">
      <c r="A1806" s="9" t="inlineStr">
        <is>
          <t>HAIFENG</t>
        </is>
      </c>
      <c r="B1806" s="9" t="inlineStr">
        <is>
          <t>HAIFENG 20/01/2026</t>
        </is>
      </c>
      <c r="C1806" s="9" t="inlineStr">
        <is>
          <t>2026-01-20</t>
        </is>
      </c>
      <c r="D1806" s="9" t="inlineStr">
        <is>
          <t>12314361063501</t>
        </is>
      </c>
      <c r="E1806" s="9" t="inlineStr">
        <is>
          <t>ANILLO F DOBLE GOLD</t>
        </is>
      </c>
      <c r="F1806" s="9" t="inlineStr">
        <is>
          <t>AJUSTABLE</t>
        </is>
      </c>
      <c r="G1806" s="9" t="n">
        <v>4</v>
      </c>
      <c r="H1806" s="21" t="n">
        <v>7</v>
      </c>
      <c r="I1806" s="21" t="n">
        <v>148.4</v>
      </c>
      <c r="J1806" s="21" t="n">
        <v>445.21</v>
      </c>
      <c r="K1806" s="21" t="n">
        <v>519.41</v>
      </c>
      <c r="L1806" s="21" t="n">
        <v>593.61</v>
      </c>
      <c r="M1806" s="21" t="n">
        <v>620</v>
      </c>
    </row>
    <row r="1807">
      <c r="A1807" s="9" t="inlineStr">
        <is>
          <t>HAIFENG</t>
        </is>
      </c>
      <c r="B1807" s="9" t="inlineStr">
        <is>
          <t>HAIFENG 20/01/2026</t>
        </is>
      </c>
      <c r="C1807" s="9" t="inlineStr">
        <is>
          <t>2026-01-20</t>
        </is>
      </c>
      <c r="D1807" s="9" t="inlineStr">
        <is>
          <t>46509631089741</t>
        </is>
      </c>
      <c r="E1807" s="9" t="inlineStr">
        <is>
          <t>ANILLO JUSTE UN CLOU GOLD CON ZIRCONIA</t>
        </is>
      </c>
      <c r="F1807" s="9" t="inlineStr">
        <is>
          <t>6</t>
        </is>
      </c>
      <c r="G1807" s="9" t="n">
        <v>1</v>
      </c>
      <c r="H1807" s="21" t="n">
        <v>7.5</v>
      </c>
      <c r="I1807" s="21" t="n">
        <v>159</v>
      </c>
      <c r="J1807" s="21" t="n">
        <v>477.01</v>
      </c>
      <c r="K1807" s="21" t="n">
        <v>556.51</v>
      </c>
      <c r="L1807" s="21" t="n">
        <v>636.01</v>
      </c>
      <c r="M1807" s="21" t="n">
        <v>422</v>
      </c>
    </row>
    <row r="1808">
      <c r="A1808" s="9" t="inlineStr">
        <is>
          <t>HAIFENG</t>
        </is>
      </c>
      <c r="B1808" s="9" t="inlineStr">
        <is>
          <t>HAIFENG 20/01/2026</t>
        </is>
      </c>
      <c r="C1808" s="9" t="inlineStr">
        <is>
          <t>2026-01-20</t>
        </is>
      </c>
      <c r="D1808" s="9" t="inlineStr">
        <is>
          <t>47396161022509</t>
        </is>
      </c>
      <c r="E1808" s="9" t="inlineStr">
        <is>
          <t>ANILLO JUSTE UN CLOU GOLD CON ZIRCONIA</t>
        </is>
      </c>
      <c r="F1808" s="9" t="inlineStr">
        <is>
          <t>7</t>
        </is>
      </c>
      <c r="G1808" s="9" t="n">
        <v>1</v>
      </c>
      <c r="H1808" s="21" t="n">
        <v>7.5</v>
      </c>
      <c r="I1808" s="21" t="n">
        <v>159</v>
      </c>
      <c r="J1808" s="21" t="n">
        <v>477.01</v>
      </c>
      <c r="K1808" s="21" t="n">
        <v>556.51</v>
      </c>
      <c r="L1808" s="21" t="n">
        <v>636.01</v>
      </c>
      <c r="M1808" s="21" t="n">
        <v>650</v>
      </c>
    </row>
    <row r="1809">
      <c r="A1809" s="9" t="inlineStr">
        <is>
          <t>HAIFENG</t>
        </is>
      </c>
      <c r="B1809" s="9" t="inlineStr">
        <is>
          <t>HAIFENG 20/01/2026</t>
        </is>
      </c>
      <c r="C1809" s="9" t="inlineStr">
        <is>
          <t>2026-01-20</t>
        </is>
      </c>
      <c r="D1809" s="9" t="inlineStr">
        <is>
          <t>86347033399725</t>
        </is>
      </c>
      <c r="E1809" s="9" t="inlineStr">
        <is>
          <t>ANILLO KNOT DOBLE GOLD ZIRCONIAS</t>
        </is>
      </c>
      <c r="F1809" s="9" t="inlineStr">
        <is>
          <t>7</t>
        </is>
      </c>
      <c r="G1809" s="9" t="n">
        <v>3</v>
      </c>
      <c r="H1809" s="21" t="n">
        <v>6.5</v>
      </c>
      <c r="I1809" s="21" t="n">
        <v>137.8</v>
      </c>
      <c r="J1809" s="21" t="n">
        <v>413.41</v>
      </c>
      <c r="K1809" s="21" t="n">
        <v>482.31</v>
      </c>
      <c r="L1809" s="21" t="n">
        <v>551.21</v>
      </c>
      <c r="M1809" s="21" t="n">
        <v>550</v>
      </c>
    </row>
    <row r="1810">
      <c r="A1810" s="9" t="inlineStr">
        <is>
          <t>HAIFENG</t>
        </is>
      </c>
      <c r="B1810" s="9" t="inlineStr">
        <is>
          <t>HAIFENG 20/01/2026</t>
        </is>
      </c>
      <c r="C1810" s="9" t="inlineStr">
        <is>
          <t>2026-01-20</t>
        </is>
      </c>
      <c r="D1810" s="9" t="inlineStr">
        <is>
          <t>86347033266957</t>
        </is>
      </c>
      <c r="E1810" s="9" t="inlineStr">
        <is>
          <t>ANILLO KNOT DOBLE GOLD ZIRCONIAS</t>
        </is>
      </c>
      <c r="F1810" s="9" t="inlineStr">
        <is>
          <t>6</t>
        </is>
      </c>
      <c r="G1810" s="9" t="n">
        <v>3</v>
      </c>
      <c r="H1810" s="21" t="n">
        <v>6.5</v>
      </c>
      <c r="I1810" s="21" t="n">
        <v>137.8</v>
      </c>
      <c r="J1810" s="21" t="n">
        <v>413.41</v>
      </c>
      <c r="K1810" s="21" t="n">
        <v>482.31</v>
      </c>
      <c r="L1810" s="21" t="n">
        <v>551.21</v>
      </c>
      <c r="M1810" s="21" t="n">
        <v>550</v>
      </c>
    </row>
    <row r="1811">
      <c r="A1811" s="9" t="inlineStr">
        <is>
          <t>HAIFENG</t>
        </is>
      </c>
      <c r="B1811" s="9" t="inlineStr">
        <is>
          <t>HAIFENG 20/01/2026</t>
        </is>
      </c>
      <c r="C1811" s="9" t="inlineStr">
        <is>
          <t>2026-01-20</t>
        </is>
      </c>
      <c r="D1811" s="9" t="inlineStr">
        <is>
          <t>89205551037229</t>
        </is>
      </c>
      <c r="E1811" s="9" t="inlineStr">
        <is>
          <t>ANILLO KNOT SILVER</t>
        </is>
      </c>
      <c r="F1811" s="9" t="inlineStr">
        <is>
          <t>6</t>
        </is>
      </c>
      <c r="G1811" s="9" t="n">
        <v>1</v>
      </c>
      <c r="H1811" s="21" t="n">
        <v>5</v>
      </c>
      <c r="I1811" s="21" t="n">
        <v>106</v>
      </c>
      <c r="J1811" s="21" t="n">
        <v>318.01</v>
      </c>
      <c r="K1811" s="21" t="n">
        <v>371.01</v>
      </c>
      <c r="L1811" s="21" t="n">
        <v>424.01</v>
      </c>
      <c r="M1811" s="21" t="n">
        <v>450</v>
      </c>
    </row>
    <row r="1812">
      <c r="A1812" s="9" t="inlineStr">
        <is>
          <t>HAIFENG</t>
        </is>
      </c>
      <c r="B1812" s="9" t="inlineStr">
        <is>
          <t>HAIFENG 20/01/2026</t>
        </is>
      </c>
      <c r="C1812" s="9" t="inlineStr">
        <is>
          <t>2026-01-20</t>
        </is>
      </c>
      <c r="D1812" s="9" t="inlineStr">
        <is>
          <t>89205551347661</t>
        </is>
      </c>
      <c r="E1812" s="9" t="inlineStr">
        <is>
          <t>ANILLO KNOT SILVER ZIRCONIAS</t>
        </is>
      </c>
      <c r="F1812" s="9" t="inlineStr">
        <is>
          <t>6</t>
        </is>
      </c>
      <c r="G1812" s="9" t="n">
        <v>2</v>
      </c>
      <c r="H1812" s="21" t="n">
        <v>6.5</v>
      </c>
      <c r="I1812" s="21" t="n">
        <v>137.8</v>
      </c>
      <c r="J1812" s="21" t="n">
        <v>413.41</v>
      </c>
      <c r="K1812" s="21" t="n">
        <v>482.31</v>
      </c>
      <c r="L1812" s="21" t="n">
        <v>551.21</v>
      </c>
      <c r="M1812" s="21" t="n">
        <v>550</v>
      </c>
    </row>
    <row r="1813">
      <c r="A1813" s="9" t="inlineStr">
        <is>
          <t>HAIFENG</t>
        </is>
      </c>
      <c r="B1813" s="9" t="inlineStr">
        <is>
          <t>HAIFENG 20/01/2026</t>
        </is>
      </c>
      <c r="C1813" s="9" t="inlineStr">
        <is>
          <t>2026-01-20</t>
        </is>
      </c>
      <c r="D1813" s="9" t="inlineStr">
        <is>
          <t>71036876250636</t>
        </is>
      </c>
      <c r="E1813" s="9" t="inlineStr">
        <is>
          <t>ANILLO LOCK SILVER</t>
        </is>
      </c>
      <c r="F1813" s="9" t="inlineStr">
        <is>
          <t>7</t>
        </is>
      </c>
      <c r="G1813" s="9" t="n">
        <v>2</v>
      </c>
      <c r="H1813" s="21" t="n">
        <v>5</v>
      </c>
      <c r="I1813" s="21" t="n">
        <v>106</v>
      </c>
      <c r="J1813" s="21" t="n">
        <v>318.01</v>
      </c>
      <c r="K1813" s="21" t="n">
        <v>371.01</v>
      </c>
      <c r="L1813" s="21" t="n">
        <v>424.01</v>
      </c>
      <c r="M1813" s="21" t="n">
        <v>455</v>
      </c>
    </row>
    <row r="1814">
      <c r="A1814" s="9" t="inlineStr">
        <is>
          <t>HAIFENG</t>
        </is>
      </c>
      <c r="B1814" s="9" t="inlineStr">
        <is>
          <t>HAIFENG 20/01/2026</t>
        </is>
      </c>
      <c r="C1814" s="9" t="inlineStr">
        <is>
          <t>2026-01-20</t>
        </is>
      </c>
      <c r="D1814" s="9" t="inlineStr">
        <is>
          <t>71036876283404</t>
        </is>
      </c>
      <c r="E1814" s="9" t="inlineStr">
        <is>
          <t>ANILLO LOCK SILVER</t>
        </is>
      </c>
      <c r="F1814" s="9" t="inlineStr">
        <is>
          <t>8</t>
        </is>
      </c>
      <c r="G1814" s="9" t="n">
        <v>2</v>
      </c>
      <c r="H1814" s="21" t="n">
        <v>5</v>
      </c>
      <c r="I1814" s="21" t="n">
        <v>106</v>
      </c>
      <c r="J1814" s="21" t="n">
        <v>318.01</v>
      </c>
      <c r="K1814" s="21" t="n">
        <v>371.01</v>
      </c>
      <c r="L1814" s="21" t="n">
        <v>424.01</v>
      </c>
      <c r="M1814" s="21" t="n">
        <v>454</v>
      </c>
    </row>
    <row r="1815">
      <c r="A1815" s="9" t="inlineStr">
        <is>
          <t>HAIFENG</t>
        </is>
      </c>
      <c r="B1815" s="9" t="inlineStr">
        <is>
          <t>HAIFENG 20/01/2026</t>
        </is>
      </c>
      <c r="C1815" s="9" t="inlineStr">
        <is>
          <t>2026-01-20</t>
        </is>
      </c>
      <c r="D1815" s="9" t="inlineStr">
        <is>
          <t>82224433533261</t>
        </is>
      </c>
      <c r="E1815" s="9" t="inlineStr">
        <is>
          <t>ANILLO LOVE CON ZIRCONIA GOLD</t>
        </is>
      </c>
      <c r="F1815" s="9" t="inlineStr">
        <is>
          <t>6</t>
        </is>
      </c>
      <c r="G1815" s="9" t="n">
        <v>4</v>
      </c>
      <c r="H1815" s="21" t="n">
        <v>1.8</v>
      </c>
      <c r="I1815" s="21" t="n">
        <v>38.16</v>
      </c>
      <c r="J1815" s="21" t="n">
        <v>114.48</v>
      </c>
      <c r="K1815" s="21" t="n">
        <v>133.56</v>
      </c>
      <c r="L1815" s="21" t="n">
        <v>152.64</v>
      </c>
      <c r="M1815" s="21" t="n">
        <v>450</v>
      </c>
    </row>
    <row r="1816">
      <c r="A1816" s="9" t="inlineStr">
        <is>
          <t>HAIFENG</t>
        </is>
      </c>
      <c r="B1816" s="9" t="inlineStr">
        <is>
          <t>HAIFENG 20/01/2026</t>
        </is>
      </c>
      <c r="C1816" s="9" t="inlineStr">
        <is>
          <t>2026-01-20</t>
        </is>
      </c>
      <c r="D1816" s="9" t="inlineStr">
        <is>
          <t>82224433798797</t>
        </is>
      </c>
      <c r="E1816" s="9" t="inlineStr">
        <is>
          <t>ANILLO LOVE CON ZIRCONIA GOLD</t>
        </is>
      </c>
      <c r="F1816" s="9" t="inlineStr">
        <is>
          <t>8</t>
        </is>
      </c>
      <c r="G1816" s="9" t="n">
        <v>3</v>
      </c>
      <c r="H1816" s="21" t="n">
        <v>1.8</v>
      </c>
      <c r="I1816" s="21" t="n">
        <v>38.16</v>
      </c>
      <c r="J1816" s="21" t="n">
        <v>114.48</v>
      </c>
      <c r="K1816" s="21" t="n">
        <v>133.56</v>
      </c>
      <c r="L1816" s="21" t="n">
        <v>152.64</v>
      </c>
      <c r="M1816" s="21" t="n">
        <v>450</v>
      </c>
    </row>
    <row r="1817">
      <c r="A1817" s="9" t="inlineStr">
        <is>
          <t>HAIFENG</t>
        </is>
      </c>
      <c r="B1817" s="9" t="inlineStr">
        <is>
          <t>HAIFENG 20/01/2026</t>
        </is>
      </c>
      <c r="C1817" s="9" t="inlineStr">
        <is>
          <t>2026-01-20</t>
        </is>
      </c>
      <c r="D1817" s="9" t="inlineStr">
        <is>
          <t>66176a3a6e732</t>
        </is>
      </c>
      <c r="E1817" s="9" t="inlineStr">
        <is>
          <t>ANILLO LOVE GOLD</t>
        </is>
      </c>
      <c r="F1817" s="9" t="inlineStr">
        <is>
          <t>7</t>
        </is>
      </c>
      <c r="G1817" s="9" t="n">
        <v>10</v>
      </c>
      <c r="H1817" s="21" t="n">
        <v>1.8</v>
      </c>
      <c r="I1817" s="21" t="n">
        <v>38.16</v>
      </c>
      <c r="J1817" s="21" t="n">
        <v>114.48</v>
      </c>
      <c r="K1817" s="21" t="n">
        <v>133.56</v>
      </c>
      <c r="L1817" s="21" t="n">
        <v>152.64</v>
      </c>
      <c r="M1817" s="21" t="n">
        <v>400</v>
      </c>
    </row>
    <row r="1818">
      <c r="A1818" s="9" t="inlineStr">
        <is>
          <t>HAIFENG</t>
        </is>
      </c>
      <c r="B1818" s="9" t="inlineStr">
        <is>
          <t>HAIFENG 20/01/2026</t>
        </is>
      </c>
      <c r="C1818" s="9" t="inlineStr">
        <is>
          <t>2026-01-20</t>
        </is>
      </c>
      <c r="D1818" s="9" t="inlineStr">
        <is>
          <t>66176a3b97be5</t>
        </is>
      </c>
      <c r="E1818" s="9" t="inlineStr">
        <is>
          <t>ANILLO LOVE GOLD</t>
        </is>
      </c>
      <c r="F1818" s="9" t="inlineStr">
        <is>
          <t>9</t>
        </is>
      </c>
      <c r="G1818" s="9" t="n">
        <v>5</v>
      </c>
      <c r="H1818" s="21" t="n">
        <v>1.8</v>
      </c>
      <c r="I1818" s="21" t="n">
        <v>38.16</v>
      </c>
      <c r="J1818" s="21" t="n">
        <v>114.48</v>
      </c>
      <c r="K1818" s="21" t="n">
        <v>133.56</v>
      </c>
      <c r="L1818" s="21" t="n">
        <v>152.64</v>
      </c>
      <c r="M1818" s="21" t="n">
        <v>400</v>
      </c>
    </row>
    <row r="1819">
      <c r="A1819" s="9" t="inlineStr">
        <is>
          <t>HAIFENG</t>
        </is>
      </c>
      <c r="B1819" s="9" t="inlineStr">
        <is>
          <t>HAIFENG 20/01/2026</t>
        </is>
      </c>
      <c r="C1819" s="9" t="inlineStr">
        <is>
          <t>2026-01-20</t>
        </is>
      </c>
      <c r="D1819" s="9" t="inlineStr">
        <is>
          <t>66176a3b07b47</t>
        </is>
      </c>
      <c r="E1819" s="9" t="inlineStr">
        <is>
          <t>ANILLO LOVE GOLD</t>
        </is>
      </c>
      <c r="F1819" s="9" t="inlineStr">
        <is>
          <t>8</t>
        </is>
      </c>
      <c r="G1819" s="9" t="n">
        <v>4</v>
      </c>
      <c r="H1819" s="21" t="n">
        <v>1.8</v>
      </c>
      <c r="I1819" s="21" t="n">
        <v>38.16</v>
      </c>
      <c r="J1819" s="21" t="n">
        <v>114.48</v>
      </c>
      <c r="K1819" s="21" t="n">
        <v>133.56</v>
      </c>
      <c r="L1819" s="21" t="n">
        <v>152.64</v>
      </c>
      <c r="M1819" s="21" t="n">
        <v>400</v>
      </c>
    </row>
    <row r="1820">
      <c r="A1820" s="9" t="inlineStr">
        <is>
          <t>HAIFENG</t>
        </is>
      </c>
      <c r="B1820" s="9" t="inlineStr">
        <is>
          <t>HAIFENG 20/01/2026</t>
        </is>
      </c>
      <c r="C1820" s="9" t="inlineStr">
        <is>
          <t>2026-01-20</t>
        </is>
      </c>
      <c r="D1820" s="9" t="inlineStr">
        <is>
          <t>66176a39da1f0</t>
        </is>
      </c>
      <c r="E1820" s="9" t="inlineStr">
        <is>
          <t>ANILLO LOVE GOLD</t>
        </is>
      </c>
      <c r="F1820" s="9" t="inlineStr">
        <is>
          <t>6</t>
        </is>
      </c>
      <c r="G1820" s="9" t="n">
        <v>3</v>
      </c>
      <c r="H1820" s="21" t="n">
        <v>1.8</v>
      </c>
      <c r="I1820" s="21" t="n">
        <v>38.16</v>
      </c>
      <c r="J1820" s="21" t="n">
        <v>114.48</v>
      </c>
      <c r="K1820" s="21" t="n">
        <v>133.56</v>
      </c>
      <c r="L1820" s="21" t="n">
        <v>152.64</v>
      </c>
      <c r="M1820" s="21" t="n">
        <v>400</v>
      </c>
    </row>
    <row r="1821">
      <c r="A1821" s="9" t="inlineStr">
        <is>
          <t>HAIFENG</t>
        </is>
      </c>
      <c r="B1821" s="9" t="inlineStr">
        <is>
          <t>HAIFENG 20/01/2026</t>
        </is>
      </c>
      <c r="C1821" s="9" t="inlineStr">
        <is>
          <t>2026-01-20</t>
        </is>
      </c>
      <c r="D1821" s="9" t="inlineStr">
        <is>
          <t>66176a393a025</t>
        </is>
      </c>
      <c r="E1821" s="9" t="inlineStr">
        <is>
          <t>ANILLO LOVE GOLD</t>
        </is>
      </c>
      <c r="F1821" s="9" t="inlineStr">
        <is>
          <t>5</t>
        </is>
      </c>
      <c r="G1821" s="9" t="n">
        <v>7</v>
      </c>
      <c r="H1821" s="21" t="n">
        <v>1.8</v>
      </c>
      <c r="I1821" s="21" t="n">
        <v>38.16</v>
      </c>
      <c r="J1821" s="21" t="n">
        <v>114.48</v>
      </c>
      <c r="K1821" s="21" t="n">
        <v>133.56</v>
      </c>
      <c r="L1821" s="21" t="n">
        <v>152.64</v>
      </c>
      <c r="M1821" s="21" t="n">
        <v>400</v>
      </c>
    </row>
    <row r="1822">
      <c r="A1822" s="9" t="inlineStr">
        <is>
          <t>HAIFENG</t>
        </is>
      </c>
      <c r="B1822" s="9" t="inlineStr">
        <is>
          <t>HAIFENG 20/01/2026</t>
        </is>
      </c>
      <c r="C1822" s="9" t="inlineStr">
        <is>
          <t>2026-01-20</t>
        </is>
      </c>
      <c r="D1822" s="9" t="inlineStr">
        <is>
          <t>2653021483532</t>
        </is>
      </c>
      <c r="E1822" s="9" t="inlineStr">
        <is>
          <t>ANILLO LOVE GOLD ANCHO</t>
        </is>
      </c>
      <c r="F1822" s="9" t="inlineStr">
        <is>
          <t>7</t>
        </is>
      </c>
      <c r="G1822" s="9" t="n">
        <v>6</v>
      </c>
      <c r="H1822" s="21" t="n">
        <v>1.8</v>
      </c>
      <c r="I1822" s="21" t="n">
        <v>38.16</v>
      </c>
      <c r="J1822" s="21" t="n">
        <v>114.48</v>
      </c>
      <c r="K1822" s="21" t="n">
        <v>133.56</v>
      </c>
      <c r="L1822" s="21" t="n">
        <v>152.64</v>
      </c>
      <c r="M1822" s="21" t="n">
        <v>400</v>
      </c>
    </row>
    <row r="1823">
      <c r="A1823" s="9" t="inlineStr">
        <is>
          <t>HAIFENG</t>
        </is>
      </c>
      <c r="B1823" s="9" t="inlineStr">
        <is>
          <t>HAIFENG 20/01/2026</t>
        </is>
      </c>
      <c r="C1823" s="9" t="inlineStr">
        <is>
          <t>2026-01-20</t>
        </is>
      </c>
      <c r="D1823" s="9" t="inlineStr">
        <is>
          <t>2653021450764</t>
        </is>
      </c>
      <c r="E1823" s="9" t="inlineStr">
        <is>
          <t>ANILLO LOVE GOLD ANCHO</t>
        </is>
      </c>
      <c r="F1823" s="9" t="inlineStr">
        <is>
          <t>6</t>
        </is>
      </c>
      <c r="G1823" s="9" t="n">
        <v>6</v>
      </c>
      <c r="H1823" s="21" t="n">
        <v>1.8</v>
      </c>
      <c r="I1823" s="21" t="n">
        <v>38.16</v>
      </c>
      <c r="J1823" s="21" t="n">
        <v>114.48</v>
      </c>
      <c r="K1823" s="21" t="n">
        <v>133.56</v>
      </c>
      <c r="L1823" s="21" t="n">
        <v>152.64</v>
      </c>
      <c r="M1823" s="21" t="n">
        <v>400</v>
      </c>
    </row>
    <row r="1824">
      <c r="A1824" s="9" t="inlineStr">
        <is>
          <t>HAIFENG</t>
        </is>
      </c>
      <c r="B1824" s="9" t="inlineStr">
        <is>
          <t>HAIFENG 20/01/2026</t>
        </is>
      </c>
      <c r="C1824" s="9" t="inlineStr">
        <is>
          <t>2026-01-20</t>
        </is>
      </c>
      <c r="D1824" s="9" t="inlineStr">
        <is>
          <t>2653021417996</t>
        </is>
      </c>
      <c r="E1824" s="9" t="inlineStr">
        <is>
          <t>ANILLO LOVE GOLD ANCHO</t>
        </is>
      </c>
      <c r="F1824" s="9" t="inlineStr">
        <is>
          <t>5</t>
        </is>
      </c>
      <c r="G1824" s="9" t="n">
        <v>5</v>
      </c>
      <c r="H1824" s="21" t="n">
        <v>1.8</v>
      </c>
      <c r="I1824" s="21" t="n">
        <v>38.16</v>
      </c>
      <c r="J1824" s="21" t="n">
        <v>114.48</v>
      </c>
      <c r="K1824" s="21" t="n">
        <v>133.56</v>
      </c>
      <c r="L1824" s="21" t="n">
        <v>152.64</v>
      </c>
      <c r="M1824" s="21" t="n">
        <v>400</v>
      </c>
    </row>
    <row r="1825">
      <c r="A1825" s="9" t="inlineStr">
        <is>
          <t>HAIFENG</t>
        </is>
      </c>
      <c r="B1825" s="9" t="inlineStr">
        <is>
          <t>HAIFENG 20/01/2026</t>
        </is>
      </c>
      <c r="C1825" s="9" t="inlineStr">
        <is>
          <t>2026-01-20</t>
        </is>
      </c>
      <c r="D1825" s="9" t="inlineStr">
        <is>
          <t>2653021614604</t>
        </is>
      </c>
      <c r="E1825" s="9" t="inlineStr">
        <is>
          <t>ANILLO LOVE GOLD ANCHO</t>
        </is>
      </c>
      <c r="F1825" s="9" t="inlineStr">
        <is>
          <t>11</t>
        </is>
      </c>
      <c r="G1825" s="9" t="n">
        <v>6</v>
      </c>
      <c r="H1825" s="21" t="n">
        <v>1.8</v>
      </c>
      <c r="I1825" s="21" t="n">
        <v>38.16</v>
      </c>
      <c r="J1825" s="21" t="n">
        <v>114.48</v>
      </c>
      <c r="K1825" s="21" t="n">
        <v>133.56</v>
      </c>
      <c r="L1825" s="21" t="n">
        <v>152.64</v>
      </c>
      <c r="M1825" s="21" t="n">
        <v>400</v>
      </c>
    </row>
    <row r="1826">
      <c r="A1826" s="9" t="inlineStr">
        <is>
          <t>HAIFENG</t>
        </is>
      </c>
      <c r="B1826" s="9" t="inlineStr">
        <is>
          <t>HAIFENG 20/01/2026</t>
        </is>
      </c>
      <c r="C1826" s="9" t="inlineStr">
        <is>
          <t>2026-01-20</t>
        </is>
      </c>
      <c r="D1826" s="9" t="inlineStr">
        <is>
          <t>2653021549068</t>
        </is>
      </c>
      <c r="E1826" s="9" t="inlineStr">
        <is>
          <t>ANILLO LOVE GOLD ANCHO</t>
        </is>
      </c>
      <c r="F1826" s="9" t="inlineStr">
        <is>
          <t>9</t>
        </is>
      </c>
      <c r="G1826" s="9" t="n">
        <v>6</v>
      </c>
      <c r="H1826" s="21" t="n">
        <v>1.8</v>
      </c>
      <c r="I1826" s="21" t="n">
        <v>38.16</v>
      </c>
      <c r="J1826" s="21" t="n">
        <v>114.48</v>
      </c>
      <c r="K1826" s="21" t="n">
        <v>133.56</v>
      </c>
      <c r="L1826" s="21" t="n">
        <v>152.64</v>
      </c>
      <c r="M1826" s="21" t="n">
        <v>400</v>
      </c>
    </row>
    <row r="1827">
      <c r="A1827" s="9" t="inlineStr">
        <is>
          <t>HAIFENG</t>
        </is>
      </c>
      <c r="B1827" s="9" t="inlineStr">
        <is>
          <t>HAIFENG 20/01/2026</t>
        </is>
      </c>
      <c r="C1827" s="9" t="inlineStr">
        <is>
          <t>2026-01-20</t>
        </is>
      </c>
      <c r="D1827" s="9" t="inlineStr">
        <is>
          <t>2653021516300</t>
        </is>
      </c>
      <c r="E1827" s="9" t="inlineStr">
        <is>
          <t>ANILLO LOVE GOLD ANCHO</t>
        </is>
      </c>
      <c r="F1827" s="9" t="inlineStr">
        <is>
          <t>8</t>
        </is>
      </c>
      <c r="G1827" s="9" t="n">
        <v>3</v>
      </c>
      <c r="H1827" s="21" t="n">
        <v>1.8</v>
      </c>
      <c r="I1827" s="21" t="n">
        <v>38.16</v>
      </c>
      <c r="J1827" s="21" t="n">
        <v>114.48</v>
      </c>
      <c r="K1827" s="21" t="n">
        <v>133.56</v>
      </c>
      <c r="L1827" s="21" t="n">
        <v>152.64</v>
      </c>
      <c r="M1827" s="21" t="n">
        <v>400</v>
      </c>
    </row>
    <row r="1828">
      <c r="A1828" s="9" t="inlineStr">
        <is>
          <t>HAIFENG</t>
        </is>
      </c>
      <c r="B1828" s="9" t="inlineStr">
        <is>
          <t>HAIFENG 20/01/2026</t>
        </is>
      </c>
      <c r="C1828" s="9" t="inlineStr">
        <is>
          <t>2026-01-20</t>
        </is>
      </c>
      <c r="D1828" s="9" t="inlineStr">
        <is>
          <t>2653021581836</t>
        </is>
      </c>
      <c r="E1828" s="9" t="inlineStr">
        <is>
          <t>ANILLO LOVE GOLD ANCHO</t>
        </is>
      </c>
      <c r="F1828" s="9" t="inlineStr">
        <is>
          <t>10</t>
        </is>
      </c>
      <c r="G1828" s="9" t="n">
        <v>1</v>
      </c>
      <c r="H1828" s="21" t="n">
        <v>1.8</v>
      </c>
      <c r="I1828" s="21" t="n">
        <v>38.16</v>
      </c>
      <c r="J1828" s="21" t="n">
        <v>114.48</v>
      </c>
      <c r="K1828" s="21" t="n">
        <v>133.56</v>
      </c>
      <c r="L1828" s="21" t="n">
        <v>152.64</v>
      </c>
      <c r="M1828" s="21" t="n">
        <v>400</v>
      </c>
    </row>
    <row r="1829">
      <c r="A1829" s="9" t="inlineStr">
        <is>
          <t>HAIFENG</t>
        </is>
      </c>
      <c r="B1829" s="9" t="inlineStr">
        <is>
          <t>HAIFENG 20/01/2026</t>
        </is>
      </c>
      <c r="C1829" s="9" t="inlineStr">
        <is>
          <t>2026-01-20</t>
        </is>
      </c>
      <c r="D1829" s="9" t="inlineStr">
        <is>
          <t>66176c92ddb57</t>
        </is>
      </c>
      <c r="E1829" s="9" t="inlineStr">
        <is>
          <t>ANILLO LOVE GOLD ANCHO CON ZIRCONIA</t>
        </is>
      </c>
      <c r="F1829" s="9" t="inlineStr">
        <is>
          <t>9</t>
        </is>
      </c>
      <c r="G1829" s="9" t="n">
        <v>1</v>
      </c>
      <c r="H1829" s="21" t="n">
        <v>1.8</v>
      </c>
      <c r="I1829" s="21" t="n">
        <v>38.16</v>
      </c>
      <c r="J1829" s="21" t="n">
        <v>114.48</v>
      </c>
      <c r="K1829" s="21" t="n">
        <v>133.56</v>
      </c>
      <c r="L1829" s="21" t="n">
        <v>152.64</v>
      </c>
      <c r="M1829" s="21" t="n">
        <v>450</v>
      </c>
    </row>
    <row r="1830">
      <c r="A1830" s="9" t="inlineStr">
        <is>
          <t>HAIFENG</t>
        </is>
      </c>
      <c r="B1830" s="9" t="inlineStr">
        <is>
          <t>HAIFENG 20/01/2026</t>
        </is>
      </c>
      <c r="C1830" s="9" t="inlineStr">
        <is>
          <t>2026-01-20</t>
        </is>
      </c>
      <c r="D1830" s="9" t="inlineStr">
        <is>
          <t>66176c924830f</t>
        </is>
      </c>
      <c r="E1830" s="9" t="inlineStr">
        <is>
          <t>ANILLO LOVE GOLD ANCHO CON ZIRCONIA</t>
        </is>
      </c>
      <c r="F1830" s="9" t="inlineStr">
        <is>
          <t>8</t>
        </is>
      </c>
      <c r="G1830" s="9" t="n">
        <v>2</v>
      </c>
      <c r="H1830" s="21" t="n">
        <v>1.8</v>
      </c>
      <c r="I1830" s="21" t="n">
        <v>38.16</v>
      </c>
      <c r="J1830" s="21" t="n">
        <v>114.48</v>
      </c>
      <c r="K1830" s="21" t="n">
        <v>133.56</v>
      </c>
      <c r="L1830" s="21" t="n">
        <v>152.64</v>
      </c>
      <c r="M1830" s="21" t="n">
        <v>450</v>
      </c>
    </row>
    <row r="1831">
      <c r="A1831" s="9" t="inlineStr">
        <is>
          <t>HAIFENG</t>
        </is>
      </c>
      <c r="B1831" s="9" t="inlineStr">
        <is>
          <t>HAIFENG 20/01/2026</t>
        </is>
      </c>
      <c r="C1831" s="9" t="inlineStr">
        <is>
          <t>2026-01-20</t>
        </is>
      </c>
      <c r="D1831" s="9" t="inlineStr">
        <is>
          <t>66593bc27f55c</t>
        </is>
      </c>
      <c r="E1831" s="9" t="inlineStr">
        <is>
          <t>ANILLO LOVE MZ GOLD</t>
        </is>
      </c>
      <c r="F1831" s="9" t="inlineStr">
        <is>
          <t>6</t>
        </is>
      </c>
      <c r="G1831" s="9" t="n">
        <v>2</v>
      </c>
      <c r="H1831" s="21" t="n">
        <v>5.8</v>
      </c>
      <c r="I1831" s="21" t="n">
        <v>122.96</v>
      </c>
      <c r="J1831" s="21" t="n">
        <v>368.89</v>
      </c>
      <c r="K1831" s="21" t="n">
        <v>430.37</v>
      </c>
      <c r="L1831" s="21" t="n">
        <v>491.85</v>
      </c>
      <c r="M1831" s="21" t="n">
        <v>550</v>
      </c>
    </row>
    <row r="1832">
      <c r="A1832" s="9" t="inlineStr">
        <is>
          <t>HAIFENG</t>
        </is>
      </c>
      <c r="B1832" s="9" t="inlineStr">
        <is>
          <t>HAIFENG 20/01/2026</t>
        </is>
      </c>
      <c r="C1832" s="9" t="inlineStr">
        <is>
          <t>2026-01-20</t>
        </is>
      </c>
      <c r="D1832" s="9" t="inlineStr">
        <is>
          <t>66176c87bb2e1</t>
        </is>
      </c>
      <c r="E1832" s="9" t="inlineStr">
        <is>
          <t>ANILLO LOVE ROSE GOLD</t>
        </is>
      </c>
      <c r="F1832" s="9" t="inlineStr">
        <is>
          <t>6</t>
        </is>
      </c>
      <c r="G1832" s="9" t="n">
        <v>1</v>
      </c>
      <c r="H1832" s="21" t="n">
        <v>1.8</v>
      </c>
      <c r="I1832" s="21" t="n">
        <v>38.16</v>
      </c>
      <c r="J1832" s="21" t="n">
        <v>114.48</v>
      </c>
      <c r="K1832" s="21" t="n">
        <v>133.56</v>
      </c>
      <c r="L1832" s="21" t="n">
        <v>152.64</v>
      </c>
      <c r="M1832" s="21" t="n">
        <v>400</v>
      </c>
    </row>
    <row r="1833">
      <c r="A1833" s="9" t="inlineStr">
        <is>
          <t>HAIFENG</t>
        </is>
      </c>
      <c r="B1833" s="9" t="inlineStr">
        <is>
          <t>HAIFENG 20/01/2026</t>
        </is>
      </c>
      <c r="C1833" s="9" t="inlineStr">
        <is>
          <t>2026-01-20</t>
        </is>
      </c>
      <c r="D1833" s="9" t="inlineStr">
        <is>
          <t>66176c895cc2a</t>
        </is>
      </c>
      <c r="E1833" s="9" t="inlineStr">
        <is>
          <t>ANILLO LOVE ROSE GOLD</t>
        </is>
      </c>
      <c r="F1833" s="9" t="inlineStr">
        <is>
          <t>9</t>
        </is>
      </c>
      <c r="G1833" s="9" t="n">
        <v>1</v>
      </c>
      <c r="H1833" s="21" t="n">
        <v>1.8</v>
      </c>
      <c r="I1833" s="21" t="n">
        <v>38.16</v>
      </c>
      <c r="J1833" s="21" t="n">
        <v>114.48</v>
      </c>
      <c r="K1833" s="21" t="n">
        <v>133.56</v>
      </c>
      <c r="L1833" s="21" t="n">
        <v>152.64</v>
      </c>
      <c r="M1833" s="21" t="n">
        <v>400</v>
      </c>
    </row>
    <row r="1834">
      <c r="A1834" s="9" t="inlineStr">
        <is>
          <t>HAIFENG</t>
        </is>
      </c>
      <c r="B1834" s="9" t="inlineStr">
        <is>
          <t>HAIFENG 20/01/2026</t>
        </is>
      </c>
      <c r="C1834" s="9" t="inlineStr">
        <is>
          <t>2026-01-20</t>
        </is>
      </c>
      <c r="D1834" s="9" t="inlineStr">
        <is>
          <t>66176c850b76a</t>
        </is>
      </c>
      <c r="E1834" s="9" t="inlineStr">
        <is>
          <t>ANILLO LOVE SILVER</t>
        </is>
      </c>
      <c r="F1834" s="9" t="inlineStr">
        <is>
          <t>7</t>
        </is>
      </c>
      <c r="G1834" s="9" t="n">
        <v>4</v>
      </c>
      <c r="H1834" s="21" t="n">
        <v>1.8</v>
      </c>
      <c r="I1834" s="21" t="n">
        <v>38.16</v>
      </c>
      <c r="J1834" s="21" t="n">
        <v>114.48</v>
      </c>
      <c r="K1834" s="21" t="n">
        <v>133.56</v>
      </c>
      <c r="L1834" s="21" t="n">
        <v>152.64</v>
      </c>
      <c r="M1834" s="21" t="n">
        <v>400</v>
      </c>
    </row>
    <row r="1835">
      <c r="A1835" s="9" t="inlineStr">
        <is>
          <t>HAIFENG</t>
        </is>
      </c>
      <c r="B1835" s="9" t="inlineStr">
        <is>
          <t>HAIFENG 20/01/2026</t>
        </is>
      </c>
      <c r="C1835" s="9" t="inlineStr">
        <is>
          <t>2026-01-20</t>
        </is>
      </c>
      <c r="D1835" s="9" t="inlineStr">
        <is>
          <t>66176c8482af4</t>
        </is>
      </c>
      <c r="E1835" s="9" t="inlineStr">
        <is>
          <t>ANILLO LOVE SILVER</t>
        </is>
      </c>
      <c r="F1835" s="9" t="inlineStr">
        <is>
          <t>6</t>
        </is>
      </c>
      <c r="G1835" s="9" t="n">
        <v>8</v>
      </c>
      <c r="H1835" s="21" t="n">
        <v>1.8</v>
      </c>
      <c r="I1835" s="21" t="n">
        <v>38.16</v>
      </c>
      <c r="J1835" s="21" t="n">
        <v>114.48</v>
      </c>
      <c r="K1835" s="21" t="n">
        <v>133.56</v>
      </c>
      <c r="L1835" s="21" t="n">
        <v>152.64</v>
      </c>
      <c r="M1835" s="21" t="n">
        <v>400</v>
      </c>
    </row>
    <row r="1836">
      <c r="A1836" s="9" t="inlineStr">
        <is>
          <t>HAIFENG</t>
        </is>
      </c>
      <c r="B1836" s="9" t="inlineStr">
        <is>
          <t>HAIFENG 20/01/2026</t>
        </is>
      </c>
      <c r="C1836" s="9" t="inlineStr">
        <is>
          <t>2026-01-20</t>
        </is>
      </c>
      <c r="D1836" s="9" t="inlineStr">
        <is>
          <t>66176c83f3f50</t>
        </is>
      </c>
      <c r="E1836" s="9" t="inlineStr">
        <is>
          <t>ANILLO LOVE SILVER</t>
        </is>
      </c>
      <c r="F1836" s="9" t="inlineStr">
        <is>
          <t>5</t>
        </is>
      </c>
      <c r="G1836" s="9" t="n">
        <v>3</v>
      </c>
      <c r="H1836" s="21" t="n">
        <v>1.8</v>
      </c>
      <c r="I1836" s="21" t="n">
        <v>38.16</v>
      </c>
      <c r="J1836" s="21" t="n">
        <v>114.48</v>
      </c>
      <c r="K1836" s="21" t="n">
        <v>133.56</v>
      </c>
      <c r="L1836" s="21" t="n">
        <v>152.64</v>
      </c>
      <c r="M1836" s="21" t="n">
        <v>400</v>
      </c>
    </row>
    <row r="1837">
      <c r="A1837" s="9" t="inlineStr">
        <is>
          <t>HAIFENG</t>
        </is>
      </c>
      <c r="B1837" s="9" t="inlineStr">
        <is>
          <t>HAIFENG 20/01/2026</t>
        </is>
      </c>
      <c r="C1837" s="9" t="inlineStr">
        <is>
          <t>2026-01-20</t>
        </is>
      </c>
      <c r="D1837" s="9" t="inlineStr">
        <is>
          <t>66176c8628af3</t>
        </is>
      </c>
      <c r="E1837" s="9" t="inlineStr">
        <is>
          <t>ANILLO LOVE SILVER</t>
        </is>
      </c>
      <c r="F1837" s="9" t="inlineStr">
        <is>
          <t>9</t>
        </is>
      </c>
      <c r="G1837" s="9" t="n">
        <v>2</v>
      </c>
      <c r="H1837" s="21" t="n">
        <v>1.8</v>
      </c>
      <c r="I1837" s="21" t="n">
        <v>38.16</v>
      </c>
      <c r="J1837" s="21" t="n">
        <v>114.48</v>
      </c>
      <c r="K1837" s="21" t="n">
        <v>133.56</v>
      </c>
      <c r="L1837" s="21" t="n">
        <v>152.64</v>
      </c>
      <c r="M1837" s="21" t="n">
        <v>400</v>
      </c>
    </row>
    <row r="1838">
      <c r="A1838" s="9" t="inlineStr">
        <is>
          <t>HAIFENG</t>
        </is>
      </c>
      <c r="B1838" s="9" t="inlineStr">
        <is>
          <t>HAIFENG 20/01/2026</t>
        </is>
      </c>
      <c r="C1838" s="9" t="inlineStr">
        <is>
          <t>2026-01-20</t>
        </is>
      </c>
      <c r="D1838" s="9" t="inlineStr">
        <is>
          <t>66176c8589787</t>
        </is>
      </c>
      <c r="E1838" s="9" t="inlineStr">
        <is>
          <t>ANILLO LOVE SILVER</t>
        </is>
      </c>
      <c r="F1838" s="9" t="inlineStr">
        <is>
          <t>8</t>
        </is>
      </c>
      <c r="G1838" s="9" t="n">
        <v>4</v>
      </c>
      <c r="H1838" s="21" t="n">
        <v>1.8</v>
      </c>
      <c r="I1838" s="21" t="n">
        <v>38.16</v>
      </c>
      <c r="J1838" s="21" t="n">
        <v>114.48</v>
      </c>
      <c r="K1838" s="21" t="n">
        <v>133.56</v>
      </c>
      <c r="L1838" s="21" t="n">
        <v>152.64</v>
      </c>
      <c r="M1838" s="21" t="n">
        <v>400</v>
      </c>
    </row>
    <row r="1839">
      <c r="A1839" s="9" t="inlineStr">
        <is>
          <t>HAIFENG</t>
        </is>
      </c>
      <c r="B1839" s="9" t="inlineStr">
        <is>
          <t>HAIFENG 20/01/2026</t>
        </is>
      </c>
      <c r="C1839" s="9" t="inlineStr">
        <is>
          <t>2026-01-20</t>
        </is>
      </c>
      <c r="D1839" s="9" t="inlineStr">
        <is>
          <t>21206411460429</t>
        </is>
      </c>
      <c r="E1839" s="9" t="inlineStr">
        <is>
          <t>ANILLO LOVE UNLIMITED GOLD</t>
        </is>
      </c>
      <c r="F1839" s="9" t="inlineStr">
        <is>
          <t>8</t>
        </is>
      </c>
      <c r="G1839" s="9" t="n">
        <v>3</v>
      </c>
      <c r="H1839" s="21" t="n">
        <v>5</v>
      </c>
      <c r="I1839" s="21" t="n">
        <v>106</v>
      </c>
      <c r="J1839" s="21" t="n">
        <v>318.01</v>
      </c>
      <c r="K1839" s="21" t="n">
        <v>371.01</v>
      </c>
      <c r="L1839" s="21" t="n">
        <v>424.01</v>
      </c>
      <c r="M1839" s="21" t="n">
        <v>550</v>
      </c>
    </row>
    <row r="1840">
      <c r="A1840" s="9" t="inlineStr">
        <is>
          <t>HAIFENG</t>
        </is>
      </c>
      <c r="B1840" s="9" t="inlineStr">
        <is>
          <t>HAIFENG 20/01/2026</t>
        </is>
      </c>
      <c r="C1840" s="9" t="inlineStr">
        <is>
          <t>2026-01-20</t>
        </is>
      </c>
      <c r="D1840" s="9" t="inlineStr">
        <is>
          <t>94256261066701</t>
        </is>
      </c>
      <c r="E1840" s="9" t="inlineStr">
        <is>
          <t>ANILLO LV IDYLLE BLOSSOM TRICOLOR</t>
        </is>
      </c>
      <c r="F1840" s="9" t="inlineStr">
        <is>
          <t>Default Title</t>
        </is>
      </c>
      <c r="G1840" s="9" t="n">
        <v>4</v>
      </c>
      <c r="H1840" s="21" t="n">
        <v>5.99</v>
      </c>
      <c r="I1840" s="21" t="n">
        <v>126.99</v>
      </c>
      <c r="J1840" s="21" t="n">
        <v>380.97</v>
      </c>
      <c r="K1840" s="21" t="n">
        <v>444.47</v>
      </c>
      <c r="L1840" s="21" t="n">
        <v>507.96</v>
      </c>
      <c r="M1840" s="21" t="n">
        <v>1250</v>
      </c>
    </row>
    <row r="1841">
      <c r="A1841" s="9" t="inlineStr">
        <is>
          <t>HAIFENG</t>
        </is>
      </c>
      <c r="B1841" s="9" t="inlineStr">
        <is>
          <t>HAIFENG 20/01/2026</t>
        </is>
      </c>
      <c r="C1841" s="9" t="inlineStr">
        <is>
          <t>2026-01-20</t>
        </is>
      </c>
      <c r="D1841" s="9" t="inlineStr">
        <is>
          <t>67201534287725</t>
        </is>
      </c>
      <c r="E1841" s="9" t="inlineStr">
        <is>
          <t>ANILLO MINI BEAN T SILVER</t>
        </is>
      </c>
      <c r="F1841" s="9" t="inlineStr">
        <is>
          <t>6</t>
        </is>
      </c>
      <c r="G1841" s="9" t="n">
        <v>2</v>
      </c>
      <c r="H1841" s="21" t="n">
        <v>5</v>
      </c>
      <c r="I1841" s="21" t="n">
        <v>106</v>
      </c>
      <c r="J1841" s="21" t="n">
        <v>318.01</v>
      </c>
      <c r="K1841" s="21" t="n">
        <v>371.01</v>
      </c>
      <c r="L1841" s="21" t="n">
        <v>424.01</v>
      </c>
      <c r="M1841" s="21" t="n">
        <v>495</v>
      </c>
    </row>
    <row r="1842">
      <c r="A1842" s="9" t="inlineStr">
        <is>
          <t>HAIFENG</t>
        </is>
      </c>
      <c r="B1842" s="9" t="inlineStr">
        <is>
          <t>HAIFENG 20/01/2026</t>
        </is>
      </c>
      <c r="C1842" s="9" t="inlineStr">
        <is>
          <t>2026-01-20</t>
        </is>
      </c>
      <c r="D1842" s="9" t="inlineStr">
        <is>
          <t>67201534320493</t>
        </is>
      </c>
      <c r="E1842" s="9" t="inlineStr">
        <is>
          <t>ANILLO MINI BEAN T SILVER</t>
        </is>
      </c>
      <c r="F1842" s="9" t="inlineStr">
        <is>
          <t>7</t>
        </is>
      </c>
      <c r="G1842" s="9" t="n">
        <v>2</v>
      </c>
      <c r="H1842" s="21" t="n">
        <v>5</v>
      </c>
      <c r="I1842" s="21" t="n">
        <v>106</v>
      </c>
      <c r="J1842" s="21" t="n">
        <v>318.01</v>
      </c>
      <c r="K1842" s="21" t="n">
        <v>371.01</v>
      </c>
      <c r="L1842" s="21" t="n">
        <v>424.01</v>
      </c>
      <c r="M1842" s="21" t="n">
        <v>495</v>
      </c>
    </row>
    <row r="1843">
      <c r="A1843" s="9" t="inlineStr">
        <is>
          <t>HAIFENG</t>
        </is>
      </c>
      <c r="B1843" s="9" t="inlineStr">
        <is>
          <t>HAIFENG 20/01/2026</t>
        </is>
      </c>
      <c r="C1843" s="9" t="inlineStr">
        <is>
          <t>2026-01-20</t>
        </is>
      </c>
      <c r="D1843" s="9" t="inlineStr">
        <is>
          <t>43047226572940</t>
        </is>
      </c>
      <c r="E1843" s="9" t="inlineStr">
        <is>
          <t>ANILLO SIXTEEN STONE</t>
        </is>
      </c>
      <c r="F1843" s="9" t="inlineStr">
        <is>
          <t>HIGH QUALITY 7</t>
        </is>
      </c>
      <c r="G1843" s="9" t="n">
        <v>8</v>
      </c>
      <c r="H1843" s="21" t="n">
        <v>6</v>
      </c>
      <c r="I1843" s="21" t="n">
        <v>127.2</v>
      </c>
      <c r="J1843" s="21" t="n">
        <v>381.61</v>
      </c>
      <c r="K1843" s="21" t="n">
        <v>445.21</v>
      </c>
      <c r="L1843" s="21" t="n">
        <v>508.81</v>
      </c>
      <c r="M1843" s="21" t="n">
        <v>550</v>
      </c>
    </row>
    <row r="1844">
      <c r="A1844" s="9" t="inlineStr">
        <is>
          <t>HAIFENG</t>
        </is>
      </c>
      <c r="B1844" s="9" t="inlineStr">
        <is>
          <t>HAIFENG 20/01/2026</t>
        </is>
      </c>
      <c r="C1844" s="9" t="inlineStr">
        <is>
          <t>2026-01-20</t>
        </is>
      </c>
      <c r="D1844" s="9" t="inlineStr">
        <is>
          <t>43047226638476</t>
        </is>
      </c>
      <c r="E1844" s="9" t="inlineStr">
        <is>
          <t>ANILLO SIXTEEN STONE</t>
        </is>
      </c>
      <c r="F1844" s="9" t="inlineStr">
        <is>
          <t>HIGH QUALITY 9</t>
        </is>
      </c>
      <c r="G1844" s="9" t="n">
        <v>5</v>
      </c>
      <c r="H1844" s="21" t="n">
        <v>6</v>
      </c>
      <c r="I1844" s="21" t="n">
        <v>127.2</v>
      </c>
      <c r="J1844" s="21" t="n">
        <v>381.61</v>
      </c>
      <c r="K1844" s="21" t="n">
        <v>445.21</v>
      </c>
      <c r="L1844" s="21" t="n">
        <v>508.81</v>
      </c>
      <c r="M1844" s="21" t="n">
        <v>550</v>
      </c>
    </row>
    <row r="1845">
      <c r="A1845" s="9" t="inlineStr">
        <is>
          <t>HAIFENG</t>
        </is>
      </c>
      <c r="B1845" s="9" t="inlineStr">
        <is>
          <t>HAIFENG 20/01/2026</t>
        </is>
      </c>
      <c r="C1845" s="9" t="inlineStr">
        <is>
          <t>2026-01-20</t>
        </is>
      </c>
      <c r="D1845" s="9" t="inlineStr">
        <is>
          <t>56481484278796</t>
        </is>
      </c>
      <c r="E1845" s="9" t="inlineStr">
        <is>
          <t>ANILLO SIXTEEN STONE GOLD/RED</t>
        </is>
      </c>
      <c r="F1845" s="9" t="inlineStr">
        <is>
          <t>7</t>
        </is>
      </c>
      <c r="G1845" s="9" t="n">
        <v>5</v>
      </c>
      <c r="H1845" s="21" t="n">
        <v>6</v>
      </c>
      <c r="I1845" s="21" t="n">
        <v>127.2</v>
      </c>
      <c r="J1845" s="21" t="n">
        <v>381.61</v>
      </c>
      <c r="K1845" s="21" t="n">
        <v>445.21</v>
      </c>
      <c r="L1845" s="21" t="n">
        <v>508.81</v>
      </c>
      <c r="M1845" s="21" t="n">
        <v>550</v>
      </c>
    </row>
    <row r="1846">
      <c r="A1846" s="9" t="inlineStr">
        <is>
          <t>HAIFENG</t>
        </is>
      </c>
      <c r="B1846" s="9" t="inlineStr">
        <is>
          <t>HAIFENG 20/01/2026</t>
        </is>
      </c>
      <c r="C1846" s="9" t="inlineStr">
        <is>
          <t>2026-01-20</t>
        </is>
      </c>
      <c r="D1846" s="9" t="inlineStr">
        <is>
          <t>56481484311564</t>
        </is>
      </c>
      <c r="E1846" s="9" t="inlineStr">
        <is>
          <t>ANILLO SIXTEEN STONE GOLD/RED</t>
        </is>
      </c>
      <c r="F1846" s="9" t="inlineStr">
        <is>
          <t>8</t>
        </is>
      </c>
      <c r="G1846" s="9" t="n">
        <v>2</v>
      </c>
      <c r="H1846" s="21" t="n">
        <v>6</v>
      </c>
      <c r="I1846" s="21" t="n">
        <v>127.2</v>
      </c>
      <c r="J1846" s="21" t="n">
        <v>381.61</v>
      </c>
      <c r="K1846" s="21" t="n">
        <v>445.21</v>
      </c>
      <c r="L1846" s="21" t="n">
        <v>508.81</v>
      </c>
      <c r="M1846" s="21" t="n">
        <v>550</v>
      </c>
    </row>
    <row r="1847">
      <c r="A1847" s="9" t="inlineStr">
        <is>
          <t>HAIFENG</t>
        </is>
      </c>
      <c r="B1847" s="9" t="inlineStr">
        <is>
          <t>HAIFENG 20/01/2026</t>
        </is>
      </c>
      <c r="C1847" s="9" t="inlineStr">
        <is>
          <t>2026-01-20</t>
        </is>
      </c>
      <c r="D1847" s="9" t="inlineStr">
        <is>
          <t>2653028529932</t>
        </is>
      </c>
      <c r="E1847" s="9" t="inlineStr">
        <is>
          <t>ANILLO SIXTEEN STONE SILVER</t>
        </is>
      </c>
      <c r="F1847" s="9" t="inlineStr">
        <is>
          <t>HIGH QUALITY 8</t>
        </is>
      </c>
      <c r="G1847" s="9" t="n">
        <v>3</v>
      </c>
      <c r="H1847" s="21" t="n">
        <v>6</v>
      </c>
      <c r="I1847" s="21" t="n">
        <v>127.2</v>
      </c>
      <c r="J1847" s="21" t="n">
        <v>381.61</v>
      </c>
      <c r="K1847" s="21" t="n">
        <v>445.21</v>
      </c>
      <c r="L1847" s="21" t="n">
        <v>508.81</v>
      </c>
      <c r="M1847" s="21" t="n">
        <v>999</v>
      </c>
    </row>
    <row r="1848">
      <c r="A1848" s="9" t="inlineStr">
        <is>
          <t>HAIFENG</t>
        </is>
      </c>
      <c r="B1848" s="9" t="inlineStr">
        <is>
          <t>HAIFENG 20/01/2026</t>
        </is>
      </c>
      <c r="C1848" s="9" t="inlineStr">
        <is>
          <t>2026-01-20</t>
        </is>
      </c>
      <c r="D1848" s="9" t="inlineStr">
        <is>
          <t>668eee497dfb4</t>
        </is>
      </c>
      <c r="E1848" s="9" t="inlineStr">
        <is>
          <t>ANILLO T CON TURQUESA Y ZIRCONIA</t>
        </is>
      </c>
      <c r="F1848" s="9" t="inlineStr">
        <is>
          <t>AJUSTABLE</t>
        </is>
      </c>
      <c r="G1848" s="9" t="n">
        <v>6</v>
      </c>
      <c r="H1848" s="21" t="n">
        <v>5</v>
      </c>
      <c r="I1848" s="21" t="n">
        <v>106</v>
      </c>
      <c r="J1848" s="21" t="n">
        <v>318.01</v>
      </c>
      <c r="K1848" s="21" t="n">
        <v>371.01</v>
      </c>
      <c r="L1848" s="21" t="n">
        <v>424.01</v>
      </c>
      <c r="M1848" s="21" t="n">
        <v>450</v>
      </c>
    </row>
    <row r="1849">
      <c r="A1849" s="9" t="inlineStr">
        <is>
          <t>HAIFENG</t>
        </is>
      </c>
      <c r="B1849" s="9" t="inlineStr">
        <is>
          <t>HAIFENG 20/01/2026</t>
        </is>
      </c>
      <c r="C1849" s="9" t="inlineStr">
        <is>
          <t>2026-01-20</t>
        </is>
      </c>
      <c r="D1849" s="9" t="inlineStr">
        <is>
          <t>71036889199756</t>
        </is>
      </c>
      <c r="E1849" s="9" t="inlineStr">
        <is>
          <t>ANILLO T DE COMPROMISO</t>
        </is>
      </c>
      <c r="F1849" s="9" t="inlineStr">
        <is>
          <t>7</t>
        </is>
      </c>
      <c r="G1849" s="9" t="n">
        <v>2</v>
      </c>
      <c r="H1849" s="21" t="n">
        <v>5</v>
      </c>
      <c r="I1849" s="21" t="n">
        <v>106</v>
      </c>
      <c r="J1849" s="21" t="n">
        <v>318.01</v>
      </c>
      <c r="K1849" s="21" t="n">
        <v>371.01</v>
      </c>
      <c r="L1849" s="21" t="n">
        <v>424.01</v>
      </c>
      <c r="M1849" s="21" t="n">
        <v>599</v>
      </c>
    </row>
    <row r="1850">
      <c r="A1850" s="9" t="inlineStr">
        <is>
          <t>HAIFENG</t>
        </is>
      </c>
      <c r="B1850" s="9" t="inlineStr">
        <is>
          <t>HAIFENG 20/01/2026</t>
        </is>
      </c>
      <c r="C1850" s="9" t="inlineStr">
        <is>
          <t>2026-01-20</t>
        </is>
      </c>
      <c r="D1850" s="9" t="inlineStr">
        <is>
          <t>71036879166988</t>
        </is>
      </c>
      <c r="E1850" s="9" t="inlineStr">
        <is>
          <t>ANILLO T DE COMPROMISO</t>
        </is>
      </c>
      <c r="F1850" s="9" t="inlineStr">
        <is>
          <t>6</t>
        </is>
      </c>
      <c r="G1850" s="9" t="n">
        <v>2</v>
      </c>
      <c r="H1850" s="21" t="n">
        <v>5</v>
      </c>
      <c r="I1850" s="21" t="n">
        <v>106</v>
      </c>
      <c r="J1850" s="21" t="n">
        <v>318.01</v>
      </c>
      <c r="K1850" s="21" t="n">
        <v>371.01</v>
      </c>
      <c r="L1850" s="21" t="n">
        <v>424.01</v>
      </c>
      <c r="M1850" s="21" t="n">
        <v>599</v>
      </c>
    </row>
    <row r="1851">
      <c r="A1851" s="9" t="inlineStr">
        <is>
          <t>HAIFENG</t>
        </is>
      </c>
      <c r="B1851" s="9" t="inlineStr">
        <is>
          <t>HAIFENG 20/01/2026</t>
        </is>
      </c>
      <c r="C1851" s="9" t="inlineStr">
        <is>
          <t>2026-01-20</t>
        </is>
      </c>
      <c r="D1851" s="9" t="inlineStr">
        <is>
          <t>668eecd0c3f2e</t>
        </is>
      </c>
      <c r="E1851" s="9" t="inlineStr">
        <is>
          <t>ANILLO T ROSE GOLD</t>
        </is>
      </c>
      <c r="F1851" s="9" t="inlineStr">
        <is>
          <t>7</t>
        </is>
      </c>
      <c r="G1851" s="9" t="n">
        <v>2</v>
      </c>
      <c r="H1851" s="21" t="n">
        <v>5</v>
      </c>
      <c r="I1851" s="21" t="n">
        <v>106</v>
      </c>
      <c r="J1851" s="21" t="n">
        <v>318.01</v>
      </c>
      <c r="K1851" s="21" t="n">
        <v>371.01</v>
      </c>
      <c r="L1851" s="21" t="n">
        <v>424.01</v>
      </c>
      <c r="M1851" s="21" t="n">
        <v>450</v>
      </c>
    </row>
    <row r="1852">
      <c r="A1852" s="9" t="inlineStr">
        <is>
          <t>HAIFENG</t>
        </is>
      </c>
      <c r="B1852" s="9" t="inlineStr">
        <is>
          <t>HAIFENG 20/01/2026</t>
        </is>
      </c>
      <c r="C1852" s="9" t="inlineStr">
        <is>
          <t>2026-01-20</t>
        </is>
      </c>
      <c r="D1852" s="9" t="inlineStr">
        <is>
          <t>668eee338c77b</t>
        </is>
      </c>
      <c r="E1852" s="9" t="inlineStr">
        <is>
          <t>ANILLO T SILVER</t>
        </is>
      </c>
      <c r="F1852" s="9" t="inlineStr">
        <is>
          <t>6</t>
        </is>
      </c>
      <c r="G1852" s="9" t="n">
        <v>2</v>
      </c>
      <c r="H1852" s="21" t="n">
        <v>5</v>
      </c>
      <c r="I1852" s="21" t="n">
        <v>106</v>
      </c>
      <c r="J1852" s="21" t="n">
        <v>318.01</v>
      </c>
      <c r="K1852" s="21" t="n">
        <v>371.01</v>
      </c>
      <c r="L1852" s="21" t="n">
        <v>424.01</v>
      </c>
      <c r="M1852" s="21" t="n">
        <v>450</v>
      </c>
    </row>
    <row r="1853">
      <c r="A1853" s="9" t="inlineStr">
        <is>
          <t>HAIFENG</t>
        </is>
      </c>
      <c r="B1853" s="9" t="inlineStr">
        <is>
          <t>HAIFENG 20/01/2026</t>
        </is>
      </c>
      <c r="C1853" s="9" t="inlineStr">
        <is>
          <t>2026-01-20</t>
        </is>
      </c>
      <c r="D1853" s="9" t="inlineStr">
        <is>
          <t>668eee34483a2</t>
        </is>
      </c>
      <c r="E1853" s="9" t="inlineStr">
        <is>
          <t>ANILLO T SILVER</t>
        </is>
      </c>
      <c r="F1853" s="9" t="inlineStr">
        <is>
          <t>7</t>
        </is>
      </c>
      <c r="G1853" s="9" t="n">
        <v>2</v>
      </c>
      <c r="H1853" s="21" t="n">
        <v>5</v>
      </c>
      <c r="I1853" s="21" t="n">
        <v>106</v>
      </c>
      <c r="J1853" s="21" t="n">
        <v>318.01</v>
      </c>
      <c r="K1853" s="21" t="n">
        <v>371.01</v>
      </c>
      <c r="L1853" s="21" t="n">
        <v>424.01</v>
      </c>
      <c r="M1853" s="21" t="n">
        <v>450</v>
      </c>
    </row>
    <row r="1854">
      <c r="A1854" s="9" t="inlineStr">
        <is>
          <t>HAIFENG</t>
        </is>
      </c>
      <c r="B1854" s="9" t="inlineStr">
        <is>
          <t>HAIFENG 20/01/2026</t>
        </is>
      </c>
      <c r="C1854" s="9" t="inlineStr">
        <is>
          <t>2026-01-20</t>
        </is>
      </c>
      <c r="D1854" s="9" t="inlineStr">
        <is>
          <t>67201533381709</t>
        </is>
      </c>
      <c r="E1854" s="9" t="inlineStr">
        <is>
          <t>ANILLO T1 T SILVER</t>
        </is>
      </c>
      <c r="F1854" s="9" t="inlineStr">
        <is>
          <t>8</t>
        </is>
      </c>
      <c r="G1854" s="9" t="n">
        <v>2</v>
      </c>
      <c r="H1854" s="21" t="n">
        <v>5.5</v>
      </c>
      <c r="I1854" s="21" t="n">
        <v>116.6</v>
      </c>
      <c r="J1854" s="21" t="n">
        <v>349.81</v>
      </c>
      <c r="K1854" s="21" t="n">
        <v>408.11</v>
      </c>
      <c r="L1854" s="21" t="n">
        <v>466.41</v>
      </c>
      <c r="M1854" s="21" t="n">
        <v>530</v>
      </c>
    </row>
    <row r="1855">
      <c r="A1855" s="9" t="inlineStr">
        <is>
          <t>HAIFENG</t>
        </is>
      </c>
      <c r="B1855" s="9" t="inlineStr">
        <is>
          <t>HAIFENG 20/01/2026</t>
        </is>
      </c>
      <c r="C1855" s="9" t="inlineStr">
        <is>
          <t>2026-01-20</t>
        </is>
      </c>
      <c r="D1855" s="9" t="inlineStr">
        <is>
          <t>67201533248941</t>
        </is>
      </c>
      <c r="E1855" s="9" t="inlineStr">
        <is>
          <t>ANILLO T1 T SILVER</t>
        </is>
      </c>
      <c r="F1855" s="9" t="inlineStr">
        <is>
          <t>7</t>
        </is>
      </c>
      <c r="G1855" s="9" t="n">
        <v>2</v>
      </c>
      <c r="H1855" s="21" t="n">
        <v>5.5</v>
      </c>
      <c r="I1855" s="21" t="n">
        <v>116.6</v>
      </c>
      <c r="J1855" s="21" t="n">
        <v>349.81</v>
      </c>
      <c r="K1855" s="21" t="n">
        <v>408.11</v>
      </c>
      <c r="L1855" s="21" t="n">
        <v>466.41</v>
      </c>
      <c r="M1855" s="21" t="n">
        <v>530</v>
      </c>
    </row>
    <row r="1856">
      <c r="A1856" s="9" t="inlineStr">
        <is>
          <t>HAIFENG</t>
        </is>
      </c>
      <c r="B1856" s="9" t="inlineStr">
        <is>
          <t>HAIFENG 20/01/2026</t>
        </is>
      </c>
      <c r="C1856" s="9" t="inlineStr">
        <is>
          <t>2026-01-20</t>
        </is>
      </c>
      <c r="D1856" s="9" t="inlineStr">
        <is>
          <t>67201533116173</t>
        </is>
      </c>
      <c r="E1856" s="9" t="inlineStr">
        <is>
          <t>ANILLO T1 T SILVER</t>
        </is>
      </c>
      <c r="F1856" s="9" t="inlineStr">
        <is>
          <t>6</t>
        </is>
      </c>
      <c r="G1856" s="9" t="n">
        <v>2</v>
      </c>
      <c r="H1856" s="21" t="n">
        <v>5.5</v>
      </c>
      <c r="I1856" s="21" t="n">
        <v>116.6</v>
      </c>
      <c r="J1856" s="21" t="n">
        <v>349.81</v>
      </c>
      <c r="K1856" s="21" t="n">
        <v>408.11</v>
      </c>
      <c r="L1856" s="21" t="n">
        <v>466.41</v>
      </c>
      <c r="M1856" s="21" t="n">
        <v>530</v>
      </c>
    </row>
    <row r="1857">
      <c r="A1857" s="9" t="inlineStr">
        <is>
          <t>HAIFENG</t>
        </is>
      </c>
      <c r="B1857" s="9" t="inlineStr">
        <is>
          <t>HAIFENG 20/01/2026</t>
        </is>
      </c>
      <c r="C1857" s="9" t="inlineStr">
        <is>
          <t>2026-01-20</t>
        </is>
      </c>
      <c r="D1857" s="9" t="inlineStr">
        <is>
          <t>15857683908876</t>
        </is>
      </c>
      <c r="E1857" s="9" t="inlineStr">
        <is>
          <t>ANILLO TRES AROS</t>
        </is>
      </c>
      <c r="F1857" s="9" t="inlineStr">
        <is>
          <t>7</t>
        </is>
      </c>
      <c r="G1857" s="9" t="n">
        <v>8</v>
      </c>
      <c r="H1857" s="21" t="n">
        <v>4.7</v>
      </c>
      <c r="I1857" s="21" t="n">
        <v>99.64</v>
      </c>
      <c r="J1857" s="21" t="n">
        <v>298.93</v>
      </c>
      <c r="K1857" s="21" t="n">
        <v>348.75</v>
      </c>
      <c r="L1857" s="21" t="n">
        <v>398.57</v>
      </c>
      <c r="M1857" s="21" t="n">
        <v>650</v>
      </c>
    </row>
    <row r="1858">
      <c r="A1858" s="9" t="inlineStr">
        <is>
          <t>HAIFENG</t>
        </is>
      </c>
      <c r="B1858" s="9" t="inlineStr">
        <is>
          <t>HAIFENG 20/01/2026</t>
        </is>
      </c>
      <c r="C1858" s="9" t="inlineStr">
        <is>
          <t>2026-01-20</t>
        </is>
      </c>
      <c r="D1858" s="9" t="inlineStr">
        <is>
          <t>15857685448972</t>
        </is>
      </c>
      <c r="E1858" s="9" t="inlineStr">
        <is>
          <t>ANILLO TRES AROS</t>
        </is>
      </c>
      <c r="F1858" s="9" t="inlineStr">
        <is>
          <t>8</t>
        </is>
      </c>
      <c r="G1858" s="9" t="n">
        <v>5</v>
      </c>
      <c r="H1858" s="21" t="n">
        <v>4.7</v>
      </c>
      <c r="I1858" s="21" t="n">
        <v>99.64</v>
      </c>
      <c r="J1858" s="21" t="n">
        <v>298.93</v>
      </c>
      <c r="K1858" s="21" t="n">
        <v>348.75</v>
      </c>
      <c r="L1858" s="21" t="n">
        <v>398.57</v>
      </c>
      <c r="M1858" s="21" t="n">
        <v>650</v>
      </c>
    </row>
    <row r="1859">
      <c r="A1859" s="9" t="inlineStr">
        <is>
          <t>HAIFENG</t>
        </is>
      </c>
      <c r="B1859" s="9" t="inlineStr">
        <is>
          <t>HAIFENG 20/01/2026</t>
        </is>
      </c>
      <c r="C1859" s="9" t="inlineStr">
        <is>
          <t>2026-01-20</t>
        </is>
      </c>
      <c r="D1859" s="9" t="inlineStr">
        <is>
          <t>15857686786700</t>
        </is>
      </c>
      <c r="E1859" s="9" t="inlineStr">
        <is>
          <t>ANILLO TRES AROS</t>
        </is>
      </c>
      <c r="F1859" s="9" t="inlineStr">
        <is>
          <t>9</t>
        </is>
      </c>
      <c r="G1859" s="9" t="n">
        <v>6</v>
      </c>
      <c r="H1859" s="21" t="n">
        <v>4.7</v>
      </c>
      <c r="I1859" s="21" t="n">
        <v>99.64</v>
      </c>
      <c r="J1859" s="21" t="n">
        <v>298.93</v>
      </c>
      <c r="K1859" s="21" t="n">
        <v>348.75</v>
      </c>
      <c r="L1859" s="21" t="n">
        <v>398.57</v>
      </c>
      <c r="M1859" s="21" t="n">
        <v>650</v>
      </c>
    </row>
    <row r="1860">
      <c r="A1860" s="9" t="inlineStr">
        <is>
          <t>HAIFENG</t>
        </is>
      </c>
      <c r="B1860" s="9" t="inlineStr">
        <is>
          <t>HAIFENG 20/01/2026</t>
        </is>
      </c>
      <c r="C1860" s="9" t="inlineStr">
        <is>
          <t>2026-01-20</t>
        </is>
      </c>
      <c r="D1860" s="9" t="inlineStr">
        <is>
          <t>15857685585804</t>
        </is>
      </c>
      <c r="E1860" s="9" t="inlineStr">
        <is>
          <t>ANILLO TRES AROS</t>
        </is>
      </c>
      <c r="F1860" s="9" t="inlineStr">
        <is>
          <t>6</t>
        </is>
      </c>
      <c r="G1860" s="9" t="n">
        <v>5</v>
      </c>
      <c r="H1860" s="21" t="n">
        <v>4.7</v>
      </c>
      <c r="I1860" s="21" t="n">
        <v>99.64</v>
      </c>
      <c r="J1860" s="21" t="n">
        <v>298.93</v>
      </c>
      <c r="K1860" s="21" t="n">
        <v>348.75</v>
      </c>
      <c r="L1860" s="21" t="n">
        <v>398.57</v>
      </c>
      <c r="M1860" s="21" t="n">
        <v>650</v>
      </c>
    </row>
    <row r="1861">
      <c r="A1861" s="9" t="inlineStr">
        <is>
          <t>HAIFENG</t>
        </is>
      </c>
      <c r="B1861" s="9" t="inlineStr">
        <is>
          <t>HAIFENG 20/01/2026</t>
        </is>
      </c>
      <c r="C1861" s="9" t="inlineStr">
        <is>
          <t>2026-01-20</t>
        </is>
      </c>
      <c r="D1861" s="9" t="inlineStr">
        <is>
          <t>673cd567a7edc</t>
        </is>
      </c>
      <c r="E1861" s="9" t="inlineStr">
        <is>
          <t>ANILLO TRES AROS</t>
        </is>
      </c>
      <c r="F1861" s="9" t="inlineStr">
        <is>
          <t>5</t>
        </is>
      </c>
      <c r="G1861" s="9" t="n">
        <v>5</v>
      </c>
      <c r="H1861" s="21" t="n">
        <v>4.7</v>
      </c>
      <c r="I1861" s="21" t="n">
        <v>99.64</v>
      </c>
      <c r="J1861" s="21" t="n">
        <v>298.93</v>
      </c>
      <c r="K1861" s="21" t="n">
        <v>348.75</v>
      </c>
      <c r="L1861" s="21" t="n">
        <v>398.57</v>
      </c>
      <c r="M1861" s="21" t="n">
        <v>650</v>
      </c>
    </row>
    <row r="1862">
      <c r="A1862" s="9" t="inlineStr">
        <is>
          <t>HAIFENG</t>
        </is>
      </c>
      <c r="B1862" s="9" t="inlineStr">
        <is>
          <t>HAIFENG 20/01/2026</t>
        </is>
      </c>
      <c r="C1862" s="9" t="inlineStr">
        <is>
          <t>2026-01-20</t>
        </is>
      </c>
      <c r="D1862" s="9" t="inlineStr">
        <is>
          <t>56481488619660</t>
        </is>
      </c>
      <c r="E1862" s="9" t="inlineStr">
        <is>
          <t>ANILLO TRES AROS CON ZIRCONIA</t>
        </is>
      </c>
      <c r="F1862" s="9" t="inlineStr">
        <is>
          <t>8</t>
        </is>
      </c>
      <c r="G1862" s="9" t="n">
        <v>6</v>
      </c>
      <c r="H1862" s="21" t="n">
        <v>10</v>
      </c>
      <c r="I1862" s="21" t="n">
        <v>212</v>
      </c>
      <c r="J1862" s="21" t="n">
        <v>636.01</v>
      </c>
      <c r="K1862" s="21" t="n">
        <v>742.01</v>
      </c>
      <c r="L1862" s="21" t="n">
        <v>848.02</v>
      </c>
      <c r="M1862" s="21" t="n">
        <v>850</v>
      </c>
    </row>
    <row r="1863">
      <c r="A1863" s="9" t="inlineStr">
        <is>
          <t>HAIFENG</t>
        </is>
      </c>
      <c r="B1863" s="9" t="inlineStr">
        <is>
          <t>HAIFENG 20/01/2026</t>
        </is>
      </c>
      <c r="C1863" s="9" t="inlineStr">
        <is>
          <t>2026-01-20</t>
        </is>
      </c>
      <c r="D1863" s="9" t="inlineStr">
        <is>
          <t>56481485063436</t>
        </is>
      </c>
      <c r="E1863" s="9" t="inlineStr">
        <is>
          <t>ANILLO TRES AROS SILVER/BLACK</t>
        </is>
      </c>
      <c r="F1863" s="9" t="inlineStr">
        <is>
          <t>9</t>
        </is>
      </c>
      <c r="G1863" s="9" t="n">
        <v>3</v>
      </c>
      <c r="H1863" s="21" t="n">
        <v>5</v>
      </c>
      <c r="I1863" s="21" t="n">
        <v>106</v>
      </c>
      <c r="J1863" s="21" t="n">
        <v>318.01</v>
      </c>
      <c r="K1863" s="21" t="n">
        <v>371.01</v>
      </c>
      <c r="L1863" s="21" t="n">
        <v>424.01</v>
      </c>
      <c r="M1863" s="21" t="n">
        <v>500</v>
      </c>
    </row>
    <row r="1864">
      <c r="A1864" s="9" t="inlineStr">
        <is>
          <t>HAIFENG</t>
        </is>
      </c>
      <c r="B1864" s="9" t="inlineStr">
        <is>
          <t>HAIFENG 20/01/2026</t>
        </is>
      </c>
      <c r="C1864" s="9" t="inlineStr">
        <is>
          <t>2026-01-20</t>
        </is>
      </c>
      <c r="D1864" s="9" t="inlineStr">
        <is>
          <t>50498801106509</t>
        </is>
      </c>
      <c r="E1864" s="9" t="inlineStr">
        <is>
          <t>ANILLO TRÉBOL CON ZIRCONIA SILVER VF</t>
        </is>
      </c>
      <c r="F1864" s="9" t="inlineStr">
        <is>
          <t>7</t>
        </is>
      </c>
      <c r="G1864" s="9" t="n">
        <v>2</v>
      </c>
      <c r="H1864" s="21" t="n">
        <v>5.99</v>
      </c>
      <c r="I1864" s="21" t="n">
        <v>126.99</v>
      </c>
      <c r="J1864" s="21" t="n">
        <v>380.97</v>
      </c>
      <c r="K1864" s="21" t="n">
        <v>444.47</v>
      </c>
      <c r="L1864" s="21" t="n">
        <v>507.96</v>
      </c>
      <c r="M1864" s="21" t="n">
        <v>510</v>
      </c>
    </row>
    <row r="1865">
      <c r="A1865" s="9" t="inlineStr">
        <is>
          <t>HAIFENG</t>
        </is>
      </c>
      <c r="B1865" s="9" t="inlineStr">
        <is>
          <t>HAIFENG 20/01/2026</t>
        </is>
      </c>
      <c r="C1865" s="9" t="inlineStr">
        <is>
          <t>2026-01-20</t>
        </is>
      </c>
      <c r="D1865" s="9" t="inlineStr">
        <is>
          <t>38334521007073</t>
        </is>
      </c>
      <c r="E1865" s="9" t="inlineStr">
        <is>
          <t>ANILLO TRÉBOL GOLD</t>
        </is>
      </c>
      <c r="F1865" s="9" t="inlineStr">
        <is>
          <t>7</t>
        </is>
      </c>
      <c r="G1865" s="9" t="n">
        <v>4</v>
      </c>
      <c r="H1865" s="21" t="n">
        <v>5.99</v>
      </c>
      <c r="I1865" s="21" t="n">
        <v>126.99</v>
      </c>
      <c r="J1865" s="21" t="n">
        <v>380.97</v>
      </c>
      <c r="K1865" s="21" t="n">
        <v>444.47</v>
      </c>
      <c r="L1865" s="21" t="n">
        <v>507.96</v>
      </c>
      <c r="M1865" s="21" t="n">
        <v>599</v>
      </c>
    </row>
    <row r="1866">
      <c r="A1866" s="9" t="inlineStr">
        <is>
          <t>HAIFENG</t>
        </is>
      </c>
      <c r="B1866" s="9" t="inlineStr">
        <is>
          <t>HAIFENG 20/01/2026</t>
        </is>
      </c>
      <c r="C1866" s="9" t="inlineStr">
        <is>
          <t>2026-01-20</t>
        </is>
      </c>
      <c r="D1866" s="9" t="inlineStr">
        <is>
          <t>38334521369409</t>
        </is>
      </c>
      <c r="E1866" s="9" t="inlineStr">
        <is>
          <t>ANILLO TRÉBOL SILVER</t>
        </is>
      </c>
      <c r="F1866" s="9" t="inlineStr">
        <is>
          <t>7</t>
        </is>
      </c>
      <c r="G1866" s="9" t="n">
        <v>1</v>
      </c>
      <c r="H1866" s="21" t="n">
        <v>5.99</v>
      </c>
      <c r="I1866" s="21" t="n">
        <v>126.99</v>
      </c>
      <c r="J1866" s="21" t="n">
        <v>380.97</v>
      </c>
      <c r="K1866" s="21" t="n">
        <v>444.47</v>
      </c>
      <c r="L1866" s="21" t="n">
        <v>507.96</v>
      </c>
      <c r="M1866" s="21" t="n">
        <v>599</v>
      </c>
    </row>
    <row r="1867">
      <c r="A1867" s="9" t="inlineStr">
        <is>
          <t>HAIFENG</t>
        </is>
      </c>
      <c r="B1867" s="9" t="inlineStr">
        <is>
          <t>HAIFENG 20/01/2026</t>
        </is>
      </c>
      <c r="C1867" s="9" t="inlineStr">
        <is>
          <t>2026-01-20</t>
        </is>
      </c>
      <c r="D1867" s="9" t="inlineStr">
        <is>
          <t>86347032724109</t>
        </is>
      </c>
      <c r="E1867" s="9" t="inlineStr">
        <is>
          <t>ANILLO TWO-ROW GOLD</t>
        </is>
      </c>
      <c r="F1867" s="9" t="inlineStr">
        <is>
          <t>7</t>
        </is>
      </c>
      <c r="G1867" s="9" t="n">
        <v>4</v>
      </c>
      <c r="H1867" s="21" t="n">
        <v>6</v>
      </c>
      <c r="I1867" s="21" t="n">
        <v>127.2</v>
      </c>
      <c r="J1867" s="21" t="n">
        <v>381.61</v>
      </c>
      <c r="K1867" s="21" t="n">
        <v>445.21</v>
      </c>
      <c r="L1867" s="21" t="n">
        <v>508.81</v>
      </c>
      <c r="M1867" s="21" t="n">
        <v>580</v>
      </c>
    </row>
    <row r="1868">
      <c r="A1868" s="9" t="inlineStr">
        <is>
          <t>HAIFENG</t>
        </is>
      </c>
      <c r="B1868" s="9" t="inlineStr">
        <is>
          <t>HAIFENG 20/01/2026</t>
        </is>
      </c>
      <c r="C1868" s="9" t="inlineStr">
        <is>
          <t>2026-01-20</t>
        </is>
      </c>
      <c r="D1868" s="9" t="inlineStr">
        <is>
          <t>89205551641453</t>
        </is>
      </c>
      <c r="E1868" s="9" t="inlineStr">
        <is>
          <t>ARETES BV ROSEGOLD-WHITE</t>
        </is>
      </c>
      <c r="F1868" s="9" t="inlineStr">
        <is>
          <t>Default Title</t>
        </is>
      </c>
      <c r="G1868" s="9" t="n">
        <v>2</v>
      </c>
      <c r="H1868" s="21" t="n">
        <v>6</v>
      </c>
      <c r="I1868" s="21" t="n">
        <v>127.2</v>
      </c>
      <c r="J1868" s="21" t="n">
        <v>381.61</v>
      </c>
      <c r="K1868" s="21" t="n">
        <v>445.21</v>
      </c>
      <c r="L1868" s="21" t="n">
        <v>508.81</v>
      </c>
      <c r="M1868" s="21" t="n">
        <v>575</v>
      </c>
    </row>
    <row r="1869">
      <c r="A1869" s="9" t="inlineStr">
        <is>
          <t>HAIFENG</t>
        </is>
      </c>
      <c r="B1869" s="9" t="inlineStr">
        <is>
          <t>HAIFENG 20/01/2026</t>
        </is>
      </c>
      <c r="C1869" s="9" t="inlineStr">
        <is>
          <t>2026-01-20</t>
        </is>
      </c>
      <c r="D1869" s="9" t="inlineStr">
        <is>
          <t>51078752492301</t>
        </is>
      </c>
      <c r="E1869" s="9" t="inlineStr">
        <is>
          <t>ARETES C GOLD</t>
        </is>
      </c>
      <c r="F1869" s="9" t="inlineStr">
        <is>
          <t>Default Title</t>
        </is>
      </c>
      <c r="G1869" s="9" t="n">
        <v>5</v>
      </c>
      <c r="H1869" s="21" t="n">
        <v>5.99</v>
      </c>
      <c r="I1869" s="21" t="n">
        <v>126.99</v>
      </c>
      <c r="J1869" s="21" t="n">
        <v>380.97</v>
      </c>
      <c r="K1869" s="21" t="n">
        <v>444.47</v>
      </c>
      <c r="L1869" s="21" t="n">
        <v>507.96</v>
      </c>
      <c r="M1869" s="21" t="n">
        <v>575</v>
      </c>
    </row>
    <row r="1870">
      <c r="A1870" s="9" t="inlineStr">
        <is>
          <t>HAIFENG</t>
        </is>
      </c>
      <c r="B1870" s="9" t="inlineStr">
        <is>
          <t>HAIFENG 20/01/2026</t>
        </is>
      </c>
      <c r="C1870" s="9" t="inlineStr">
        <is>
          <t>2026-01-20</t>
        </is>
      </c>
      <c r="D1870" s="9" t="inlineStr">
        <is>
          <t>11078752382541</t>
        </is>
      </c>
      <c r="E1870" s="9" t="inlineStr">
        <is>
          <t>ARETES C GOLD PEARL</t>
        </is>
      </c>
      <c r="F1870" s="9" t="inlineStr">
        <is>
          <t>Default Title</t>
        </is>
      </c>
      <c r="G1870" s="9" t="n">
        <v>5</v>
      </c>
      <c r="H1870" s="21" t="n">
        <v>5.99</v>
      </c>
      <c r="I1870" s="21" t="n">
        <v>126.99</v>
      </c>
      <c r="J1870" s="21" t="n">
        <v>380.97</v>
      </c>
      <c r="K1870" s="21" t="n">
        <v>444.47</v>
      </c>
      <c r="L1870" s="21" t="n">
        <v>507.96</v>
      </c>
      <c r="M1870" s="21" t="n">
        <v>499</v>
      </c>
    </row>
    <row r="1871">
      <c r="A1871" s="9" t="inlineStr">
        <is>
          <t>HAIFENG</t>
        </is>
      </c>
      <c r="B1871" s="9" t="inlineStr">
        <is>
          <t>HAIFENG 20/01/2026</t>
        </is>
      </c>
      <c r="C1871" s="9" t="inlineStr">
        <is>
          <t>2026-01-20</t>
        </is>
      </c>
      <c r="D1871" s="9" t="inlineStr">
        <is>
          <t>11078751910221</t>
        </is>
      </c>
      <c r="E1871" s="9" t="inlineStr">
        <is>
          <t>ARETES C GOLD ZIRCONIAS</t>
        </is>
      </c>
      <c r="F1871" s="9" t="inlineStr">
        <is>
          <t>Default Title</t>
        </is>
      </c>
      <c r="G1871" s="9" t="n">
        <v>3</v>
      </c>
      <c r="H1871" s="21" t="n">
        <v>5.99</v>
      </c>
      <c r="I1871" s="21" t="n">
        <v>126.99</v>
      </c>
      <c r="J1871" s="21" t="n">
        <v>380.97</v>
      </c>
      <c r="K1871" s="21" t="n">
        <v>444.47</v>
      </c>
      <c r="L1871" s="21" t="n">
        <v>507.96</v>
      </c>
      <c r="M1871" s="21" t="n">
        <v>575</v>
      </c>
    </row>
    <row r="1872">
      <c r="A1872" s="9" t="inlineStr">
        <is>
          <t>HAIFENG</t>
        </is>
      </c>
      <c r="B1872" s="9" t="inlineStr">
        <is>
          <t>HAIFENG 20/01/2026</t>
        </is>
      </c>
      <c r="C1872" s="9" t="inlineStr">
        <is>
          <t>2026-01-20</t>
        </is>
      </c>
      <c r="D1872" s="9" t="inlineStr">
        <is>
          <t>91078752530157</t>
        </is>
      </c>
      <c r="E1872" s="9" t="inlineStr">
        <is>
          <t>ARETES C SILVER</t>
        </is>
      </c>
      <c r="F1872" s="9" t="inlineStr">
        <is>
          <t>Default Title</t>
        </is>
      </c>
      <c r="G1872" s="9" t="n">
        <v>4</v>
      </c>
      <c r="H1872" s="21" t="n">
        <v>5.99</v>
      </c>
      <c r="I1872" s="21" t="n">
        <v>126.99</v>
      </c>
      <c r="J1872" s="21" t="n">
        <v>380.97</v>
      </c>
      <c r="K1872" s="21" t="n">
        <v>444.47</v>
      </c>
      <c r="L1872" s="21" t="n">
        <v>507.96</v>
      </c>
      <c r="M1872" s="21" t="n">
        <v>499</v>
      </c>
    </row>
    <row r="1873">
      <c r="A1873" s="9" t="inlineStr">
        <is>
          <t>HAIFENG</t>
        </is>
      </c>
      <c r="B1873" s="9" t="inlineStr">
        <is>
          <t>HAIFENG 20/01/2026</t>
        </is>
      </c>
      <c r="C1873" s="9" t="inlineStr">
        <is>
          <t>2026-01-20</t>
        </is>
      </c>
      <c r="D1873" s="9" t="inlineStr">
        <is>
          <t>86347032129677</t>
        </is>
      </c>
      <c r="E1873" s="9" t="inlineStr">
        <is>
          <t>ARETES CD BAROQUE GOLD-BLACK</t>
        </is>
      </c>
      <c r="F1873" s="9" t="inlineStr">
        <is>
          <t>Default Title</t>
        </is>
      </c>
      <c r="G1873" s="9" t="n">
        <v>4</v>
      </c>
      <c r="H1873" s="21" t="n">
        <v>6</v>
      </c>
      <c r="I1873" s="21" t="n">
        <v>127.2</v>
      </c>
      <c r="J1873" s="21" t="n">
        <v>381.61</v>
      </c>
      <c r="K1873" s="21" t="n">
        <v>445.21</v>
      </c>
      <c r="L1873" s="21" t="n">
        <v>508.81</v>
      </c>
      <c r="M1873" s="21" t="n">
        <v>495</v>
      </c>
    </row>
    <row r="1874">
      <c r="A1874" s="9" t="inlineStr">
        <is>
          <t>HAIFENG</t>
        </is>
      </c>
      <c r="B1874" s="9" t="inlineStr">
        <is>
          <t>HAIFENG 20/01/2026</t>
        </is>
      </c>
      <c r="C1874" s="9" t="inlineStr">
        <is>
          <t>2026-01-20</t>
        </is>
      </c>
      <c r="D1874" s="9" t="inlineStr">
        <is>
          <t>86347032270925</t>
        </is>
      </c>
      <c r="E1874" s="9" t="inlineStr">
        <is>
          <t>ARETES CD LUCKY DIAMOND SILVER</t>
        </is>
      </c>
      <c r="F1874" s="9" t="inlineStr">
        <is>
          <t>Default Title</t>
        </is>
      </c>
      <c r="G1874" s="9" t="n">
        <v>1</v>
      </c>
      <c r="H1874" s="21" t="n">
        <v>5.5</v>
      </c>
      <c r="I1874" s="21" t="n">
        <v>116.6</v>
      </c>
      <c r="J1874" s="21" t="n">
        <v>349.81</v>
      </c>
      <c r="K1874" s="21" t="n">
        <v>408.11</v>
      </c>
      <c r="L1874" s="21" t="n">
        <v>466.41</v>
      </c>
      <c r="M1874" s="21" t="n">
        <v>500</v>
      </c>
    </row>
    <row r="1875">
      <c r="A1875" s="9" t="inlineStr">
        <is>
          <t>HAIFENG</t>
        </is>
      </c>
      <c r="B1875" s="9" t="inlineStr">
        <is>
          <t>HAIFENG 20/01/2026</t>
        </is>
      </c>
      <c r="C1875" s="9" t="inlineStr">
        <is>
          <t>2026-01-20</t>
        </is>
      </c>
      <c r="D1875" s="9" t="inlineStr">
        <is>
          <t>64085741294285</t>
        </is>
      </c>
      <c r="E1875" s="9" t="inlineStr">
        <is>
          <t>ARETES CLASH GOLD C</t>
        </is>
      </c>
      <c r="F1875" s="9" t="inlineStr">
        <is>
          <t>Default Title</t>
        </is>
      </c>
      <c r="G1875" s="9" t="n">
        <v>3</v>
      </c>
      <c r="H1875" s="21" t="n">
        <v>9</v>
      </c>
      <c r="I1875" s="21" t="n">
        <v>190.8</v>
      </c>
      <c r="J1875" s="21" t="n">
        <v>572.41</v>
      </c>
      <c r="K1875" s="21" t="n">
        <v>667.8099999999999</v>
      </c>
      <c r="L1875" s="21" t="n">
        <v>763.22</v>
      </c>
      <c r="M1875" s="21" t="n">
        <v>750</v>
      </c>
    </row>
    <row r="1876">
      <c r="A1876" s="9" t="inlineStr">
        <is>
          <t>HAIFENG</t>
        </is>
      </c>
      <c r="B1876" s="9" t="inlineStr">
        <is>
          <t>HAIFENG 20/01/2026</t>
        </is>
      </c>
      <c r="C1876" s="9" t="inlineStr">
        <is>
          <t>2026-01-20</t>
        </is>
      </c>
      <c r="D1876" s="9" t="inlineStr">
        <is>
          <t>665bd4a63435b</t>
        </is>
      </c>
      <c r="E1876" s="9" t="inlineStr">
        <is>
          <t>ARETES CLAVO GOLD</t>
        </is>
      </c>
      <c r="F1876" s="9" t="inlineStr">
        <is>
          <t>Default Title</t>
        </is>
      </c>
      <c r="G1876" s="9" t="n">
        <v>3</v>
      </c>
      <c r="H1876" s="21" t="n">
        <v>2.99</v>
      </c>
      <c r="I1876" s="21" t="n">
        <v>63.39</v>
      </c>
      <c r="J1876" s="21" t="n">
        <v>190.17</v>
      </c>
      <c r="K1876" s="21" t="n">
        <v>221.86</v>
      </c>
      <c r="L1876" s="21" t="n">
        <v>253.56</v>
      </c>
      <c r="M1876" s="21" t="n">
        <v>400</v>
      </c>
    </row>
    <row r="1877">
      <c r="A1877" s="9" t="inlineStr">
        <is>
          <t>HAIFENG</t>
        </is>
      </c>
      <c r="B1877" s="9" t="inlineStr">
        <is>
          <t>HAIFENG 20/01/2026</t>
        </is>
      </c>
      <c r="C1877" s="9" t="inlineStr">
        <is>
          <t>2026-01-20</t>
        </is>
      </c>
      <c r="D1877" s="9" t="inlineStr">
        <is>
          <t>86347031100845</t>
        </is>
      </c>
      <c r="E1877" s="9" t="inlineStr">
        <is>
          <t>ARETES CLAVO GOLD ZIRCONIAS</t>
        </is>
      </c>
      <c r="F1877" s="9" t="inlineStr">
        <is>
          <t>Default Title</t>
        </is>
      </c>
      <c r="G1877" s="9" t="n">
        <v>4</v>
      </c>
      <c r="H1877" s="21" t="n">
        <v>7</v>
      </c>
      <c r="I1877" s="21" t="n">
        <v>148.4</v>
      </c>
      <c r="J1877" s="21" t="n">
        <v>445.21</v>
      </c>
      <c r="K1877" s="21" t="n">
        <v>519.41</v>
      </c>
      <c r="L1877" s="21" t="n">
        <v>593.61</v>
      </c>
      <c r="M1877" s="21" t="n">
        <v>599</v>
      </c>
    </row>
    <row r="1878">
      <c r="A1878" s="9" t="inlineStr">
        <is>
          <t>HAIFENG</t>
        </is>
      </c>
      <c r="B1878" s="9" t="inlineStr">
        <is>
          <t>HAIFENG 20/01/2026</t>
        </is>
      </c>
      <c r="C1878" s="9" t="inlineStr">
        <is>
          <t>2026-01-20</t>
        </is>
      </c>
      <c r="D1878" s="9" t="inlineStr">
        <is>
          <t>67201534868749</t>
        </is>
      </c>
      <c r="E1878" s="9" t="inlineStr">
        <is>
          <t>ARETES CON DOBLE CIERRE T GOLD</t>
        </is>
      </c>
      <c r="F1878" s="9" t="inlineStr">
        <is>
          <t>Default Title</t>
        </is>
      </c>
      <c r="G1878" s="9" t="n">
        <v>1</v>
      </c>
      <c r="H1878" s="21" t="n">
        <v>8</v>
      </c>
      <c r="I1878" s="21" t="n">
        <v>169.6</v>
      </c>
      <c r="J1878" s="21" t="n">
        <v>508.81</v>
      </c>
      <c r="K1878" s="21" t="n">
        <v>593.61</v>
      </c>
      <c r="L1878" s="21" t="n">
        <v>678.41</v>
      </c>
      <c r="M1878" s="21" t="n">
        <v>670</v>
      </c>
    </row>
    <row r="1879">
      <c r="A1879" s="9" t="inlineStr">
        <is>
          <t>HAIFENG</t>
        </is>
      </c>
      <c r="B1879" s="9" t="inlineStr">
        <is>
          <t>HAIFENG 20/01/2026</t>
        </is>
      </c>
      <c r="C1879" s="9" t="inlineStr">
        <is>
          <t>2026-01-20</t>
        </is>
      </c>
      <c r="D1879" s="9" t="inlineStr">
        <is>
          <t>12314362492941</t>
        </is>
      </c>
      <c r="E1879" s="9" t="inlineStr">
        <is>
          <t>ARETES F GOLD</t>
        </is>
      </c>
      <c r="F1879" s="9" t="inlineStr">
        <is>
          <t>Default Title</t>
        </is>
      </c>
      <c r="G1879" s="9" t="n">
        <v>2</v>
      </c>
      <c r="H1879" s="21" t="n">
        <v>6</v>
      </c>
      <c r="I1879" s="21" t="n">
        <v>127.2</v>
      </c>
      <c r="J1879" s="21" t="n">
        <v>381.61</v>
      </c>
      <c r="K1879" s="21" t="n">
        <v>445.21</v>
      </c>
      <c r="L1879" s="21" t="n">
        <v>508.81</v>
      </c>
      <c r="M1879" s="21" t="n">
        <v>499</v>
      </c>
    </row>
    <row r="1880">
      <c r="A1880" s="9" t="inlineStr">
        <is>
          <t>HAIFENG</t>
        </is>
      </c>
      <c r="B1880" s="9" t="inlineStr">
        <is>
          <t>HAIFENG 20/01/2026</t>
        </is>
      </c>
      <c r="C1880" s="9" t="inlineStr">
        <is>
          <t>2026-01-20</t>
        </is>
      </c>
      <c r="D1880" s="9" t="inlineStr">
        <is>
          <t>12314361364653</t>
        </is>
      </c>
      <c r="E1880" s="9" t="inlineStr">
        <is>
          <t>ARETES F GOLD PEARL</t>
        </is>
      </c>
      <c r="F1880" s="9" t="inlineStr">
        <is>
          <t>Default Title</t>
        </is>
      </c>
      <c r="G1880" s="9" t="n">
        <v>2</v>
      </c>
      <c r="H1880" s="21" t="n">
        <v>8</v>
      </c>
      <c r="I1880" s="21" t="n">
        <v>169.6</v>
      </c>
      <c r="J1880" s="21" t="n">
        <v>508.81</v>
      </c>
      <c r="K1880" s="21" t="n">
        <v>593.61</v>
      </c>
      <c r="L1880" s="21" t="n">
        <v>678.41</v>
      </c>
      <c r="M1880" s="21" t="n">
        <v>699</v>
      </c>
    </row>
    <row r="1881">
      <c r="A1881" s="9" t="inlineStr">
        <is>
          <t>HAIFENG</t>
        </is>
      </c>
      <c r="B1881" s="9" t="inlineStr">
        <is>
          <t>HAIFENG 20/01/2026</t>
        </is>
      </c>
      <c r="C1881" s="9" t="inlineStr">
        <is>
          <t>2026-01-20</t>
        </is>
      </c>
      <c r="D1881" s="9" t="inlineStr">
        <is>
          <t>12314362081613</t>
        </is>
      </c>
      <c r="E1881" s="9" t="inlineStr">
        <is>
          <t>ARETES F GOLD ZIRCONIAS</t>
        </is>
      </c>
      <c r="F1881" s="9" t="inlineStr">
        <is>
          <t>Default Title</t>
        </is>
      </c>
      <c r="G1881" s="9" t="n">
        <v>2</v>
      </c>
      <c r="H1881" s="21" t="n">
        <v>7</v>
      </c>
      <c r="I1881" s="21" t="n">
        <v>148.4</v>
      </c>
      <c r="J1881" s="21" t="n">
        <v>445.21</v>
      </c>
      <c r="K1881" s="21" t="n">
        <v>519.41</v>
      </c>
      <c r="L1881" s="21" t="n">
        <v>593.61</v>
      </c>
      <c r="M1881" s="21" t="n">
        <v>580</v>
      </c>
    </row>
    <row r="1882">
      <c r="A1882" s="9" t="inlineStr">
        <is>
          <t>HAIFENG</t>
        </is>
      </c>
      <c r="B1882" s="9" t="inlineStr">
        <is>
          <t>HAIFENG 20/01/2026</t>
        </is>
      </c>
      <c r="C1882" s="9" t="inlineStr">
        <is>
          <t>2026-01-20</t>
        </is>
      </c>
      <c r="D1882" s="9" t="inlineStr">
        <is>
          <t>14247351086093</t>
        </is>
      </c>
      <c r="E1882" s="9" t="inlineStr">
        <is>
          <t>ARETES F O'LOCK SILVER</t>
        </is>
      </c>
      <c r="F1882" s="9" t="inlineStr">
        <is>
          <t>Default Title</t>
        </is>
      </c>
      <c r="G1882" s="9" t="n">
        <v>2</v>
      </c>
      <c r="H1882" s="21" t="n">
        <v>8</v>
      </c>
      <c r="I1882" s="21" t="n">
        <v>169.6</v>
      </c>
      <c r="J1882" s="21" t="n">
        <v>508.81</v>
      </c>
      <c r="K1882" s="21" t="n">
        <v>593.61</v>
      </c>
      <c r="L1882" s="21" t="n">
        <v>678.41</v>
      </c>
      <c r="M1882" s="21" t="n">
        <v>670</v>
      </c>
    </row>
    <row r="1883">
      <c r="A1883" s="9" t="inlineStr">
        <is>
          <t>HAIFENG</t>
        </is>
      </c>
      <c r="B1883" s="9" t="inlineStr">
        <is>
          <t>HAIFENG 20/01/2026</t>
        </is>
      </c>
      <c r="C1883" s="9" t="inlineStr">
        <is>
          <t>2026-01-20</t>
        </is>
      </c>
      <c r="D1883" s="9" t="inlineStr">
        <is>
          <t>12314361978221</t>
        </is>
      </c>
      <c r="E1883" s="9" t="inlineStr">
        <is>
          <t>ARETES F SILVER ZIRCONIAS</t>
        </is>
      </c>
      <c r="F1883" s="9" t="inlineStr">
        <is>
          <t>Default Title</t>
        </is>
      </c>
      <c r="G1883" s="9" t="n">
        <v>2</v>
      </c>
      <c r="H1883" s="21" t="n">
        <v>7</v>
      </c>
      <c r="I1883" s="21" t="n">
        <v>148.4</v>
      </c>
      <c r="J1883" s="21" t="n">
        <v>445.21</v>
      </c>
      <c r="K1883" s="21" t="n">
        <v>519.41</v>
      </c>
      <c r="L1883" s="21" t="n">
        <v>593.61</v>
      </c>
      <c r="M1883" s="21" t="n">
        <v>580</v>
      </c>
    </row>
    <row r="1884">
      <c r="A1884" s="9" t="inlineStr">
        <is>
          <t>HAIFENG</t>
        </is>
      </c>
      <c r="B1884" s="9" t="inlineStr">
        <is>
          <t>HAIFENG 20/01/2026</t>
        </is>
      </c>
      <c r="C1884" s="9" t="inlineStr">
        <is>
          <t>2026-01-20</t>
        </is>
      </c>
      <c r="D1884" s="9" t="inlineStr">
        <is>
          <t>42981998657676</t>
        </is>
      </c>
      <c r="E1884" s="9" t="inlineStr">
        <is>
          <t>ARETES FR GOLD</t>
        </is>
      </c>
      <c r="F1884" s="9" t="inlineStr">
        <is>
          <t>Default Title</t>
        </is>
      </c>
      <c r="G1884" s="9" t="n">
        <v>15</v>
      </c>
      <c r="H1884" s="21" t="n">
        <v>5</v>
      </c>
      <c r="I1884" s="21" t="n">
        <v>106</v>
      </c>
      <c r="J1884" s="21" t="n">
        <v>318.01</v>
      </c>
      <c r="K1884" s="21" t="n">
        <v>371.01</v>
      </c>
      <c r="L1884" s="21" t="n">
        <v>424.01</v>
      </c>
      <c r="M1884" s="21" t="n">
        <v>499</v>
      </c>
    </row>
    <row r="1885">
      <c r="A1885" s="9" t="inlineStr">
        <is>
          <t>HAIFENG</t>
        </is>
      </c>
      <c r="B1885" s="9" t="inlineStr">
        <is>
          <t>HAIFENG 20/01/2026</t>
        </is>
      </c>
      <c r="C1885" s="9" t="inlineStr">
        <is>
          <t>2026-01-20</t>
        </is>
      </c>
      <c r="D1885" s="9" t="inlineStr">
        <is>
          <t>42982006882444</t>
        </is>
      </c>
      <c r="E1885" s="9" t="inlineStr">
        <is>
          <t>ARETES FR GOLD CON PERLA</t>
        </is>
      </c>
      <c r="F1885" s="9" t="inlineStr">
        <is>
          <t>Default Title</t>
        </is>
      </c>
      <c r="G1885" s="9" t="n">
        <v>15</v>
      </c>
      <c r="H1885" s="21" t="n">
        <v>6</v>
      </c>
      <c r="I1885" s="21" t="n">
        <v>127.2</v>
      </c>
      <c r="J1885" s="21" t="n">
        <v>381.61</v>
      </c>
      <c r="K1885" s="21" t="n">
        <v>445.21</v>
      </c>
      <c r="L1885" s="21" t="n">
        <v>508.81</v>
      </c>
      <c r="M1885" s="21" t="n">
        <v>499</v>
      </c>
    </row>
    <row r="1886">
      <c r="A1886" s="9" t="inlineStr">
        <is>
          <t>HAIFENG</t>
        </is>
      </c>
      <c r="B1886" s="9" t="inlineStr">
        <is>
          <t>HAIFENG 20/01/2026</t>
        </is>
      </c>
      <c r="C1886" s="9" t="inlineStr">
        <is>
          <t>2026-01-20</t>
        </is>
      </c>
      <c r="D1886" s="9" t="inlineStr">
        <is>
          <t>665bd22d2f1c6</t>
        </is>
      </c>
      <c r="E1886" s="9" t="inlineStr">
        <is>
          <t>ARETES FR GOLD CON ZIRCONIA</t>
        </is>
      </c>
      <c r="F1886" s="9" t="inlineStr">
        <is>
          <t>Default Title</t>
        </is>
      </c>
      <c r="G1886" s="9" t="n">
        <v>15</v>
      </c>
      <c r="H1886" s="21" t="n">
        <v>6</v>
      </c>
      <c r="I1886" s="21" t="n">
        <v>127.2</v>
      </c>
      <c r="J1886" s="21" t="n">
        <v>381.61</v>
      </c>
      <c r="K1886" s="21" t="n">
        <v>445.21</v>
      </c>
      <c r="L1886" s="21" t="n">
        <v>508.81</v>
      </c>
      <c r="M1886" s="21" t="n">
        <v>550</v>
      </c>
    </row>
    <row r="1887">
      <c r="A1887" s="9" t="inlineStr">
        <is>
          <t>HAIFENG</t>
        </is>
      </c>
      <c r="B1887" s="9" t="inlineStr">
        <is>
          <t>HAIFENG 20/01/2026</t>
        </is>
      </c>
      <c r="C1887" s="9" t="inlineStr">
        <is>
          <t>2026-01-20</t>
        </is>
      </c>
      <c r="D1887" s="9" t="inlineStr">
        <is>
          <t>11453671120077</t>
        </is>
      </c>
      <c r="E1887" s="9" t="inlineStr">
        <is>
          <t>ARETES FR GOLD ONE PEARL</t>
        </is>
      </c>
      <c r="F1887" s="9" t="inlineStr">
        <is>
          <t>PRODUCTO NUEVO</t>
        </is>
      </c>
      <c r="G1887" s="9" t="n">
        <v>10</v>
      </c>
      <c r="H1887" s="21" t="n">
        <v>6</v>
      </c>
      <c r="I1887" s="21" t="n">
        <v>127.2</v>
      </c>
      <c r="J1887" s="21" t="n">
        <v>381.61</v>
      </c>
      <c r="K1887" s="21" t="n">
        <v>445.21</v>
      </c>
      <c r="L1887" s="21" t="n">
        <v>508.81</v>
      </c>
      <c r="M1887" s="21" t="n">
        <v>499</v>
      </c>
    </row>
    <row r="1888">
      <c r="A1888" s="9" t="inlineStr">
        <is>
          <t>HAIFENG</t>
        </is>
      </c>
      <c r="B1888" s="9" t="inlineStr">
        <is>
          <t>HAIFENG 20/01/2026</t>
        </is>
      </c>
      <c r="C1888" s="9" t="inlineStr">
        <is>
          <t>2026-01-20</t>
        </is>
      </c>
      <c r="D1888" s="9" t="inlineStr">
        <is>
          <t>678a9af396518</t>
        </is>
      </c>
      <c r="E1888" s="9" t="inlineStr">
        <is>
          <t>ARETES FR SILVER</t>
        </is>
      </c>
      <c r="F1888" s="9" t="inlineStr">
        <is>
          <t>Default Title</t>
        </is>
      </c>
      <c r="G1888" s="9" t="n">
        <v>15</v>
      </c>
      <c r="H1888" s="21" t="n">
        <v>5</v>
      </c>
      <c r="I1888" s="21" t="n">
        <v>106</v>
      </c>
      <c r="J1888" s="21" t="n">
        <v>318.01</v>
      </c>
      <c r="K1888" s="21" t="n">
        <v>371.01</v>
      </c>
      <c r="L1888" s="21" t="n">
        <v>424.01</v>
      </c>
      <c r="M1888" s="21" t="n">
        <v>450</v>
      </c>
    </row>
    <row r="1889">
      <c r="A1889" s="9" t="inlineStr">
        <is>
          <t>HAIFENG</t>
        </is>
      </c>
      <c r="B1889" s="9" t="inlineStr">
        <is>
          <t>HAIFENG 20/01/2026</t>
        </is>
      </c>
      <c r="C1889" s="9" t="inlineStr">
        <is>
          <t>2026-01-20</t>
        </is>
      </c>
      <c r="D1889" s="9" t="inlineStr">
        <is>
          <t>31453671341517</t>
        </is>
      </c>
      <c r="E1889" s="9" t="inlineStr">
        <is>
          <t>ARETES FR SILVER ZIRCONIAS</t>
        </is>
      </c>
      <c r="F1889" s="9" t="inlineStr">
        <is>
          <t>PRODUCTO NUEVO</t>
        </is>
      </c>
      <c r="G1889" s="9" t="n">
        <v>15</v>
      </c>
      <c r="H1889" s="21" t="n">
        <v>6</v>
      </c>
      <c r="I1889" s="21" t="n">
        <v>127.2</v>
      </c>
      <c r="J1889" s="21" t="n">
        <v>381.61</v>
      </c>
      <c r="K1889" s="21" t="n">
        <v>445.21</v>
      </c>
      <c r="L1889" s="21" t="n">
        <v>508.81</v>
      </c>
      <c r="M1889" s="21" t="n">
        <v>499</v>
      </c>
    </row>
    <row r="1890">
      <c r="A1890" s="9" t="inlineStr">
        <is>
          <t>HAIFENG</t>
        </is>
      </c>
      <c r="B1890" s="9" t="inlineStr">
        <is>
          <t>HAIFENG 20/01/2026</t>
        </is>
      </c>
      <c r="C1890" s="9" t="inlineStr">
        <is>
          <t>2026-01-20</t>
        </is>
      </c>
      <c r="D1890" s="9" t="inlineStr">
        <is>
          <t>56481478255884</t>
        </is>
      </c>
      <c r="E1890" s="9" t="inlineStr">
        <is>
          <t>ARETES KNOT GOLD CON ZIRCONIA</t>
        </is>
      </c>
      <c r="F1890" s="9" t="inlineStr">
        <is>
          <t>Default Title</t>
        </is>
      </c>
      <c r="G1890" s="9" t="n">
        <v>1</v>
      </c>
      <c r="H1890" s="21" t="n">
        <v>6</v>
      </c>
      <c r="I1890" s="21" t="n">
        <v>127.2</v>
      </c>
      <c r="J1890" s="21" t="n">
        <v>381.61</v>
      </c>
      <c r="K1890" s="21" t="n">
        <v>445.21</v>
      </c>
      <c r="L1890" s="21" t="n">
        <v>508.81</v>
      </c>
      <c r="M1890" s="21" t="n">
        <v>780</v>
      </c>
    </row>
    <row r="1891">
      <c r="A1891" s="9" t="inlineStr">
        <is>
          <t>HAIFENG</t>
        </is>
      </c>
      <c r="B1891" s="9" t="inlineStr">
        <is>
          <t>HAIFENG 20/01/2026</t>
        </is>
      </c>
      <c r="C1891" s="9" t="inlineStr">
        <is>
          <t>2026-01-20</t>
        </is>
      </c>
      <c r="D1891" s="9" t="inlineStr">
        <is>
          <t>89790741347789</t>
        </is>
      </c>
      <c r="E1891" s="9" t="inlineStr">
        <is>
          <t>ARETES KNOT SILVER CON ZIRCONIA</t>
        </is>
      </c>
      <c r="F1891" s="9" t="inlineStr">
        <is>
          <t>Default Title</t>
        </is>
      </c>
      <c r="G1891" s="9" t="n">
        <v>1</v>
      </c>
      <c r="H1891" s="21" t="n">
        <v>9</v>
      </c>
      <c r="I1891" s="21" t="n">
        <v>190.8</v>
      </c>
      <c r="J1891" s="21" t="n">
        <v>572.41</v>
      </c>
      <c r="K1891" s="21" t="n">
        <v>667.8099999999999</v>
      </c>
      <c r="L1891" s="21" t="n">
        <v>763.22</v>
      </c>
      <c r="M1891" s="21" t="n">
        <v>750</v>
      </c>
    </row>
    <row r="1892">
      <c r="A1892" s="9" t="inlineStr">
        <is>
          <t>HAIFENG</t>
        </is>
      </c>
      <c r="B1892" s="9" t="inlineStr">
        <is>
          <t>HAIFENG 20/01/2026</t>
        </is>
      </c>
      <c r="C1892" s="9" t="inlineStr">
        <is>
          <t>2026-01-20</t>
        </is>
      </c>
      <c r="D1892" s="9" t="inlineStr">
        <is>
          <t>67201535108205</t>
        </is>
      </c>
      <c r="E1892" s="9" t="inlineStr">
        <is>
          <t>ARETES MARIPOSA BICOLOR GOLD BLUE VF</t>
        </is>
      </c>
      <c r="F1892" s="9" t="inlineStr">
        <is>
          <t>Default Title</t>
        </is>
      </c>
      <c r="G1892" s="9" t="n">
        <v>7</v>
      </c>
      <c r="H1892" s="21" t="n">
        <v>7</v>
      </c>
      <c r="I1892" s="21" t="n">
        <v>148.4</v>
      </c>
      <c r="J1892" s="21" t="n">
        <v>445.21</v>
      </c>
      <c r="K1892" s="21" t="n">
        <v>519.41</v>
      </c>
      <c r="L1892" s="21" t="n">
        <v>593.61</v>
      </c>
      <c r="M1892" s="21" t="n">
        <v>599</v>
      </c>
    </row>
    <row r="1893">
      <c r="A1893" s="9" t="inlineStr">
        <is>
          <t>HAIFENG</t>
        </is>
      </c>
      <c r="B1893" s="9" t="inlineStr">
        <is>
          <t>HAIFENG 20/01/2026</t>
        </is>
      </c>
      <c r="C1893" s="9" t="inlineStr">
        <is>
          <t>2026-01-20</t>
        </is>
      </c>
      <c r="D1893" s="9" t="inlineStr">
        <is>
          <t>64085741126029</t>
        </is>
      </c>
      <c r="E1893" s="9" t="inlineStr">
        <is>
          <t>ARETES PANTHERE GOLD C</t>
        </is>
      </c>
      <c r="F1893" s="9" t="inlineStr">
        <is>
          <t>Default Title</t>
        </is>
      </c>
      <c r="G1893" s="9" t="n">
        <v>1</v>
      </c>
      <c r="H1893" s="21" t="n">
        <v>6</v>
      </c>
      <c r="I1893" s="21" t="n">
        <v>127.2</v>
      </c>
      <c r="J1893" s="21" t="n">
        <v>381.61</v>
      </c>
      <c r="K1893" s="21" t="n">
        <v>445.21</v>
      </c>
      <c r="L1893" s="21" t="n">
        <v>508.81</v>
      </c>
      <c r="M1893" s="21" t="n">
        <v>499</v>
      </c>
    </row>
    <row r="1894">
      <c r="A1894" s="9" t="inlineStr">
        <is>
          <t>HAIFENG</t>
        </is>
      </c>
      <c r="B1894" s="9" t="inlineStr">
        <is>
          <t>HAIFENG 20/01/2026</t>
        </is>
      </c>
      <c r="C1894" s="9" t="inlineStr">
        <is>
          <t>2026-01-20</t>
        </is>
      </c>
      <c r="D1894" s="9" t="inlineStr">
        <is>
          <t>81078753595757</t>
        </is>
      </c>
      <c r="E1894" s="9" t="inlineStr">
        <is>
          <t>ARETES PANTHERE SILVER ZIRCONIAS</t>
        </is>
      </c>
      <c r="F1894" s="9" t="inlineStr">
        <is>
          <t>Default Title</t>
        </is>
      </c>
      <c r="G1894" s="9" t="n">
        <v>1</v>
      </c>
      <c r="H1894" s="21" t="n">
        <v>6.5</v>
      </c>
      <c r="I1894" s="21" t="n">
        <v>137.8</v>
      </c>
      <c r="J1894" s="21" t="n">
        <v>413.41</v>
      </c>
      <c r="K1894" s="21" t="n">
        <v>482.31</v>
      </c>
      <c r="L1894" s="21" t="n">
        <v>551.21</v>
      </c>
      <c r="M1894" s="21" t="n">
        <v>550</v>
      </c>
    </row>
    <row r="1895">
      <c r="A1895" s="9" t="inlineStr">
        <is>
          <t>HAIFENG</t>
        </is>
      </c>
      <c r="B1895" s="9" t="inlineStr">
        <is>
          <t>HAIFENG 20/01/2026</t>
        </is>
      </c>
      <c r="C1895" s="9" t="inlineStr">
        <is>
          <t>2026-01-20</t>
        </is>
      </c>
      <c r="D1895" s="9" t="inlineStr">
        <is>
          <t>15118061083949</t>
        </is>
      </c>
      <c r="E1895" s="9" t="inlineStr">
        <is>
          <t>ARETES T CORAZÓN CON FLECHA</t>
        </is>
      </c>
      <c r="F1895" s="9" t="inlineStr">
        <is>
          <t>Default Title</t>
        </is>
      </c>
      <c r="G1895" s="9" t="n">
        <v>2</v>
      </c>
      <c r="H1895" s="21" t="n">
        <v>5</v>
      </c>
      <c r="I1895" s="21" t="n">
        <v>106</v>
      </c>
      <c r="J1895" s="21" t="n">
        <v>318.01</v>
      </c>
      <c r="K1895" s="21" t="n">
        <v>371.01</v>
      </c>
      <c r="L1895" s="21" t="n">
        <v>424.01</v>
      </c>
      <c r="M1895" s="21" t="n">
        <v>450</v>
      </c>
    </row>
    <row r="1896">
      <c r="A1896" s="9" t="inlineStr">
        <is>
          <t>HAIFENG</t>
        </is>
      </c>
      <c r="B1896" s="9" t="inlineStr">
        <is>
          <t>HAIFENG 20/01/2026</t>
        </is>
      </c>
      <c r="C1896" s="9" t="inlineStr">
        <is>
          <t>2026-01-20</t>
        </is>
      </c>
      <c r="D1896" s="9" t="inlineStr">
        <is>
          <t>45043621046701</t>
        </is>
      </c>
      <c r="E1896" s="9" t="inlineStr">
        <is>
          <t>ARETES T GOLD CON ZIRCONIA</t>
        </is>
      </c>
      <c r="F1896" s="9" t="inlineStr">
        <is>
          <t>Default Title</t>
        </is>
      </c>
      <c r="G1896" s="9" t="n">
        <v>2</v>
      </c>
      <c r="H1896" s="21" t="n">
        <v>10</v>
      </c>
      <c r="I1896" s="21" t="n">
        <v>212</v>
      </c>
      <c r="J1896" s="21" t="n">
        <v>636.01</v>
      </c>
      <c r="K1896" s="21" t="n">
        <v>742.01</v>
      </c>
      <c r="L1896" s="21" t="n">
        <v>848.02</v>
      </c>
      <c r="M1896" s="21" t="n">
        <v>749</v>
      </c>
    </row>
    <row r="1897">
      <c r="A1897" s="9" t="inlineStr">
        <is>
          <t>HAIFENG</t>
        </is>
      </c>
      <c r="B1897" s="9" t="inlineStr">
        <is>
          <t>HAIFENG 20/01/2026</t>
        </is>
      </c>
      <c r="C1897" s="9" t="inlineStr">
        <is>
          <t>2026-01-20</t>
        </is>
      </c>
      <c r="D1897" s="9" t="inlineStr">
        <is>
          <t>89790741157517</t>
        </is>
      </c>
      <c r="E1897" s="9" t="inlineStr">
        <is>
          <t>ARETES T GOLD LISO</t>
        </is>
      </c>
      <c r="F1897" s="9" t="inlineStr">
        <is>
          <t>Default Title</t>
        </is>
      </c>
      <c r="G1897" s="9" t="n">
        <v>5</v>
      </c>
      <c r="H1897" s="21" t="n">
        <v>7</v>
      </c>
      <c r="I1897" s="21" t="n">
        <v>148.4</v>
      </c>
      <c r="J1897" s="21" t="n">
        <v>445.21</v>
      </c>
      <c r="K1897" s="21" t="n">
        <v>519.41</v>
      </c>
      <c r="L1897" s="21" t="n">
        <v>593.61</v>
      </c>
      <c r="M1897" s="21" t="n">
        <v>599</v>
      </c>
    </row>
    <row r="1898">
      <c r="A1898" s="9" t="inlineStr">
        <is>
          <t>HAIFENG</t>
        </is>
      </c>
      <c r="B1898" s="9" t="inlineStr">
        <is>
          <t>HAIFENG 20/01/2026</t>
        </is>
      </c>
      <c r="C1898" s="9" t="inlineStr">
        <is>
          <t>2026-01-20</t>
        </is>
      </c>
      <c r="D1898" s="9" t="inlineStr">
        <is>
          <t>89790741012877</t>
        </is>
      </c>
      <c r="E1898" s="9" t="inlineStr">
        <is>
          <t>ARETES T SILVER LISO</t>
        </is>
      </c>
      <c r="F1898" s="9" t="inlineStr">
        <is>
          <t>Default Title</t>
        </is>
      </c>
      <c r="G1898" s="9" t="n">
        <v>2</v>
      </c>
      <c r="H1898" s="21" t="n">
        <v>7</v>
      </c>
      <c r="I1898" s="21" t="n">
        <v>148.4</v>
      </c>
      <c r="J1898" s="21" t="n">
        <v>445.21</v>
      </c>
      <c r="K1898" s="21" t="n">
        <v>519.41</v>
      </c>
      <c r="L1898" s="21" t="n">
        <v>593.61</v>
      </c>
      <c r="M1898" s="21" t="n">
        <v>580</v>
      </c>
    </row>
    <row r="1899">
      <c r="A1899" s="9" t="inlineStr">
        <is>
          <t>HAIFENG</t>
        </is>
      </c>
      <c r="B1899" s="9" t="inlineStr">
        <is>
          <t>HAIFENG 20/01/2026</t>
        </is>
      </c>
      <c r="C1899" s="9" t="inlineStr">
        <is>
          <t>2026-01-20</t>
        </is>
      </c>
      <c r="D1899" s="9" t="inlineStr">
        <is>
          <t>661784a190a7f</t>
        </is>
      </c>
      <c r="E1899" s="9" t="inlineStr">
        <is>
          <t>ARETES TREBOL GOLD-RED</t>
        </is>
      </c>
      <c r="F1899" s="9" t="inlineStr">
        <is>
          <t>HIGH QUALITY</t>
        </is>
      </c>
      <c r="G1899" s="9" t="n">
        <v>2</v>
      </c>
      <c r="H1899" s="21" t="n">
        <v>8</v>
      </c>
      <c r="I1899" s="21" t="n">
        <v>169.6</v>
      </c>
      <c r="J1899" s="21" t="n">
        <v>508.81</v>
      </c>
      <c r="K1899" s="21" t="n">
        <v>593.61</v>
      </c>
      <c r="L1899" s="21" t="n">
        <v>678.41</v>
      </c>
      <c r="M1899" s="21" t="n">
        <v>832</v>
      </c>
    </row>
    <row r="1900">
      <c r="A1900" s="9" t="inlineStr">
        <is>
          <t>HAIFENG</t>
        </is>
      </c>
      <c r="B1900" s="9" t="inlineStr">
        <is>
          <t>HAIFENG 20/01/2026</t>
        </is>
      </c>
      <c r="C1900" s="9" t="inlineStr">
        <is>
          <t>2026-01-20</t>
        </is>
      </c>
      <c r="D1900" s="9" t="inlineStr">
        <is>
          <t>6617849b98dff</t>
        </is>
      </c>
      <c r="E1900" s="9" t="inlineStr">
        <is>
          <t>ARETES TREBOL SILVER</t>
        </is>
      </c>
      <c r="F1900" s="9" t="inlineStr">
        <is>
          <t>Default Title</t>
        </is>
      </c>
      <c r="G1900" s="9" t="n">
        <v>2</v>
      </c>
      <c r="H1900" s="21" t="n">
        <v>8</v>
      </c>
      <c r="I1900" s="21" t="n">
        <v>169.6</v>
      </c>
      <c r="J1900" s="21" t="n">
        <v>508.81</v>
      </c>
      <c r="K1900" s="21" t="n">
        <v>593.61</v>
      </c>
      <c r="L1900" s="21" t="n">
        <v>678.41</v>
      </c>
      <c r="M1900" s="21" t="n">
        <v>850</v>
      </c>
    </row>
    <row r="1901">
      <c r="A1901" s="9" t="inlineStr">
        <is>
          <t>HAIFENG</t>
        </is>
      </c>
      <c r="B1901" s="9" t="inlineStr">
        <is>
          <t>HAIFENG 20/01/2026</t>
        </is>
      </c>
      <c r="C1901" s="9" t="inlineStr">
        <is>
          <t>2026-01-20</t>
        </is>
      </c>
      <c r="D1901" s="9" t="inlineStr">
        <is>
          <t>6617849b9a844</t>
        </is>
      </c>
      <c r="E1901" s="9" t="inlineStr">
        <is>
          <t>ARETES TRÉBOL GOLD</t>
        </is>
      </c>
      <c r="F1901" s="9" t="inlineStr">
        <is>
          <t>HIGH QUALITY</t>
        </is>
      </c>
      <c r="G1901" s="9" t="n">
        <v>5</v>
      </c>
      <c r="H1901" s="21" t="n">
        <v>8</v>
      </c>
      <c r="I1901" s="21" t="n">
        <v>169.6</v>
      </c>
      <c r="J1901" s="21" t="n">
        <v>508.81</v>
      </c>
      <c r="K1901" s="21" t="n">
        <v>593.61</v>
      </c>
      <c r="L1901" s="21" t="n">
        <v>678.41</v>
      </c>
      <c r="M1901" s="21" t="n">
        <v>699</v>
      </c>
    </row>
    <row r="1902">
      <c r="A1902" s="9" t="inlineStr">
        <is>
          <t>HAIFENG</t>
        </is>
      </c>
      <c r="B1902" s="9" t="inlineStr">
        <is>
          <t>HAIFENG 20/01/2026</t>
        </is>
      </c>
      <c r="C1902" s="9" t="inlineStr">
        <is>
          <t>2026-01-20</t>
        </is>
      </c>
      <c r="D1902" s="9" t="inlineStr">
        <is>
          <t>661784a33b867</t>
        </is>
      </c>
      <c r="E1902" s="9" t="inlineStr">
        <is>
          <t>ARETES TRÉBOL GOLD-BLACK</t>
        </is>
      </c>
      <c r="F1902" s="9" t="inlineStr">
        <is>
          <t>HIGH QUALITY</t>
        </is>
      </c>
      <c r="G1902" s="9" t="n">
        <v>3</v>
      </c>
      <c r="H1902" s="21" t="n">
        <v>8</v>
      </c>
      <c r="I1902" s="21" t="n">
        <v>169.6</v>
      </c>
      <c r="J1902" s="21" t="n">
        <v>508.81</v>
      </c>
      <c r="K1902" s="21" t="n">
        <v>593.61</v>
      </c>
      <c r="L1902" s="21" t="n">
        <v>678.41</v>
      </c>
      <c r="M1902" s="21" t="n">
        <v>699</v>
      </c>
    </row>
    <row r="1903">
      <c r="A1903" s="9" t="inlineStr">
        <is>
          <t>HAIFENG</t>
        </is>
      </c>
      <c r="B1903" s="9" t="inlineStr">
        <is>
          <t>HAIFENG 20/01/2026</t>
        </is>
      </c>
      <c r="C1903" s="9" t="inlineStr">
        <is>
          <t>2026-01-20</t>
        </is>
      </c>
      <c r="D1903" s="9" t="inlineStr">
        <is>
          <t>661784a18007c</t>
        </is>
      </c>
      <c r="E1903" s="9" t="inlineStr">
        <is>
          <t>ARETES TRÉBOL GOLD-GREEN</t>
        </is>
      </c>
      <c r="F1903" s="9" t="inlineStr">
        <is>
          <t>HIGH QUALITY</t>
        </is>
      </c>
      <c r="G1903" s="9" t="n">
        <v>3</v>
      </c>
      <c r="H1903" s="21" t="n">
        <v>8</v>
      </c>
      <c r="I1903" s="21" t="n">
        <v>169.6</v>
      </c>
      <c r="J1903" s="21" t="n">
        <v>508.81</v>
      </c>
      <c r="K1903" s="21" t="n">
        <v>593.61</v>
      </c>
      <c r="L1903" s="21" t="n">
        <v>678.41</v>
      </c>
      <c r="M1903" s="21" t="n">
        <v>850</v>
      </c>
    </row>
    <row r="1904">
      <c r="A1904" s="9" t="inlineStr">
        <is>
          <t>HAIFENG</t>
        </is>
      </c>
      <c r="B1904" s="9" t="inlineStr">
        <is>
          <t>HAIFENG 20/01/2026</t>
        </is>
      </c>
      <c r="C1904" s="9" t="inlineStr">
        <is>
          <t>2026-01-20</t>
        </is>
      </c>
      <c r="D1904" s="9" t="inlineStr">
        <is>
          <t>665bb779989a5</t>
        </is>
      </c>
      <c r="E1904" s="9" t="inlineStr">
        <is>
          <t>ARETES TRÉBOL GOLD-WHITE</t>
        </is>
      </c>
      <c r="F1904" s="9" t="inlineStr">
        <is>
          <t>HIGH QUALITY</t>
        </is>
      </c>
      <c r="G1904" s="9" t="n">
        <v>2</v>
      </c>
      <c r="H1904" s="21" t="n">
        <v>8</v>
      </c>
      <c r="I1904" s="21" t="n">
        <v>169.6</v>
      </c>
      <c r="J1904" s="21" t="n">
        <v>508.81</v>
      </c>
      <c r="K1904" s="21" t="n">
        <v>593.61</v>
      </c>
      <c r="L1904" s="21" t="n">
        <v>678.41</v>
      </c>
      <c r="M1904" s="21" t="n">
        <v>699</v>
      </c>
    </row>
    <row r="1905">
      <c r="A1905" s="9" t="inlineStr">
        <is>
          <t>HAIFENG</t>
        </is>
      </c>
      <c r="B1905" s="9" t="inlineStr">
        <is>
          <t>HAIFENG 20/01/2026</t>
        </is>
      </c>
      <c r="C1905" s="9" t="inlineStr">
        <is>
          <t>2026-01-20</t>
        </is>
      </c>
      <c r="D1905" s="9" t="inlineStr">
        <is>
          <t>89790741422093</t>
        </is>
      </c>
      <c r="E1905" s="9" t="inlineStr">
        <is>
          <t>ARRACADAS CD GOLD WHITE ZIRCONIAS</t>
        </is>
      </c>
      <c r="F1905" s="9" t="inlineStr">
        <is>
          <t>Default Title</t>
        </is>
      </c>
      <c r="G1905" s="9" t="n">
        <v>2</v>
      </c>
      <c r="H1905" s="21" t="n">
        <v>7</v>
      </c>
      <c r="I1905" s="21" t="n">
        <v>148.4</v>
      </c>
      <c r="J1905" s="21" t="n">
        <v>445.21</v>
      </c>
      <c r="K1905" s="21" t="n">
        <v>519.41</v>
      </c>
      <c r="L1905" s="21" t="n">
        <v>593.61</v>
      </c>
      <c r="M1905" s="21" t="n">
        <v>580</v>
      </c>
    </row>
    <row r="1906">
      <c r="A1906" s="9" t="inlineStr">
        <is>
          <t>HAIFENG</t>
        </is>
      </c>
      <c r="B1906" s="9" t="inlineStr">
        <is>
          <t>HAIFENG 20/01/2026</t>
        </is>
      </c>
      <c r="C1906" s="9" t="inlineStr">
        <is>
          <t>2026-01-20</t>
        </is>
      </c>
      <c r="D1906" s="9" t="inlineStr">
        <is>
          <t>12314361226797</t>
        </is>
      </c>
      <c r="E1906" s="9" t="inlineStr">
        <is>
          <t>ARRACADAS COLGANTES F ZIRCONIA</t>
        </is>
      </c>
      <c r="F1906" s="9" t="inlineStr">
        <is>
          <t>Default Title</t>
        </is>
      </c>
      <c r="G1906" s="9" t="n">
        <v>1</v>
      </c>
      <c r="H1906" s="21" t="n">
        <v>8</v>
      </c>
      <c r="I1906" s="21" t="n">
        <v>169.6</v>
      </c>
      <c r="J1906" s="21" t="n">
        <v>508.81</v>
      </c>
      <c r="K1906" s="21" t="n">
        <v>593.61</v>
      </c>
      <c r="L1906" s="21" t="n">
        <v>678.41</v>
      </c>
      <c r="M1906" s="21" t="n">
        <v>435</v>
      </c>
    </row>
    <row r="1907">
      <c r="A1907" s="9" t="inlineStr">
        <is>
          <t>HAIFENG</t>
        </is>
      </c>
      <c r="B1907" s="9" t="inlineStr">
        <is>
          <t>HAIFENG 20/01/2026</t>
        </is>
      </c>
      <c r="C1907" s="9" t="inlineStr">
        <is>
          <t>2026-01-20</t>
        </is>
      </c>
      <c r="D1907" s="9" t="inlineStr">
        <is>
          <t>86347033785069</t>
        </is>
      </c>
      <c r="E1907" s="9" t="inlineStr">
        <is>
          <t>ARRACADAS KNOT ROSEGOLD ZIRCONIAS</t>
        </is>
      </c>
      <c r="F1907" s="9" t="inlineStr">
        <is>
          <t>Default Title</t>
        </is>
      </c>
      <c r="G1907" s="9" t="n">
        <v>3</v>
      </c>
      <c r="H1907" s="21" t="n">
        <v>8</v>
      </c>
      <c r="I1907" s="21" t="n">
        <v>169.6</v>
      </c>
      <c r="J1907" s="21" t="n">
        <v>508.81</v>
      </c>
      <c r="K1907" s="21" t="n">
        <v>593.61</v>
      </c>
      <c r="L1907" s="21" t="n">
        <v>678.41</v>
      </c>
      <c r="M1907" s="21" t="n">
        <v>670</v>
      </c>
    </row>
    <row r="1908">
      <c r="A1908" s="9" t="inlineStr">
        <is>
          <t>HAIFENG</t>
        </is>
      </c>
      <c r="B1908" s="9" t="inlineStr">
        <is>
          <t>HAIFENG 20/01/2026</t>
        </is>
      </c>
      <c r="C1908" s="9" t="inlineStr">
        <is>
          <t>2026-01-20</t>
        </is>
      </c>
      <c r="D1908" s="9" t="inlineStr">
        <is>
          <t>86347031202541</t>
        </is>
      </c>
      <c r="E1908" s="9" t="inlineStr">
        <is>
          <t>ARRACADAS LOVELOVE ROSEGOLD</t>
        </is>
      </c>
      <c r="F1908" s="9" t="inlineStr">
        <is>
          <t>Default Title</t>
        </is>
      </c>
      <c r="G1908" s="9" t="n">
        <v>1</v>
      </c>
      <c r="H1908" s="21" t="n">
        <v>6.5</v>
      </c>
      <c r="I1908" s="21" t="n">
        <v>137.8</v>
      </c>
      <c r="J1908" s="21" t="n">
        <v>413.41</v>
      </c>
      <c r="K1908" s="21" t="n">
        <v>482.31</v>
      </c>
      <c r="L1908" s="21" t="n">
        <v>551.21</v>
      </c>
      <c r="M1908" s="21" t="n">
        <v>536</v>
      </c>
    </row>
    <row r="1909">
      <c r="A1909" s="9" t="inlineStr">
        <is>
          <t>HAIFENG</t>
        </is>
      </c>
      <c r="B1909" s="9" t="inlineStr">
        <is>
          <t>HAIFENG 20/01/2026</t>
        </is>
      </c>
      <c r="C1909" s="9" t="inlineStr">
        <is>
          <t>2026-01-20</t>
        </is>
      </c>
      <c r="D1909" s="9" t="inlineStr">
        <is>
          <t>86347031304237</t>
        </is>
      </c>
      <c r="E1909" s="9" t="inlineStr">
        <is>
          <t>ARRACADAS LOVELOVE SILVER</t>
        </is>
      </c>
      <c r="F1909" s="9" t="inlineStr">
        <is>
          <t>Default Title</t>
        </is>
      </c>
      <c r="G1909" s="9" t="n">
        <v>1</v>
      </c>
      <c r="H1909" s="21" t="n">
        <v>6.5</v>
      </c>
      <c r="I1909" s="21" t="n">
        <v>137.8</v>
      </c>
      <c r="J1909" s="21" t="n">
        <v>413.41</v>
      </c>
      <c r="K1909" s="21" t="n">
        <v>482.31</v>
      </c>
      <c r="L1909" s="21" t="n">
        <v>551.21</v>
      </c>
      <c r="M1909" s="21" t="n">
        <v>536</v>
      </c>
    </row>
    <row r="1910">
      <c r="A1910" s="9" t="inlineStr">
        <is>
          <t>HAIFENG</t>
        </is>
      </c>
      <c r="B1910" s="9" t="inlineStr">
        <is>
          <t>HAIFENG 20/01/2026</t>
        </is>
      </c>
      <c r="C1910" s="9" t="inlineStr">
        <is>
          <t>2026-01-20</t>
        </is>
      </c>
      <c r="D1910" s="9" t="inlineStr">
        <is>
          <t>12314363985133</t>
        </is>
      </c>
      <c r="E1910" s="9" t="inlineStr">
        <is>
          <t>ARRACADAS MM GOLD-BLACK</t>
        </is>
      </c>
      <c r="F1910" s="9" t="inlineStr">
        <is>
          <t>Default Title</t>
        </is>
      </c>
      <c r="G1910" s="9" t="n">
        <v>6</v>
      </c>
      <c r="H1910" s="21" t="n">
        <v>7.99</v>
      </c>
      <c r="I1910" s="21" t="n">
        <v>169.39</v>
      </c>
      <c r="J1910" s="21" t="n">
        <v>508.17</v>
      </c>
      <c r="K1910" s="21" t="n">
        <v>592.87</v>
      </c>
      <c r="L1910" s="21" t="n">
        <v>677.5700000000001</v>
      </c>
      <c r="M1910" s="21" t="n">
        <v>680</v>
      </c>
    </row>
    <row r="1911">
      <c r="A1911" s="9" t="inlineStr">
        <is>
          <t>HAIFENG</t>
        </is>
      </c>
      <c r="B1911" s="9" t="inlineStr">
        <is>
          <t>HAIFENG 20/01/2026</t>
        </is>
      </c>
      <c r="C1911" s="9" t="inlineStr">
        <is>
          <t>2026-01-20</t>
        </is>
      </c>
      <c r="D1911" s="9" t="inlineStr">
        <is>
          <t>12314364086829</t>
        </is>
      </c>
      <c r="E1911" s="9" t="inlineStr">
        <is>
          <t>ARRACADAS MM GOLD-WHITE</t>
        </is>
      </c>
      <c r="F1911" s="9" t="inlineStr">
        <is>
          <t>Default Title</t>
        </is>
      </c>
      <c r="G1911" s="9" t="n">
        <v>6</v>
      </c>
      <c r="H1911" s="21" t="n">
        <v>7.99</v>
      </c>
      <c r="I1911" s="21" t="n">
        <v>169.39</v>
      </c>
      <c r="J1911" s="21" t="n">
        <v>508.17</v>
      </c>
      <c r="K1911" s="21" t="n">
        <v>592.87</v>
      </c>
      <c r="L1911" s="21" t="n">
        <v>677.5700000000001</v>
      </c>
      <c r="M1911" s="21" t="n">
        <v>680</v>
      </c>
    </row>
    <row r="1912">
      <c r="A1912" s="9" t="inlineStr">
        <is>
          <t>HAIFENG</t>
        </is>
      </c>
      <c r="B1912" s="9" t="inlineStr">
        <is>
          <t>HAIFENG 20/01/2026</t>
        </is>
      </c>
      <c r="C1912" s="9" t="inlineStr">
        <is>
          <t>2026-01-20</t>
        </is>
      </c>
      <c r="D1912" s="9" t="inlineStr">
        <is>
          <t>665bb91f1ebf4</t>
        </is>
      </c>
      <c r="E1912" s="9" t="inlineStr">
        <is>
          <t>BRAZALETE CLASH ROSE GOLD</t>
        </is>
      </c>
      <c r="F1912" s="9" t="inlineStr">
        <is>
          <t>16CM</t>
        </is>
      </c>
      <c r="G1912" s="9" t="n">
        <v>1</v>
      </c>
      <c r="H1912" s="21" t="n">
        <v>22</v>
      </c>
      <c r="I1912" s="21" t="n">
        <v>466.41</v>
      </c>
      <c r="J1912" s="21" t="n">
        <v>1399.23</v>
      </c>
      <c r="K1912" s="21" t="n">
        <v>1632.43</v>
      </c>
      <c r="L1912" s="21" t="n">
        <v>1865.64</v>
      </c>
      <c r="M1912" s="21" t="n">
        <v>1840</v>
      </c>
    </row>
    <row r="1913">
      <c r="A1913" s="9" t="inlineStr">
        <is>
          <t>HAIFENG</t>
        </is>
      </c>
      <c r="B1913" s="9" t="inlineStr">
        <is>
          <t>HAIFENG 20/01/2026</t>
        </is>
      </c>
      <c r="C1913" s="9" t="inlineStr">
        <is>
          <t>2026-01-20</t>
        </is>
      </c>
      <c r="D1913" s="9" t="inlineStr">
        <is>
          <t>12314362665261</t>
        </is>
      </c>
      <c r="E1913" s="9" t="inlineStr">
        <is>
          <t>BRAZALETE F GOLD ZIRCONIAS</t>
        </is>
      </c>
      <c r="F1913" s="9" t="inlineStr">
        <is>
          <t>Default Title</t>
        </is>
      </c>
      <c r="G1913" s="9" t="n">
        <v>2</v>
      </c>
      <c r="H1913" s="21" t="n">
        <v>10</v>
      </c>
      <c r="I1913" s="21" t="n">
        <v>212</v>
      </c>
      <c r="J1913" s="21" t="n">
        <v>636.01</v>
      </c>
      <c r="K1913" s="21" t="n">
        <v>742.01</v>
      </c>
      <c r="L1913" s="21" t="n">
        <v>848.02</v>
      </c>
      <c r="M1913" s="21" t="n">
        <v>840</v>
      </c>
    </row>
    <row r="1914">
      <c r="A1914" s="9" t="inlineStr">
        <is>
          <t>HAIFENG</t>
        </is>
      </c>
      <c r="B1914" s="9" t="inlineStr">
        <is>
          <t>HAIFENG 20/01/2026</t>
        </is>
      </c>
      <c r="C1914" s="9" t="inlineStr">
        <is>
          <t>2026-01-20</t>
        </is>
      </c>
      <c r="D1914" s="9" t="inlineStr">
        <is>
          <t>12314363576653</t>
        </is>
      </c>
      <c r="E1914" s="9" t="inlineStr">
        <is>
          <t>BRAZALETE F LOGOS GOLD</t>
        </is>
      </c>
      <c r="F1914" s="9" t="inlineStr">
        <is>
          <t>Default Title</t>
        </is>
      </c>
      <c r="G1914" s="9" t="n">
        <v>3</v>
      </c>
      <c r="H1914" s="21" t="n">
        <v>10</v>
      </c>
      <c r="I1914" s="21" t="n">
        <v>212</v>
      </c>
      <c r="J1914" s="21" t="n">
        <v>636.01</v>
      </c>
      <c r="K1914" s="21" t="n">
        <v>742.01</v>
      </c>
      <c r="L1914" s="21" t="n">
        <v>848.02</v>
      </c>
      <c r="M1914" s="21" t="n">
        <v>840</v>
      </c>
    </row>
    <row r="1915">
      <c r="A1915" s="9" t="inlineStr">
        <is>
          <t>HAIFENG</t>
        </is>
      </c>
      <c r="B1915" s="9" t="inlineStr">
        <is>
          <t>HAIFENG 20/01/2026</t>
        </is>
      </c>
      <c r="C1915" s="9" t="inlineStr">
        <is>
          <t>2026-01-20</t>
        </is>
      </c>
      <c r="D1915" s="9" t="inlineStr">
        <is>
          <t>86347031857357</t>
        </is>
      </c>
      <c r="E1915" s="9" t="inlineStr">
        <is>
          <t>BRAZALETE H UNI GOLD-BLACK</t>
        </is>
      </c>
      <c r="F1915" s="9" t="inlineStr">
        <is>
          <t>Default Title</t>
        </is>
      </c>
      <c r="G1915" s="9" t="n">
        <v>4</v>
      </c>
      <c r="H1915" s="21" t="n">
        <v>15</v>
      </c>
      <c r="I1915" s="21" t="n">
        <v>318.01</v>
      </c>
      <c r="J1915" s="21" t="n">
        <v>954.02</v>
      </c>
      <c r="K1915" s="21" t="n">
        <v>1113.02</v>
      </c>
      <c r="L1915" s="21" t="n">
        <v>1272.03</v>
      </c>
      <c r="M1915" s="21" t="n">
        <v>1236</v>
      </c>
    </row>
    <row r="1916">
      <c r="A1916" s="9" t="inlineStr">
        <is>
          <t>HAIFENG</t>
        </is>
      </c>
      <c r="B1916" s="9" t="inlineStr">
        <is>
          <t>HAIFENG 20/01/2026</t>
        </is>
      </c>
      <c r="C1916" s="9" t="inlineStr">
        <is>
          <t>2026-01-20</t>
        </is>
      </c>
      <c r="D1916" s="9" t="inlineStr">
        <is>
          <t>665bb924de84e</t>
        </is>
      </c>
      <c r="E1916" s="9" t="inlineStr">
        <is>
          <t>BRAZALETE PANTHERE SILVER</t>
        </is>
      </c>
      <c r="F1916" s="9" t="inlineStr">
        <is>
          <t>17cm (REMATE)</t>
        </is>
      </c>
      <c r="G1916" s="9" t="n">
        <v>1</v>
      </c>
      <c r="H1916" s="21" t="n">
        <v>12</v>
      </c>
      <c r="I1916" s="21" t="n">
        <v>254.41</v>
      </c>
      <c r="J1916" s="21" t="n">
        <v>763.22</v>
      </c>
      <c r="K1916" s="21" t="n">
        <v>890.42</v>
      </c>
      <c r="L1916" s="21" t="n">
        <v>1017.62</v>
      </c>
      <c r="M1916" s="21" t="n">
        <v>999</v>
      </c>
    </row>
    <row r="1917">
      <c r="A1917" s="9" t="inlineStr">
        <is>
          <t>HAIFENG</t>
        </is>
      </c>
      <c r="B1917" s="9" t="inlineStr">
        <is>
          <t>HAIFENG 20/01/2026</t>
        </is>
      </c>
      <c r="C1917" s="9" t="inlineStr">
        <is>
          <t>2026-01-20</t>
        </is>
      </c>
      <c r="D1917" s="9" t="inlineStr">
        <is>
          <t>86347033884525</t>
        </is>
      </c>
      <c r="E1917" s="9" t="inlineStr">
        <is>
          <t>BRAZALETE PERETTI GOLD ZIRCONIAS</t>
        </is>
      </c>
      <c r="F1917" s="9" t="inlineStr">
        <is>
          <t>Default Title</t>
        </is>
      </c>
      <c r="G1917" s="9" t="n">
        <v>4</v>
      </c>
      <c r="H1917" s="21" t="n">
        <v>8</v>
      </c>
      <c r="I1917" s="21" t="n">
        <v>169.6</v>
      </c>
      <c r="J1917" s="21" t="n">
        <v>508.81</v>
      </c>
      <c r="K1917" s="21" t="n">
        <v>593.61</v>
      </c>
      <c r="L1917" s="21" t="n">
        <v>678.41</v>
      </c>
      <c r="M1917" s="21" t="n">
        <v>740</v>
      </c>
    </row>
    <row r="1918">
      <c r="A1918" s="9" t="inlineStr">
        <is>
          <t>HAIFENG</t>
        </is>
      </c>
      <c r="B1918" s="9" t="inlineStr">
        <is>
          <t>HAIFENG 20/01/2026</t>
        </is>
      </c>
      <c r="C1918" s="9" t="inlineStr">
        <is>
          <t>2026-01-20</t>
        </is>
      </c>
      <c r="D1918" s="9" t="inlineStr">
        <is>
          <t>86347033456237</t>
        </is>
      </c>
      <c r="E1918" s="9" t="inlineStr">
        <is>
          <t>BRAZALETE TITAN GOLD ZIRCONIAS</t>
        </is>
      </c>
      <c r="F1918" s="9" t="inlineStr">
        <is>
          <t>Default Title</t>
        </is>
      </c>
      <c r="G1918" s="9" t="n">
        <v>4</v>
      </c>
      <c r="H1918" s="21" t="n">
        <v>10</v>
      </c>
      <c r="I1918" s="21" t="n">
        <v>212</v>
      </c>
      <c r="J1918" s="21" t="n">
        <v>636.01</v>
      </c>
      <c r="K1918" s="21" t="n">
        <v>742.01</v>
      </c>
      <c r="L1918" s="21" t="n">
        <v>848.02</v>
      </c>
      <c r="M1918" s="21" t="n">
        <v>824</v>
      </c>
    </row>
    <row r="1919">
      <c r="A1919" s="9" t="inlineStr">
        <is>
          <t>HAIFENG</t>
        </is>
      </c>
      <c r="B1919" s="9" t="inlineStr">
        <is>
          <t>HAIFENG 20/01/2026</t>
        </is>
      </c>
      <c r="C1919" s="9" t="inlineStr">
        <is>
          <t>2026-01-20</t>
        </is>
      </c>
      <c r="D1919" s="9" t="inlineStr">
        <is>
          <t>63e0bdd7637c5</t>
        </is>
      </c>
      <c r="E1919" s="9" t="inlineStr">
        <is>
          <t>COLLAR ARO LOVE GOLD</t>
        </is>
      </c>
      <c r="F1919" s="9" t="inlineStr">
        <is>
          <t>42cm</t>
        </is>
      </c>
      <c r="G1919" s="9" t="n">
        <v>4</v>
      </c>
      <c r="H1919" s="21" t="n">
        <v>4.7</v>
      </c>
      <c r="I1919" s="21" t="n">
        <v>99.64</v>
      </c>
      <c r="J1919" s="21" t="n">
        <v>298.93</v>
      </c>
      <c r="K1919" s="21" t="n">
        <v>348.75</v>
      </c>
      <c r="L1919" s="21" t="n">
        <v>398.57</v>
      </c>
      <c r="M1919" s="21" t="n">
        <v>460</v>
      </c>
    </row>
    <row r="1920">
      <c r="A1920" s="9" t="inlineStr">
        <is>
          <t>HAIFENG</t>
        </is>
      </c>
      <c r="B1920" s="9" t="inlineStr">
        <is>
          <t>HAIFENG 20/01/2026</t>
        </is>
      </c>
      <c r="C1920" s="9" t="inlineStr">
        <is>
          <t>2026-01-20</t>
        </is>
      </c>
      <c r="D1920" s="9" t="inlineStr">
        <is>
          <t>63e0bddac5dbe</t>
        </is>
      </c>
      <c r="E1920" s="9" t="inlineStr">
        <is>
          <t>COLLAR ARO LOVE SILVER</t>
        </is>
      </c>
      <c r="F1920" s="9" t="inlineStr">
        <is>
          <t>42cm</t>
        </is>
      </c>
      <c r="G1920" s="9" t="n">
        <v>3</v>
      </c>
      <c r="H1920" s="21" t="n">
        <v>4.7</v>
      </c>
      <c r="I1920" s="21" t="n">
        <v>99.64</v>
      </c>
      <c r="J1920" s="21" t="n">
        <v>298.93</v>
      </c>
      <c r="K1920" s="21" t="n">
        <v>348.75</v>
      </c>
      <c r="L1920" s="21" t="n">
        <v>398.57</v>
      </c>
      <c r="M1920" s="21" t="n">
        <v>460</v>
      </c>
    </row>
    <row r="1921">
      <c r="A1921" s="9" t="inlineStr">
        <is>
          <t>HAIFENG</t>
        </is>
      </c>
      <c r="B1921" s="9" t="inlineStr">
        <is>
          <t>HAIFENG 20/01/2026</t>
        </is>
      </c>
      <c r="C1921" s="9" t="inlineStr">
        <is>
          <t>2026-01-20</t>
        </is>
      </c>
      <c r="D1921" s="9" t="inlineStr">
        <is>
          <t>6478f28defde2</t>
        </is>
      </c>
      <c r="E1921" s="9" t="inlineStr">
        <is>
          <t>COLLAR BV BICOLOR ROSEGOLD</t>
        </is>
      </c>
      <c r="F1921" s="9" t="inlineStr">
        <is>
          <t>39cm con 8cm de extensi√≥n</t>
        </is>
      </c>
      <c r="G1921" s="9" t="n">
        <v>2</v>
      </c>
      <c r="H1921" s="21" t="n">
        <v>6.5</v>
      </c>
      <c r="I1921" s="21" t="n">
        <v>137.8</v>
      </c>
      <c r="J1921" s="21" t="n">
        <v>413.41</v>
      </c>
      <c r="K1921" s="21" t="n">
        <v>482.31</v>
      </c>
      <c r="L1921" s="21" t="n">
        <v>551.21</v>
      </c>
      <c r="M1921" s="21" t="n">
        <v>536</v>
      </c>
    </row>
    <row r="1922">
      <c r="A1922" s="9" t="inlineStr">
        <is>
          <t>HAIFENG</t>
        </is>
      </c>
      <c r="B1922" s="9" t="inlineStr">
        <is>
          <t>HAIFENG 20/01/2026</t>
        </is>
      </c>
      <c r="C1922" s="9" t="inlineStr">
        <is>
          <t>2026-01-20</t>
        </is>
      </c>
      <c r="D1922" s="9" t="inlineStr">
        <is>
          <t>643ec108c3efe</t>
        </is>
      </c>
      <c r="E1922" s="9" t="inlineStr">
        <is>
          <t>COLLAR BV GOLD</t>
        </is>
      </c>
      <c r="F1922" s="9" t="inlineStr">
        <is>
          <t>Largo de cadena total 40cm  Extensi√≥n 8 cm  Dije 1 cm</t>
        </is>
      </c>
      <c r="G1922" s="9" t="n">
        <v>2</v>
      </c>
      <c r="H1922" s="21" t="n">
        <v>3.99</v>
      </c>
      <c r="I1922" s="21" t="n">
        <v>84.59</v>
      </c>
      <c r="J1922" s="21" t="n">
        <v>253.77</v>
      </c>
      <c r="K1922" s="21" t="n">
        <v>296.06</v>
      </c>
      <c r="L1922" s="21" t="n">
        <v>338.36</v>
      </c>
      <c r="M1922" s="21" t="n">
        <v>499</v>
      </c>
    </row>
    <row r="1923">
      <c r="A1923" s="9" t="inlineStr">
        <is>
          <t>HAIFENG</t>
        </is>
      </c>
      <c r="B1923" s="9" t="inlineStr">
        <is>
          <t>HAIFENG 20/01/2026</t>
        </is>
      </c>
      <c r="C1923" s="9" t="inlineStr">
        <is>
          <t>2026-01-20</t>
        </is>
      </c>
      <c r="D1923" s="9" t="inlineStr">
        <is>
          <t>89695511098893</t>
        </is>
      </c>
      <c r="E1923" s="9" t="inlineStr">
        <is>
          <t>COLLAR BV SILVER CON ZIRCONIA ALREDEDOR</t>
        </is>
      </c>
      <c r="F1923" s="9" t="inlineStr">
        <is>
          <t>Default Title</t>
        </is>
      </c>
      <c r="G1923" s="9" t="n">
        <v>1</v>
      </c>
      <c r="H1923" s="21" t="n">
        <v>7.5</v>
      </c>
      <c r="I1923" s="21" t="n">
        <v>159</v>
      </c>
      <c r="J1923" s="21" t="n">
        <v>477.01</v>
      </c>
      <c r="K1923" s="21" t="n">
        <v>556.51</v>
      </c>
      <c r="L1923" s="21" t="n">
        <v>636.01</v>
      </c>
      <c r="M1923" s="21" t="n">
        <v>659</v>
      </c>
    </row>
    <row r="1924">
      <c r="A1924" s="9" t="inlineStr">
        <is>
          <t>HAIFENG</t>
        </is>
      </c>
      <c r="B1924" s="9" t="inlineStr">
        <is>
          <t>HAIFENG 20/01/2026</t>
        </is>
      </c>
      <c r="C1924" s="9" t="inlineStr">
        <is>
          <t>2026-01-20</t>
        </is>
      </c>
      <c r="D1924" s="9" t="inlineStr">
        <is>
          <t>43728082327916</t>
        </is>
      </c>
      <c r="E1924" s="9" t="inlineStr">
        <is>
          <t>COLLAR C D‚ÄôAMOUR GOLD</t>
        </is>
      </c>
      <c r="F1924" s="9" t="inlineStr">
        <is>
          <t>44cm con 5cm de extensi√≥n</t>
        </is>
      </c>
      <c r="G1924" s="9" t="n">
        <v>2</v>
      </c>
      <c r="H1924" s="21" t="n">
        <v>2.99</v>
      </c>
      <c r="I1924" s="21" t="n">
        <v>63.39</v>
      </c>
      <c r="J1924" s="21" t="n">
        <v>190.17</v>
      </c>
      <c r="K1924" s="21" t="n">
        <v>221.86</v>
      </c>
      <c r="L1924" s="21" t="n">
        <v>253.56</v>
      </c>
      <c r="M1924" s="21" t="n">
        <v>525</v>
      </c>
    </row>
    <row r="1925">
      <c r="A1925" s="9" t="inlineStr">
        <is>
          <t>HAIFENG</t>
        </is>
      </c>
      <c r="B1925" s="9" t="inlineStr">
        <is>
          <t>HAIFENG 20/01/2026</t>
        </is>
      </c>
      <c r="C1925" s="9" t="inlineStr">
        <is>
          <t>2026-01-20</t>
        </is>
      </c>
      <c r="D1925" s="9" t="inlineStr">
        <is>
          <t>43728082412172</t>
        </is>
      </c>
      <c r="E1925" s="9" t="inlineStr">
        <is>
          <t>COLLAR C D‚ÄôAMOUR ROSE GOLD</t>
        </is>
      </c>
      <c r="F1925" s="9" t="inlineStr">
        <is>
          <t>44cm con 5cm de extensi√≥n</t>
        </is>
      </c>
      <c r="G1925" s="9" t="n">
        <v>3</v>
      </c>
      <c r="H1925" s="21" t="n">
        <v>2.99</v>
      </c>
      <c r="I1925" s="21" t="n">
        <v>63.39</v>
      </c>
      <c r="J1925" s="21" t="n">
        <v>190.17</v>
      </c>
      <c r="K1925" s="21" t="n">
        <v>221.86</v>
      </c>
      <c r="L1925" s="21" t="n">
        <v>253.56</v>
      </c>
      <c r="M1925" s="21" t="n">
        <v>525</v>
      </c>
    </row>
    <row r="1926">
      <c r="A1926" s="9" t="inlineStr">
        <is>
          <t>HAIFENG</t>
        </is>
      </c>
      <c r="B1926" s="9" t="inlineStr">
        <is>
          <t>HAIFENG 20/01/2026</t>
        </is>
      </c>
      <c r="C1926" s="9" t="inlineStr">
        <is>
          <t>2026-01-20</t>
        </is>
      </c>
      <c r="D1926" s="9" t="inlineStr">
        <is>
          <t>56481489561612</t>
        </is>
      </c>
      <c r="E1926" s="9" t="inlineStr">
        <is>
          <t>COLLAR DOBLE PLACA ROSEGOLD</t>
        </is>
      </c>
      <c r="F1926" s="9" t="inlineStr">
        <is>
          <t>39cm con 5cm de extensi√≥n</t>
        </is>
      </c>
      <c r="G1926" s="9" t="n">
        <v>3</v>
      </c>
      <c r="H1926" s="21" t="n">
        <v>5</v>
      </c>
      <c r="I1926" s="21" t="n">
        <v>106</v>
      </c>
      <c r="J1926" s="21" t="n">
        <v>318.01</v>
      </c>
      <c r="K1926" s="21" t="n">
        <v>371.01</v>
      </c>
      <c r="L1926" s="21" t="n">
        <v>424.01</v>
      </c>
      <c r="M1926" s="21" t="n">
        <v>550</v>
      </c>
    </row>
    <row r="1927">
      <c r="A1927" s="9" t="inlineStr">
        <is>
          <t>HAIFENG</t>
        </is>
      </c>
      <c r="B1927" s="9" t="inlineStr">
        <is>
          <t>HAIFENG 20/01/2026</t>
        </is>
      </c>
      <c r="C1927" s="9" t="inlineStr">
        <is>
          <t>2026-01-20</t>
        </is>
      </c>
      <c r="D1927" s="9" t="inlineStr">
        <is>
          <t>12314361740365</t>
        </is>
      </c>
      <c r="E1927" s="9" t="inlineStr">
        <is>
          <t>COLLAR F GOLD ZIRCONIAS</t>
        </is>
      </c>
      <c r="F1927" s="9" t="inlineStr">
        <is>
          <t>Default Title</t>
        </is>
      </c>
      <c r="G1927" s="9" t="n">
        <v>4</v>
      </c>
      <c r="H1927" s="21" t="n">
        <v>8</v>
      </c>
      <c r="I1927" s="21" t="n">
        <v>169.6</v>
      </c>
      <c r="J1927" s="21" t="n">
        <v>508.81</v>
      </c>
      <c r="K1927" s="21" t="n">
        <v>593.61</v>
      </c>
      <c r="L1927" s="21" t="n">
        <v>678.41</v>
      </c>
      <c r="M1927" s="21" t="n">
        <v>660</v>
      </c>
    </row>
    <row r="1928">
      <c r="A1928" s="9" t="inlineStr">
        <is>
          <t>HAIFENG</t>
        </is>
      </c>
      <c r="B1928" s="9" t="inlineStr">
        <is>
          <t>HAIFENG 20/01/2026</t>
        </is>
      </c>
      <c r="C1928" s="9" t="inlineStr">
        <is>
          <t>2026-01-20</t>
        </is>
      </c>
      <c r="D1928" s="9" t="inlineStr">
        <is>
          <t>37491258394380</t>
        </is>
      </c>
      <c r="E1928" s="9" t="inlineStr">
        <is>
          <t>COLLAR FLOWER VF</t>
        </is>
      </c>
      <c r="F1928" s="9" t="inlineStr">
        <is>
          <t>45cm</t>
        </is>
      </c>
      <c r="G1928" s="9" t="n">
        <v>4</v>
      </c>
      <c r="H1928" s="21" t="n">
        <v>5</v>
      </c>
      <c r="I1928" s="21" t="n">
        <v>106</v>
      </c>
      <c r="J1928" s="21" t="n">
        <v>318.01</v>
      </c>
      <c r="K1928" s="21" t="n">
        <v>371.01</v>
      </c>
      <c r="L1928" s="21" t="n">
        <v>424.01</v>
      </c>
      <c r="M1928" s="21" t="n">
        <v>432.6</v>
      </c>
    </row>
    <row r="1929">
      <c r="A1929" s="9" t="inlineStr">
        <is>
          <t>HAIFENG</t>
        </is>
      </c>
      <c r="B1929" s="9" t="inlineStr">
        <is>
          <t>HAIFENG 20/01/2026</t>
        </is>
      </c>
      <c r="C1929" s="9" t="inlineStr">
        <is>
          <t>2026-01-20</t>
        </is>
      </c>
      <c r="D1929" s="9" t="inlineStr">
        <is>
          <t>43728096383020</t>
        </is>
      </c>
      <c r="E1929" s="9" t="inlineStr">
        <is>
          <t>COLLAR FR GOLD</t>
        </is>
      </c>
      <c r="F1929" s="9" t="inlineStr">
        <is>
          <t>Default Title</t>
        </is>
      </c>
      <c r="G1929" s="9" t="n">
        <v>15</v>
      </c>
      <c r="H1929" s="21" t="n">
        <v>6.9</v>
      </c>
      <c r="I1929" s="21" t="n">
        <v>146.28</v>
      </c>
      <c r="J1929" s="21" t="n">
        <v>438.85</v>
      </c>
      <c r="K1929" s="21" t="n">
        <v>511.99</v>
      </c>
      <c r="L1929" s="21" t="n">
        <v>585.13</v>
      </c>
      <c r="M1929" s="21" t="n">
        <v>599</v>
      </c>
    </row>
    <row r="1930">
      <c r="A1930" s="9" t="inlineStr">
        <is>
          <t>HAIFENG</t>
        </is>
      </c>
      <c r="B1930" s="9" t="inlineStr">
        <is>
          <t>HAIFENG 20/01/2026</t>
        </is>
      </c>
      <c r="C1930" s="9" t="inlineStr">
        <is>
          <t>2026-01-20</t>
        </is>
      </c>
      <c r="D1930" s="9" t="inlineStr">
        <is>
          <t>31453671066413</t>
        </is>
      </c>
      <c r="E1930" s="9" t="inlineStr">
        <is>
          <t>COLLAR FR GOLD CON PERLA</t>
        </is>
      </c>
      <c r="F1930" s="9" t="inlineStr">
        <is>
          <t>PRODUCTO NUEVO</t>
        </is>
      </c>
      <c r="G1930" s="9" t="n">
        <v>15</v>
      </c>
      <c r="H1930" s="21" t="n">
        <v>6.9</v>
      </c>
      <c r="I1930" s="21" t="n">
        <v>146.28</v>
      </c>
      <c r="J1930" s="21" t="n">
        <v>438.85</v>
      </c>
      <c r="K1930" s="21" t="n">
        <v>511.99</v>
      </c>
      <c r="L1930" s="21" t="n">
        <v>585.13</v>
      </c>
      <c r="M1930" s="21" t="n">
        <v>599</v>
      </c>
    </row>
    <row r="1931">
      <c r="A1931" s="9" t="inlineStr">
        <is>
          <t>HAIFENG</t>
        </is>
      </c>
      <c r="B1931" s="9" t="inlineStr">
        <is>
          <t>HAIFENG 20/01/2026</t>
        </is>
      </c>
      <c r="C1931" s="9" t="inlineStr">
        <is>
          <t>2026-01-20</t>
        </is>
      </c>
      <c r="D1931" s="9" t="inlineStr">
        <is>
          <t>43728096469580</t>
        </is>
      </c>
      <c r="E1931" s="9" t="inlineStr">
        <is>
          <t>COLLAR FR SILVER</t>
        </is>
      </c>
      <c r="F1931" s="9" t="inlineStr">
        <is>
          <t>46cm de largo con 5 cm de Extension</t>
        </is>
      </c>
      <c r="G1931" s="9" t="n">
        <v>15</v>
      </c>
      <c r="H1931" s="21" t="n">
        <v>6.9</v>
      </c>
      <c r="I1931" s="21" t="n">
        <v>146.28</v>
      </c>
      <c r="J1931" s="21" t="n">
        <v>438.85</v>
      </c>
      <c r="K1931" s="21" t="n">
        <v>511.99</v>
      </c>
      <c r="L1931" s="21" t="n">
        <v>585.13</v>
      </c>
      <c r="M1931" s="21" t="n">
        <v>580</v>
      </c>
    </row>
    <row r="1932">
      <c r="A1932" s="9" t="inlineStr">
        <is>
          <t>HAIFENG</t>
        </is>
      </c>
      <c r="B1932" s="9" t="inlineStr">
        <is>
          <t>HAIFENG 20/01/2026</t>
        </is>
      </c>
      <c r="C1932" s="9" t="inlineStr">
        <is>
          <t>2026-01-20</t>
        </is>
      </c>
      <c r="D1932" s="9" t="inlineStr">
        <is>
          <t>61453671212141</t>
        </is>
      </c>
      <c r="E1932" s="9" t="inlineStr">
        <is>
          <t>COLLAR FR SILVER PEARL</t>
        </is>
      </c>
      <c r="F1932" s="9" t="inlineStr"/>
      <c r="G1932" s="9" t="n">
        <v>5</v>
      </c>
      <c r="H1932" s="21" t="n">
        <v>6.9</v>
      </c>
      <c r="I1932" s="21" t="n">
        <v>146.28</v>
      </c>
      <c r="J1932" s="21" t="n">
        <v>438.85</v>
      </c>
      <c r="K1932" s="21" t="n">
        <v>511.99</v>
      </c>
      <c r="L1932" s="21" t="n">
        <v>585.13</v>
      </c>
      <c r="M1932" s="21" t="n">
        <v>580</v>
      </c>
    </row>
    <row r="1933">
      <c r="A1933" s="9" t="inlineStr">
        <is>
          <t>HAIFENG</t>
        </is>
      </c>
      <c r="B1933" s="9" t="inlineStr">
        <is>
          <t>HAIFENG 20/01/2026</t>
        </is>
      </c>
      <c r="C1933" s="9" t="inlineStr">
        <is>
          <t>2026-01-20</t>
        </is>
      </c>
      <c r="D1933" s="9" t="inlineStr">
        <is>
          <t>66177c3e7206b</t>
        </is>
      </c>
      <c r="E1933" s="9" t="inlineStr">
        <is>
          <t>COLLAR LOVE-LOVE GOLD</t>
        </is>
      </c>
      <c r="F1933" s="9" t="inlineStr">
        <is>
          <t>46cm con 5cm de extension</t>
        </is>
      </c>
      <c r="G1933" s="9" t="n">
        <v>4</v>
      </c>
      <c r="H1933" s="21" t="n">
        <v>3.8</v>
      </c>
      <c r="I1933" s="21" t="n">
        <v>80.56</v>
      </c>
      <c r="J1933" s="21" t="n">
        <v>241.68</v>
      </c>
      <c r="K1933" s="21" t="n">
        <v>281.97</v>
      </c>
      <c r="L1933" s="21" t="n">
        <v>322.25</v>
      </c>
      <c r="M1933" s="21" t="n">
        <v>440</v>
      </c>
    </row>
    <row r="1934">
      <c r="A1934" s="9" t="inlineStr">
        <is>
          <t>HAIFENG</t>
        </is>
      </c>
      <c r="B1934" s="9" t="inlineStr">
        <is>
          <t>HAIFENG 20/01/2026</t>
        </is>
      </c>
      <c r="C1934" s="9" t="inlineStr">
        <is>
          <t>2026-01-20</t>
        </is>
      </c>
      <c r="D1934" s="9" t="inlineStr">
        <is>
          <t>63e0bef7903cb</t>
        </is>
      </c>
      <c r="E1934" s="9" t="inlineStr">
        <is>
          <t>COLLAR LOVE-LOVE SILVER</t>
        </is>
      </c>
      <c r="F1934" s="9" t="inlineStr">
        <is>
          <t>46cm con extensi√≥n de 5cm</t>
        </is>
      </c>
      <c r="G1934" s="9" t="n">
        <v>2</v>
      </c>
      <c r="H1934" s="21" t="n">
        <v>3.8</v>
      </c>
      <c r="I1934" s="21" t="n">
        <v>80.56</v>
      </c>
      <c r="J1934" s="21" t="n">
        <v>241.68</v>
      </c>
      <c r="K1934" s="21" t="n">
        <v>281.97</v>
      </c>
      <c r="L1934" s="21" t="n">
        <v>322.25</v>
      </c>
      <c r="M1934" s="21" t="n">
        <v>440</v>
      </c>
    </row>
    <row r="1935">
      <c r="A1935" s="9" t="inlineStr">
        <is>
          <t>HAIFENG</t>
        </is>
      </c>
      <c r="B1935" s="9" t="inlineStr">
        <is>
          <t>HAIFENG 20/01/2026</t>
        </is>
      </c>
      <c r="C1935" s="9" t="inlineStr">
        <is>
          <t>2026-01-20</t>
        </is>
      </c>
      <c r="D1935" s="9" t="inlineStr">
        <is>
          <t>37491254947980</t>
        </is>
      </c>
      <c r="E1935" s="9" t="inlineStr">
        <is>
          <t>COLLAR MARIQUITA VF</t>
        </is>
      </c>
      <c r="F1935" s="9" t="inlineStr">
        <is>
          <t>47cm</t>
        </is>
      </c>
      <c r="G1935" s="9" t="n">
        <v>5</v>
      </c>
      <c r="H1935" s="21" t="n">
        <v>7</v>
      </c>
      <c r="I1935" s="21" t="n">
        <v>148.4</v>
      </c>
      <c r="J1935" s="21" t="n">
        <v>445.21</v>
      </c>
      <c r="K1935" s="21" t="n">
        <v>519.41</v>
      </c>
      <c r="L1935" s="21" t="n">
        <v>593.61</v>
      </c>
      <c r="M1935" s="21" t="n">
        <v>580</v>
      </c>
    </row>
    <row r="1936">
      <c r="A1936" s="9" t="inlineStr">
        <is>
          <t>HAIFENG</t>
        </is>
      </c>
      <c r="B1936" s="9" t="inlineStr">
        <is>
          <t>HAIFENG 20/01/2026</t>
        </is>
      </c>
      <c r="C1936" s="9" t="inlineStr">
        <is>
          <t>2026-01-20</t>
        </is>
      </c>
      <c r="D1936" s="9" t="inlineStr">
        <is>
          <t>50869451078413</t>
        </is>
      </c>
      <c r="E1936" s="9" t="inlineStr">
        <is>
          <t>COLLAR MSS ROSEGOLD CON ZIRCONIA</t>
        </is>
      </c>
      <c r="F1936" s="9" t="inlineStr">
        <is>
          <t>Default Title</t>
        </is>
      </c>
      <c r="G1936" s="9" t="n">
        <v>3</v>
      </c>
      <c r="H1936" s="21" t="n">
        <v>8</v>
      </c>
      <c r="I1936" s="21" t="n">
        <v>169.6</v>
      </c>
      <c r="J1936" s="21" t="n">
        <v>508.81</v>
      </c>
      <c r="K1936" s="21" t="n">
        <v>593.61</v>
      </c>
      <c r="L1936" s="21" t="n">
        <v>678.41</v>
      </c>
      <c r="M1936" s="21" t="n">
        <v>660</v>
      </c>
    </row>
    <row r="1937">
      <c r="A1937" s="9" t="inlineStr">
        <is>
          <t>HAIFENG</t>
        </is>
      </c>
      <c r="B1937" s="9" t="inlineStr">
        <is>
          <t>HAIFENG 20/01/2026</t>
        </is>
      </c>
      <c r="C1937" s="9" t="inlineStr">
        <is>
          <t>2026-01-20</t>
        </is>
      </c>
      <c r="D1937" s="9" t="inlineStr">
        <is>
          <t>64085741986765</t>
        </is>
      </c>
      <c r="E1937" s="9" t="inlineStr">
        <is>
          <t>COLLAR PANTHERE GOLD C</t>
        </is>
      </c>
      <c r="F1937" s="9" t="inlineStr">
        <is>
          <t>Default Title</t>
        </is>
      </c>
      <c r="G1937" s="9" t="n">
        <v>2</v>
      </c>
      <c r="H1937" s="21" t="n">
        <v>7</v>
      </c>
      <c r="I1937" s="21" t="n">
        <v>148.4</v>
      </c>
      <c r="J1937" s="21" t="n">
        <v>445.21</v>
      </c>
      <c r="K1937" s="21" t="n">
        <v>519.41</v>
      </c>
      <c r="L1937" s="21" t="n">
        <v>593.61</v>
      </c>
      <c r="M1937" s="21" t="n">
        <v>577</v>
      </c>
    </row>
    <row r="1938">
      <c r="A1938" s="9" t="inlineStr">
        <is>
          <t>HAIFENG</t>
        </is>
      </c>
      <c r="B1938" s="9" t="inlineStr">
        <is>
          <t>HAIFENG 20/01/2026</t>
        </is>
      </c>
      <c r="C1938" s="9" t="inlineStr">
        <is>
          <t>2026-01-20</t>
        </is>
      </c>
      <c r="D1938" s="9" t="inlineStr">
        <is>
          <t>86347033994701</t>
        </is>
      </c>
      <c r="E1938" s="9" t="inlineStr">
        <is>
          <t>COLLAR SIXTEEN STONE SCHLUM</t>
        </is>
      </c>
      <c r="F1938" s="9" t="inlineStr">
        <is>
          <t>Default Title</t>
        </is>
      </c>
      <c r="G1938" s="9" t="n">
        <v>4</v>
      </c>
      <c r="H1938" s="21" t="n">
        <v>6</v>
      </c>
      <c r="I1938" s="21" t="n">
        <v>127.2</v>
      </c>
      <c r="J1938" s="21" t="n">
        <v>381.61</v>
      </c>
      <c r="K1938" s="21" t="n">
        <v>445.21</v>
      </c>
      <c r="L1938" s="21" t="n">
        <v>508.81</v>
      </c>
      <c r="M1938" s="21" t="n">
        <v>495</v>
      </c>
    </row>
    <row r="1939">
      <c r="A1939" s="9" t="inlineStr">
        <is>
          <t>HAIFENG</t>
        </is>
      </c>
      <c r="B1939" s="9" t="inlineStr">
        <is>
          <t>HAIFENG 20/01/2026</t>
        </is>
      </c>
      <c r="C1939" s="9" t="inlineStr">
        <is>
          <t>2026-01-20</t>
        </is>
      </c>
      <c r="D1939" s="9" t="inlineStr">
        <is>
          <t>63ebdb90c5a7d</t>
        </is>
      </c>
      <c r="E1939" s="9" t="inlineStr">
        <is>
          <t>COLLAR TREBOL BLACK-ROSE GOLD</t>
        </is>
      </c>
      <c r="F1939" s="9" t="inlineStr">
        <is>
          <t>High Quality 45cm</t>
        </is>
      </c>
      <c r="G1939" s="9" t="n">
        <v>1</v>
      </c>
      <c r="H1939" s="21" t="n">
        <v>4</v>
      </c>
      <c r="I1939" s="21" t="n">
        <v>84.8</v>
      </c>
      <c r="J1939" s="21" t="n">
        <v>254.41</v>
      </c>
      <c r="K1939" s="21" t="n">
        <v>296.81</v>
      </c>
      <c r="L1939" s="21" t="n">
        <v>339.21</v>
      </c>
      <c r="M1939" s="21" t="n">
        <v>584</v>
      </c>
    </row>
    <row r="1940">
      <c r="A1940" s="9" t="inlineStr">
        <is>
          <t>HAIFENG</t>
        </is>
      </c>
      <c r="B1940" s="9" t="inlineStr">
        <is>
          <t>HAIFENG 20/01/2026</t>
        </is>
      </c>
      <c r="C1940" s="9" t="inlineStr">
        <is>
          <t>2026-01-20</t>
        </is>
      </c>
      <c r="D1940" s="9" t="inlineStr">
        <is>
          <t>43728133191212</t>
        </is>
      </c>
      <c r="E1940" s="9" t="inlineStr">
        <is>
          <t>COLLAR TREBOL SILVER</t>
        </is>
      </c>
      <c r="F1940" s="9" t="inlineStr">
        <is>
          <t>plata esterlina 925</t>
        </is>
      </c>
      <c r="G1940" s="9" t="n">
        <v>4</v>
      </c>
      <c r="H1940" s="21" t="n">
        <v>4</v>
      </c>
      <c r="I1940" s="21" t="n">
        <v>84.8</v>
      </c>
      <c r="J1940" s="21" t="n">
        <v>254.41</v>
      </c>
      <c r="K1940" s="21" t="n">
        <v>296.81</v>
      </c>
      <c r="L1940" s="21" t="n">
        <v>339.21</v>
      </c>
      <c r="M1940" s="21" t="n">
        <v>899</v>
      </c>
    </row>
    <row r="1941">
      <c r="A1941" s="9" t="inlineStr">
        <is>
          <t>HAIFENG</t>
        </is>
      </c>
      <c r="B1941" s="9" t="inlineStr">
        <is>
          <t>HAIFENG 20/01/2026</t>
        </is>
      </c>
      <c r="C1941" s="9" t="inlineStr">
        <is>
          <t>2026-01-20</t>
        </is>
      </c>
      <c r="D1941" s="9" t="inlineStr">
        <is>
          <t>66177b50c9a71</t>
        </is>
      </c>
      <c r="E1941" s="9" t="inlineStr">
        <is>
          <t>COLLAR TRÉBOL BLACK-GOLD</t>
        </is>
      </c>
      <c r="F1941" s="9" t="inlineStr">
        <is>
          <t>HIGH QUALITY (45CM)</t>
        </is>
      </c>
      <c r="G1941" s="9" t="n">
        <v>2</v>
      </c>
      <c r="H1941" s="21" t="n">
        <v>4</v>
      </c>
      <c r="I1941" s="21" t="n">
        <v>84.8</v>
      </c>
      <c r="J1941" s="21" t="n">
        <v>254.41</v>
      </c>
      <c r="K1941" s="21" t="n">
        <v>296.81</v>
      </c>
      <c r="L1941" s="21" t="n">
        <v>339.21</v>
      </c>
      <c r="M1941" s="21" t="n">
        <v>550</v>
      </c>
    </row>
    <row r="1942">
      <c r="A1942" s="9" t="inlineStr">
        <is>
          <t>HAIFENG</t>
        </is>
      </c>
      <c r="B1942" s="9" t="inlineStr">
        <is>
          <t>HAIFENG 20/01/2026</t>
        </is>
      </c>
      <c r="C1942" s="9" t="inlineStr">
        <is>
          <t>2026-01-20</t>
        </is>
      </c>
      <c r="D1942" s="9" t="inlineStr">
        <is>
          <t>648cc5bf129eb</t>
        </is>
      </c>
      <c r="E1942" s="9" t="inlineStr">
        <is>
          <t>COLLAR TRÉBOL GOLD</t>
        </is>
      </c>
      <c r="F1942" s="9" t="inlineStr">
        <is>
          <t>41cm con extension de 3cm</t>
        </is>
      </c>
      <c r="G1942" s="9" t="n">
        <v>3</v>
      </c>
      <c r="H1942" s="21" t="n">
        <v>4</v>
      </c>
      <c r="I1942" s="21" t="n">
        <v>84.8</v>
      </c>
      <c r="J1942" s="21" t="n">
        <v>254.41</v>
      </c>
      <c r="K1942" s="21" t="n">
        <v>296.81</v>
      </c>
      <c r="L1942" s="21" t="n">
        <v>339.21</v>
      </c>
      <c r="M1942" s="21" t="n">
        <v>550</v>
      </c>
    </row>
    <row r="1943">
      <c r="A1943" s="9" t="inlineStr">
        <is>
          <t>HAIFENG</t>
        </is>
      </c>
      <c r="B1943" s="9" t="inlineStr">
        <is>
          <t>HAIFENG 20/01/2026</t>
        </is>
      </c>
      <c r="C1943" s="9" t="inlineStr">
        <is>
          <t>2026-01-20</t>
        </is>
      </c>
      <c r="D1943" s="9" t="inlineStr">
        <is>
          <t>648cc38968e97</t>
        </is>
      </c>
      <c r="E1943" s="9" t="inlineStr">
        <is>
          <t>LENTES DE SOL PR BLANCO</t>
        </is>
      </c>
      <c r="F1943" s="9" t="inlineStr">
        <is>
          <t>Regular</t>
        </is>
      </c>
      <c r="G1943" s="9" t="n">
        <v>4</v>
      </c>
      <c r="H1943" s="21" t="n">
        <v>28</v>
      </c>
      <c r="I1943" s="21" t="n">
        <v>593.61</v>
      </c>
      <c r="J1943" s="21" t="n">
        <v>1780.84</v>
      </c>
      <c r="K1943" s="21" t="n">
        <v>2077.64</v>
      </c>
      <c r="L1943" s="21" t="n">
        <v>2374.45</v>
      </c>
      <c r="M1943" s="21" t="n">
        <v>2309</v>
      </c>
    </row>
    <row r="1944">
      <c r="A1944" s="9" t="inlineStr">
        <is>
          <t>HAIFENG</t>
        </is>
      </c>
      <c r="B1944" s="9" t="inlineStr">
        <is>
          <t>HAIFENG 20/01/2026</t>
        </is>
      </c>
      <c r="C1944" s="9" t="inlineStr">
        <is>
          <t>2026-01-20</t>
        </is>
      </c>
      <c r="D1944" s="9" t="inlineStr">
        <is>
          <t>56481472890252</t>
        </is>
      </c>
      <c r="E1944" s="9" t="inlineStr">
        <is>
          <t>PULSERA ARO LOVE GOLD</t>
        </is>
      </c>
      <c r="F1944" s="9" t="inlineStr">
        <is>
          <t>18cm con extensi√≥n de 3.5cm</t>
        </is>
      </c>
      <c r="G1944" s="9" t="n">
        <v>3</v>
      </c>
      <c r="H1944" s="21" t="n">
        <v>5</v>
      </c>
      <c r="I1944" s="21" t="n">
        <v>106</v>
      </c>
      <c r="J1944" s="21" t="n">
        <v>318.01</v>
      </c>
      <c r="K1944" s="21" t="n">
        <v>371.01</v>
      </c>
      <c r="L1944" s="21" t="n">
        <v>424.01</v>
      </c>
      <c r="M1944" s="21" t="n">
        <v>420</v>
      </c>
    </row>
    <row r="1945">
      <c r="A1945" s="9" t="inlineStr">
        <is>
          <t>HAIFENG</t>
        </is>
      </c>
      <c r="B1945" s="9" t="inlineStr">
        <is>
          <t>HAIFENG 20/01/2026</t>
        </is>
      </c>
      <c r="C1945" s="9" t="inlineStr">
        <is>
          <t>2026-01-20</t>
        </is>
      </c>
      <c r="D1945" s="9" t="inlineStr">
        <is>
          <t>22731921054541</t>
        </is>
      </c>
      <c r="E1945" s="9" t="inlineStr">
        <is>
          <t>PULSERA BV ROSEGOLD BLACK CON ZIRCONIA</t>
        </is>
      </c>
      <c r="F1945" s="9" t="inlineStr">
        <is>
          <t>Default Title</t>
        </is>
      </c>
      <c r="G1945" s="9" t="n">
        <v>1</v>
      </c>
      <c r="H1945" s="21" t="n">
        <v>8</v>
      </c>
      <c r="I1945" s="21" t="n">
        <v>169.6</v>
      </c>
      <c r="J1945" s="21" t="n">
        <v>508.81</v>
      </c>
      <c r="K1945" s="21" t="n">
        <v>593.61</v>
      </c>
      <c r="L1945" s="21" t="n">
        <v>678.41</v>
      </c>
      <c r="M1945" s="21" t="n">
        <v>670</v>
      </c>
    </row>
    <row r="1946">
      <c r="A1946" s="9" t="inlineStr">
        <is>
          <t>HAIFENG</t>
        </is>
      </c>
      <c r="B1946" s="9" t="inlineStr">
        <is>
          <t>HAIFENG 20/01/2026</t>
        </is>
      </c>
      <c r="C1946" s="9" t="inlineStr">
        <is>
          <t>2026-01-20</t>
        </is>
      </c>
      <c r="D1946" s="9" t="inlineStr">
        <is>
          <t>91078753456205</t>
        </is>
      </c>
      <c r="E1946" s="9" t="inlineStr">
        <is>
          <t>PULSERA BV.ZERO ROSEGOLD</t>
        </is>
      </c>
      <c r="F1946" s="9" t="inlineStr">
        <is>
          <t>Default Title</t>
        </is>
      </c>
      <c r="G1946" s="9" t="n">
        <v>3</v>
      </c>
      <c r="H1946" s="21" t="n">
        <v>10</v>
      </c>
      <c r="I1946" s="21" t="n">
        <v>212</v>
      </c>
      <c r="J1946" s="21" t="n">
        <v>636.01</v>
      </c>
      <c r="K1946" s="21" t="n">
        <v>742.01</v>
      </c>
      <c r="L1946" s="21" t="n">
        <v>848.02</v>
      </c>
      <c r="M1946" s="21" t="n">
        <v>850</v>
      </c>
    </row>
    <row r="1947">
      <c r="A1947" s="9" t="inlineStr">
        <is>
          <t>HAIFENG</t>
        </is>
      </c>
      <c r="B1947" s="9" t="inlineStr">
        <is>
          <t>HAIFENG 20/01/2026</t>
        </is>
      </c>
      <c r="C1947" s="9" t="inlineStr">
        <is>
          <t>2026-01-20</t>
        </is>
      </c>
      <c r="D1947" s="9" t="inlineStr">
        <is>
          <t>66075802428173</t>
        </is>
      </c>
      <c r="E1947" s="9" t="inlineStr">
        <is>
          <t>PULSERA CHAIN GOLD CD</t>
        </is>
      </c>
      <c r="F1947" s="9" t="inlineStr">
        <is>
          <t>Default Title</t>
        </is>
      </c>
      <c r="G1947" s="9" t="n">
        <v>4</v>
      </c>
      <c r="H1947" s="21" t="n">
        <v>7.9</v>
      </c>
      <c r="I1947" s="21" t="n">
        <v>167.48</v>
      </c>
      <c r="J1947" s="21" t="n">
        <v>502.45</v>
      </c>
      <c r="K1947" s="21" t="n">
        <v>586.1900000000001</v>
      </c>
      <c r="L1947" s="21" t="n">
        <v>669.9299999999999</v>
      </c>
      <c r="M1947" s="21" t="n">
        <v>651</v>
      </c>
    </row>
    <row r="1948">
      <c r="A1948" s="9" t="inlineStr">
        <is>
          <t>HAIFENG</t>
        </is>
      </c>
      <c r="B1948" s="9" t="inlineStr">
        <is>
          <t>HAIFENG 20/01/2026</t>
        </is>
      </c>
      <c r="C1948" s="9" t="inlineStr">
        <is>
          <t>2026-01-20</t>
        </is>
      </c>
      <c r="D1948" s="9" t="inlineStr">
        <is>
          <t>63e0c23442e74</t>
        </is>
      </c>
      <c r="E1948" s="9" t="inlineStr">
        <is>
          <t>PULSERA CLIC H GOLD BLACK</t>
        </is>
      </c>
      <c r="F1948" s="9" t="inlineStr">
        <is>
          <t>16.8 cm</t>
        </is>
      </c>
      <c r="G1948" s="9" t="n">
        <v>2</v>
      </c>
      <c r="H1948" s="21" t="n">
        <v>5</v>
      </c>
      <c r="I1948" s="21" t="n">
        <v>106</v>
      </c>
      <c r="J1948" s="21" t="n">
        <v>318.01</v>
      </c>
      <c r="K1948" s="21" t="n">
        <v>371.01</v>
      </c>
      <c r="L1948" s="21" t="n">
        <v>424.01</v>
      </c>
      <c r="M1948" s="21" t="n">
        <v>569</v>
      </c>
    </row>
    <row r="1949">
      <c r="A1949" s="9" t="inlineStr">
        <is>
          <t>HAIFENG</t>
        </is>
      </c>
      <c r="B1949" s="9" t="inlineStr">
        <is>
          <t>HAIFENG 20/01/2026</t>
        </is>
      </c>
      <c r="C1949" s="9" t="inlineStr">
        <is>
          <t>2026-01-20</t>
        </is>
      </c>
      <c r="D1949" s="9" t="inlineStr">
        <is>
          <t>63e0c23142764</t>
        </is>
      </c>
      <c r="E1949" s="9" t="inlineStr">
        <is>
          <t>PULSERA CLIC H GOLD PINK</t>
        </is>
      </c>
      <c r="F1949" s="9" t="inlineStr">
        <is>
          <t>16.8 cm</t>
        </is>
      </c>
      <c r="G1949" s="9" t="n">
        <v>3</v>
      </c>
      <c r="H1949" s="21" t="n">
        <v>5</v>
      </c>
      <c r="I1949" s="21" t="n">
        <v>106</v>
      </c>
      <c r="J1949" s="21" t="n">
        <v>318.01</v>
      </c>
      <c r="K1949" s="21" t="n">
        <v>371.01</v>
      </c>
      <c r="L1949" s="21" t="n">
        <v>424.01</v>
      </c>
      <c r="M1949" s="21" t="n">
        <v>550</v>
      </c>
    </row>
    <row r="1950">
      <c r="A1950" s="9" t="inlineStr">
        <is>
          <t>HAIFENG</t>
        </is>
      </c>
      <c r="B1950" s="9" t="inlineStr">
        <is>
          <t>HAIFENG 20/01/2026</t>
        </is>
      </c>
      <c r="C1950" s="9" t="inlineStr">
        <is>
          <t>2026-01-20</t>
        </is>
      </c>
      <c r="D1950" s="9" t="inlineStr">
        <is>
          <t>63ebddddb879a</t>
        </is>
      </c>
      <c r="E1950" s="9" t="inlineStr">
        <is>
          <t>PULSERA CLIC H GOLD WHITE</t>
        </is>
      </c>
      <c r="F1950" s="9" t="inlineStr">
        <is>
          <t>16.8 cm</t>
        </is>
      </c>
      <c r="G1950" s="9" t="n">
        <v>5</v>
      </c>
      <c r="H1950" s="21" t="n">
        <v>5</v>
      </c>
      <c r="I1950" s="21" t="n">
        <v>106</v>
      </c>
      <c r="J1950" s="21" t="n">
        <v>318.01</v>
      </c>
      <c r="K1950" s="21" t="n">
        <v>371.01</v>
      </c>
      <c r="L1950" s="21" t="n">
        <v>424.01</v>
      </c>
      <c r="M1950" s="21" t="n">
        <v>569</v>
      </c>
    </row>
    <row r="1951">
      <c r="A1951" s="9" t="inlineStr">
        <is>
          <t>HAIFENG</t>
        </is>
      </c>
      <c r="B1951" s="9" t="inlineStr">
        <is>
          <t>HAIFENG 20/01/2026</t>
        </is>
      </c>
      <c r="C1951" s="9" t="inlineStr">
        <is>
          <t>2026-01-20</t>
        </is>
      </c>
      <c r="D1951" s="9" t="inlineStr">
        <is>
          <t>668eee34bc314</t>
        </is>
      </c>
      <c r="E1951" s="9" t="inlineStr">
        <is>
          <t>PULSERA DE CUENTAS CON INSIGNIA DE CORAZÓN BLUE</t>
        </is>
      </c>
      <c r="F1951" s="9" t="inlineStr">
        <is>
          <t>16 cm</t>
        </is>
      </c>
      <c r="G1951" s="9" t="n">
        <v>8</v>
      </c>
      <c r="H1951" s="21" t="n">
        <v>5</v>
      </c>
      <c r="I1951" s="21" t="n">
        <v>106</v>
      </c>
      <c r="J1951" s="21" t="n">
        <v>318.01</v>
      </c>
      <c r="K1951" s="21" t="n">
        <v>371.01</v>
      </c>
      <c r="L1951" s="21" t="n">
        <v>424.01</v>
      </c>
      <c r="M1951" s="21" t="n">
        <v>550</v>
      </c>
    </row>
    <row r="1952">
      <c r="A1952" s="9" t="inlineStr">
        <is>
          <t>HAIFENG</t>
        </is>
      </c>
      <c r="B1952" s="9" t="inlineStr">
        <is>
          <t>HAIFENG 20/01/2026</t>
        </is>
      </c>
      <c r="C1952" s="9" t="inlineStr">
        <is>
          <t>2026-01-20</t>
        </is>
      </c>
      <c r="D1952" s="9" t="inlineStr">
        <is>
          <t>668eee357952c</t>
        </is>
      </c>
      <c r="E1952" s="9" t="inlineStr">
        <is>
          <t>PULSERA DE CUENTAS CON INSIGNIA DE CORAZÓN BLUE</t>
        </is>
      </c>
      <c r="F1952" s="9" t="inlineStr">
        <is>
          <t>17 cm</t>
        </is>
      </c>
      <c r="G1952" s="9" t="n">
        <v>12</v>
      </c>
      <c r="H1952" s="21" t="n">
        <v>5</v>
      </c>
      <c r="I1952" s="21" t="n">
        <v>106</v>
      </c>
      <c r="J1952" s="21" t="n">
        <v>318.01</v>
      </c>
      <c r="K1952" s="21" t="n">
        <v>371.01</v>
      </c>
      <c r="L1952" s="21" t="n">
        <v>424.01</v>
      </c>
      <c r="M1952" s="21" t="n">
        <v>550</v>
      </c>
    </row>
    <row r="1953">
      <c r="A1953" s="9" t="inlineStr">
        <is>
          <t>HAIFENG</t>
        </is>
      </c>
      <c r="B1953" s="9" t="inlineStr">
        <is>
          <t>HAIFENG 20/01/2026</t>
        </is>
      </c>
      <c r="C1953" s="9" t="inlineStr">
        <is>
          <t>2026-01-20</t>
        </is>
      </c>
      <c r="D1953" s="9" t="inlineStr">
        <is>
          <t>43047224541324</t>
        </is>
      </c>
      <c r="E1953" s="9" t="inlineStr">
        <is>
          <t>PULSERA DE CUENTAS CON INSIGNIA DE CORAZÓN PINK</t>
        </is>
      </c>
      <c r="F1953" s="9" t="inlineStr">
        <is>
          <t>17 cm</t>
        </is>
      </c>
      <c r="G1953" s="9" t="n">
        <v>2</v>
      </c>
      <c r="H1953" s="21" t="n">
        <v>5</v>
      </c>
      <c r="I1953" s="21" t="n">
        <v>106</v>
      </c>
      <c r="J1953" s="21" t="n">
        <v>318.01</v>
      </c>
      <c r="K1953" s="21" t="n">
        <v>371.01</v>
      </c>
      <c r="L1953" s="21" t="n">
        <v>424.01</v>
      </c>
      <c r="M1953" s="21" t="n">
        <v>550</v>
      </c>
    </row>
    <row r="1954">
      <c r="A1954" s="9" t="inlineStr">
        <is>
          <t>HAIFENG</t>
        </is>
      </c>
      <c r="B1954" s="9" t="inlineStr">
        <is>
          <t>HAIFENG 20/01/2026</t>
        </is>
      </c>
      <c r="C1954" s="9" t="inlineStr">
        <is>
          <t>2026-01-20</t>
        </is>
      </c>
      <c r="D1954" s="9" t="inlineStr">
        <is>
          <t>85245863092492</t>
        </is>
      </c>
      <c r="E1954" s="9" t="inlineStr">
        <is>
          <t>PULSERA DE TELA TRES AROS RED</t>
        </is>
      </c>
      <c r="F1954" s="9" t="inlineStr">
        <is>
          <t>AJUSTABLE</t>
        </is>
      </c>
      <c r="G1954" s="9" t="n">
        <v>5</v>
      </c>
      <c r="H1954" s="21" t="n">
        <v>4.5</v>
      </c>
      <c r="I1954" s="21" t="n">
        <v>95.40000000000001</v>
      </c>
      <c r="J1954" s="21" t="n">
        <v>286.21</v>
      </c>
      <c r="K1954" s="21" t="n">
        <v>333.91</v>
      </c>
      <c r="L1954" s="21" t="n">
        <v>381.61</v>
      </c>
      <c r="M1954" s="21" t="n">
        <v>399</v>
      </c>
    </row>
    <row r="1955">
      <c r="A1955" s="9" t="inlineStr">
        <is>
          <t>HAIFENG</t>
        </is>
      </c>
      <c r="B1955" s="9" t="inlineStr">
        <is>
          <t>HAIFENG 20/01/2026</t>
        </is>
      </c>
      <c r="C1955" s="9" t="inlineStr">
        <is>
          <t>2026-01-20</t>
        </is>
      </c>
      <c r="D1955" s="9" t="inlineStr">
        <is>
          <t>86347033612749</t>
        </is>
      </c>
      <c r="E1955" s="9" t="inlineStr">
        <is>
          <t>PULSERA ESLABONES ROSEGOLD ZIRCONIA</t>
        </is>
      </c>
      <c r="F1955" s="9" t="inlineStr">
        <is>
          <t>Default Title</t>
        </is>
      </c>
      <c r="G1955" s="9" t="n">
        <v>2</v>
      </c>
      <c r="H1955" s="21" t="n">
        <v>10</v>
      </c>
      <c r="I1955" s="21" t="n">
        <v>212</v>
      </c>
      <c r="J1955" s="21" t="n">
        <v>636.01</v>
      </c>
      <c r="K1955" s="21" t="n">
        <v>742.01</v>
      </c>
      <c r="L1955" s="21" t="n">
        <v>848.02</v>
      </c>
      <c r="M1955" s="21" t="n">
        <v>824</v>
      </c>
    </row>
    <row r="1956">
      <c r="A1956" s="9" t="inlineStr">
        <is>
          <t>HAIFENG</t>
        </is>
      </c>
      <c r="B1956" s="9" t="inlineStr">
        <is>
          <t>HAIFENG 20/01/2026</t>
        </is>
      </c>
      <c r="C1956" s="9" t="inlineStr">
        <is>
          <t>2026-01-20</t>
        </is>
      </c>
      <c r="D1956" s="9" t="inlineStr">
        <is>
          <t>12314363483981</t>
        </is>
      </c>
      <c r="E1956" s="9" t="inlineStr">
        <is>
          <t>PULSERA F LOGOS GOLD-BLACK</t>
        </is>
      </c>
      <c r="F1956" s="9" t="inlineStr">
        <is>
          <t>Default Title</t>
        </is>
      </c>
      <c r="G1956" s="9" t="n">
        <v>4</v>
      </c>
      <c r="H1956" s="21" t="n">
        <v>10</v>
      </c>
      <c r="I1956" s="21" t="n">
        <v>212</v>
      </c>
      <c r="J1956" s="21" t="n">
        <v>636.01</v>
      </c>
      <c r="K1956" s="21" t="n">
        <v>742.01</v>
      </c>
      <c r="L1956" s="21" t="n">
        <v>848.02</v>
      </c>
      <c r="M1956" s="21" t="n">
        <v>988</v>
      </c>
    </row>
    <row r="1957">
      <c r="A1957" s="9" t="inlineStr">
        <is>
          <t>HAIFENG</t>
        </is>
      </c>
      <c r="B1957" s="9" t="inlineStr">
        <is>
          <t>HAIFENG 20/01/2026</t>
        </is>
      </c>
      <c r="C1957" s="9" t="inlineStr">
        <is>
          <t>2026-01-20</t>
        </is>
      </c>
      <c r="D1957" s="9" t="inlineStr">
        <is>
          <t>12314362119469</t>
        </is>
      </c>
      <c r="E1957" s="9" t="inlineStr">
        <is>
          <t>PULSERA F O'LOCK GOLD</t>
        </is>
      </c>
      <c r="F1957" s="9" t="inlineStr">
        <is>
          <t>Default Title</t>
        </is>
      </c>
      <c r="G1957" s="9" t="n">
        <v>2</v>
      </c>
      <c r="H1957" s="21" t="n">
        <v>7</v>
      </c>
      <c r="I1957" s="21" t="n">
        <v>148.4</v>
      </c>
      <c r="J1957" s="21" t="n">
        <v>445.21</v>
      </c>
      <c r="K1957" s="21" t="n">
        <v>519.41</v>
      </c>
      <c r="L1957" s="21" t="n">
        <v>593.61</v>
      </c>
      <c r="M1957" s="21" t="n">
        <v>580</v>
      </c>
    </row>
    <row r="1958">
      <c r="A1958" s="9" t="inlineStr">
        <is>
          <t>HAIFENG</t>
        </is>
      </c>
      <c r="B1958" s="9" t="inlineStr">
        <is>
          <t>HAIFENG 20/01/2026</t>
        </is>
      </c>
      <c r="C1958" s="9" t="inlineStr">
        <is>
          <t>2026-01-20</t>
        </is>
      </c>
      <c r="D1958" s="9" t="inlineStr">
        <is>
          <t>63e0c53be61bd</t>
        </is>
      </c>
      <c r="E1958" s="9" t="inlineStr">
        <is>
          <t>PULSERA LOVE CON ZIRCONIA GOLD</t>
        </is>
      </c>
      <c r="F1958" s="9" t="inlineStr">
        <is>
          <t>20 cm</t>
        </is>
      </c>
      <c r="G1958" s="9" t="n">
        <v>2</v>
      </c>
      <c r="H1958" s="21" t="n">
        <v>4.5</v>
      </c>
      <c r="I1958" s="21" t="n">
        <v>95.40000000000001</v>
      </c>
      <c r="J1958" s="21" t="n">
        <v>286.21</v>
      </c>
      <c r="K1958" s="21" t="n">
        <v>333.91</v>
      </c>
      <c r="L1958" s="21" t="n">
        <v>381.61</v>
      </c>
      <c r="M1958" s="21" t="n">
        <v>499</v>
      </c>
    </row>
    <row r="1959">
      <c r="A1959" s="9" t="inlineStr">
        <is>
          <t>HAIFENG</t>
        </is>
      </c>
      <c r="B1959" s="9" t="inlineStr">
        <is>
          <t>HAIFENG 20/01/2026</t>
        </is>
      </c>
      <c r="C1959" s="9" t="inlineStr">
        <is>
          <t>2026-01-20</t>
        </is>
      </c>
      <c r="D1959" s="9" t="inlineStr">
        <is>
          <t>77724991140045</t>
        </is>
      </c>
      <c r="E1959" s="9" t="inlineStr">
        <is>
          <t>PULSERA LOVE DELGADA SILVER</t>
        </is>
      </c>
      <c r="F1959" s="9" t="inlineStr">
        <is>
          <t>17cm</t>
        </is>
      </c>
      <c r="G1959" s="9" t="n">
        <v>4</v>
      </c>
      <c r="H1959" s="21" t="n">
        <v>5</v>
      </c>
      <c r="I1959" s="21" t="n">
        <v>106</v>
      </c>
      <c r="J1959" s="21" t="n">
        <v>318.01</v>
      </c>
      <c r="K1959" s="21" t="n">
        <v>371.01</v>
      </c>
      <c r="L1959" s="21" t="n">
        <v>424.01</v>
      </c>
      <c r="M1959" s="21" t="n">
        <v>499</v>
      </c>
    </row>
    <row r="1960">
      <c r="A1960" s="9" t="inlineStr">
        <is>
          <t>HAIFENG</t>
        </is>
      </c>
      <c r="B1960" s="9" t="inlineStr">
        <is>
          <t>HAIFENG 20/01/2026</t>
        </is>
      </c>
      <c r="C1960" s="9" t="inlineStr">
        <is>
          <t>2026-01-20</t>
        </is>
      </c>
      <c r="D1960" s="9" t="inlineStr">
        <is>
          <t>66177008100f3</t>
        </is>
      </c>
      <c r="E1960" s="9" t="inlineStr">
        <is>
          <t>PULSERA LOVE GOLD</t>
        </is>
      </c>
      <c r="F1960" s="9" t="inlineStr">
        <is>
          <t>18 CM</t>
        </is>
      </c>
      <c r="G1960" s="9" t="n">
        <v>10</v>
      </c>
      <c r="H1960" s="21" t="n">
        <v>4.5</v>
      </c>
      <c r="I1960" s="21" t="n">
        <v>95.40000000000001</v>
      </c>
      <c r="J1960" s="21" t="n">
        <v>286.21</v>
      </c>
      <c r="K1960" s="21" t="n">
        <v>333.91</v>
      </c>
      <c r="L1960" s="21" t="n">
        <v>381.61</v>
      </c>
      <c r="M1960" s="21" t="n">
        <v>499</v>
      </c>
    </row>
    <row r="1961">
      <c r="A1961" s="9" t="inlineStr">
        <is>
          <t>HAIFENG</t>
        </is>
      </c>
      <c r="B1961" s="9" t="inlineStr">
        <is>
          <t>HAIFENG 20/01/2026</t>
        </is>
      </c>
      <c r="C1961" s="9" t="inlineStr">
        <is>
          <t>2026-01-20</t>
        </is>
      </c>
      <c r="D1961" s="9" t="inlineStr">
        <is>
          <t>66177006d3573</t>
        </is>
      </c>
      <c r="E1961" s="9" t="inlineStr">
        <is>
          <t>PULSERA LOVE GOLD</t>
        </is>
      </c>
      <c r="F1961" s="9" t="inlineStr">
        <is>
          <t>16 CM</t>
        </is>
      </c>
      <c r="G1961" s="9" t="n">
        <v>25</v>
      </c>
      <c r="H1961" s="21" t="n">
        <v>4.5</v>
      </c>
      <c r="I1961" s="21" t="n">
        <v>95.40000000000001</v>
      </c>
      <c r="J1961" s="21" t="n">
        <v>286.21</v>
      </c>
      <c r="K1961" s="21" t="n">
        <v>333.91</v>
      </c>
      <c r="L1961" s="21" t="n">
        <v>381.61</v>
      </c>
      <c r="M1961" s="21" t="n">
        <v>499</v>
      </c>
    </row>
    <row r="1962">
      <c r="A1962" s="9" t="inlineStr">
        <is>
          <t>HAIFENG</t>
        </is>
      </c>
      <c r="B1962" s="9" t="inlineStr">
        <is>
          <t>HAIFENG 20/01/2026</t>
        </is>
      </c>
      <c r="C1962" s="9" t="inlineStr">
        <is>
          <t>2026-01-20</t>
        </is>
      </c>
      <c r="D1962" s="9" t="inlineStr">
        <is>
          <t>66177007689da</t>
        </is>
      </c>
      <c r="E1962" s="9" t="inlineStr">
        <is>
          <t>PULSERA LOVE GOLD</t>
        </is>
      </c>
      <c r="F1962" s="9" t="inlineStr">
        <is>
          <t>17 CM</t>
        </is>
      </c>
      <c r="G1962" s="9" t="n">
        <v>12</v>
      </c>
      <c r="H1962" s="21" t="n">
        <v>4.5</v>
      </c>
      <c r="I1962" s="21" t="n">
        <v>95.40000000000001</v>
      </c>
      <c r="J1962" s="21" t="n">
        <v>286.21</v>
      </c>
      <c r="K1962" s="21" t="n">
        <v>333.91</v>
      </c>
      <c r="L1962" s="21" t="n">
        <v>381.61</v>
      </c>
      <c r="M1962" s="21" t="n">
        <v>499</v>
      </c>
    </row>
    <row r="1963">
      <c r="A1963" s="9" t="inlineStr">
        <is>
          <t>HAIFENG</t>
        </is>
      </c>
      <c r="B1963" s="9" t="inlineStr">
        <is>
          <t>HAIFENG 20/01/2026</t>
        </is>
      </c>
      <c r="C1963" s="9" t="inlineStr">
        <is>
          <t>2026-01-20</t>
        </is>
      </c>
      <c r="D1963" s="9" t="inlineStr">
        <is>
          <t>47179791074049</t>
        </is>
      </c>
      <c r="E1963" s="9" t="inlineStr">
        <is>
          <t>PULSERA LOVE LOVE GOLD</t>
        </is>
      </c>
      <c r="F1963" s="9" t="inlineStr">
        <is>
          <t>16cm con 5cm de extensi√≥n</t>
        </is>
      </c>
      <c r="G1963" s="9" t="n">
        <v>10</v>
      </c>
      <c r="H1963" s="21" t="n">
        <v>5</v>
      </c>
      <c r="I1963" s="21" t="n">
        <v>106</v>
      </c>
      <c r="J1963" s="21" t="n">
        <v>318.01</v>
      </c>
      <c r="K1963" s="21" t="n">
        <v>371.01</v>
      </c>
      <c r="L1963" s="21" t="n">
        <v>424.01</v>
      </c>
      <c r="M1963" s="21" t="n">
        <v>499</v>
      </c>
    </row>
    <row r="1964">
      <c r="A1964" s="9" t="inlineStr">
        <is>
          <t>HAIFENG</t>
        </is>
      </c>
      <c r="B1964" s="9" t="inlineStr">
        <is>
          <t>HAIFENG 20/01/2026</t>
        </is>
      </c>
      <c r="C1964" s="9" t="inlineStr">
        <is>
          <t>2026-01-20</t>
        </is>
      </c>
      <c r="D1964" s="9" t="inlineStr">
        <is>
          <t>63e0c59590d66</t>
        </is>
      </c>
      <c r="E1964" s="9" t="inlineStr">
        <is>
          <t>PULSERA LOVE ROSE GOLD</t>
        </is>
      </c>
      <c r="F1964" s="9" t="inlineStr">
        <is>
          <t>16 cm</t>
        </is>
      </c>
      <c r="G1964" s="9" t="n">
        <v>5</v>
      </c>
      <c r="H1964" s="21" t="n">
        <v>4.5</v>
      </c>
      <c r="I1964" s="21" t="n">
        <v>95.40000000000001</v>
      </c>
      <c r="J1964" s="21" t="n">
        <v>286.21</v>
      </c>
      <c r="K1964" s="21" t="n">
        <v>333.91</v>
      </c>
      <c r="L1964" s="21" t="n">
        <v>381.61</v>
      </c>
      <c r="M1964" s="21" t="n">
        <v>499</v>
      </c>
    </row>
    <row r="1965">
      <c r="A1965" s="9" t="inlineStr">
        <is>
          <t>HAIFENG</t>
        </is>
      </c>
      <c r="B1965" s="9" t="inlineStr">
        <is>
          <t>HAIFENG 20/01/2026</t>
        </is>
      </c>
      <c r="C1965" s="9" t="inlineStr">
        <is>
          <t>2026-01-20</t>
        </is>
      </c>
      <c r="D1965" s="9" t="inlineStr">
        <is>
          <t>43728091279628</t>
        </is>
      </c>
      <c r="E1965" s="9" t="inlineStr">
        <is>
          <t>PULSERA LOVE SILVER</t>
        </is>
      </c>
      <c r="F1965" s="9" t="inlineStr">
        <is>
          <t>21cm</t>
        </is>
      </c>
      <c r="G1965" s="9" t="n">
        <v>3</v>
      </c>
      <c r="H1965" s="21" t="n">
        <v>4.5</v>
      </c>
      <c r="I1965" s="21" t="n">
        <v>95.40000000000001</v>
      </c>
      <c r="J1965" s="21" t="n">
        <v>286.21</v>
      </c>
      <c r="K1965" s="21" t="n">
        <v>333.91</v>
      </c>
      <c r="L1965" s="21" t="n">
        <v>381.61</v>
      </c>
      <c r="M1965" s="21" t="n">
        <v>499</v>
      </c>
    </row>
    <row r="1966">
      <c r="A1966" s="9" t="inlineStr">
        <is>
          <t>HAIFENG</t>
        </is>
      </c>
      <c r="B1966" s="9" t="inlineStr">
        <is>
          <t>HAIFENG 20/01/2026</t>
        </is>
      </c>
      <c r="C1966" s="9" t="inlineStr">
        <is>
          <t>2026-01-20</t>
        </is>
      </c>
      <c r="D1966" s="9" t="inlineStr">
        <is>
          <t>43728091014092</t>
        </is>
      </c>
      <c r="E1966" s="9" t="inlineStr">
        <is>
          <t>PULSERA LOVE SILVER</t>
        </is>
      </c>
      <c r="F1966" s="9" t="inlineStr">
        <is>
          <t>19cm</t>
        </is>
      </c>
      <c r="G1966" s="9" t="n">
        <v>1</v>
      </c>
      <c r="H1966" s="21" t="n">
        <v>4.5</v>
      </c>
      <c r="I1966" s="21" t="n">
        <v>95.40000000000001</v>
      </c>
      <c r="J1966" s="21" t="n">
        <v>286.21</v>
      </c>
      <c r="K1966" s="21" t="n">
        <v>333.91</v>
      </c>
      <c r="L1966" s="21" t="n">
        <v>381.61</v>
      </c>
      <c r="M1966" s="21" t="n">
        <v>499</v>
      </c>
    </row>
    <row r="1967">
      <c r="A1967" s="9" t="inlineStr">
        <is>
          <t>HAIFENG</t>
        </is>
      </c>
      <c r="B1967" s="9" t="inlineStr">
        <is>
          <t>HAIFENG 20/01/2026</t>
        </is>
      </c>
      <c r="C1967" s="9" t="inlineStr">
        <is>
          <t>2026-01-20</t>
        </is>
      </c>
      <c r="D1967" s="9" t="inlineStr">
        <is>
          <t>43728091146860</t>
        </is>
      </c>
      <c r="E1967" s="9" t="inlineStr">
        <is>
          <t>PULSERA LOVE SILVER</t>
        </is>
      </c>
      <c r="F1967" s="9" t="inlineStr">
        <is>
          <t>20cm</t>
        </is>
      </c>
      <c r="G1967" s="9" t="n">
        <v>1</v>
      </c>
      <c r="H1967" s="21" t="n">
        <v>4.5</v>
      </c>
      <c r="I1967" s="21" t="n">
        <v>95.40000000000001</v>
      </c>
      <c r="J1967" s="21" t="n">
        <v>286.21</v>
      </c>
      <c r="K1967" s="21" t="n">
        <v>333.91</v>
      </c>
      <c r="L1967" s="21" t="n">
        <v>381.61</v>
      </c>
      <c r="M1967" s="21" t="n">
        <v>499</v>
      </c>
    </row>
    <row r="1968">
      <c r="A1968" s="9" t="inlineStr">
        <is>
          <t>HAIFENG</t>
        </is>
      </c>
      <c r="B1968" s="9" t="inlineStr">
        <is>
          <t>HAIFENG 20/01/2026</t>
        </is>
      </c>
      <c r="C1968" s="9" t="inlineStr">
        <is>
          <t>2026-01-20</t>
        </is>
      </c>
      <c r="D1968" s="9" t="inlineStr">
        <is>
          <t>43728090715788</t>
        </is>
      </c>
      <c r="E1968" s="9" t="inlineStr">
        <is>
          <t>PULSERA LOVE SILVER</t>
        </is>
      </c>
      <c r="F1968" s="9" t="inlineStr">
        <is>
          <t>16cm</t>
        </is>
      </c>
      <c r="G1968" s="9" t="n">
        <v>8</v>
      </c>
      <c r="H1968" s="21" t="n">
        <v>4.5</v>
      </c>
      <c r="I1968" s="21" t="n">
        <v>95.40000000000001</v>
      </c>
      <c r="J1968" s="21" t="n">
        <v>286.21</v>
      </c>
      <c r="K1968" s="21" t="n">
        <v>333.91</v>
      </c>
      <c r="L1968" s="21" t="n">
        <v>381.61</v>
      </c>
      <c r="M1968" s="21" t="n">
        <v>499</v>
      </c>
    </row>
    <row r="1969">
      <c r="A1969" s="9" t="inlineStr">
        <is>
          <t>HAIFENG</t>
        </is>
      </c>
      <c r="B1969" s="9" t="inlineStr">
        <is>
          <t>HAIFENG 20/01/2026</t>
        </is>
      </c>
      <c r="C1969" s="9" t="inlineStr">
        <is>
          <t>2026-01-20</t>
        </is>
      </c>
      <c r="D1969" s="9" t="inlineStr">
        <is>
          <t>66360701088653</t>
        </is>
      </c>
      <c r="E1969" s="9" t="inlineStr">
        <is>
          <t>PULSERA LUCKY SILVER CD</t>
        </is>
      </c>
      <c r="F1969" s="9" t="inlineStr">
        <is>
          <t>Default Title</t>
        </is>
      </c>
      <c r="G1969" s="9" t="n">
        <v>2</v>
      </c>
      <c r="H1969" s="21" t="n">
        <v>6</v>
      </c>
      <c r="I1969" s="21" t="n">
        <v>127.2</v>
      </c>
      <c r="J1969" s="21" t="n">
        <v>381.61</v>
      </c>
      <c r="K1969" s="21" t="n">
        <v>445.21</v>
      </c>
      <c r="L1969" s="21" t="n">
        <v>508.81</v>
      </c>
      <c r="M1969" s="21" t="n">
        <v>500</v>
      </c>
    </row>
    <row r="1970">
      <c r="A1970" s="9" t="inlineStr">
        <is>
          <t>HAIFENG</t>
        </is>
      </c>
      <c r="B1970" s="9" t="inlineStr">
        <is>
          <t>HAIFENG 20/01/2026</t>
        </is>
      </c>
      <c r="C1970" s="9" t="inlineStr">
        <is>
          <t>2026-01-20</t>
        </is>
      </c>
      <c r="D1970" s="9" t="inlineStr">
        <is>
          <t>71078751021293</t>
        </is>
      </c>
      <c r="E1970" s="9" t="inlineStr">
        <is>
          <t>PULSERA LV IDYLLE SILVER</t>
        </is>
      </c>
      <c r="F1970" s="9" t="inlineStr">
        <is>
          <t>Default Title</t>
        </is>
      </c>
      <c r="G1970" s="9" t="n">
        <v>4</v>
      </c>
      <c r="H1970" s="21" t="n">
        <v>6.99</v>
      </c>
      <c r="I1970" s="21" t="n">
        <v>148.19</v>
      </c>
      <c r="J1970" s="21" t="n">
        <v>444.57</v>
      </c>
      <c r="K1970" s="21" t="n">
        <v>518.67</v>
      </c>
      <c r="L1970" s="21" t="n">
        <v>592.76</v>
      </c>
      <c r="M1970" s="21" t="n">
        <v>580</v>
      </c>
    </row>
    <row r="1971">
      <c r="A1971" s="9" t="inlineStr">
        <is>
          <t>HAIFENG</t>
        </is>
      </c>
      <c r="B1971" s="9" t="inlineStr">
        <is>
          <t>HAIFENG 20/01/2026</t>
        </is>
      </c>
      <c r="C1971" s="9" t="inlineStr">
        <is>
          <t>2026-01-20</t>
        </is>
      </c>
      <c r="D1971" s="9" t="inlineStr">
        <is>
          <t>81078751122989</t>
        </is>
      </c>
      <c r="E1971" s="9" t="inlineStr">
        <is>
          <t>PULSERA LV MULTIBLOSSOM ROSEGOLD</t>
        </is>
      </c>
      <c r="F1971" s="9" t="inlineStr">
        <is>
          <t>Default Title</t>
        </is>
      </c>
      <c r="G1971" s="9" t="n">
        <v>4</v>
      </c>
      <c r="H1971" s="21" t="n">
        <v>11</v>
      </c>
      <c r="I1971" s="21" t="n">
        <v>233.2</v>
      </c>
      <c r="J1971" s="21" t="n">
        <v>699.61</v>
      </c>
      <c r="K1971" s="21" t="n">
        <v>816.22</v>
      </c>
      <c r="L1971" s="21" t="n">
        <v>932.8200000000001</v>
      </c>
      <c r="M1971" s="21" t="n">
        <v>909</v>
      </c>
    </row>
    <row r="1972">
      <c r="A1972" s="9" t="inlineStr">
        <is>
          <t>HAIFENG</t>
        </is>
      </c>
      <c r="B1972" s="9" t="inlineStr">
        <is>
          <t>HAIFENG 20/01/2026</t>
        </is>
      </c>
      <c r="C1972" s="9" t="inlineStr">
        <is>
          <t>2026-01-20</t>
        </is>
      </c>
      <c r="D1972" s="9" t="inlineStr">
        <is>
          <t>37491253271052</t>
        </is>
      </c>
      <c r="E1972" s="9" t="inlineStr">
        <is>
          <t>PULSERA MARIQUITA VF</t>
        </is>
      </c>
      <c r="F1972" s="9" t="inlineStr">
        <is>
          <t>17cm con 2cm de extensi√≥n</t>
        </is>
      </c>
      <c r="G1972" s="9" t="n">
        <v>10</v>
      </c>
      <c r="H1972" s="21" t="n">
        <v>6</v>
      </c>
      <c r="I1972" s="21" t="n">
        <v>127.2</v>
      </c>
      <c r="J1972" s="21" t="n">
        <v>381.61</v>
      </c>
      <c r="K1972" s="21" t="n">
        <v>445.21</v>
      </c>
      <c r="L1972" s="21" t="n">
        <v>508.81</v>
      </c>
      <c r="M1972" s="21" t="n">
        <v>520</v>
      </c>
    </row>
    <row r="1973">
      <c r="A1973" s="9" t="inlineStr">
        <is>
          <t>HAIFENG</t>
        </is>
      </c>
      <c r="B1973" s="9" t="inlineStr">
        <is>
          <t>HAIFENG 20/01/2026</t>
        </is>
      </c>
      <c r="C1973" s="9" t="inlineStr">
        <is>
          <t>2026-01-20</t>
        </is>
      </c>
      <c r="D1973" s="9" t="inlineStr">
        <is>
          <t>12314363883437</t>
        </is>
      </c>
      <c r="E1973" s="9" t="inlineStr">
        <is>
          <t>PULSERA MM GOLD-WHITE</t>
        </is>
      </c>
      <c r="F1973" s="9" t="inlineStr">
        <is>
          <t>Default Title</t>
        </is>
      </c>
      <c r="G1973" s="9" t="n">
        <v>4</v>
      </c>
      <c r="H1973" s="21" t="n">
        <v>6.99</v>
      </c>
      <c r="I1973" s="21" t="n">
        <v>148.19</v>
      </c>
      <c r="J1973" s="21" t="n">
        <v>444.57</v>
      </c>
      <c r="K1973" s="21" t="n">
        <v>518.67</v>
      </c>
      <c r="L1973" s="21" t="n">
        <v>592.76</v>
      </c>
      <c r="M1973" s="21" t="n"/>
    </row>
    <row r="1974">
      <c r="A1974" s="9" t="inlineStr">
        <is>
          <t>HAIFENG</t>
        </is>
      </c>
      <c r="B1974" s="9" t="inlineStr">
        <is>
          <t>HAIFENG 20/01/2026</t>
        </is>
      </c>
      <c r="C1974" s="9" t="inlineStr">
        <is>
          <t>2026-01-20</t>
        </is>
      </c>
      <c r="D1974" s="9" t="inlineStr">
        <is>
          <t>12314363611117</t>
        </is>
      </c>
      <c r="E1974" s="9" t="inlineStr">
        <is>
          <t>PULSERA MM SILVER-WHITE</t>
        </is>
      </c>
      <c r="F1974" s="9" t="inlineStr">
        <is>
          <t>Default Title</t>
        </is>
      </c>
      <c r="G1974" s="9" t="n">
        <v>1</v>
      </c>
      <c r="H1974" s="21" t="n">
        <v>6.99</v>
      </c>
      <c r="I1974" s="21" t="n">
        <v>148.19</v>
      </c>
      <c r="J1974" s="21" t="n">
        <v>444.57</v>
      </c>
      <c r="K1974" s="21" t="n">
        <v>518.67</v>
      </c>
      <c r="L1974" s="21" t="n">
        <v>592.76</v>
      </c>
      <c r="M1974" s="21" t="n">
        <v>599</v>
      </c>
    </row>
    <row r="1975">
      <c r="A1975" s="9" t="inlineStr">
        <is>
          <t>HAIFENG</t>
        </is>
      </c>
      <c r="B1975" s="9" t="inlineStr">
        <is>
          <t>HAIFENG 20/01/2026</t>
        </is>
      </c>
      <c r="C1975" s="9" t="inlineStr">
        <is>
          <t>2026-01-20</t>
        </is>
      </c>
      <c r="D1975" s="9" t="inlineStr">
        <is>
          <t>82014673388812</t>
        </is>
      </c>
      <c r="E1975" s="9" t="inlineStr">
        <is>
          <t>PULSERA SMILE GOLD</t>
        </is>
      </c>
      <c r="F1975" s="9" t="inlineStr">
        <is>
          <t>16cm con extensi√≥n de 3cm</t>
        </is>
      </c>
      <c r="G1975" s="9" t="n">
        <v>2</v>
      </c>
      <c r="H1975" s="21" t="n">
        <v>7.5</v>
      </c>
      <c r="I1975" s="21" t="n">
        <v>159</v>
      </c>
      <c r="J1975" s="21" t="n">
        <v>477.01</v>
      </c>
      <c r="K1975" s="21" t="n">
        <v>556.51</v>
      </c>
      <c r="L1975" s="21" t="n">
        <v>636.01</v>
      </c>
      <c r="M1975" s="21" t="n">
        <v>649</v>
      </c>
    </row>
    <row r="1976">
      <c r="A1976" s="9" t="inlineStr">
        <is>
          <t>HAIFENG</t>
        </is>
      </c>
      <c r="B1976" s="9" t="inlineStr">
        <is>
          <t>HAIFENG 20/01/2026</t>
        </is>
      </c>
      <c r="C1976" s="9" t="inlineStr">
        <is>
          <t>2026-01-20</t>
        </is>
      </c>
      <c r="D1976" s="9" t="inlineStr">
        <is>
          <t>66075801824557</t>
        </is>
      </c>
      <c r="E1976" s="9" t="inlineStr">
        <is>
          <t>PULSERA TRES AROS</t>
        </is>
      </c>
      <c r="F1976" s="9" t="inlineStr">
        <is>
          <t>Default Title</t>
        </is>
      </c>
      <c r="G1976" s="9" t="n">
        <v>9</v>
      </c>
      <c r="H1976" s="21" t="n">
        <v>7.5</v>
      </c>
      <c r="I1976" s="21" t="n">
        <v>159</v>
      </c>
      <c r="J1976" s="21" t="n">
        <v>477.01</v>
      </c>
      <c r="K1976" s="21" t="n">
        <v>556.51</v>
      </c>
      <c r="L1976" s="21" t="n">
        <v>636.01</v>
      </c>
      <c r="M1976" s="21" t="n">
        <v>650</v>
      </c>
    </row>
    <row r="1977">
      <c r="A1977" s="9" t="inlineStr">
        <is>
          <t>HAIFENG</t>
        </is>
      </c>
      <c r="B1977" s="9" t="inlineStr">
        <is>
          <t>HAIFENG 20/01/2026</t>
        </is>
      </c>
      <c r="C1977" s="9" t="inlineStr">
        <is>
          <t>2026-01-20</t>
        </is>
      </c>
      <c r="D1977" s="9" t="inlineStr">
        <is>
          <t>6617744e4fde3</t>
        </is>
      </c>
      <c r="E1977" s="9" t="inlineStr">
        <is>
          <t>PULSERA TRÉBOL GOLD WHITE VF</t>
        </is>
      </c>
      <c r="F1977" s="9" t="inlineStr">
        <is>
          <t>18cm</t>
        </is>
      </c>
      <c r="G1977" s="9" t="n">
        <v>3</v>
      </c>
      <c r="H1977" s="21" t="n">
        <v>7</v>
      </c>
      <c r="I1977" s="21" t="n">
        <v>148.4</v>
      </c>
      <c r="J1977" s="21" t="n">
        <v>445.21</v>
      </c>
      <c r="K1977" s="21" t="n">
        <v>519.41</v>
      </c>
      <c r="L1977" s="21" t="n">
        <v>593.61</v>
      </c>
      <c r="M1977" s="21" t="n">
        <v>1286</v>
      </c>
    </row>
    <row r="1978">
      <c r="A1978" s="9" t="inlineStr">
        <is>
          <t>ZOEY</t>
        </is>
      </c>
      <c r="B1978" s="9" t="inlineStr">
        <is>
          <t>ZOEY 20/01/2026</t>
        </is>
      </c>
      <c r="C1978" s="9" t="inlineStr">
        <is>
          <t>2026-01-20</t>
        </is>
      </c>
      <c r="D1978" s="9" t="inlineStr">
        <is>
          <t>85409401017325</t>
        </is>
      </c>
      <c r="E1978" s="9" t="inlineStr">
        <is>
          <t>ARETES F OVAL GOLD CON ZIRCONIA</t>
        </is>
      </c>
      <c r="F1978" s="9" t="inlineStr">
        <is>
          <t>Default Title</t>
        </is>
      </c>
      <c r="G1978" s="9" t="n">
        <v>2</v>
      </c>
      <c r="H1978" s="21" t="n">
        <v>8</v>
      </c>
      <c r="I1978" s="21" t="n">
        <v>208.25</v>
      </c>
      <c r="J1978" s="21" t="n">
        <v>624.76</v>
      </c>
      <c r="K1978" s="21" t="n">
        <v>728.88</v>
      </c>
      <c r="L1978" s="21" t="n">
        <v>833.01</v>
      </c>
      <c r="M1978" s="21" t="n">
        <v>850</v>
      </c>
    </row>
    <row r="1979">
      <c r="A1979" s="9" t="inlineStr">
        <is>
          <t>ZOEY</t>
        </is>
      </c>
      <c r="B1979" s="9" t="inlineStr">
        <is>
          <t>ZOEY 20/01/2026</t>
        </is>
      </c>
      <c r="C1979" s="9" t="inlineStr">
        <is>
          <t>2026-01-20</t>
        </is>
      </c>
      <c r="D1979" s="9" t="inlineStr">
        <is>
          <t>77275241042893</t>
        </is>
      </c>
      <c r="E1979" s="9" t="inlineStr">
        <is>
          <t>ARETES MM HEART GOLD WHITE</t>
        </is>
      </c>
      <c r="F1979" s="9" t="inlineStr">
        <is>
          <t>Default Title</t>
        </is>
      </c>
      <c r="G1979" s="9" t="n">
        <v>6</v>
      </c>
      <c r="H1979" s="21" t="n">
        <v>8</v>
      </c>
      <c r="I1979" s="21" t="n">
        <v>208.25</v>
      </c>
      <c r="J1979" s="21" t="n">
        <v>624.76</v>
      </c>
      <c r="K1979" s="21" t="n">
        <v>728.88</v>
      </c>
      <c r="L1979" s="21" t="n">
        <v>833.01</v>
      </c>
      <c r="M1979" s="21" t="n">
        <v>850</v>
      </c>
    </row>
    <row r="1980">
      <c r="A1980" s="9" t="inlineStr">
        <is>
          <t>ZOEY</t>
        </is>
      </c>
      <c r="B1980" s="9" t="inlineStr">
        <is>
          <t>ZOEY 20/01/2026</t>
        </is>
      </c>
      <c r="C1980" s="9" t="inlineStr">
        <is>
          <t>2026-01-20</t>
        </is>
      </c>
      <c r="D1980" s="9" t="inlineStr">
        <is>
          <t>93378831084685</t>
        </is>
      </c>
      <c r="E1980" s="9" t="inlineStr">
        <is>
          <t>BALLERINAS CC BEIGE BLACK</t>
        </is>
      </c>
      <c r="F1980" s="9" t="inlineStr">
        <is>
          <t>23cm</t>
        </is>
      </c>
      <c r="G1980" s="9" t="n">
        <v>2</v>
      </c>
      <c r="H1980" s="21" t="n">
        <v>55</v>
      </c>
      <c r="I1980" s="21" t="n">
        <v>1431.74</v>
      </c>
      <c r="J1980" s="21" t="n">
        <v>4295.21</v>
      </c>
      <c r="K1980" s="21" t="n">
        <v>5011.08</v>
      </c>
      <c r="L1980" s="21" t="n">
        <v>5726.95</v>
      </c>
      <c r="M1980" s="21" t="n">
        <v>5840</v>
      </c>
    </row>
    <row r="1981">
      <c r="A1981" s="9" t="inlineStr">
        <is>
          <t>ZOEY</t>
        </is>
      </c>
      <c r="B1981" s="9" t="inlineStr">
        <is>
          <t>ZOEY 20/01/2026</t>
        </is>
      </c>
      <c r="C1981" s="9" t="inlineStr">
        <is>
          <t>2026-01-20</t>
        </is>
      </c>
      <c r="D1981" s="9" t="inlineStr">
        <is>
          <t>93378841117453</t>
        </is>
      </c>
      <c r="E1981" s="9" t="inlineStr">
        <is>
          <t>BALLERINAS CC BEIGE BLACK</t>
        </is>
      </c>
      <c r="F1981" s="9" t="inlineStr">
        <is>
          <t>24cm</t>
        </is>
      </c>
      <c r="G1981" s="9" t="n">
        <v>2</v>
      </c>
      <c r="H1981" s="21" t="n">
        <v>55</v>
      </c>
      <c r="I1981" s="21" t="n">
        <v>1431.74</v>
      </c>
      <c r="J1981" s="21" t="n">
        <v>4295.21</v>
      </c>
      <c r="K1981" s="21" t="n">
        <v>5011.08</v>
      </c>
      <c r="L1981" s="21" t="n">
        <v>5726.95</v>
      </c>
      <c r="M1981" s="21" t="n">
        <v>5840</v>
      </c>
    </row>
    <row r="1982">
      <c r="A1982" s="9" t="inlineStr">
        <is>
          <t>ZOEY</t>
        </is>
      </c>
      <c r="B1982" s="9" t="inlineStr">
        <is>
          <t>ZOEY 20/01/2026</t>
        </is>
      </c>
      <c r="C1982" s="9" t="inlineStr">
        <is>
          <t>2026-01-20</t>
        </is>
      </c>
      <c r="D1982" s="9" t="inlineStr">
        <is>
          <t>93378841221933</t>
        </is>
      </c>
      <c r="E1982" s="9" t="inlineStr">
        <is>
          <t>BALLERINAS LV BROWN CON INSIGNIAS</t>
        </is>
      </c>
      <c r="F1982" s="9" t="inlineStr">
        <is>
          <t>24cm</t>
        </is>
      </c>
      <c r="G1982" s="9" t="n">
        <v>2</v>
      </c>
      <c r="H1982" s="21" t="n">
        <v>68</v>
      </c>
      <c r="I1982" s="21" t="n">
        <v>1770.15</v>
      </c>
      <c r="J1982" s="21" t="n">
        <v>5310.45</v>
      </c>
      <c r="K1982" s="21" t="n">
        <v>6195.52</v>
      </c>
      <c r="L1982" s="21" t="n">
        <v>7080.6</v>
      </c>
      <c r="M1982" s="21" t="n">
        <v>6599</v>
      </c>
    </row>
    <row r="1983">
      <c r="A1983" s="9" t="inlineStr">
        <is>
          <t>ZOEY</t>
        </is>
      </c>
      <c r="B1983" s="9" t="inlineStr">
        <is>
          <t>ZOEY 20/01/2026</t>
        </is>
      </c>
      <c r="C1983" s="9" t="inlineStr">
        <is>
          <t>2026-01-20</t>
        </is>
      </c>
      <c r="D1983" s="9" t="inlineStr">
        <is>
          <t>93378841354701</t>
        </is>
      </c>
      <c r="E1983" s="9" t="inlineStr">
        <is>
          <t>BALLERINAS LV BROWN CON INSIGNIAS</t>
        </is>
      </c>
      <c r="F1983" s="9" t="inlineStr">
        <is>
          <t>25cm</t>
        </is>
      </c>
      <c r="G1983" s="9" t="n">
        <v>2</v>
      </c>
      <c r="H1983" s="21" t="n">
        <v>68</v>
      </c>
      <c r="I1983" s="21" t="n">
        <v>1770.15</v>
      </c>
      <c r="J1983" s="21" t="n">
        <v>5310.45</v>
      </c>
      <c r="K1983" s="21" t="n">
        <v>6195.52</v>
      </c>
      <c r="L1983" s="21" t="n">
        <v>7080.6</v>
      </c>
      <c r="M1983" s="21" t="n">
        <v>6599</v>
      </c>
    </row>
    <row r="1984">
      <c r="A1984" s="9" t="inlineStr">
        <is>
          <t>ZOEY</t>
        </is>
      </c>
      <c r="B1984" s="9" t="inlineStr">
        <is>
          <t>ZOEY 20/01/2026</t>
        </is>
      </c>
      <c r="C1984" s="9" t="inlineStr">
        <is>
          <t>2026-01-20</t>
        </is>
      </c>
      <c r="D1984" s="9" t="inlineStr">
        <is>
          <t>93378841508909</t>
        </is>
      </c>
      <c r="E1984" s="9" t="inlineStr">
        <is>
          <t>BALLERINAS PR BLACK CON LOGO</t>
        </is>
      </c>
      <c r="F1984" s="9" t="inlineStr">
        <is>
          <t>24cm</t>
        </is>
      </c>
      <c r="G1984" s="9" t="n">
        <v>2</v>
      </c>
      <c r="H1984" s="21" t="n">
        <v>58</v>
      </c>
      <c r="I1984" s="21" t="n">
        <v>1509.83</v>
      </c>
      <c r="J1984" s="21" t="n">
        <v>4529.5</v>
      </c>
      <c r="K1984" s="21" t="n">
        <v>5284.41</v>
      </c>
      <c r="L1984" s="21" t="n">
        <v>6039.33</v>
      </c>
      <c r="M1984" s="21" t="n">
        <v>5949</v>
      </c>
    </row>
    <row r="1985">
      <c r="A1985" s="9" t="inlineStr">
        <is>
          <t>ZOEY</t>
        </is>
      </c>
      <c r="B1985" s="9" t="inlineStr">
        <is>
          <t>ZOEY 20/01/2026</t>
        </is>
      </c>
      <c r="C1985" s="9" t="inlineStr">
        <is>
          <t>2026-01-20</t>
        </is>
      </c>
      <c r="D1985" s="9" t="inlineStr">
        <is>
          <t>93378841641677</t>
        </is>
      </c>
      <c r="E1985" s="9" t="inlineStr">
        <is>
          <t>BALLERINAS PR BLACK CON LOGO</t>
        </is>
      </c>
      <c r="F1985" s="9" t="inlineStr">
        <is>
          <t>25cm</t>
        </is>
      </c>
      <c r="G1985" s="9" t="n">
        <v>2</v>
      </c>
      <c r="H1985" s="21" t="n">
        <v>58</v>
      </c>
      <c r="I1985" s="21" t="n">
        <v>1509.83</v>
      </c>
      <c r="J1985" s="21" t="n">
        <v>4529.5</v>
      </c>
      <c r="K1985" s="21" t="n">
        <v>5284.41</v>
      </c>
      <c r="L1985" s="21" t="n">
        <v>6039.33</v>
      </c>
      <c r="M1985" s="21" t="n">
        <v>5949</v>
      </c>
    </row>
    <row r="1986">
      <c r="A1986" s="9" t="inlineStr">
        <is>
          <t>ZOEY</t>
        </is>
      </c>
      <c r="B1986" s="9" t="inlineStr">
        <is>
          <t>ZOEY 20/01/2026</t>
        </is>
      </c>
      <c r="C1986" s="9" t="inlineStr">
        <is>
          <t>2026-01-20</t>
        </is>
      </c>
      <c r="D1986" s="9" t="inlineStr">
        <is>
          <t>46740671064493</t>
        </is>
      </c>
      <c r="E1986" s="9" t="inlineStr">
        <is>
          <t>BOLSA DE DEPORTE BLACK</t>
        </is>
      </c>
      <c r="F1986" s="9" t="inlineStr">
        <is>
          <t>Default Title</t>
        </is>
      </c>
      <c r="G1986" s="9" t="n">
        <v>1</v>
      </c>
      <c r="H1986" s="21" t="n">
        <v>40</v>
      </c>
      <c r="I1986" s="21" t="n">
        <v>1041.26</v>
      </c>
      <c r="J1986" s="21" t="n">
        <v>3123.79</v>
      </c>
      <c r="K1986" s="21" t="n">
        <v>3644.42</v>
      </c>
      <c r="L1986" s="21" t="n">
        <v>4165.06</v>
      </c>
      <c r="M1986" s="21" t="n">
        <v>4169</v>
      </c>
    </row>
    <row r="1987">
      <c r="A1987" s="9" t="inlineStr">
        <is>
          <t>ZOEY</t>
        </is>
      </c>
      <c r="B1987" s="9" t="inlineStr">
        <is>
          <t>ZOEY 20/01/2026</t>
        </is>
      </c>
      <c r="C1987" s="9" t="inlineStr">
        <is>
          <t>2026-01-20</t>
        </is>
      </c>
      <c r="D1987" s="9" t="inlineStr">
        <is>
          <t>73626631067117</t>
        </is>
      </c>
      <c r="E1987" s="9" t="inlineStr">
        <is>
          <t>BOLSA DE MANO G GREEN</t>
        </is>
      </c>
      <c r="F1987" s="9" t="inlineStr">
        <is>
          <t>Default Title</t>
        </is>
      </c>
      <c r="G1987" s="9" t="n">
        <v>1</v>
      </c>
      <c r="H1987" s="21" t="n">
        <v>35</v>
      </c>
      <c r="I1987" s="21" t="n">
        <v>911.11</v>
      </c>
      <c r="J1987" s="21" t="n">
        <v>2733.32</v>
      </c>
      <c r="K1987" s="21" t="n">
        <v>3188.87</v>
      </c>
      <c r="L1987" s="21" t="n">
        <v>3644.42</v>
      </c>
      <c r="M1987" s="21" t="n">
        <v>3399</v>
      </c>
    </row>
    <row r="1988">
      <c r="A1988" s="9" t="inlineStr">
        <is>
          <t>ZOEY</t>
        </is>
      </c>
      <c r="B1988" s="9" t="inlineStr">
        <is>
          <t>ZOEY 20/01/2026</t>
        </is>
      </c>
      <c r="C1988" s="9" t="inlineStr">
        <is>
          <t>2026-01-20</t>
        </is>
      </c>
      <c r="D1988" s="9" t="inlineStr">
        <is>
          <t>58450831080173</t>
        </is>
      </c>
      <c r="E1988" s="9" t="inlineStr">
        <is>
          <t>BOLSA DE RAQUETA LLM CREAM</t>
        </is>
      </c>
      <c r="F1988" s="9" t="inlineStr">
        <is>
          <t>Default Title</t>
        </is>
      </c>
      <c r="G1988" s="9" t="n">
        <v>4</v>
      </c>
      <c r="H1988" s="21" t="n">
        <v>30</v>
      </c>
      <c r="I1988" s="21" t="n">
        <v>780.95</v>
      </c>
      <c r="J1988" s="21" t="n">
        <v>2342.84</v>
      </c>
      <c r="K1988" s="21" t="n">
        <v>2733.32</v>
      </c>
      <c r="L1988" s="21" t="n">
        <v>3123.79</v>
      </c>
      <c r="M1988" s="21" t="n">
        <v>3079</v>
      </c>
    </row>
    <row r="1989">
      <c r="A1989" s="9" t="inlineStr">
        <is>
          <t>ZOEY</t>
        </is>
      </c>
      <c r="B1989" s="9" t="inlineStr">
        <is>
          <t>ZOEY 20/01/2026</t>
        </is>
      </c>
      <c r="C1989" s="9" t="inlineStr">
        <is>
          <t>2026-01-20</t>
        </is>
      </c>
      <c r="D1989" s="9" t="inlineStr">
        <is>
          <t>27168511089165</t>
        </is>
      </c>
      <c r="E1989" s="9" t="inlineStr">
        <is>
          <t>BOLSA GG SMALL BROWN</t>
        </is>
      </c>
      <c r="F1989" s="9" t="inlineStr">
        <is>
          <t>Default Title</t>
        </is>
      </c>
      <c r="G1989" s="9" t="n">
        <v>5</v>
      </c>
      <c r="H1989" s="21" t="n">
        <v>46</v>
      </c>
      <c r="I1989" s="21" t="n">
        <v>1197.45</v>
      </c>
      <c r="J1989" s="21" t="n">
        <v>3592.36</v>
      </c>
      <c r="K1989" s="21" t="n">
        <v>4191.09</v>
      </c>
      <c r="L1989" s="21" t="n">
        <v>4789.81</v>
      </c>
      <c r="M1989" s="21" t="n">
        <v>4230.59</v>
      </c>
    </row>
    <row r="1990">
      <c r="A1990" s="9" t="inlineStr">
        <is>
          <t>ZOEY</t>
        </is>
      </c>
      <c r="B1990" s="9" t="inlineStr">
        <is>
          <t>ZOEY 20/01/2026</t>
        </is>
      </c>
      <c r="C1990" s="9" t="inlineStr">
        <is>
          <t>2026-01-20</t>
        </is>
      </c>
      <c r="D1990" s="9" t="inlineStr">
        <is>
          <t>62571331097101</t>
        </is>
      </c>
      <c r="E1990" s="9" t="inlineStr">
        <is>
          <t>BOLSA LLM BLACK</t>
        </is>
      </c>
      <c r="F1990" s="9" t="inlineStr">
        <is>
          <t>Default Title</t>
        </is>
      </c>
      <c r="G1990" s="9" t="n">
        <v>4</v>
      </c>
      <c r="H1990" s="21" t="n">
        <v>8</v>
      </c>
      <c r="I1990" s="21" t="n">
        <v>208.25</v>
      </c>
      <c r="J1990" s="21" t="n">
        <v>624.76</v>
      </c>
      <c r="K1990" s="21" t="n">
        <v>728.88</v>
      </c>
      <c r="L1990" s="21" t="n">
        <v>833.01</v>
      </c>
      <c r="M1990" s="21" t="n">
        <v>785</v>
      </c>
    </row>
    <row r="1991">
      <c r="A1991" s="9" t="inlineStr">
        <is>
          <t>ZOEY</t>
        </is>
      </c>
      <c r="B1991" s="9" t="inlineStr">
        <is>
          <t>ZOEY 20/01/2026</t>
        </is>
      </c>
      <c r="C1991" s="9" t="inlineStr">
        <is>
          <t>2026-01-20</t>
        </is>
      </c>
      <c r="D1991" s="9" t="inlineStr">
        <is>
          <t>52394691046605</t>
        </is>
      </c>
      <c r="E1991" s="9" t="inlineStr">
        <is>
          <t>BOLSA NANO NOÉ LV BROWN</t>
        </is>
      </c>
      <c r="F1991" s="9" t="inlineStr">
        <is>
          <t>13 cm de largo x 16 cm de alto x 10cm de ancho</t>
        </is>
      </c>
      <c r="G1991" s="9" t="n">
        <v>10</v>
      </c>
      <c r="H1991" s="21" t="n">
        <v>20</v>
      </c>
      <c r="I1991" s="21" t="n">
        <v>520.63</v>
      </c>
      <c r="J1991" s="21" t="n">
        <v>1561.9</v>
      </c>
      <c r="K1991" s="21" t="n">
        <v>1822.21</v>
      </c>
      <c r="L1991" s="21" t="n">
        <v>2082.53</v>
      </c>
      <c r="M1991" s="21" t="n">
        <v>2049</v>
      </c>
    </row>
    <row r="1992">
      <c r="A1992" s="9" t="inlineStr">
        <is>
          <t>ZOEY</t>
        </is>
      </c>
      <c r="B1992" s="9" t="inlineStr">
        <is>
          <t>ZOEY 20/01/2026</t>
        </is>
      </c>
      <c r="C1992" s="9" t="inlineStr">
        <is>
          <t>2026-01-20</t>
        </is>
      </c>
      <c r="D1992" s="9" t="inlineStr">
        <is>
          <t>52394691046605</t>
        </is>
      </c>
      <c r="E1992" s="9" t="inlineStr">
        <is>
          <t>BOLSA NANO NOÉ LV BROWN</t>
        </is>
      </c>
      <c r="F1992" s="9" t="inlineStr">
        <is>
          <t>13 cm de largo x 16 cm de alto x 10cm de ancho</t>
        </is>
      </c>
      <c r="G1992" s="9" t="n">
        <v>4</v>
      </c>
      <c r="H1992" s="21" t="n">
        <v>20</v>
      </c>
      <c r="I1992" s="21" t="n">
        <v>520.63</v>
      </c>
      <c r="J1992" s="21" t="n">
        <v>1561.9</v>
      </c>
      <c r="K1992" s="21" t="n">
        <v>1822.21</v>
      </c>
      <c r="L1992" s="21" t="n">
        <v>2082.53</v>
      </c>
      <c r="M1992" s="21" t="n">
        <v>2049</v>
      </c>
    </row>
    <row r="1993">
      <c r="A1993" s="9" t="inlineStr">
        <is>
          <t>ZOEY</t>
        </is>
      </c>
      <c r="B1993" s="9" t="inlineStr">
        <is>
          <t>ZOEY 20/01/2026</t>
        </is>
      </c>
      <c r="C1993" s="9" t="inlineStr">
        <is>
          <t>2026-01-20</t>
        </is>
      </c>
      <c r="D1993" s="9" t="inlineStr">
        <is>
          <t>654bdbd00f373</t>
        </is>
      </c>
      <c r="E1993" s="9" t="inlineStr">
        <is>
          <t>BOLSO B WHITE</t>
        </is>
      </c>
      <c r="F1993" s="9" t="inlineStr">
        <is>
          <t>17cm de largo x 11cm de alto x 8.3cm de ancho</t>
        </is>
      </c>
      <c r="G1993" s="9" t="n">
        <v>2</v>
      </c>
      <c r="H1993" s="21" t="n">
        <v>45</v>
      </c>
      <c r="I1993" s="21" t="n">
        <v>1171.42</v>
      </c>
      <c r="J1993" s="21" t="n">
        <v>3514.27</v>
      </c>
      <c r="K1993" s="21" t="n">
        <v>4099.98</v>
      </c>
      <c r="L1993" s="21" t="n">
        <v>4685.69</v>
      </c>
      <c r="M1993" s="21" t="n">
        <v>4099.98</v>
      </c>
    </row>
    <row r="1994">
      <c r="A1994" s="9" t="inlineStr">
        <is>
          <t>ZOEY</t>
        </is>
      </c>
      <c r="B1994" s="9" t="inlineStr">
        <is>
          <t>ZOEY 20/01/2026</t>
        </is>
      </c>
      <c r="C1994" s="9" t="inlineStr">
        <is>
          <t>2026-01-20</t>
        </is>
      </c>
      <c r="D1994" s="9" t="inlineStr">
        <is>
          <t>43728083210732</t>
        </is>
      </c>
      <c r="E1994" s="9" t="inlineStr">
        <is>
          <t>BOLSO CC 22</t>
        </is>
      </c>
      <c r="F1994" s="9" t="inlineStr">
        <is>
          <t>19cm de alto x 23.5cm de ancho</t>
        </is>
      </c>
      <c r="G1994" s="9" t="n">
        <v>3</v>
      </c>
      <c r="H1994" s="21" t="n">
        <v>50</v>
      </c>
      <c r="I1994" s="21" t="n">
        <v>1301.58</v>
      </c>
      <c r="J1994" s="21" t="n">
        <v>3904.74</v>
      </c>
      <c r="K1994" s="21" t="n">
        <v>4555.53</v>
      </c>
      <c r="L1994" s="21" t="n">
        <v>5206.32</v>
      </c>
      <c r="M1994" s="21" t="n">
        <v>4519</v>
      </c>
    </row>
    <row r="1995">
      <c r="A1995" s="9" t="inlineStr">
        <is>
          <t>ZOEY</t>
        </is>
      </c>
      <c r="B1995" s="9" t="inlineStr">
        <is>
          <t>ZOEY 20/01/2026</t>
        </is>
      </c>
      <c r="C1995" s="9" t="inlineStr">
        <is>
          <t>2026-01-20</t>
        </is>
      </c>
      <c r="D1995" s="9" t="inlineStr">
        <is>
          <t>17760786033676</t>
        </is>
      </c>
      <c r="E1995" s="9" t="inlineStr">
        <is>
          <t>BOLSO CC 22 SILVER</t>
        </is>
      </c>
      <c r="F1995" s="9" t="inlineStr">
        <is>
          <t>19cm de alto x 23.5cm de ancho</t>
        </is>
      </c>
      <c r="G1995" s="9" t="n">
        <v>4</v>
      </c>
      <c r="H1995" s="21" t="n">
        <v>50</v>
      </c>
      <c r="I1995" s="21" t="n">
        <v>1301.58</v>
      </c>
      <c r="J1995" s="21" t="n">
        <v>3904.74</v>
      </c>
      <c r="K1995" s="21" t="n">
        <v>4555.53</v>
      </c>
      <c r="L1995" s="21" t="n">
        <v>5206.32</v>
      </c>
      <c r="M1995" s="21" t="n">
        <v>4519</v>
      </c>
    </row>
    <row r="1996">
      <c r="A1996" s="9" t="inlineStr">
        <is>
          <t>ZOEY</t>
        </is>
      </c>
      <c r="B1996" s="9" t="inlineStr">
        <is>
          <t>ZOEY 20/01/2026</t>
        </is>
      </c>
      <c r="C1996" s="9" t="inlineStr">
        <is>
          <t>2026-01-20</t>
        </is>
      </c>
      <c r="D1996" s="9" t="inlineStr">
        <is>
          <t>64571791072897</t>
        </is>
      </c>
      <c r="E1996" s="9" t="inlineStr">
        <is>
          <t>BOLSO CC BLACK</t>
        </is>
      </c>
      <c r="F1996" s="9" t="inlineStr">
        <is>
          <t>25cm de largo x 17cm de alto x 6cm de ancho</t>
        </is>
      </c>
      <c r="G1996" s="9" t="n">
        <v>2</v>
      </c>
      <c r="H1996" s="21" t="n">
        <v>48</v>
      </c>
      <c r="I1996" s="21" t="n">
        <v>1249.52</v>
      </c>
      <c r="J1996" s="21" t="n">
        <v>3748.55</v>
      </c>
      <c r="K1996" s="21" t="n">
        <v>4373.31</v>
      </c>
      <c r="L1996" s="21" t="n">
        <v>4998.07</v>
      </c>
      <c r="M1996" s="21" t="n">
        <v>5089</v>
      </c>
    </row>
    <row r="1997">
      <c r="A1997" s="9" t="inlineStr">
        <is>
          <t>ZOEY</t>
        </is>
      </c>
      <c r="B1997" s="9" t="inlineStr">
        <is>
          <t>ZOEY 20/01/2026</t>
        </is>
      </c>
      <c r="C1997" s="9" t="inlineStr">
        <is>
          <t>2026-01-20</t>
        </is>
      </c>
      <c r="D1997" s="9" t="inlineStr">
        <is>
          <t>43728083428428</t>
        </is>
      </c>
      <c r="E1997" s="9" t="inlineStr">
        <is>
          <t>BOLSO CD GROOVE 20</t>
        </is>
      </c>
      <c r="F1997" s="9" t="inlineStr">
        <is>
          <t>25.5cm de largo x 21cm de alto x 15.5cm de ancho</t>
        </is>
      </c>
      <c r="G1997" s="9" t="n">
        <v>2</v>
      </c>
      <c r="H1997" s="21" t="n">
        <v>55</v>
      </c>
      <c r="I1997" s="21" t="n">
        <v>1431.74</v>
      </c>
      <c r="J1997" s="21" t="n">
        <v>4295.21</v>
      </c>
      <c r="K1997" s="21" t="n">
        <v>5011.08</v>
      </c>
      <c r="L1997" s="21" t="n">
        <v>5726.95</v>
      </c>
      <c r="M1997" s="21" t="n">
        <v>5058.32</v>
      </c>
    </row>
    <row r="1998">
      <c r="A1998" s="9" t="inlineStr">
        <is>
          <t>ZOEY</t>
        </is>
      </c>
      <c r="B1998" s="9" t="inlineStr">
        <is>
          <t>ZOEY 20/01/2026</t>
        </is>
      </c>
      <c r="C1998" s="9" t="inlineStr">
        <is>
          <t>2026-01-20</t>
        </is>
      </c>
      <c r="D1998" s="9" t="inlineStr">
        <is>
          <t>43728083774252</t>
        </is>
      </c>
      <c r="E1998" s="9" t="inlineStr">
        <is>
          <t>BOLSO DE VIAJE  LV KEEPALL 45</t>
        </is>
      </c>
      <c r="F1998" s="9" t="inlineStr">
        <is>
          <t>44cm de largo x 25cm de alto x 20cm de ancho</t>
        </is>
      </c>
      <c r="G1998" s="9" t="n">
        <v>1</v>
      </c>
      <c r="H1998" s="21" t="n">
        <v>60</v>
      </c>
      <c r="I1998" s="21" t="n">
        <v>1561.9</v>
      </c>
      <c r="J1998" s="21" t="n">
        <v>4685.69</v>
      </c>
      <c r="K1998" s="21" t="n">
        <v>5466.64</v>
      </c>
      <c r="L1998" s="21" t="n">
        <v>6247.58</v>
      </c>
      <c r="M1998" s="21" t="n">
        <v>5419</v>
      </c>
    </row>
    <row r="1999">
      <c r="A1999" s="9" t="inlineStr">
        <is>
          <t>ZOEY</t>
        </is>
      </c>
      <c r="B1999" s="9" t="inlineStr">
        <is>
          <t>ZOEY 20/01/2026</t>
        </is>
      </c>
      <c r="C1999" s="9" t="inlineStr">
        <is>
          <t>2026-01-20</t>
        </is>
      </c>
      <c r="D1999" s="9" t="inlineStr">
        <is>
          <t>64e78f8a50e61</t>
        </is>
      </c>
      <c r="E1999" s="9" t="inlineStr">
        <is>
          <t>BOLSO GC BLACK</t>
        </is>
      </c>
      <c r="F1999" s="9" t="inlineStr">
        <is>
          <t>22.5.cmx15cm</t>
        </is>
      </c>
      <c r="G1999" s="9" t="n">
        <v>1</v>
      </c>
      <c r="H1999" s="21" t="n">
        <v>56</v>
      </c>
      <c r="I1999" s="21" t="n">
        <v>1457.77</v>
      </c>
      <c r="J1999" s="21" t="n">
        <v>4373.31</v>
      </c>
      <c r="K1999" s="21" t="n">
        <v>5102.19</v>
      </c>
      <c r="L1999" s="21" t="n">
        <v>5831.08</v>
      </c>
      <c r="M1999" s="21" t="n">
        <v>5102.19</v>
      </c>
    </row>
    <row r="2000">
      <c r="A2000" s="9" t="inlineStr">
        <is>
          <t>ZOEY</t>
        </is>
      </c>
      <c r="B2000" s="9" t="inlineStr">
        <is>
          <t>ZOEY 20/01/2026</t>
        </is>
      </c>
      <c r="C2000" s="9" t="inlineStr">
        <is>
          <t>2026-01-20</t>
        </is>
      </c>
      <c r="D2000" s="9" t="inlineStr">
        <is>
          <t>43728086795884</t>
        </is>
      </c>
      <c r="E2000" s="9" t="inlineStr">
        <is>
          <t>BOLSO GC CHERRY</t>
        </is>
      </c>
      <c r="F2000" s="9" t="inlineStr">
        <is>
          <t>25cm de largo x 16cm de alto x 7.5cm de ancho</t>
        </is>
      </c>
      <c r="G2000" s="9" t="n">
        <v>4</v>
      </c>
      <c r="H2000" s="21" t="n">
        <v>56</v>
      </c>
      <c r="I2000" s="21" t="n">
        <v>1457.77</v>
      </c>
      <c r="J2000" s="21" t="n">
        <v>4373.31</v>
      </c>
      <c r="K2000" s="21" t="n">
        <v>5102.19</v>
      </c>
      <c r="L2000" s="21" t="n">
        <v>5831.08</v>
      </c>
      <c r="M2000" s="21" t="n">
        <v>5775</v>
      </c>
    </row>
    <row r="2001">
      <c r="A2001" s="9" t="inlineStr">
        <is>
          <t>ZOEY</t>
        </is>
      </c>
      <c r="B2001" s="9" t="inlineStr">
        <is>
          <t>ZOEY 20/01/2026</t>
        </is>
      </c>
      <c r="C2001" s="9" t="inlineStr">
        <is>
          <t>2026-01-20</t>
        </is>
      </c>
      <c r="D2001" s="9" t="inlineStr">
        <is>
          <t>6701d2474e1b0</t>
        </is>
      </c>
      <c r="E2001" s="9" t="inlineStr">
        <is>
          <t>BOLSO GC MARMONT BLACK</t>
        </is>
      </c>
      <c r="F2001" s="9" t="inlineStr">
        <is>
          <t>20cm de largo x 15cm de alto x 8cm de ancho</t>
        </is>
      </c>
      <c r="G2001" s="9" t="n">
        <v>3</v>
      </c>
      <c r="H2001" s="21" t="n">
        <v>48</v>
      </c>
      <c r="I2001" s="21" t="n">
        <v>1249.52</v>
      </c>
      <c r="J2001" s="21" t="n">
        <v>3748.55</v>
      </c>
      <c r="K2001" s="21" t="n">
        <v>4373.31</v>
      </c>
      <c r="L2001" s="21" t="n">
        <v>4998.07</v>
      </c>
      <c r="M2001" s="21" t="n">
        <v>4373.31</v>
      </c>
    </row>
    <row r="2002">
      <c r="A2002" s="9" t="inlineStr">
        <is>
          <t>ZOEY</t>
        </is>
      </c>
      <c r="B2002" s="9" t="inlineStr">
        <is>
          <t>ZOEY 20/01/2026</t>
        </is>
      </c>
      <c r="C2002" s="9" t="inlineStr">
        <is>
          <t>2026-01-20</t>
        </is>
      </c>
      <c r="D2002" s="9" t="inlineStr">
        <is>
          <t>66df5ec06fc76</t>
        </is>
      </c>
      <c r="E2002" s="9" t="inlineStr">
        <is>
          <t>BOLSO LADY D CHAROL BLACK</t>
        </is>
      </c>
      <c r="F2002" s="9" t="inlineStr">
        <is>
          <t>23.5cm de largo x 21cm de alto x 12cm de ancho</t>
        </is>
      </c>
      <c r="G2002" s="9" t="n">
        <v>1</v>
      </c>
      <c r="H2002" s="21" t="n">
        <v>56</v>
      </c>
      <c r="I2002" s="21" t="n">
        <v>1457.77</v>
      </c>
      <c r="J2002" s="21" t="n">
        <v>4373.31</v>
      </c>
      <c r="K2002" s="21" t="n">
        <v>5102.19</v>
      </c>
      <c r="L2002" s="21" t="n">
        <v>5831.08</v>
      </c>
      <c r="M2002" s="21" t="n">
        <v>5454</v>
      </c>
    </row>
    <row r="2003">
      <c r="A2003" s="9" t="inlineStr">
        <is>
          <t>ZOEY</t>
        </is>
      </c>
      <c r="B2003" s="9" t="inlineStr">
        <is>
          <t>ZOEY 20/01/2026</t>
        </is>
      </c>
      <c r="C2003" s="9" t="inlineStr">
        <is>
          <t>2026-01-20</t>
        </is>
      </c>
      <c r="D2003" s="9" t="inlineStr">
        <is>
          <t>66df5ec1b9bcc</t>
        </is>
      </c>
      <c r="E2003" s="9" t="inlineStr">
        <is>
          <t>BOLSO LADY D CHAROL DUSTY PINK</t>
        </is>
      </c>
      <c r="F2003" s="9" t="inlineStr">
        <is>
          <t>23.5cm de largo x 21cm de alto x 12cm de ancho</t>
        </is>
      </c>
      <c r="G2003" s="9" t="n">
        <v>1</v>
      </c>
      <c r="H2003" s="21" t="n">
        <v>56</v>
      </c>
      <c r="I2003" s="21" t="n">
        <v>1457.77</v>
      </c>
      <c r="J2003" s="21" t="n">
        <v>4373.31</v>
      </c>
      <c r="K2003" s="21" t="n">
        <v>5102.19</v>
      </c>
      <c r="L2003" s="21" t="n">
        <v>5831.08</v>
      </c>
      <c r="M2003" s="21" t="n">
        <v>5775</v>
      </c>
    </row>
    <row r="2004">
      <c r="A2004" s="9" t="inlineStr">
        <is>
          <t>ZOEY</t>
        </is>
      </c>
      <c r="B2004" s="9" t="inlineStr">
        <is>
          <t>ZOEY 20/01/2026</t>
        </is>
      </c>
      <c r="C2004" s="9" t="inlineStr">
        <is>
          <t>2026-01-20</t>
        </is>
      </c>
      <c r="D2004" s="9" t="inlineStr">
        <is>
          <t>43124053803148</t>
        </is>
      </c>
      <c r="E2004" s="9" t="inlineStr">
        <is>
          <t>BOLSO LADY D JOY BLACK</t>
        </is>
      </c>
      <c r="F2004" s="9" t="inlineStr">
        <is>
          <t>25.5cm de largo x 14cm de alto x 6.8cm de ancho</t>
        </is>
      </c>
      <c r="G2004" s="9" t="n">
        <v>4</v>
      </c>
      <c r="H2004" s="21" t="n">
        <v>56</v>
      </c>
      <c r="I2004" s="21" t="n">
        <v>1457.77</v>
      </c>
      <c r="J2004" s="21" t="n">
        <v>4373.31</v>
      </c>
      <c r="K2004" s="21" t="n">
        <v>5102.19</v>
      </c>
      <c r="L2004" s="21" t="n">
        <v>5831.08</v>
      </c>
      <c r="M2004" s="21" t="n">
        <v>5219</v>
      </c>
    </row>
    <row r="2005">
      <c r="A2005" s="9" t="inlineStr">
        <is>
          <t>ZOEY</t>
        </is>
      </c>
      <c r="B2005" s="9" t="inlineStr">
        <is>
          <t>ZOEY 20/01/2026</t>
        </is>
      </c>
      <c r="C2005" s="9" t="inlineStr">
        <is>
          <t>2026-01-20</t>
        </is>
      </c>
      <c r="D2005" s="9" t="inlineStr">
        <is>
          <t>66581dfdba9ed</t>
        </is>
      </c>
      <c r="E2005" s="9" t="inlineStr">
        <is>
          <t>BOLSO LADY D RED</t>
        </is>
      </c>
      <c r="F2005" s="9" t="inlineStr">
        <is>
          <t>23.5cm de largo x 20.5cm alto x 12.5cm de ancho</t>
        </is>
      </c>
      <c r="G2005" s="9" t="n">
        <v>1</v>
      </c>
      <c r="H2005" s="21" t="n">
        <v>56</v>
      </c>
      <c r="I2005" s="21" t="n">
        <v>1457.77</v>
      </c>
      <c r="J2005" s="21" t="n">
        <v>4373.31</v>
      </c>
      <c r="K2005" s="21" t="n">
        <v>5102.19</v>
      </c>
      <c r="L2005" s="21" t="n">
        <v>5831.08</v>
      </c>
      <c r="M2005" s="21" t="n">
        <v>5940</v>
      </c>
    </row>
    <row r="2006">
      <c r="A2006" s="9" t="inlineStr">
        <is>
          <t>ZOEY</t>
        </is>
      </c>
      <c r="B2006" s="9" t="inlineStr">
        <is>
          <t>ZOEY 20/01/2026</t>
        </is>
      </c>
      <c r="C2006" s="9" t="inlineStr">
        <is>
          <t>2026-01-20</t>
        </is>
      </c>
      <c r="D2006" s="9" t="inlineStr">
        <is>
          <t>6701d2559565d</t>
        </is>
      </c>
      <c r="E2006" s="9" t="inlineStr">
        <is>
          <t>BOLSO LV DAUPHINE</t>
        </is>
      </c>
      <c r="F2006" s="9" t="inlineStr">
        <is>
          <t>25.3cm de largo x 19.5cm de alto x 9cm de ancho (REMATE)</t>
        </is>
      </c>
      <c r="G2006" s="9" t="n">
        <v>1</v>
      </c>
      <c r="H2006" s="21" t="n">
        <v>55</v>
      </c>
      <c r="I2006" s="21" t="n">
        <v>1431.74</v>
      </c>
      <c r="J2006" s="21" t="n">
        <v>4295.21</v>
      </c>
      <c r="K2006" s="21" t="n">
        <v>5011.08</v>
      </c>
      <c r="L2006" s="21" t="n">
        <v>5726.95</v>
      </c>
      <c r="M2006" s="21" t="n">
        <v>5839</v>
      </c>
    </row>
    <row r="2007">
      <c r="A2007" s="9" t="inlineStr">
        <is>
          <t>ZOEY</t>
        </is>
      </c>
      <c r="B2007" s="9" t="inlineStr">
        <is>
          <t>ZOEY 20/01/2026</t>
        </is>
      </c>
      <c r="C2007" s="9" t="inlineStr">
        <is>
          <t>2026-01-20</t>
        </is>
      </c>
      <c r="D2007" s="9" t="inlineStr">
        <is>
          <t>68802903720716</t>
        </is>
      </c>
      <c r="E2007" s="9" t="inlineStr">
        <is>
          <t>BOLSO LV HAMAC</t>
        </is>
      </c>
      <c r="F2007" s="9" t="inlineStr">
        <is>
          <t>30cm de largo x 16cm de alto x 7.5cm de ancho</t>
        </is>
      </c>
      <c r="G2007" s="9" t="n">
        <v>2</v>
      </c>
      <c r="H2007" s="21" t="n">
        <v>45</v>
      </c>
      <c r="I2007" s="21" t="n">
        <v>1171.42</v>
      </c>
      <c r="J2007" s="21" t="n">
        <v>3514.27</v>
      </c>
      <c r="K2007" s="21" t="n">
        <v>4099.98</v>
      </c>
      <c r="L2007" s="21" t="n">
        <v>4685.69</v>
      </c>
      <c r="M2007" s="21" t="n">
        <v>4689</v>
      </c>
    </row>
    <row r="2008">
      <c r="A2008" s="9" t="inlineStr">
        <is>
          <t>ZOEY</t>
        </is>
      </c>
      <c r="B2008" s="9" t="inlineStr">
        <is>
          <t>ZOEY 20/01/2026</t>
        </is>
      </c>
      <c r="C2008" s="9" t="inlineStr">
        <is>
          <t>2026-01-20</t>
        </is>
      </c>
      <c r="D2008" s="9" t="inlineStr">
        <is>
          <t>43728086581452</t>
        </is>
      </c>
      <c r="E2008" s="9" t="inlineStr">
        <is>
          <t>BOLSO LV LOCKIT BB</t>
        </is>
      </c>
      <c r="F2008" s="9" t="inlineStr">
        <is>
          <t>19cm de largo x 19cm de alto x 7cm de ancho</t>
        </is>
      </c>
      <c r="G2008" s="9" t="n">
        <v>2</v>
      </c>
      <c r="H2008" s="21" t="n">
        <v>43</v>
      </c>
      <c r="I2008" s="21" t="n">
        <v>1119.36</v>
      </c>
      <c r="J2008" s="21" t="n">
        <v>3358.08</v>
      </c>
      <c r="K2008" s="21" t="n">
        <v>3917.76</v>
      </c>
      <c r="L2008" s="21" t="n">
        <v>4477.44</v>
      </c>
      <c r="M2008" s="21" t="n">
        <v>4479</v>
      </c>
    </row>
    <row r="2009">
      <c r="A2009" s="9" t="inlineStr">
        <is>
          <t>ZOEY</t>
        </is>
      </c>
      <c r="B2009" s="9" t="inlineStr">
        <is>
          <t>ZOEY 20/01/2026</t>
        </is>
      </c>
      <c r="C2009" s="9" t="inlineStr">
        <is>
          <t>2026-01-20</t>
        </is>
      </c>
      <c r="D2009" s="9" t="inlineStr">
        <is>
          <t>68802901471244</t>
        </is>
      </c>
      <c r="E2009" s="9" t="inlineStr">
        <is>
          <t>BOLSO LV MESSENGER</t>
        </is>
      </c>
      <c r="F2009" s="9" t="inlineStr">
        <is>
          <t>30cm de largo x 20cm de alto x 10 cm de ancho</t>
        </is>
      </c>
      <c r="G2009" s="9" t="n">
        <v>3</v>
      </c>
      <c r="H2009" s="21" t="n">
        <v>48</v>
      </c>
      <c r="I2009" s="21" t="n">
        <v>1249.52</v>
      </c>
      <c r="J2009" s="21" t="n">
        <v>3748.55</v>
      </c>
      <c r="K2009" s="21" t="n">
        <v>4373.31</v>
      </c>
      <c r="L2009" s="21" t="n">
        <v>4998.07</v>
      </c>
      <c r="M2009" s="21" t="n">
        <v>4499</v>
      </c>
    </row>
    <row r="2010">
      <c r="A2010" s="9" t="inlineStr">
        <is>
          <t>ZOEY</t>
        </is>
      </c>
      <c r="B2010" s="9" t="inlineStr">
        <is>
          <t>ZOEY 20/01/2026</t>
        </is>
      </c>
      <c r="C2010" s="9" t="inlineStr">
        <is>
          <t>2026-01-20</t>
        </is>
      </c>
      <c r="D2010" s="9" t="inlineStr">
        <is>
          <t>43020901133964</t>
        </is>
      </c>
      <c r="E2010" s="9" t="inlineStr">
        <is>
          <t>BOLSO LV NEVERFULL</t>
        </is>
      </c>
      <c r="F2010" s="9" t="inlineStr">
        <is>
          <t>47cm x 29cm</t>
        </is>
      </c>
      <c r="G2010" s="9" t="n">
        <v>4</v>
      </c>
      <c r="H2010" s="21" t="n">
        <v>40</v>
      </c>
      <c r="I2010" s="21" t="n">
        <v>1041.26</v>
      </c>
      <c r="J2010" s="21" t="n">
        <v>3123.79</v>
      </c>
      <c r="K2010" s="21" t="n">
        <v>3644.42</v>
      </c>
      <c r="L2010" s="21" t="n">
        <v>4165.06</v>
      </c>
      <c r="M2010" s="21" t="n">
        <v>3899</v>
      </c>
    </row>
    <row r="2011">
      <c r="A2011" s="9" t="inlineStr">
        <is>
          <t>ZOEY</t>
        </is>
      </c>
      <c r="B2011" s="9" t="inlineStr">
        <is>
          <t>ZOEY 20/01/2026</t>
        </is>
      </c>
      <c r="C2011" s="9" t="inlineStr">
        <is>
          <t>2026-01-20</t>
        </is>
      </c>
      <c r="D2011" s="9" t="inlineStr">
        <is>
          <t>89631571079533</t>
        </is>
      </c>
      <c r="E2011" s="9" t="inlineStr">
        <is>
          <t>BOLSO LV TOTE PILLOW BLACK</t>
        </is>
      </c>
      <c r="F2011" s="9" t="inlineStr"/>
      <c r="G2011" s="9" t="n">
        <v>1</v>
      </c>
      <c r="H2011" s="21" t="n">
        <v>48</v>
      </c>
      <c r="I2011" s="21" t="n">
        <v>1249.52</v>
      </c>
      <c r="J2011" s="21" t="n">
        <v>3748.55</v>
      </c>
      <c r="K2011" s="21" t="n">
        <v>4373.31</v>
      </c>
      <c r="L2011" s="21" t="n">
        <v>4998.07</v>
      </c>
      <c r="M2011" s="21" t="n">
        <v>5090</v>
      </c>
    </row>
    <row r="2012">
      <c r="A2012" s="9" t="inlineStr">
        <is>
          <t>ZOEY</t>
        </is>
      </c>
      <c r="B2012" s="9" t="inlineStr">
        <is>
          <t>ZOEY 20/01/2026</t>
        </is>
      </c>
      <c r="C2012" s="9" t="inlineStr">
        <is>
          <t>2026-01-20</t>
        </is>
      </c>
      <c r="D2012" s="9" t="inlineStr">
        <is>
          <t>6701d185d4f38</t>
        </is>
      </c>
      <c r="E2012" s="9" t="inlineStr">
        <is>
          <t>BOLSO MM WANDER BLACK</t>
        </is>
      </c>
      <c r="F2012" s="9" t="inlineStr">
        <is>
          <t>20cm de alto x 25cm de largo x 8cm de ancho</t>
        </is>
      </c>
      <c r="G2012" s="9" t="n">
        <v>2</v>
      </c>
      <c r="H2012" s="21" t="n">
        <v>48</v>
      </c>
      <c r="I2012" s="21" t="n">
        <v>1249.52</v>
      </c>
      <c r="J2012" s="21" t="n">
        <v>3748.55</v>
      </c>
      <c r="K2012" s="21" t="n">
        <v>4373.31</v>
      </c>
      <c r="L2012" s="21" t="n">
        <v>4998.07</v>
      </c>
      <c r="M2012" s="21" t="n">
        <v>4310</v>
      </c>
    </row>
    <row r="2013">
      <c r="A2013" s="9" t="inlineStr">
        <is>
          <t>ZOEY</t>
        </is>
      </c>
      <c r="B2013" s="9" t="inlineStr">
        <is>
          <t>ZOEY 20/01/2026</t>
        </is>
      </c>
      <c r="C2013" s="9" t="inlineStr">
        <is>
          <t>2026-01-20</t>
        </is>
      </c>
      <c r="D2013" s="9" t="inlineStr">
        <is>
          <t>6701d1c8792fe</t>
        </is>
      </c>
      <c r="E2013" s="9" t="inlineStr">
        <is>
          <t>BOLSO MM WANDER OFF WHITE</t>
        </is>
      </c>
      <c r="F2013" s="9" t="inlineStr">
        <is>
          <t>20cm de alto x 25cm de largo x 8cm de ancho</t>
        </is>
      </c>
      <c r="G2013" s="9" t="n">
        <v>5</v>
      </c>
      <c r="H2013" s="21" t="n">
        <v>48</v>
      </c>
      <c r="I2013" s="21" t="n">
        <v>1249.52</v>
      </c>
      <c r="J2013" s="21" t="n">
        <v>3748.55</v>
      </c>
      <c r="K2013" s="21" t="n">
        <v>4373.31</v>
      </c>
      <c r="L2013" s="21" t="n">
        <v>4998.07</v>
      </c>
      <c r="M2013" s="21" t="n">
        <v>4373.31</v>
      </c>
    </row>
    <row r="2014">
      <c r="A2014" s="9" t="inlineStr">
        <is>
          <t>ZOEY</t>
        </is>
      </c>
      <c r="B2014" s="9" t="inlineStr">
        <is>
          <t>ZOEY 20/01/2026</t>
        </is>
      </c>
      <c r="C2014" s="9" t="inlineStr">
        <is>
          <t>2026-01-20</t>
        </is>
      </c>
      <c r="D2014" s="9" t="inlineStr">
        <is>
          <t>94758097365260</t>
        </is>
      </c>
      <c r="E2014" s="9" t="inlineStr">
        <is>
          <t>CARTERA G SAINT-MARC GREY</t>
        </is>
      </c>
      <c r="F2014" s="9" t="inlineStr">
        <is>
          <t>11cm x 8cm</t>
        </is>
      </c>
      <c r="G2014" s="9" t="n">
        <v>8</v>
      </c>
      <c r="H2014" s="21" t="n">
        <v>15</v>
      </c>
      <c r="I2014" s="21" t="n">
        <v>390.47</v>
      </c>
      <c r="J2014" s="21" t="n">
        <v>1171.42</v>
      </c>
      <c r="K2014" s="21" t="n">
        <v>1366.66</v>
      </c>
      <c r="L2014" s="21" t="n">
        <v>1561.9</v>
      </c>
      <c r="M2014" s="21" t="n">
        <v>1599</v>
      </c>
    </row>
    <row r="2015">
      <c r="A2015" s="9" t="inlineStr">
        <is>
          <t>ZOEY</t>
        </is>
      </c>
      <c r="B2015" s="9" t="inlineStr">
        <is>
          <t>ZOEY 20/01/2026</t>
        </is>
      </c>
      <c r="C2015" s="9" t="inlineStr">
        <is>
          <t>2026-01-20</t>
        </is>
      </c>
      <c r="D2015" s="9" t="inlineStr">
        <is>
          <t>43728085897228</t>
        </is>
      </c>
      <c r="E2015" s="9" t="inlineStr">
        <is>
          <t>CARTERA GC OPHIDIA</t>
        </is>
      </c>
      <c r="F2015" s="9" t="inlineStr">
        <is>
          <t>12cm de largo x 10cm de alto</t>
        </is>
      </c>
      <c r="G2015" s="9" t="n">
        <v>2</v>
      </c>
      <c r="H2015" s="21" t="n">
        <v>18</v>
      </c>
      <c r="I2015" s="21" t="n">
        <v>468.57</v>
      </c>
      <c r="J2015" s="21" t="n">
        <v>1405.71</v>
      </c>
      <c r="K2015" s="21" t="n">
        <v>1639.99</v>
      </c>
      <c r="L2015" s="21" t="n">
        <v>1874.28</v>
      </c>
      <c r="M2015" s="21" t="n">
        <v>1849</v>
      </c>
    </row>
    <row r="2016">
      <c r="A2016" s="9" t="inlineStr">
        <is>
          <t>ZOEY</t>
        </is>
      </c>
      <c r="B2016" s="9" t="inlineStr">
        <is>
          <t>ZOEY 20/01/2026</t>
        </is>
      </c>
      <c r="C2016" s="9" t="inlineStr">
        <is>
          <t>2026-01-20</t>
        </is>
      </c>
      <c r="D2016" s="9" t="inlineStr">
        <is>
          <t>52394691183085</t>
        </is>
      </c>
      <c r="E2016" s="9" t="inlineStr">
        <is>
          <t>CARTERA ZIPPY LV BROWN</t>
        </is>
      </c>
      <c r="F2016" s="9" t="inlineStr">
        <is>
          <t>Default Title</t>
        </is>
      </c>
      <c r="G2016" s="9" t="n">
        <v>3</v>
      </c>
      <c r="H2016" s="21" t="n">
        <v>15</v>
      </c>
      <c r="I2016" s="21" t="n">
        <v>390.47</v>
      </c>
      <c r="J2016" s="21" t="n">
        <v>1171.42</v>
      </c>
      <c r="K2016" s="21" t="n">
        <v>1366.66</v>
      </c>
      <c r="L2016" s="21" t="n">
        <v>1561.9</v>
      </c>
      <c r="M2016" s="21" t="n">
        <v>1366.66</v>
      </c>
    </row>
    <row r="2017">
      <c r="A2017" s="9" t="inlineStr">
        <is>
          <t>ZOEY</t>
        </is>
      </c>
      <c r="B2017" s="9" t="inlineStr">
        <is>
          <t>ZOEY 20/01/2026</t>
        </is>
      </c>
      <c r="C2017" s="9" t="inlineStr">
        <is>
          <t>2026-01-20</t>
        </is>
      </c>
      <c r="D2017" s="9" t="inlineStr">
        <is>
          <t>43792107834124</t>
        </is>
      </c>
      <c r="E2017" s="9" t="inlineStr">
        <is>
          <t>CINTO CD REVOLUTION</t>
        </is>
      </c>
      <c r="F2017" s="9" t="inlineStr">
        <is>
          <t>110cm</t>
        </is>
      </c>
      <c r="G2017" s="9" t="n">
        <v>3</v>
      </c>
      <c r="H2017" s="21" t="n">
        <v>45</v>
      </c>
      <c r="I2017" s="21" t="n">
        <v>1171.42</v>
      </c>
      <c r="J2017" s="21" t="n">
        <v>3514.27</v>
      </c>
      <c r="K2017" s="21" t="n">
        <v>4099.98</v>
      </c>
      <c r="L2017" s="21" t="n">
        <v>4685.69</v>
      </c>
      <c r="M2017" s="21" t="n">
        <v>4399</v>
      </c>
    </row>
    <row r="2018">
      <c r="A2018" s="9" t="inlineStr">
        <is>
          <t>ZOEY</t>
        </is>
      </c>
      <c r="B2018" s="9" t="inlineStr">
        <is>
          <t>ZOEY 20/01/2026</t>
        </is>
      </c>
      <c r="C2018" s="9" t="inlineStr">
        <is>
          <t>2026-01-20</t>
        </is>
      </c>
      <c r="D2018" s="9" t="inlineStr">
        <is>
          <t>63264441047757</t>
        </is>
      </c>
      <c r="E2018" s="9" t="inlineStr">
        <is>
          <t>COLLAR CD GOLD CON PERLAS</t>
        </is>
      </c>
      <c r="F2018" s="9" t="inlineStr">
        <is>
          <t>Default Title</t>
        </is>
      </c>
      <c r="G2018" s="9" t="n">
        <v>2</v>
      </c>
      <c r="H2018" s="21" t="n">
        <v>9</v>
      </c>
      <c r="I2018" s="21" t="n">
        <v>234.28</v>
      </c>
      <c r="J2018" s="21" t="n">
        <v>702.85</v>
      </c>
      <c r="K2018" s="21" t="n">
        <v>820</v>
      </c>
      <c r="L2018" s="21" t="n">
        <v>937.14</v>
      </c>
      <c r="M2018" s="21" t="n">
        <v>959</v>
      </c>
    </row>
    <row r="2019">
      <c r="A2019" s="9" t="inlineStr">
        <is>
          <t>ZOEY</t>
        </is>
      </c>
      <c r="B2019" s="9" t="inlineStr">
        <is>
          <t>ZOEY 20/01/2026</t>
        </is>
      </c>
      <c r="C2019" s="9" t="inlineStr">
        <is>
          <t>2026-01-20</t>
        </is>
      </c>
      <c r="D2019" s="9" t="inlineStr">
        <is>
          <t>67319253498892</t>
        </is>
      </c>
      <c r="E2019" s="9" t="inlineStr">
        <is>
          <t>COLLAR CD REVOLUTION</t>
        </is>
      </c>
      <c r="F2019" s="9" t="inlineStr">
        <is>
          <t>41cm con 6cm de extensión</t>
        </is>
      </c>
      <c r="G2019" s="9" t="n">
        <v>1</v>
      </c>
      <c r="H2019" s="21" t="n">
        <v>8</v>
      </c>
      <c r="I2019" s="21" t="n">
        <v>208.25</v>
      </c>
      <c r="J2019" s="21" t="n">
        <v>624.76</v>
      </c>
      <c r="K2019" s="21" t="n">
        <v>728.88</v>
      </c>
      <c r="L2019" s="21" t="n">
        <v>833.01</v>
      </c>
      <c r="M2019" s="21" t="n">
        <v>899</v>
      </c>
    </row>
    <row r="2020">
      <c r="A2020" s="9" t="inlineStr">
        <is>
          <t>ZOEY</t>
        </is>
      </c>
      <c r="B2020" s="9" t="inlineStr">
        <is>
          <t>ZOEY 20/01/2026</t>
        </is>
      </c>
      <c r="C2020" s="9" t="inlineStr">
        <is>
          <t>2026-01-20</t>
        </is>
      </c>
      <c r="D2020" s="9" t="inlineStr">
        <is>
          <t>43986811051937</t>
        </is>
      </c>
      <c r="E2020" s="9" t="inlineStr">
        <is>
          <t>COLLAR CORAZÓN GOLD</t>
        </is>
      </c>
      <c r="F2020" s="9" t="inlineStr">
        <is>
          <t>Titanio 45cm / dije 1cm</t>
        </is>
      </c>
      <c r="G2020" s="9" t="n">
        <v>6</v>
      </c>
      <c r="H2020" s="21" t="n">
        <v>9</v>
      </c>
      <c r="I2020" s="21" t="n">
        <v>234.28</v>
      </c>
      <c r="J2020" s="21" t="n">
        <v>702.85</v>
      </c>
      <c r="K2020" s="21" t="n">
        <v>820</v>
      </c>
      <c r="L2020" s="21" t="n">
        <v>937.14</v>
      </c>
      <c r="M2020" s="21" t="n"/>
    </row>
    <row r="2021">
      <c r="A2021" s="9" t="inlineStr">
        <is>
          <t>ZOEY</t>
        </is>
      </c>
      <c r="B2021" s="9" t="inlineStr">
        <is>
          <t>ZOEY 20/01/2026</t>
        </is>
      </c>
      <c r="C2021" s="9" t="inlineStr">
        <is>
          <t>2026-01-20</t>
        </is>
      </c>
      <c r="D2021" s="9" t="inlineStr">
        <is>
          <t>46022281088705</t>
        </is>
      </c>
      <c r="E2021" s="9" t="inlineStr">
        <is>
          <t>COLLAR CORAZÓN SILVER</t>
        </is>
      </c>
      <c r="F2021" s="9" t="inlineStr">
        <is>
          <t>titanio 45cm / dije 1cm</t>
        </is>
      </c>
      <c r="G2021" s="9" t="n">
        <v>3</v>
      </c>
      <c r="H2021" s="21" t="n">
        <v>9</v>
      </c>
      <c r="I2021" s="21" t="n">
        <v>234.28</v>
      </c>
      <c r="J2021" s="21" t="n">
        <v>702.85</v>
      </c>
      <c r="K2021" s="21" t="n">
        <v>820</v>
      </c>
      <c r="L2021" s="21" t="n">
        <v>937.14</v>
      </c>
      <c r="M2021" s="21" t="n"/>
    </row>
    <row r="2022">
      <c r="A2022" s="9" t="inlineStr">
        <is>
          <t>ZOEY</t>
        </is>
      </c>
      <c r="B2022" s="9" t="inlineStr">
        <is>
          <t>ZOEY 20/01/2026</t>
        </is>
      </c>
      <c r="C2022" s="9" t="inlineStr">
        <is>
          <t>2026-01-20</t>
        </is>
      </c>
      <c r="D2022" s="9" t="inlineStr">
        <is>
          <t>22154981086081</t>
        </is>
      </c>
      <c r="E2022" s="9" t="inlineStr">
        <is>
          <t>COLLAR DOBLE PLACA - GOLD PINK</t>
        </is>
      </c>
      <c r="F2022" s="9" t="inlineStr">
        <is>
          <t>44.5cm</t>
        </is>
      </c>
      <c r="G2022" s="9" t="n">
        <v>18</v>
      </c>
      <c r="H2022" s="21" t="n">
        <v>9</v>
      </c>
      <c r="I2022" s="21" t="n">
        <v>234.28</v>
      </c>
      <c r="J2022" s="21" t="n">
        <v>702.85</v>
      </c>
      <c r="K2022" s="21" t="n">
        <v>820</v>
      </c>
      <c r="L2022" s="21" t="n">
        <v>937.14</v>
      </c>
      <c r="M2022" s="21" t="n">
        <v>820</v>
      </c>
    </row>
    <row r="2023">
      <c r="A2023" s="9" t="inlineStr">
        <is>
          <t>ZOEY</t>
        </is>
      </c>
      <c r="B2023" s="9" t="inlineStr">
        <is>
          <t>ZOEY 20/01/2026</t>
        </is>
      </c>
      <c r="C2023" s="9" t="inlineStr">
        <is>
          <t>2026-01-20</t>
        </is>
      </c>
      <c r="D2023" s="9" t="inlineStr">
        <is>
          <t>25156441068705</t>
        </is>
      </c>
      <c r="E2023" s="9" t="inlineStr">
        <is>
          <t>COLLAR DOBLE PLACA-GOLD TURQUESA</t>
        </is>
      </c>
      <c r="F2023" s="9" t="inlineStr">
        <is>
          <t>44.5cm</t>
        </is>
      </c>
      <c r="G2023" s="9" t="n">
        <v>3</v>
      </c>
      <c r="H2023" s="21" t="n">
        <v>9</v>
      </c>
      <c r="I2023" s="21" t="n">
        <v>234.28</v>
      </c>
      <c r="J2023" s="21" t="n">
        <v>702.85</v>
      </c>
      <c r="K2023" s="21" t="n">
        <v>820</v>
      </c>
      <c r="L2023" s="21" t="n">
        <v>937.14</v>
      </c>
      <c r="M2023" s="21" t="n">
        <v>925</v>
      </c>
    </row>
    <row r="2024">
      <c r="A2024" s="9" t="inlineStr">
        <is>
          <t>ZOEY</t>
        </is>
      </c>
      <c r="B2024" s="9" t="inlineStr">
        <is>
          <t>ZOEY 20/01/2026</t>
        </is>
      </c>
      <c r="C2024" s="9" t="inlineStr">
        <is>
          <t>2026-01-20</t>
        </is>
      </c>
      <c r="D2024" s="9" t="inlineStr">
        <is>
          <t>57913391088461</t>
        </is>
      </c>
      <c r="E2024" s="9" t="inlineStr">
        <is>
          <t>COLLAR T ESLABONES GOLD CON PEARL</t>
        </is>
      </c>
      <c r="F2024" s="9" t="inlineStr">
        <is>
          <t>Default Title</t>
        </is>
      </c>
      <c r="G2024" s="9" t="n">
        <v>2</v>
      </c>
      <c r="H2024" s="21" t="n">
        <v>17</v>
      </c>
      <c r="I2024" s="21" t="n">
        <v>442.54</v>
      </c>
      <c r="J2024" s="21" t="n">
        <v>1327.61</v>
      </c>
      <c r="K2024" s="21" t="n">
        <v>1548.88</v>
      </c>
      <c r="L2024" s="21" t="n">
        <v>1770.15</v>
      </c>
      <c r="M2024" s="21" t="n">
        <v>1450</v>
      </c>
    </row>
    <row r="2025">
      <c r="A2025" s="9" t="inlineStr">
        <is>
          <t>ZOEY</t>
        </is>
      </c>
      <c r="B2025" s="9" t="inlineStr">
        <is>
          <t>ZOEY 20/01/2026</t>
        </is>
      </c>
      <c r="C2025" s="9" t="inlineStr">
        <is>
          <t>2026-01-20</t>
        </is>
      </c>
      <c r="D2025" s="9" t="inlineStr">
        <is>
          <t>87904131075277</t>
        </is>
      </c>
      <c r="E2025" s="9" t="inlineStr">
        <is>
          <t>GORRA A BLACK</t>
        </is>
      </c>
      <c r="F2025" s="9" t="inlineStr">
        <is>
          <t>Default Title</t>
        </is>
      </c>
      <c r="G2025" s="9" t="n">
        <v>2</v>
      </c>
      <c r="H2025" s="21" t="n">
        <v>10</v>
      </c>
      <c r="I2025" s="21" t="n">
        <v>260.32</v>
      </c>
      <c r="J2025" s="21" t="n">
        <v>780.95</v>
      </c>
      <c r="K2025" s="21" t="n">
        <v>911.11</v>
      </c>
      <c r="L2025" s="21" t="n">
        <v>1041.26</v>
      </c>
      <c r="M2025" s="21" t="n">
        <v>1069</v>
      </c>
    </row>
    <row r="2026">
      <c r="A2026" s="9" t="inlineStr">
        <is>
          <t>ZOEY</t>
        </is>
      </c>
      <c r="B2026" s="9" t="inlineStr">
        <is>
          <t>ZOEY 20/01/2026</t>
        </is>
      </c>
      <c r="C2026" s="9" t="inlineStr">
        <is>
          <t>2026-01-20</t>
        </is>
      </c>
      <c r="D2026" s="9" t="inlineStr">
        <is>
          <t>69943351015917</t>
        </is>
      </c>
      <c r="E2026" s="9" t="inlineStr">
        <is>
          <t>GORRA A BROWN</t>
        </is>
      </c>
      <c r="F2026" s="9" t="inlineStr">
        <is>
          <t>Default Title</t>
        </is>
      </c>
      <c r="G2026" s="9" t="n">
        <v>5</v>
      </c>
      <c r="H2026" s="21" t="n">
        <v>10</v>
      </c>
      <c r="I2026" s="21" t="n">
        <v>260.32</v>
      </c>
      <c r="J2026" s="21" t="n">
        <v>780.95</v>
      </c>
      <c r="K2026" s="21" t="n">
        <v>911.11</v>
      </c>
      <c r="L2026" s="21" t="n">
        <v>1041.26</v>
      </c>
      <c r="M2026" s="21" t="n">
        <v>1069</v>
      </c>
    </row>
    <row r="2027">
      <c r="A2027" s="9" t="inlineStr">
        <is>
          <t>ZOEY</t>
        </is>
      </c>
      <c r="B2027" s="9" t="inlineStr">
        <is>
          <t>ZOEY 20/01/2026</t>
        </is>
      </c>
      <c r="C2027" s="9" t="inlineStr">
        <is>
          <t>2026-01-20</t>
        </is>
      </c>
      <c r="D2027" s="9" t="inlineStr">
        <is>
          <t>03382867546764</t>
        </is>
      </c>
      <c r="E2027" s="9" t="inlineStr">
        <is>
          <t>GORRA C BEIGE</t>
        </is>
      </c>
      <c r="F2027" s="9" t="inlineStr">
        <is>
          <t>M (AJUSTABLE</t>
        </is>
      </c>
      <c r="G2027" s="9" t="n">
        <v>2</v>
      </c>
      <c r="H2027" s="21" t="n">
        <v>18</v>
      </c>
      <c r="I2027" s="21" t="n">
        <v>468.57</v>
      </c>
      <c r="J2027" s="21" t="n">
        <v>1405.71</v>
      </c>
      <c r="K2027" s="21" t="n">
        <v>1639.99</v>
      </c>
      <c r="L2027" s="21" t="n">
        <v>1874.28</v>
      </c>
      <c r="M2027" s="21" t="n">
        <v>1845</v>
      </c>
    </row>
    <row r="2028">
      <c r="A2028" s="9" t="inlineStr">
        <is>
          <t>ZOEY</t>
        </is>
      </c>
      <c r="B2028" s="9" t="inlineStr">
        <is>
          <t>ZOEY 20/01/2026</t>
        </is>
      </c>
      <c r="C2028" s="9" t="inlineStr">
        <is>
          <t>2026-01-20</t>
        </is>
      </c>
      <c r="D2028" s="9" t="inlineStr">
        <is>
          <t>3382853668492</t>
        </is>
      </c>
      <c r="E2028" s="9" t="inlineStr">
        <is>
          <t>GORRA C BLACK</t>
        </is>
      </c>
      <c r="F2028" s="9" t="inlineStr">
        <is>
          <t>M (AJUSTABLE)</t>
        </is>
      </c>
      <c r="G2028" s="9" t="n">
        <v>5</v>
      </c>
      <c r="H2028" s="21" t="n">
        <v>18</v>
      </c>
      <c r="I2028" s="21" t="n">
        <v>468.57</v>
      </c>
      <c r="J2028" s="21" t="n">
        <v>1405.71</v>
      </c>
      <c r="K2028" s="21" t="n">
        <v>1639.99</v>
      </c>
      <c r="L2028" s="21" t="n">
        <v>1874.28</v>
      </c>
      <c r="M2028" s="21" t="n">
        <v>1859</v>
      </c>
    </row>
    <row r="2029">
      <c r="A2029" s="9" t="inlineStr">
        <is>
          <t>ZOEY</t>
        </is>
      </c>
      <c r="B2029" s="9" t="inlineStr">
        <is>
          <t>ZOEY 20/01/2026</t>
        </is>
      </c>
      <c r="C2029" s="9" t="inlineStr">
        <is>
          <t>2026-01-20</t>
        </is>
      </c>
      <c r="D2029" s="9" t="inlineStr">
        <is>
          <t>3382853668492</t>
        </is>
      </c>
      <c r="E2029" s="9" t="inlineStr">
        <is>
          <t>GORRA C BLACK</t>
        </is>
      </c>
      <c r="F2029" s="9" t="inlineStr">
        <is>
          <t>M (AJUSTABLE)</t>
        </is>
      </c>
      <c r="G2029" s="9" t="n">
        <v>5</v>
      </c>
      <c r="H2029" s="21" t="n">
        <v>18</v>
      </c>
      <c r="I2029" s="21" t="n">
        <v>468.57</v>
      </c>
      <c r="J2029" s="21" t="n">
        <v>1405.71</v>
      </c>
      <c r="K2029" s="21" t="n">
        <v>1639.99</v>
      </c>
      <c r="L2029" s="21" t="n">
        <v>1874.28</v>
      </c>
      <c r="M2029" s="21" t="n">
        <v>1859</v>
      </c>
    </row>
    <row r="2030">
      <c r="A2030" s="9" t="inlineStr">
        <is>
          <t>ZOEY</t>
        </is>
      </c>
      <c r="B2030" s="9" t="inlineStr">
        <is>
          <t>ZOEY 20/01/2026</t>
        </is>
      </c>
      <c r="C2030" s="9" t="inlineStr">
        <is>
          <t>2026-01-20</t>
        </is>
      </c>
      <c r="D2030" s="9" t="inlineStr">
        <is>
          <t>654bdbd8c9587</t>
        </is>
      </c>
      <c r="E2030" s="9" t="inlineStr">
        <is>
          <t>GORRA C WHITE</t>
        </is>
      </c>
      <c r="F2030" s="9" t="inlineStr">
        <is>
          <t>M (AJUSTABLE)</t>
        </is>
      </c>
      <c r="G2030" s="9" t="n">
        <v>2</v>
      </c>
      <c r="H2030" s="21" t="n">
        <v>18</v>
      </c>
      <c r="I2030" s="21" t="n">
        <v>468.57</v>
      </c>
      <c r="J2030" s="21" t="n">
        <v>1405.71</v>
      </c>
      <c r="K2030" s="21" t="n">
        <v>1639.99</v>
      </c>
      <c r="L2030" s="21" t="n">
        <v>1874.28</v>
      </c>
      <c r="M2030" s="21" t="n">
        <v>1859</v>
      </c>
    </row>
    <row r="2031">
      <c r="A2031" s="9" t="inlineStr">
        <is>
          <t>ZOEY</t>
        </is>
      </c>
      <c r="B2031" s="9" t="inlineStr">
        <is>
          <t>ZOEY 20/01/2026</t>
        </is>
      </c>
      <c r="C2031" s="9" t="inlineStr">
        <is>
          <t>2026-01-20</t>
        </is>
      </c>
      <c r="D2031" s="9" t="inlineStr">
        <is>
          <t>654bdbd8c9587</t>
        </is>
      </c>
      <c r="E2031" s="9" t="inlineStr">
        <is>
          <t>GORRA C WHITE</t>
        </is>
      </c>
      <c r="F2031" s="9" t="inlineStr">
        <is>
          <t>M (AJUSTABLE)</t>
        </is>
      </c>
      <c r="G2031" s="9" t="n">
        <v>6</v>
      </c>
      <c r="H2031" s="21" t="n">
        <v>18</v>
      </c>
      <c r="I2031" s="21" t="n">
        <v>468.57</v>
      </c>
      <c r="J2031" s="21" t="n">
        <v>1405.71</v>
      </c>
      <c r="K2031" s="21" t="n">
        <v>1639.99</v>
      </c>
      <c r="L2031" s="21" t="n">
        <v>1874.28</v>
      </c>
      <c r="M2031" s="21" t="n">
        <v>1859</v>
      </c>
    </row>
    <row r="2032">
      <c r="A2032" s="9" t="inlineStr">
        <is>
          <t>ZOEY</t>
        </is>
      </c>
      <c r="B2032" s="9" t="inlineStr">
        <is>
          <t>ZOEY 20/01/2026</t>
        </is>
      </c>
      <c r="C2032" s="9" t="inlineStr">
        <is>
          <t>2026-01-20</t>
        </is>
      </c>
      <c r="D2032" s="9" t="inlineStr">
        <is>
          <t>43728083615436</t>
        </is>
      </c>
      <c r="E2032" s="9" t="inlineStr">
        <is>
          <t>LENTES CD SIGNATURE SI21</t>
        </is>
      </c>
      <c r="F2032" s="9" t="inlineStr">
        <is>
          <t>Default Title</t>
        </is>
      </c>
      <c r="G2032" s="9" t="n">
        <v>3</v>
      </c>
      <c r="H2032" s="21" t="n">
        <v>36</v>
      </c>
      <c r="I2032" s="21" t="n">
        <v>937.14</v>
      </c>
      <c r="J2032" s="21" t="n">
        <v>2811.41</v>
      </c>
      <c r="K2032" s="21" t="n">
        <v>3279.98</v>
      </c>
      <c r="L2032" s="21" t="n">
        <v>3748.55</v>
      </c>
      <c r="M2032" s="21" t="n">
        <v>3530</v>
      </c>
    </row>
    <row r="2033">
      <c r="A2033" s="9" t="inlineStr">
        <is>
          <t>ZOEY</t>
        </is>
      </c>
      <c r="B2033" s="9" t="inlineStr">
        <is>
          <t>ZOEY 20/01/2026</t>
        </is>
      </c>
      <c r="C2033" s="9" t="inlineStr">
        <is>
          <t>2026-01-20</t>
        </is>
      </c>
      <c r="D2033" s="9" t="inlineStr">
        <is>
          <t>40495211029965</t>
        </is>
      </c>
      <c r="E2033" s="9" t="inlineStr">
        <is>
          <t>PERFUME  BV LE GEMME TYGAR EAU DE PARFUM</t>
        </is>
      </c>
      <c r="F2033" s="9" t="inlineStr">
        <is>
          <t>100 ml</t>
        </is>
      </c>
      <c r="G2033" s="9" t="n">
        <v>4</v>
      </c>
      <c r="H2033" s="21" t="n">
        <v>18</v>
      </c>
      <c r="I2033" s="21" t="n">
        <v>468.57</v>
      </c>
      <c r="J2033" s="21" t="n">
        <v>1405.71</v>
      </c>
      <c r="K2033" s="21" t="n">
        <v>1639.99</v>
      </c>
      <c r="L2033" s="21" t="n">
        <v>1874.28</v>
      </c>
      <c r="M2033" s="21" t="n">
        <v>1875</v>
      </c>
    </row>
    <row r="2034">
      <c r="A2034" s="9" t="inlineStr">
        <is>
          <t>ZOEY</t>
        </is>
      </c>
      <c r="B2034" s="9" t="inlineStr">
        <is>
          <t>ZOEY 20/01/2026</t>
        </is>
      </c>
      <c r="C2034" s="9" t="inlineStr">
        <is>
          <t>2026-01-20</t>
        </is>
      </c>
      <c r="D2034" s="9" t="inlineStr">
        <is>
          <t>48321439631756</t>
        </is>
      </c>
      <c r="E2034" s="9" t="inlineStr">
        <is>
          <t>PERFUME TF LOST CHERRY</t>
        </is>
      </c>
      <c r="F2034" s="9" t="inlineStr">
        <is>
          <t>100ml</t>
        </is>
      </c>
      <c r="G2034" s="9" t="n">
        <v>3</v>
      </c>
      <c r="H2034" s="21" t="n">
        <v>18</v>
      </c>
      <c r="I2034" s="21" t="n">
        <v>468.57</v>
      </c>
      <c r="J2034" s="21" t="n">
        <v>1405.71</v>
      </c>
      <c r="K2034" s="21" t="n">
        <v>1639.99</v>
      </c>
      <c r="L2034" s="21" t="n">
        <v>1874.28</v>
      </c>
      <c r="M2034" s="21" t="n">
        <v>1910</v>
      </c>
    </row>
    <row r="2035">
      <c r="A2035" s="9" t="inlineStr">
        <is>
          <t>ZOEY</t>
        </is>
      </c>
      <c r="B2035" s="9" t="inlineStr">
        <is>
          <t>ZOEY 20/01/2026</t>
        </is>
      </c>
      <c r="C2035" s="9" t="inlineStr">
        <is>
          <t>2026-01-20</t>
        </is>
      </c>
      <c r="D2035" s="9" t="inlineStr">
        <is>
          <t>61744051068109</t>
        </is>
      </c>
      <c r="E2035" s="9" t="inlineStr">
        <is>
          <t>PULSERA CD GOLD CON ZIRCONIA</t>
        </is>
      </c>
      <c r="F2035" s="9" t="inlineStr">
        <is>
          <t>Default Title</t>
        </is>
      </c>
      <c r="G2035" s="9" t="n">
        <v>5</v>
      </c>
      <c r="H2035" s="21" t="n">
        <v>18</v>
      </c>
      <c r="I2035" s="21" t="n">
        <v>468.57</v>
      </c>
      <c r="J2035" s="21" t="n">
        <v>1405.71</v>
      </c>
      <c r="K2035" s="21" t="n">
        <v>1639.99</v>
      </c>
      <c r="L2035" s="21" t="n">
        <v>1874.28</v>
      </c>
      <c r="M2035" s="21" t="n">
        <v>1875</v>
      </c>
    </row>
    <row r="2036">
      <c r="A2036" s="9" t="inlineStr">
        <is>
          <t>ZOEY</t>
        </is>
      </c>
      <c r="B2036" s="9" t="inlineStr">
        <is>
          <t>ZOEY 20/01/2026</t>
        </is>
      </c>
      <c r="C2036" s="9" t="inlineStr">
        <is>
          <t>2026-01-20</t>
        </is>
      </c>
      <c r="D2036" s="9" t="inlineStr">
        <is>
          <t>10473111097537</t>
        </is>
      </c>
      <c r="E2036" s="9" t="inlineStr">
        <is>
          <t>PULSERA DE CUENTAS ROSEGOLD</t>
        </is>
      </c>
      <c r="F2036" s="9" t="inlineStr">
        <is>
          <t>17cm</t>
        </is>
      </c>
      <c r="G2036" s="9" t="n">
        <v>2</v>
      </c>
      <c r="H2036" s="21" t="n">
        <v>9</v>
      </c>
      <c r="I2036" s="21" t="n">
        <v>234.28</v>
      </c>
      <c r="J2036" s="21" t="n">
        <v>702.85</v>
      </c>
      <c r="K2036" s="21" t="n">
        <v>820</v>
      </c>
      <c r="L2036" s="21" t="n">
        <v>937.14</v>
      </c>
      <c r="M2036" s="21" t="n">
        <v>899</v>
      </c>
    </row>
    <row r="2037">
      <c r="A2037" s="9" t="inlineStr">
        <is>
          <t>ZOEY</t>
        </is>
      </c>
      <c r="B2037" s="9" t="inlineStr">
        <is>
          <t>ZOEY 20/01/2026</t>
        </is>
      </c>
      <c r="C2037" s="9" t="inlineStr">
        <is>
          <t>2026-01-20</t>
        </is>
      </c>
      <c r="D2037" s="9" t="inlineStr">
        <is>
          <t>17360611212237</t>
        </is>
      </c>
      <c r="E2037" s="9" t="inlineStr">
        <is>
          <t>RELOJ BALLON BLUE C</t>
        </is>
      </c>
      <c r="F2037" s="9" t="inlineStr">
        <is>
          <t>RELOJ SIN CAJA</t>
        </is>
      </c>
      <c r="G2037" s="9" t="n">
        <v>5</v>
      </c>
      <c r="H2037" s="21" t="n">
        <v>28</v>
      </c>
      <c r="I2037" s="21" t="n">
        <v>728.88</v>
      </c>
      <c r="J2037" s="21" t="n">
        <v>2186.65</v>
      </c>
      <c r="K2037" s="21" t="n">
        <v>2551.1</v>
      </c>
      <c r="L2037" s="21" t="n">
        <v>2915.54</v>
      </c>
      <c r="M2037" s="21" t="n">
        <v>3999</v>
      </c>
    </row>
    <row r="2038">
      <c r="A2038" s="9" t="inlineStr">
        <is>
          <t>ZOEY</t>
        </is>
      </c>
      <c r="B2038" s="9" t="inlineStr">
        <is>
          <t>ZOEY 20/01/2026</t>
        </is>
      </c>
      <c r="C2038" s="9" t="inlineStr">
        <is>
          <t>2026-01-20</t>
        </is>
      </c>
      <c r="D2038" s="9" t="inlineStr">
        <is>
          <t>679be1fa82b97</t>
        </is>
      </c>
      <c r="E2038" s="9" t="inlineStr">
        <is>
          <t>RELOJ C SANTOS BLACK</t>
        </is>
      </c>
      <c r="F2038" s="9" t="inlineStr">
        <is>
          <t>RELOJ SIN CAJA</t>
        </is>
      </c>
      <c r="G2038" s="9" t="n">
        <v>5</v>
      </c>
      <c r="H2038" s="21" t="n">
        <v>35</v>
      </c>
      <c r="I2038" s="21" t="n">
        <v>911.11</v>
      </c>
      <c r="J2038" s="21" t="n">
        <v>2733.32</v>
      </c>
      <c r="K2038" s="21" t="n">
        <v>3188.87</v>
      </c>
      <c r="L2038" s="21" t="n">
        <v>3644.42</v>
      </c>
      <c r="M2038" s="21" t="n">
        <v>3899</v>
      </c>
    </row>
    <row r="2039">
      <c r="A2039" s="9" t="inlineStr">
        <is>
          <t>ZOEY</t>
        </is>
      </c>
      <c r="B2039" s="9" t="inlineStr">
        <is>
          <t>ZOEY 20/01/2026</t>
        </is>
      </c>
      <c r="C2039" s="9" t="inlineStr">
        <is>
          <t>2026-01-20</t>
        </is>
      </c>
      <c r="D2039" s="9" t="inlineStr">
        <is>
          <t>53890267165196</t>
        </is>
      </c>
      <c r="E2039" s="9" t="inlineStr">
        <is>
          <t>RELOJ PANTHERE GOLD</t>
        </is>
      </c>
      <c r="F2039" s="9" t="inlineStr">
        <is>
          <t>RELOJ SIN CAJA</t>
        </is>
      </c>
      <c r="G2039" s="9" t="n">
        <v>3</v>
      </c>
      <c r="H2039" s="21" t="n">
        <v>60</v>
      </c>
      <c r="I2039" s="21" t="n">
        <v>1561.9</v>
      </c>
      <c r="J2039" s="21" t="n">
        <v>4685.69</v>
      </c>
      <c r="K2039" s="21" t="n">
        <v>5466.64</v>
      </c>
      <c r="L2039" s="21" t="n">
        <v>6247.58</v>
      </c>
      <c r="M2039" s="21" t="n">
        <v>5379</v>
      </c>
    </row>
    <row r="2040">
      <c r="A2040" s="9" t="inlineStr">
        <is>
          <t>ZOEY</t>
        </is>
      </c>
      <c r="B2040" s="9" t="inlineStr">
        <is>
          <t>ZOEY 20/01/2026</t>
        </is>
      </c>
      <c r="C2040" s="9" t="inlineStr">
        <is>
          <t>2026-01-20</t>
        </is>
      </c>
      <c r="D2040" s="9" t="inlineStr">
        <is>
          <t>67535d2d7860a-1</t>
        </is>
      </c>
      <c r="E2040" s="9" t="inlineStr">
        <is>
          <t>RELOJ PANTHERE GOLD SILVER</t>
        </is>
      </c>
      <c r="F2040" s="9" t="inlineStr">
        <is>
          <t>RELOJ SIN CAJA</t>
        </is>
      </c>
      <c r="G2040" s="9" t="n">
        <v>2</v>
      </c>
      <c r="H2040" s="21" t="n">
        <v>58</v>
      </c>
      <c r="I2040" s="21" t="n">
        <v>1509.83</v>
      </c>
      <c r="J2040" s="21" t="n">
        <v>4529.5</v>
      </c>
      <c r="K2040" s="21" t="n">
        <v>5284.41</v>
      </c>
      <c r="L2040" s="21" t="n">
        <v>6039.33</v>
      </c>
      <c r="M2040" s="21" t="n">
        <v>5995.16</v>
      </c>
    </row>
    <row r="2041">
      <c r="A2041" s="9" t="inlineStr">
        <is>
          <t>ZOEY</t>
        </is>
      </c>
      <c r="B2041" s="9" t="inlineStr">
        <is>
          <t>ZOEY 20/01/2026</t>
        </is>
      </c>
      <c r="C2041" s="9" t="inlineStr">
        <is>
          <t>2026-01-20</t>
        </is>
      </c>
      <c r="D2041" s="9" t="inlineStr">
        <is>
          <t>14156151055725</t>
        </is>
      </c>
      <c r="E2041" s="9" t="inlineStr">
        <is>
          <t>RELOJ PANTHERE SILVER</t>
        </is>
      </c>
      <c r="F2041" s="9" t="inlineStr">
        <is>
          <t>RELOJ SIN CAJA</t>
        </is>
      </c>
      <c r="G2041" s="9" t="n">
        <v>2</v>
      </c>
      <c r="H2041" s="21" t="n">
        <v>58</v>
      </c>
      <c r="I2041" s="21" t="n">
        <v>1509.83</v>
      </c>
      <c r="J2041" s="21" t="n">
        <v>4529.5</v>
      </c>
      <c r="K2041" s="21" t="n">
        <v>5284.41</v>
      </c>
      <c r="L2041" s="21" t="n">
        <v>6039.33</v>
      </c>
      <c r="M2041" s="21" t="n">
        <v>4829</v>
      </c>
    </row>
    <row r="2042">
      <c r="A2042" s="9" t="inlineStr">
        <is>
          <t>ZOEY</t>
        </is>
      </c>
      <c r="B2042" s="9" t="inlineStr">
        <is>
          <t>ZOEY 20/01/2026</t>
        </is>
      </c>
      <c r="C2042" s="9" t="inlineStr">
        <is>
          <t>2026-01-20</t>
        </is>
      </c>
      <c r="D2042" s="9" t="inlineStr">
        <is>
          <t>679be1f9f363c</t>
        </is>
      </c>
      <c r="E2042" s="9" t="inlineStr">
        <is>
          <t>RELOJ PP NAUTILUS SILVER BLUE</t>
        </is>
      </c>
      <c r="F2042" s="9" t="inlineStr">
        <is>
          <t>Ajustable con caja</t>
        </is>
      </c>
      <c r="G2042" s="9" t="n">
        <v>2</v>
      </c>
      <c r="H2042" s="21" t="n">
        <v>58</v>
      </c>
      <c r="I2042" s="21" t="n">
        <v>1509.83</v>
      </c>
      <c r="J2042" s="21" t="n">
        <v>4529.5</v>
      </c>
      <c r="K2042" s="21" t="n">
        <v>5284.41</v>
      </c>
      <c r="L2042" s="21" t="n">
        <v>6039.33</v>
      </c>
      <c r="M2042" s="21" t="n">
        <v>4899</v>
      </c>
    </row>
    <row r="2043">
      <c r="A2043" s="9" t="inlineStr">
        <is>
          <t>ZOEY</t>
        </is>
      </c>
      <c r="B2043" s="9" t="inlineStr">
        <is>
          <t>ZOEY 20/01/2026</t>
        </is>
      </c>
      <c r="C2043" s="9" t="inlineStr">
        <is>
          <t>2026-01-20</t>
        </is>
      </c>
      <c r="D2043" s="9" t="inlineStr">
        <is>
          <t>679be1fb57d7e-1</t>
        </is>
      </c>
      <c r="E2043" s="9" t="inlineStr">
        <is>
          <t>RELOJ RX DAY DATE ROSEGOLD</t>
        </is>
      </c>
      <c r="F2043" s="9" t="inlineStr">
        <is>
          <t>RELOJ SIN CAJA</t>
        </is>
      </c>
      <c r="G2043" s="9" t="n">
        <v>1</v>
      </c>
      <c r="H2043" s="21" t="n">
        <v>48</v>
      </c>
      <c r="I2043" s="21" t="n">
        <v>1249.52</v>
      </c>
      <c r="J2043" s="21" t="n">
        <v>3748.55</v>
      </c>
      <c r="K2043" s="21" t="n">
        <v>4373.31</v>
      </c>
      <c r="L2043" s="21" t="n">
        <v>4998.07</v>
      </c>
      <c r="M2043" s="21" t="n">
        <v>4399</v>
      </c>
    </row>
    <row r="2044">
      <c r="A2044" s="9" t="inlineStr">
        <is>
          <t>ZOEY</t>
        </is>
      </c>
      <c r="B2044" s="9" t="inlineStr">
        <is>
          <t>ZOEY 20/01/2026</t>
        </is>
      </c>
      <c r="C2044" s="9" t="inlineStr">
        <is>
          <t>2026-01-20</t>
        </is>
      </c>
      <c r="D2044" s="9" t="inlineStr">
        <is>
          <t>67535d35b8818</t>
        </is>
      </c>
      <c r="E2044" s="9" t="inlineStr">
        <is>
          <t>RELOJ SERPENTI SEDUTTORI</t>
        </is>
      </c>
      <c r="F2044" s="9" t="inlineStr">
        <is>
          <t>RELOJ SIN CAJA</t>
        </is>
      </c>
      <c r="G2044" s="9" t="n">
        <v>3</v>
      </c>
      <c r="H2044" s="21" t="n">
        <v>58</v>
      </c>
      <c r="I2044" s="21" t="n">
        <v>1509.83</v>
      </c>
      <c r="J2044" s="21" t="n">
        <v>4529.5</v>
      </c>
      <c r="K2044" s="21" t="n">
        <v>5284.41</v>
      </c>
      <c r="L2044" s="21" t="n">
        <v>6039.33</v>
      </c>
      <c r="M2044" s="21" t="n">
        <v>5380.44</v>
      </c>
    </row>
    <row r="2045">
      <c r="A2045" s="9" t="inlineStr">
        <is>
          <t>ZOEY</t>
        </is>
      </c>
      <c r="B2045" s="9" t="inlineStr">
        <is>
          <t>ZOEY 20/01/2026</t>
        </is>
      </c>
      <c r="C2045" s="9" t="inlineStr">
        <is>
          <t>2026-01-20</t>
        </is>
      </c>
      <c r="D2045" s="9" t="inlineStr">
        <is>
          <t>42283701061581</t>
        </is>
      </c>
      <c r="E2045" s="9" t="inlineStr">
        <is>
          <t>RELOJ TANK CR BLACK GOLD</t>
        </is>
      </c>
      <c r="F2045" s="9" t="inlineStr">
        <is>
          <t>Default Title</t>
        </is>
      </c>
      <c r="G2045" s="9" t="n">
        <v>3</v>
      </c>
      <c r="H2045" s="21" t="n">
        <v>35</v>
      </c>
      <c r="I2045" s="21" t="n">
        <v>911.11</v>
      </c>
      <c r="J2045" s="21" t="n">
        <v>2733.32</v>
      </c>
      <c r="K2045" s="21" t="n">
        <v>3188.87</v>
      </c>
      <c r="L2045" s="21" t="n">
        <v>3644.42</v>
      </c>
      <c r="M2045" s="21" t="n">
        <v>3500</v>
      </c>
    </row>
    <row r="2046">
      <c r="A2046" s="9" t="inlineStr">
        <is>
          <t>ZOEY</t>
        </is>
      </c>
      <c r="B2046" s="9" t="inlineStr">
        <is>
          <t>ZOEY 20/01/2026</t>
        </is>
      </c>
      <c r="C2046" s="9" t="inlineStr">
        <is>
          <t>2026-01-20</t>
        </is>
      </c>
      <c r="D2046" s="9" t="inlineStr">
        <is>
          <t>42834310205068</t>
        </is>
      </c>
      <c r="E2046" s="9" t="inlineStr">
        <is>
          <t>SANDALIAS CD MULE</t>
        </is>
      </c>
      <c r="F2046" s="9" t="inlineStr">
        <is>
          <t>24cm</t>
        </is>
      </c>
      <c r="G2046" s="9" t="n">
        <v>4</v>
      </c>
      <c r="H2046" s="21" t="n">
        <v>35</v>
      </c>
      <c r="I2046" s="21" t="n">
        <v>911.11</v>
      </c>
      <c r="J2046" s="21" t="n">
        <v>2733.32</v>
      </c>
      <c r="K2046" s="21" t="n">
        <v>3188.87</v>
      </c>
      <c r="L2046" s="21" t="n">
        <v>3644.42</v>
      </c>
      <c r="M2046" s="21" t="n">
        <v>3719</v>
      </c>
    </row>
    <row r="2047">
      <c r="A2047" s="9" t="inlineStr">
        <is>
          <t>ZOEY</t>
        </is>
      </c>
      <c r="B2047" s="9" t="inlineStr">
        <is>
          <t>ZOEY 20/01/2026</t>
        </is>
      </c>
      <c r="C2047" s="9" t="inlineStr">
        <is>
          <t>2026-01-20</t>
        </is>
      </c>
      <c r="D2047" s="9" t="inlineStr">
        <is>
          <t>42834310172300</t>
        </is>
      </c>
      <c r="E2047" s="9" t="inlineStr">
        <is>
          <t>SANDALIAS CD MULE</t>
        </is>
      </c>
      <c r="F2047" s="9" t="inlineStr">
        <is>
          <t>23cm</t>
        </is>
      </c>
      <c r="G2047" s="9" t="n">
        <v>2</v>
      </c>
      <c r="H2047" s="21" t="n">
        <v>35</v>
      </c>
      <c r="I2047" s="21" t="n">
        <v>911.11</v>
      </c>
      <c r="J2047" s="21" t="n">
        <v>2733.32</v>
      </c>
      <c r="K2047" s="21" t="n">
        <v>3188.87</v>
      </c>
      <c r="L2047" s="21" t="n">
        <v>3644.42</v>
      </c>
      <c r="M2047" s="21" t="n">
        <v>3719</v>
      </c>
    </row>
    <row r="2048">
      <c r="A2048" s="9" t="inlineStr">
        <is>
          <t>ZOEY</t>
        </is>
      </c>
      <c r="B2048" s="9" t="inlineStr">
        <is>
          <t>ZOEY 20/01/2026</t>
        </is>
      </c>
      <c r="C2048" s="9" t="inlineStr">
        <is>
          <t>2026-01-20</t>
        </is>
      </c>
      <c r="D2048" s="9" t="inlineStr">
        <is>
          <t>6737d91d66417</t>
        </is>
      </c>
      <c r="E2048" s="9" t="inlineStr">
        <is>
          <t>TARJETERO CD SADDLE</t>
        </is>
      </c>
      <c r="F2048" s="9" t="inlineStr">
        <is>
          <t>11cm de largo x 8cm de Alto</t>
        </is>
      </c>
      <c r="G2048" s="9" t="n">
        <v>15</v>
      </c>
      <c r="H2048" s="21" t="n">
        <v>18</v>
      </c>
      <c r="I2048" s="21" t="n">
        <v>468.57</v>
      </c>
      <c r="J2048" s="21" t="n">
        <v>1405.71</v>
      </c>
      <c r="K2048" s="21" t="n">
        <v>1639.99</v>
      </c>
      <c r="L2048" s="21" t="n">
        <v>1874.28</v>
      </c>
      <c r="M2048" s="21" t="n">
        <v>1859</v>
      </c>
    </row>
    <row r="2049">
      <c r="A2049" s="9" t="inlineStr">
        <is>
          <t>ZOEY</t>
        </is>
      </c>
      <c r="B2049" s="9" t="inlineStr">
        <is>
          <t>ZOEY 20/01/2026</t>
        </is>
      </c>
      <c r="C2049" s="9" t="inlineStr">
        <is>
          <t>2026-01-20</t>
        </is>
      </c>
      <c r="D2049" s="9" t="inlineStr">
        <is>
          <t>66f1ed2e521fd</t>
        </is>
      </c>
      <c r="E2049" s="9" t="inlineStr">
        <is>
          <t>TARJETERO YSL SILVER</t>
        </is>
      </c>
      <c r="F2049" s="9" t="inlineStr">
        <is>
          <t>8cm x 10.5cm</t>
        </is>
      </c>
      <c r="G2049" s="9" t="n">
        <v>4</v>
      </c>
      <c r="H2049" s="21" t="n">
        <v>13</v>
      </c>
      <c r="I2049" s="21" t="n">
        <v>338.41</v>
      </c>
      <c r="J2049" s="21" t="n">
        <v>1015.23</v>
      </c>
      <c r="K2049" s="21" t="n">
        <v>1184.44</v>
      </c>
      <c r="L2049" s="21" t="n">
        <v>1353.64</v>
      </c>
      <c r="M2049" s="21" t="n">
        <v>1399</v>
      </c>
    </row>
    <row r="2050">
      <c r="A2050" s="9" t="inlineStr">
        <is>
          <t>ZOEY</t>
        </is>
      </c>
      <c r="B2050" s="9" t="inlineStr">
        <is>
          <t>ZOEY 20/01/2026</t>
        </is>
      </c>
      <c r="C2050" s="9" t="inlineStr">
        <is>
          <t>2026-01-20</t>
        </is>
      </c>
      <c r="D2050" s="9" t="inlineStr">
        <is>
          <t>47685124125580</t>
        </is>
      </c>
      <c r="E2050" s="9" t="inlineStr">
        <is>
          <t>TRAJE DE BAÑO CD</t>
        </is>
      </c>
      <c r="F2050" s="9" t="inlineStr">
        <is>
          <t>M</t>
        </is>
      </c>
      <c r="G2050" s="9" t="n">
        <v>2</v>
      </c>
      <c r="H2050" s="21" t="n">
        <v>25</v>
      </c>
      <c r="I2050" s="21" t="n">
        <v>650.79</v>
      </c>
      <c r="J2050" s="21" t="n">
        <v>1952.37</v>
      </c>
      <c r="K2050" s="21" t="n">
        <v>2277.76</v>
      </c>
      <c r="L2050" s="21" t="n">
        <v>2603.16</v>
      </c>
      <c r="M2050" s="21" t="n">
        <v>2659</v>
      </c>
    </row>
    <row r="2051">
      <c r="A2051" s="9" t="inlineStr">
        <is>
          <t>ZOEY</t>
        </is>
      </c>
      <c r="B2051" s="9" t="inlineStr">
        <is>
          <t>ZOEY 20/01/2026</t>
        </is>
      </c>
      <c r="C2051" s="9" t="inlineStr">
        <is>
          <t>2026-01-20</t>
        </is>
      </c>
      <c r="D2051" s="9" t="inlineStr">
        <is>
          <t>77590344914188</t>
        </is>
      </c>
      <c r="E2051" s="9" t="inlineStr">
        <is>
          <t>TRAJE DE BAÑO COMPLETO DG</t>
        </is>
      </c>
      <c r="F2051" s="9" t="inlineStr">
        <is>
          <t>M</t>
        </is>
      </c>
      <c r="G2051" s="9" t="n">
        <v>2</v>
      </c>
      <c r="H2051" s="21" t="n">
        <v>25</v>
      </c>
      <c r="I2051" s="21" t="n">
        <v>650.79</v>
      </c>
      <c r="J2051" s="21" t="n">
        <v>1952.37</v>
      </c>
      <c r="K2051" s="21" t="n">
        <v>2277.76</v>
      </c>
      <c r="L2051" s="21" t="n">
        <v>2603.16</v>
      </c>
      <c r="M2051" s="21" t="n">
        <v>2659</v>
      </c>
    </row>
    <row r="2052">
      <c r="A2052" s="9" t="inlineStr">
        <is>
          <t>ZOEY</t>
        </is>
      </c>
      <c r="B2052" s="9" t="inlineStr">
        <is>
          <t>ZOEY 20/01/2026</t>
        </is>
      </c>
      <c r="C2052" s="9" t="inlineStr">
        <is>
          <t>2026-01-20</t>
        </is>
      </c>
      <c r="D2052" s="9" t="inlineStr">
        <is>
          <t>77590343248780</t>
        </is>
      </c>
      <c r="E2052" s="9" t="inlineStr">
        <is>
          <t>TRAJE DE BAÑO COMPLETO PR</t>
        </is>
      </c>
      <c r="F2052" s="9" t="inlineStr">
        <is>
          <t>M</t>
        </is>
      </c>
      <c r="G2052" s="9" t="n">
        <v>4</v>
      </c>
      <c r="H2052" s="21" t="n">
        <v>25</v>
      </c>
      <c r="I2052" s="21" t="n">
        <v>650.79</v>
      </c>
      <c r="J2052" s="21" t="n">
        <v>1952.37</v>
      </c>
      <c r="K2052" s="21" t="n">
        <v>2277.76</v>
      </c>
      <c r="L2052" s="21" t="n">
        <v>2603.16</v>
      </c>
      <c r="M2052" s="21" t="n">
        <v>2500</v>
      </c>
    </row>
    <row r="2053">
      <c r="A2053" s="9" t="inlineStr">
        <is>
          <t>ZOEY</t>
        </is>
      </c>
      <c r="B2053" s="9" t="inlineStr">
        <is>
          <t>ZOEY 20/01/2026</t>
        </is>
      </c>
      <c r="C2053" s="9" t="inlineStr">
        <is>
          <t>2026-01-20</t>
        </is>
      </c>
      <c r="D2053" s="9" t="inlineStr">
        <is>
          <t>77590343216012</t>
        </is>
      </c>
      <c r="E2053" s="9" t="inlineStr">
        <is>
          <t>TRAJE DE BAÑO COMPLETO PR</t>
        </is>
      </c>
      <c r="F2053" s="9" t="inlineStr">
        <is>
          <t>S</t>
        </is>
      </c>
      <c r="G2053" s="9" t="n">
        <v>2</v>
      </c>
      <c r="H2053" s="21" t="n">
        <v>25</v>
      </c>
      <c r="I2053" s="21" t="n">
        <v>650.79</v>
      </c>
      <c r="J2053" s="21" t="n">
        <v>1952.37</v>
      </c>
      <c r="K2053" s="21" t="n">
        <v>2277.76</v>
      </c>
      <c r="L2053" s="21" t="n">
        <v>2603.16</v>
      </c>
      <c r="M2053" s="21" t="n">
        <v>2500</v>
      </c>
    </row>
    <row r="2054">
      <c r="A2054" s="9" t="inlineStr">
        <is>
          <t>ZOEY</t>
        </is>
      </c>
      <c r="B2054" s="9" t="inlineStr">
        <is>
          <t>ZOEY 20/01/2026</t>
        </is>
      </c>
      <c r="C2054" s="9" t="inlineStr">
        <is>
          <t>2026-01-20</t>
        </is>
      </c>
      <c r="D2054" s="9" t="inlineStr">
        <is>
          <t>77590343942668</t>
        </is>
      </c>
      <c r="E2054" s="9" t="inlineStr">
        <is>
          <t>TRAJE DE BAÑO F</t>
        </is>
      </c>
      <c r="F2054" s="9" t="inlineStr">
        <is>
          <t>M</t>
        </is>
      </c>
      <c r="G2054" s="9" t="n">
        <v>2</v>
      </c>
      <c r="H2054" s="21" t="n">
        <v>25</v>
      </c>
      <c r="I2054" s="21" t="n">
        <v>650.79</v>
      </c>
      <c r="J2054" s="21" t="n">
        <v>1952.37</v>
      </c>
      <c r="K2054" s="21" t="n">
        <v>2277.76</v>
      </c>
      <c r="L2054" s="21" t="n">
        <v>2603.16</v>
      </c>
      <c r="M2054" s="21" t="n">
        <v>2659</v>
      </c>
    </row>
    <row r="2055">
      <c r="A2055" s="9" t="inlineStr">
        <is>
          <t>ZOEY</t>
        </is>
      </c>
      <c r="B2055" s="9" t="inlineStr">
        <is>
          <t>ZOEY 20/01/2026</t>
        </is>
      </c>
      <c r="C2055" s="9" t="inlineStr">
        <is>
          <t>2026-01-20</t>
        </is>
      </c>
      <c r="D2055" s="9" t="inlineStr">
        <is>
          <t>72002489515276</t>
        </is>
      </c>
      <c r="E2055" s="9" t="inlineStr">
        <is>
          <t>ZAPATILLA J’ADIOR</t>
        </is>
      </c>
      <c r="F2055" s="9" t="inlineStr">
        <is>
          <t>25cm</t>
        </is>
      </c>
      <c r="G2055" s="9" t="n">
        <v>3</v>
      </c>
      <c r="H2055" s="21" t="n">
        <v>58</v>
      </c>
      <c r="I2055" s="21" t="n">
        <v>1509.83</v>
      </c>
      <c r="J2055" s="21" t="n">
        <v>4529.5</v>
      </c>
      <c r="K2055" s="21" t="n">
        <v>5284.41</v>
      </c>
      <c r="L2055" s="21" t="n">
        <v>6039.33</v>
      </c>
      <c r="M2055" s="21" t="n">
        <v>5649</v>
      </c>
    </row>
    <row r="2056">
      <c r="A2056" s="9" t="inlineStr">
        <is>
          <t>ZOEY</t>
        </is>
      </c>
      <c r="B2056" s="9" t="inlineStr">
        <is>
          <t>ZOEY 20/01/2026</t>
        </is>
      </c>
      <c r="C2056" s="9" t="inlineStr">
        <is>
          <t>2026-01-20</t>
        </is>
      </c>
      <c r="D2056" s="9" t="inlineStr">
        <is>
          <t>72002488652044</t>
        </is>
      </c>
      <c r="E2056" s="9" t="inlineStr">
        <is>
          <t>ZAPATILLA J’ADIOR</t>
        </is>
      </c>
      <c r="F2056" s="9" t="inlineStr">
        <is>
          <t>24cm</t>
        </is>
      </c>
      <c r="G2056" s="9" t="n">
        <v>3</v>
      </c>
      <c r="H2056" s="21" t="n">
        <v>58</v>
      </c>
      <c r="I2056" s="21" t="n">
        <v>1509.83</v>
      </c>
      <c r="J2056" s="21" t="n">
        <v>4529.5</v>
      </c>
      <c r="K2056" s="21" t="n">
        <v>5284.41</v>
      </c>
      <c r="L2056" s="21" t="n">
        <v>6039.33</v>
      </c>
      <c r="M2056" s="21" t="n">
        <v>5649</v>
      </c>
    </row>
    <row r="2057">
      <c r="A2057" s="9" t="inlineStr">
        <is>
          <t>ZOEY</t>
        </is>
      </c>
      <c r="B2057" s="9" t="inlineStr">
        <is>
          <t>ZOEY 20/01/2026</t>
        </is>
      </c>
      <c r="C2057" s="9" t="inlineStr">
        <is>
          <t>2026-01-20</t>
        </is>
      </c>
      <c r="D2057" s="9" t="inlineStr">
        <is>
          <t>72002479482508</t>
        </is>
      </c>
      <c r="E2057" s="9" t="inlineStr">
        <is>
          <t>ZAPATILLA J’ADIOR</t>
        </is>
      </c>
      <c r="F2057" s="9" t="inlineStr">
        <is>
          <t>23cm</t>
        </is>
      </c>
      <c r="G2057" s="9" t="n">
        <v>2</v>
      </c>
      <c r="H2057" s="21" t="n">
        <v>58</v>
      </c>
      <c r="I2057" s="21" t="n">
        <v>1509.83</v>
      </c>
      <c r="J2057" s="21" t="n">
        <v>4529.5</v>
      </c>
      <c r="K2057" s="21" t="n">
        <v>5284.41</v>
      </c>
      <c r="L2057" s="21" t="n">
        <v>6039.33</v>
      </c>
      <c r="M2057" s="21" t="n">
        <v>5649</v>
      </c>
    </row>
    <row r="2058">
      <c r="A2058" s="9" t="inlineStr">
        <is>
          <t>ZOEY</t>
        </is>
      </c>
      <c r="B2058" s="9" t="inlineStr">
        <is>
          <t>ZOEY 20/01/2026</t>
        </is>
      </c>
      <c r="C2058" s="9" t="inlineStr">
        <is>
          <t>2026-01-20</t>
        </is>
      </c>
      <c r="D2058" s="9" t="inlineStr">
        <is>
          <t>6748bba425e93</t>
        </is>
      </c>
      <c r="E2058" s="9" t="inlineStr">
        <is>
          <t>ZAPATILLAS YSL OPYUM BLACK</t>
        </is>
      </c>
      <c r="F2058" s="9" t="inlineStr">
        <is>
          <t>25cm</t>
        </is>
      </c>
      <c r="G2058" s="9" t="n">
        <v>2</v>
      </c>
      <c r="H2058" s="21" t="n">
        <v>65</v>
      </c>
      <c r="I2058" s="21" t="n">
        <v>1692.05</v>
      </c>
      <c r="J2058" s="21" t="n">
        <v>5076.16</v>
      </c>
      <c r="K2058" s="21" t="n">
        <v>5922.19</v>
      </c>
      <c r="L2058" s="21" t="n">
        <v>6768.22</v>
      </c>
      <c r="M2058" s="21" t="n">
        <v>6339</v>
      </c>
    </row>
    <row r="2059">
      <c r="A2059" s="9" t="inlineStr">
        <is>
          <t>ZOEY</t>
        </is>
      </c>
      <c r="B2059" s="9" t="inlineStr">
        <is>
          <t>ZOEY 20/01/2026</t>
        </is>
      </c>
      <c r="C2059" s="9" t="inlineStr">
        <is>
          <t>2026-01-20</t>
        </is>
      </c>
      <c r="D2059" s="9" t="inlineStr">
        <is>
          <t>6748bba38eb40</t>
        </is>
      </c>
      <c r="E2059" s="9" t="inlineStr">
        <is>
          <t>ZAPATILLAS YSL OPYUM BLACK</t>
        </is>
      </c>
      <c r="F2059" s="9" t="inlineStr">
        <is>
          <t>24cm</t>
        </is>
      </c>
      <c r="G2059" s="9" t="n">
        <v>1</v>
      </c>
      <c r="H2059" s="21" t="n">
        <v>65</v>
      </c>
      <c r="I2059" s="21" t="n">
        <v>1692.05</v>
      </c>
      <c r="J2059" s="21" t="n">
        <v>5076.16</v>
      </c>
      <c r="K2059" s="21" t="n">
        <v>5922.19</v>
      </c>
      <c r="L2059" s="21" t="n">
        <v>6768.22</v>
      </c>
      <c r="M2059" s="21" t="n">
        <v>6339</v>
      </c>
    </row>
    <row r="2060">
      <c r="A2060" s="9" t="inlineStr">
        <is>
          <t>ZOEY</t>
        </is>
      </c>
      <c r="B2060" s="9" t="inlineStr">
        <is>
          <t>ZOEY 20/01/2026</t>
        </is>
      </c>
      <c r="C2060" s="9" t="inlineStr">
        <is>
          <t>2026-01-20</t>
        </is>
      </c>
      <c r="D2060" s="9" t="inlineStr">
        <is>
          <t>72002489425036</t>
        </is>
      </c>
      <c r="E2060" s="9" t="inlineStr">
        <is>
          <t>ZAPATILLAS YSL OPYUM BLACK</t>
        </is>
      </c>
      <c r="F2060" s="9" t="inlineStr">
        <is>
          <t>23cm</t>
        </is>
      </c>
      <c r="G2060" s="9" t="n">
        <v>1</v>
      </c>
      <c r="H2060" s="21" t="n">
        <v>65</v>
      </c>
      <c r="I2060" s="21" t="n">
        <v>1692.05</v>
      </c>
      <c r="J2060" s="21" t="n">
        <v>5076.16</v>
      </c>
      <c r="K2060" s="21" t="n">
        <v>5922.19</v>
      </c>
      <c r="L2060" s="21" t="n">
        <v>6768.22</v>
      </c>
      <c r="M2060" s="21" t="n">
        <v>6339</v>
      </c>
    </row>
    <row r="2061">
      <c r="A2061" s="9" t="inlineStr">
        <is>
          <t>ZOEY</t>
        </is>
      </c>
      <c r="B2061" s="9" t="inlineStr">
        <is>
          <t>ZOEY 20/01/2026</t>
        </is>
      </c>
      <c r="C2061" s="9" t="inlineStr">
        <is>
          <t>2026-01-20</t>
        </is>
      </c>
      <c r="D2061" s="9" t="inlineStr">
        <is>
          <t>82224432134061</t>
        </is>
      </c>
      <c r="E2061" s="9" t="inlineStr">
        <is>
          <t>ZAPATILLAS YSL OPYUM BLACK</t>
        </is>
      </c>
      <c r="F2061" s="9" t="inlineStr">
        <is>
          <t>26 cm</t>
        </is>
      </c>
      <c r="G2061" s="9" t="n">
        <v>2</v>
      </c>
      <c r="H2061" s="21" t="n">
        <v>65</v>
      </c>
      <c r="I2061" s="21" t="n">
        <v>1692.05</v>
      </c>
      <c r="J2061" s="21" t="n">
        <v>5076.16</v>
      </c>
      <c r="K2061" s="21" t="n">
        <v>5922.19</v>
      </c>
      <c r="L2061" s="21" t="n">
        <v>6768.22</v>
      </c>
      <c r="M2061" s="21" t="n">
        <v>6339</v>
      </c>
    </row>
    <row r="2062">
      <c r="A2062" s="9" t="inlineStr">
        <is>
          <t>HAIFENG</t>
        </is>
      </c>
      <c r="B2062" s="9" t="inlineStr">
        <is>
          <t>HAIFENG 05/02/2026</t>
        </is>
      </c>
      <c r="C2062" s="9" t="inlineStr">
        <is>
          <t>2026-02-05</t>
        </is>
      </c>
      <c r="D2062" s="9" t="inlineStr">
        <is>
          <t>40154173040301</t>
        </is>
      </c>
      <c r="E2062" s="9" t="inlineStr">
        <is>
          <t>ANILLO BV B.ZERO1 DELGADO SILVER</t>
        </is>
      </c>
      <c r="F2062" s="9" t="inlineStr">
        <is>
          <t>6</t>
        </is>
      </c>
      <c r="G2062" s="9" t="n">
        <v>3</v>
      </c>
      <c r="H2062" s="21" t="n">
        <v>7</v>
      </c>
      <c r="I2062" s="21" t="n">
        <v>149.48</v>
      </c>
      <c r="J2062" s="21" t="n">
        <v>448.44</v>
      </c>
      <c r="K2062" s="21" t="n">
        <v>523.1799999999999</v>
      </c>
      <c r="L2062" s="21" t="n">
        <v>597.92</v>
      </c>
      <c r="M2062" s="21" t="n">
        <v>454</v>
      </c>
    </row>
    <row r="2063">
      <c r="A2063" s="9" t="inlineStr">
        <is>
          <t>HAIFENG</t>
        </is>
      </c>
      <c r="B2063" s="9" t="inlineStr">
        <is>
          <t>HAIFENG 05/02/2026</t>
        </is>
      </c>
      <c r="C2063" s="9" t="inlineStr">
        <is>
          <t>2026-02-05</t>
        </is>
      </c>
      <c r="D2063" s="9" t="inlineStr">
        <is>
          <t>40154173173069</t>
        </is>
      </c>
      <c r="E2063" s="9" t="inlineStr">
        <is>
          <t>ANILLO BV B.ZERO1 DELGADO SILVER</t>
        </is>
      </c>
      <c r="F2063" s="9" t="inlineStr">
        <is>
          <t>7</t>
        </is>
      </c>
      <c r="G2063" s="9" t="n">
        <v>3</v>
      </c>
      <c r="H2063" s="21" t="n">
        <v>7</v>
      </c>
      <c r="I2063" s="21" t="n">
        <v>149.48</v>
      </c>
      <c r="J2063" s="21" t="n">
        <v>448.44</v>
      </c>
      <c r="K2063" s="21" t="n">
        <v>523.1799999999999</v>
      </c>
      <c r="L2063" s="21" t="n">
        <v>597.92</v>
      </c>
      <c r="M2063" s="21" t="n">
        <v>699</v>
      </c>
    </row>
    <row r="2064">
      <c r="A2064" s="9" t="inlineStr">
        <is>
          <t>HAIFENG</t>
        </is>
      </c>
      <c r="B2064" s="9" t="inlineStr">
        <is>
          <t>HAIFENG 05/02/2026</t>
        </is>
      </c>
      <c r="C2064" s="9" t="inlineStr">
        <is>
          <t>2026-02-05</t>
        </is>
      </c>
      <c r="D2064" s="9" t="inlineStr">
        <is>
          <t>22064322680525</t>
        </is>
      </c>
      <c r="E2064" s="9" t="inlineStr">
        <is>
          <t>ANILLO BV ROSE GOLD PEARL</t>
        </is>
      </c>
      <c r="F2064" s="9" t="inlineStr">
        <is>
          <t>6</t>
        </is>
      </c>
      <c r="G2064" s="9" t="n">
        <v>1</v>
      </c>
      <c r="H2064" s="21" t="n">
        <v>8</v>
      </c>
      <c r="I2064" s="21" t="n">
        <v>170.83</v>
      </c>
      <c r="J2064" s="21" t="n">
        <v>512.5</v>
      </c>
      <c r="K2064" s="21" t="n">
        <v>597.92</v>
      </c>
      <c r="L2064" s="21" t="n">
        <v>683.34</v>
      </c>
      <c r="M2064" s="21" t="n">
        <v>750</v>
      </c>
    </row>
    <row r="2065">
      <c r="A2065" s="9" t="inlineStr">
        <is>
          <t>HAIFENG</t>
        </is>
      </c>
      <c r="B2065" s="9" t="inlineStr">
        <is>
          <t>HAIFENG 05/02/2026</t>
        </is>
      </c>
      <c r="C2065" s="9" t="inlineStr">
        <is>
          <t>2026-02-05</t>
        </is>
      </c>
      <c r="D2065" s="9" t="inlineStr">
        <is>
          <t>22064322713293</t>
        </is>
      </c>
      <c r="E2065" s="9" t="inlineStr">
        <is>
          <t>ANILLO BV ROSE GOLD PEARL</t>
        </is>
      </c>
      <c r="F2065" s="9" t="inlineStr">
        <is>
          <t>7</t>
        </is>
      </c>
      <c r="G2065" s="9" t="n">
        <v>1</v>
      </c>
      <c r="H2065" s="21" t="n">
        <v>8</v>
      </c>
      <c r="I2065" s="21" t="n">
        <v>170.83</v>
      </c>
      <c r="J2065" s="21" t="n">
        <v>512.5</v>
      </c>
      <c r="K2065" s="21" t="n">
        <v>597.92</v>
      </c>
      <c r="L2065" s="21" t="n">
        <v>683.34</v>
      </c>
      <c r="M2065" s="21" t="n">
        <v>750</v>
      </c>
    </row>
    <row r="2066">
      <c r="A2066" s="9" t="inlineStr">
        <is>
          <t>HAIFENG</t>
        </is>
      </c>
      <c r="B2066" s="9" t="inlineStr">
        <is>
          <t>HAIFENG 05/02/2026</t>
        </is>
      </c>
      <c r="C2066" s="9" t="inlineStr">
        <is>
          <t>2026-02-05</t>
        </is>
      </c>
      <c r="D2066" s="9" t="inlineStr">
        <is>
          <t>35432871289805</t>
        </is>
      </c>
      <c r="E2066" s="9" t="inlineStr">
        <is>
          <t>ANILLO CC COCO CRUSH ROSE GOLD</t>
        </is>
      </c>
      <c r="F2066" s="9" t="inlineStr">
        <is>
          <t>6</t>
        </is>
      </c>
      <c r="G2066" s="9" t="n">
        <v>3</v>
      </c>
      <c r="H2066" s="21" t="n">
        <v>10</v>
      </c>
      <c r="I2066" s="21" t="n">
        <v>213.54</v>
      </c>
      <c r="J2066" s="21" t="n">
        <v>640.63</v>
      </c>
      <c r="K2066" s="21" t="n">
        <v>747.4</v>
      </c>
      <c r="L2066" s="21" t="n">
        <v>854.17</v>
      </c>
      <c r="M2066" s="21" t="n">
        <v>850</v>
      </c>
    </row>
    <row r="2067">
      <c r="A2067" s="9" t="inlineStr">
        <is>
          <t>HAIFENG</t>
        </is>
      </c>
      <c r="B2067" s="9" t="inlineStr">
        <is>
          <t>HAIFENG 05/02/2026</t>
        </is>
      </c>
      <c r="C2067" s="9" t="inlineStr">
        <is>
          <t>2026-02-05</t>
        </is>
      </c>
      <c r="D2067" s="9" t="inlineStr">
        <is>
          <t>35432871322573</t>
        </is>
      </c>
      <c r="E2067" s="9" t="inlineStr">
        <is>
          <t>ANILLO CC COCO CRUSH ROSE GOLD</t>
        </is>
      </c>
      <c r="F2067" s="9" t="inlineStr">
        <is>
          <t>7</t>
        </is>
      </c>
      <c r="G2067" s="9" t="n">
        <v>3</v>
      </c>
      <c r="H2067" s="21" t="n">
        <v>10</v>
      </c>
      <c r="I2067" s="21" t="n">
        <v>213.54</v>
      </c>
      <c r="J2067" s="21" t="n">
        <v>640.63</v>
      </c>
      <c r="K2067" s="21" t="n">
        <v>747.4</v>
      </c>
      <c r="L2067" s="21" t="n">
        <v>854.17</v>
      </c>
      <c r="M2067" s="21" t="n">
        <v>850</v>
      </c>
    </row>
    <row r="2068">
      <c r="A2068" s="9" t="inlineStr">
        <is>
          <t>HAIFENG</t>
        </is>
      </c>
      <c r="B2068" s="9" t="inlineStr">
        <is>
          <t>HAIFENG 05/02/2026</t>
        </is>
      </c>
      <c r="C2068" s="9" t="inlineStr">
        <is>
          <t>2026-02-05</t>
        </is>
      </c>
      <c r="D2068" s="9" t="inlineStr">
        <is>
          <t>35432871441773</t>
        </is>
      </c>
      <c r="E2068" s="9" t="inlineStr">
        <is>
          <t>ANILLO CC COCO CRUSH ROSE GOLD-SILVER</t>
        </is>
      </c>
      <c r="F2068" s="9" t="inlineStr">
        <is>
          <t>6</t>
        </is>
      </c>
      <c r="G2068" s="9" t="n">
        <v>2</v>
      </c>
      <c r="H2068" s="21" t="n">
        <v>10</v>
      </c>
      <c r="I2068" s="21" t="n">
        <v>213.54</v>
      </c>
      <c r="J2068" s="21" t="n">
        <v>640.63</v>
      </c>
      <c r="K2068" s="21" t="n">
        <v>747.4</v>
      </c>
      <c r="L2068" s="21" t="n">
        <v>854.17</v>
      </c>
      <c r="M2068" s="21" t="n">
        <v>850</v>
      </c>
    </row>
    <row r="2069">
      <c r="A2069" s="9" t="inlineStr">
        <is>
          <t>HAIFENG</t>
        </is>
      </c>
      <c r="B2069" s="9" t="inlineStr">
        <is>
          <t>HAIFENG 05/02/2026</t>
        </is>
      </c>
      <c r="C2069" s="9" t="inlineStr">
        <is>
          <t>2026-02-05</t>
        </is>
      </c>
      <c r="D2069" s="9" t="inlineStr">
        <is>
          <t>35432871574541</t>
        </is>
      </c>
      <c r="E2069" s="9" t="inlineStr">
        <is>
          <t>ANILLO CC COCO CRUSH ROSE GOLD-SILVER</t>
        </is>
      </c>
      <c r="F2069" s="9" t="inlineStr">
        <is>
          <t>7</t>
        </is>
      </c>
      <c r="G2069" s="9" t="n">
        <v>2</v>
      </c>
      <c r="H2069" s="21" t="n">
        <v>10</v>
      </c>
      <c r="I2069" s="21" t="n">
        <v>213.54</v>
      </c>
      <c r="J2069" s="21" t="n">
        <v>640.63</v>
      </c>
      <c r="K2069" s="21" t="n">
        <v>747.4</v>
      </c>
      <c r="L2069" s="21" t="n">
        <v>854.17</v>
      </c>
      <c r="M2069" s="21" t="n">
        <v>850</v>
      </c>
    </row>
    <row r="2070">
      <c r="A2070" s="9" t="inlineStr">
        <is>
          <t>HAIFENG</t>
        </is>
      </c>
      <c r="B2070" s="9" t="inlineStr">
        <is>
          <t>HAIFENG 05/02/2026</t>
        </is>
      </c>
      <c r="C2070" s="9" t="inlineStr">
        <is>
          <t>2026-02-05</t>
        </is>
      </c>
      <c r="D2070" s="9" t="inlineStr">
        <is>
          <t>29736662234765</t>
        </is>
      </c>
      <c r="E2070" s="9" t="inlineStr">
        <is>
          <t>ANILLO CD TRIBALES GOLD</t>
        </is>
      </c>
      <c r="F2070" s="9" t="inlineStr">
        <is>
          <t>7</t>
        </is>
      </c>
      <c r="G2070" s="9" t="n">
        <v>2</v>
      </c>
      <c r="H2070" s="21" t="n">
        <v>6.99</v>
      </c>
      <c r="I2070" s="21" t="n">
        <v>149.27</v>
      </c>
      <c r="J2070" s="21" t="n">
        <v>447.8</v>
      </c>
      <c r="K2070" s="21" t="n">
        <v>522.4299999999999</v>
      </c>
      <c r="L2070" s="21" t="n">
        <v>597.0700000000001</v>
      </c>
      <c r="M2070" s="21" t="n">
        <v>599</v>
      </c>
    </row>
    <row r="2071">
      <c r="A2071" s="9" t="inlineStr">
        <is>
          <t>HAIFENG</t>
        </is>
      </c>
      <c r="B2071" s="9" t="inlineStr">
        <is>
          <t>HAIFENG 05/02/2026</t>
        </is>
      </c>
      <c r="C2071" s="9" t="inlineStr">
        <is>
          <t>2026-02-05</t>
        </is>
      </c>
      <c r="D2071" s="9" t="inlineStr">
        <is>
          <t>22064322048301</t>
        </is>
      </c>
      <c r="E2071" s="9" t="inlineStr">
        <is>
          <t>ANILLO CLASH DOBLE ROSE GOLD</t>
        </is>
      </c>
      <c r="F2071" s="9" t="inlineStr">
        <is>
          <t>6</t>
        </is>
      </c>
      <c r="G2071" s="9" t="n">
        <v>1</v>
      </c>
      <c r="H2071" s="21" t="n">
        <v>10</v>
      </c>
      <c r="I2071" s="21" t="n">
        <v>213.54</v>
      </c>
      <c r="J2071" s="21" t="n">
        <v>640.63</v>
      </c>
      <c r="K2071" s="21" t="n">
        <v>747.4</v>
      </c>
      <c r="L2071" s="21" t="n">
        <v>854.17</v>
      </c>
      <c r="M2071" s="21" t="n">
        <v>830</v>
      </c>
    </row>
    <row r="2072">
      <c r="A2072" s="9" t="inlineStr">
        <is>
          <t>HAIFENG</t>
        </is>
      </c>
      <c r="B2072" s="9" t="inlineStr">
        <is>
          <t>HAIFENG 05/02/2026</t>
        </is>
      </c>
      <c r="C2072" s="9" t="inlineStr">
        <is>
          <t>2026-02-05</t>
        </is>
      </c>
      <c r="D2072" s="9" t="inlineStr">
        <is>
          <t>22064322181069</t>
        </is>
      </c>
      <c r="E2072" s="9" t="inlineStr">
        <is>
          <t>ANILLO CLASH DOBLE ROSE GOLD</t>
        </is>
      </c>
      <c r="F2072" s="9" t="inlineStr">
        <is>
          <t>7</t>
        </is>
      </c>
      <c r="G2072" s="9" t="n">
        <v>2</v>
      </c>
      <c r="H2072" s="21" t="n">
        <v>10</v>
      </c>
      <c r="I2072" s="21" t="n">
        <v>213.54</v>
      </c>
      <c r="J2072" s="21" t="n">
        <v>640.63</v>
      </c>
      <c r="K2072" s="21" t="n">
        <v>747.4</v>
      </c>
      <c r="L2072" s="21" t="n">
        <v>854.17</v>
      </c>
      <c r="M2072" s="21" t="n">
        <v>830</v>
      </c>
    </row>
    <row r="2073">
      <c r="A2073" s="9" t="inlineStr">
        <is>
          <t>HAIFENG</t>
        </is>
      </c>
      <c r="B2073" s="9" t="inlineStr">
        <is>
          <t>HAIFENG 05/02/2026</t>
        </is>
      </c>
      <c r="C2073" s="9" t="inlineStr">
        <is>
          <t>2026-02-05</t>
        </is>
      </c>
      <c r="D2073" s="9" t="inlineStr">
        <is>
          <t>40154173560109</t>
        </is>
      </c>
      <c r="E2073" s="9" t="inlineStr">
        <is>
          <t>ANILLO CLAVO DOBLE GOLD ZIRCONIAS</t>
        </is>
      </c>
      <c r="F2073" s="9" t="inlineStr">
        <is>
          <t>6</t>
        </is>
      </c>
      <c r="G2073" s="9" t="n">
        <v>2</v>
      </c>
      <c r="H2073" s="21" t="n">
        <v>5</v>
      </c>
      <c r="I2073" s="21" t="n">
        <v>106.77</v>
      </c>
      <c r="J2073" s="21" t="n">
        <v>320.31</v>
      </c>
      <c r="K2073" s="21" t="n">
        <v>373.7</v>
      </c>
      <c r="L2073" s="21" t="n">
        <v>427.09</v>
      </c>
      <c r="M2073" s="21" t="n">
        <v>600</v>
      </c>
    </row>
    <row r="2074">
      <c r="A2074" s="9" t="inlineStr">
        <is>
          <t>HAIFENG</t>
        </is>
      </c>
      <c r="B2074" s="9" t="inlineStr">
        <is>
          <t>HAIFENG 05/02/2026</t>
        </is>
      </c>
      <c r="C2074" s="9" t="inlineStr">
        <is>
          <t>2026-02-05</t>
        </is>
      </c>
      <c r="D2074" s="9" t="inlineStr">
        <is>
          <t>40154173692877</t>
        </is>
      </c>
      <c r="E2074" s="9" t="inlineStr">
        <is>
          <t>ANILLO CLAVO DOBLE GOLD ZIRCONIAS</t>
        </is>
      </c>
      <c r="F2074" s="9" t="inlineStr">
        <is>
          <t>7</t>
        </is>
      </c>
      <c r="G2074" s="9" t="n">
        <v>2</v>
      </c>
      <c r="H2074" s="21" t="n">
        <v>5</v>
      </c>
      <c r="I2074" s="21" t="n">
        <v>106.77</v>
      </c>
      <c r="J2074" s="21" t="n">
        <v>320.31</v>
      </c>
      <c r="K2074" s="21" t="n">
        <v>373.7</v>
      </c>
      <c r="L2074" s="21" t="n">
        <v>427.09</v>
      </c>
      <c r="M2074" s="21" t="n">
        <v>600</v>
      </c>
    </row>
    <row r="2075">
      <c r="A2075" s="9" t="inlineStr">
        <is>
          <t>HAIFENG</t>
        </is>
      </c>
      <c r="B2075" s="9" t="inlineStr">
        <is>
          <t>HAIFENG 05/02/2026</t>
        </is>
      </c>
      <c r="C2075" s="9" t="inlineStr">
        <is>
          <t>2026-02-05</t>
        </is>
      </c>
      <c r="D2075" s="9" t="inlineStr">
        <is>
          <t>40154173365741</t>
        </is>
      </c>
      <c r="E2075" s="9" t="inlineStr">
        <is>
          <t>ANILLO CLAVO DOBLE SILVER ZIRCONIAS</t>
        </is>
      </c>
      <c r="F2075" s="9" t="inlineStr">
        <is>
          <t>6</t>
        </is>
      </c>
      <c r="G2075" s="9" t="n">
        <v>2</v>
      </c>
      <c r="H2075" s="21" t="n">
        <v>5</v>
      </c>
      <c r="I2075" s="21" t="n">
        <v>106.77</v>
      </c>
      <c r="J2075" s="21" t="n">
        <v>320.31</v>
      </c>
      <c r="K2075" s="21" t="n">
        <v>373.7</v>
      </c>
      <c r="L2075" s="21" t="n">
        <v>427.09</v>
      </c>
      <c r="M2075" s="21" t="n">
        <v>700</v>
      </c>
    </row>
    <row r="2076">
      <c r="A2076" s="9" t="inlineStr">
        <is>
          <t>HAIFENG</t>
        </is>
      </c>
      <c r="B2076" s="9" t="inlineStr">
        <is>
          <t>HAIFENG 05/02/2026</t>
        </is>
      </c>
      <c r="C2076" s="9" t="inlineStr">
        <is>
          <t>2026-02-05</t>
        </is>
      </c>
      <c r="D2076" s="9" t="inlineStr">
        <is>
          <t>40154173498509</t>
        </is>
      </c>
      <c r="E2076" s="9" t="inlineStr">
        <is>
          <t>ANILLO CLAVO DOBLE SILVER ZIRCONIAS</t>
        </is>
      </c>
      <c r="F2076" s="9" t="inlineStr">
        <is>
          <t>7</t>
        </is>
      </c>
      <c r="G2076" s="9" t="n">
        <v>2</v>
      </c>
      <c r="H2076" s="21" t="n">
        <v>5</v>
      </c>
      <c r="I2076" s="21" t="n">
        <v>106.77</v>
      </c>
      <c r="J2076" s="21" t="n">
        <v>320.31</v>
      </c>
      <c r="K2076" s="21" t="n">
        <v>373.7</v>
      </c>
      <c r="L2076" s="21" t="n">
        <v>427.09</v>
      </c>
      <c r="M2076" s="21" t="n">
        <v>700</v>
      </c>
    </row>
    <row r="2077">
      <c r="A2077" s="9" t="inlineStr">
        <is>
          <t>HAIFENG</t>
        </is>
      </c>
      <c r="B2077" s="9" t="inlineStr">
        <is>
          <t>HAIFENG 05/02/2026</t>
        </is>
      </c>
      <c r="C2077" s="9" t="inlineStr">
        <is>
          <t>2026-02-05</t>
        </is>
      </c>
      <c r="D2077" s="9" t="inlineStr">
        <is>
          <t>22064323225165</t>
        </is>
      </c>
      <c r="E2077" s="9" t="inlineStr">
        <is>
          <t>ANILLO DIVAS DREAM ROSE GOLD</t>
        </is>
      </c>
      <c r="F2077" s="9" t="inlineStr">
        <is>
          <t>6</t>
        </is>
      </c>
      <c r="G2077" s="9" t="n">
        <v>2</v>
      </c>
      <c r="H2077" s="21" t="n">
        <v>6</v>
      </c>
      <c r="I2077" s="21" t="n">
        <v>128.13</v>
      </c>
      <c r="J2077" s="21" t="n">
        <v>384.38</v>
      </c>
      <c r="K2077" s="21" t="n">
        <v>448.44</v>
      </c>
      <c r="L2077" s="21" t="n">
        <v>512.5</v>
      </c>
      <c r="M2077" s="21" t="n">
        <v>599</v>
      </c>
    </row>
    <row r="2078">
      <c r="A2078" s="9" t="inlineStr">
        <is>
          <t>HAIFENG</t>
        </is>
      </c>
      <c r="B2078" s="9" t="inlineStr">
        <is>
          <t>HAIFENG 05/02/2026</t>
        </is>
      </c>
      <c r="C2078" s="9" t="inlineStr">
        <is>
          <t>2026-02-05</t>
        </is>
      </c>
      <c r="D2078" s="9" t="inlineStr">
        <is>
          <t>22064323357933</t>
        </is>
      </c>
      <c r="E2078" s="9" t="inlineStr">
        <is>
          <t>ANILLO DIVAS DREAM ROSE GOLD</t>
        </is>
      </c>
      <c r="F2078" s="9" t="inlineStr">
        <is>
          <t>7</t>
        </is>
      </c>
      <c r="G2078" s="9" t="n">
        <v>2</v>
      </c>
      <c r="H2078" s="21" t="n">
        <v>6</v>
      </c>
      <c r="I2078" s="21" t="n">
        <v>128.13</v>
      </c>
      <c r="J2078" s="21" t="n">
        <v>384.38</v>
      </c>
      <c r="K2078" s="21" t="n">
        <v>448.44</v>
      </c>
      <c r="L2078" s="21" t="n">
        <v>512.5</v>
      </c>
      <c r="M2078" s="21" t="n">
        <v>599</v>
      </c>
    </row>
    <row r="2079">
      <c r="A2079" s="9" t="inlineStr">
        <is>
          <t>HAIFENG</t>
        </is>
      </c>
      <c r="B2079" s="9" t="inlineStr">
        <is>
          <t>HAIFENG 05/02/2026</t>
        </is>
      </c>
      <c r="C2079" s="9" t="inlineStr">
        <is>
          <t>2026-02-05</t>
        </is>
      </c>
      <c r="D2079" s="9" t="inlineStr">
        <is>
          <t>22064321629645</t>
        </is>
      </c>
      <c r="E2079" s="9" t="inlineStr">
        <is>
          <t>ANILLO DOBLE PANTHERE GOLD</t>
        </is>
      </c>
      <c r="F2079" s="9" t="inlineStr">
        <is>
          <t>6</t>
        </is>
      </c>
      <c r="G2079" s="9" t="n">
        <v>2</v>
      </c>
      <c r="H2079" s="21" t="n">
        <v>9</v>
      </c>
      <c r="I2079" s="21" t="n">
        <v>192.19</v>
      </c>
      <c r="J2079" s="21" t="n">
        <v>576.5700000000001</v>
      </c>
      <c r="K2079" s="21" t="n">
        <v>672.66</v>
      </c>
      <c r="L2079" s="21" t="n">
        <v>768.75</v>
      </c>
      <c r="M2079" s="21" t="n">
        <v>750</v>
      </c>
    </row>
    <row r="2080">
      <c r="A2080" s="9" t="inlineStr">
        <is>
          <t>HAIFENG</t>
        </is>
      </c>
      <c r="B2080" s="9" t="inlineStr">
        <is>
          <t>HAIFENG 05/02/2026</t>
        </is>
      </c>
      <c r="C2080" s="9" t="inlineStr">
        <is>
          <t>2026-02-05</t>
        </is>
      </c>
      <c r="D2080" s="9" t="inlineStr">
        <is>
          <t>22064321762413</t>
        </is>
      </c>
      <c r="E2080" s="9" t="inlineStr">
        <is>
          <t>ANILLO DOBLE PANTHERE GOLD</t>
        </is>
      </c>
      <c r="F2080" s="9" t="inlineStr">
        <is>
          <t>7</t>
        </is>
      </c>
      <c r="G2080" s="9" t="n">
        <v>2</v>
      </c>
      <c r="H2080" s="21" t="n">
        <v>9</v>
      </c>
      <c r="I2080" s="21" t="n">
        <v>192.19</v>
      </c>
      <c r="J2080" s="21" t="n">
        <v>576.5700000000001</v>
      </c>
      <c r="K2080" s="21" t="n">
        <v>672.66</v>
      </c>
      <c r="L2080" s="21" t="n">
        <v>768.75</v>
      </c>
      <c r="M2080" s="21" t="n">
        <v>750</v>
      </c>
    </row>
    <row r="2081">
      <c r="A2081" s="9" t="inlineStr">
        <is>
          <t>HAIFENG</t>
        </is>
      </c>
      <c r="B2081" s="9" t="inlineStr">
        <is>
          <t>HAIFENG 05/02/2026</t>
        </is>
      </c>
      <c r="C2081" s="9" t="inlineStr">
        <is>
          <t>2026-02-05</t>
        </is>
      </c>
      <c r="D2081" s="9" t="inlineStr">
        <is>
          <t>83391731482125</t>
        </is>
      </c>
      <c r="E2081" s="9" t="inlineStr">
        <is>
          <t>ANILLO DOBLE T ROSE GOLD ZIRCONIAS</t>
        </is>
      </c>
      <c r="F2081" s="9" t="inlineStr">
        <is>
          <t>7</t>
        </is>
      </c>
      <c r="G2081" s="9" t="n">
        <v>2</v>
      </c>
      <c r="H2081" s="21" t="n">
        <v>7</v>
      </c>
      <c r="I2081" s="21" t="n">
        <v>149.48</v>
      </c>
      <c r="J2081" s="21" t="n">
        <v>448.44</v>
      </c>
      <c r="K2081" s="21" t="n">
        <v>523.1799999999999</v>
      </c>
      <c r="L2081" s="21" t="n">
        <v>597.92</v>
      </c>
      <c r="M2081" s="21" t="n">
        <v>780</v>
      </c>
    </row>
    <row r="2082">
      <c r="A2082" s="9" t="inlineStr">
        <is>
          <t>HAIFENG</t>
        </is>
      </c>
      <c r="B2082" s="9" t="inlineStr">
        <is>
          <t>HAIFENG 05/02/2026</t>
        </is>
      </c>
      <c r="C2082" s="9" t="inlineStr">
        <is>
          <t>2026-02-05</t>
        </is>
      </c>
      <c r="D2082" s="9" t="inlineStr">
        <is>
          <t>83391731283213</t>
        </is>
      </c>
      <c r="E2082" s="9" t="inlineStr">
        <is>
          <t>ANILLO DOBLE T SILVER ZIRCONIAS</t>
        </is>
      </c>
      <c r="F2082" s="9" t="inlineStr">
        <is>
          <t>6</t>
        </is>
      </c>
      <c r="G2082" s="9" t="n">
        <v>2</v>
      </c>
      <c r="H2082" s="21" t="n">
        <v>7</v>
      </c>
      <c r="I2082" s="21" t="n">
        <v>149.48</v>
      </c>
      <c r="J2082" s="21" t="n">
        <v>448.44</v>
      </c>
      <c r="K2082" s="21" t="n">
        <v>523.1799999999999</v>
      </c>
      <c r="L2082" s="21" t="n">
        <v>597.92</v>
      </c>
      <c r="M2082" s="21" t="n">
        <v>507</v>
      </c>
    </row>
    <row r="2083">
      <c r="A2083" s="9" t="inlineStr">
        <is>
          <t>HAIFENG</t>
        </is>
      </c>
      <c r="B2083" s="9" t="inlineStr">
        <is>
          <t>HAIFENG 05/02/2026</t>
        </is>
      </c>
      <c r="C2083" s="9" t="inlineStr">
        <is>
          <t>2026-02-05</t>
        </is>
      </c>
      <c r="D2083" s="9" t="inlineStr">
        <is>
          <t>83391731315981</t>
        </is>
      </c>
      <c r="E2083" s="9" t="inlineStr">
        <is>
          <t>ANILLO DOBLE T SILVER ZIRCONIAS</t>
        </is>
      </c>
      <c r="F2083" s="9" t="inlineStr">
        <is>
          <t>7</t>
        </is>
      </c>
      <c r="G2083" s="9" t="n">
        <v>2</v>
      </c>
      <c r="H2083" s="21" t="n">
        <v>7</v>
      </c>
      <c r="I2083" s="21" t="n">
        <v>149.48</v>
      </c>
      <c r="J2083" s="21" t="n">
        <v>448.44</v>
      </c>
      <c r="K2083" s="21" t="n">
        <v>523.1799999999999</v>
      </c>
      <c r="L2083" s="21" t="n">
        <v>597.92</v>
      </c>
      <c r="M2083" s="21" t="n">
        <v>507</v>
      </c>
    </row>
    <row r="2084">
      <c r="A2084" s="9" t="inlineStr">
        <is>
          <t>HAIFENG</t>
        </is>
      </c>
      <c r="B2084" s="9" t="inlineStr">
        <is>
          <t>HAIFENG 05/02/2026</t>
        </is>
      </c>
      <c r="C2084" s="9" t="inlineStr">
        <is>
          <t>2026-02-05</t>
        </is>
      </c>
      <c r="D2084" s="9" t="inlineStr">
        <is>
          <t>22064323571501</t>
        </is>
      </c>
      <c r="E2084" s="9" t="inlineStr">
        <is>
          <t>ANILLO FLOWER DOBLE GOLD</t>
        </is>
      </c>
      <c r="F2084" s="9" t="inlineStr">
        <is>
          <t>Default Title</t>
        </is>
      </c>
      <c r="G2084" s="9" t="n">
        <v>2</v>
      </c>
      <c r="H2084" s="21" t="n">
        <v>8.9</v>
      </c>
      <c r="I2084" s="21" t="n">
        <v>190.05</v>
      </c>
      <c r="J2084" s="21" t="n">
        <v>570.16</v>
      </c>
      <c r="K2084" s="21" t="n">
        <v>665.1900000000001</v>
      </c>
      <c r="L2084" s="21" t="n">
        <v>760.21</v>
      </c>
      <c r="M2084" s="21" t="n">
        <v>750</v>
      </c>
    </row>
    <row r="2085">
      <c r="A2085" s="9" t="inlineStr">
        <is>
          <t>HAIFENG</t>
        </is>
      </c>
      <c r="B2085" s="9" t="inlineStr">
        <is>
          <t>HAIFENG 05/02/2026</t>
        </is>
      </c>
      <c r="C2085" s="9" t="inlineStr">
        <is>
          <t>2026-02-05</t>
        </is>
      </c>
      <c r="D2085" s="9" t="inlineStr">
        <is>
          <t>22064323404269</t>
        </is>
      </c>
      <c r="E2085" s="9" t="inlineStr">
        <is>
          <t>ANILLO FLOWER DOBLE SILVER</t>
        </is>
      </c>
      <c r="F2085" s="9" t="inlineStr">
        <is>
          <t>Default Title</t>
        </is>
      </c>
      <c r="G2085" s="9" t="n">
        <v>2</v>
      </c>
      <c r="H2085" s="21" t="n">
        <v>8.9</v>
      </c>
      <c r="I2085" s="21" t="n">
        <v>190.05</v>
      </c>
      <c r="J2085" s="21" t="n">
        <v>570.16</v>
      </c>
      <c r="K2085" s="21" t="n">
        <v>665.1900000000001</v>
      </c>
      <c r="L2085" s="21" t="n">
        <v>760.21</v>
      </c>
      <c r="M2085" s="21" t="n">
        <v>799</v>
      </c>
    </row>
    <row r="2086">
      <c r="A2086" s="9" t="inlineStr">
        <is>
          <t>HAIFENG</t>
        </is>
      </c>
      <c r="B2086" s="9" t="inlineStr">
        <is>
          <t>HAIFENG 05/02/2026</t>
        </is>
      </c>
      <c r="C2086" s="9" t="inlineStr">
        <is>
          <t>2026-02-05</t>
        </is>
      </c>
      <c r="D2086" s="9" t="inlineStr">
        <is>
          <t>22064323778285</t>
        </is>
      </c>
      <c r="E2086" s="9" t="inlineStr">
        <is>
          <t>ANILLO FLOWER HALF ZIRCONIAS GOLD</t>
        </is>
      </c>
      <c r="F2086" s="9" t="inlineStr">
        <is>
          <t>Default Title</t>
        </is>
      </c>
      <c r="G2086" s="9" t="n">
        <v>2</v>
      </c>
      <c r="H2086" s="21" t="n">
        <v>8.9</v>
      </c>
      <c r="I2086" s="21" t="n">
        <v>190.05</v>
      </c>
      <c r="J2086" s="21" t="n">
        <v>570.16</v>
      </c>
      <c r="K2086" s="21" t="n">
        <v>665.1900000000001</v>
      </c>
      <c r="L2086" s="21" t="n">
        <v>760.21</v>
      </c>
      <c r="M2086" s="21" t="n">
        <v>799</v>
      </c>
    </row>
    <row r="2087">
      <c r="A2087" s="9" t="inlineStr">
        <is>
          <t>HAIFENG</t>
        </is>
      </c>
      <c r="B2087" s="9" t="inlineStr">
        <is>
          <t>HAIFENG 05/02/2026</t>
        </is>
      </c>
      <c r="C2087" s="9" t="inlineStr">
        <is>
          <t>2026-02-05</t>
        </is>
      </c>
      <c r="D2087" s="9" t="inlineStr">
        <is>
          <t>22064321319469</t>
        </is>
      </c>
      <c r="E2087" s="9" t="inlineStr">
        <is>
          <t>ANILLO LOVE SILVER-BLACK MICROZIRCONIAS</t>
        </is>
      </c>
      <c r="F2087" s="9" t="inlineStr">
        <is>
          <t>8</t>
        </is>
      </c>
      <c r="G2087" s="9" t="n">
        <v>2</v>
      </c>
      <c r="H2087" s="21" t="n">
        <v>8</v>
      </c>
      <c r="I2087" s="21" t="n">
        <v>170.83</v>
      </c>
      <c r="J2087" s="21" t="n">
        <v>512.5</v>
      </c>
      <c r="K2087" s="21" t="n">
        <v>597.92</v>
      </c>
      <c r="L2087" s="21" t="n">
        <v>683.34</v>
      </c>
      <c r="M2087" s="21" t="n">
        <v>999</v>
      </c>
    </row>
    <row r="2088">
      <c r="A2088" s="9" t="inlineStr">
        <is>
          <t>HAIFENG</t>
        </is>
      </c>
      <c r="B2088" s="9" t="inlineStr">
        <is>
          <t>HAIFENG 05/02/2026</t>
        </is>
      </c>
      <c r="C2088" s="9" t="inlineStr">
        <is>
          <t>2026-02-05</t>
        </is>
      </c>
      <c r="D2088" s="9" t="inlineStr">
        <is>
          <t>22064321452237</t>
        </is>
      </c>
      <c r="E2088" s="9" t="inlineStr">
        <is>
          <t>ANILLO LOVE SILVER-BLACK MICROZIRCONIAS</t>
        </is>
      </c>
      <c r="F2088" s="9" t="inlineStr">
        <is>
          <t>9</t>
        </is>
      </c>
      <c r="G2088" s="9" t="n">
        <v>2</v>
      </c>
      <c r="H2088" s="21" t="n">
        <v>8</v>
      </c>
      <c r="I2088" s="21" t="n">
        <v>170.83</v>
      </c>
      <c r="J2088" s="21" t="n">
        <v>512.5</v>
      </c>
      <c r="K2088" s="21" t="n">
        <v>597.92</v>
      </c>
      <c r="L2088" s="21" t="n">
        <v>683.34</v>
      </c>
      <c r="M2088" s="21" t="n">
        <v>999</v>
      </c>
    </row>
    <row r="2089">
      <c r="A2089" s="9" t="inlineStr">
        <is>
          <t>HAIFENG</t>
        </is>
      </c>
      <c r="B2089" s="9" t="inlineStr">
        <is>
          <t>HAIFENG 05/02/2026</t>
        </is>
      </c>
      <c r="C2089" s="9" t="inlineStr">
        <is>
          <t>2026-02-05</t>
        </is>
      </c>
      <c r="D2089" s="9" t="inlineStr">
        <is>
          <t>34876761468109</t>
        </is>
      </c>
      <c r="E2089" s="9" t="inlineStr">
        <is>
          <t>ANILLO LOVESTRUCK</t>
        </is>
      </c>
      <c r="F2089" s="9" t="inlineStr">
        <is>
          <t>7</t>
        </is>
      </c>
      <c r="G2089" s="9" t="n">
        <v>1</v>
      </c>
      <c r="H2089" s="21" t="n">
        <v>5</v>
      </c>
      <c r="I2089" s="21" t="n">
        <v>106.77</v>
      </c>
      <c r="J2089" s="21" t="n">
        <v>320.31</v>
      </c>
      <c r="K2089" s="21" t="n">
        <v>373.7</v>
      </c>
      <c r="L2089" s="21" t="n">
        <v>427.09</v>
      </c>
      <c r="M2089" s="21" t="n">
        <v>750</v>
      </c>
    </row>
    <row r="2090">
      <c r="A2090" s="9" t="inlineStr">
        <is>
          <t>HAIFENG</t>
        </is>
      </c>
      <c r="B2090" s="9" t="inlineStr">
        <is>
          <t>HAIFENG 05/02/2026</t>
        </is>
      </c>
      <c r="C2090" s="9" t="inlineStr">
        <is>
          <t>2026-02-05</t>
        </is>
      </c>
      <c r="D2090" s="9" t="inlineStr">
        <is>
          <t>15104861336493</t>
        </is>
      </c>
      <c r="E2090" s="9" t="inlineStr">
        <is>
          <t>ANILLO LV GREEN BLOSSOM STAR ROSE GOLD</t>
        </is>
      </c>
      <c r="F2090" s="9" t="inlineStr">
        <is>
          <t>6</t>
        </is>
      </c>
      <c r="G2090" s="9" t="n">
        <v>1</v>
      </c>
      <c r="H2090" s="21" t="n">
        <v>8.99</v>
      </c>
      <c r="I2090" s="21" t="n">
        <v>191.98</v>
      </c>
      <c r="J2090" s="21" t="n">
        <v>575.9299999999999</v>
      </c>
      <c r="K2090" s="21" t="n">
        <v>671.91</v>
      </c>
      <c r="L2090" s="21" t="n">
        <v>767.9</v>
      </c>
      <c r="M2090" s="21" t="n">
        <v>820</v>
      </c>
    </row>
    <row r="2091">
      <c r="A2091" s="9" t="inlineStr">
        <is>
          <t>HAIFENG</t>
        </is>
      </c>
      <c r="B2091" s="9" t="inlineStr">
        <is>
          <t>HAIFENG 05/02/2026</t>
        </is>
      </c>
      <c r="C2091" s="9" t="inlineStr">
        <is>
          <t>2026-02-05</t>
        </is>
      </c>
      <c r="D2091" s="9" t="inlineStr">
        <is>
          <t>15104861469261</t>
        </is>
      </c>
      <c r="E2091" s="9" t="inlineStr">
        <is>
          <t>ANILLO LV GREEN BLOSSOM STAR ROSE GOLD</t>
        </is>
      </c>
      <c r="F2091" s="9" t="inlineStr">
        <is>
          <t>7</t>
        </is>
      </c>
      <c r="G2091" s="9" t="n">
        <v>1</v>
      </c>
      <c r="H2091" s="21" t="n">
        <v>8.99</v>
      </c>
      <c r="I2091" s="21" t="n">
        <v>191.98</v>
      </c>
      <c r="J2091" s="21" t="n">
        <v>575.9299999999999</v>
      </c>
      <c r="K2091" s="21" t="n">
        <v>671.91</v>
      </c>
      <c r="L2091" s="21" t="n">
        <v>767.9</v>
      </c>
      <c r="M2091" s="21" t="n">
        <v>820</v>
      </c>
    </row>
    <row r="2092">
      <c r="A2092" s="9" t="inlineStr">
        <is>
          <t>HAIFENG</t>
        </is>
      </c>
      <c r="B2092" s="9" t="inlineStr">
        <is>
          <t>HAIFENG 05/02/2026</t>
        </is>
      </c>
      <c r="C2092" s="9" t="inlineStr">
        <is>
          <t>2026-02-05</t>
        </is>
      </c>
      <c r="D2092" s="9" t="inlineStr">
        <is>
          <t>15104861195245</t>
        </is>
      </c>
      <c r="E2092" s="9" t="inlineStr">
        <is>
          <t>ANILLO LV RED BLOSSOM STAR ROSE GOLD</t>
        </is>
      </c>
      <c r="F2092" s="9" t="inlineStr">
        <is>
          <t>6</t>
        </is>
      </c>
      <c r="G2092" s="9" t="n">
        <v>1</v>
      </c>
      <c r="H2092" s="21" t="n">
        <v>8.99</v>
      </c>
      <c r="I2092" s="21" t="n">
        <v>191.98</v>
      </c>
      <c r="J2092" s="21" t="n">
        <v>575.9299999999999</v>
      </c>
      <c r="K2092" s="21" t="n">
        <v>671.91</v>
      </c>
      <c r="L2092" s="21" t="n">
        <v>767.9</v>
      </c>
      <c r="M2092" s="21" t="n">
        <v>820</v>
      </c>
    </row>
    <row r="2093">
      <c r="A2093" s="9" t="inlineStr">
        <is>
          <t>HAIFENG</t>
        </is>
      </c>
      <c r="B2093" s="9" t="inlineStr">
        <is>
          <t>HAIFENG 05/02/2026</t>
        </is>
      </c>
      <c r="C2093" s="9" t="inlineStr">
        <is>
          <t>2026-02-05</t>
        </is>
      </c>
      <c r="D2093" s="9" t="inlineStr">
        <is>
          <t>15104861228013</t>
        </is>
      </c>
      <c r="E2093" s="9" t="inlineStr">
        <is>
          <t>ANILLO LV RED BLOSSOM STAR ROSE GOLD</t>
        </is>
      </c>
      <c r="F2093" s="9" t="inlineStr">
        <is>
          <t>7</t>
        </is>
      </c>
      <c r="G2093" s="9" t="n">
        <v>1</v>
      </c>
      <c r="H2093" s="21" t="n">
        <v>8.99</v>
      </c>
      <c r="I2093" s="21" t="n">
        <v>191.98</v>
      </c>
      <c r="J2093" s="21" t="n">
        <v>575.9299999999999</v>
      </c>
      <c r="K2093" s="21" t="n">
        <v>671.91</v>
      </c>
      <c r="L2093" s="21" t="n">
        <v>767.9</v>
      </c>
      <c r="M2093" s="21" t="n">
        <v>820</v>
      </c>
    </row>
    <row r="2094">
      <c r="A2094" s="9" t="inlineStr">
        <is>
          <t>HAIFENG</t>
        </is>
      </c>
      <c r="B2094" s="9" t="inlineStr">
        <is>
          <t>HAIFENG 05/02/2026</t>
        </is>
      </c>
      <c r="C2094" s="9" t="inlineStr">
        <is>
          <t>2026-02-05</t>
        </is>
      </c>
      <c r="D2094" s="9" t="inlineStr">
        <is>
          <t>22064323607661</t>
        </is>
      </c>
      <c r="E2094" s="9" t="inlineStr">
        <is>
          <t>ANILLO MARIPOSA DOBLE SILVER</t>
        </is>
      </c>
      <c r="F2094" s="9" t="inlineStr">
        <is>
          <t>Default Title</t>
        </is>
      </c>
      <c r="G2094" s="9" t="n">
        <v>2</v>
      </c>
      <c r="H2094" s="21" t="n">
        <v>8.9</v>
      </c>
      <c r="I2094" s="21" t="n">
        <v>190.05</v>
      </c>
      <c r="J2094" s="21" t="n">
        <v>570.16</v>
      </c>
      <c r="K2094" s="21" t="n">
        <v>665.1900000000001</v>
      </c>
      <c r="L2094" s="21" t="n">
        <v>760.21</v>
      </c>
      <c r="M2094" s="21" t="n">
        <v>750</v>
      </c>
    </row>
    <row r="2095">
      <c r="A2095" s="9" t="inlineStr">
        <is>
          <t>HAIFENG</t>
        </is>
      </c>
      <c r="B2095" s="9" t="inlineStr">
        <is>
          <t>HAIFENG 05/02/2026</t>
        </is>
      </c>
      <c r="C2095" s="9" t="inlineStr">
        <is>
          <t>2026-02-05</t>
        </is>
      </c>
      <c r="D2095" s="9" t="inlineStr">
        <is>
          <t>22064323845517</t>
        </is>
      </c>
      <c r="E2095" s="9" t="inlineStr">
        <is>
          <t>ANILLO MARIQUITA ROSE GOLD</t>
        </is>
      </c>
      <c r="F2095" s="9" t="inlineStr">
        <is>
          <t>Default Title</t>
        </is>
      </c>
      <c r="G2095" s="9" t="n">
        <v>3</v>
      </c>
      <c r="H2095" s="21" t="n">
        <v>8.9</v>
      </c>
      <c r="I2095" s="21" t="n">
        <v>190.05</v>
      </c>
      <c r="J2095" s="21" t="n">
        <v>570.16</v>
      </c>
      <c r="K2095" s="21" t="n">
        <v>665.1900000000001</v>
      </c>
      <c r="L2095" s="21" t="n">
        <v>760.21</v>
      </c>
      <c r="M2095" s="21" t="n">
        <v>799</v>
      </c>
    </row>
    <row r="2096">
      <c r="A2096" s="9" t="inlineStr">
        <is>
          <t>HAIFENG</t>
        </is>
      </c>
      <c r="B2096" s="9" t="inlineStr">
        <is>
          <t>HAIFENG 05/02/2026</t>
        </is>
      </c>
      <c r="C2096" s="9" t="inlineStr">
        <is>
          <t>2026-02-05</t>
        </is>
      </c>
      <c r="D2096" s="9" t="inlineStr">
        <is>
          <t>29736662528589</t>
        </is>
      </c>
      <c r="E2096" s="9" t="inlineStr">
        <is>
          <t>ANILLO OPEN HEART SILVER</t>
        </is>
      </c>
      <c r="F2096" s="9" t="inlineStr">
        <is>
          <t>7</t>
        </is>
      </c>
      <c r="G2096" s="9" t="n">
        <v>2</v>
      </c>
      <c r="H2096" s="21" t="n">
        <v>6.99</v>
      </c>
      <c r="I2096" s="21" t="n">
        <v>149.27</v>
      </c>
      <c r="J2096" s="21" t="n">
        <v>447.8</v>
      </c>
      <c r="K2096" s="21" t="n">
        <v>522.4299999999999</v>
      </c>
      <c r="L2096" s="21" t="n">
        <v>597.0700000000001</v>
      </c>
      <c r="M2096" s="21" t="n">
        <v>599</v>
      </c>
    </row>
    <row r="2097">
      <c r="A2097" s="9" t="inlineStr">
        <is>
          <t>HAIFENG</t>
        </is>
      </c>
      <c r="B2097" s="9" t="inlineStr">
        <is>
          <t>HAIFENG 05/02/2026</t>
        </is>
      </c>
      <c r="C2097" s="9" t="inlineStr">
        <is>
          <t>2026-02-05</t>
        </is>
      </c>
      <c r="D2097" s="9" t="inlineStr">
        <is>
          <t>29736662661357</t>
        </is>
      </c>
      <c r="E2097" s="9" t="inlineStr">
        <is>
          <t>ANILLO OPEN HEART SILVER</t>
        </is>
      </c>
      <c r="F2097" s="9" t="inlineStr">
        <is>
          <t>8</t>
        </is>
      </c>
      <c r="G2097" s="9" t="n">
        <v>2</v>
      </c>
      <c r="H2097" s="21" t="n">
        <v>6.99</v>
      </c>
      <c r="I2097" s="21" t="n">
        <v>149.27</v>
      </c>
      <c r="J2097" s="21" t="n">
        <v>447.8</v>
      </c>
      <c r="K2097" s="21" t="n">
        <v>522.4299999999999</v>
      </c>
      <c r="L2097" s="21" t="n">
        <v>597.0700000000001</v>
      </c>
      <c r="M2097" s="21" t="n">
        <v>599</v>
      </c>
    </row>
    <row r="2098">
      <c r="A2098" s="9" t="inlineStr">
        <is>
          <t>HAIFENG</t>
        </is>
      </c>
      <c r="B2098" s="9" t="inlineStr">
        <is>
          <t>HAIFENG 05/02/2026</t>
        </is>
      </c>
      <c r="C2098" s="9" t="inlineStr">
        <is>
          <t>2026-02-05</t>
        </is>
      </c>
      <c r="D2098" s="9" t="inlineStr">
        <is>
          <t>22064322816685</t>
        </is>
      </c>
      <c r="E2098" s="9" t="inlineStr">
        <is>
          <t>ANILLO SERPENTI VIPER ROSE GOLD GREEN</t>
        </is>
      </c>
      <c r="F2098" s="9" t="inlineStr">
        <is>
          <t>7</t>
        </is>
      </c>
      <c r="G2098" s="9" t="n">
        <v>1</v>
      </c>
      <c r="H2098" s="21" t="n">
        <v>9</v>
      </c>
      <c r="I2098" s="21" t="n">
        <v>192.19</v>
      </c>
      <c r="J2098" s="21" t="n">
        <v>576.5700000000001</v>
      </c>
      <c r="K2098" s="21" t="n">
        <v>672.66</v>
      </c>
      <c r="L2098" s="21" t="n">
        <v>768.75</v>
      </c>
      <c r="M2098" s="21" t="n">
        <v>899</v>
      </c>
    </row>
    <row r="2099">
      <c r="A2099" s="9" t="inlineStr">
        <is>
          <t>HAIFENG</t>
        </is>
      </c>
      <c r="B2099" s="9" t="inlineStr">
        <is>
          <t>HAIFENG 05/02/2026</t>
        </is>
      </c>
      <c r="C2099" s="9" t="inlineStr">
        <is>
          <t>2026-02-05</t>
        </is>
      </c>
      <c r="D2099" s="9" t="inlineStr">
        <is>
          <t>22064322949453</t>
        </is>
      </c>
      <c r="E2099" s="9" t="inlineStr">
        <is>
          <t>ANILLO SERPENTI VIPER ROSE GOLD GREEN</t>
        </is>
      </c>
      <c r="F2099" s="9" t="inlineStr">
        <is>
          <t>8</t>
        </is>
      </c>
      <c r="G2099" s="9" t="n">
        <v>1</v>
      </c>
      <c r="H2099" s="21" t="n">
        <v>9</v>
      </c>
      <c r="I2099" s="21" t="n">
        <v>192.19</v>
      </c>
      <c r="J2099" s="21" t="n">
        <v>576.5700000000001</v>
      </c>
      <c r="K2099" s="21" t="n">
        <v>672.66</v>
      </c>
      <c r="L2099" s="21" t="n">
        <v>768.75</v>
      </c>
      <c r="M2099" s="21" t="n">
        <v>899</v>
      </c>
    </row>
    <row r="2100">
      <c r="A2100" s="9" t="inlineStr">
        <is>
          <t>HAIFENG</t>
        </is>
      </c>
      <c r="B2100" s="9" t="inlineStr">
        <is>
          <t>HAIFENG 05/02/2026</t>
        </is>
      </c>
      <c r="C2100" s="9" t="inlineStr">
        <is>
          <t>2026-02-05</t>
        </is>
      </c>
      <c r="D2100" s="9" t="inlineStr">
        <is>
          <t>22064323054541</t>
        </is>
      </c>
      <c r="E2100" s="9" t="inlineStr">
        <is>
          <t>ANILLO SERPENTI VIPER ROSE GOLD WHITE</t>
        </is>
      </c>
      <c r="F2100" s="9" t="inlineStr">
        <is>
          <t>7</t>
        </is>
      </c>
      <c r="G2100" s="9" t="n">
        <v>2</v>
      </c>
      <c r="H2100" s="21" t="n">
        <v>9</v>
      </c>
      <c r="I2100" s="21" t="n">
        <v>192.19</v>
      </c>
      <c r="J2100" s="21" t="n">
        <v>576.5700000000001</v>
      </c>
      <c r="K2100" s="21" t="n">
        <v>672.66</v>
      </c>
      <c r="L2100" s="21" t="n">
        <v>768.75</v>
      </c>
      <c r="M2100" s="21" t="n">
        <v>899</v>
      </c>
    </row>
    <row r="2101">
      <c r="A2101" s="9" t="inlineStr">
        <is>
          <t>HAIFENG</t>
        </is>
      </c>
      <c r="B2101" s="9" t="inlineStr">
        <is>
          <t>HAIFENG 05/02/2026</t>
        </is>
      </c>
      <c r="C2101" s="9" t="inlineStr">
        <is>
          <t>2026-02-05</t>
        </is>
      </c>
      <c r="D2101" s="9" t="inlineStr">
        <is>
          <t>22064323187309</t>
        </is>
      </c>
      <c r="E2101" s="9" t="inlineStr">
        <is>
          <t>ANILLO SERPENTI VIPER ROSE GOLD WHITE</t>
        </is>
      </c>
      <c r="F2101" s="9" t="inlineStr">
        <is>
          <t>8</t>
        </is>
      </c>
      <c r="G2101" s="9" t="n">
        <v>2</v>
      </c>
      <c r="H2101" s="21" t="n">
        <v>9</v>
      </c>
      <c r="I2101" s="21" t="n">
        <v>192.19</v>
      </c>
      <c r="J2101" s="21" t="n">
        <v>576.5700000000001</v>
      </c>
      <c r="K2101" s="21" t="n">
        <v>672.66</v>
      </c>
      <c r="L2101" s="21" t="n">
        <v>768.75</v>
      </c>
      <c r="M2101" s="21" t="n">
        <v>899</v>
      </c>
    </row>
    <row r="2102">
      <c r="A2102" s="9" t="inlineStr">
        <is>
          <t>HAIFENG</t>
        </is>
      </c>
      <c r="B2102" s="9" t="inlineStr">
        <is>
          <t>HAIFENG 05/02/2026</t>
        </is>
      </c>
      <c r="C2102" s="9" t="inlineStr">
        <is>
          <t>2026-02-05</t>
        </is>
      </c>
      <c r="D2102" s="9" t="inlineStr">
        <is>
          <t>40154172899053</t>
        </is>
      </c>
      <c r="E2102" s="9" t="inlineStr">
        <is>
          <t>ANILLO SERPENTI VIPER SILVER</t>
        </is>
      </c>
      <c r="F2102" s="9" t="inlineStr">
        <is>
          <t>6</t>
        </is>
      </c>
      <c r="G2102" s="9" t="n">
        <v>3</v>
      </c>
      <c r="H2102" s="21" t="n">
        <v>7</v>
      </c>
      <c r="I2102" s="21" t="n">
        <v>149.48</v>
      </c>
      <c r="J2102" s="21" t="n">
        <v>448.44</v>
      </c>
      <c r="K2102" s="21" t="n">
        <v>523.1799999999999</v>
      </c>
      <c r="L2102" s="21" t="n">
        <v>597.92</v>
      </c>
      <c r="M2102" s="21" t="n">
        <v>599</v>
      </c>
    </row>
    <row r="2103">
      <c r="A2103" s="9" t="inlineStr">
        <is>
          <t>HAIFENG</t>
        </is>
      </c>
      <c r="B2103" s="9" t="inlineStr">
        <is>
          <t>HAIFENG 05/02/2026</t>
        </is>
      </c>
      <c r="C2103" s="9" t="inlineStr">
        <is>
          <t>2026-02-05</t>
        </is>
      </c>
      <c r="D2103" s="9" t="inlineStr">
        <is>
          <t>40154172931821</t>
        </is>
      </c>
      <c r="E2103" s="9" t="inlineStr">
        <is>
          <t>ANILLO SERPENTI VIPER SILVER</t>
        </is>
      </c>
      <c r="F2103" s="9" t="inlineStr">
        <is>
          <t>7</t>
        </is>
      </c>
      <c r="G2103" s="9" t="n">
        <v>3</v>
      </c>
      <c r="H2103" s="21" t="n">
        <v>7</v>
      </c>
      <c r="I2103" s="21" t="n">
        <v>149.48</v>
      </c>
      <c r="J2103" s="21" t="n">
        <v>448.44</v>
      </c>
      <c r="K2103" s="21" t="n">
        <v>523.1799999999999</v>
      </c>
      <c r="L2103" s="21" t="n">
        <v>597.92</v>
      </c>
      <c r="M2103" s="21" t="n">
        <v>599</v>
      </c>
    </row>
    <row r="2104">
      <c r="A2104" s="9" t="inlineStr">
        <is>
          <t>HAIFENG</t>
        </is>
      </c>
      <c r="B2104" s="9" t="inlineStr">
        <is>
          <t>HAIFENG 05/02/2026</t>
        </is>
      </c>
      <c r="C2104" s="9" t="inlineStr">
        <is>
          <t>2026-02-05</t>
        </is>
      </c>
      <c r="D2104" s="9" t="inlineStr">
        <is>
          <t>29736673163725</t>
        </is>
      </c>
      <c r="E2104" s="9" t="inlineStr">
        <is>
          <t>ANILLO T BONE SILVER</t>
        </is>
      </c>
      <c r="F2104" s="9" t="inlineStr">
        <is>
          <t>Default Title</t>
        </is>
      </c>
      <c r="G2104" s="9" t="n">
        <v>3</v>
      </c>
      <c r="H2104" s="21" t="n">
        <v>8</v>
      </c>
      <c r="I2104" s="21" t="n">
        <v>170.83</v>
      </c>
      <c r="J2104" s="21" t="n">
        <v>512.5</v>
      </c>
      <c r="K2104" s="21" t="n">
        <v>597.92</v>
      </c>
      <c r="L2104" s="21" t="n">
        <v>683.34</v>
      </c>
      <c r="M2104" s="21" t="n">
        <v>0</v>
      </c>
    </row>
    <row r="2105">
      <c r="A2105" s="9" t="inlineStr">
        <is>
          <t>HAIFENG</t>
        </is>
      </c>
      <c r="B2105" s="9" t="inlineStr">
        <is>
          <t>HAIFENG 05/02/2026</t>
        </is>
      </c>
      <c r="C2105" s="9" t="inlineStr">
        <is>
          <t>2026-02-05</t>
        </is>
      </c>
      <c r="D2105" s="9" t="inlineStr">
        <is>
          <t>29736662406541</t>
        </is>
      </c>
      <c r="E2105" s="9" t="inlineStr">
        <is>
          <t>ANILLO T CIERRE DOBLE SILVER</t>
        </is>
      </c>
      <c r="F2105" s="9" t="inlineStr">
        <is>
          <t>8</t>
        </is>
      </c>
      <c r="G2105" s="9" t="n">
        <v>3</v>
      </c>
      <c r="H2105" s="21" t="n">
        <v>5</v>
      </c>
      <c r="I2105" s="21" t="n">
        <v>106.77</v>
      </c>
      <c r="J2105" s="21" t="n">
        <v>320.31</v>
      </c>
      <c r="K2105" s="21" t="n">
        <v>373.7</v>
      </c>
      <c r="L2105" s="21" t="n">
        <v>427.09</v>
      </c>
      <c r="M2105" s="21" t="n">
        <v>650</v>
      </c>
    </row>
    <row r="2106">
      <c r="A2106" s="9" t="inlineStr">
        <is>
          <t>HAIFENG</t>
        </is>
      </c>
      <c r="B2106" s="9" t="inlineStr">
        <is>
          <t>HAIFENG 05/02/2026</t>
        </is>
      </c>
      <c r="C2106" s="9" t="inlineStr">
        <is>
          <t>2026-02-05</t>
        </is>
      </c>
      <c r="D2106" s="9" t="inlineStr">
        <is>
          <t>29736662373773</t>
        </is>
      </c>
      <c r="E2106" s="9" t="inlineStr">
        <is>
          <t>ANILLO T CIERRE DOBLE SILVER</t>
        </is>
      </c>
      <c r="F2106" s="9" t="inlineStr">
        <is>
          <t>6</t>
        </is>
      </c>
      <c r="G2106" s="9" t="n">
        <v>3</v>
      </c>
      <c r="H2106" s="21" t="n">
        <v>5</v>
      </c>
      <c r="I2106" s="21" t="n">
        <v>106.77</v>
      </c>
      <c r="J2106" s="21" t="n">
        <v>320.31</v>
      </c>
      <c r="K2106" s="21" t="n">
        <v>373.7</v>
      </c>
      <c r="L2106" s="21" t="n">
        <v>427.09</v>
      </c>
      <c r="M2106" s="21" t="n">
        <v>0</v>
      </c>
    </row>
    <row r="2107">
      <c r="A2107" s="9" t="inlineStr">
        <is>
          <t>HAIFENG</t>
        </is>
      </c>
      <c r="B2107" s="9" t="inlineStr">
        <is>
          <t>HAIFENG 05/02/2026</t>
        </is>
      </c>
      <c r="C2107" s="9" t="inlineStr">
        <is>
          <t>2026-02-05</t>
        </is>
      </c>
      <c r="D2107" s="9" t="inlineStr">
        <is>
          <t>29736672903821</t>
        </is>
      </c>
      <c r="E2107" s="9" t="inlineStr">
        <is>
          <t>ANILLO T PEARL ROSE GOLD</t>
        </is>
      </c>
      <c r="F2107" s="9" t="inlineStr">
        <is>
          <t>6</t>
        </is>
      </c>
      <c r="G2107" s="9" t="n">
        <v>2</v>
      </c>
      <c r="H2107" s="21" t="n">
        <v>5</v>
      </c>
      <c r="I2107" s="21" t="n">
        <v>106.77</v>
      </c>
      <c r="J2107" s="21" t="n">
        <v>320.31</v>
      </c>
      <c r="K2107" s="21" t="n">
        <v>373.7</v>
      </c>
      <c r="L2107" s="21" t="n">
        <v>427.09</v>
      </c>
      <c r="M2107" s="21" t="n">
        <v>650</v>
      </c>
    </row>
    <row r="2108">
      <c r="A2108" s="9" t="inlineStr">
        <is>
          <t>HAIFENG</t>
        </is>
      </c>
      <c r="B2108" s="9" t="inlineStr">
        <is>
          <t>HAIFENG 05/02/2026</t>
        </is>
      </c>
      <c r="C2108" s="9" t="inlineStr">
        <is>
          <t>2026-02-05</t>
        </is>
      </c>
      <c r="D2108" s="9" t="inlineStr">
        <is>
          <t>29736673036589</t>
        </is>
      </c>
      <c r="E2108" s="9" t="inlineStr">
        <is>
          <t>ANILLO T PEARL ROSE GOLD</t>
        </is>
      </c>
      <c r="F2108" s="9" t="inlineStr">
        <is>
          <t>7</t>
        </is>
      </c>
      <c r="G2108" s="9" t="n">
        <v>2</v>
      </c>
      <c r="H2108" s="21" t="n">
        <v>5</v>
      </c>
      <c r="I2108" s="21" t="n">
        <v>106.77</v>
      </c>
      <c r="J2108" s="21" t="n">
        <v>320.31</v>
      </c>
      <c r="K2108" s="21" t="n">
        <v>373.7</v>
      </c>
      <c r="L2108" s="21" t="n">
        <v>427.09</v>
      </c>
      <c r="M2108" s="21" t="n">
        <v>422</v>
      </c>
    </row>
    <row r="2109">
      <c r="A2109" s="9" t="inlineStr">
        <is>
          <t>HAIFENG</t>
        </is>
      </c>
      <c r="B2109" s="9" t="inlineStr">
        <is>
          <t>HAIFENG 05/02/2026</t>
        </is>
      </c>
      <c r="C2109" s="9" t="inlineStr">
        <is>
          <t>2026-02-05</t>
        </is>
      </c>
      <c r="D2109" s="9" t="inlineStr">
        <is>
          <t>29736662086733</t>
        </is>
      </c>
      <c r="E2109" s="9" t="inlineStr">
        <is>
          <t>ANILLO T SERPIENTE GOLD</t>
        </is>
      </c>
      <c r="F2109" s="9" t="inlineStr">
        <is>
          <t>7</t>
        </is>
      </c>
      <c r="G2109" s="9" t="n">
        <v>3</v>
      </c>
      <c r="H2109" s="21" t="n">
        <v>5</v>
      </c>
      <c r="I2109" s="21" t="n">
        <v>106.77</v>
      </c>
      <c r="J2109" s="21" t="n">
        <v>320.31</v>
      </c>
      <c r="K2109" s="21" t="n">
        <v>373.7</v>
      </c>
      <c r="L2109" s="21" t="n">
        <v>427.09</v>
      </c>
      <c r="M2109" s="21" t="n">
        <v>600</v>
      </c>
    </row>
    <row r="2110">
      <c r="A2110" s="9" t="inlineStr">
        <is>
          <t>HAIFENG</t>
        </is>
      </c>
      <c r="B2110" s="9" t="inlineStr">
        <is>
          <t>HAIFENG 05/02/2026</t>
        </is>
      </c>
      <c r="C2110" s="9" t="inlineStr">
        <is>
          <t>2026-02-05</t>
        </is>
      </c>
      <c r="D2110" s="9" t="inlineStr">
        <is>
          <t>29736662119501</t>
        </is>
      </c>
      <c r="E2110" s="9" t="inlineStr">
        <is>
          <t>ANILLO T SERPIENTE GOLD</t>
        </is>
      </c>
      <c r="F2110" s="9" t="inlineStr">
        <is>
          <t>8</t>
        </is>
      </c>
      <c r="G2110" s="9" t="n">
        <v>3</v>
      </c>
      <c r="H2110" s="21" t="n">
        <v>5</v>
      </c>
      <c r="I2110" s="21" t="n">
        <v>106.77</v>
      </c>
      <c r="J2110" s="21" t="n">
        <v>320.31</v>
      </c>
      <c r="K2110" s="21" t="n">
        <v>373.7</v>
      </c>
      <c r="L2110" s="21" t="n">
        <v>427.09</v>
      </c>
      <c r="M2110" s="21" t="n">
        <v>600</v>
      </c>
    </row>
    <row r="2111">
      <c r="A2111" s="9" t="inlineStr">
        <is>
          <t>HAIFENG</t>
        </is>
      </c>
      <c r="B2111" s="9" t="inlineStr">
        <is>
          <t>HAIFENG 05/02/2026</t>
        </is>
      </c>
      <c r="C2111" s="9" t="inlineStr">
        <is>
          <t>2026-02-05</t>
        </is>
      </c>
      <c r="D2111" s="9" t="inlineStr">
        <is>
          <t>29736662752941</t>
        </is>
      </c>
      <c r="E2111" s="9" t="inlineStr">
        <is>
          <t>ANILLO T SILVER ZIRCONIAS</t>
        </is>
      </c>
      <c r="F2111" s="9" t="inlineStr">
        <is>
          <t>7</t>
        </is>
      </c>
      <c r="G2111" s="9" t="n">
        <v>3</v>
      </c>
      <c r="H2111" s="21" t="n">
        <v>4</v>
      </c>
      <c r="I2111" s="21" t="n">
        <v>85.42</v>
      </c>
      <c r="J2111" s="21" t="n">
        <v>256.25</v>
      </c>
      <c r="K2111" s="21" t="n">
        <v>298.96</v>
      </c>
      <c r="L2111" s="21" t="n">
        <v>341.67</v>
      </c>
      <c r="M2111" s="21" t="n">
        <v>650</v>
      </c>
    </row>
    <row r="2112">
      <c r="A2112" s="9" t="inlineStr">
        <is>
          <t>HAIFENG</t>
        </is>
      </c>
      <c r="B2112" s="9" t="inlineStr">
        <is>
          <t>HAIFENG 05/02/2026</t>
        </is>
      </c>
      <c r="C2112" s="9" t="inlineStr">
        <is>
          <t>2026-02-05</t>
        </is>
      </c>
      <c r="D2112" s="9" t="inlineStr">
        <is>
          <t>29736662885709</t>
        </is>
      </c>
      <c r="E2112" s="9" t="inlineStr">
        <is>
          <t>ANILLO T SILVER ZIRCONIAS</t>
        </is>
      </c>
      <c r="F2112" s="9" t="inlineStr">
        <is>
          <t>8</t>
        </is>
      </c>
      <c r="G2112" s="9" t="n">
        <v>3</v>
      </c>
      <c r="H2112" s="21" t="n">
        <v>4</v>
      </c>
      <c r="I2112" s="21" t="n">
        <v>85.42</v>
      </c>
      <c r="J2112" s="21" t="n">
        <v>256.25</v>
      </c>
      <c r="K2112" s="21" t="n">
        <v>298.96</v>
      </c>
      <c r="L2112" s="21" t="n">
        <v>341.67</v>
      </c>
      <c r="M2112" s="21" t="n">
        <v>650</v>
      </c>
    </row>
    <row r="2113">
      <c r="A2113" s="9" t="inlineStr">
        <is>
          <t>HAIFENG</t>
        </is>
      </c>
      <c r="B2113" s="9" t="inlineStr">
        <is>
          <t>HAIFENG 05/02/2026</t>
        </is>
      </c>
      <c r="C2113" s="9" t="inlineStr">
        <is>
          <t>2026-02-05</t>
        </is>
      </c>
      <c r="D2113" s="9" t="inlineStr">
        <is>
          <t>29736661818349</t>
        </is>
      </c>
      <c r="E2113" s="9" t="inlineStr">
        <is>
          <t>ANILLO T X GOLD</t>
        </is>
      </c>
      <c r="F2113" s="9" t="inlineStr">
        <is>
          <t>6</t>
        </is>
      </c>
      <c r="G2113" s="9" t="n">
        <v>3</v>
      </c>
      <c r="H2113" s="21" t="n">
        <v>6</v>
      </c>
      <c r="I2113" s="21" t="n">
        <v>128.13</v>
      </c>
      <c r="J2113" s="21" t="n">
        <v>384.38</v>
      </c>
      <c r="K2113" s="21" t="n">
        <v>448.44</v>
      </c>
      <c r="L2113" s="21" t="n">
        <v>512.5</v>
      </c>
      <c r="M2113" s="21" t="n">
        <v>550</v>
      </c>
    </row>
    <row r="2114">
      <c r="A2114" s="9" t="inlineStr">
        <is>
          <t>HAIFENG</t>
        </is>
      </c>
      <c r="B2114" s="9" t="inlineStr">
        <is>
          <t>HAIFENG 05/02/2026</t>
        </is>
      </c>
      <c r="C2114" s="9" t="inlineStr">
        <is>
          <t>2026-02-05</t>
        </is>
      </c>
      <c r="D2114" s="9" t="inlineStr">
        <is>
          <t>29736661951117</t>
        </is>
      </c>
      <c r="E2114" s="9" t="inlineStr">
        <is>
          <t>ANILLO T X GOLD</t>
        </is>
      </c>
      <c r="F2114" s="9" t="inlineStr">
        <is>
          <t>7</t>
        </is>
      </c>
      <c r="G2114" s="9" t="n">
        <v>3</v>
      </c>
      <c r="H2114" s="21" t="n">
        <v>6</v>
      </c>
      <c r="I2114" s="21" t="n">
        <v>128.13</v>
      </c>
      <c r="J2114" s="21" t="n">
        <v>384.38</v>
      </c>
      <c r="K2114" s="21" t="n">
        <v>448.44</v>
      </c>
      <c r="L2114" s="21" t="n">
        <v>512.5</v>
      </c>
      <c r="M2114" s="21" t="n">
        <v>550</v>
      </c>
    </row>
    <row r="2115">
      <c r="A2115" s="9" t="inlineStr">
        <is>
          <t>HAIFENG</t>
        </is>
      </c>
      <c r="B2115" s="9" t="inlineStr">
        <is>
          <t>HAIFENG 05/02/2026</t>
        </is>
      </c>
      <c r="C2115" s="9" t="inlineStr">
        <is>
          <t>2026-02-05</t>
        </is>
      </c>
      <c r="D2115" s="9" t="inlineStr">
        <is>
          <t>29736673276749</t>
        </is>
      </c>
      <c r="E2115" s="9" t="inlineStr">
        <is>
          <t>ANILLO T ZIRCONIAS GOLD</t>
        </is>
      </c>
      <c r="F2115" s="9" t="inlineStr">
        <is>
          <t>6</t>
        </is>
      </c>
      <c r="G2115" s="9" t="n">
        <v>3</v>
      </c>
      <c r="H2115" s="21" t="n">
        <v>4</v>
      </c>
      <c r="I2115" s="21" t="n">
        <v>85.42</v>
      </c>
      <c r="J2115" s="21" t="n">
        <v>256.25</v>
      </c>
      <c r="K2115" s="21" t="n">
        <v>298.96</v>
      </c>
      <c r="L2115" s="21" t="n">
        <v>341.67</v>
      </c>
      <c r="M2115" s="21" t="n">
        <v>499</v>
      </c>
    </row>
    <row r="2116">
      <c r="A2116" s="9" t="inlineStr">
        <is>
          <t>HAIFENG</t>
        </is>
      </c>
      <c r="B2116" s="9" t="inlineStr">
        <is>
          <t>HAIFENG 05/02/2026</t>
        </is>
      </c>
      <c r="C2116" s="9" t="inlineStr">
        <is>
          <t>2026-02-05</t>
        </is>
      </c>
      <c r="D2116" s="9" t="inlineStr">
        <is>
          <t>29736673309517</t>
        </is>
      </c>
      <c r="E2116" s="9" t="inlineStr">
        <is>
          <t>ANILLO T ZIRCONIAS GOLD</t>
        </is>
      </c>
      <c r="F2116" s="9" t="inlineStr">
        <is>
          <t>7</t>
        </is>
      </c>
      <c r="G2116" s="9" t="n">
        <v>3</v>
      </c>
      <c r="H2116" s="21" t="n">
        <v>4</v>
      </c>
      <c r="I2116" s="21" t="n">
        <v>85.42</v>
      </c>
      <c r="J2116" s="21" t="n">
        <v>256.25</v>
      </c>
      <c r="K2116" s="21" t="n">
        <v>298.96</v>
      </c>
      <c r="L2116" s="21" t="n">
        <v>341.67</v>
      </c>
      <c r="M2116" s="21" t="n">
        <v>499</v>
      </c>
    </row>
    <row r="2117">
      <c r="A2117" s="9" t="inlineStr">
        <is>
          <t>HAIFENG</t>
        </is>
      </c>
      <c r="B2117" s="9" t="inlineStr">
        <is>
          <t>HAIFENG 05/02/2026</t>
        </is>
      </c>
      <c r="C2117" s="9" t="inlineStr">
        <is>
          <t>2026-02-05</t>
        </is>
      </c>
      <c r="D2117" s="9" t="inlineStr">
        <is>
          <t>29736673439437</t>
        </is>
      </c>
      <c r="E2117" s="9" t="inlineStr">
        <is>
          <t>ANILLO T ZIRCONIAS ROSE GOLD</t>
        </is>
      </c>
      <c r="F2117" s="9" t="inlineStr">
        <is>
          <t>6</t>
        </is>
      </c>
      <c r="G2117" s="9" t="n">
        <v>2</v>
      </c>
      <c r="H2117" s="21" t="n">
        <v>4</v>
      </c>
      <c r="I2117" s="21" t="n">
        <v>85.42</v>
      </c>
      <c r="J2117" s="21" t="n">
        <v>256.25</v>
      </c>
      <c r="K2117" s="21" t="n">
        <v>298.96</v>
      </c>
      <c r="L2117" s="21" t="n">
        <v>341.67</v>
      </c>
      <c r="M2117" s="21" t="n">
        <v>650</v>
      </c>
    </row>
    <row r="2118">
      <c r="A2118" s="9" t="inlineStr">
        <is>
          <t>HAIFENG</t>
        </is>
      </c>
      <c r="B2118" s="9" t="inlineStr">
        <is>
          <t>HAIFENG 05/02/2026</t>
        </is>
      </c>
      <c r="C2118" s="9" t="inlineStr">
        <is>
          <t>2026-02-05</t>
        </is>
      </c>
      <c r="D2118" s="9" t="inlineStr">
        <is>
          <t>29736673572205</t>
        </is>
      </c>
      <c r="E2118" s="9" t="inlineStr">
        <is>
          <t>ANILLO T ZIRCONIAS ROSE GOLD</t>
        </is>
      </c>
      <c r="F2118" s="9" t="inlineStr">
        <is>
          <t>7</t>
        </is>
      </c>
      <c r="G2118" s="9" t="n">
        <v>2</v>
      </c>
      <c r="H2118" s="21" t="n">
        <v>4</v>
      </c>
      <c r="I2118" s="21" t="n">
        <v>85.42</v>
      </c>
      <c r="J2118" s="21" t="n">
        <v>256.25</v>
      </c>
      <c r="K2118" s="21" t="n">
        <v>298.96</v>
      </c>
      <c r="L2118" s="21" t="n">
        <v>341.67</v>
      </c>
      <c r="M2118" s="21" t="n">
        <v>650</v>
      </c>
    </row>
    <row r="2119">
      <c r="A2119" s="9" t="inlineStr">
        <is>
          <t>HAIFENG</t>
        </is>
      </c>
      <c r="B2119" s="9" t="inlineStr">
        <is>
          <t>HAIFENG 05/02/2026</t>
        </is>
      </c>
      <c r="C2119" s="9" t="inlineStr">
        <is>
          <t>2026-02-05</t>
        </is>
      </c>
      <c r="D2119" s="9" t="inlineStr">
        <is>
          <t>22064321801965</t>
        </is>
      </c>
      <c r="E2119" s="9" t="inlineStr">
        <is>
          <t>ANILLO TRINITY</t>
        </is>
      </c>
      <c r="F2119" s="9" t="inlineStr">
        <is>
          <t>6</t>
        </is>
      </c>
      <c r="G2119" s="9" t="n">
        <v>2</v>
      </c>
      <c r="H2119" s="21" t="n">
        <v>8</v>
      </c>
      <c r="I2119" s="21" t="n">
        <v>170.83</v>
      </c>
      <c r="J2119" s="21" t="n">
        <v>512.5</v>
      </c>
      <c r="K2119" s="21" t="n">
        <v>597.92</v>
      </c>
      <c r="L2119" s="21" t="n">
        <v>683.34</v>
      </c>
      <c r="M2119" s="21" t="n">
        <v>699</v>
      </c>
    </row>
    <row r="2120">
      <c r="A2120" s="9" t="inlineStr">
        <is>
          <t>HAIFENG</t>
        </is>
      </c>
      <c r="B2120" s="9" t="inlineStr">
        <is>
          <t>HAIFENG 05/02/2026</t>
        </is>
      </c>
      <c r="C2120" s="9" t="inlineStr">
        <is>
          <t>2026-02-05</t>
        </is>
      </c>
      <c r="D2120" s="9" t="inlineStr">
        <is>
          <t>22064321934733</t>
        </is>
      </c>
      <c r="E2120" s="9" t="inlineStr">
        <is>
          <t>ANILLO TRINITY</t>
        </is>
      </c>
      <c r="F2120" s="9" t="inlineStr">
        <is>
          <t>7</t>
        </is>
      </c>
      <c r="G2120" s="9" t="n">
        <v>2</v>
      </c>
      <c r="H2120" s="21" t="n">
        <v>8</v>
      </c>
      <c r="I2120" s="21" t="n">
        <v>170.83</v>
      </c>
      <c r="J2120" s="21" t="n">
        <v>512.5</v>
      </c>
      <c r="K2120" s="21" t="n">
        <v>597.92</v>
      </c>
      <c r="L2120" s="21" t="n">
        <v>683.34</v>
      </c>
      <c r="M2120" s="21" t="n">
        <v>699</v>
      </c>
    </row>
    <row r="2121">
      <c r="A2121" s="9" t="inlineStr">
        <is>
          <t>HAIFENG</t>
        </is>
      </c>
      <c r="B2121" s="9" t="inlineStr">
        <is>
          <t>HAIFENG 05/02/2026</t>
        </is>
      </c>
      <c r="C2121" s="9" t="inlineStr">
        <is>
          <t>2026-02-05</t>
        </is>
      </c>
      <c r="D2121" s="9" t="inlineStr">
        <is>
          <t>22064322578829</t>
        </is>
      </c>
      <c r="E2121" s="9" t="inlineStr">
        <is>
          <t>ARETES BV B.ZERO ROSE GOLD</t>
        </is>
      </c>
      <c r="F2121" s="9" t="inlineStr">
        <is>
          <t>Default Title</t>
        </is>
      </c>
      <c r="G2121" s="9" t="n">
        <v>2</v>
      </c>
      <c r="H2121" s="21" t="n">
        <v>10</v>
      </c>
      <c r="I2121" s="21" t="n">
        <v>213.54</v>
      </c>
      <c r="J2121" s="21" t="n">
        <v>640.63</v>
      </c>
      <c r="K2121" s="21" t="n">
        <v>747.4</v>
      </c>
      <c r="L2121" s="21" t="n">
        <v>854.17</v>
      </c>
      <c r="M2121" s="21" t="n">
        <v>824</v>
      </c>
    </row>
    <row r="2122">
      <c r="A2122" s="9" t="inlineStr">
        <is>
          <t>HAIFENG</t>
        </is>
      </c>
      <c r="B2122" s="9" t="inlineStr">
        <is>
          <t>HAIFENG 05/02/2026</t>
        </is>
      </c>
      <c r="C2122" s="9" t="inlineStr">
        <is>
          <t>2026-02-05</t>
        </is>
      </c>
      <c r="D2122" s="9" t="inlineStr">
        <is>
          <t>15104863678477</t>
        </is>
      </c>
      <c r="E2122" s="9" t="inlineStr">
        <is>
          <t>ARETES CC BOUTON CAMELIA GOLD</t>
        </is>
      </c>
      <c r="F2122" s="9" t="inlineStr">
        <is>
          <t>Default Title</t>
        </is>
      </c>
      <c r="G2122" s="9" t="n">
        <v>3</v>
      </c>
      <c r="H2122" s="21" t="n">
        <v>8.99</v>
      </c>
      <c r="I2122" s="21" t="n">
        <v>191.98</v>
      </c>
      <c r="J2122" s="21" t="n">
        <v>575.9299999999999</v>
      </c>
      <c r="K2122" s="21" t="n">
        <v>671.91</v>
      </c>
      <c r="L2122" s="21" t="n">
        <v>767.9</v>
      </c>
      <c r="M2122" s="21" t="n">
        <v>0</v>
      </c>
    </row>
    <row r="2123">
      <c r="A2123" s="9" t="inlineStr">
        <is>
          <t>HAIFENG</t>
        </is>
      </c>
      <c r="B2123" s="9" t="inlineStr">
        <is>
          <t>HAIFENG 05/02/2026</t>
        </is>
      </c>
      <c r="C2123" s="9" t="inlineStr">
        <is>
          <t>2026-02-05</t>
        </is>
      </c>
      <c r="D2123" s="9" t="inlineStr">
        <is>
          <t>29736661558989</t>
        </is>
      </c>
      <c r="E2123" s="9" t="inlineStr">
        <is>
          <t>ARETES CD D-LUCK GOLD</t>
        </is>
      </c>
      <c r="F2123" s="9" t="inlineStr">
        <is>
          <t>Default Title</t>
        </is>
      </c>
      <c r="G2123" s="9" t="n">
        <v>3</v>
      </c>
      <c r="H2123" s="21" t="n">
        <v>6</v>
      </c>
      <c r="I2123" s="21" t="n">
        <v>128.13</v>
      </c>
      <c r="J2123" s="21" t="n">
        <v>384.38</v>
      </c>
      <c r="K2123" s="21" t="n">
        <v>448.44</v>
      </c>
      <c r="L2123" s="21" t="n">
        <v>512.5</v>
      </c>
      <c r="M2123" s="21" t="n">
        <v>620</v>
      </c>
    </row>
    <row r="2124">
      <c r="A2124" s="9" t="inlineStr">
        <is>
          <t>HAIFENG</t>
        </is>
      </c>
      <c r="B2124" s="9" t="inlineStr">
        <is>
          <t>HAIFENG 05/02/2026</t>
        </is>
      </c>
      <c r="C2124" s="9" t="inlineStr">
        <is>
          <t>2026-02-05</t>
        </is>
      </c>
      <c r="D2124" s="9" t="inlineStr">
        <is>
          <t>29736661440333</t>
        </is>
      </c>
      <c r="E2124" s="9" t="inlineStr">
        <is>
          <t>ARETES CD PETIT DUO GOLD</t>
        </is>
      </c>
      <c r="F2124" s="9" t="inlineStr">
        <is>
          <t>Default Title</t>
        </is>
      </c>
      <c r="G2124" s="9" t="n">
        <v>3</v>
      </c>
      <c r="H2124" s="21" t="n">
        <v>10</v>
      </c>
      <c r="I2124" s="21" t="n">
        <v>213.54</v>
      </c>
      <c r="J2124" s="21" t="n">
        <v>640.63</v>
      </c>
      <c r="K2124" s="21" t="n">
        <v>747.4</v>
      </c>
      <c r="L2124" s="21" t="n">
        <v>854.17</v>
      </c>
      <c r="M2124" s="21" t="n">
        <v>850</v>
      </c>
    </row>
    <row r="2125">
      <c r="A2125" s="9" t="inlineStr">
        <is>
          <t>HAIFENG</t>
        </is>
      </c>
      <c r="B2125" s="9" t="inlineStr">
        <is>
          <t>HAIFENG 05/02/2026</t>
        </is>
      </c>
      <c r="C2125" s="9" t="inlineStr">
        <is>
          <t>2026-02-05</t>
        </is>
      </c>
      <c r="D2125" s="9" t="inlineStr">
        <is>
          <t>15104862702637</t>
        </is>
      </c>
      <c r="E2125" s="9" t="inlineStr">
        <is>
          <t>ARETES H GOLD</t>
        </is>
      </c>
      <c r="F2125" s="9" t="inlineStr">
        <is>
          <t>Default Title</t>
        </is>
      </c>
      <c r="G2125" s="9" t="n">
        <v>3</v>
      </c>
      <c r="H2125" s="21" t="n">
        <v>8.9</v>
      </c>
      <c r="I2125" s="21" t="n">
        <v>190.05</v>
      </c>
      <c r="J2125" s="21" t="n">
        <v>570.16</v>
      </c>
      <c r="K2125" s="21" t="n">
        <v>665.1900000000001</v>
      </c>
      <c r="L2125" s="21" t="n">
        <v>760.21</v>
      </c>
      <c r="M2125" s="21" t="n">
        <v>780</v>
      </c>
    </row>
    <row r="2126">
      <c r="A2126" s="9" t="inlineStr">
        <is>
          <t>HAIFENG</t>
        </is>
      </c>
      <c r="B2126" s="9" t="inlineStr">
        <is>
          <t>HAIFENG 05/02/2026</t>
        </is>
      </c>
      <c r="C2126" s="9" t="inlineStr">
        <is>
          <t>2026-02-05</t>
        </is>
      </c>
      <c r="D2126" s="9" t="inlineStr">
        <is>
          <t>35432871814157</t>
        </is>
      </c>
      <c r="E2126" s="9" t="inlineStr">
        <is>
          <t>ARETES H MINI MAILLON GOLD-BLACK</t>
        </is>
      </c>
      <c r="F2126" s="9" t="inlineStr">
        <is>
          <t>Default Title</t>
        </is>
      </c>
      <c r="G2126" s="9" t="n">
        <v>3</v>
      </c>
      <c r="H2126" s="21" t="n">
        <v>8.9</v>
      </c>
      <c r="I2126" s="21" t="n">
        <v>190.05</v>
      </c>
      <c r="J2126" s="21" t="n">
        <v>570.16</v>
      </c>
      <c r="K2126" s="21" t="n">
        <v>665.1900000000001</v>
      </c>
      <c r="L2126" s="21" t="n">
        <v>760.21</v>
      </c>
      <c r="M2126" s="21" t="n">
        <v>750</v>
      </c>
    </row>
    <row r="2127">
      <c r="A2127" s="9" t="inlineStr">
        <is>
          <t>HAIFENG</t>
        </is>
      </c>
      <c r="B2127" s="9" t="inlineStr">
        <is>
          <t>HAIFENG 05/02/2026</t>
        </is>
      </c>
      <c r="C2127" s="9" t="inlineStr">
        <is>
          <t>2026-02-05</t>
        </is>
      </c>
      <c r="D2127" s="9" t="inlineStr">
        <is>
          <t>35432871939597</t>
        </is>
      </c>
      <c r="E2127" s="9" t="inlineStr">
        <is>
          <t>ARETES H MINI MAILLON ROSE GOLD-WHITE</t>
        </is>
      </c>
      <c r="F2127" s="9" t="inlineStr">
        <is>
          <t>Default Title</t>
        </is>
      </c>
      <c r="G2127" s="9" t="n">
        <v>3</v>
      </c>
      <c r="H2127" s="21" t="n">
        <v>8.9</v>
      </c>
      <c r="I2127" s="21" t="n">
        <v>190.05</v>
      </c>
      <c r="J2127" s="21" t="n">
        <v>570.16</v>
      </c>
      <c r="K2127" s="21" t="n">
        <v>665.1900000000001</v>
      </c>
      <c r="L2127" s="21" t="n">
        <v>760.21</v>
      </c>
      <c r="M2127" s="21" t="n">
        <v>750</v>
      </c>
    </row>
    <row r="2128">
      <c r="A2128" s="9" t="inlineStr">
        <is>
          <t>HAIFENG</t>
        </is>
      </c>
      <c r="B2128" s="9" t="inlineStr">
        <is>
          <t>HAIFENG 05/02/2026</t>
        </is>
      </c>
      <c r="C2128" s="9" t="inlineStr">
        <is>
          <t>2026-02-05</t>
        </is>
      </c>
      <c r="D2128" s="9" t="inlineStr">
        <is>
          <t>29736673965485</t>
        </is>
      </c>
      <c r="E2128" s="9" t="inlineStr">
        <is>
          <t>ARETES KNOT SMALL GOLD</t>
        </is>
      </c>
      <c r="F2128" s="9" t="inlineStr">
        <is>
          <t>Default Title</t>
        </is>
      </c>
      <c r="G2128" s="9" t="n">
        <v>3</v>
      </c>
      <c r="H2128" s="21" t="n">
        <v>6</v>
      </c>
      <c r="I2128" s="21" t="n">
        <v>128.13</v>
      </c>
      <c r="J2128" s="21" t="n">
        <v>384.38</v>
      </c>
      <c r="K2128" s="21" t="n">
        <v>448.44</v>
      </c>
      <c r="L2128" s="21" t="n">
        <v>512.5</v>
      </c>
      <c r="M2128" s="21" t="n">
        <v>599</v>
      </c>
    </row>
    <row r="2129">
      <c r="A2129" s="9" t="inlineStr">
        <is>
          <t>HAIFENG</t>
        </is>
      </c>
      <c r="B2129" s="9" t="inlineStr">
        <is>
          <t>HAIFENG 05/02/2026</t>
        </is>
      </c>
      <c r="C2129" s="9" t="inlineStr">
        <is>
          <t>2026-02-05</t>
        </is>
      </c>
      <c r="D2129" s="9" t="inlineStr">
        <is>
          <t>15104862806029</t>
        </is>
      </c>
      <c r="E2129" s="9" t="inlineStr">
        <is>
          <t>ARETES LOGO H ROSE GOLD ZIRCONIAS</t>
        </is>
      </c>
      <c r="F2129" s="9" t="inlineStr">
        <is>
          <t>Default Title</t>
        </is>
      </c>
      <c r="G2129" s="9" t="n">
        <v>3</v>
      </c>
      <c r="H2129" s="21" t="n">
        <v>8</v>
      </c>
      <c r="I2129" s="21" t="n">
        <v>170.83</v>
      </c>
      <c r="J2129" s="21" t="n">
        <v>512.5</v>
      </c>
      <c r="K2129" s="21" t="n">
        <v>597.92</v>
      </c>
      <c r="L2129" s="21" t="n">
        <v>683.34</v>
      </c>
      <c r="M2129" s="21" t="n">
        <v>669.2</v>
      </c>
    </row>
    <row r="2130">
      <c r="A2130" s="9" t="inlineStr">
        <is>
          <t>HAIFENG</t>
        </is>
      </c>
      <c r="B2130" s="9" t="inlineStr">
        <is>
          <t>HAIFENG 05/02/2026</t>
        </is>
      </c>
      <c r="C2130" s="9" t="inlineStr">
        <is>
          <t>2026-02-05</t>
        </is>
      </c>
      <c r="D2130" s="9" t="inlineStr">
        <is>
          <t>15104862489069</t>
        </is>
      </c>
      <c r="E2130" s="9" t="inlineStr">
        <is>
          <t>ARETES LV FLOWERGRAM GOLD</t>
        </is>
      </c>
      <c r="F2130" s="9" t="inlineStr">
        <is>
          <t>Default Title</t>
        </is>
      </c>
      <c r="G2130" s="9" t="n">
        <v>3</v>
      </c>
      <c r="H2130" s="21" t="n">
        <v>8.99</v>
      </c>
      <c r="I2130" s="21" t="n">
        <v>191.98</v>
      </c>
      <c r="J2130" s="21" t="n">
        <v>575.9299999999999</v>
      </c>
      <c r="K2130" s="21" t="n">
        <v>671.91</v>
      </c>
      <c r="L2130" s="21" t="n">
        <v>767.9</v>
      </c>
      <c r="M2130" s="21" t="n">
        <v>820</v>
      </c>
    </row>
    <row r="2131">
      <c r="A2131" s="9" t="inlineStr">
        <is>
          <t>HAIFENG</t>
        </is>
      </c>
      <c r="B2131" s="9" t="inlineStr">
        <is>
          <t>HAIFENG 05/02/2026</t>
        </is>
      </c>
      <c r="C2131" s="9" t="inlineStr">
        <is>
          <t>2026-02-05</t>
        </is>
      </c>
      <c r="D2131" s="9" t="inlineStr">
        <is>
          <t>15104862595853</t>
        </is>
      </c>
      <c r="E2131" s="9" t="inlineStr">
        <is>
          <t>ARETES LV LOGO PEARL</t>
        </is>
      </c>
      <c r="F2131" s="9" t="inlineStr">
        <is>
          <t>Default Title</t>
        </is>
      </c>
      <c r="G2131" s="9" t="n">
        <v>2</v>
      </c>
      <c r="H2131" s="21" t="n">
        <v>8.99</v>
      </c>
      <c r="I2131" s="21" t="n">
        <v>191.98</v>
      </c>
      <c r="J2131" s="21" t="n">
        <v>575.9299999999999</v>
      </c>
      <c r="K2131" s="21" t="n">
        <v>671.91</v>
      </c>
      <c r="L2131" s="21" t="n">
        <v>767.9</v>
      </c>
      <c r="M2131" s="21" t="n">
        <v>750</v>
      </c>
    </row>
    <row r="2132">
      <c r="A2132" s="9" t="inlineStr">
        <is>
          <t>HAIFENG</t>
        </is>
      </c>
      <c r="B2132" s="9" t="inlineStr">
        <is>
          <t>HAIFENG 05/02/2026</t>
        </is>
      </c>
      <c r="C2132" s="9" t="inlineStr">
        <is>
          <t>2026-02-05</t>
        </is>
      </c>
      <c r="D2132" s="9" t="inlineStr">
        <is>
          <t>35432872421549</t>
        </is>
      </c>
      <c r="E2132" s="9" t="inlineStr">
        <is>
          <t>ARETES POP H ROSE GOLD PINK</t>
        </is>
      </c>
      <c r="F2132" s="9" t="inlineStr">
        <is>
          <t>Default Title</t>
        </is>
      </c>
      <c r="G2132" s="9" t="n">
        <v>3</v>
      </c>
      <c r="H2132" s="21" t="n">
        <v>8.9</v>
      </c>
      <c r="I2132" s="21" t="n">
        <v>190.05</v>
      </c>
      <c r="J2132" s="21" t="n">
        <v>570.16</v>
      </c>
      <c r="K2132" s="21" t="n">
        <v>665.1900000000001</v>
      </c>
      <c r="L2132" s="21" t="n">
        <v>760.21</v>
      </c>
      <c r="M2132" s="21" t="n">
        <v>0</v>
      </c>
    </row>
    <row r="2133">
      <c r="A2133" s="9" t="inlineStr">
        <is>
          <t>HAIFENG</t>
        </is>
      </c>
      <c r="B2133" s="9" t="inlineStr">
        <is>
          <t>HAIFENG 05/02/2026</t>
        </is>
      </c>
      <c r="C2133" s="9" t="inlineStr">
        <is>
          <t>2026-02-05</t>
        </is>
      </c>
      <c r="D2133" s="9" t="inlineStr">
        <is>
          <t>35432872053165</t>
        </is>
      </c>
      <c r="E2133" s="9" t="inlineStr">
        <is>
          <t>ARETES POP H SILVER-BLACK</t>
        </is>
      </c>
      <c r="F2133" s="9" t="inlineStr">
        <is>
          <t>Default Title</t>
        </is>
      </c>
      <c r="G2133" s="9" t="n">
        <v>3</v>
      </c>
      <c r="H2133" s="21" t="n">
        <v>8.9</v>
      </c>
      <c r="I2133" s="21" t="n">
        <v>190.05</v>
      </c>
      <c r="J2133" s="21" t="n">
        <v>570.16</v>
      </c>
      <c r="K2133" s="21" t="n">
        <v>665.1900000000001</v>
      </c>
      <c r="L2133" s="21" t="n">
        <v>760.21</v>
      </c>
      <c r="M2133" s="21" t="n">
        <v>750</v>
      </c>
    </row>
    <row r="2134">
      <c r="A2134" s="9" t="inlineStr">
        <is>
          <t>HAIFENG</t>
        </is>
      </c>
      <c r="B2134" s="9" t="inlineStr">
        <is>
          <t>HAIFENG 05/02/2026</t>
        </is>
      </c>
      <c r="C2134" s="9" t="inlineStr">
        <is>
          <t>2026-02-05</t>
        </is>
      </c>
      <c r="D2134" s="9" t="inlineStr">
        <is>
          <t>35432872130573</t>
        </is>
      </c>
      <c r="E2134" s="9" t="inlineStr">
        <is>
          <t>ARETES POP H SILVER-WHITE</t>
        </is>
      </c>
      <c r="F2134" s="9" t="inlineStr">
        <is>
          <t>Default Title</t>
        </is>
      </c>
      <c r="G2134" s="9" t="n">
        <v>3</v>
      </c>
      <c r="H2134" s="21" t="n">
        <v>8.9</v>
      </c>
      <c r="I2134" s="21" t="n">
        <v>190.05</v>
      </c>
      <c r="J2134" s="21" t="n">
        <v>570.16</v>
      </c>
      <c r="K2134" s="21" t="n">
        <v>665.1900000000001</v>
      </c>
      <c r="L2134" s="21" t="n">
        <v>760.21</v>
      </c>
      <c r="M2134" s="21" t="n">
        <v>750</v>
      </c>
    </row>
    <row r="2135">
      <c r="A2135" s="9" t="inlineStr">
        <is>
          <t>HAIFENG</t>
        </is>
      </c>
      <c r="B2135" s="9" t="inlineStr">
        <is>
          <t>HAIFENG 05/02/2026</t>
        </is>
      </c>
      <c r="C2135" s="9" t="inlineStr">
        <is>
          <t>2026-02-05</t>
        </is>
      </c>
      <c r="D2135" s="9" t="inlineStr">
        <is>
          <t>29736674042893</t>
        </is>
      </c>
      <c r="E2135" s="9" t="inlineStr">
        <is>
          <t>ARETES T CIRCULARES ROSE GOLD</t>
        </is>
      </c>
      <c r="F2135" s="9" t="inlineStr">
        <is>
          <t>Default Title</t>
        </is>
      </c>
      <c r="G2135" s="9" t="n">
        <v>3</v>
      </c>
      <c r="H2135" s="21" t="n">
        <v>8</v>
      </c>
      <c r="I2135" s="21" t="n">
        <v>170.83</v>
      </c>
      <c r="J2135" s="21" t="n">
        <v>512.5</v>
      </c>
      <c r="K2135" s="21" t="n">
        <v>597.92</v>
      </c>
      <c r="L2135" s="21" t="n">
        <v>683.34</v>
      </c>
      <c r="M2135" s="21" t="n">
        <v>799</v>
      </c>
    </row>
    <row r="2136">
      <c r="A2136" s="9" t="inlineStr">
        <is>
          <t>HAIFENG</t>
        </is>
      </c>
      <c r="B2136" s="9" t="inlineStr">
        <is>
          <t>HAIFENG 05/02/2026</t>
        </is>
      </c>
      <c r="C2136" s="9" t="inlineStr">
        <is>
          <t>2026-02-05</t>
        </is>
      </c>
      <c r="D2136" s="9" t="inlineStr">
        <is>
          <t>29736673659245</t>
        </is>
      </c>
      <c r="E2136" s="9" t="inlineStr">
        <is>
          <t>ARETES T SMILE HALF ZIRCONIAS GOLD</t>
        </is>
      </c>
      <c r="F2136" s="9" t="inlineStr">
        <is>
          <t>Default Title</t>
        </is>
      </c>
      <c r="G2136" s="9" t="n">
        <v>3</v>
      </c>
      <c r="H2136" s="21" t="n">
        <v>4.99</v>
      </c>
      <c r="I2136" s="21" t="n">
        <v>106.56</v>
      </c>
      <c r="J2136" s="21" t="n">
        <v>319.67</v>
      </c>
      <c r="K2136" s="21" t="n">
        <v>372.95</v>
      </c>
      <c r="L2136" s="21" t="n">
        <v>426.23</v>
      </c>
      <c r="M2136" s="21" t="n">
        <v>450</v>
      </c>
    </row>
    <row r="2137">
      <c r="A2137" s="9" t="inlineStr">
        <is>
          <t>HAIFENG</t>
        </is>
      </c>
      <c r="B2137" s="9" t="inlineStr">
        <is>
          <t>HAIFENG 05/02/2026</t>
        </is>
      </c>
      <c r="C2137" s="9" t="inlineStr">
        <is>
          <t>2026-02-05</t>
        </is>
      </c>
      <c r="D2137" s="9" t="inlineStr">
        <is>
          <t>29736673893165</t>
        </is>
      </c>
      <c r="E2137" s="9" t="inlineStr">
        <is>
          <t>ARETES T SQUARE SIXTEEN STONE SILVER</t>
        </is>
      </c>
      <c r="F2137" s="9" t="inlineStr">
        <is>
          <t>Default Title</t>
        </is>
      </c>
      <c r="G2137" s="9" t="n">
        <v>3</v>
      </c>
      <c r="H2137" s="21" t="n">
        <v>6.5</v>
      </c>
      <c r="I2137" s="21" t="n">
        <v>138.8</v>
      </c>
      <c r="J2137" s="21" t="n">
        <v>416.41</v>
      </c>
      <c r="K2137" s="21" t="n">
        <v>485.81</v>
      </c>
      <c r="L2137" s="21" t="n">
        <v>555.21</v>
      </c>
      <c r="M2137" s="21" t="n">
        <v>599</v>
      </c>
    </row>
    <row r="2138">
      <c r="A2138" s="9" t="inlineStr">
        <is>
          <t>HAIFENG</t>
        </is>
      </c>
      <c r="B2138" s="9" t="inlineStr">
        <is>
          <t>HAIFENG 05/02/2026</t>
        </is>
      </c>
      <c r="C2138" s="9" t="inlineStr">
        <is>
          <t>2026-02-05</t>
        </is>
      </c>
      <c r="D2138" s="9" t="inlineStr">
        <is>
          <t>29736673779597</t>
        </is>
      </c>
      <c r="E2138" s="9" t="inlineStr">
        <is>
          <t>ARETES T VICTORIA</t>
        </is>
      </c>
      <c r="F2138" s="9" t="inlineStr">
        <is>
          <t>Default Title</t>
        </is>
      </c>
      <c r="G2138" s="9" t="n">
        <v>3</v>
      </c>
      <c r="H2138" s="21" t="n">
        <v>6</v>
      </c>
      <c r="I2138" s="21" t="n">
        <v>128.13</v>
      </c>
      <c r="J2138" s="21" t="n">
        <v>384.38</v>
      </c>
      <c r="K2138" s="21" t="n">
        <v>448.44</v>
      </c>
      <c r="L2138" s="21" t="n">
        <v>512.5</v>
      </c>
      <c r="M2138" s="21" t="n">
        <v>699</v>
      </c>
    </row>
    <row r="2139">
      <c r="A2139" s="9" t="inlineStr">
        <is>
          <t>HAIFENG</t>
        </is>
      </c>
      <c r="B2139" s="9" t="inlineStr">
        <is>
          <t>HAIFENG 05/02/2026</t>
        </is>
      </c>
      <c r="C2139" s="9" t="inlineStr">
        <is>
          <t>2026-02-05</t>
        </is>
      </c>
      <c r="D2139" s="9" t="inlineStr">
        <is>
          <t>40154173742605</t>
        </is>
      </c>
      <c r="E2139" s="9" t="inlineStr">
        <is>
          <t>ARRACADAS CLAVO JUSTE GOLD</t>
        </is>
      </c>
      <c r="F2139" s="9" t="inlineStr">
        <is>
          <t>Default Title</t>
        </is>
      </c>
      <c r="G2139" s="9" t="n">
        <v>3</v>
      </c>
      <c r="H2139" s="21" t="n">
        <v>10</v>
      </c>
      <c r="I2139" s="21" t="n">
        <v>213.54</v>
      </c>
      <c r="J2139" s="21" t="n">
        <v>640.63</v>
      </c>
      <c r="K2139" s="21" t="n">
        <v>747.4</v>
      </c>
      <c r="L2139" s="21" t="n">
        <v>854.17</v>
      </c>
      <c r="M2139" s="21" t="n">
        <v>850</v>
      </c>
    </row>
    <row r="2140">
      <c r="A2140" s="9" t="inlineStr">
        <is>
          <t>HAIFENG</t>
        </is>
      </c>
      <c r="B2140" s="9" t="inlineStr">
        <is>
          <t>HAIFENG 05/02/2026</t>
        </is>
      </c>
      <c r="C2140" s="9" t="inlineStr">
        <is>
          <t>2026-02-05</t>
        </is>
      </c>
      <c r="D2140" s="9" t="inlineStr">
        <is>
          <t>40154173820013</t>
        </is>
      </c>
      <c r="E2140" s="9" t="inlineStr">
        <is>
          <t>ARRACADAS CLAVO JUSTE SILVER</t>
        </is>
      </c>
      <c r="F2140" s="9" t="inlineStr">
        <is>
          <t>Default Title</t>
        </is>
      </c>
      <c r="G2140" s="9" t="n">
        <v>3</v>
      </c>
      <c r="H2140" s="21" t="n">
        <v>10</v>
      </c>
      <c r="I2140" s="21" t="n">
        <v>213.54</v>
      </c>
      <c r="J2140" s="21" t="n">
        <v>640.63</v>
      </c>
      <c r="K2140" s="21" t="n">
        <v>747.4</v>
      </c>
      <c r="L2140" s="21" t="n">
        <v>854.17</v>
      </c>
      <c r="M2140" s="21" t="n">
        <v>850</v>
      </c>
    </row>
    <row r="2141">
      <c r="A2141" s="9" t="inlineStr">
        <is>
          <t>HAIFENG</t>
        </is>
      </c>
      <c r="B2141" s="9" t="inlineStr">
        <is>
          <t>HAIFENG 05/02/2026</t>
        </is>
      </c>
      <c r="C2141" s="9" t="inlineStr">
        <is>
          <t>2026-02-05</t>
        </is>
      </c>
      <c r="D2141" s="9" t="inlineStr">
        <is>
          <t>35432871092045</t>
        </is>
      </c>
      <c r="E2141" s="9" t="inlineStr">
        <is>
          <t>BRAZALETE CC COCO RUSH SILVER</t>
        </is>
      </c>
      <c r="F2141" s="9" t="inlineStr">
        <is>
          <t>Default Title</t>
        </is>
      </c>
      <c r="G2141" s="9" t="n">
        <v>3</v>
      </c>
      <c r="H2141" s="21" t="n">
        <v>8.99</v>
      </c>
      <c r="I2141" s="21" t="n">
        <v>191.98</v>
      </c>
      <c r="J2141" s="21" t="n">
        <v>575.9299999999999</v>
      </c>
      <c r="K2141" s="21" t="n">
        <v>671.91</v>
      </c>
      <c r="L2141" s="21" t="n">
        <v>767.9</v>
      </c>
      <c r="M2141" s="21" t="n">
        <v>740.78</v>
      </c>
    </row>
    <row r="2142">
      <c r="A2142" s="9" t="inlineStr">
        <is>
          <t>HAIFENG</t>
        </is>
      </c>
      <c r="B2142" s="9" t="inlineStr">
        <is>
          <t>HAIFENG 05/02/2026</t>
        </is>
      </c>
      <c r="C2142" s="9" t="inlineStr">
        <is>
          <t>2026-02-05</t>
        </is>
      </c>
      <c r="D2142" s="9" t="inlineStr">
        <is>
          <t>40154171915885</t>
        </is>
      </c>
      <c r="E2142" s="9" t="inlineStr">
        <is>
          <t>BRAZALETE DOBLE ESLABON GOLD</t>
        </is>
      </c>
      <c r="F2142" s="9" t="inlineStr">
        <is>
          <t>Default Title</t>
        </is>
      </c>
      <c r="G2142" s="9" t="n">
        <v>3</v>
      </c>
      <c r="H2142" s="21" t="n">
        <v>7</v>
      </c>
      <c r="I2142" s="21" t="n">
        <v>149.48</v>
      </c>
      <c r="J2142" s="21" t="n">
        <v>448.44</v>
      </c>
      <c r="K2142" s="21" t="n">
        <v>523.1799999999999</v>
      </c>
      <c r="L2142" s="21" t="n">
        <v>597.92</v>
      </c>
      <c r="M2142" s="21" t="n">
        <v>599</v>
      </c>
    </row>
    <row r="2143">
      <c r="A2143" s="9" t="inlineStr">
        <is>
          <t>HAIFENG</t>
        </is>
      </c>
      <c r="B2143" s="9" t="inlineStr">
        <is>
          <t>HAIFENG 05/02/2026</t>
        </is>
      </c>
      <c r="C2143" s="9" t="inlineStr">
        <is>
          <t>2026-02-05</t>
        </is>
      </c>
      <c r="D2143" s="9" t="inlineStr">
        <is>
          <t>35432872781453</t>
        </is>
      </c>
      <c r="E2143" s="9" t="inlineStr">
        <is>
          <t>BRAZALETE ELSA PERETTI SILVER</t>
        </is>
      </c>
      <c r="F2143" s="9" t="inlineStr">
        <is>
          <t>Default Title</t>
        </is>
      </c>
      <c r="G2143" s="9" t="n">
        <v>3</v>
      </c>
      <c r="H2143" s="21" t="n">
        <v>6</v>
      </c>
      <c r="I2143" s="21" t="n">
        <v>128.13</v>
      </c>
      <c r="J2143" s="21" t="n">
        <v>384.38</v>
      </c>
      <c r="K2143" s="21" t="n">
        <v>448.44</v>
      </c>
      <c r="L2143" s="21" t="n">
        <v>512.5</v>
      </c>
      <c r="M2143" s="21" t="n">
        <v>0</v>
      </c>
    </row>
    <row r="2144">
      <c r="A2144" s="9" t="inlineStr">
        <is>
          <t>HAIFENG</t>
        </is>
      </c>
      <c r="B2144" s="9" t="inlineStr">
        <is>
          <t>HAIFENG 05/02/2026</t>
        </is>
      </c>
      <c r="C2144" s="9" t="inlineStr">
        <is>
          <t>2026-02-05</t>
        </is>
      </c>
      <c r="D2144" s="9" t="inlineStr">
        <is>
          <t>15104861551757</t>
        </is>
      </c>
      <c r="E2144" s="9" t="inlineStr">
        <is>
          <t>BRAZALETE IDYLLE ROSE GOLD ZIRCONIAS</t>
        </is>
      </c>
      <c r="F2144" s="9" t="inlineStr">
        <is>
          <t>Default Title</t>
        </is>
      </c>
      <c r="G2144" s="9" t="n">
        <v>2</v>
      </c>
      <c r="H2144" s="21" t="n">
        <v>15</v>
      </c>
      <c r="I2144" s="21" t="n">
        <v>320.31</v>
      </c>
      <c r="J2144" s="21" t="n">
        <v>960.9400000000001</v>
      </c>
      <c r="K2144" s="21" t="n">
        <v>1121.1</v>
      </c>
      <c r="L2144" s="21" t="n">
        <v>1281.26</v>
      </c>
      <c r="M2144" s="21" t="n">
        <v>1299</v>
      </c>
    </row>
    <row r="2145">
      <c r="A2145" s="9" t="inlineStr">
        <is>
          <t>HAIFENG</t>
        </is>
      </c>
      <c r="B2145" s="9" t="inlineStr">
        <is>
          <t>HAIFENG 05/02/2026</t>
        </is>
      </c>
      <c r="C2145" s="9" t="inlineStr">
        <is>
          <t>2026-02-05</t>
        </is>
      </c>
      <c r="D2145" s="9" t="inlineStr">
        <is>
          <t>22064321023405</t>
        </is>
      </c>
      <c r="E2145" s="9" t="inlineStr">
        <is>
          <t>BRAZALETE LOVE GOLD</t>
        </is>
      </c>
      <c r="F2145" s="9" t="inlineStr">
        <is>
          <t>16CM</t>
        </is>
      </c>
      <c r="G2145" s="9" t="n">
        <v>3</v>
      </c>
      <c r="H2145" s="21" t="n">
        <v>2.99</v>
      </c>
      <c r="I2145" s="21" t="n">
        <v>63.85</v>
      </c>
      <c r="J2145" s="21" t="n">
        <v>191.55</v>
      </c>
      <c r="K2145" s="21" t="n">
        <v>223.47</v>
      </c>
      <c r="L2145" s="21" t="n">
        <v>255.4</v>
      </c>
      <c r="M2145" s="21" t="n">
        <v>450</v>
      </c>
    </row>
    <row r="2146">
      <c r="A2146" s="9" t="inlineStr">
        <is>
          <t>HAIFENG</t>
        </is>
      </c>
      <c r="B2146" s="9" t="inlineStr">
        <is>
          <t>HAIFENG 05/02/2026</t>
        </is>
      </c>
      <c r="C2146" s="9" t="inlineStr">
        <is>
          <t>2026-02-05</t>
        </is>
      </c>
      <c r="D2146" s="9" t="inlineStr">
        <is>
          <t>35432872592173</t>
        </is>
      </c>
      <c r="E2146" s="9" t="inlineStr">
        <is>
          <t>BRAZALETE MINI CLIC CHAINE GOLD-BLACK</t>
        </is>
      </c>
      <c r="F2146" s="9" t="inlineStr">
        <is>
          <t>Default Title</t>
        </is>
      </c>
      <c r="G2146" s="9" t="n">
        <v>3</v>
      </c>
      <c r="H2146" s="21" t="n">
        <v>18</v>
      </c>
      <c r="I2146" s="21" t="n">
        <v>384.38</v>
      </c>
      <c r="J2146" s="21" t="n">
        <v>1153.13</v>
      </c>
      <c r="K2146" s="21" t="n">
        <v>1345.32</v>
      </c>
      <c r="L2146" s="21" t="n">
        <v>1537.51</v>
      </c>
      <c r="M2146" s="21" t="n">
        <v>1499</v>
      </c>
    </row>
    <row r="2147">
      <c r="A2147" s="9" t="inlineStr">
        <is>
          <t>HAIFENG</t>
        </is>
      </c>
      <c r="B2147" s="9" t="inlineStr">
        <is>
          <t>HAIFENG 05/02/2026</t>
        </is>
      </c>
      <c r="C2147" s="9" t="inlineStr">
        <is>
          <t>2026-02-05</t>
        </is>
      </c>
      <c r="D2147" s="9" t="inlineStr">
        <is>
          <t>35432872669581</t>
        </is>
      </c>
      <c r="E2147" s="9" t="inlineStr">
        <is>
          <t>BRAZALETE MINI CLIC KELLY ROSE GOLD</t>
        </is>
      </c>
      <c r="F2147" s="9" t="inlineStr">
        <is>
          <t>Default Title</t>
        </is>
      </c>
      <c r="G2147" s="9" t="n">
        <v>3</v>
      </c>
      <c r="H2147" s="21" t="n">
        <v>18</v>
      </c>
      <c r="I2147" s="21" t="n">
        <v>384.38</v>
      </c>
      <c r="J2147" s="21" t="n">
        <v>1153.13</v>
      </c>
      <c r="K2147" s="21" t="n">
        <v>1345.32</v>
      </c>
      <c r="L2147" s="21" t="n">
        <v>1537.51</v>
      </c>
      <c r="M2147" s="21" t="n">
        <v>1499</v>
      </c>
    </row>
    <row r="2148">
      <c r="A2148" s="9" t="inlineStr">
        <is>
          <t>HAIFENG</t>
        </is>
      </c>
      <c r="B2148" s="9" t="inlineStr">
        <is>
          <t>HAIFENG 05/02/2026</t>
        </is>
      </c>
      <c r="C2148" s="9" t="inlineStr">
        <is>
          <t>2026-02-05</t>
        </is>
      </c>
      <c r="D2148" s="9" t="inlineStr">
        <is>
          <t>40154171506797</t>
        </is>
      </c>
      <c r="E2148" s="9" t="inlineStr">
        <is>
          <t>BRAZALETE OPEN HEART GOLD</t>
        </is>
      </c>
      <c r="F2148" s="9" t="inlineStr">
        <is>
          <t>Default Title</t>
        </is>
      </c>
      <c r="G2148" s="9" t="n">
        <v>3</v>
      </c>
      <c r="H2148" s="21" t="n">
        <v>10</v>
      </c>
      <c r="I2148" s="21" t="n">
        <v>213.54</v>
      </c>
      <c r="J2148" s="21" t="n">
        <v>640.63</v>
      </c>
      <c r="K2148" s="21" t="n">
        <v>747.4</v>
      </c>
      <c r="L2148" s="21" t="n">
        <v>854.17</v>
      </c>
      <c r="M2148" s="21" t="n">
        <v>620</v>
      </c>
    </row>
    <row r="2149">
      <c r="A2149" s="9" t="inlineStr">
        <is>
          <t>HAIFENG</t>
        </is>
      </c>
      <c r="B2149" s="9" t="inlineStr">
        <is>
          <t>HAIFENG 05/02/2026</t>
        </is>
      </c>
      <c r="C2149" s="9" t="inlineStr">
        <is>
          <t>2026-02-05</t>
        </is>
      </c>
      <c r="D2149" s="9" t="inlineStr">
        <is>
          <t>40154172024365</t>
        </is>
      </c>
      <c r="E2149" s="9" t="inlineStr">
        <is>
          <t>BRAZALETE T BONE GOLD</t>
        </is>
      </c>
      <c r="F2149" s="9" t="inlineStr">
        <is>
          <t>Default Title</t>
        </is>
      </c>
      <c r="G2149" s="9" t="n">
        <v>1</v>
      </c>
      <c r="H2149" s="21" t="n">
        <v>35</v>
      </c>
      <c r="I2149" s="21" t="n">
        <v>747.4</v>
      </c>
      <c r="J2149" s="21" t="n">
        <v>2242.2</v>
      </c>
      <c r="K2149" s="21" t="n">
        <v>2615.9</v>
      </c>
      <c r="L2149" s="21" t="n">
        <v>2989.6</v>
      </c>
      <c r="M2149" s="21" t="n">
        <v>2899</v>
      </c>
    </row>
    <row r="2150">
      <c r="A2150" s="9" t="inlineStr">
        <is>
          <t>HAIFENG</t>
        </is>
      </c>
      <c r="B2150" s="9" t="inlineStr">
        <is>
          <t>HAIFENG 05/02/2026</t>
        </is>
      </c>
      <c r="C2150" s="9" t="inlineStr">
        <is>
          <t>2026-02-05</t>
        </is>
      </c>
      <c r="D2150" s="9" t="inlineStr">
        <is>
          <t>40154172246477</t>
        </is>
      </c>
      <c r="E2150" s="9" t="inlineStr">
        <is>
          <t>BRAZALETE T BONE SILVER</t>
        </is>
      </c>
      <c r="F2150" s="9" t="inlineStr">
        <is>
          <t>Default Title</t>
        </is>
      </c>
      <c r="G2150" s="9" t="n">
        <v>1</v>
      </c>
      <c r="H2150" s="21" t="n">
        <v>35</v>
      </c>
      <c r="I2150" s="21" t="n">
        <v>747.4</v>
      </c>
      <c r="J2150" s="21" t="n">
        <v>2242.2</v>
      </c>
      <c r="K2150" s="21" t="n">
        <v>2615.9</v>
      </c>
      <c r="L2150" s="21" t="n">
        <v>2989.6</v>
      </c>
      <c r="M2150" s="21" t="n">
        <v>2885</v>
      </c>
    </row>
    <row r="2151">
      <c r="A2151" s="9" t="inlineStr">
        <is>
          <t>HAIFENG</t>
        </is>
      </c>
      <c r="B2151" s="9" t="inlineStr">
        <is>
          <t>HAIFENG 05/02/2026</t>
        </is>
      </c>
      <c r="C2151" s="9" t="inlineStr">
        <is>
          <t>2026-02-05</t>
        </is>
      </c>
      <c r="D2151" s="9" t="inlineStr">
        <is>
          <t>40154172563437</t>
        </is>
      </c>
      <c r="E2151" s="9" t="inlineStr">
        <is>
          <t>BRAZALETE T DOBLE PALOMA GOLD</t>
        </is>
      </c>
      <c r="F2151" s="9" t="inlineStr">
        <is>
          <t>Default Title</t>
        </is>
      </c>
      <c r="G2151" s="9" t="n">
        <v>3</v>
      </c>
      <c r="H2151" s="21" t="n">
        <v>8</v>
      </c>
      <c r="I2151" s="21" t="n">
        <v>170.83</v>
      </c>
      <c r="J2151" s="21" t="n">
        <v>512.5</v>
      </c>
      <c r="K2151" s="21" t="n">
        <v>597.92</v>
      </c>
      <c r="L2151" s="21" t="n">
        <v>683.34</v>
      </c>
      <c r="M2151" s="21" t="n">
        <v>659.2</v>
      </c>
    </row>
    <row r="2152">
      <c r="A2152" s="9" t="inlineStr">
        <is>
          <t>HAIFENG</t>
        </is>
      </c>
      <c r="B2152" s="9" t="inlineStr">
        <is>
          <t>HAIFENG 05/02/2026</t>
        </is>
      </c>
      <c r="C2152" s="9" t="inlineStr">
        <is>
          <t>2026-02-05</t>
        </is>
      </c>
      <c r="D2152" s="9" t="inlineStr">
        <is>
          <t>40154172394509</t>
        </is>
      </c>
      <c r="E2152" s="9" t="inlineStr">
        <is>
          <t>BRAZALETE T DOBLE PALOMA SILVER</t>
        </is>
      </c>
      <c r="F2152" s="9" t="inlineStr">
        <is>
          <t>Default Title</t>
        </is>
      </c>
      <c r="G2152" s="9" t="n">
        <v>3</v>
      </c>
      <c r="H2152" s="21" t="n">
        <v>8</v>
      </c>
      <c r="I2152" s="21" t="n">
        <v>170.83</v>
      </c>
      <c r="J2152" s="21" t="n">
        <v>512.5</v>
      </c>
      <c r="K2152" s="21" t="n">
        <v>597.92</v>
      </c>
      <c r="L2152" s="21" t="n">
        <v>683.34</v>
      </c>
      <c r="M2152" s="21" t="n">
        <v>659.2</v>
      </c>
    </row>
    <row r="2153">
      <c r="A2153" s="9" t="inlineStr">
        <is>
          <t>HAIFENG</t>
        </is>
      </c>
      <c r="B2153" s="9" t="inlineStr">
        <is>
          <t>HAIFENG 05/02/2026</t>
        </is>
      </c>
      <c r="C2153" s="9" t="inlineStr">
        <is>
          <t>2026-02-05</t>
        </is>
      </c>
      <c r="D2153" s="9" t="inlineStr">
        <is>
          <t>40154171267789</t>
        </is>
      </c>
      <c r="E2153" s="9" t="inlineStr">
        <is>
          <t>BRAZALETE T ELSA PERETTI GOLD</t>
        </is>
      </c>
      <c r="F2153" s="9" t="inlineStr">
        <is>
          <t>Default Title</t>
        </is>
      </c>
      <c r="G2153" s="9" t="n">
        <v>3</v>
      </c>
      <c r="H2153" s="21" t="n">
        <v>7.5</v>
      </c>
      <c r="I2153" s="21" t="n">
        <v>160.16</v>
      </c>
      <c r="J2153" s="21" t="n">
        <v>480.47</v>
      </c>
      <c r="K2153" s="21" t="n">
        <v>560.55</v>
      </c>
      <c r="L2153" s="21" t="n">
        <v>640.63</v>
      </c>
      <c r="M2153" s="21" t="n">
        <v>650</v>
      </c>
    </row>
    <row r="2154">
      <c r="A2154" s="9" t="inlineStr">
        <is>
          <t>HAIFENG</t>
        </is>
      </c>
      <c r="B2154" s="9" t="inlineStr">
        <is>
          <t>HAIFENG 05/02/2026</t>
        </is>
      </c>
      <c r="C2154" s="9" t="inlineStr">
        <is>
          <t>2026-02-05</t>
        </is>
      </c>
      <c r="D2154" s="9" t="inlineStr">
        <is>
          <t>40154171763309</t>
        </is>
      </c>
      <c r="E2154" s="9" t="inlineStr">
        <is>
          <t>BRAZALETE T ELSA PERETTI SILVER</t>
        </is>
      </c>
      <c r="F2154" s="9" t="inlineStr">
        <is>
          <t>Default Title</t>
        </is>
      </c>
      <c r="G2154" s="9" t="n">
        <v>3</v>
      </c>
      <c r="H2154" s="21" t="n">
        <v>6</v>
      </c>
      <c r="I2154" s="21" t="n">
        <v>128.13</v>
      </c>
      <c r="J2154" s="21" t="n">
        <v>384.38</v>
      </c>
      <c r="K2154" s="21" t="n">
        <v>448.44</v>
      </c>
      <c r="L2154" s="21" t="n">
        <v>512.5</v>
      </c>
      <c r="M2154" s="21" t="n">
        <v>599</v>
      </c>
    </row>
    <row r="2155">
      <c r="A2155" s="9" t="inlineStr">
        <is>
          <t>HAIFENG</t>
        </is>
      </c>
      <c r="B2155" s="9" t="inlineStr">
        <is>
          <t>HAIFENG 05/02/2026</t>
        </is>
      </c>
      <c r="C2155" s="9" t="inlineStr">
        <is>
          <t>2026-02-05</t>
        </is>
      </c>
      <c r="D2155" s="9" t="inlineStr">
        <is>
          <t>40154172105165</t>
        </is>
      </c>
      <c r="E2155" s="9" t="inlineStr">
        <is>
          <t>BRAZALETE T ESLABONES PEARL</t>
        </is>
      </c>
      <c r="F2155" s="9" t="inlineStr">
        <is>
          <t>Default Title</t>
        </is>
      </c>
      <c r="G2155" s="9" t="n">
        <v>3</v>
      </c>
      <c r="H2155" s="21" t="n">
        <v>1</v>
      </c>
      <c r="I2155" s="21" t="n">
        <v>21.35</v>
      </c>
      <c r="J2155" s="21" t="n">
        <v>64.06</v>
      </c>
      <c r="K2155" s="21" t="n">
        <v>74.73999999999999</v>
      </c>
      <c r="L2155" s="21" t="n">
        <v>85.42</v>
      </c>
      <c r="M2155" s="21" t="n">
        <v>850</v>
      </c>
    </row>
    <row r="2156">
      <c r="A2156" s="9" t="inlineStr">
        <is>
          <t>HAIFENG</t>
        </is>
      </c>
      <c r="B2156" s="9" t="inlineStr">
        <is>
          <t>HAIFENG 05/02/2026</t>
        </is>
      </c>
      <c r="C2156" s="9" t="inlineStr">
        <is>
          <t>2026-02-05</t>
        </is>
      </c>
      <c r="D2156" s="9" t="inlineStr">
        <is>
          <t>40154171379661</t>
        </is>
      </c>
      <c r="E2156" s="9" t="inlineStr">
        <is>
          <t>BRAZALETE T MULTIPLES PLACAS</t>
        </is>
      </c>
      <c r="F2156" s="9" t="inlineStr">
        <is>
          <t>Default Title</t>
        </is>
      </c>
      <c r="G2156" s="9" t="n">
        <v>3</v>
      </c>
      <c r="H2156" s="21" t="n">
        <v>12</v>
      </c>
      <c r="I2156" s="21" t="n">
        <v>256.25</v>
      </c>
      <c r="J2156" s="21" t="n">
        <v>768.75</v>
      </c>
      <c r="K2156" s="21" t="n">
        <v>896.88</v>
      </c>
      <c r="L2156" s="21" t="n">
        <v>1025.01</v>
      </c>
      <c r="M2156" s="21" t="n">
        <v>999</v>
      </c>
    </row>
    <row r="2157">
      <c r="A2157" s="9" t="inlineStr">
        <is>
          <t>HAIFENG</t>
        </is>
      </c>
      <c r="B2157" s="9" t="inlineStr">
        <is>
          <t>HAIFENG 05/02/2026</t>
        </is>
      </c>
      <c r="C2157" s="9" t="inlineStr">
        <is>
          <t>2026-02-05</t>
        </is>
      </c>
      <c r="D2157" s="9" t="inlineStr">
        <is>
          <t>40154172453261</t>
        </is>
      </c>
      <c r="E2157" s="9" t="inlineStr">
        <is>
          <t>BRAZALETE T PALOMA SILVER</t>
        </is>
      </c>
      <c r="F2157" s="9" t="inlineStr">
        <is>
          <t>Default Title</t>
        </is>
      </c>
      <c r="G2157" s="9" t="n">
        <v>3</v>
      </c>
      <c r="H2157" s="21" t="n">
        <v>7</v>
      </c>
      <c r="I2157" s="21" t="n">
        <v>149.48</v>
      </c>
      <c r="J2157" s="21" t="n">
        <v>448.44</v>
      </c>
      <c r="K2157" s="21" t="n">
        <v>523.1799999999999</v>
      </c>
      <c r="L2157" s="21" t="n">
        <v>597.92</v>
      </c>
      <c r="M2157" s="21" t="n">
        <v>0</v>
      </c>
    </row>
    <row r="2158">
      <c r="A2158" s="9" t="inlineStr">
        <is>
          <t>HAIFENG</t>
        </is>
      </c>
      <c r="B2158" s="9" t="inlineStr">
        <is>
          <t>HAIFENG 05/02/2026</t>
        </is>
      </c>
      <c r="C2158" s="9" t="inlineStr">
        <is>
          <t>2026-02-05</t>
        </is>
      </c>
      <c r="D2158" s="9" t="inlineStr">
        <is>
          <t>29736661629069</t>
        </is>
      </c>
      <c r="E2158" s="9" t="inlineStr">
        <is>
          <t>BROCHE CD PETIT PEARL GOLD</t>
        </is>
      </c>
      <c r="F2158" s="9" t="inlineStr">
        <is>
          <t>Default Title</t>
        </is>
      </c>
      <c r="G2158" s="9" t="n">
        <v>2</v>
      </c>
      <c r="H2158" s="21" t="n">
        <v>6</v>
      </c>
      <c r="I2158" s="21" t="n">
        <v>128.13</v>
      </c>
      <c r="J2158" s="21" t="n">
        <v>384.38</v>
      </c>
      <c r="K2158" s="21" t="n">
        <v>448.44</v>
      </c>
      <c r="L2158" s="21" t="n">
        <v>512.5</v>
      </c>
      <c r="M2158" s="21" t="n">
        <v>550</v>
      </c>
    </row>
    <row r="2159">
      <c r="A2159" s="9" t="inlineStr">
        <is>
          <t>HAIFENG</t>
        </is>
      </c>
      <c r="B2159" s="9" t="inlineStr">
        <is>
          <t>HAIFENG 05/02/2026</t>
        </is>
      </c>
      <c r="C2159" s="9" t="inlineStr">
        <is>
          <t>2026-02-05</t>
        </is>
      </c>
      <c r="D2159" s="9" t="inlineStr">
        <is>
          <t>15104851060781</t>
        </is>
      </c>
      <c r="E2159" s="9" t="inlineStr">
        <is>
          <t>COLLAR ALHAMBRA GOLD</t>
        </is>
      </c>
      <c r="F2159" s="9" t="inlineStr">
        <is>
          <t>Default Title</t>
        </is>
      </c>
      <c r="G2159" s="9" t="n">
        <v>3</v>
      </c>
      <c r="H2159" s="21" t="n">
        <v>5</v>
      </c>
      <c r="I2159" s="21" t="n">
        <v>106.77</v>
      </c>
      <c r="J2159" s="21" t="n">
        <v>320.31</v>
      </c>
      <c r="K2159" s="21" t="n">
        <v>373.7</v>
      </c>
      <c r="L2159" s="21" t="n">
        <v>427.09</v>
      </c>
      <c r="M2159" s="21" t="n">
        <v>450</v>
      </c>
    </row>
    <row r="2160">
      <c r="A2160" s="9" t="inlineStr">
        <is>
          <t>HAIFENG</t>
        </is>
      </c>
      <c r="B2160" s="9" t="inlineStr">
        <is>
          <t>HAIFENG 05/02/2026</t>
        </is>
      </c>
      <c r="C2160" s="9" t="inlineStr">
        <is>
          <t>2026-02-05</t>
        </is>
      </c>
      <c r="D2160" s="9" t="inlineStr">
        <is>
          <t>35432871136685</t>
        </is>
      </c>
      <c r="E2160" s="9" t="inlineStr">
        <is>
          <t>COLLAR CC BOUTON CAMELIA GOLD</t>
        </is>
      </c>
      <c r="F2160" s="9" t="inlineStr">
        <is>
          <t>Default Title</t>
        </is>
      </c>
      <c r="G2160" s="9" t="n">
        <v>3</v>
      </c>
      <c r="H2160" s="21" t="n">
        <v>12</v>
      </c>
      <c r="I2160" s="21" t="n">
        <v>256.25</v>
      </c>
      <c r="J2160" s="21" t="n">
        <v>768.75</v>
      </c>
      <c r="K2160" s="21" t="n">
        <v>896.88</v>
      </c>
      <c r="L2160" s="21" t="n">
        <v>1025.01</v>
      </c>
      <c r="M2160" s="21" t="n">
        <v>0</v>
      </c>
    </row>
    <row r="2161">
      <c r="A2161" s="9" t="inlineStr">
        <is>
          <t>HAIFENG</t>
        </is>
      </c>
      <c r="B2161" s="9" t="inlineStr">
        <is>
          <t>HAIFENG 05/02/2026</t>
        </is>
      </c>
      <c r="C2161" s="9" t="inlineStr">
        <is>
          <t>2026-02-05</t>
        </is>
      </c>
      <c r="D2161" s="9" t="inlineStr">
        <is>
          <t>35432871634445</t>
        </is>
      </c>
      <c r="E2161" s="9" t="inlineStr">
        <is>
          <t>COLLAR CC COCO CRUSH GOLD</t>
        </is>
      </c>
      <c r="F2161" s="9" t="inlineStr">
        <is>
          <t>Default Title</t>
        </is>
      </c>
      <c r="G2161" s="9" t="n">
        <v>3</v>
      </c>
      <c r="H2161" s="21" t="n">
        <v>7.99</v>
      </c>
      <c r="I2161" s="21" t="n">
        <v>170.62</v>
      </c>
      <c r="J2161" s="21" t="n">
        <v>511.86</v>
      </c>
      <c r="K2161" s="21" t="n">
        <v>597.17</v>
      </c>
      <c r="L2161" s="21" t="n">
        <v>682.48</v>
      </c>
      <c r="M2161" s="21" t="n">
        <v>680</v>
      </c>
    </row>
    <row r="2162">
      <c r="A2162" s="9" t="inlineStr">
        <is>
          <t>HAIFENG</t>
        </is>
      </c>
      <c r="B2162" s="9" t="inlineStr">
        <is>
          <t>HAIFENG 05/02/2026</t>
        </is>
      </c>
      <c r="C2162" s="9" t="inlineStr">
        <is>
          <t>2026-02-05</t>
        </is>
      </c>
      <c r="D2162" s="9" t="inlineStr">
        <is>
          <t>35432871709069</t>
        </is>
      </c>
      <c r="E2162" s="9" t="inlineStr">
        <is>
          <t>COLLAR CC COCO GOLD</t>
        </is>
      </c>
      <c r="F2162" s="9" t="inlineStr">
        <is>
          <t>Default Title</t>
        </is>
      </c>
      <c r="G2162" s="9" t="n">
        <v>3</v>
      </c>
      <c r="H2162" s="21" t="n">
        <v>7.99</v>
      </c>
      <c r="I2162" s="21" t="n">
        <v>170.62</v>
      </c>
      <c r="J2162" s="21" t="n">
        <v>511.86</v>
      </c>
      <c r="K2162" s="21" t="n">
        <v>597.17</v>
      </c>
      <c r="L2162" s="21" t="n">
        <v>682.48</v>
      </c>
      <c r="M2162" s="21" t="n">
        <v>680</v>
      </c>
    </row>
    <row r="2163">
      <c r="A2163" s="9" t="inlineStr">
        <is>
          <t>HAIFENG</t>
        </is>
      </c>
      <c r="B2163" s="9" t="inlineStr">
        <is>
          <t>HAIFENG 05/02/2026</t>
        </is>
      </c>
      <c r="C2163" s="9" t="inlineStr">
        <is>
          <t>2026-02-05</t>
        </is>
      </c>
      <c r="D2163" s="9" t="inlineStr">
        <is>
          <t>29736661772013</t>
        </is>
      </c>
      <c r="E2163" s="9" t="inlineStr">
        <is>
          <t>COLLAR CD DOBLE PETIT GOLD</t>
        </is>
      </c>
      <c r="F2163" s="9" t="inlineStr">
        <is>
          <t>Default Title</t>
        </is>
      </c>
      <c r="G2163" s="9" t="n">
        <v>3</v>
      </c>
      <c r="H2163" s="21" t="n">
        <v>6</v>
      </c>
      <c r="I2163" s="21" t="n">
        <v>128.13</v>
      </c>
      <c r="J2163" s="21" t="n">
        <v>384.38</v>
      </c>
      <c r="K2163" s="21" t="n">
        <v>448.44</v>
      </c>
      <c r="L2163" s="21" t="n">
        <v>512.5</v>
      </c>
      <c r="M2163" s="21" t="n">
        <v>550</v>
      </c>
    </row>
    <row r="2164">
      <c r="A2164" s="9" t="inlineStr">
        <is>
          <t>HAIFENG</t>
        </is>
      </c>
      <c r="B2164" s="9" t="inlineStr">
        <is>
          <t>HAIFENG 05/02/2026</t>
        </is>
      </c>
      <c r="C2164" s="9" t="inlineStr">
        <is>
          <t>2026-02-05</t>
        </is>
      </c>
      <c r="D2164" s="9" t="inlineStr">
        <is>
          <t>29736661175277</t>
        </is>
      </c>
      <c r="E2164" s="9" t="inlineStr">
        <is>
          <t>COLLAR CD FLEUR GOLD</t>
        </is>
      </c>
      <c r="F2164" s="9" t="inlineStr">
        <is>
          <t>Default Title</t>
        </is>
      </c>
      <c r="G2164" s="9" t="n">
        <v>3</v>
      </c>
      <c r="H2164" s="21" t="n">
        <v>12</v>
      </c>
      <c r="I2164" s="21" t="n">
        <v>256.25</v>
      </c>
      <c r="J2164" s="21" t="n">
        <v>768.75</v>
      </c>
      <c r="K2164" s="21" t="n">
        <v>896.88</v>
      </c>
      <c r="L2164" s="21" t="n">
        <v>1025.01</v>
      </c>
      <c r="M2164" s="21" t="n">
        <v>999</v>
      </c>
    </row>
    <row r="2165">
      <c r="A2165" s="9" t="inlineStr">
        <is>
          <t>HAIFENG</t>
        </is>
      </c>
      <c r="B2165" s="9" t="inlineStr">
        <is>
          <t>HAIFENG 05/02/2026</t>
        </is>
      </c>
      <c r="C2165" s="9" t="inlineStr">
        <is>
          <t>2026-02-05</t>
        </is>
      </c>
      <c r="D2165" s="9" t="inlineStr">
        <is>
          <t>29736674296013</t>
        </is>
      </c>
      <c r="E2165" s="9" t="inlineStr">
        <is>
          <t>COLLAR COLGANTE LOVE</t>
        </is>
      </c>
      <c r="F2165" s="9" t="inlineStr">
        <is>
          <t>Default Title</t>
        </is>
      </c>
      <c r="G2165" s="9" t="n">
        <v>2</v>
      </c>
      <c r="H2165" s="21" t="n">
        <v>10</v>
      </c>
      <c r="I2165" s="21" t="n">
        <v>213.54</v>
      </c>
      <c r="J2165" s="21" t="n">
        <v>640.63</v>
      </c>
      <c r="K2165" s="21" t="n">
        <v>747.4</v>
      </c>
      <c r="L2165" s="21" t="n">
        <v>854.17</v>
      </c>
      <c r="M2165" s="21" t="n">
        <v>824</v>
      </c>
    </row>
    <row r="2166">
      <c r="A2166" s="9" t="inlineStr">
        <is>
          <t>HAIFENG</t>
        </is>
      </c>
      <c r="B2166" s="9" t="inlineStr">
        <is>
          <t>HAIFENG 05/02/2026</t>
        </is>
      </c>
      <c r="C2166" s="9" t="inlineStr">
        <is>
          <t>2026-02-05</t>
        </is>
      </c>
      <c r="D2166" s="9" t="inlineStr">
        <is>
          <t>35432872383693</t>
        </is>
      </c>
      <c r="E2166" s="9" t="inlineStr">
        <is>
          <t>COLLAR H MINI MAILLON GOLD-BLACK</t>
        </is>
      </c>
      <c r="F2166" s="9" t="inlineStr">
        <is>
          <t>Default Title</t>
        </is>
      </c>
      <c r="G2166" s="9" t="n">
        <v>3</v>
      </c>
      <c r="H2166" s="21" t="n">
        <v>6.99</v>
      </c>
      <c r="I2166" s="21" t="n">
        <v>149.27</v>
      </c>
      <c r="J2166" s="21" t="n">
        <v>447.8</v>
      </c>
      <c r="K2166" s="21" t="n">
        <v>522.4299999999999</v>
      </c>
      <c r="L2166" s="21" t="n">
        <v>597.0700000000001</v>
      </c>
      <c r="M2166" s="21" t="n">
        <v>599</v>
      </c>
    </row>
    <row r="2167">
      <c r="A2167" s="9" t="inlineStr">
        <is>
          <t>HAIFENG</t>
        </is>
      </c>
      <c r="B2167" s="9" t="inlineStr">
        <is>
          <t>HAIFENG 05/02/2026</t>
        </is>
      </c>
      <c r="C2167" s="9" t="inlineStr">
        <is>
          <t>2026-02-05</t>
        </is>
      </c>
      <c r="D2167" s="9" t="inlineStr">
        <is>
          <t>35432872271821</t>
        </is>
      </c>
      <c r="E2167" s="9" t="inlineStr">
        <is>
          <t>COLLAR H MINI MAILLON ROSE GOLD</t>
        </is>
      </c>
      <c r="F2167" s="9" t="inlineStr">
        <is>
          <t>Default Title</t>
        </is>
      </c>
      <c r="G2167" s="9" t="n">
        <v>3</v>
      </c>
      <c r="H2167" s="21" t="n">
        <v>6.99</v>
      </c>
      <c r="I2167" s="21" t="n">
        <v>149.27</v>
      </c>
      <c r="J2167" s="21" t="n">
        <v>447.8</v>
      </c>
      <c r="K2167" s="21" t="n">
        <v>522.4299999999999</v>
      </c>
      <c r="L2167" s="21" t="n">
        <v>597.0700000000001</v>
      </c>
      <c r="M2167" s="21" t="n">
        <v>575.98</v>
      </c>
    </row>
    <row r="2168">
      <c r="A2168" s="9" t="inlineStr">
        <is>
          <t>HAIFENG</t>
        </is>
      </c>
      <c r="B2168" s="9" t="inlineStr">
        <is>
          <t>HAIFENG 05/02/2026</t>
        </is>
      </c>
      <c r="C2168" s="9" t="inlineStr">
        <is>
          <t>2026-02-05</t>
        </is>
      </c>
      <c r="D2168" s="9" t="inlineStr">
        <is>
          <t>40154173241997</t>
        </is>
      </c>
      <c r="E2168" s="9" t="inlineStr">
        <is>
          <t>COLLAR JUSTE UN CLOU ROSE GOLD</t>
        </is>
      </c>
      <c r="F2168" s="9" t="inlineStr">
        <is>
          <t>Default Title</t>
        </is>
      </c>
      <c r="G2168" s="9" t="n">
        <v>2</v>
      </c>
      <c r="H2168" s="21" t="n">
        <v>10.5</v>
      </c>
      <c r="I2168" s="21" t="n">
        <v>224.22</v>
      </c>
      <c r="J2168" s="21" t="n">
        <v>672.66</v>
      </c>
      <c r="K2168" s="21" t="n">
        <v>784.77</v>
      </c>
      <c r="L2168" s="21" t="n">
        <v>896.88</v>
      </c>
      <c r="M2168" s="21" t="n">
        <v>870</v>
      </c>
    </row>
    <row r="2169">
      <c r="A2169" s="9" t="inlineStr">
        <is>
          <t>HAIFENG</t>
        </is>
      </c>
      <c r="B2169" s="9" t="inlineStr">
        <is>
          <t>HAIFENG 05/02/2026</t>
        </is>
      </c>
      <c r="C2169" s="9" t="inlineStr">
        <is>
          <t>2026-02-05</t>
        </is>
      </c>
      <c r="D2169" s="9" t="inlineStr">
        <is>
          <t>15104862668173</t>
        </is>
      </c>
      <c r="E2169" s="9" t="inlineStr">
        <is>
          <t>COLLAR KELLY ROSE GOLD</t>
        </is>
      </c>
      <c r="F2169" s="9" t="inlineStr">
        <is>
          <t>Default Title</t>
        </is>
      </c>
      <c r="G2169" s="9" t="n">
        <v>2</v>
      </c>
      <c r="H2169" s="21" t="n">
        <v>6</v>
      </c>
      <c r="I2169" s="21" t="n">
        <v>128.13</v>
      </c>
      <c r="J2169" s="21" t="n">
        <v>384.38</v>
      </c>
      <c r="K2169" s="21" t="n">
        <v>448.44</v>
      </c>
      <c r="L2169" s="21" t="n">
        <v>512.5</v>
      </c>
      <c r="M2169" s="21" t="n">
        <v>499</v>
      </c>
    </row>
    <row r="2170">
      <c r="A2170" s="9" t="inlineStr">
        <is>
          <t>HAIFENG</t>
        </is>
      </c>
      <c r="B2170" s="9" t="inlineStr">
        <is>
          <t>HAIFENG 05/02/2026</t>
        </is>
      </c>
      <c r="C2170" s="9" t="inlineStr">
        <is>
          <t>2026-02-05</t>
        </is>
      </c>
      <c r="D2170" s="9" t="inlineStr">
        <is>
          <t>15104863347341</t>
        </is>
      </c>
      <c r="E2170" s="9" t="inlineStr">
        <is>
          <t>COLLAR KNOT GOLD HALF ZIRCONIAS</t>
        </is>
      </c>
      <c r="F2170" s="9" t="inlineStr">
        <is>
          <t>Default Title</t>
        </is>
      </c>
      <c r="G2170" s="9" t="n">
        <v>3</v>
      </c>
      <c r="H2170" s="21" t="n">
        <v>6.5</v>
      </c>
      <c r="I2170" s="21" t="n">
        <v>138.8</v>
      </c>
      <c r="J2170" s="21" t="n">
        <v>416.41</v>
      </c>
      <c r="K2170" s="21" t="n">
        <v>485.81</v>
      </c>
      <c r="L2170" s="21" t="n">
        <v>555.21</v>
      </c>
      <c r="M2170" s="21" t="n">
        <v>550</v>
      </c>
    </row>
    <row r="2171">
      <c r="A2171" s="9" t="inlineStr">
        <is>
          <t>HAIFENG</t>
        </is>
      </c>
      <c r="B2171" s="9" t="inlineStr">
        <is>
          <t>HAIFENG 05/02/2026</t>
        </is>
      </c>
      <c r="C2171" s="9" t="inlineStr">
        <is>
          <t>2026-02-05</t>
        </is>
      </c>
      <c r="D2171" s="9" t="inlineStr">
        <is>
          <t>15104863437293</t>
        </is>
      </c>
      <c r="E2171" s="9" t="inlineStr">
        <is>
          <t>COLLAR KNOT GOLD ZIRCONIAS</t>
        </is>
      </c>
      <c r="F2171" s="9" t="inlineStr">
        <is>
          <t>Default Title</t>
        </is>
      </c>
      <c r="G2171" s="9" t="n">
        <v>3</v>
      </c>
      <c r="H2171" s="21" t="n">
        <v>7</v>
      </c>
      <c r="I2171" s="21" t="n">
        <v>149.48</v>
      </c>
      <c r="J2171" s="21" t="n">
        <v>448.44</v>
      </c>
      <c r="K2171" s="21" t="n">
        <v>523.1799999999999</v>
      </c>
      <c r="L2171" s="21" t="n">
        <v>597.92</v>
      </c>
      <c r="M2171" s="21" t="n">
        <v>680</v>
      </c>
    </row>
    <row r="2172">
      <c r="A2172" s="9" t="inlineStr">
        <is>
          <t>HAIFENG</t>
        </is>
      </c>
      <c r="B2172" s="9" t="inlineStr">
        <is>
          <t>HAIFENG 05/02/2026</t>
        </is>
      </c>
      <c r="C2172" s="9" t="inlineStr">
        <is>
          <t>2026-02-05</t>
        </is>
      </c>
      <c r="D2172" s="9" t="inlineStr">
        <is>
          <t>15104863274477</t>
        </is>
      </c>
      <c r="E2172" s="9" t="inlineStr">
        <is>
          <t>COLLAR KNOT SILVER ZIRCONIAS</t>
        </is>
      </c>
      <c r="F2172" s="9" t="inlineStr">
        <is>
          <t>Default Title</t>
        </is>
      </c>
      <c r="G2172" s="9" t="n">
        <v>3</v>
      </c>
      <c r="H2172" s="21" t="n">
        <v>7</v>
      </c>
      <c r="I2172" s="21" t="n">
        <v>149.48</v>
      </c>
      <c r="J2172" s="21" t="n">
        <v>448.44</v>
      </c>
      <c r="K2172" s="21" t="n">
        <v>523.1799999999999</v>
      </c>
      <c r="L2172" s="21" t="n">
        <v>597.92</v>
      </c>
      <c r="M2172" s="21" t="n">
        <v>599</v>
      </c>
    </row>
    <row r="2173">
      <c r="A2173" s="9" t="inlineStr">
        <is>
          <t>HAIFENG</t>
        </is>
      </c>
      <c r="B2173" s="9" t="inlineStr">
        <is>
          <t>HAIFENG 05/02/2026</t>
        </is>
      </c>
      <c r="C2173" s="9" t="inlineStr">
        <is>
          <t>2026-02-05</t>
        </is>
      </c>
      <c r="D2173" s="9" t="inlineStr">
        <is>
          <t>78326321018849</t>
        </is>
      </c>
      <c r="E2173" s="9" t="inlineStr">
        <is>
          <t>COLLAR LOVESTRUCK</t>
        </is>
      </c>
      <c r="F2173" s="9" t="inlineStr">
        <is>
          <t>43CM</t>
        </is>
      </c>
      <c r="G2173" s="9" t="n">
        <v>3</v>
      </c>
      <c r="H2173" s="21" t="n">
        <v>6</v>
      </c>
      <c r="I2173" s="21" t="n">
        <v>128.13</v>
      </c>
      <c r="J2173" s="21" t="n">
        <v>384.38</v>
      </c>
      <c r="K2173" s="21" t="n">
        <v>448.44</v>
      </c>
      <c r="L2173" s="21" t="n">
        <v>512.5</v>
      </c>
      <c r="M2173" s="21" t="n">
        <v>899</v>
      </c>
    </row>
    <row r="2174">
      <c r="A2174" s="9" t="inlineStr">
        <is>
          <t>HAIFENG</t>
        </is>
      </c>
      <c r="B2174" s="9" t="inlineStr">
        <is>
          <t>HAIFENG 05/02/2026</t>
        </is>
      </c>
      <c r="C2174" s="9" t="inlineStr">
        <is>
          <t>2026-02-05</t>
        </is>
      </c>
      <c r="D2174" s="9" t="inlineStr">
        <is>
          <t>22064324048909</t>
        </is>
      </c>
      <c r="E2174" s="9" t="inlineStr">
        <is>
          <t>COLLAR MARIPOSA ROSE GOLD WHITE</t>
        </is>
      </c>
      <c r="F2174" s="9" t="inlineStr">
        <is>
          <t>Default Title</t>
        </is>
      </c>
      <c r="G2174" s="9" t="n">
        <v>3</v>
      </c>
      <c r="H2174" s="21" t="n">
        <v>6</v>
      </c>
      <c r="I2174" s="21" t="n">
        <v>128.13</v>
      </c>
      <c r="J2174" s="21" t="n">
        <v>384.38</v>
      </c>
      <c r="K2174" s="21" t="n">
        <v>448.44</v>
      </c>
      <c r="L2174" s="21" t="n">
        <v>512.5</v>
      </c>
      <c r="M2174" s="21" t="n">
        <v>499</v>
      </c>
    </row>
    <row r="2175">
      <c r="A2175" s="9" t="inlineStr">
        <is>
          <t>HAIFENG</t>
        </is>
      </c>
      <c r="B2175" s="9" t="inlineStr">
        <is>
          <t>HAIFENG 05/02/2026</t>
        </is>
      </c>
      <c r="C2175" s="9" t="inlineStr">
        <is>
          <t>2026-02-05</t>
        </is>
      </c>
      <c r="D2175" s="9" t="inlineStr">
        <is>
          <t>22064324185069</t>
        </is>
      </c>
      <c r="E2175" s="9" t="inlineStr">
        <is>
          <t>COLLAR MARIPOSA SILVER ZIRCONIAS</t>
        </is>
      </c>
      <c r="F2175" s="9" t="inlineStr">
        <is>
          <t>Default Title</t>
        </is>
      </c>
      <c r="G2175" s="9" t="n">
        <v>3</v>
      </c>
      <c r="H2175" s="21" t="n">
        <v>6</v>
      </c>
      <c r="I2175" s="21" t="n">
        <v>128.13</v>
      </c>
      <c r="J2175" s="21" t="n">
        <v>384.38</v>
      </c>
      <c r="K2175" s="21" t="n">
        <v>448.44</v>
      </c>
      <c r="L2175" s="21" t="n">
        <v>512.5</v>
      </c>
      <c r="M2175" s="21" t="n">
        <v>599</v>
      </c>
    </row>
    <row r="2176">
      <c r="A2176" s="9" t="inlineStr">
        <is>
          <t>HAIFENG</t>
        </is>
      </c>
      <c r="B2176" s="9" t="inlineStr">
        <is>
          <t>HAIFENG 05/02/2026</t>
        </is>
      </c>
      <c r="C2176" s="9" t="inlineStr">
        <is>
          <t>2026-02-05</t>
        </is>
      </c>
      <c r="D2176" s="9" t="inlineStr">
        <is>
          <t>22064324293549</t>
        </is>
      </c>
      <c r="E2176" s="9" t="inlineStr">
        <is>
          <t>COLLAR MARIPOSA TURQUESA GOLD</t>
        </is>
      </c>
      <c r="F2176" s="9" t="inlineStr">
        <is>
          <t>Default Title</t>
        </is>
      </c>
      <c r="G2176" s="9" t="n">
        <v>3</v>
      </c>
      <c r="H2176" s="21" t="n">
        <v>6</v>
      </c>
      <c r="I2176" s="21" t="n">
        <v>128.13</v>
      </c>
      <c r="J2176" s="21" t="n">
        <v>384.38</v>
      </c>
      <c r="K2176" s="21" t="n">
        <v>448.44</v>
      </c>
      <c r="L2176" s="21" t="n">
        <v>512.5</v>
      </c>
      <c r="M2176" s="21" t="n">
        <v>499</v>
      </c>
    </row>
    <row r="2177">
      <c r="A2177" s="9" t="inlineStr">
        <is>
          <t>HAIFENG</t>
        </is>
      </c>
      <c r="B2177" s="9" t="inlineStr">
        <is>
          <t>HAIFENG 05/02/2026</t>
        </is>
      </c>
      <c r="C2177" s="9" t="inlineStr">
        <is>
          <t>2026-02-05</t>
        </is>
      </c>
      <c r="D2177" s="9" t="inlineStr">
        <is>
          <t>29736674158157</t>
        </is>
      </c>
      <c r="E2177" s="9" t="inlineStr">
        <is>
          <t>COLLAR OPEN HEAR GOLD ZIRCONIAS</t>
        </is>
      </c>
      <c r="F2177" s="9" t="inlineStr">
        <is>
          <t>Default Title</t>
        </is>
      </c>
      <c r="G2177" s="9" t="n">
        <v>3</v>
      </c>
      <c r="H2177" s="21" t="n">
        <v>8</v>
      </c>
      <c r="I2177" s="21" t="n">
        <v>170.83</v>
      </c>
      <c r="J2177" s="21" t="n">
        <v>512.5</v>
      </c>
      <c r="K2177" s="21" t="n">
        <v>597.92</v>
      </c>
      <c r="L2177" s="21" t="n">
        <v>683.34</v>
      </c>
      <c r="M2177" s="21" t="n">
        <v>699</v>
      </c>
    </row>
    <row r="2178">
      <c r="A2178" s="9" t="inlineStr">
        <is>
          <t>HAIFENG</t>
        </is>
      </c>
      <c r="B2178" s="9" t="inlineStr">
        <is>
          <t>HAIFENG 05/02/2026</t>
        </is>
      </c>
      <c r="C2178" s="9" t="inlineStr">
        <is>
          <t>2026-02-05</t>
        </is>
      </c>
      <c r="D2178" s="9" t="inlineStr">
        <is>
          <t>15104862909421</t>
        </is>
      </c>
      <c r="E2178" s="9" t="inlineStr">
        <is>
          <t>COLLAR PANTHERE LISO GOLD</t>
        </is>
      </c>
      <c r="F2178" s="9" t="inlineStr">
        <is>
          <t>Default Title</t>
        </is>
      </c>
      <c r="G2178" s="9" t="n">
        <v>2</v>
      </c>
      <c r="H2178" s="21" t="n">
        <v>9</v>
      </c>
      <c r="I2178" s="21" t="n">
        <v>192.19</v>
      </c>
      <c r="J2178" s="21" t="n">
        <v>576.5700000000001</v>
      </c>
      <c r="K2178" s="21" t="n">
        <v>672.66</v>
      </c>
      <c r="L2178" s="21" t="n">
        <v>768.75</v>
      </c>
      <c r="M2178" s="21" t="n">
        <v>750</v>
      </c>
    </row>
    <row r="2179">
      <c r="A2179" s="9" t="inlineStr">
        <is>
          <t>HAIFENG</t>
        </is>
      </c>
      <c r="B2179" s="9" t="inlineStr">
        <is>
          <t>HAIFENG 05/02/2026</t>
        </is>
      </c>
      <c r="C2179" s="9" t="inlineStr">
        <is>
          <t>2026-02-05</t>
        </is>
      </c>
      <c r="D2179" s="9" t="inlineStr">
        <is>
          <t>15104863078349</t>
        </is>
      </c>
      <c r="E2179" s="9" t="inlineStr">
        <is>
          <t>COLLAR PANTHERE LISO SILVER</t>
        </is>
      </c>
      <c r="F2179" s="9" t="inlineStr">
        <is>
          <t>Default Title</t>
        </is>
      </c>
      <c r="G2179" s="9" t="n">
        <v>2</v>
      </c>
      <c r="H2179" s="21" t="n">
        <v>9</v>
      </c>
      <c r="I2179" s="21" t="n">
        <v>192.19</v>
      </c>
      <c r="J2179" s="21" t="n">
        <v>576.5700000000001</v>
      </c>
      <c r="K2179" s="21" t="n">
        <v>672.66</v>
      </c>
      <c r="L2179" s="21" t="n">
        <v>768.75</v>
      </c>
      <c r="M2179" s="21" t="n">
        <v>741.6</v>
      </c>
    </row>
    <row r="2180">
      <c r="A2180" s="9" t="inlineStr">
        <is>
          <t>HAIFENG</t>
        </is>
      </c>
      <c r="B2180" s="9" t="inlineStr">
        <is>
          <t>HAIFENG 05/02/2026</t>
        </is>
      </c>
      <c r="C2180" s="9" t="inlineStr">
        <is>
          <t>2026-02-05</t>
        </is>
      </c>
      <c r="D2180" s="9" t="inlineStr">
        <is>
          <t>15104861829165</t>
        </is>
      </c>
      <c r="E2180" s="9" t="inlineStr">
        <is>
          <t>COLLAR SUN BLACK BLOSSOM GOLD</t>
        </is>
      </c>
      <c r="F2180" s="9" t="inlineStr">
        <is>
          <t>Default Title</t>
        </is>
      </c>
      <c r="G2180" s="9" t="n">
        <v>2</v>
      </c>
      <c r="H2180" s="21" t="n">
        <v>5.99</v>
      </c>
      <c r="I2180" s="21" t="n">
        <v>127.91</v>
      </c>
      <c r="J2180" s="21" t="n">
        <v>383.74</v>
      </c>
      <c r="K2180" s="21" t="n">
        <v>447.69</v>
      </c>
      <c r="L2180" s="21" t="n">
        <v>511.65</v>
      </c>
      <c r="M2180" s="21" t="n">
        <v>680</v>
      </c>
    </row>
    <row r="2181">
      <c r="A2181" s="9" t="inlineStr">
        <is>
          <t>HAIFENG</t>
        </is>
      </c>
      <c r="B2181" s="9" t="inlineStr">
        <is>
          <t>HAIFENG 05/02/2026</t>
        </is>
      </c>
      <c r="C2181" s="9" t="inlineStr">
        <is>
          <t>2026-02-05</t>
        </is>
      </c>
      <c r="D2181" s="9" t="inlineStr">
        <is>
          <t>15104861996397</t>
        </is>
      </c>
      <c r="E2181" s="9" t="inlineStr">
        <is>
          <t>COLLAR SUN BLACK BLOSSOM ROSE GOLD</t>
        </is>
      </c>
      <c r="F2181" s="9" t="inlineStr">
        <is>
          <t>Default Title</t>
        </is>
      </c>
      <c r="G2181" s="9" t="n">
        <v>1</v>
      </c>
      <c r="H2181" s="21" t="n">
        <v>5.99</v>
      </c>
      <c r="I2181" s="21" t="n">
        <v>127.91</v>
      </c>
      <c r="J2181" s="21" t="n">
        <v>383.74</v>
      </c>
      <c r="K2181" s="21" t="n">
        <v>447.69</v>
      </c>
      <c r="L2181" s="21" t="n">
        <v>511.65</v>
      </c>
      <c r="M2181" s="21" t="n">
        <v>680</v>
      </c>
    </row>
    <row r="2182">
      <c r="A2182" s="9" t="inlineStr">
        <is>
          <t>HAIFENG</t>
        </is>
      </c>
      <c r="B2182" s="9" t="inlineStr">
        <is>
          <t>HAIFENG 05/02/2026</t>
        </is>
      </c>
      <c r="C2182" s="9" t="inlineStr">
        <is>
          <t>2026-02-05</t>
        </is>
      </c>
      <c r="D2182" s="9" t="inlineStr">
        <is>
          <t>15104862051213</t>
        </is>
      </c>
      <c r="E2182" s="9" t="inlineStr">
        <is>
          <t>COLLAR SUN GREEN BLOSSOM GOLD</t>
        </is>
      </c>
      <c r="F2182" s="9" t="inlineStr">
        <is>
          <t>Default Title</t>
        </is>
      </c>
      <c r="G2182" s="9" t="n">
        <v>2</v>
      </c>
      <c r="H2182" s="21" t="n">
        <v>5.99</v>
      </c>
      <c r="I2182" s="21" t="n">
        <v>127.91</v>
      </c>
      <c r="J2182" s="21" t="n">
        <v>383.74</v>
      </c>
      <c r="K2182" s="21" t="n">
        <v>447.69</v>
      </c>
      <c r="L2182" s="21" t="n">
        <v>511.65</v>
      </c>
      <c r="M2182" s="21" t="n">
        <v>680</v>
      </c>
    </row>
    <row r="2183">
      <c r="A2183" s="9" t="inlineStr">
        <is>
          <t>HAIFENG</t>
        </is>
      </c>
      <c r="B2183" s="9" t="inlineStr">
        <is>
          <t>HAIFENG 05/02/2026</t>
        </is>
      </c>
      <c r="C2183" s="9" t="inlineStr">
        <is>
          <t>2026-02-05</t>
        </is>
      </c>
      <c r="D2183" s="9" t="inlineStr">
        <is>
          <t>15104862187373</t>
        </is>
      </c>
      <c r="E2183" s="9" t="inlineStr">
        <is>
          <t>COLLAR SUN GREEN BLOSSOM ROSE GOLD</t>
        </is>
      </c>
      <c r="F2183" s="9" t="inlineStr">
        <is>
          <t>Default Title</t>
        </is>
      </c>
      <c r="G2183" s="9" t="n">
        <v>1</v>
      </c>
      <c r="H2183" s="21" t="n">
        <v>5.99</v>
      </c>
      <c r="I2183" s="21" t="n">
        <v>127.91</v>
      </c>
      <c r="J2183" s="21" t="n">
        <v>383.74</v>
      </c>
      <c r="K2183" s="21" t="n">
        <v>447.69</v>
      </c>
      <c r="L2183" s="21" t="n">
        <v>511.65</v>
      </c>
      <c r="M2183" s="21" t="n">
        <v>442</v>
      </c>
    </row>
    <row r="2184">
      <c r="A2184" s="9" t="inlineStr">
        <is>
          <t>HAIFENG</t>
        </is>
      </c>
      <c r="B2184" s="9" t="inlineStr">
        <is>
          <t>HAIFENG 05/02/2026</t>
        </is>
      </c>
      <c r="C2184" s="9" t="inlineStr">
        <is>
          <t>2026-02-05</t>
        </is>
      </c>
      <c r="D2184" s="9" t="inlineStr">
        <is>
          <t>15104862263629</t>
        </is>
      </c>
      <c r="E2184" s="9" t="inlineStr">
        <is>
          <t>COLLAR SUN RED BLOSSOM GOLD</t>
        </is>
      </c>
      <c r="F2184" s="9" t="inlineStr">
        <is>
          <t>Default Title</t>
        </is>
      </c>
      <c r="G2184" s="9" t="n">
        <v>2</v>
      </c>
      <c r="H2184" s="21" t="n">
        <v>5.99</v>
      </c>
      <c r="I2184" s="21" t="n">
        <v>127.91</v>
      </c>
      <c r="J2184" s="21" t="n">
        <v>383.74</v>
      </c>
      <c r="K2184" s="21" t="n">
        <v>447.69</v>
      </c>
      <c r="L2184" s="21" t="n">
        <v>511.65</v>
      </c>
      <c r="M2184" s="21" t="n">
        <v>680</v>
      </c>
    </row>
    <row r="2185">
      <c r="A2185" s="9" t="inlineStr">
        <is>
          <t>HAIFENG</t>
        </is>
      </c>
      <c r="B2185" s="9" t="inlineStr">
        <is>
          <t>HAIFENG 05/02/2026</t>
        </is>
      </c>
      <c r="C2185" s="9" t="inlineStr">
        <is>
          <t>2026-02-05</t>
        </is>
      </c>
      <c r="D2185" s="9" t="inlineStr">
        <is>
          <t>15104862383981</t>
        </is>
      </c>
      <c r="E2185" s="9" t="inlineStr">
        <is>
          <t>COLLAR SUN RED BLOSSOM ROSE GOLD</t>
        </is>
      </c>
      <c r="F2185" s="9" t="inlineStr">
        <is>
          <t>Default Title</t>
        </is>
      </c>
      <c r="G2185" s="9" t="n">
        <v>1</v>
      </c>
      <c r="H2185" s="21" t="n">
        <v>5.99</v>
      </c>
      <c r="I2185" s="21" t="n">
        <v>127.91</v>
      </c>
      <c r="J2185" s="21" t="n">
        <v>383.74</v>
      </c>
      <c r="K2185" s="21" t="n">
        <v>447.69</v>
      </c>
      <c r="L2185" s="21" t="n">
        <v>511.65</v>
      </c>
      <c r="M2185" s="21" t="n">
        <v>680</v>
      </c>
    </row>
    <row r="2186">
      <c r="A2186" s="9" t="inlineStr">
        <is>
          <t>HAIFENG</t>
        </is>
      </c>
      <c r="B2186" s="9" t="inlineStr">
        <is>
          <t>HAIFENG 05/02/2026</t>
        </is>
      </c>
      <c r="C2186" s="9" t="inlineStr">
        <is>
          <t>2026-02-05</t>
        </is>
      </c>
      <c r="D2186" s="9" t="inlineStr">
        <is>
          <t>40154172721645</t>
        </is>
      </c>
      <c r="E2186" s="9" t="inlineStr">
        <is>
          <t>COLLAR T ENVOLVENTE</t>
        </is>
      </c>
      <c r="F2186" s="9" t="inlineStr">
        <is>
          <t>Default Title</t>
        </is>
      </c>
      <c r="G2186" s="9" t="n">
        <v>3</v>
      </c>
      <c r="H2186" s="21" t="n">
        <v>12</v>
      </c>
      <c r="I2186" s="21" t="n">
        <v>256.25</v>
      </c>
      <c r="J2186" s="21" t="n">
        <v>768.75</v>
      </c>
      <c r="K2186" s="21" t="n">
        <v>896.88</v>
      </c>
      <c r="L2186" s="21" t="n">
        <v>1025.01</v>
      </c>
      <c r="M2186" s="21" t="n">
        <v>999</v>
      </c>
    </row>
    <row r="2187">
      <c r="A2187" s="9" t="inlineStr">
        <is>
          <t>HAIFENG</t>
        </is>
      </c>
      <c r="B2187" s="9" t="inlineStr">
        <is>
          <t>HAIFENG 05/02/2026</t>
        </is>
      </c>
      <c r="C2187" s="9" t="inlineStr">
        <is>
          <t>2026-02-05</t>
        </is>
      </c>
      <c r="D2187" s="9" t="inlineStr">
        <is>
          <t>40154171145741</t>
        </is>
      </c>
      <c r="E2187" s="9" t="inlineStr">
        <is>
          <t>COLLAR T ESLABONES HARDWEAR</t>
        </is>
      </c>
      <c r="F2187" s="9" t="inlineStr">
        <is>
          <t>Default Title</t>
        </is>
      </c>
      <c r="G2187" s="9" t="n">
        <v>3</v>
      </c>
      <c r="H2187" s="21" t="n">
        <v>7</v>
      </c>
      <c r="I2187" s="21" t="n">
        <v>149.48</v>
      </c>
      <c r="J2187" s="21" t="n">
        <v>448.44</v>
      </c>
      <c r="K2187" s="21" t="n">
        <v>523.1799999999999</v>
      </c>
      <c r="L2187" s="21" t="n">
        <v>597.92</v>
      </c>
      <c r="M2187" s="21" t="n">
        <v>599</v>
      </c>
    </row>
    <row r="2188">
      <c r="A2188" s="9" t="inlineStr">
        <is>
          <t>HAIFENG</t>
        </is>
      </c>
      <c r="B2188" s="9" t="inlineStr">
        <is>
          <t>HAIFENG 05/02/2026</t>
        </is>
      </c>
      <c r="C2188" s="9" t="inlineStr">
        <is>
          <t>2026-02-05</t>
        </is>
      </c>
      <c r="D2188" s="9" t="inlineStr">
        <is>
          <t>15104863162605</t>
        </is>
      </c>
      <c r="E2188" s="9" t="inlineStr">
        <is>
          <t>COLLAR T KEY HEART</t>
        </is>
      </c>
      <c r="F2188" s="9" t="inlineStr">
        <is>
          <t>Default Title</t>
        </is>
      </c>
      <c r="G2188" s="9" t="n">
        <v>3</v>
      </c>
      <c r="H2188" s="21" t="n">
        <v>7.5</v>
      </c>
      <c r="I2188" s="21" t="n">
        <v>160.16</v>
      </c>
      <c r="J2188" s="21" t="n">
        <v>480.47</v>
      </c>
      <c r="K2188" s="21" t="n">
        <v>560.55</v>
      </c>
      <c r="L2188" s="21" t="n">
        <v>640.63</v>
      </c>
      <c r="M2188" s="21" t="n">
        <v>750</v>
      </c>
    </row>
    <row r="2189">
      <c r="A2189" s="9" t="inlineStr">
        <is>
          <t>HAIFENG</t>
        </is>
      </c>
      <c r="B2189" s="9" t="inlineStr">
        <is>
          <t>HAIFENG 05/02/2026</t>
        </is>
      </c>
      <c r="C2189" s="9" t="inlineStr">
        <is>
          <t>2026-02-05</t>
        </is>
      </c>
      <c r="D2189" s="9" t="inlineStr">
        <is>
          <t>40154171040653</t>
        </is>
      </c>
      <c r="E2189" s="9" t="inlineStr">
        <is>
          <t>COLLAR T OPEN HEART PERETTI</t>
        </is>
      </c>
      <c r="F2189" s="9" t="inlineStr">
        <is>
          <t>Default Title</t>
        </is>
      </c>
      <c r="G2189" s="9" t="n">
        <v>3</v>
      </c>
      <c r="H2189" s="21" t="n">
        <v>10</v>
      </c>
      <c r="I2189" s="21" t="n">
        <v>213.54</v>
      </c>
      <c r="J2189" s="21" t="n">
        <v>640.63</v>
      </c>
      <c r="K2189" s="21" t="n">
        <v>747.4</v>
      </c>
      <c r="L2189" s="21" t="n">
        <v>854.17</v>
      </c>
      <c r="M2189" s="21" t="n">
        <v>850</v>
      </c>
    </row>
    <row r="2190">
      <c r="A2190" s="9" t="inlineStr">
        <is>
          <t>HAIFENG</t>
        </is>
      </c>
      <c r="B2190" s="9" t="inlineStr">
        <is>
          <t>HAIFENG 05/02/2026</t>
        </is>
      </c>
      <c r="C2190" s="9" t="inlineStr">
        <is>
          <t>2026-02-05</t>
        </is>
      </c>
      <c r="D2190" s="9" t="inlineStr">
        <is>
          <t>22064322217229</t>
        </is>
      </c>
      <c r="E2190" s="9" t="inlineStr">
        <is>
          <t>LENTES F LOGO</t>
        </is>
      </c>
      <c r="F2190" s="9" t="inlineStr">
        <is>
          <t>Default Title</t>
        </is>
      </c>
      <c r="G2190" s="9" t="n">
        <v>2</v>
      </c>
      <c r="H2190" s="21" t="n">
        <v>30</v>
      </c>
      <c r="I2190" s="21" t="n">
        <v>640.63</v>
      </c>
      <c r="J2190" s="21" t="n">
        <v>1921.89</v>
      </c>
      <c r="K2190" s="21" t="n">
        <v>2242.2</v>
      </c>
      <c r="L2190" s="21" t="n">
        <v>2562.52</v>
      </c>
      <c r="M2190" s="21" t="n">
        <v>2500</v>
      </c>
    </row>
    <row r="2191">
      <c r="A2191" s="9" t="inlineStr">
        <is>
          <t>HAIFENG</t>
        </is>
      </c>
      <c r="B2191" s="9" t="inlineStr">
        <is>
          <t>HAIFENG 05/02/2026</t>
        </is>
      </c>
      <c r="C2191" s="9" t="inlineStr">
        <is>
          <t>2026-02-05</t>
        </is>
      </c>
      <c r="D2191" s="9" t="inlineStr">
        <is>
          <t>22064322363565</t>
        </is>
      </c>
      <c r="E2191" s="9" t="inlineStr">
        <is>
          <t>LENTES LV SQUARE</t>
        </is>
      </c>
      <c r="F2191" s="9" t="inlineStr">
        <is>
          <t>Default Title</t>
        </is>
      </c>
      <c r="G2191" s="9" t="n">
        <v>2</v>
      </c>
      <c r="H2191" s="21" t="n">
        <v>58</v>
      </c>
      <c r="I2191" s="21" t="n">
        <v>1238.55</v>
      </c>
      <c r="J2191" s="21" t="n">
        <v>3715.65</v>
      </c>
      <c r="K2191" s="21" t="n">
        <v>4334.92</v>
      </c>
      <c r="L2191" s="21" t="n">
        <v>4954.2</v>
      </c>
      <c r="M2191" s="21" t="n">
        <v>4799</v>
      </c>
    </row>
    <row r="2192">
      <c r="A2192" s="9" t="inlineStr">
        <is>
          <t>HAIFENG</t>
        </is>
      </c>
      <c r="B2192" s="9" t="inlineStr">
        <is>
          <t>HAIFENG 05/02/2026</t>
        </is>
      </c>
      <c r="C2192" s="9" t="inlineStr">
        <is>
          <t>2026-02-05</t>
        </is>
      </c>
      <c r="D2192" s="9" t="inlineStr">
        <is>
          <t>22064322466957</t>
        </is>
      </c>
      <c r="E2192" s="9" t="inlineStr">
        <is>
          <t>LENTES MM RUNWAY</t>
        </is>
      </c>
      <c r="F2192" s="9" t="inlineStr">
        <is>
          <t>Default Title</t>
        </is>
      </c>
      <c r="G2192" s="9" t="n">
        <v>2</v>
      </c>
      <c r="H2192" s="21" t="n">
        <v>35</v>
      </c>
      <c r="I2192" s="21" t="n">
        <v>747.4</v>
      </c>
      <c r="J2192" s="21" t="n">
        <v>2242.2</v>
      </c>
      <c r="K2192" s="21" t="n">
        <v>2615.9</v>
      </c>
      <c r="L2192" s="21" t="n">
        <v>2989.6</v>
      </c>
      <c r="M2192" s="21" t="n">
        <v>2899</v>
      </c>
    </row>
    <row r="2193">
      <c r="A2193" s="9" t="inlineStr">
        <is>
          <t>HAIFENG</t>
        </is>
      </c>
      <c r="B2193" s="9" t="inlineStr">
        <is>
          <t>HAIFENG 05/02/2026</t>
        </is>
      </c>
      <c r="C2193" s="9" t="inlineStr">
        <is>
          <t>2026-02-05</t>
        </is>
      </c>
      <c r="D2193" s="9" t="inlineStr">
        <is>
          <t>29736661018765</t>
        </is>
      </c>
      <c r="E2193" s="9" t="inlineStr">
        <is>
          <t>PULSERA CD D-LUCK GOLD</t>
        </is>
      </c>
      <c r="F2193" s="9" t="inlineStr">
        <is>
          <t>Default Title</t>
        </is>
      </c>
      <c r="G2193" s="9" t="n">
        <v>2</v>
      </c>
      <c r="H2193" s="21" t="n">
        <v>18</v>
      </c>
      <c r="I2193" s="21" t="n">
        <v>384.38</v>
      </c>
      <c r="J2193" s="21" t="n">
        <v>1153.13</v>
      </c>
      <c r="K2193" s="21" t="n">
        <v>1345.32</v>
      </c>
      <c r="L2193" s="21" t="n">
        <v>1537.51</v>
      </c>
      <c r="M2193" s="21" t="n">
        <v>963</v>
      </c>
    </row>
    <row r="2194">
      <c r="A2194" s="9" t="inlineStr">
        <is>
          <t>HAIFENG</t>
        </is>
      </c>
      <c r="B2194" s="9" t="inlineStr">
        <is>
          <t>HAIFENG 05/02/2026</t>
        </is>
      </c>
      <c r="C2194" s="9" t="inlineStr">
        <is>
          <t>2026-02-05</t>
        </is>
      </c>
      <c r="D2194" s="9" t="inlineStr">
        <is>
          <t>35432872862253</t>
        </is>
      </c>
      <c r="E2194" s="9" t="inlineStr">
        <is>
          <t>PULSERA CD D-LUCK GOLD WHITE</t>
        </is>
      </c>
      <c r="F2194" s="9" t="inlineStr">
        <is>
          <t>Default Title</t>
        </is>
      </c>
      <c r="G2194" s="9" t="n">
        <v>2</v>
      </c>
      <c r="H2194" s="21" t="n">
        <v>18</v>
      </c>
      <c r="I2194" s="21" t="n">
        <v>384.38</v>
      </c>
      <c r="J2194" s="21" t="n">
        <v>1153.13</v>
      </c>
      <c r="K2194" s="21" t="n">
        <v>1345.32</v>
      </c>
      <c r="L2194" s="21" t="n">
        <v>1537.51</v>
      </c>
      <c r="M2194" s="21" t="n">
        <v>1483</v>
      </c>
    </row>
    <row r="2195">
      <c r="A2195" s="9" t="inlineStr">
        <is>
          <t>HAIFENG</t>
        </is>
      </c>
      <c r="B2195" s="9" t="inlineStr">
        <is>
          <t>HAIFENG 05/02/2026</t>
        </is>
      </c>
      <c r="C2195" s="9" t="inlineStr">
        <is>
          <t>2026-02-05</t>
        </is>
      </c>
      <c r="D2195" s="9" t="inlineStr">
        <is>
          <t>29736661383277</t>
        </is>
      </c>
      <c r="E2195" s="9" t="inlineStr">
        <is>
          <t>PULSERA CD PETIT CIRCLE GOLD</t>
        </is>
      </c>
      <c r="F2195" s="9" t="inlineStr">
        <is>
          <t>Default Title</t>
        </is>
      </c>
      <c r="G2195" s="9" t="n">
        <v>3</v>
      </c>
      <c r="H2195" s="21" t="n">
        <v>7</v>
      </c>
      <c r="I2195" s="21" t="n">
        <v>149.48</v>
      </c>
      <c r="J2195" s="21" t="n">
        <v>448.44</v>
      </c>
      <c r="K2195" s="21" t="n">
        <v>523.1799999999999</v>
      </c>
      <c r="L2195" s="21" t="n">
        <v>597.92</v>
      </c>
      <c r="M2195" s="21" t="n">
        <v>580</v>
      </c>
    </row>
    <row r="2196">
      <c r="A2196" s="9" t="inlineStr">
        <is>
          <t>HAIFENG</t>
        </is>
      </c>
      <c r="B2196" s="9" t="inlineStr">
        <is>
          <t>HAIFENG 05/02/2026</t>
        </is>
      </c>
      <c r="C2196" s="9" t="inlineStr">
        <is>
          <t>2026-02-05</t>
        </is>
      </c>
      <c r="D2196" s="9" t="inlineStr">
        <is>
          <t>29736661267949</t>
        </is>
      </c>
      <c r="E2196" s="9" t="inlineStr">
        <is>
          <t>PULSERA CD PETIT JOLIE METAL GOLD</t>
        </is>
      </c>
      <c r="F2196" s="9" t="inlineStr">
        <is>
          <t>Default Title</t>
        </is>
      </c>
      <c r="G2196" s="9" t="n">
        <v>3</v>
      </c>
      <c r="H2196" s="21" t="n">
        <v>10</v>
      </c>
      <c r="I2196" s="21" t="n">
        <v>213.54</v>
      </c>
      <c r="J2196" s="21" t="n">
        <v>640.63</v>
      </c>
      <c r="K2196" s="21" t="n">
        <v>747.4</v>
      </c>
      <c r="L2196" s="21" t="n">
        <v>854.17</v>
      </c>
      <c r="M2196" s="21" t="n">
        <v>850</v>
      </c>
    </row>
    <row r="2197">
      <c r="A2197" s="9" t="inlineStr">
        <is>
          <t>HAIFENG</t>
        </is>
      </c>
      <c r="B2197" s="9" t="inlineStr">
        <is>
          <t>HAIFENG 05/02/2026</t>
        </is>
      </c>
      <c r="C2197" s="9" t="inlineStr">
        <is>
          <t>2026-02-05</t>
        </is>
      </c>
      <c r="D2197" s="9" t="inlineStr">
        <is>
          <t>40154171618669</t>
        </is>
      </c>
      <c r="E2197" s="9" t="inlineStr">
        <is>
          <t>PULSERA CLAIRE D LUNE DOBLE SILVER</t>
        </is>
      </c>
      <c r="F2197" s="9" t="inlineStr">
        <is>
          <t>Default Title</t>
        </is>
      </c>
      <c r="G2197" s="9" t="n">
        <v>3</v>
      </c>
      <c r="H2197" s="21" t="n">
        <v>6</v>
      </c>
      <c r="I2197" s="21" t="n">
        <v>128.13</v>
      </c>
      <c r="J2197" s="21" t="n">
        <v>384.38</v>
      </c>
      <c r="K2197" s="21" t="n">
        <v>448.44</v>
      </c>
      <c r="L2197" s="21" t="n">
        <v>512.5</v>
      </c>
      <c r="M2197" s="21" t="n">
        <v>499</v>
      </c>
    </row>
    <row r="2198">
      <c r="A2198" s="9" t="inlineStr">
        <is>
          <t>HAIFENG</t>
        </is>
      </c>
      <c r="B2198" s="9" t="inlineStr">
        <is>
          <t>HAIFENG 05/02/2026</t>
        </is>
      </c>
      <c r="C2198" s="9" t="inlineStr">
        <is>
          <t>2026-02-05</t>
        </is>
      </c>
      <c r="D2198" s="9" t="inlineStr">
        <is>
          <t>22064323912749</t>
        </is>
      </c>
      <c r="E2198" s="9" t="inlineStr">
        <is>
          <t>PULSERA HEART ROSE GOLD</t>
        </is>
      </c>
      <c r="F2198" s="9" t="inlineStr">
        <is>
          <t>Default Title</t>
        </is>
      </c>
      <c r="G2198" s="9" t="n">
        <v>3</v>
      </c>
      <c r="H2198" s="21" t="n">
        <v>4</v>
      </c>
      <c r="I2198" s="21" t="n">
        <v>85.42</v>
      </c>
      <c r="J2198" s="21" t="n">
        <v>256.25</v>
      </c>
      <c r="K2198" s="21" t="n">
        <v>298.96</v>
      </c>
      <c r="L2198" s="21" t="n">
        <v>341.67</v>
      </c>
      <c r="M2198" s="21" t="n">
        <v>499</v>
      </c>
    </row>
    <row r="2199">
      <c r="A2199" s="9" t="inlineStr">
        <is>
          <t>HAIFENG</t>
        </is>
      </c>
      <c r="B2199" s="9" t="inlineStr">
        <is>
          <t>HAIFENG 05/02/2026</t>
        </is>
      </c>
      <c r="C2199" s="9" t="inlineStr">
        <is>
          <t>2026-02-05</t>
        </is>
      </c>
      <c r="D2199" s="9" t="inlineStr">
        <is>
          <t>40154171869549</t>
        </is>
      </c>
      <c r="E2199" s="9" t="inlineStr">
        <is>
          <t>PULSERA KNOT CADENA ROSE GOLD</t>
        </is>
      </c>
      <c r="F2199" s="9" t="inlineStr">
        <is>
          <t>Default Title</t>
        </is>
      </c>
      <c r="G2199" s="9" t="n">
        <v>3</v>
      </c>
      <c r="H2199" s="21" t="n">
        <v>7</v>
      </c>
      <c r="I2199" s="21" t="n">
        <v>149.48</v>
      </c>
      <c r="J2199" s="21" t="n">
        <v>448.44</v>
      </c>
      <c r="K2199" s="21" t="n">
        <v>523.1799999999999</v>
      </c>
      <c r="L2199" s="21" t="n">
        <v>597.92</v>
      </c>
      <c r="M2199" s="21" t="n">
        <v>576.8</v>
      </c>
    </row>
    <row r="2200">
      <c r="A2200" s="9" t="inlineStr">
        <is>
          <t>HAIFENG</t>
        </is>
      </c>
      <c r="B2200" s="9" t="inlineStr">
        <is>
          <t>HAIFENG 05/02/2026</t>
        </is>
      </c>
      <c r="C2200" s="9" t="inlineStr">
        <is>
          <t>2026-02-05</t>
        </is>
      </c>
      <c r="D2200" s="9" t="inlineStr">
        <is>
          <t>40154171489837</t>
        </is>
      </c>
      <c r="E2200" s="9" t="inlineStr">
        <is>
          <t>PULSERA LOVE SILVER LOVE ROSE GOLD</t>
        </is>
      </c>
      <c r="F2200" s="9" t="inlineStr">
        <is>
          <t>Default Title</t>
        </is>
      </c>
      <c r="G2200" s="9" t="n">
        <v>3</v>
      </c>
      <c r="H2200" s="21" t="n">
        <v>6</v>
      </c>
      <c r="I2200" s="21" t="n">
        <v>128.13</v>
      </c>
      <c r="J2200" s="21" t="n">
        <v>384.38</v>
      </c>
      <c r="K2200" s="21" t="n">
        <v>448.44</v>
      </c>
      <c r="L2200" s="21" t="n">
        <v>512.5</v>
      </c>
      <c r="M2200" s="21" t="n">
        <v>990</v>
      </c>
    </row>
    <row r="2201">
      <c r="A2201" s="9" t="inlineStr">
        <is>
          <t>HAIFENG</t>
        </is>
      </c>
      <c r="B2201" s="9" t="inlineStr">
        <is>
          <t>HAIFENG 05/02/2026</t>
        </is>
      </c>
      <c r="C2201" s="9" t="inlineStr">
        <is>
          <t>2026-02-05</t>
        </is>
      </c>
      <c r="D2201" s="9" t="inlineStr">
        <is>
          <t>22064321131885</t>
        </is>
      </c>
      <c r="E2201" s="9" t="inlineStr">
        <is>
          <t>PULSERA LOVE SILVER-BLACK MICROZIRCONIAS</t>
        </is>
      </c>
      <c r="F2201" s="9" t="inlineStr">
        <is>
          <t>17CM</t>
        </is>
      </c>
      <c r="G2201" s="9" t="n">
        <v>2</v>
      </c>
      <c r="H2201" s="21" t="n">
        <v>25</v>
      </c>
      <c r="I2201" s="21" t="n">
        <v>533.86</v>
      </c>
      <c r="J2201" s="21" t="n">
        <v>1601.57</v>
      </c>
      <c r="K2201" s="21" t="n">
        <v>1868.5</v>
      </c>
      <c r="L2201" s="21" t="n">
        <v>2135.43</v>
      </c>
      <c r="M2201" s="21" t="n">
        <v>2060</v>
      </c>
    </row>
    <row r="2202">
      <c r="A2202" s="9" t="inlineStr">
        <is>
          <t>HAIFENG</t>
        </is>
      </c>
      <c r="B2202" s="9" t="inlineStr">
        <is>
          <t>HAIFENG 05/02/2026</t>
        </is>
      </c>
      <c r="C2202" s="9" t="inlineStr">
        <is>
          <t>2026-02-05</t>
        </is>
      </c>
      <c r="D2202" s="9" t="inlineStr">
        <is>
          <t>22064321264653</t>
        </is>
      </c>
      <c r="E2202" s="9" t="inlineStr">
        <is>
          <t>PULSERA LOVE SILVER-BLACK MICROZIRCONIAS</t>
        </is>
      </c>
      <c r="F2202" s="9" t="inlineStr">
        <is>
          <t>18CM</t>
        </is>
      </c>
      <c r="G2202" s="9" t="n">
        <v>2</v>
      </c>
      <c r="H2202" s="21" t="n">
        <v>25</v>
      </c>
      <c r="I2202" s="21" t="n">
        <v>533.86</v>
      </c>
      <c r="J2202" s="21" t="n">
        <v>1601.57</v>
      </c>
      <c r="K2202" s="21" t="n">
        <v>1868.5</v>
      </c>
      <c r="L2202" s="21" t="n">
        <v>2135.43</v>
      </c>
      <c r="M2202" s="21" t="n">
        <v>2060</v>
      </c>
    </row>
    <row r="2203">
      <c r="A2203" s="9" t="inlineStr">
        <is>
          <t>HAIFENG</t>
        </is>
      </c>
      <c r="B2203" s="9" t="inlineStr">
        <is>
          <t>HAIFENG 05/02/2026</t>
        </is>
      </c>
      <c r="C2203" s="9" t="inlineStr">
        <is>
          <t>2026-02-05</t>
        </is>
      </c>
      <c r="D2203" s="9" t="inlineStr">
        <is>
          <t>22064321560717</t>
        </is>
      </c>
      <c r="E2203" s="9" t="inlineStr">
        <is>
          <t>PULSERA LOVE-LOVE GOLD ZIRCONIAS</t>
        </is>
      </c>
      <c r="F2203" s="9" t="inlineStr">
        <is>
          <t>Default Title</t>
        </is>
      </c>
      <c r="G2203" s="9" t="n">
        <v>3</v>
      </c>
      <c r="H2203" s="21" t="n">
        <v>5</v>
      </c>
      <c r="I2203" s="21" t="n">
        <v>106.77</v>
      </c>
      <c r="J2203" s="21" t="n">
        <v>320.31</v>
      </c>
      <c r="K2203" s="21" t="n">
        <v>373.7</v>
      </c>
      <c r="L2203" s="21" t="n">
        <v>427.09</v>
      </c>
      <c r="M2203" s="21" t="n">
        <v>450</v>
      </c>
    </row>
    <row r="2204">
      <c r="A2204" s="9" t="inlineStr">
        <is>
          <t>HAIFENG</t>
        </is>
      </c>
      <c r="B2204" s="9" t="inlineStr">
        <is>
          <t>HAIFENG 05/02/2026</t>
        </is>
      </c>
      <c r="C2204" s="9" t="inlineStr">
        <is>
          <t>2026-02-05</t>
        </is>
      </c>
      <c r="D2204" s="9" t="inlineStr">
        <is>
          <t>87401991025249</t>
        </is>
      </c>
      <c r="E2204" s="9" t="inlineStr">
        <is>
          <t>PULSERA LOVESTRUCK</t>
        </is>
      </c>
      <c r="F2204" s="9" t="inlineStr">
        <is>
          <t>18 cm</t>
        </is>
      </c>
      <c r="G2204" s="9" t="n">
        <v>1</v>
      </c>
      <c r="H2204" s="21" t="n">
        <v>6</v>
      </c>
      <c r="I2204" s="21" t="n">
        <v>128.13</v>
      </c>
      <c r="J2204" s="21" t="n">
        <v>384.38</v>
      </c>
      <c r="K2204" s="21" t="n">
        <v>448.44</v>
      </c>
      <c r="L2204" s="21" t="n">
        <v>512.5</v>
      </c>
      <c r="M2204" s="21" t="n">
        <v>850</v>
      </c>
    </row>
    <row r="2205">
      <c r="A2205" s="9" t="inlineStr">
        <is>
          <t>HAIFENG</t>
        </is>
      </c>
      <c r="B2205" s="9" t="inlineStr">
        <is>
          <t>HAIFENG 05/02/2026</t>
        </is>
      </c>
      <c r="C2205" s="9" t="inlineStr">
        <is>
          <t>2026-02-05</t>
        </is>
      </c>
      <c r="D2205" s="9" t="inlineStr">
        <is>
          <t>15104861653453</t>
        </is>
      </c>
      <c r="E2205" s="9" t="inlineStr">
        <is>
          <t>PULSERA LV BLOSSOM ROSE GOLD RED</t>
        </is>
      </c>
      <c r="F2205" s="9" t="inlineStr">
        <is>
          <t>Default Title</t>
        </is>
      </c>
      <c r="G2205" s="9" t="n">
        <v>2</v>
      </c>
      <c r="H2205" s="21" t="n">
        <v>11</v>
      </c>
      <c r="I2205" s="21" t="n">
        <v>234.9</v>
      </c>
      <c r="J2205" s="21" t="n">
        <v>704.6900000000001</v>
      </c>
      <c r="K2205" s="21" t="n">
        <v>822.14</v>
      </c>
      <c r="L2205" s="21" t="n">
        <v>939.59</v>
      </c>
      <c r="M2205" s="21" t="n">
        <v>1199</v>
      </c>
    </row>
    <row r="2206">
      <c r="A2206" s="9" t="inlineStr">
        <is>
          <t>HAIFENG</t>
        </is>
      </c>
      <c r="B2206" s="9" t="inlineStr">
        <is>
          <t>HAIFENG 05/02/2026</t>
        </is>
      </c>
      <c r="C2206" s="9" t="inlineStr">
        <is>
          <t>2026-02-05</t>
        </is>
      </c>
      <c r="D2206" s="9" t="inlineStr">
        <is>
          <t>15104861720685</t>
        </is>
      </c>
      <c r="E2206" s="9" t="inlineStr">
        <is>
          <t>PULSERA LV SILVER LOGOS PEARL</t>
        </is>
      </c>
      <c r="F2206" s="9" t="inlineStr">
        <is>
          <t>Default Title</t>
        </is>
      </c>
      <c r="G2206" s="9" t="n">
        <v>2</v>
      </c>
      <c r="H2206" s="21" t="n">
        <v>13</v>
      </c>
      <c r="I2206" s="21" t="n">
        <v>277.61</v>
      </c>
      <c r="J2206" s="21" t="n">
        <v>832.8200000000001</v>
      </c>
      <c r="K2206" s="21" t="n">
        <v>971.62</v>
      </c>
      <c r="L2206" s="21" t="n">
        <v>1110.42</v>
      </c>
      <c r="M2206" s="21" t="n">
        <v>1071.2</v>
      </c>
    </row>
    <row r="2207">
      <c r="A2207" s="9" t="inlineStr">
        <is>
          <t>HAIFENG</t>
        </is>
      </c>
      <c r="B2207" s="9" t="inlineStr">
        <is>
          <t>HAIFENG 05/02/2026</t>
        </is>
      </c>
      <c r="C2207" s="9" t="inlineStr">
        <is>
          <t>2026-02-05</t>
        </is>
      </c>
      <c r="D2207" s="9" t="inlineStr">
        <is>
          <t>83391721047053</t>
        </is>
      </c>
      <c r="E2207" s="9" t="inlineStr">
        <is>
          <t>PULSERA SMILE ROSE GOLD CON ZIRCONIAS</t>
        </is>
      </c>
      <c r="F2207" s="9" t="inlineStr">
        <is>
          <t>Default Title</t>
        </is>
      </c>
      <c r="G2207" s="9" t="n">
        <v>2</v>
      </c>
      <c r="H2207" s="21" t="n">
        <v>7.5</v>
      </c>
      <c r="I2207" s="21" t="n">
        <v>160.16</v>
      </c>
      <c r="J2207" s="21" t="n">
        <v>480.47</v>
      </c>
      <c r="K2207" s="21" t="n">
        <v>560.55</v>
      </c>
      <c r="L2207" s="21" t="n">
        <v>640.63</v>
      </c>
      <c r="M2207" s="21" t="n">
        <v>618</v>
      </c>
    </row>
    <row r="2208">
      <c r="A2208" s="9" t="inlineStr">
        <is>
          <t>HAIFENG</t>
        </is>
      </c>
      <c r="B2208" s="9" t="inlineStr">
        <is>
          <t>HAIFENG 05/02/2026</t>
        </is>
      </c>
      <c r="C2208" s="9" t="inlineStr">
        <is>
          <t>2026-02-05</t>
        </is>
      </c>
      <c r="D2208" s="9" t="inlineStr">
        <is>
          <t>83391731114285</t>
        </is>
      </c>
      <c r="E2208" s="9" t="inlineStr">
        <is>
          <t>PULSERA SMILE SILVER CON ZIRCONIAS</t>
        </is>
      </c>
      <c r="F2208" s="9" t="inlineStr">
        <is>
          <t>Default Title</t>
        </is>
      </c>
      <c r="G2208" s="9" t="n">
        <v>2</v>
      </c>
      <c r="H2208" s="21" t="n">
        <v>7.5</v>
      </c>
      <c r="I2208" s="21" t="n">
        <v>160.16</v>
      </c>
      <c r="J2208" s="21" t="n">
        <v>480.47</v>
      </c>
      <c r="K2208" s="21" t="n">
        <v>560.55</v>
      </c>
      <c r="L2208" s="21" t="n">
        <v>640.63</v>
      </c>
      <c r="M2208" s="21" t="n">
        <v>649</v>
      </c>
    </row>
    <row r="2209">
      <c r="A2209" s="9" t="inlineStr">
        <is>
          <t>HAIFENG</t>
        </is>
      </c>
      <c r="B2209" s="9" t="inlineStr">
        <is>
          <t>HAIFENG 05/02/2026</t>
        </is>
      </c>
      <c r="C2209" s="9" t="inlineStr">
        <is>
          <t>2026-02-05</t>
        </is>
      </c>
      <c r="D2209" s="9" t="inlineStr">
        <is>
          <t>668eeccf75387</t>
        </is>
      </c>
      <c r="E2209" s="9" t="inlineStr">
        <is>
          <t>PULSERA T DORADA ZIRCONIA</t>
        </is>
      </c>
      <c r="F2209" s="9" t="inlineStr">
        <is>
          <t>16 cm</t>
        </is>
      </c>
      <c r="G2209" s="9" t="n">
        <v>3</v>
      </c>
      <c r="H2209" s="21" t="n">
        <v>5</v>
      </c>
      <c r="I2209" s="21" t="n">
        <v>106.77</v>
      </c>
      <c r="J2209" s="21" t="n">
        <v>320.31</v>
      </c>
      <c r="K2209" s="21" t="n">
        <v>373.7</v>
      </c>
      <c r="L2209" s="21" t="n">
        <v>427.09</v>
      </c>
      <c r="M2209" s="21" t="n">
        <v>499</v>
      </c>
    </row>
    <row r="2210">
      <c r="A2210" s="9" t="inlineStr">
        <is>
          <t>HAIFENG</t>
        </is>
      </c>
      <c r="B2210" s="9" t="inlineStr">
        <is>
          <t>HAIFENG 05/02/2026</t>
        </is>
      </c>
      <c r="C2210" s="9" t="inlineStr">
        <is>
          <t>2026-02-05</t>
        </is>
      </c>
      <c r="D2210" s="9" t="inlineStr">
        <is>
          <t>15104863595501</t>
        </is>
      </c>
      <c r="E2210" s="9" t="inlineStr">
        <is>
          <t>PULSERA T HEART</t>
        </is>
      </c>
      <c r="F2210" s="9" t="inlineStr">
        <is>
          <t>Default Title</t>
        </is>
      </c>
      <c r="G2210" s="9" t="n">
        <v>3</v>
      </c>
      <c r="H2210" s="21" t="n">
        <v>7</v>
      </c>
      <c r="I2210" s="21" t="n">
        <v>149.48</v>
      </c>
      <c r="J2210" s="21" t="n">
        <v>448.44</v>
      </c>
      <c r="K2210" s="21" t="n">
        <v>523.1799999999999</v>
      </c>
      <c r="L2210" s="21" t="n">
        <v>597.92</v>
      </c>
      <c r="M2210" s="21" t="n">
        <v>599</v>
      </c>
    </row>
    <row r="2211">
      <c r="A2211" s="9" t="inlineStr">
        <is>
          <t>HAIFENG</t>
        </is>
      </c>
      <c r="B2211" s="9" t="inlineStr">
        <is>
          <t>HAIFENG 05/02/2026</t>
        </is>
      </c>
      <c r="C2211" s="9" t="inlineStr">
        <is>
          <t>2026-02-05</t>
        </is>
      </c>
      <c r="D2211" s="9" t="inlineStr">
        <is>
          <t>40154172642541</t>
        </is>
      </c>
      <c r="E2211" s="9" t="inlineStr">
        <is>
          <t>PULSERA T ROSE GOLD PEARL ZIRCONIAS</t>
        </is>
      </c>
      <c r="F2211" s="9" t="inlineStr">
        <is>
          <t>Default Title</t>
        </is>
      </c>
      <c r="G2211" s="9" t="n">
        <v>3</v>
      </c>
      <c r="H2211" s="21" t="n">
        <v>6</v>
      </c>
      <c r="I2211" s="21" t="n">
        <v>128.13</v>
      </c>
      <c r="J2211" s="21" t="n">
        <v>384.38</v>
      </c>
      <c r="K2211" s="21" t="n">
        <v>448.44</v>
      </c>
      <c r="L2211" s="21" t="n">
        <v>512.5</v>
      </c>
      <c r="M2211" s="21" t="n">
        <v>500</v>
      </c>
    </row>
    <row r="2212">
      <c r="A2212" s="9" t="inlineStr">
        <is>
          <t>HAIFENG</t>
        </is>
      </c>
      <c r="B2212" s="9" t="inlineStr">
        <is>
          <t>HAIFENG 05/02/2026</t>
        </is>
      </c>
      <c r="C2212" s="9" t="inlineStr">
        <is>
          <t>2026-02-05</t>
        </is>
      </c>
      <c r="D2212" s="9" t="inlineStr">
        <is>
          <t>22064324357101</t>
        </is>
      </c>
      <c r="E2212" s="9" t="inlineStr">
        <is>
          <t>PULSERA T SILVER PADLOCK</t>
        </is>
      </c>
      <c r="F2212" s="9" t="inlineStr">
        <is>
          <t>Default Title</t>
        </is>
      </c>
      <c r="G2212" s="9" t="n">
        <v>2</v>
      </c>
      <c r="H2212" s="21" t="n">
        <v>6</v>
      </c>
      <c r="I2212" s="21" t="n">
        <v>128.13</v>
      </c>
      <c r="J2212" s="21" t="n">
        <v>384.38</v>
      </c>
      <c r="K2212" s="21" t="n">
        <v>448.44</v>
      </c>
      <c r="L2212" s="21" t="n">
        <v>512.5</v>
      </c>
      <c r="M2212" s="21" t="n">
        <v>499</v>
      </c>
    </row>
    <row r="2213">
      <c r="A2213" s="9" t="inlineStr">
        <is>
          <t>DINA DU</t>
        </is>
      </c>
      <c r="B2213" s="9" t="inlineStr">
        <is>
          <t>DINA DU 06/02/2026</t>
        </is>
      </c>
      <c r="C2213" s="9" t="inlineStr">
        <is>
          <t>2026-02-06</t>
        </is>
      </c>
      <c r="D2213" s="9" t="inlineStr">
        <is>
          <t>66593bcfaca6f</t>
        </is>
      </c>
      <c r="E2213" s="9" t="inlineStr">
        <is>
          <t>ANILLO MM</t>
        </is>
      </c>
      <c r="F2213" s="9" t="inlineStr">
        <is>
          <t>AJUSTABLE</t>
        </is>
      </c>
      <c r="G2213" s="9" t="n">
        <v>4</v>
      </c>
      <c r="H2213" s="21" t="n">
        <v>2.79</v>
      </c>
      <c r="I2213" s="21" t="n">
        <v>74.55</v>
      </c>
      <c r="J2213" s="21" t="n">
        <v>223.66</v>
      </c>
      <c r="K2213" s="21" t="n">
        <v>260.93</v>
      </c>
      <c r="L2213" s="21" t="n">
        <v>298.21</v>
      </c>
      <c r="M2213" s="21" t="n">
        <v>499</v>
      </c>
    </row>
    <row r="2214">
      <c r="A2214" s="9" t="inlineStr">
        <is>
          <t>DINA DU</t>
        </is>
      </c>
      <c r="B2214" s="9" t="inlineStr">
        <is>
          <t>DINA DU 06/02/2026</t>
        </is>
      </c>
      <c r="C2214" s="9" t="inlineStr">
        <is>
          <t>2026-02-06</t>
        </is>
      </c>
      <c r="D2214" s="9" t="inlineStr">
        <is>
          <t>94956736687244</t>
        </is>
      </c>
      <c r="E2214" s="9" t="inlineStr">
        <is>
          <t>BOLSA MINI POCHETTE LV</t>
        </is>
      </c>
      <c r="F2214" s="9" t="inlineStr">
        <is>
          <t>9cm de alto x 15cm de largo x 3cm de ancho</t>
        </is>
      </c>
      <c r="G2214" s="9" t="n">
        <v>7</v>
      </c>
      <c r="H2214" s="21" t="n">
        <v>22</v>
      </c>
      <c r="I2214" s="21" t="n">
        <v>587.87</v>
      </c>
      <c r="J2214" s="21" t="n">
        <v>1763.61</v>
      </c>
      <c r="K2214" s="21" t="n">
        <v>2057.55</v>
      </c>
      <c r="L2214" s="21" t="n">
        <v>2351.48</v>
      </c>
      <c r="M2214" s="21" t="n">
        <v>2380</v>
      </c>
    </row>
    <row r="2215">
      <c r="A2215" s="9" t="inlineStr">
        <is>
          <t>DINA DU</t>
        </is>
      </c>
      <c r="B2215" s="9" t="inlineStr">
        <is>
          <t>DINA DU 06/02/2026</t>
        </is>
      </c>
      <c r="C2215" s="9" t="inlineStr">
        <is>
          <t>2026-02-06</t>
        </is>
      </c>
      <c r="D2215" s="9" t="inlineStr">
        <is>
          <t>43124008910988</t>
        </is>
      </c>
      <c r="E2215" s="9" t="inlineStr">
        <is>
          <t>BOLSO C CLAUDE</t>
        </is>
      </c>
      <c r="F2215" s="9" t="inlineStr">
        <is>
          <t>13.5cm de alto x 22cm de largo x 5cm de ancho</t>
        </is>
      </c>
      <c r="G2215" s="9" t="n">
        <v>1</v>
      </c>
      <c r="H2215" s="21" t="n">
        <v>45</v>
      </c>
      <c r="I2215" s="21" t="n">
        <v>1202.46</v>
      </c>
      <c r="J2215" s="21" t="n">
        <v>3607.39</v>
      </c>
      <c r="K2215" s="21" t="n">
        <v>4208.62</v>
      </c>
      <c r="L2215" s="21" t="n">
        <v>4809.85</v>
      </c>
      <c r="M2215" s="21" t="n">
        <v>4810</v>
      </c>
    </row>
    <row r="2216">
      <c r="A2216" s="9" t="inlineStr">
        <is>
          <t>DINA DU</t>
        </is>
      </c>
      <c r="B2216" s="9" t="inlineStr">
        <is>
          <t>DINA DU 06/02/2026</t>
        </is>
      </c>
      <c r="C2216" s="9" t="inlineStr">
        <is>
          <t>2026-02-06</t>
        </is>
      </c>
      <c r="D2216" s="9" t="inlineStr">
        <is>
          <t>85367152250157</t>
        </is>
      </c>
      <c r="E2216" s="9" t="inlineStr">
        <is>
          <t>BOLSO C NINO BLACK</t>
        </is>
      </c>
      <c r="F2216" s="9" t="inlineStr">
        <is>
          <t>BLACK/GOLD</t>
        </is>
      </c>
      <c r="G2216" s="9" t="n">
        <v>2</v>
      </c>
      <c r="H2216" s="21" t="n">
        <v>45</v>
      </c>
      <c r="I2216" s="21" t="n">
        <v>1202.46</v>
      </c>
      <c r="J2216" s="21" t="n">
        <v>3607.39</v>
      </c>
      <c r="K2216" s="21" t="n">
        <v>4208.62</v>
      </c>
      <c r="L2216" s="21" t="n">
        <v>4809.85</v>
      </c>
      <c r="M2216" s="21" t="n">
        <v>4210</v>
      </c>
    </row>
    <row r="2217">
      <c r="A2217" s="9" t="inlineStr">
        <is>
          <t>DINA DU</t>
        </is>
      </c>
      <c r="B2217" s="9" t="inlineStr">
        <is>
          <t>DINA DU 06/02/2026</t>
        </is>
      </c>
      <c r="C2217" s="9" t="inlineStr">
        <is>
          <t>2026-02-06</t>
        </is>
      </c>
      <c r="D2217" s="9" t="inlineStr">
        <is>
          <t>85367152384621</t>
        </is>
      </c>
      <c r="E2217" s="9" t="inlineStr">
        <is>
          <t>BOLSO CC BOY BLACK</t>
        </is>
      </c>
      <c r="F2217" s="9" t="inlineStr">
        <is>
          <t>BLACK/GOLD</t>
        </is>
      </c>
      <c r="G2217" s="9" t="n">
        <v>2</v>
      </c>
      <c r="H2217" s="21" t="n">
        <v>15</v>
      </c>
      <c r="I2217" s="21" t="n">
        <v>400.82</v>
      </c>
      <c r="J2217" s="21" t="n">
        <v>1202.46</v>
      </c>
      <c r="K2217" s="21" t="n">
        <v>1402.87</v>
      </c>
      <c r="L2217" s="21" t="n">
        <v>1603.28</v>
      </c>
      <c r="M2217" s="21" t="n">
        <v>2000</v>
      </c>
    </row>
    <row r="2218">
      <c r="A2218" s="9" t="inlineStr">
        <is>
          <t>DINA DU</t>
        </is>
      </c>
      <c r="B2218" s="9" t="inlineStr">
        <is>
          <t>DINA DU 06/02/2026</t>
        </is>
      </c>
      <c r="C2218" s="9" t="inlineStr">
        <is>
          <t>2026-02-06</t>
        </is>
      </c>
      <c r="D2218" s="9" t="inlineStr">
        <is>
          <t>654bdbd5ab77d</t>
        </is>
      </c>
      <c r="E2218" s="9" t="inlineStr">
        <is>
          <t>BOLSO CC BOY MINI BLACK</t>
        </is>
      </c>
      <c r="F2218" s="9" t="inlineStr">
        <is>
          <t>24.8cm de largo x 16cm de alto x 7.5cm de ancho</t>
        </is>
      </c>
      <c r="G2218" s="9" t="n">
        <v>3</v>
      </c>
      <c r="H2218" s="21" t="n">
        <v>15</v>
      </c>
      <c r="I2218" s="21" t="n">
        <v>400.82</v>
      </c>
      <c r="J2218" s="21" t="n">
        <v>1202.46</v>
      </c>
      <c r="K2218" s="21" t="n">
        <v>1402.87</v>
      </c>
      <c r="L2218" s="21" t="n">
        <v>1603.28</v>
      </c>
      <c r="M2218" s="21" t="n">
        <v>1625</v>
      </c>
    </row>
    <row r="2219">
      <c r="A2219" s="9" t="inlineStr">
        <is>
          <t>DINA DU</t>
        </is>
      </c>
      <c r="B2219" s="9" t="inlineStr">
        <is>
          <t>DINA DU 06/02/2026</t>
        </is>
      </c>
      <c r="C2219" s="9" t="inlineStr">
        <is>
          <t>2026-02-06</t>
        </is>
      </c>
      <c r="D2219" s="9" t="inlineStr">
        <is>
          <t>85367152182925</t>
        </is>
      </c>
      <c r="E2219" s="9" t="inlineStr">
        <is>
          <t>BOLSO CC SHINY STAR BLACK</t>
        </is>
      </c>
      <c r="F2219" s="9" t="inlineStr">
        <is>
          <t>BLACK/GOLD</t>
        </is>
      </c>
      <c r="G2219" s="9" t="n">
        <v>2</v>
      </c>
      <c r="H2219" s="21" t="n">
        <v>56</v>
      </c>
      <c r="I2219" s="21" t="n">
        <v>1496.4</v>
      </c>
      <c r="J2219" s="21" t="n">
        <v>4489.19</v>
      </c>
      <c r="K2219" s="21" t="n">
        <v>5237.39</v>
      </c>
      <c r="L2219" s="21" t="n">
        <v>5985.59</v>
      </c>
      <c r="M2219" s="21" t="n">
        <v>5237.39</v>
      </c>
    </row>
    <row r="2220">
      <c r="A2220" s="9" t="inlineStr">
        <is>
          <t>DINA DU</t>
        </is>
      </c>
      <c r="B2220" s="9" t="inlineStr">
        <is>
          <t>DINA DU 06/02/2026</t>
        </is>
      </c>
      <c r="C2220" s="9" t="inlineStr">
        <is>
          <t>2026-02-06</t>
        </is>
      </c>
      <c r="D2220" s="9" t="inlineStr">
        <is>
          <t>85367151372749</t>
        </is>
      </c>
      <c r="E2220" s="9" t="inlineStr">
        <is>
          <t>BOLSO CD MESSENGER SOLAPA</t>
        </is>
      </c>
      <c r="F2220" s="9" t="inlineStr">
        <is>
          <t>BLACK</t>
        </is>
      </c>
      <c r="G2220" s="9" t="n">
        <v>2</v>
      </c>
      <c r="H2220" s="21" t="n">
        <v>43</v>
      </c>
      <c r="I2220" s="21" t="n">
        <v>1149.02</v>
      </c>
      <c r="J2220" s="21" t="n">
        <v>3447.06</v>
      </c>
      <c r="K2220" s="21" t="n">
        <v>4021.57</v>
      </c>
      <c r="L2220" s="21" t="n">
        <v>4596.08</v>
      </c>
      <c r="M2220" s="21" t="n">
        <v>4021.57</v>
      </c>
    </row>
    <row r="2221">
      <c r="A2221" s="9" t="inlineStr">
        <is>
          <t>DINA DU</t>
        </is>
      </c>
      <c r="B2221" s="9" t="inlineStr">
        <is>
          <t>DINA DU 06/02/2026</t>
        </is>
      </c>
      <c r="C2221" s="9" t="inlineStr">
        <is>
          <t>2026-02-06</t>
        </is>
      </c>
      <c r="D2221" s="9" t="inlineStr">
        <is>
          <t>85367151238285</t>
        </is>
      </c>
      <c r="E2221" s="9" t="inlineStr">
        <is>
          <t>BOLSO CD SAFARI OBLIQUE</t>
        </is>
      </c>
      <c r="F2221" s="9" t="inlineStr">
        <is>
          <t>BLACK/BLUE</t>
        </is>
      </c>
      <c r="G2221" s="9" t="n">
        <v>2</v>
      </c>
      <c r="H2221" s="21" t="n">
        <v>48</v>
      </c>
      <c r="I2221" s="21" t="n">
        <v>1282.63</v>
      </c>
      <c r="J2221" s="21" t="n">
        <v>3847.88</v>
      </c>
      <c r="K2221" s="21" t="n">
        <v>4489.19</v>
      </c>
      <c r="L2221" s="21" t="n">
        <v>5130.51</v>
      </c>
      <c r="M2221" s="21" t="n">
        <v>4499</v>
      </c>
    </row>
    <row r="2222">
      <c r="A2222" s="9" t="inlineStr">
        <is>
          <t>DINA DU</t>
        </is>
      </c>
      <c r="B2222" s="9" t="inlineStr">
        <is>
          <t>DINA DU 06/02/2026</t>
        </is>
      </c>
      <c r="C2222" s="9" t="inlineStr">
        <is>
          <t>2026-02-06</t>
        </is>
      </c>
      <c r="D2222" s="9" t="inlineStr">
        <is>
          <t>64e78f9336406</t>
        </is>
      </c>
      <c r="E2222" s="9" t="inlineStr">
        <is>
          <t>BOLSO V BLACK</t>
        </is>
      </c>
      <c r="F2222" s="9" t="inlineStr">
        <is>
          <t>20.5cmx14cm</t>
        </is>
      </c>
      <c r="G2222" s="9" t="n">
        <v>4</v>
      </c>
      <c r="H2222" s="21" t="n">
        <v>46</v>
      </c>
      <c r="I2222" s="21" t="n">
        <v>1229.18</v>
      </c>
      <c r="J2222" s="21" t="n">
        <v>3687.55</v>
      </c>
      <c r="K2222" s="21" t="n">
        <v>4302.14</v>
      </c>
      <c r="L2222" s="21" t="n">
        <v>4916.74</v>
      </c>
      <c r="M2222" s="21" t="n">
        <v>4302.14</v>
      </c>
    </row>
    <row r="2223">
      <c r="A2223" s="9" t="inlineStr">
        <is>
          <t>DINA DU</t>
        </is>
      </c>
      <c r="B2223" s="9" t="inlineStr">
        <is>
          <t>DINA DU 06/02/2026</t>
        </is>
      </c>
      <c r="C2223" s="9" t="inlineStr">
        <is>
          <t>2026-02-06</t>
        </is>
      </c>
      <c r="D2223" s="9" t="inlineStr">
        <is>
          <t>67572cbd4a7ca</t>
        </is>
      </c>
      <c r="E2223" s="9" t="inlineStr">
        <is>
          <t>BOLSO YSL CON CADENA BLACK</t>
        </is>
      </c>
      <c r="F2223" s="9" t="inlineStr">
        <is>
          <t>19cm de alto x 24cm de largo x 7cm de ancho</t>
        </is>
      </c>
      <c r="G2223" s="9" t="n">
        <v>5</v>
      </c>
      <c r="H2223" s="21" t="n">
        <v>46</v>
      </c>
      <c r="I2223" s="21" t="n">
        <v>1229.18</v>
      </c>
      <c r="J2223" s="21" t="n">
        <v>3687.55</v>
      </c>
      <c r="K2223" s="21" t="n">
        <v>4302.14</v>
      </c>
      <c r="L2223" s="21" t="n">
        <v>4916.74</v>
      </c>
      <c r="M2223" s="21" t="n">
        <v>4302.14</v>
      </c>
    </row>
    <row r="2224">
      <c r="A2224" s="9" t="inlineStr">
        <is>
          <t>DINA DU</t>
        </is>
      </c>
      <c r="B2224" s="9" t="inlineStr">
        <is>
          <t>DINA DU 06/02/2026</t>
        </is>
      </c>
      <c r="C2224" s="9" t="inlineStr">
        <is>
          <t>2026-02-06</t>
        </is>
      </c>
      <c r="D2224" s="9" t="inlineStr">
        <is>
          <t>85367151645069</t>
        </is>
      </c>
      <c r="E2224" s="9" t="inlineStr">
        <is>
          <t>CARTERA C SMALL BLACK</t>
        </is>
      </c>
      <c r="F2224" s="9" t="inlineStr">
        <is>
          <t>BLACK/GOLD</t>
        </is>
      </c>
      <c r="G2224" s="9" t="n">
        <v>3</v>
      </c>
      <c r="H2224" s="21" t="n">
        <v>28</v>
      </c>
      <c r="I2224" s="21" t="n">
        <v>748.2</v>
      </c>
      <c r="J2224" s="21" t="n">
        <v>2244.6</v>
      </c>
      <c r="K2224" s="21" t="n">
        <v>2618.7</v>
      </c>
      <c r="L2224" s="21" t="n">
        <v>2992.8</v>
      </c>
      <c r="M2224" s="21" t="n">
        <v>2999</v>
      </c>
    </row>
    <row r="2225">
      <c r="A2225" s="9" t="inlineStr">
        <is>
          <t>DINA DU</t>
        </is>
      </c>
      <c r="B2225" s="9" t="inlineStr">
        <is>
          <t>DINA DU 06/02/2026</t>
        </is>
      </c>
      <c r="C2225" s="9" t="inlineStr">
        <is>
          <t>2026-02-06</t>
        </is>
      </c>
      <c r="D2225" s="9" t="inlineStr">
        <is>
          <t>43728091877228</t>
        </is>
      </c>
      <c r="E2225" s="9" t="inlineStr">
        <is>
          <t>CARTERA CC BLACK</t>
        </is>
      </c>
      <c r="F2225" s="9" t="inlineStr">
        <is>
          <t>13cmx13cm</t>
        </is>
      </c>
      <c r="G2225" s="9" t="n">
        <v>15</v>
      </c>
      <c r="H2225" s="21" t="n">
        <v>24</v>
      </c>
      <c r="I2225" s="21" t="n">
        <v>641.3099999999999</v>
      </c>
      <c r="J2225" s="21" t="n">
        <v>1923.94</v>
      </c>
      <c r="K2225" s="21" t="n">
        <v>2244.6</v>
      </c>
      <c r="L2225" s="21" t="n">
        <v>2565.25</v>
      </c>
      <c r="M2225" s="21" t="n">
        <v>2599</v>
      </c>
    </row>
    <row r="2226">
      <c r="A2226" s="9" t="inlineStr">
        <is>
          <t>DINA DU</t>
        </is>
      </c>
      <c r="B2226" s="9" t="inlineStr">
        <is>
          <t>DINA DU 06/02/2026</t>
        </is>
      </c>
      <c r="C2226" s="9" t="inlineStr">
        <is>
          <t>2026-02-06</t>
        </is>
      </c>
      <c r="D2226" s="9" t="inlineStr">
        <is>
          <t>85367152015693</t>
        </is>
      </c>
      <c r="E2226" s="9" t="inlineStr">
        <is>
          <t>CARTERA CC JOLIE BLACK</t>
        </is>
      </c>
      <c r="F2226" s="9" t="inlineStr">
        <is>
          <t>BLACK/GOLD</t>
        </is>
      </c>
      <c r="G2226" s="9" t="n">
        <v>3</v>
      </c>
      <c r="H2226" s="21" t="n">
        <v>23</v>
      </c>
      <c r="I2226" s="21" t="n">
        <v>614.59</v>
      </c>
      <c r="J2226" s="21" t="n">
        <v>1843.78</v>
      </c>
      <c r="K2226" s="21" t="n">
        <v>2151.07</v>
      </c>
      <c r="L2226" s="21" t="n">
        <v>2458.37</v>
      </c>
      <c r="M2226" s="21" t="n">
        <v>2459</v>
      </c>
    </row>
    <row r="2227">
      <c r="A2227" s="9" t="inlineStr">
        <is>
          <t>DINA DU</t>
        </is>
      </c>
      <c r="B2227" s="9" t="inlineStr">
        <is>
          <t>DINA DU 06/02/2026</t>
        </is>
      </c>
      <c r="C2227" s="9" t="inlineStr">
        <is>
          <t>2026-02-06</t>
        </is>
      </c>
      <c r="D2227" s="9" t="inlineStr">
        <is>
          <t>85367151407213</t>
        </is>
      </c>
      <c r="E2227" s="9" t="inlineStr">
        <is>
          <t>CARTERA LV SARAH MONOGRAM</t>
        </is>
      </c>
      <c r="F2227" s="9" t="inlineStr">
        <is>
          <t>BROWN</t>
        </is>
      </c>
      <c r="G2227" s="9" t="n">
        <v>2</v>
      </c>
      <c r="H2227" s="21" t="n">
        <v>18</v>
      </c>
      <c r="I2227" s="21" t="n">
        <v>480.99</v>
      </c>
      <c r="J2227" s="21" t="n">
        <v>1442.96</v>
      </c>
      <c r="K2227" s="21" t="n">
        <v>1683.45</v>
      </c>
      <c r="L2227" s="21" t="n">
        <v>1923.94</v>
      </c>
      <c r="M2227" s="21" t="n">
        <v>1929</v>
      </c>
    </row>
    <row r="2228">
      <c r="A2228" s="9" t="inlineStr">
        <is>
          <t>DINA DU</t>
        </is>
      </c>
      <c r="B2228" s="9" t="inlineStr">
        <is>
          <t>DINA DU 06/02/2026</t>
        </is>
      </c>
      <c r="C2228" s="9" t="inlineStr">
        <is>
          <t>2026-02-06</t>
        </is>
      </c>
      <c r="D2228" s="9" t="inlineStr">
        <is>
          <t>85367151779533</t>
        </is>
      </c>
      <c r="E2228" s="9" t="inlineStr">
        <is>
          <t>CARTERA PR LOGO</t>
        </is>
      </c>
      <c r="F2228" s="9" t="inlineStr">
        <is>
          <t>BLACK/GOLD</t>
        </is>
      </c>
      <c r="G2228" s="9" t="n">
        <v>3</v>
      </c>
      <c r="H2228" s="21" t="n">
        <v>29</v>
      </c>
      <c r="I2228" s="21" t="n">
        <v>774.92</v>
      </c>
      <c r="J2228" s="21" t="n">
        <v>2324.76</v>
      </c>
      <c r="K2228" s="21" t="n">
        <v>2712.22</v>
      </c>
      <c r="L2228" s="21" t="n">
        <v>3099.68</v>
      </c>
      <c r="M2228" s="21" t="n">
        <v>3100</v>
      </c>
    </row>
    <row r="2229">
      <c r="A2229" s="9" t="inlineStr">
        <is>
          <t>DINA DU</t>
        </is>
      </c>
      <c r="B2229" s="9" t="inlineStr">
        <is>
          <t>DINA DU 06/02/2026</t>
        </is>
      </c>
      <c r="C2229" s="9" t="inlineStr">
        <is>
          <t>2026-02-06</t>
        </is>
      </c>
      <c r="D2229" s="9" t="inlineStr">
        <is>
          <t>85367151846765</t>
        </is>
      </c>
      <c r="E2229" s="9" t="inlineStr">
        <is>
          <t>CARTERA YSL SILVER LOGO</t>
        </is>
      </c>
      <c r="F2229" s="9" t="inlineStr">
        <is>
          <t>BLACK/SILVER</t>
        </is>
      </c>
      <c r="G2229" s="9" t="n">
        <v>3</v>
      </c>
      <c r="H2229" s="21" t="n">
        <v>25</v>
      </c>
      <c r="I2229" s="21" t="n">
        <v>668.03</v>
      </c>
      <c r="J2229" s="21" t="n">
        <v>2004.1</v>
      </c>
      <c r="K2229" s="21" t="n">
        <v>2338.12</v>
      </c>
      <c r="L2229" s="21" t="n">
        <v>2672.14</v>
      </c>
      <c r="M2229" s="21" t="n">
        <v>2675</v>
      </c>
    </row>
    <row r="2230">
      <c r="A2230" s="9" t="inlineStr">
        <is>
          <t>DINA DU</t>
        </is>
      </c>
      <c r="B2230" s="9" t="inlineStr">
        <is>
          <t>DINA DU 06/02/2026</t>
        </is>
      </c>
      <c r="C2230" s="9" t="inlineStr">
        <is>
          <t>2026-02-06</t>
        </is>
      </c>
      <c r="D2230" s="9" t="inlineStr">
        <is>
          <t>654bdbcfcfee3</t>
        </is>
      </c>
      <c r="E2230" s="9" t="inlineStr">
        <is>
          <t>CINTO C GOLD BLACK</t>
        </is>
      </c>
      <c r="F2230" s="9" t="inlineStr">
        <is>
          <t>100cm</t>
        </is>
      </c>
      <c r="G2230" s="9" t="n">
        <v>10</v>
      </c>
      <c r="H2230" s="21" t="n">
        <v>15</v>
      </c>
      <c r="I2230" s="21" t="n">
        <v>400.82</v>
      </c>
      <c r="J2230" s="21" t="n">
        <v>1202.46</v>
      </c>
      <c r="K2230" s="21" t="n">
        <v>1402.87</v>
      </c>
      <c r="L2230" s="21" t="n">
        <v>1603.28</v>
      </c>
      <c r="M2230" s="21" t="n">
        <v>1609</v>
      </c>
    </row>
    <row r="2231">
      <c r="A2231" s="9" t="inlineStr">
        <is>
          <t>DINA DU</t>
        </is>
      </c>
      <c r="B2231" s="9" t="inlineStr">
        <is>
          <t>DINA DU 06/02/2026</t>
        </is>
      </c>
      <c r="C2231" s="9" t="inlineStr">
        <is>
          <t>2026-02-06</t>
        </is>
      </c>
      <c r="D2231" s="9" t="inlineStr">
        <is>
          <t>42265109266572</t>
        </is>
      </c>
      <c r="E2231" s="9" t="inlineStr">
        <is>
          <t>CINTO CD</t>
        </is>
      </c>
      <c r="F2231" s="9" t="inlineStr">
        <is>
          <t>100cm</t>
        </is>
      </c>
      <c r="G2231" s="9" t="n">
        <v>10</v>
      </c>
      <c r="H2231" s="21" t="n">
        <v>10</v>
      </c>
      <c r="I2231" s="21" t="n">
        <v>267.21</v>
      </c>
      <c r="J2231" s="21" t="n">
        <v>801.64</v>
      </c>
      <c r="K2231" s="21" t="n">
        <v>935.25</v>
      </c>
      <c r="L2231" s="21" t="n">
        <v>1068.86</v>
      </c>
      <c r="M2231" s="21" t="n">
        <v>1250</v>
      </c>
    </row>
    <row r="2232">
      <c r="A2232" s="9" t="inlineStr">
        <is>
          <t>DINA DU</t>
        </is>
      </c>
      <c r="B2232" s="9" t="inlineStr">
        <is>
          <t>DINA DU 06/02/2026</t>
        </is>
      </c>
      <c r="C2232" s="9" t="inlineStr">
        <is>
          <t>2026-02-06</t>
        </is>
      </c>
      <c r="D2232" s="9" t="inlineStr">
        <is>
          <t>654bdbcf948ed</t>
        </is>
      </c>
      <c r="E2232" s="9" t="inlineStr">
        <is>
          <t>CINTO FR GOLD BLACK</t>
        </is>
      </c>
      <c r="F2232" s="9" t="inlineStr">
        <is>
          <t>115cm</t>
        </is>
      </c>
      <c r="G2232" s="9" t="n">
        <v>4</v>
      </c>
      <c r="H2232" s="21" t="n">
        <v>12</v>
      </c>
      <c r="I2232" s="21" t="n">
        <v>320.66</v>
      </c>
      <c r="J2232" s="21" t="n">
        <v>961.97</v>
      </c>
      <c r="K2232" s="21" t="n">
        <v>1122.3</v>
      </c>
      <c r="L2232" s="21" t="n">
        <v>1282.63</v>
      </c>
      <c r="M2232" s="21" t="n">
        <v>1495</v>
      </c>
    </row>
    <row r="2233">
      <c r="A2233" s="9" t="inlineStr">
        <is>
          <t>DINA DU</t>
        </is>
      </c>
      <c r="B2233" s="9" t="inlineStr">
        <is>
          <t>DINA DU 06/02/2026</t>
        </is>
      </c>
      <c r="C2233" s="9" t="inlineStr">
        <is>
          <t>2026-02-06</t>
        </is>
      </c>
      <c r="D2233" s="9" t="inlineStr">
        <is>
          <t>42556045426828</t>
        </is>
      </c>
      <c r="E2233" s="9" t="inlineStr">
        <is>
          <t>CINTO FR ROSEGOLD</t>
        </is>
      </c>
      <c r="F2233" s="9" t="inlineStr">
        <is>
          <t>100cm</t>
        </is>
      </c>
      <c r="G2233" s="9" t="n">
        <v>2</v>
      </c>
      <c r="H2233" s="21" t="n">
        <v>12</v>
      </c>
      <c r="I2233" s="21" t="n">
        <v>320.66</v>
      </c>
      <c r="J2233" s="21" t="n">
        <v>961.97</v>
      </c>
      <c r="K2233" s="21" t="n">
        <v>1122.3</v>
      </c>
      <c r="L2233" s="21" t="n">
        <v>1282.63</v>
      </c>
      <c r="M2233" s="21" t="n">
        <v>1299</v>
      </c>
    </row>
    <row r="2234">
      <c r="A2234" s="9" t="inlineStr">
        <is>
          <t>DINA DU</t>
        </is>
      </c>
      <c r="B2234" s="9" t="inlineStr">
        <is>
          <t>DINA DU 06/02/2026</t>
        </is>
      </c>
      <c r="C2234" s="9" t="inlineStr">
        <is>
          <t>2026-02-06</t>
        </is>
      </c>
      <c r="D2234" s="9" t="inlineStr">
        <is>
          <t>85367152486317</t>
        </is>
      </c>
      <c r="E2234" s="9" t="inlineStr">
        <is>
          <t>CINTO FR SILVER BROWN</t>
        </is>
      </c>
      <c r="F2234" s="9" t="inlineStr">
        <is>
          <t>100cm</t>
        </is>
      </c>
      <c r="G2234" s="9" t="n">
        <v>3</v>
      </c>
      <c r="H2234" s="21" t="n">
        <v>12</v>
      </c>
      <c r="I2234" s="21" t="n">
        <v>320.66</v>
      </c>
      <c r="J2234" s="21" t="n">
        <v>961.97</v>
      </c>
      <c r="K2234" s="21" t="n">
        <v>1122.3</v>
      </c>
      <c r="L2234" s="21" t="n">
        <v>1282.63</v>
      </c>
      <c r="M2234" s="21" t="n">
        <v>1289</v>
      </c>
    </row>
    <row r="2235">
      <c r="A2235" s="9" t="inlineStr">
        <is>
          <t>DINA DU</t>
        </is>
      </c>
      <c r="B2235" s="9" t="inlineStr">
        <is>
          <t>DINA DU 06/02/2026</t>
        </is>
      </c>
      <c r="C2235" s="9" t="inlineStr">
        <is>
          <t>2026-02-06</t>
        </is>
      </c>
      <c r="D2235" s="9" t="inlineStr">
        <is>
          <t>654bdbcfd9269</t>
        </is>
      </c>
      <c r="E2235" s="9" t="inlineStr">
        <is>
          <t>CINTO H BLACK</t>
        </is>
      </c>
      <c r="F2235" s="9" t="inlineStr">
        <is>
          <t>100cm con extension</t>
        </is>
      </c>
      <c r="G2235" s="9" t="n">
        <v>8</v>
      </c>
      <c r="H2235" s="21" t="n">
        <v>15</v>
      </c>
      <c r="I2235" s="21" t="n">
        <v>400.82</v>
      </c>
      <c r="J2235" s="21" t="n">
        <v>1202.46</v>
      </c>
      <c r="K2235" s="21" t="n">
        <v>1402.87</v>
      </c>
      <c r="L2235" s="21" t="n">
        <v>1603.28</v>
      </c>
      <c r="M2235" s="21" t="n">
        <v>1609</v>
      </c>
    </row>
    <row r="2236">
      <c r="A2236" s="9" t="inlineStr">
        <is>
          <t>DINA DU</t>
        </is>
      </c>
      <c r="B2236" s="9" t="inlineStr">
        <is>
          <t>DINA DU 06/02/2026</t>
        </is>
      </c>
      <c r="C2236" s="9" t="inlineStr">
        <is>
          <t>2026-02-06</t>
        </is>
      </c>
      <c r="D2236" s="9" t="inlineStr">
        <is>
          <t>654bdbcfbb016</t>
        </is>
      </c>
      <c r="E2236" s="9" t="inlineStr">
        <is>
          <t>CINTO H SILVER BLACK</t>
        </is>
      </c>
      <c r="F2236" s="9" t="inlineStr">
        <is>
          <t>115cm con extension</t>
        </is>
      </c>
      <c r="G2236" s="9" t="n">
        <v>4</v>
      </c>
      <c r="H2236" s="21" t="n">
        <v>15</v>
      </c>
      <c r="I2236" s="21" t="n">
        <v>400.82</v>
      </c>
      <c r="J2236" s="21" t="n">
        <v>1202.46</v>
      </c>
      <c r="K2236" s="21" t="n">
        <v>1402.87</v>
      </c>
      <c r="L2236" s="21" t="n">
        <v>1603.28</v>
      </c>
      <c r="M2236" s="21" t="n">
        <v>1625</v>
      </c>
    </row>
    <row r="2237">
      <c r="A2237" s="9" t="inlineStr">
        <is>
          <t>DINA DU</t>
        </is>
      </c>
      <c r="B2237" s="9" t="inlineStr">
        <is>
          <t>DINA DU 06/02/2026</t>
        </is>
      </c>
      <c r="C2237" s="9" t="inlineStr">
        <is>
          <t>2026-02-06</t>
        </is>
      </c>
      <c r="D2237" s="9" t="inlineStr">
        <is>
          <t>654bdbcfde867</t>
        </is>
      </c>
      <c r="E2237" s="9" t="inlineStr">
        <is>
          <t>CINTO YSL GOLD BLACK</t>
        </is>
      </c>
      <c r="F2237" s="9" t="inlineStr">
        <is>
          <t>100cm</t>
        </is>
      </c>
      <c r="G2237" s="9" t="n">
        <v>15</v>
      </c>
      <c r="H2237" s="21" t="n">
        <v>12</v>
      </c>
      <c r="I2237" s="21" t="n">
        <v>320.66</v>
      </c>
      <c r="J2237" s="21" t="n">
        <v>961.97</v>
      </c>
      <c r="K2237" s="21" t="n">
        <v>1122.3</v>
      </c>
      <c r="L2237" s="21" t="n">
        <v>1282.63</v>
      </c>
      <c r="M2237" s="21" t="n">
        <v>1289</v>
      </c>
    </row>
    <row r="2238">
      <c r="A2238" s="9" t="inlineStr">
        <is>
          <t>DINA DU</t>
        </is>
      </c>
      <c r="B2238" s="9" t="inlineStr">
        <is>
          <t>DINA DU 06/02/2026</t>
        </is>
      </c>
      <c r="C2238" s="9" t="inlineStr">
        <is>
          <t>2026-02-06</t>
        </is>
      </c>
      <c r="D2238" s="9" t="inlineStr">
        <is>
          <t>94956734303628</t>
        </is>
      </c>
      <c r="E2238" s="9" t="inlineStr">
        <is>
          <t>MONEDERO LV</t>
        </is>
      </c>
      <c r="F2238" s="9" t="inlineStr">
        <is>
          <t>15.5cm de largo x 11cm de alto</t>
        </is>
      </c>
      <c r="G2238" s="9" t="n">
        <v>3</v>
      </c>
      <c r="H2238" s="21" t="n">
        <v>13</v>
      </c>
      <c r="I2238" s="21" t="n">
        <v>347.38</v>
      </c>
      <c r="J2238" s="21" t="n">
        <v>1042.13</v>
      </c>
      <c r="K2238" s="21" t="n">
        <v>1215.82</v>
      </c>
      <c r="L2238" s="21" t="n">
        <v>1389.51</v>
      </c>
      <c r="M2238" s="21" t="n">
        <v>1410</v>
      </c>
    </row>
    <row r="2239">
      <c r="A2239" s="9" t="inlineStr">
        <is>
          <t>DINA DU</t>
        </is>
      </c>
      <c r="B2239" s="9" t="inlineStr">
        <is>
          <t>DINA DU 06/02/2026</t>
        </is>
      </c>
      <c r="C2239" s="9" t="inlineStr">
        <is>
          <t>2026-02-06</t>
        </is>
      </c>
      <c r="D2239" s="9" t="inlineStr">
        <is>
          <t>654bdadbcb222</t>
        </is>
      </c>
      <c r="E2239" s="9" t="inlineStr">
        <is>
          <t>PULSERA CD DE TELA BABY PINK</t>
        </is>
      </c>
      <c r="F2239" s="9" t="inlineStr">
        <is>
          <t>15cm con extensión de 5cm</t>
        </is>
      </c>
      <c r="G2239" s="9" t="n">
        <v>3</v>
      </c>
      <c r="H2239" s="21" t="n">
        <v>4</v>
      </c>
      <c r="I2239" s="21" t="n">
        <v>106.89</v>
      </c>
      <c r="J2239" s="21" t="n">
        <v>320.66</v>
      </c>
      <c r="K2239" s="21" t="n">
        <v>374.1</v>
      </c>
      <c r="L2239" s="21" t="n">
        <v>427.54</v>
      </c>
      <c r="M2239" s="21" t="n">
        <v>499</v>
      </c>
    </row>
    <row r="2240">
      <c r="A2240" s="9" t="inlineStr">
        <is>
          <t>DINA DU</t>
        </is>
      </c>
      <c r="B2240" s="9" t="inlineStr">
        <is>
          <t>DINA DU 06/02/2026</t>
        </is>
      </c>
      <c r="C2240" s="9" t="inlineStr">
        <is>
          <t>2026-02-06</t>
        </is>
      </c>
      <c r="D2240" s="9" t="inlineStr">
        <is>
          <t>648cc5c47664a</t>
        </is>
      </c>
      <c r="E2240" s="9" t="inlineStr">
        <is>
          <t>PULSERA CD DE TELA BEIGE</t>
        </is>
      </c>
      <c r="F2240" s="9" t="inlineStr">
        <is>
          <t>15cm con extensión de 5cm</t>
        </is>
      </c>
      <c r="G2240" s="9" t="n">
        <v>6</v>
      </c>
      <c r="H2240" s="21" t="n">
        <v>4</v>
      </c>
      <c r="I2240" s="21" t="n">
        <v>106.89</v>
      </c>
      <c r="J2240" s="21" t="n">
        <v>320.66</v>
      </c>
      <c r="K2240" s="21" t="n">
        <v>374.1</v>
      </c>
      <c r="L2240" s="21" t="n">
        <v>427.54</v>
      </c>
      <c r="M2240" s="21" t="n">
        <v>499</v>
      </c>
    </row>
    <row r="2241">
      <c r="A2241" s="9" t="inlineStr">
        <is>
          <t>DINA DU</t>
        </is>
      </c>
      <c r="B2241" s="9" t="inlineStr">
        <is>
          <t>DINA DU 06/02/2026</t>
        </is>
      </c>
      <c r="C2241" s="9" t="inlineStr">
        <is>
          <t>2026-02-06</t>
        </is>
      </c>
      <c r="D2241" s="9" t="inlineStr">
        <is>
          <t>648cc5c57f64d</t>
        </is>
      </c>
      <c r="E2241" s="9" t="inlineStr">
        <is>
          <t>PULSERA CD DE TELA DARK BLUE</t>
        </is>
      </c>
      <c r="F2241" s="9" t="inlineStr">
        <is>
          <t>15cm con extensión de 5cm</t>
        </is>
      </c>
      <c r="G2241" s="9" t="n">
        <v>10</v>
      </c>
      <c r="H2241" s="21" t="n">
        <v>4</v>
      </c>
      <c r="I2241" s="21" t="n">
        <v>106.89</v>
      </c>
      <c r="J2241" s="21" t="n">
        <v>320.66</v>
      </c>
      <c r="K2241" s="21" t="n">
        <v>374.1</v>
      </c>
      <c r="L2241" s="21" t="n">
        <v>427.54</v>
      </c>
      <c r="M2241" s="21" t="n">
        <v>549</v>
      </c>
    </row>
    <row r="2242">
      <c r="A2242" s="9" t="inlineStr">
        <is>
          <t>DINA DU</t>
        </is>
      </c>
      <c r="B2242" s="9" t="inlineStr">
        <is>
          <t>DINA DU 06/02/2026</t>
        </is>
      </c>
      <c r="C2242" s="9" t="inlineStr">
        <is>
          <t>2026-02-06</t>
        </is>
      </c>
      <c r="D2242" s="9" t="inlineStr">
        <is>
          <t>85367151541677</t>
        </is>
      </c>
      <c r="E2242" s="9" t="inlineStr">
        <is>
          <t>TARJETERO C LOGO</t>
        </is>
      </c>
      <c r="F2242" s="9" t="inlineStr">
        <is>
          <t>BLACK/GOLD</t>
        </is>
      </c>
      <c r="G2242" s="9" t="n">
        <v>3</v>
      </c>
      <c r="H2242" s="21" t="n">
        <v>12</v>
      </c>
      <c r="I2242" s="21" t="n">
        <v>320.66</v>
      </c>
      <c r="J2242" s="21" t="n">
        <v>961.97</v>
      </c>
      <c r="K2242" s="21" t="n">
        <v>1122.3</v>
      </c>
      <c r="L2242" s="21" t="n">
        <v>1282.63</v>
      </c>
      <c r="M2242" s="21" t="n">
        <v>1299</v>
      </c>
    </row>
    <row r="2243">
      <c r="A2243" s="9" t="inlineStr">
        <is>
          <t>DINA DU</t>
        </is>
      </c>
      <c r="B2243" s="9" t="inlineStr">
        <is>
          <t>DINA DU 06/02/2026</t>
        </is>
      </c>
      <c r="C2243" s="9" t="inlineStr">
        <is>
          <t>2026-02-06</t>
        </is>
      </c>
      <c r="D2243" s="9" t="inlineStr">
        <is>
          <t>85367151913997</t>
        </is>
      </c>
      <c r="E2243" s="9" t="inlineStr">
        <is>
          <t>TARJETERO CC JOLIE BLACK</t>
        </is>
      </c>
      <c r="F2243" s="9" t="inlineStr">
        <is>
          <t>BLACK/GOLD</t>
        </is>
      </c>
      <c r="G2243" s="9" t="n">
        <v>3</v>
      </c>
      <c r="H2243" s="21" t="n">
        <v>15</v>
      </c>
      <c r="I2243" s="21" t="n">
        <v>400.82</v>
      </c>
      <c r="J2243" s="21" t="n">
        <v>1202.46</v>
      </c>
      <c r="K2243" s="21" t="n">
        <v>1402.87</v>
      </c>
      <c r="L2243" s="21" t="n">
        <v>1603.28</v>
      </c>
      <c r="M2243" s="21" t="n">
        <v>1609</v>
      </c>
    </row>
    <row r="2244">
      <c r="A2244" s="9" t="inlineStr">
        <is>
          <t>DINA DU</t>
        </is>
      </c>
      <c r="B2244" s="9" t="inlineStr">
        <is>
          <t>DINA DU 06/02/2026</t>
        </is>
      </c>
      <c r="C2244" s="9" t="inlineStr">
        <is>
          <t>2026-02-06</t>
        </is>
      </c>
      <c r="D2244" s="9" t="inlineStr">
        <is>
          <t>71326661043149</t>
        </is>
      </c>
      <c r="E2244" s="9" t="inlineStr">
        <is>
          <t>TRAJE DE BAÑO COMPLETO F LOGOS</t>
        </is>
      </c>
      <c r="F2244" s="9" t="inlineStr">
        <is>
          <t>BROWN-M</t>
        </is>
      </c>
      <c r="G2244" s="9" t="n">
        <v>2</v>
      </c>
      <c r="H2244" s="21" t="n">
        <v>22</v>
      </c>
      <c r="I2244" s="21" t="n">
        <v>587.87</v>
      </c>
      <c r="J2244" s="21" t="n">
        <v>1763.61</v>
      </c>
      <c r="K2244" s="21" t="n">
        <v>2057.55</v>
      </c>
      <c r="L2244" s="21" t="n">
        <v>2351.48</v>
      </c>
      <c r="M2244" s="21" t="n">
        <v>2355</v>
      </c>
    </row>
    <row r="2245">
      <c r="A2245" s="9" t="inlineStr">
        <is>
          <t>DINA DU</t>
        </is>
      </c>
      <c r="B2245" s="9" t="inlineStr">
        <is>
          <t>DINA DU 06/02/2026</t>
        </is>
      </c>
      <c r="C2245" s="9" t="inlineStr">
        <is>
          <t>2026-02-06</t>
        </is>
      </c>
      <c r="D2245" s="9" t="inlineStr">
        <is>
          <t>70937181082701</t>
        </is>
      </c>
      <c r="E2245" s="9" t="inlineStr">
        <is>
          <t>TRAJE DE BAÑO GC ASIMETRICO</t>
        </is>
      </c>
      <c r="F2245" s="9" t="inlineStr">
        <is>
          <t>BROWN-M</t>
        </is>
      </c>
      <c r="G2245" s="9" t="n">
        <v>2</v>
      </c>
      <c r="H2245" s="21" t="n">
        <v>17.5</v>
      </c>
      <c r="I2245" s="21" t="n">
        <v>467.62</v>
      </c>
      <c r="J2245" s="21" t="n">
        <v>1402.87</v>
      </c>
      <c r="K2245" s="21" t="n">
        <v>1636.69</v>
      </c>
      <c r="L2245" s="21" t="n">
        <v>1870.5</v>
      </c>
      <c r="M2245" s="21" t="n">
        <v>1875</v>
      </c>
    </row>
    <row r="2246">
      <c r="A2246" s="9" t="inlineStr">
        <is>
          <t>HAIFENG</t>
        </is>
      </c>
      <c r="B2246" s="9" t="inlineStr">
        <is>
          <t>HAIFENG 10/02/2026</t>
        </is>
      </c>
      <c r="C2246" s="9" t="inlineStr">
        <is>
          <t>2026-02-10</t>
        </is>
      </c>
      <c r="D2246" s="9" t="inlineStr">
        <is>
          <t>21605774316461</t>
        </is>
      </c>
      <c r="E2246" s="9" t="inlineStr"/>
      <c r="F2246" s="9" t="inlineStr">
        <is>
          <t>7</t>
        </is>
      </c>
      <c r="G2246" s="9" t="n">
        <v>2</v>
      </c>
      <c r="H2246" s="21" t="n">
        <v>3</v>
      </c>
      <c r="I2246" s="21" t="n">
        <v>63.21</v>
      </c>
      <c r="J2246" s="21" t="n">
        <v>189.62</v>
      </c>
      <c r="K2246" s="21" t="n">
        <v>221.22</v>
      </c>
      <c r="L2246" s="21" t="n">
        <v>252.82</v>
      </c>
      <c r="M2246" s="21" t="n">
        <v>450</v>
      </c>
    </row>
    <row r="2247">
      <c r="A2247" s="9" t="inlineStr">
        <is>
          <t>HAIFENG</t>
        </is>
      </c>
      <c r="B2247" s="9" t="inlineStr">
        <is>
          <t>HAIFENG 10/02/2026</t>
        </is>
      </c>
      <c r="C2247" s="9" t="inlineStr">
        <is>
          <t>2026-02-10</t>
        </is>
      </c>
      <c r="D2247" s="9" t="inlineStr">
        <is>
          <t>67201533809613</t>
        </is>
      </c>
      <c r="E2247" s="9" t="inlineStr"/>
      <c r="F2247" s="9" t="inlineStr">
        <is>
          <t>7</t>
        </is>
      </c>
      <c r="G2247" s="9" t="n">
        <v>2</v>
      </c>
      <c r="H2247" s="21" t="n">
        <v>5</v>
      </c>
      <c r="I2247" s="21" t="n">
        <v>105.34</v>
      </c>
      <c r="J2247" s="21" t="n">
        <v>316.03</v>
      </c>
      <c r="K2247" s="21" t="n">
        <v>368.7</v>
      </c>
      <c r="L2247" s="21" t="n">
        <v>421.37</v>
      </c>
      <c r="M2247" s="21" t="n">
        <v>450</v>
      </c>
    </row>
    <row r="2248">
      <c r="A2248" s="9" t="inlineStr">
        <is>
          <t>HAIFENG</t>
        </is>
      </c>
      <c r="B2248" s="9" t="inlineStr">
        <is>
          <t>HAIFENG 10/02/2026</t>
        </is>
      </c>
      <c r="C2248" s="9" t="inlineStr">
        <is>
          <t>2026-02-10</t>
        </is>
      </c>
      <c r="D2248" s="9" t="inlineStr">
        <is>
          <t>66009451058222</t>
        </is>
      </c>
      <c r="E2248" s="9" t="inlineStr"/>
      <c r="F2248" s="9" t="inlineStr">
        <is>
          <t>7</t>
        </is>
      </c>
      <c r="G2248" s="9" t="n">
        <v>2</v>
      </c>
      <c r="H2248" s="21" t="n">
        <v>7</v>
      </c>
      <c r="I2248" s="21" t="n">
        <v>147.48</v>
      </c>
      <c r="J2248" s="21" t="n">
        <v>442.44</v>
      </c>
      <c r="K2248" s="21" t="n">
        <v>516.1799999999999</v>
      </c>
      <c r="L2248" s="21" t="n">
        <v>589.92</v>
      </c>
      <c r="M2248" s="21" t="n">
        <v>593</v>
      </c>
    </row>
    <row r="2249">
      <c r="A2249" s="9" t="inlineStr">
        <is>
          <t>HAIFENG</t>
        </is>
      </c>
      <c r="B2249" s="9" t="inlineStr">
        <is>
          <t>HAIFENG 10/02/2026</t>
        </is>
      </c>
      <c r="C2249" s="9" t="inlineStr">
        <is>
          <t>2026-02-10</t>
        </is>
      </c>
      <c r="D2249" s="9" t="inlineStr">
        <is>
          <t>66009451058223</t>
        </is>
      </c>
      <c r="E2249" s="9" t="inlineStr"/>
      <c r="F2249" s="9" t="inlineStr">
        <is>
          <t>8</t>
        </is>
      </c>
      <c r="G2249" s="9" t="n">
        <v>2</v>
      </c>
      <c r="H2249" s="21" t="n">
        <v>7</v>
      </c>
      <c r="I2249" s="21" t="n">
        <v>147.48</v>
      </c>
      <c r="J2249" s="21" t="n">
        <v>442.44</v>
      </c>
      <c r="K2249" s="21" t="n">
        <v>516.1799999999999</v>
      </c>
      <c r="L2249" s="21" t="n">
        <v>589.92</v>
      </c>
      <c r="M2249" s="21" t="n">
        <v>580</v>
      </c>
    </row>
    <row r="2250">
      <c r="A2250" s="9" t="inlineStr">
        <is>
          <t>HAIFENG</t>
        </is>
      </c>
      <c r="B2250" s="9" t="inlineStr">
        <is>
          <t>HAIFENG 10/02/2026</t>
        </is>
      </c>
      <c r="C2250" s="9" t="inlineStr">
        <is>
          <t>2026-02-10</t>
        </is>
      </c>
      <c r="D2250" s="9" t="inlineStr">
        <is>
          <t>10956321157325</t>
        </is>
      </c>
      <c r="E2250" s="9" t="inlineStr"/>
      <c r="F2250" s="9" t="inlineStr">
        <is>
          <t>7</t>
        </is>
      </c>
      <c r="G2250" s="9" t="n">
        <v>2</v>
      </c>
      <c r="H2250" s="21" t="n">
        <v>11</v>
      </c>
      <c r="I2250" s="21" t="n">
        <v>231.75</v>
      </c>
      <c r="J2250" s="21" t="n">
        <v>695.26</v>
      </c>
      <c r="K2250" s="21" t="n">
        <v>811.14</v>
      </c>
      <c r="L2250" s="21" t="n">
        <v>927.01</v>
      </c>
      <c r="M2250" s="21" t="n">
        <v>999</v>
      </c>
    </row>
    <row r="2251">
      <c r="A2251" s="9" t="inlineStr">
        <is>
          <t>HAIFENG</t>
        </is>
      </c>
      <c r="B2251" s="9" t="inlineStr">
        <is>
          <t>HAIFENG 10/02/2026</t>
        </is>
      </c>
      <c r="C2251" s="9" t="inlineStr">
        <is>
          <t>2026-02-10</t>
        </is>
      </c>
      <c r="D2251" s="9" t="inlineStr">
        <is>
          <t>16117871610765</t>
        </is>
      </c>
      <c r="E2251" s="9" t="inlineStr"/>
      <c r="F2251" s="9" t="inlineStr">
        <is>
          <t>8</t>
        </is>
      </c>
      <c r="G2251" s="9" t="n">
        <v>2</v>
      </c>
      <c r="H2251" s="21" t="n">
        <v>7</v>
      </c>
      <c r="I2251" s="21" t="n">
        <v>147.48</v>
      </c>
      <c r="J2251" s="21" t="n">
        <v>442.44</v>
      </c>
      <c r="K2251" s="21" t="n">
        <v>516.1799999999999</v>
      </c>
      <c r="L2251" s="21" t="n">
        <v>589.92</v>
      </c>
      <c r="M2251" s="21" t="n">
        <v>580</v>
      </c>
    </row>
    <row r="2252">
      <c r="A2252" s="9" t="inlineStr">
        <is>
          <t>HAIFENG</t>
        </is>
      </c>
      <c r="B2252" s="9" t="inlineStr">
        <is>
          <t>HAIFENG 10/02/2026</t>
        </is>
      </c>
      <c r="C2252" s="9" t="inlineStr">
        <is>
          <t>2026-02-10</t>
        </is>
      </c>
      <c r="D2252" s="9" t="inlineStr">
        <is>
          <t>94122711058031</t>
        </is>
      </c>
      <c r="E2252" s="9" t="inlineStr"/>
      <c r="F2252" s="9" t="inlineStr">
        <is>
          <t>9</t>
        </is>
      </c>
      <c r="G2252" s="9" t="n">
        <v>1</v>
      </c>
      <c r="H2252" s="21" t="n">
        <v>6</v>
      </c>
      <c r="I2252" s="21" t="n">
        <v>126.41</v>
      </c>
      <c r="J2252" s="21" t="n">
        <v>379.23</v>
      </c>
      <c r="K2252" s="21" t="n">
        <v>442.44</v>
      </c>
      <c r="L2252" s="21" t="n">
        <v>505.64</v>
      </c>
      <c r="M2252" s="21" t="n">
        <v>500</v>
      </c>
    </row>
    <row r="2253">
      <c r="A2253" s="9" t="inlineStr">
        <is>
          <t>HAIFENG</t>
        </is>
      </c>
      <c r="B2253" s="9" t="inlineStr">
        <is>
          <t>HAIFENG 10/02/2026</t>
        </is>
      </c>
      <c r="C2253" s="9" t="inlineStr">
        <is>
          <t>2026-02-10</t>
        </is>
      </c>
      <c r="D2253" s="9" t="inlineStr">
        <is>
          <t>61222821166797</t>
        </is>
      </c>
      <c r="E2253" s="9" t="inlineStr"/>
      <c r="F2253" s="9" t="inlineStr">
        <is>
          <t>8</t>
        </is>
      </c>
      <c r="G2253" s="9" t="n">
        <v>1</v>
      </c>
      <c r="H2253" s="21" t="n">
        <v>6.9</v>
      </c>
      <c r="I2253" s="21" t="n">
        <v>145.37</v>
      </c>
      <c r="J2253" s="21" t="n">
        <v>436.12</v>
      </c>
      <c r="K2253" s="21" t="n">
        <v>508.8</v>
      </c>
      <c r="L2253" s="21" t="n">
        <v>581.49</v>
      </c>
      <c r="M2253" s="21" t="n">
        <v>660</v>
      </c>
    </row>
    <row r="2254">
      <c r="A2254" s="9" t="inlineStr">
        <is>
          <t>HAIFENG</t>
        </is>
      </c>
      <c r="B2254" s="9" t="inlineStr">
        <is>
          <t>HAIFENG 10/02/2026</t>
        </is>
      </c>
      <c r="C2254" s="9" t="inlineStr">
        <is>
          <t>2026-02-10</t>
        </is>
      </c>
      <c r="D2254" s="9" t="inlineStr">
        <is>
          <t>10717801055213</t>
        </is>
      </c>
      <c r="E2254" s="9" t="inlineStr"/>
      <c r="F2254" s="9" t="inlineStr">
        <is>
          <t>7</t>
        </is>
      </c>
      <c r="G2254" s="9" t="n">
        <v>2</v>
      </c>
      <c r="H2254" s="21" t="n">
        <v>9.5</v>
      </c>
      <c r="I2254" s="21" t="n">
        <v>200.15</v>
      </c>
      <c r="J2254" s="21" t="n">
        <v>600.45</v>
      </c>
      <c r="K2254" s="21" t="n">
        <v>700.53</v>
      </c>
      <c r="L2254" s="21" t="n">
        <v>800.6</v>
      </c>
      <c r="M2254" s="21" t="n">
        <v>790.5</v>
      </c>
    </row>
    <row r="2255">
      <c r="A2255" s="9" t="inlineStr">
        <is>
          <t>HAIFENG</t>
        </is>
      </c>
      <c r="B2255" s="9" t="inlineStr">
        <is>
          <t>HAIFENG 10/02/2026</t>
        </is>
      </c>
      <c r="C2255" s="9" t="inlineStr">
        <is>
          <t>2026-02-10</t>
        </is>
      </c>
      <c r="D2255" s="9" t="inlineStr">
        <is>
          <t>66176e62063fb</t>
        </is>
      </c>
      <c r="E2255" s="9" t="inlineStr"/>
      <c r="F2255" s="9" t="inlineStr">
        <is>
          <t>10</t>
        </is>
      </c>
      <c r="G2255" s="9" t="n">
        <v>1</v>
      </c>
      <c r="H2255" s="21" t="n">
        <v>10</v>
      </c>
      <c r="I2255" s="21" t="n">
        <v>210.68</v>
      </c>
      <c r="J2255" s="21" t="n">
        <v>632.05</v>
      </c>
      <c r="K2255" s="21" t="n">
        <v>737.4</v>
      </c>
      <c r="L2255" s="21" t="n">
        <v>842.74</v>
      </c>
      <c r="M2255" s="21" t="n">
        <v>850</v>
      </c>
    </row>
    <row r="2256">
      <c r="A2256" s="9" t="inlineStr">
        <is>
          <t>HAIFENG</t>
        </is>
      </c>
      <c r="B2256" s="9" t="inlineStr">
        <is>
          <t>HAIFENG 10/02/2026</t>
        </is>
      </c>
      <c r="C2256" s="9" t="inlineStr">
        <is>
          <t>2026-02-10</t>
        </is>
      </c>
      <c r="D2256" s="9" t="inlineStr">
        <is>
          <t>66176e616caf6</t>
        </is>
      </c>
      <c r="E2256" s="9" t="inlineStr"/>
      <c r="F2256" s="9" t="inlineStr">
        <is>
          <t>9</t>
        </is>
      </c>
      <c r="G2256" s="9" t="n">
        <v>2</v>
      </c>
      <c r="H2256" s="21" t="n">
        <v>10</v>
      </c>
      <c r="I2256" s="21" t="n">
        <v>210.68</v>
      </c>
      <c r="J2256" s="21" t="n">
        <v>632.05</v>
      </c>
      <c r="K2256" s="21" t="n">
        <v>737.4</v>
      </c>
      <c r="L2256" s="21" t="n">
        <v>842.74</v>
      </c>
      <c r="M2256" s="21" t="n">
        <v>850</v>
      </c>
    </row>
    <row r="2257">
      <c r="A2257" s="9" t="inlineStr">
        <is>
          <t>HAIFENG</t>
        </is>
      </c>
      <c r="B2257" s="9" t="inlineStr">
        <is>
          <t>HAIFENG 10/02/2026</t>
        </is>
      </c>
      <c r="C2257" s="9" t="inlineStr">
        <is>
          <t>2026-02-10</t>
        </is>
      </c>
      <c r="D2257" s="9" t="inlineStr">
        <is>
          <t>66176e5f8fac7</t>
        </is>
      </c>
      <c r="E2257" s="9" t="inlineStr"/>
      <c r="F2257" s="9" t="inlineStr">
        <is>
          <t>6</t>
        </is>
      </c>
      <c r="G2257" s="9" t="n">
        <v>1</v>
      </c>
      <c r="H2257" s="21" t="n">
        <v>10</v>
      </c>
      <c r="I2257" s="21" t="n">
        <v>210.68</v>
      </c>
      <c r="J2257" s="21" t="n">
        <v>632.05</v>
      </c>
      <c r="K2257" s="21" t="n">
        <v>737.4</v>
      </c>
      <c r="L2257" s="21" t="n">
        <v>842.74</v>
      </c>
      <c r="M2257" s="21" t="n">
        <v>850</v>
      </c>
    </row>
    <row r="2258">
      <c r="A2258" s="9" t="inlineStr">
        <is>
          <t>HAIFENG</t>
        </is>
      </c>
      <c r="B2258" s="9" t="inlineStr">
        <is>
          <t>HAIFENG 10/02/2026</t>
        </is>
      </c>
      <c r="C2258" s="9" t="inlineStr">
        <is>
          <t>2026-02-10</t>
        </is>
      </c>
      <c r="D2258" s="9" t="inlineStr">
        <is>
          <t>66176e60bbec9</t>
        </is>
      </c>
      <c r="E2258" s="9" t="inlineStr"/>
      <c r="F2258" s="9" t="inlineStr">
        <is>
          <t>8</t>
        </is>
      </c>
      <c r="G2258" s="9" t="n">
        <v>2</v>
      </c>
      <c r="H2258" s="21" t="n">
        <v>10</v>
      </c>
      <c r="I2258" s="21" t="n">
        <v>210.68</v>
      </c>
      <c r="J2258" s="21" t="n">
        <v>632.05</v>
      </c>
      <c r="K2258" s="21" t="n">
        <v>737.4</v>
      </c>
      <c r="L2258" s="21" t="n">
        <v>842.74</v>
      </c>
      <c r="M2258" s="21" t="n">
        <v>850</v>
      </c>
    </row>
    <row r="2259">
      <c r="A2259" s="9" t="inlineStr">
        <is>
          <t>HAIFENG</t>
        </is>
      </c>
      <c r="B2259" s="9" t="inlineStr">
        <is>
          <t>HAIFENG 10/02/2026</t>
        </is>
      </c>
      <c r="C2259" s="9" t="inlineStr">
        <is>
          <t>2026-02-10</t>
        </is>
      </c>
      <c r="D2259" s="9" t="inlineStr">
        <is>
          <t>63ebd3f42d4db</t>
        </is>
      </c>
      <c r="E2259" s="9" t="inlineStr"/>
      <c r="F2259" s="9" t="inlineStr">
        <is>
          <t>8</t>
        </is>
      </c>
      <c r="G2259" s="9" t="n">
        <v>1</v>
      </c>
      <c r="H2259" s="21" t="n">
        <v>10</v>
      </c>
      <c r="I2259" s="21" t="n">
        <v>210.68</v>
      </c>
      <c r="J2259" s="21" t="n">
        <v>632.05</v>
      </c>
      <c r="K2259" s="21" t="n">
        <v>737.4</v>
      </c>
      <c r="L2259" s="21" t="n">
        <v>842.74</v>
      </c>
      <c r="M2259" s="21" t="n">
        <v>850</v>
      </c>
    </row>
    <row r="2260">
      <c r="A2260" s="9" t="inlineStr">
        <is>
          <t>HAIFENG</t>
        </is>
      </c>
      <c r="B2260" s="9" t="inlineStr">
        <is>
          <t>HAIFENG 10/02/2026</t>
        </is>
      </c>
      <c r="C2260" s="9" t="inlineStr">
        <is>
          <t>2026-02-10</t>
        </is>
      </c>
      <c r="D2260" s="9" t="inlineStr">
        <is>
          <t>66176cdb9f129</t>
        </is>
      </c>
      <c r="E2260" s="9" t="inlineStr"/>
      <c r="F2260" s="9" t="inlineStr">
        <is>
          <t>6 HIGH QUALITY</t>
        </is>
      </c>
      <c r="G2260" s="9" t="n">
        <v>8</v>
      </c>
      <c r="H2260" s="21" t="n">
        <v>2.5</v>
      </c>
      <c r="I2260" s="21" t="n">
        <v>52.67</v>
      </c>
      <c r="J2260" s="21" t="n">
        <v>158.01</v>
      </c>
      <c r="K2260" s="21" t="n">
        <v>184.35</v>
      </c>
      <c r="L2260" s="21" t="n">
        <v>210.68</v>
      </c>
      <c r="M2260" s="21" t="n">
        <v>400</v>
      </c>
    </row>
    <row r="2261">
      <c r="A2261" s="9" t="inlineStr">
        <is>
          <t>HAIFENG</t>
        </is>
      </c>
      <c r="B2261" s="9" t="inlineStr">
        <is>
          <t>HAIFENG 10/02/2026</t>
        </is>
      </c>
      <c r="C2261" s="9" t="inlineStr">
        <is>
          <t>2026-02-10</t>
        </is>
      </c>
      <c r="D2261" s="9" t="inlineStr">
        <is>
          <t>66176cdd7cc61</t>
        </is>
      </c>
      <c r="E2261" s="9" t="inlineStr"/>
      <c r="F2261" s="9" t="inlineStr">
        <is>
          <t>9 HIGH QUALITY</t>
        </is>
      </c>
      <c r="G2261" s="9" t="n">
        <v>2</v>
      </c>
      <c r="H2261" s="21" t="n">
        <v>2.5</v>
      </c>
      <c r="I2261" s="21" t="n">
        <v>52.67</v>
      </c>
      <c r="J2261" s="21" t="n">
        <v>158.01</v>
      </c>
      <c r="K2261" s="21" t="n">
        <v>184.35</v>
      </c>
      <c r="L2261" s="21" t="n">
        <v>210.68</v>
      </c>
      <c r="M2261" s="21" t="n">
        <v>400</v>
      </c>
    </row>
    <row r="2262">
      <c r="A2262" s="9" t="inlineStr">
        <is>
          <t>HAIFENG</t>
        </is>
      </c>
      <c r="B2262" s="9" t="inlineStr">
        <is>
          <t>HAIFENG 10/02/2026</t>
        </is>
      </c>
      <c r="C2262" s="9" t="inlineStr">
        <is>
          <t>2026-02-10</t>
        </is>
      </c>
      <c r="D2262" s="9" t="inlineStr">
        <is>
          <t>66176cde28afb</t>
        </is>
      </c>
      <c r="E2262" s="9" t="inlineStr"/>
      <c r="F2262" s="9" t="inlineStr">
        <is>
          <t>10</t>
        </is>
      </c>
      <c r="G2262" s="9" t="n">
        <v>2</v>
      </c>
      <c r="H2262" s="21" t="n">
        <v>2.5</v>
      </c>
      <c r="I2262" s="21" t="n">
        <v>52.67</v>
      </c>
      <c r="J2262" s="21" t="n">
        <v>158.01</v>
      </c>
      <c r="K2262" s="21" t="n">
        <v>184.35</v>
      </c>
      <c r="L2262" s="21" t="n">
        <v>210.68</v>
      </c>
      <c r="M2262" s="21" t="n">
        <v>400</v>
      </c>
    </row>
    <row r="2263">
      <c r="A2263" s="9" t="inlineStr">
        <is>
          <t>HAIFENG</t>
        </is>
      </c>
      <c r="B2263" s="9" t="inlineStr">
        <is>
          <t>HAIFENG 10/02/2026</t>
        </is>
      </c>
      <c r="C2263" s="9" t="inlineStr">
        <is>
          <t>2026-02-10</t>
        </is>
      </c>
      <c r="D2263" s="9" t="inlineStr">
        <is>
          <t>66176cdd461aa</t>
        </is>
      </c>
      <c r="E2263" s="9" t="inlineStr"/>
      <c r="F2263" s="9" t="inlineStr">
        <is>
          <t>9 HIGH QUALITY</t>
        </is>
      </c>
      <c r="G2263" s="9" t="n">
        <v>5</v>
      </c>
      <c r="H2263" s="21" t="n">
        <v>2.5</v>
      </c>
      <c r="I2263" s="21" t="n">
        <v>52.67</v>
      </c>
      <c r="J2263" s="21" t="n">
        <v>158.01</v>
      </c>
      <c r="K2263" s="21" t="n">
        <v>184.35</v>
      </c>
      <c r="L2263" s="21" t="n">
        <v>210.68</v>
      </c>
      <c r="M2263" s="21" t="n">
        <v>400</v>
      </c>
    </row>
    <row r="2264">
      <c r="A2264" s="9" t="inlineStr">
        <is>
          <t>HAIFENG</t>
        </is>
      </c>
      <c r="B2264" s="9" t="inlineStr">
        <is>
          <t>HAIFENG 10/02/2026</t>
        </is>
      </c>
      <c r="C2264" s="9" t="inlineStr">
        <is>
          <t>2026-02-10</t>
        </is>
      </c>
      <c r="D2264" s="9" t="inlineStr">
        <is>
          <t>63e0b72b646a2</t>
        </is>
      </c>
      <c r="E2264" s="9" t="inlineStr"/>
      <c r="F2264" s="9" t="inlineStr">
        <is>
          <t>6</t>
        </is>
      </c>
      <c r="G2264" s="9" t="n">
        <v>8</v>
      </c>
      <c r="H2264" s="21" t="n">
        <v>1.8</v>
      </c>
      <c r="I2264" s="21" t="n">
        <v>37.92</v>
      </c>
      <c r="J2264" s="21" t="n">
        <v>113.77</v>
      </c>
      <c r="K2264" s="21" t="n">
        <v>132.73</v>
      </c>
      <c r="L2264" s="21" t="n">
        <v>151.69</v>
      </c>
      <c r="M2264" s="21" t="n">
        <v>400</v>
      </c>
    </row>
    <row r="2265">
      <c r="A2265" s="9" t="inlineStr">
        <is>
          <t>HAIFENG</t>
        </is>
      </c>
      <c r="B2265" s="9" t="inlineStr">
        <is>
          <t>HAIFENG 10/02/2026</t>
        </is>
      </c>
      <c r="C2265" s="9" t="inlineStr">
        <is>
          <t>2026-02-10</t>
        </is>
      </c>
      <c r="D2265" s="9" t="inlineStr">
        <is>
          <t>63e0b72c4613b</t>
        </is>
      </c>
      <c r="E2265" s="9" t="inlineStr"/>
      <c r="F2265" s="9" t="inlineStr">
        <is>
          <t>7</t>
        </is>
      </c>
      <c r="G2265" s="9" t="n">
        <v>5</v>
      </c>
      <c r="H2265" s="21" t="n">
        <v>1.8</v>
      </c>
      <c r="I2265" s="21" t="n">
        <v>37.92</v>
      </c>
      <c r="J2265" s="21" t="n">
        <v>113.77</v>
      </c>
      <c r="K2265" s="21" t="n">
        <v>132.73</v>
      </c>
      <c r="L2265" s="21" t="n">
        <v>151.69</v>
      </c>
      <c r="M2265" s="21" t="n">
        <v>400</v>
      </c>
    </row>
    <row r="2266">
      <c r="A2266" s="9" t="inlineStr">
        <is>
          <t>HAIFENG</t>
        </is>
      </c>
      <c r="B2266" s="9" t="inlineStr">
        <is>
          <t>HAIFENG 10/02/2026</t>
        </is>
      </c>
      <c r="C2266" s="9" t="inlineStr">
        <is>
          <t>2026-02-10</t>
        </is>
      </c>
      <c r="D2266" s="9" t="inlineStr">
        <is>
          <t>63e0b72d387b2</t>
        </is>
      </c>
      <c r="E2266" s="9" t="inlineStr"/>
      <c r="F2266" s="9" t="inlineStr">
        <is>
          <t>8</t>
        </is>
      </c>
      <c r="G2266" s="9" t="n">
        <v>5</v>
      </c>
      <c r="H2266" s="21" t="n">
        <v>1.8</v>
      </c>
      <c r="I2266" s="21" t="n">
        <v>37.92</v>
      </c>
      <c r="J2266" s="21" t="n">
        <v>113.77</v>
      </c>
      <c r="K2266" s="21" t="n">
        <v>132.73</v>
      </c>
      <c r="L2266" s="21" t="n">
        <v>151.69</v>
      </c>
      <c r="M2266" s="21" t="n">
        <v>400</v>
      </c>
    </row>
    <row r="2267">
      <c r="A2267" s="9" t="inlineStr">
        <is>
          <t>HAIFENG</t>
        </is>
      </c>
      <c r="B2267" s="9" t="inlineStr">
        <is>
          <t>HAIFENG 10/02/2026</t>
        </is>
      </c>
      <c r="C2267" s="9" t="inlineStr">
        <is>
          <t>2026-02-10</t>
        </is>
      </c>
      <c r="D2267" s="9" t="inlineStr">
        <is>
          <t>63e0b7307c4b5</t>
        </is>
      </c>
      <c r="E2267" s="9" t="inlineStr"/>
      <c r="F2267" s="9" t="inlineStr">
        <is>
          <t>7</t>
        </is>
      </c>
      <c r="G2267" s="9" t="n">
        <v>1</v>
      </c>
      <c r="H2267" s="21" t="n">
        <v>1.8</v>
      </c>
      <c r="I2267" s="21" t="n">
        <v>37.92</v>
      </c>
      <c r="J2267" s="21" t="n">
        <v>113.77</v>
      </c>
      <c r="K2267" s="21" t="n">
        <v>132.73</v>
      </c>
      <c r="L2267" s="21" t="n">
        <v>151.69</v>
      </c>
      <c r="M2267" s="21" t="n">
        <v>400</v>
      </c>
    </row>
    <row r="2268">
      <c r="A2268" s="9" t="inlineStr">
        <is>
          <t>HAIFENG</t>
        </is>
      </c>
      <c r="B2268" s="9" t="inlineStr">
        <is>
          <t>HAIFENG 10/02/2026</t>
        </is>
      </c>
      <c r="C2268" s="9" t="inlineStr">
        <is>
          <t>2026-02-10</t>
        </is>
      </c>
      <c r="D2268" s="9" t="inlineStr">
        <is>
          <t>56481450531724</t>
        </is>
      </c>
      <c r="E2268" s="9" t="inlineStr"/>
      <c r="F2268" s="9" t="inlineStr">
        <is>
          <t>7</t>
        </is>
      </c>
      <c r="G2268" s="9" t="n">
        <v>4</v>
      </c>
      <c r="H2268" s="21" t="n">
        <v>5</v>
      </c>
      <c r="I2268" s="21" t="n">
        <v>105.34</v>
      </c>
      <c r="J2268" s="21" t="n">
        <v>316.03</v>
      </c>
      <c r="K2268" s="21" t="n">
        <v>368.7</v>
      </c>
      <c r="L2268" s="21" t="n">
        <v>421.37</v>
      </c>
      <c r="M2268" s="21" t="n">
        <v>450</v>
      </c>
    </row>
    <row r="2269">
      <c r="A2269" s="9" t="inlineStr">
        <is>
          <t>HAIFENG</t>
        </is>
      </c>
      <c r="B2269" s="9" t="inlineStr">
        <is>
          <t>HAIFENG 10/02/2026</t>
        </is>
      </c>
      <c r="C2269" s="9" t="inlineStr">
        <is>
          <t>2026-02-10</t>
        </is>
      </c>
      <c r="D2269" s="9" t="inlineStr">
        <is>
          <t>15711171284237</t>
        </is>
      </c>
      <c r="E2269" s="9" t="inlineStr"/>
      <c r="F2269" s="9" t="inlineStr">
        <is>
          <t>8</t>
        </is>
      </c>
      <c r="G2269" s="9" t="n">
        <v>3</v>
      </c>
      <c r="H2269" s="21" t="n">
        <v>5</v>
      </c>
      <c r="I2269" s="21" t="n">
        <v>105.34</v>
      </c>
      <c r="J2269" s="21" t="n">
        <v>316.03</v>
      </c>
      <c r="K2269" s="21" t="n">
        <v>368.7</v>
      </c>
      <c r="L2269" s="21" t="n">
        <v>421.37</v>
      </c>
      <c r="M2269" s="21" t="n">
        <v>480</v>
      </c>
    </row>
    <row r="2270">
      <c r="A2270" s="9" t="inlineStr">
        <is>
          <t>HAIFENG</t>
        </is>
      </c>
      <c r="B2270" s="9" t="inlineStr">
        <is>
          <t>HAIFENG 10/02/2026</t>
        </is>
      </c>
      <c r="C2270" s="9" t="inlineStr">
        <is>
          <t>2026-02-10</t>
        </is>
      </c>
      <c r="D2270" s="9" t="inlineStr">
        <is>
          <t>15711171151469</t>
        </is>
      </c>
      <c r="E2270" s="9" t="inlineStr"/>
      <c r="F2270" s="9" t="inlineStr">
        <is>
          <t>7</t>
        </is>
      </c>
      <c r="G2270" s="9" t="n">
        <v>2</v>
      </c>
      <c r="H2270" s="21" t="n">
        <v>5</v>
      </c>
      <c r="I2270" s="21" t="n">
        <v>105.34</v>
      </c>
      <c r="J2270" s="21" t="n">
        <v>316.03</v>
      </c>
      <c r="K2270" s="21" t="n">
        <v>368.7</v>
      </c>
      <c r="L2270" s="21" t="n">
        <v>421.37</v>
      </c>
      <c r="M2270" s="21" t="n">
        <v>480</v>
      </c>
    </row>
    <row r="2271">
      <c r="A2271" s="9" t="inlineStr">
        <is>
          <t>HAIFENG</t>
        </is>
      </c>
      <c r="B2271" s="9" t="inlineStr">
        <is>
          <t>HAIFENG 10/02/2026</t>
        </is>
      </c>
      <c r="C2271" s="9" t="inlineStr">
        <is>
          <t>2026-02-10</t>
        </is>
      </c>
      <c r="D2271" s="9" t="inlineStr">
        <is>
          <t>15711171756909</t>
        </is>
      </c>
      <c r="E2271" s="9" t="inlineStr"/>
      <c r="F2271" s="9" t="inlineStr">
        <is>
          <t>7</t>
        </is>
      </c>
      <c r="G2271" s="9" t="n">
        <v>3</v>
      </c>
      <c r="H2271" s="21" t="n">
        <v>5</v>
      </c>
      <c r="I2271" s="21" t="n">
        <v>105.34</v>
      </c>
      <c r="J2271" s="21" t="n">
        <v>316.03</v>
      </c>
      <c r="K2271" s="21" t="n">
        <v>368.7</v>
      </c>
      <c r="L2271" s="21" t="n">
        <v>421.37</v>
      </c>
      <c r="M2271" s="21" t="n">
        <v>450</v>
      </c>
    </row>
    <row r="2272">
      <c r="A2272" s="9" t="inlineStr">
        <is>
          <t>HAIFENG</t>
        </is>
      </c>
      <c r="B2272" s="9" t="inlineStr">
        <is>
          <t>HAIFENG 10/02/2026</t>
        </is>
      </c>
      <c r="C2272" s="9" t="inlineStr">
        <is>
          <t>2026-02-10</t>
        </is>
      </c>
      <c r="D2272" s="9" t="inlineStr">
        <is>
          <t>56481463232012</t>
        </is>
      </c>
      <c r="E2272" s="9" t="inlineStr"/>
      <c r="F2272" s="9" t="inlineStr">
        <is>
          <t>7</t>
        </is>
      </c>
      <c r="G2272" s="9" t="n">
        <v>1</v>
      </c>
      <c r="H2272" s="21" t="n">
        <v>6</v>
      </c>
      <c r="I2272" s="21" t="n">
        <v>126.41</v>
      </c>
      <c r="J2272" s="21" t="n">
        <v>379.23</v>
      </c>
      <c r="K2272" s="21" t="n">
        <v>442.44</v>
      </c>
      <c r="L2272" s="21" t="n">
        <v>505.64</v>
      </c>
      <c r="M2272" s="21" t="n">
        <v>520</v>
      </c>
    </row>
    <row r="2273">
      <c r="A2273" s="9" t="inlineStr">
        <is>
          <t>HAIFENG</t>
        </is>
      </c>
      <c r="B2273" s="9" t="inlineStr">
        <is>
          <t>HAIFENG 10/02/2026</t>
        </is>
      </c>
      <c r="C2273" s="9" t="inlineStr">
        <is>
          <t>2026-02-10</t>
        </is>
      </c>
      <c r="D2273" s="9" t="inlineStr">
        <is>
          <t>86347032960269</t>
        </is>
      </c>
      <c r="E2273" s="9" t="inlineStr"/>
      <c r="F2273" s="9" t="inlineStr">
        <is>
          <t>9</t>
        </is>
      </c>
      <c r="G2273" s="9" t="n">
        <v>3</v>
      </c>
      <c r="H2273" s="21" t="n">
        <v>7</v>
      </c>
      <c r="I2273" s="21" t="n">
        <v>147.48</v>
      </c>
      <c r="J2273" s="21" t="n">
        <v>442.44</v>
      </c>
      <c r="K2273" s="21" t="n">
        <v>516.1799999999999</v>
      </c>
      <c r="L2273" s="21" t="n">
        <v>589.92</v>
      </c>
      <c r="M2273" s="21" t="n">
        <v>580</v>
      </c>
    </row>
    <row r="2274">
      <c r="A2274" s="9" t="inlineStr">
        <is>
          <t>HAIFENG</t>
        </is>
      </c>
      <c r="B2274" s="9" t="inlineStr">
        <is>
          <t>HAIFENG 10/02/2026</t>
        </is>
      </c>
      <c r="C2274" s="9" t="inlineStr">
        <is>
          <t>2026-02-10</t>
        </is>
      </c>
      <c r="D2274" s="9" t="inlineStr">
        <is>
          <t>86347033399725</t>
        </is>
      </c>
      <c r="E2274" s="9" t="inlineStr"/>
      <c r="F2274" s="9" t="inlineStr">
        <is>
          <t>7</t>
        </is>
      </c>
      <c r="G2274" s="9" t="n">
        <v>1</v>
      </c>
      <c r="H2274" s="21" t="n">
        <v>6.5</v>
      </c>
      <c r="I2274" s="21" t="n">
        <v>136.95</v>
      </c>
      <c r="J2274" s="21" t="n">
        <v>410.84</v>
      </c>
      <c r="K2274" s="21" t="n">
        <v>479.31</v>
      </c>
      <c r="L2274" s="21" t="n">
        <v>547.78</v>
      </c>
      <c r="M2274" s="21" t="n">
        <v>550</v>
      </c>
    </row>
    <row r="2275">
      <c r="A2275" s="9" t="inlineStr">
        <is>
          <t>HAIFENG</t>
        </is>
      </c>
      <c r="B2275" s="9" t="inlineStr">
        <is>
          <t>HAIFENG 10/02/2026</t>
        </is>
      </c>
      <c r="C2275" s="9" t="inlineStr">
        <is>
          <t>2026-02-10</t>
        </is>
      </c>
      <c r="D2275" s="9" t="inlineStr">
        <is>
          <t>82224433533261</t>
        </is>
      </c>
      <c r="E2275" s="9" t="inlineStr"/>
      <c r="F2275" s="9" t="inlineStr">
        <is>
          <t>6</t>
        </is>
      </c>
      <c r="G2275" s="9" t="n">
        <v>2</v>
      </c>
      <c r="H2275" s="21" t="n">
        <v>1.8</v>
      </c>
      <c r="I2275" s="21" t="n">
        <v>37.92</v>
      </c>
      <c r="J2275" s="21" t="n">
        <v>113.77</v>
      </c>
      <c r="K2275" s="21" t="n">
        <v>132.73</v>
      </c>
      <c r="L2275" s="21" t="n">
        <v>151.69</v>
      </c>
      <c r="M2275" s="21" t="n">
        <v>450</v>
      </c>
    </row>
    <row r="2276">
      <c r="A2276" s="9" t="inlineStr">
        <is>
          <t>HAIFENG</t>
        </is>
      </c>
      <c r="B2276" s="9" t="inlineStr">
        <is>
          <t>HAIFENG 10/02/2026</t>
        </is>
      </c>
      <c r="C2276" s="9" t="inlineStr">
        <is>
          <t>2026-02-10</t>
        </is>
      </c>
      <c r="D2276" s="9" t="inlineStr">
        <is>
          <t>66176a39da1f0</t>
        </is>
      </c>
      <c r="E2276" s="9" t="inlineStr"/>
      <c r="F2276" s="9" t="inlineStr">
        <is>
          <t>6</t>
        </is>
      </c>
      <c r="G2276" s="9" t="n">
        <v>3</v>
      </c>
      <c r="H2276" s="21" t="n">
        <v>1.8</v>
      </c>
      <c r="I2276" s="21" t="n">
        <v>37.92</v>
      </c>
      <c r="J2276" s="21" t="n">
        <v>113.77</v>
      </c>
      <c r="K2276" s="21" t="n">
        <v>132.73</v>
      </c>
      <c r="L2276" s="21" t="n">
        <v>151.69</v>
      </c>
      <c r="M2276" s="21" t="n">
        <v>400</v>
      </c>
    </row>
    <row r="2277">
      <c r="A2277" s="9" t="inlineStr">
        <is>
          <t>HAIFENG</t>
        </is>
      </c>
      <c r="B2277" s="9" t="inlineStr">
        <is>
          <t>HAIFENG 10/02/2026</t>
        </is>
      </c>
      <c r="C2277" s="9" t="inlineStr">
        <is>
          <t>2026-02-10</t>
        </is>
      </c>
      <c r="D2277" s="9" t="inlineStr">
        <is>
          <t>66176a3cab809</t>
        </is>
      </c>
      <c r="E2277" s="9" t="inlineStr"/>
      <c r="F2277" s="9" t="inlineStr">
        <is>
          <t>11</t>
        </is>
      </c>
      <c r="G2277" s="9" t="n">
        <v>2</v>
      </c>
      <c r="H2277" s="21" t="n">
        <v>1.8</v>
      </c>
      <c r="I2277" s="21" t="n">
        <v>37.92</v>
      </c>
      <c r="J2277" s="21" t="n">
        <v>113.77</v>
      </c>
      <c r="K2277" s="21" t="n">
        <v>132.73</v>
      </c>
      <c r="L2277" s="21" t="n">
        <v>151.69</v>
      </c>
      <c r="M2277" s="21" t="n">
        <v>400</v>
      </c>
    </row>
    <row r="2278">
      <c r="A2278" s="9" t="inlineStr">
        <is>
          <t>HAIFENG</t>
        </is>
      </c>
      <c r="B2278" s="9" t="inlineStr">
        <is>
          <t>HAIFENG 10/02/2026</t>
        </is>
      </c>
      <c r="C2278" s="9" t="inlineStr">
        <is>
          <t>2026-02-10</t>
        </is>
      </c>
      <c r="D2278" s="9" t="inlineStr">
        <is>
          <t>66176a3b07b47</t>
        </is>
      </c>
      <c r="E2278" s="9" t="inlineStr"/>
      <c r="F2278" s="9" t="inlineStr">
        <is>
          <t>8</t>
        </is>
      </c>
      <c r="G2278" s="9" t="n">
        <v>4</v>
      </c>
      <c r="H2278" s="21" t="n">
        <v>1.8</v>
      </c>
      <c r="I2278" s="21" t="n">
        <v>37.92</v>
      </c>
      <c r="J2278" s="21" t="n">
        <v>113.77</v>
      </c>
      <c r="K2278" s="21" t="n">
        <v>132.73</v>
      </c>
      <c r="L2278" s="21" t="n">
        <v>151.69</v>
      </c>
      <c r="M2278" s="21" t="n">
        <v>400</v>
      </c>
    </row>
    <row r="2279">
      <c r="A2279" s="9" t="inlineStr">
        <is>
          <t>HAIFENG</t>
        </is>
      </c>
      <c r="B2279" s="9" t="inlineStr">
        <is>
          <t>HAIFENG 10/02/2026</t>
        </is>
      </c>
      <c r="C2279" s="9" t="inlineStr">
        <is>
          <t>2026-02-10</t>
        </is>
      </c>
      <c r="D2279" s="9" t="inlineStr">
        <is>
          <t>66176a3b97be5</t>
        </is>
      </c>
      <c r="E2279" s="9" t="inlineStr"/>
      <c r="F2279" s="9" t="inlineStr">
        <is>
          <t>9</t>
        </is>
      </c>
      <c r="G2279" s="9" t="n">
        <v>2</v>
      </c>
      <c r="H2279" s="21" t="n">
        <v>1.8</v>
      </c>
      <c r="I2279" s="21" t="n">
        <v>37.92</v>
      </c>
      <c r="J2279" s="21" t="n">
        <v>113.77</v>
      </c>
      <c r="K2279" s="21" t="n">
        <v>132.73</v>
      </c>
      <c r="L2279" s="21" t="n">
        <v>151.69</v>
      </c>
      <c r="M2279" s="21" t="n">
        <v>400</v>
      </c>
    </row>
    <row r="2280">
      <c r="A2280" s="9" t="inlineStr">
        <is>
          <t>HAIFENG</t>
        </is>
      </c>
      <c r="B2280" s="9" t="inlineStr">
        <is>
          <t>HAIFENG 10/02/2026</t>
        </is>
      </c>
      <c r="C2280" s="9" t="inlineStr">
        <is>
          <t>2026-02-10</t>
        </is>
      </c>
      <c r="D2280" s="9" t="inlineStr">
        <is>
          <t>66176a3c25a91</t>
        </is>
      </c>
      <c r="E2280" s="9" t="inlineStr"/>
      <c r="F2280" s="9" t="inlineStr">
        <is>
          <t>10</t>
        </is>
      </c>
      <c r="G2280" s="9" t="n">
        <v>3</v>
      </c>
      <c r="H2280" s="21" t="n">
        <v>1.8</v>
      </c>
      <c r="I2280" s="21" t="n">
        <v>37.92</v>
      </c>
      <c r="J2280" s="21" t="n">
        <v>113.77</v>
      </c>
      <c r="K2280" s="21" t="n">
        <v>132.73</v>
      </c>
      <c r="L2280" s="21" t="n">
        <v>151.69</v>
      </c>
      <c r="M2280" s="21" t="n">
        <v>400</v>
      </c>
    </row>
    <row r="2281">
      <c r="A2281" s="9" t="inlineStr">
        <is>
          <t>HAIFENG</t>
        </is>
      </c>
      <c r="B2281" s="9" t="inlineStr">
        <is>
          <t>HAIFENG 10/02/2026</t>
        </is>
      </c>
      <c r="C2281" s="9" t="inlineStr">
        <is>
          <t>2026-02-10</t>
        </is>
      </c>
      <c r="D2281" s="9" t="inlineStr">
        <is>
          <t>66176a3a6e732</t>
        </is>
      </c>
      <c r="E2281" s="9" t="inlineStr"/>
      <c r="F2281" s="9" t="inlineStr">
        <is>
          <t>7</t>
        </is>
      </c>
      <c r="G2281" s="9" t="n">
        <v>3</v>
      </c>
      <c r="H2281" s="21" t="n">
        <v>1.8</v>
      </c>
      <c r="I2281" s="21" t="n">
        <v>37.92</v>
      </c>
      <c r="J2281" s="21" t="n">
        <v>113.77</v>
      </c>
      <c r="K2281" s="21" t="n">
        <v>132.73</v>
      </c>
      <c r="L2281" s="21" t="n">
        <v>151.69</v>
      </c>
      <c r="M2281" s="21" t="n">
        <v>400</v>
      </c>
    </row>
    <row r="2282">
      <c r="A2282" s="9" t="inlineStr">
        <is>
          <t>HAIFENG</t>
        </is>
      </c>
      <c r="B2282" s="9" t="inlineStr">
        <is>
          <t>HAIFENG 10/02/2026</t>
        </is>
      </c>
      <c r="C2282" s="9" t="inlineStr">
        <is>
          <t>2026-02-10</t>
        </is>
      </c>
      <c r="D2282" s="9" t="inlineStr">
        <is>
          <t>82224433533261</t>
        </is>
      </c>
      <c r="E2282" s="9" t="inlineStr"/>
      <c r="F2282" s="9" t="inlineStr">
        <is>
          <t>6</t>
        </is>
      </c>
      <c r="G2282" s="9" t="n">
        <v>2</v>
      </c>
      <c r="H2282" s="21" t="n">
        <v>1.8</v>
      </c>
      <c r="I2282" s="21" t="n">
        <v>37.92</v>
      </c>
      <c r="J2282" s="21" t="n">
        <v>113.77</v>
      </c>
      <c r="K2282" s="21" t="n">
        <v>132.73</v>
      </c>
      <c r="L2282" s="21" t="n">
        <v>151.69</v>
      </c>
      <c r="M2282" s="21" t="n">
        <v>450</v>
      </c>
    </row>
    <row r="2283">
      <c r="A2283" s="9" t="inlineStr">
        <is>
          <t>HAIFENG</t>
        </is>
      </c>
      <c r="B2283" s="9" t="inlineStr">
        <is>
          <t>HAIFENG 10/02/2026</t>
        </is>
      </c>
      <c r="C2283" s="9" t="inlineStr">
        <is>
          <t>2026-02-10</t>
        </is>
      </c>
      <c r="D2283" s="9" t="inlineStr">
        <is>
          <t>82224433831565</t>
        </is>
      </c>
      <c r="E2283" s="9" t="inlineStr"/>
      <c r="F2283" s="9" t="inlineStr">
        <is>
          <t>9</t>
        </is>
      </c>
      <c r="G2283" s="9" t="n">
        <v>2</v>
      </c>
      <c r="H2283" s="21" t="n">
        <v>1.8</v>
      </c>
      <c r="I2283" s="21" t="n">
        <v>37.92</v>
      </c>
      <c r="J2283" s="21" t="n">
        <v>113.77</v>
      </c>
      <c r="K2283" s="21" t="n">
        <v>132.73</v>
      </c>
      <c r="L2283" s="21" t="n">
        <v>151.69</v>
      </c>
      <c r="M2283" s="21" t="n">
        <v>450</v>
      </c>
    </row>
    <row r="2284">
      <c r="A2284" s="9" t="inlineStr">
        <is>
          <t>HAIFENG</t>
        </is>
      </c>
      <c r="B2284" s="9" t="inlineStr">
        <is>
          <t>HAIFENG 10/02/2026</t>
        </is>
      </c>
      <c r="C2284" s="9" t="inlineStr">
        <is>
          <t>2026-02-10</t>
        </is>
      </c>
      <c r="D2284" s="9" t="inlineStr">
        <is>
          <t>66176c924830f</t>
        </is>
      </c>
      <c r="E2284" s="9" t="inlineStr"/>
      <c r="F2284" s="9" t="inlineStr">
        <is>
          <t>8</t>
        </is>
      </c>
      <c r="G2284" s="9" t="n">
        <v>2</v>
      </c>
      <c r="H2284" s="21" t="n">
        <v>3</v>
      </c>
      <c r="I2284" s="21" t="n">
        <v>63.21</v>
      </c>
      <c r="J2284" s="21" t="n">
        <v>189.62</v>
      </c>
      <c r="K2284" s="21" t="n">
        <v>221.22</v>
      </c>
      <c r="L2284" s="21" t="n">
        <v>252.82</v>
      </c>
      <c r="M2284" s="21" t="n">
        <v>450</v>
      </c>
    </row>
    <row r="2285">
      <c r="A2285" s="9" t="inlineStr">
        <is>
          <t>HAIFENG</t>
        </is>
      </c>
      <c r="B2285" s="9" t="inlineStr">
        <is>
          <t>HAIFENG 10/02/2026</t>
        </is>
      </c>
      <c r="C2285" s="9" t="inlineStr">
        <is>
          <t>2026-02-10</t>
        </is>
      </c>
      <c r="D2285" s="9" t="inlineStr">
        <is>
          <t>66176c93808a4</t>
        </is>
      </c>
      <c r="E2285" s="9" t="inlineStr"/>
      <c r="F2285" s="9" t="inlineStr">
        <is>
          <t>10</t>
        </is>
      </c>
      <c r="G2285" s="9" t="n">
        <v>2</v>
      </c>
      <c r="H2285" s="21" t="n">
        <v>3</v>
      </c>
      <c r="I2285" s="21" t="n">
        <v>63.21</v>
      </c>
      <c r="J2285" s="21" t="n">
        <v>189.62</v>
      </c>
      <c r="K2285" s="21" t="n">
        <v>221.22</v>
      </c>
      <c r="L2285" s="21" t="n">
        <v>252.82</v>
      </c>
      <c r="M2285" s="21" t="n">
        <v>450</v>
      </c>
    </row>
    <row r="2286">
      <c r="A2286" s="9" t="inlineStr">
        <is>
          <t>HAIFENG</t>
        </is>
      </c>
      <c r="B2286" s="9" t="inlineStr">
        <is>
          <t>HAIFENG 10/02/2026</t>
        </is>
      </c>
      <c r="C2286" s="9" t="inlineStr">
        <is>
          <t>2026-02-10</t>
        </is>
      </c>
      <c r="D2286" s="9" t="inlineStr">
        <is>
          <t>56481480643724</t>
        </is>
      </c>
      <c r="E2286" s="9" t="inlineStr"/>
      <c r="F2286" s="9" t="inlineStr">
        <is>
          <t>7</t>
        </is>
      </c>
      <c r="G2286" s="9" t="n">
        <v>3</v>
      </c>
      <c r="H2286" s="21" t="n">
        <v>7.5</v>
      </c>
      <c r="I2286" s="21" t="n">
        <v>158.01</v>
      </c>
      <c r="J2286" s="21" t="n">
        <v>474.04</v>
      </c>
      <c r="K2286" s="21" t="n">
        <v>553.05</v>
      </c>
      <c r="L2286" s="21" t="n">
        <v>632.05</v>
      </c>
      <c r="M2286" s="21" t="n">
        <v>620</v>
      </c>
    </row>
    <row r="2287">
      <c r="A2287" s="9" t="inlineStr">
        <is>
          <t>HAIFENG</t>
        </is>
      </c>
      <c r="B2287" s="9" t="inlineStr">
        <is>
          <t>HAIFENG 10/02/2026</t>
        </is>
      </c>
      <c r="C2287" s="9" t="inlineStr">
        <is>
          <t>2026-02-10</t>
        </is>
      </c>
      <c r="D2287" s="9" t="inlineStr">
        <is>
          <t>66593bc3b73c7</t>
        </is>
      </c>
      <c r="E2287" s="9" t="inlineStr"/>
      <c r="F2287" s="9" t="inlineStr">
        <is>
          <t>8</t>
        </is>
      </c>
      <c r="G2287" s="9" t="n">
        <v>3</v>
      </c>
      <c r="H2287" s="21" t="n">
        <v>5.8</v>
      </c>
      <c r="I2287" s="21" t="n">
        <v>122.2</v>
      </c>
      <c r="J2287" s="21" t="n">
        <v>366.59</v>
      </c>
      <c r="K2287" s="21" t="n">
        <v>427.69</v>
      </c>
      <c r="L2287" s="21" t="n">
        <v>488.79</v>
      </c>
      <c r="M2287" s="21" t="n">
        <v>550</v>
      </c>
    </row>
    <row r="2288">
      <c r="A2288" s="9" t="inlineStr">
        <is>
          <t>HAIFENG</t>
        </is>
      </c>
      <c r="B2288" s="9" t="inlineStr">
        <is>
          <t>HAIFENG 10/02/2026</t>
        </is>
      </c>
      <c r="C2288" s="9" t="inlineStr">
        <is>
          <t>2026-02-10</t>
        </is>
      </c>
      <c r="D2288" s="9" t="inlineStr">
        <is>
          <t>66593bc3186e1</t>
        </is>
      </c>
      <c r="E2288" s="9" t="inlineStr"/>
      <c r="F2288" s="9" t="inlineStr">
        <is>
          <t>7</t>
        </is>
      </c>
      <c r="G2288" s="9" t="n">
        <v>2</v>
      </c>
      <c r="H2288" s="21" t="n">
        <v>5.8</v>
      </c>
      <c r="I2288" s="21" t="n">
        <v>122.2</v>
      </c>
      <c r="J2288" s="21" t="n">
        <v>366.59</v>
      </c>
      <c r="K2288" s="21" t="n">
        <v>427.69</v>
      </c>
      <c r="L2288" s="21" t="n">
        <v>488.79</v>
      </c>
      <c r="M2288" s="21" t="n">
        <v>550</v>
      </c>
    </row>
    <row r="2289">
      <c r="A2289" s="9" t="inlineStr">
        <is>
          <t>HAIFENG</t>
        </is>
      </c>
      <c r="B2289" s="9" t="inlineStr">
        <is>
          <t>HAIFENG 10/02/2026</t>
        </is>
      </c>
      <c r="C2289" s="9" t="inlineStr">
        <is>
          <t>2026-02-10</t>
        </is>
      </c>
      <c r="D2289" s="9" t="inlineStr">
        <is>
          <t>66593bc27f55c</t>
        </is>
      </c>
      <c r="E2289" s="9" t="inlineStr"/>
      <c r="F2289" s="9" t="inlineStr">
        <is>
          <t>6</t>
        </is>
      </c>
      <c r="G2289" s="9" t="n">
        <v>2</v>
      </c>
      <c r="H2289" s="21" t="n">
        <v>5.8</v>
      </c>
      <c r="I2289" s="21" t="n">
        <v>122.2</v>
      </c>
      <c r="J2289" s="21" t="n">
        <v>366.59</v>
      </c>
      <c r="K2289" s="21" t="n">
        <v>427.69</v>
      </c>
      <c r="L2289" s="21" t="n">
        <v>488.79</v>
      </c>
      <c r="M2289" s="21" t="n">
        <v>550</v>
      </c>
    </row>
    <row r="2290">
      <c r="A2290" s="9" t="inlineStr">
        <is>
          <t>HAIFENG</t>
        </is>
      </c>
      <c r="B2290" s="9" t="inlineStr">
        <is>
          <t>HAIFENG 10/02/2026</t>
        </is>
      </c>
      <c r="C2290" s="9" t="inlineStr">
        <is>
          <t>2026-02-10</t>
        </is>
      </c>
      <c r="D2290" s="9" t="inlineStr">
        <is>
          <t>66593bc3df025</t>
        </is>
      </c>
      <c r="E2290" s="9" t="inlineStr"/>
      <c r="F2290" s="9" t="inlineStr">
        <is>
          <t>8</t>
        </is>
      </c>
      <c r="G2290" s="9" t="n">
        <v>3</v>
      </c>
      <c r="H2290" s="21" t="n">
        <v>5.8</v>
      </c>
      <c r="I2290" s="21" t="n">
        <v>122.2</v>
      </c>
      <c r="J2290" s="21" t="n">
        <v>366.59</v>
      </c>
      <c r="K2290" s="21" t="n">
        <v>427.69</v>
      </c>
      <c r="L2290" s="21" t="n">
        <v>488.79</v>
      </c>
      <c r="M2290" s="21" t="n">
        <v>550</v>
      </c>
    </row>
    <row r="2291">
      <c r="A2291" s="9" t="inlineStr">
        <is>
          <t>HAIFENG</t>
        </is>
      </c>
      <c r="B2291" s="9" t="inlineStr">
        <is>
          <t>HAIFENG 10/02/2026</t>
        </is>
      </c>
      <c r="C2291" s="9" t="inlineStr">
        <is>
          <t>2026-02-10</t>
        </is>
      </c>
      <c r="D2291" s="9" t="inlineStr">
        <is>
          <t>66593bc296789</t>
        </is>
      </c>
      <c r="E2291" s="9" t="inlineStr"/>
      <c r="F2291" s="9" t="inlineStr">
        <is>
          <t>6</t>
        </is>
      </c>
      <c r="G2291" s="9" t="n">
        <v>2</v>
      </c>
      <c r="H2291" s="21" t="n">
        <v>5.8</v>
      </c>
      <c r="I2291" s="21" t="n">
        <v>122.2</v>
      </c>
      <c r="J2291" s="21" t="n">
        <v>366.59</v>
      </c>
      <c r="K2291" s="21" t="n">
        <v>427.69</v>
      </c>
      <c r="L2291" s="21" t="n">
        <v>488.79</v>
      </c>
      <c r="M2291" s="21" t="n">
        <v>550</v>
      </c>
    </row>
    <row r="2292">
      <c r="A2292" s="9" t="inlineStr">
        <is>
          <t>HAIFENG</t>
        </is>
      </c>
      <c r="B2292" s="9" t="inlineStr">
        <is>
          <t>HAIFENG 10/02/2026</t>
        </is>
      </c>
      <c r="C2292" s="9" t="inlineStr">
        <is>
          <t>2026-02-10</t>
        </is>
      </c>
      <c r="D2292" s="9" t="inlineStr">
        <is>
          <t>66593bc531d7c</t>
        </is>
      </c>
      <c r="E2292" s="9" t="inlineStr"/>
      <c r="F2292" s="9" t="inlineStr">
        <is>
          <t>10</t>
        </is>
      </c>
      <c r="G2292" s="9" t="n">
        <v>1</v>
      </c>
      <c r="H2292" s="21" t="n">
        <v>5.8</v>
      </c>
      <c r="I2292" s="21" t="n">
        <v>122.2</v>
      </c>
      <c r="J2292" s="21" t="n">
        <v>366.59</v>
      </c>
      <c r="K2292" s="21" t="n">
        <v>427.69</v>
      </c>
      <c r="L2292" s="21" t="n">
        <v>488.79</v>
      </c>
      <c r="M2292" s="21" t="n">
        <v>550</v>
      </c>
    </row>
    <row r="2293">
      <c r="A2293" s="9" t="inlineStr">
        <is>
          <t>HAIFENG</t>
        </is>
      </c>
      <c r="B2293" s="9" t="inlineStr">
        <is>
          <t>HAIFENG 10/02/2026</t>
        </is>
      </c>
      <c r="C2293" s="9" t="inlineStr">
        <is>
          <t>2026-02-10</t>
        </is>
      </c>
      <c r="D2293" s="9" t="inlineStr">
        <is>
          <t>66176c88cd9cc</t>
        </is>
      </c>
      <c r="E2293" s="9" t="inlineStr"/>
      <c r="F2293" s="9" t="inlineStr">
        <is>
          <t>8</t>
        </is>
      </c>
      <c r="G2293" s="9" t="n">
        <v>3</v>
      </c>
      <c r="H2293" s="21" t="n">
        <v>1.8</v>
      </c>
      <c r="I2293" s="21" t="n">
        <v>37.92</v>
      </c>
      <c r="J2293" s="21" t="n">
        <v>113.77</v>
      </c>
      <c r="K2293" s="21" t="n">
        <v>132.73</v>
      </c>
      <c r="L2293" s="21" t="n">
        <v>151.69</v>
      </c>
      <c r="M2293" s="21" t="n">
        <v>400</v>
      </c>
    </row>
    <row r="2294">
      <c r="A2294" s="9" t="inlineStr">
        <is>
          <t>HAIFENG</t>
        </is>
      </c>
      <c r="B2294" s="9" t="inlineStr">
        <is>
          <t>HAIFENG 10/02/2026</t>
        </is>
      </c>
      <c r="C2294" s="9" t="inlineStr">
        <is>
          <t>2026-02-10</t>
        </is>
      </c>
      <c r="D2294" s="9" t="inlineStr">
        <is>
          <t>66176c87bb2e1</t>
        </is>
      </c>
      <c r="E2294" s="9" t="inlineStr"/>
      <c r="F2294" s="9" t="inlineStr">
        <is>
          <t>6</t>
        </is>
      </c>
      <c r="G2294" s="9" t="n">
        <v>2</v>
      </c>
      <c r="H2294" s="21" t="n">
        <v>1.8</v>
      </c>
      <c r="I2294" s="21" t="n">
        <v>37.92</v>
      </c>
      <c r="J2294" s="21" t="n">
        <v>113.77</v>
      </c>
      <c r="K2294" s="21" t="n">
        <v>132.73</v>
      </c>
      <c r="L2294" s="21" t="n">
        <v>151.69</v>
      </c>
      <c r="M2294" s="21" t="n">
        <v>400</v>
      </c>
    </row>
    <row r="2295">
      <c r="A2295" s="9" t="inlineStr">
        <is>
          <t>HAIFENG</t>
        </is>
      </c>
      <c r="B2295" s="9" t="inlineStr">
        <is>
          <t>HAIFENG 10/02/2026</t>
        </is>
      </c>
      <c r="C2295" s="9" t="inlineStr">
        <is>
          <t>2026-02-10</t>
        </is>
      </c>
      <c r="D2295" s="9" t="inlineStr">
        <is>
          <t>66176c8a6cba6</t>
        </is>
      </c>
      <c r="E2295" s="9" t="inlineStr"/>
      <c r="F2295" s="9" t="inlineStr">
        <is>
          <t>11</t>
        </is>
      </c>
      <c r="G2295" s="9" t="n">
        <v>2</v>
      </c>
      <c r="H2295" s="21" t="n">
        <v>1.8</v>
      </c>
      <c r="I2295" s="21" t="n">
        <v>37.92</v>
      </c>
      <c r="J2295" s="21" t="n">
        <v>113.77</v>
      </c>
      <c r="K2295" s="21" t="n">
        <v>132.73</v>
      </c>
      <c r="L2295" s="21" t="n">
        <v>151.69</v>
      </c>
      <c r="M2295" s="21" t="n">
        <v>400</v>
      </c>
    </row>
    <row r="2296">
      <c r="A2296" s="9" t="inlineStr">
        <is>
          <t>HAIFENG</t>
        </is>
      </c>
      <c r="B2296" s="9" t="inlineStr">
        <is>
          <t>HAIFENG 10/02/2026</t>
        </is>
      </c>
      <c r="C2296" s="9" t="inlineStr">
        <is>
          <t>2026-02-10</t>
        </is>
      </c>
      <c r="D2296" s="9" t="inlineStr">
        <is>
          <t>66176c895cc2a</t>
        </is>
      </c>
      <c r="E2296" s="9" t="inlineStr"/>
      <c r="F2296" s="9" t="inlineStr">
        <is>
          <t>9</t>
        </is>
      </c>
      <c r="G2296" s="9" t="n">
        <v>1</v>
      </c>
      <c r="H2296" s="21" t="n">
        <v>1.8</v>
      </c>
      <c r="I2296" s="21" t="n">
        <v>37.92</v>
      </c>
      <c r="J2296" s="21" t="n">
        <v>113.77</v>
      </c>
      <c r="K2296" s="21" t="n">
        <v>132.73</v>
      </c>
      <c r="L2296" s="21" t="n">
        <v>151.69</v>
      </c>
      <c r="M2296" s="21" t="n">
        <v>400</v>
      </c>
    </row>
    <row r="2297">
      <c r="A2297" s="9" t="inlineStr">
        <is>
          <t>HAIFENG</t>
        </is>
      </c>
      <c r="B2297" s="9" t="inlineStr">
        <is>
          <t>HAIFENG 10/02/2026</t>
        </is>
      </c>
      <c r="C2297" s="9" t="inlineStr">
        <is>
          <t>2026-02-10</t>
        </is>
      </c>
      <c r="D2297" s="9" t="inlineStr">
        <is>
          <t>66176c8589787</t>
        </is>
      </c>
      <c r="E2297" s="9" t="inlineStr"/>
      <c r="F2297" s="9" t="inlineStr">
        <is>
          <t>8</t>
        </is>
      </c>
      <c r="G2297" s="9" t="n">
        <v>2</v>
      </c>
      <c r="H2297" s="21" t="n">
        <v>1.8</v>
      </c>
      <c r="I2297" s="21" t="n">
        <v>37.92</v>
      </c>
      <c r="J2297" s="21" t="n">
        <v>113.77</v>
      </c>
      <c r="K2297" s="21" t="n">
        <v>132.73</v>
      </c>
      <c r="L2297" s="21" t="n">
        <v>151.69</v>
      </c>
      <c r="M2297" s="21" t="n">
        <v>400</v>
      </c>
    </row>
    <row r="2298">
      <c r="A2298" s="9" t="inlineStr">
        <is>
          <t>HAIFENG</t>
        </is>
      </c>
      <c r="B2298" s="9" t="inlineStr">
        <is>
          <t>HAIFENG 10/02/2026</t>
        </is>
      </c>
      <c r="C2298" s="9" t="inlineStr">
        <is>
          <t>2026-02-10</t>
        </is>
      </c>
      <c r="D2298" s="9" t="inlineStr">
        <is>
          <t>66176c8482af4</t>
        </is>
      </c>
      <c r="E2298" s="9" t="inlineStr"/>
      <c r="F2298" s="9" t="inlineStr">
        <is>
          <t>6</t>
        </is>
      </c>
      <c r="G2298" s="9" t="n">
        <v>3</v>
      </c>
      <c r="H2298" s="21" t="n">
        <v>1.8</v>
      </c>
      <c r="I2298" s="21" t="n">
        <v>37.92</v>
      </c>
      <c r="J2298" s="21" t="n">
        <v>113.77</v>
      </c>
      <c r="K2298" s="21" t="n">
        <v>132.73</v>
      </c>
      <c r="L2298" s="21" t="n">
        <v>151.69</v>
      </c>
      <c r="M2298" s="21" t="n">
        <v>400</v>
      </c>
    </row>
    <row r="2299">
      <c r="A2299" s="9" t="inlineStr">
        <is>
          <t>HAIFENG</t>
        </is>
      </c>
      <c r="B2299" s="9" t="inlineStr">
        <is>
          <t>HAIFENG 10/02/2026</t>
        </is>
      </c>
      <c r="C2299" s="9" t="inlineStr">
        <is>
          <t>2026-02-10</t>
        </is>
      </c>
      <c r="D2299" s="9" t="inlineStr">
        <is>
          <t>66176c850b76a</t>
        </is>
      </c>
      <c r="E2299" s="9" t="inlineStr"/>
      <c r="F2299" s="9" t="inlineStr">
        <is>
          <t>7</t>
        </is>
      </c>
      <c r="G2299" s="9" t="n">
        <v>1</v>
      </c>
      <c r="H2299" s="21" t="n">
        <v>1.8</v>
      </c>
      <c r="I2299" s="21" t="n">
        <v>37.92</v>
      </c>
      <c r="J2299" s="21" t="n">
        <v>113.77</v>
      </c>
      <c r="K2299" s="21" t="n">
        <v>132.73</v>
      </c>
      <c r="L2299" s="21" t="n">
        <v>151.69</v>
      </c>
      <c r="M2299" s="21" t="n">
        <v>400</v>
      </c>
    </row>
    <row r="2300">
      <c r="A2300" s="9" t="inlineStr">
        <is>
          <t>HAIFENG</t>
        </is>
      </c>
      <c r="B2300" s="9" t="inlineStr">
        <is>
          <t>HAIFENG 10/02/2026</t>
        </is>
      </c>
      <c r="C2300" s="9" t="inlineStr">
        <is>
          <t>2026-02-10</t>
        </is>
      </c>
      <c r="D2300" s="9" t="inlineStr">
        <is>
          <t>66176c87490bf</t>
        </is>
      </c>
      <c r="E2300" s="9" t="inlineStr"/>
      <c r="F2300" s="9" t="inlineStr">
        <is>
          <t>11</t>
        </is>
      </c>
      <c r="G2300" s="9" t="n">
        <v>1</v>
      </c>
      <c r="H2300" s="21" t="n">
        <v>1.8</v>
      </c>
      <c r="I2300" s="21" t="n">
        <v>37.92</v>
      </c>
      <c r="J2300" s="21" t="n">
        <v>113.77</v>
      </c>
      <c r="K2300" s="21" t="n">
        <v>132.73</v>
      </c>
      <c r="L2300" s="21" t="n">
        <v>151.69</v>
      </c>
      <c r="M2300" s="21" t="n">
        <v>260</v>
      </c>
    </row>
    <row r="2301">
      <c r="A2301" s="9" t="inlineStr">
        <is>
          <t>HAIFENG</t>
        </is>
      </c>
      <c r="B2301" s="9" t="inlineStr">
        <is>
          <t>HAIFENG 10/02/2026</t>
        </is>
      </c>
      <c r="C2301" s="9" t="inlineStr">
        <is>
          <t>2026-02-10</t>
        </is>
      </c>
      <c r="D2301" s="9" t="inlineStr">
        <is>
          <t>66075801507501</t>
        </is>
      </c>
      <c r="E2301" s="9" t="inlineStr"/>
      <c r="F2301" s="9" t="inlineStr">
        <is>
          <t>7</t>
        </is>
      </c>
      <c r="G2301" s="9" t="n">
        <v>1</v>
      </c>
      <c r="H2301" s="21" t="n">
        <v>7</v>
      </c>
      <c r="I2301" s="21" t="n">
        <v>147.48</v>
      </c>
      <c r="J2301" s="21" t="n">
        <v>442.44</v>
      </c>
      <c r="K2301" s="21" t="n">
        <v>516.1799999999999</v>
      </c>
      <c r="L2301" s="21" t="n">
        <v>589.92</v>
      </c>
      <c r="M2301" s="21" t="n">
        <v>577</v>
      </c>
    </row>
    <row r="2302">
      <c r="A2302" s="9" t="inlineStr">
        <is>
          <t>HAIFENG</t>
        </is>
      </c>
      <c r="B2302" s="9" t="inlineStr">
        <is>
          <t>HAIFENG 10/02/2026</t>
        </is>
      </c>
      <c r="C2302" s="9" t="inlineStr">
        <is>
          <t>2026-02-10</t>
        </is>
      </c>
      <c r="D2302" s="9" t="inlineStr">
        <is>
          <t>21206411460429</t>
        </is>
      </c>
      <c r="E2302" s="9" t="inlineStr"/>
      <c r="F2302" s="9" t="inlineStr">
        <is>
          <t>8</t>
        </is>
      </c>
      <c r="G2302" s="9" t="n">
        <v>3</v>
      </c>
      <c r="H2302" s="21" t="n">
        <v>5</v>
      </c>
      <c r="I2302" s="21" t="n">
        <v>105.34</v>
      </c>
      <c r="J2302" s="21" t="n">
        <v>316.03</v>
      </c>
      <c r="K2302" s="21" t="n">
        <v>368.7</v>
      </c>
      <c r="L2302" s="21" t="n">
        <v>421.37</v>
      </c>
      <c r="M2302" s="21" t="n">
        <v>550</v>
      </c>
    </row>
    <row r="2303">
      <c r="A2303" s="9" t="inlineStr">
        <is>
          <t>HAIFENG</t>
        </is>
      </c>
      <c r="B2303" s="9" t="inlineStr">
        <is>
          <t>HAIFENG 10/02/2026</t>
        </is>
      </c>
      <c r="C2303" s="9" t="inlineStr">
        <is>
          <t>2026-02-10</t>
        </is>
      </c>
      <c r="D2303" s="9" t="inlineStr">
        <is>
          <t>41078751514701</t>
        </is>
      </c>
      <c r="E2303" s="9" t="inlineStr"/>
      <c r="F2303" s="9" t="inlineStr">
        <is>
          <t>9</t>
        </is>
      </c>
      <c r="G2303" s="9" t="n">
        <v>1</v>
      </c>
      <c r="H2303" s="21" t="n">
        <v>6.99</v>
      </c>
      <c r="I2303" s="21" t="n">
        <v>147.27</v>
      </c>
      <c r="J2303" s="21" t="n">
        <v>441.81</v>
      </c>
      <c r="K2303" s="21" t="n">
        <v>515.4400000000001</v>
      </c>
      <c r="L2303" s="21" t="n">
        <v>589.08</v>
      </c>
      <c r="M2303" s="21" t="n">
        <v>599</v>
      </c>
    </row>
    <row r="2304">
      <c r="A2304" s="9" t="inlineStr">
        <is>
          <t>HAIFENG</t>
        </is>
      </c>
      <c r="B2304" s="9" t="inlineStr">
        <is>
          <t>HAIFENG 10/02/2026</t>
        </is>
      </c>
      <c r="C2304" s="9" t="inlineStr">
        <is>
          <t>2026-02-10</t>
        </is>
      </c>
      <c r="D2304" s="9" t="inlineStr">
        <is>
          <t>33765241120301</t>
        </is>
      </c>
      <c r="E2304" s="9" t="inlineStr"/>
      <c r="F2304" s="9" t="inlineStr">
        <is>
          <t>9</t>
        </is>
      </c>
      <c r="G2304" s="9" t="n">
        <v>2</v>
      </c>
      <c r="H2304" s="21" t="n">
        <v>5.99</v>
      </c>
      <c r="I2304" s="21" t="n">
        <v>126.2</v>
      </c>
      <c r="J2304" s="21" t="n">
        <v>378.6</v>
      </c>
      <c r="K2304" s="21" t="n">
        <v>441.7</v>
      </c>
      <c r="L2304" s="21" t="n">
        <v>504.8</v>
      </c>
      <c r="M2304" s="21" t="n">
        <v>560</v>
      </c>
    </row>
    <row r="2305">
      <c r="A2305" s="9" t="inlineStr">
        <is>
          <t>HAIFENG</t>
        </is>
      </c>
      <c r="B2305" s="9" t="inlineStr">
        <is>
          <t>HAIFENG 10/02/2026</t>
        </is>
      </c>
      <c r="C2305" s="9" t="inlineStr">
        <is>
          <t>2026-02-10</t>
        </is>
      </c>
      <c r="D2305" s="9" t="inlineStr">
        <is>
          <t>63220631032173</t>
        </is>
      </c>
      <c r="E2305" s="9" t="inlineStr"/>
      <c r="F2305" s="9" t="inlineStr">
        <is>
          <t>9</t>
        </is>
      </c>
      <c r="G2305" s="9" t="n">
        <v>2</v>
      </c>
      <c r="H2305" s="21" t="n">
        <v>8.99</v>
      </c>
      <c r="I2305" s="21" t="n">
        <v>189.41</v>
      </c>
      <c r="J2305" s="21" t="n">
        <v>568.22</v>
      </c>
      <c r="K2305" s="21" t="n">
        <v>662.92</v>
      </c>
      <c r="L2305" s="21" t="n">
        <v>757.62</v>
      </c>
      <c r="M2305" s="21" t="n">
        <v>750</v>
      </c>
    </row>
    <row r="2306">
      <c r="A2306" s="9" t="inlineStr">
        <is>
          <t>HAIFENG</t>
        </is>
      </c>
      <c r="B2306" s="9" t="inlineStr">
        <is>
          <t>HAIFENG 10/02/2026</t>
        </is>
      </c>
      <c r="C2306" s="9" t="inlineStr">
        <is>
          <t>2026-02-10</t>
        </is>
      </c>
      <c r="D2306" s="9" t="inlineStr">
        <is>
          <t>86347031685037</t>
        </is>
      </c>
      <c r="E2306" s="9" t="inlineStr"/>
      <c r="F2306" s="9" t="inlineStr">
        <is>
          <t>9</t>
        </is>
      </c>
      <c r="G2306" s="9" t="n">
        <v>1</v>
      </c>
      <c r="H2306" s="21" t="n">
        <v>9</v>
      </c>
      <c r="I2306" s="21" t="n">
        <v>189.62</v>
      </c>
      <c r="J2306" s="21" t="n">
        <v>568.85</v>
      </c>
      <c r="K2306" s="21" t="n">
        <v>663.66</v>
      </c>
      <c r="L2306" s="21" t="n">
        <v>758.47</v>
      </c>
      <c r="M2306" s="21" t="n">
        <v>520</v>
      </c>
    </row>
    <row r="2307">
      <c r="A2307" s="9" t="inlineStr">
        <is>
          <t>HAIFENG</t>
        </is>
      </c>
      <c r="B2307" s="9" t="inlineStr">
        <is>
          <t>HAIFENG 10/02/2026</t>
        </is>
      </c>
      <c r="C2307" s="9" t="inlineStr">
        <is>
          <t>2026-02-10</t>
        </is>
      </c>
      <c r="D2307" s="9" t="inlineStr">
        <is>
          <t>43047225917580</t>
        </is>
      </c>
      <c r="E2307" s="9" t="inlineStr"/>
      <c r="F2307" s="9" t="inlineStr">
        <is>
          <t>7</t>
        </is>
      </c>
      <c r="G2307" s="9" t="n">
        <v>3</v>
      </c>
      <c r="H2307" s="21" t="n">
        <v>4</v>
      </c>
      <c r="I2307" s="21" t="n">
        <v>84.27</v>
      </c>
      <c r="J2307" s="21" t="n">
        <v>252.82</v>
      </c>
      <c r="K2307" s="21" t="n">
        <v>294.96</v>
      </c>
      <c r="L2307" s="21" t="n">
        <v>337.1</v>
      </c>
      <c r="M2307" s="21" t="n">
        <v>499</v>
      </c>
    </row>
    <row r="2308">
      <c r="A2308" s="9" t="inlineStr">
        <is>
          <t>HAIFENG</t>
        </is>
      </c>
      <c r="B2308" s="9" t="inlineStr">
        <is>
          <t>HAIFENG 10/02/2026</t>
        </is>
      </c>
      <c r="C2308" s="9" t="inlineStr">
        <is>
          <t>2026-02-10</t>
        </is>
      </c>
      <c r="D2308" s="9" t="inlineStr">
        <is>
          <t>96547211050721</t>
        </is>
      </c>
      <c r="E2308" s="9" t="inlineStr"/>
      <c r="F2308" s="9" t="inlineStr">
        <is>
          <t>6 titanio</t>
        </is>
      </c>
      <c r="G2308" s="9" t="n">
        <v>1</v>
      </c>
      <c r="H2308" s="21" t="n">
        <v>4</v>
      </c>
      <c r="I2308" s="21" t="n">
        <v>84.27</v>
      </c>
      <c r="J2308" s="21" t="n">
        <v>252.82</v>
      </c>
      <c r="K2308" s="21" t="n">
        <v>294.96</v>
      </c>
      <c r="L2308" s="21" t="n">
        <v>337.1</v>
      </c>
      <c r="M2308" s="21" t="n">
        <v>572</v>
      </c>
    </row>
    <row r="2309">
      <c r="A2309" s="9" t="inlineStr">
        <is>
          <t>HAIFENG</t>
        </is>
      </c>
      <c r="B2309" s="9" t="inlineStr">
        <is>
          <t>HAIFENG 10/02/2026</t>
        </is>
      </c>
      <c r="C2309" s="9" t="inlineStr">
        <is>
          <t>2026-02-10</t>
        </is>
      </c>
      <c r="D2309" s="9" t="inlineStr">
        <is>
          <t>673cd55e24dd4</t>
        </is>
      </c>
      <c r="E2309" s="9" t="inlineStr"/>
      <c r="F2309" s="9" t="inlineStr">
        <is>
          <t>8</t>
        </is>
      </c>
      <c r="G2309" s="9" t="n">
        <v>5</v>
      </c>
      <c r="H2309" s="21" t="n">
        <v>4</v>
      </c>
      <c r="I2309" s="21" t="n">
        <v>84.27</v>
      </c>
      <c r="J2309" s="21" t="n">
        <v>252.82</v>
      </c>
      <c r="K2309" s="21" t="n">
        <v>294.96</v>
      </c>
      <c r="L2309" s="21" t="n">
        <v>337.1</v>
      </c>
      <c r="M2309" s="21" t="n">
        <v>400</v>
      </c>
    </row>
    <row r="2310">
      <c r="A2310" s="9" t="inlineStr">
        <is>
          <t>HAIFENG</t>
        </is>
      </c>
      <c r="B2310" s="9" t="inlineStr">
        <is>
          <t>HAIFENG 10/02/2026</t>
        </is>
      </c>
      <c r="C2310" s="9" t="inlineStr">
        <is>
          <t>2026-02-10</t>
        </is>
      </c>
      <c r="D2310" s="9" t="inlineStr">
        <is>
          <t>673cd55d87e7f</t>
        </is>
      </c>
      <c r="E2310" s="9" t="inlineStr"/>
      <c r="F2310" s="9" t="inlineStr">
        <is>
          <t>7</t>
        </is>
      </c>
      <c r="G2310" s="9" t="n">
        <v>5</v>
      </c>
      <c r="H2310" s="21" t="n">
        <v>4</v>
      </c>
      <c r="I2310" s="21" t="n">
        <v>84.27</v>
      </c>
      <c r="J2310" s="21" t="n">
        <v>252.82</v>
      </c>
      <c r="K2310" s="21" t="n">
        <v>294.96</v>
      </c>
      <c r="L2310" s="21" t="n">
        <v>337.1</v>
      </c>
      <c r="M2310" s="21" t="n">
        <v>400</v>
      </c>
    </row>
    <row r="2311">
      <c r="A2311" s="9" t="inlineStr">
        <is>
          <t>HAIFENG</t>
        </is>
      </c>
      <c r="B2311" s="9" t="inlineStr">
        <is>
          <t>HAIFENG 10/02/2026</t>
        </is>
      </c>
      <c r="C2311" s="9" t="inlineStr">
        <is>
          <t>2026-02-10</t>
        </is>
      </c>
      <c r="D2311" s="9" t="inlineStr">
        <is>
          <t>67201535695437</t>
        </is>
      </c>
      <c r="E2311" s="9" t="inlineStr"/>
      <c r="F2311" s="9" t="inlineStr">
        <is>
          <t>9</t>
        </is>
      </c>
      <c r="G2311" s="9" t="n">
        <v>3</v>
      </c>
      <c r="H2311" s="21" t="n">
        <v>5</v>
      </c>
      <c r="I2311" s="21" t="n">
        <v>105.34</v>
      </c>
      <c r="J2311" s="21" t="n">
        <v>316.03</v>
      </c>
      <c r="K2311" s="21" t="n">
        <v>368.7</v>
      </c>
      <c r="L2311" s="21" t="n">
        <v>421.37</v>
      </c>
      <c r="M2311" s="21" t="n">
        <v>267</v>
      </c>
    </row>
    <row r="2312">
      <c r="A2312" s="9" t="inlineStr">
        <is>
          <t>HAIFENG</t>
        </is>
      </c>
      <c r="B2312" s="9" t="inlineStr">
        <is>
          <t>HAIFENG 10/02/2026</t>
        </is>
      </c>
      <c r="C2312" s="9" t="inlineStr">
        <is>
          <t>2026-02-10</t>
        </is>
      </c>
      <c r="D2312" s="9" t="inlineStr">
        <is>
          <t>43047226605708</t>
        </is>
      </c>
      <c r="E2312" s="9" t="inlineStr"/>
      <c r="F2312" s="9" t="inlineStr">
        <is>
          <t>HIGH QUALITY 8</t>
        </is>
      </c>
      <c r="G2312" s="9" t="n">
        <v>8</v>
      </c>
      <c r="H2312" s="21" t="n">
        <v>6</v>
      </c>
      <c r="I2312" s="21" t="n">
        <v>126.41</v>
      </c>
      <c r="J2312" s="21" t="n">
        <v>379.23</v>
      </c>
      <c r="K2312" s="21" t="n">
        <v>442.44</v>
      </c>
      <c r="L2312" s="21" t="n">
        <v>505.64</v>
      </c>
      <c r="M2312" s="21" t="n">
        <v>550</v>
      </c>
    </row>
    <row r="2313">
      <c r="A2313" s="9" t="inlineStr">
        <is>
          <t>HAIFENG</t>
        </is>
      </c>
      <c r="B2313" s="9" t="inlineStr">
        <is>
          <t>HAIFENG 10/02/2026</t>
        </is>
      </c>
      <c r="C2313" s="9" t="inlineStr">
        <is>
          <t>2026-02-10</t>
        </is>
      </c>
      <c r="D2313" s="9" t="inlineStr">
        <is>
          <t>56481484278796</t>
        </is>
      </c>
      <c r="E2313" s="9" t="inlineStr"/>
      <c r="F2313" s="9" t="inlineStr">
        <is>
          <t>7</t>
        </is>
      </c>
      <c r="G2313" s="9" t="n">
        <v>3</v>
      </c>
      <c r="H2313" s="21" t="n">
        <v>6</v>
      </c>
      <c r="I2313" s="21" t="n">
        <v>126.41</v>
      </c>
      <c r="J2313" s="21" t="n">
        <v>379.23</v>
      </c>
      <c r="K2313" s="21" t="n">
        <v>442.44</v>
      </c>
      <c r="L2313" s="21" t="n">
        <v>505.64</v>
      </c>
      <c r="M2313" s="21" t="n">
        <v>550</v>
      </c>
    </row>
    <row r="2314">
      <c r="A2314" s="9" t="inlineStr">
        <is>
          <t>HAIFENG</t>
        </is>
      </c>
      <c r="B2314" s="9" t="inlineStr">
        <is>
          <t>HAIFENG 10/02/2026</t>
        </is>
      </c>
      <c r="C2314" s="9" t="inlineStr">
        <is>
          <t>2026-02-10</t>
        </is>
      </c>
      <c r="D2314" s="9" t="inlineStr">
        <is>
          <t>71036889232524</t>
        </is>
      </c>
      <c r="E2314" s="9" t="inlineStr"/>
      <c r="F2314" s="9" t="inlineStr">
        <is>
          <t>8</t>
        </is>
      </c>
      <c r="G2314" s="9" t="n">
        <v>3</v>
      </c>
      <c r="H2314" s="21" t="n">
        <v>5</v>
      </c>
      <c r="I2314" s="21" t="n">
        <v>105.34</v>
      </c>
      <c r="J2314" s="21" t="n">
        <v>316.03</v>
      </c>
      <c r="K2314" s="21" t="n">
        <v>368.7</v>
      </c>
      <c r="L2314" s="21" t="n">
        <v>421.37</v>
      </c>
      <c r="M2314" s="21" t="n">
        <v>599</v>
      </c>
    </row>
    <row r="2315">
      <c r="A2315" s="9" t="inlineStr">
        <is>
          <t>HAIFENG</t>
        </is>
      </c>
      <c r="B2315" s="9" t="inlineStr">
        <is>
          <t>HAIFENG 10/02/2026</t>
        </is>
      </c>
      <c r="C2315" s="9" t="inlineStr">
        <is>
          <t>2026-02-10</t>
        </is>
      </c>
      <c r="D2315" s="9" t="inlineStr">
        <is>
          <t>668eecd0c3f2e</t>
        </is>
      </c>
      <c r="E2315" s="9" t="inlineStr"/>
      <c r="F2315" s="9" t="inlineStr">
        <is>
          <t>7</t>
        </is>
      </c>
      <c r="G2315" s="9" t="n">
        <v>2</v>
      </c>
      <c r="H2315" s="21" t="n">
        <v>5</v>
      </c>
      <c r="I2315" s="21" t="n">
        <v>105.34</v>
      </c>
      <c r="J2315" s="21" t="n">
        <v>316.03</v>
      </c>
      <c r="K2315" s="21" t="n">
        <v>368.7</v>
      </c>
      <c r="L2315" s="21" t="n">
        <v>421.37</v>
      </c>
      <c r="M2315" s="21" t="n">
        <v>450</v>
      </c>
    </row>
    <row r="2316">
      <c r="A2316" s="9" t="inlineStr">
        <is>
          <t>HAIFENG</t>
        </is>
      </c>
      <c r="B2316" s="9" t="inlineStr">
        <is>
          <t>HAIFENG 10/02/2026</t>
        </is>
      </c>
      <c r="C2316" s="9" t="inlineStr">
        <is>
          <t>2026-02-10</t>
        </is>
      </c>
      <c r="D2316" s="9" t="inlineStr">
        <is>
          <t>668eee34483a2</t>
        </is>
      </c>
      <c r="E2316" s="9" t="inlineStr"/>
      <c r="F2316" s="9" t="inlineStr">
        <is>
          <t>7</t>
        </is>
      </c>
      <c r="G2316" s="9" t="n">
        <v>1</v>
      </c>
      <c r="H2316" s="21" t="n">
        <v>5</v>
      </c>
      <c r="I2316" s="21" t="n">
        <v>105.34</v>
      </c>
      <c r="J2316" s="21" t="n">
        <v>316.03</v>
      </c>
      <c r="K2316" s="21" t="n">
        <v>368.7</v>
      </c>
      <c r="L2316" s="21" t="n">
        <v>421.37</v>
      </c>
      <c r="M2316" s="21" t="n">
        <v>450</v>
      </c>
    </row>
    <row r="2317">
      <c r="A2317" s="9" t="inlineStr">
        <is>
          <t>HAIFENG</t>
        </is>
      </c>
      <c r="B2317" s="9" t="inlineStr">
        <is>
          <t>HAIFENG 10/02/2026</t>
        </is>
      </c>
      <c r="C2317" s="9" t="inlineStr">
        <is>
          <t>2026-02-10</t>
        </is>
      </c>
      <c r="D2317" s="9" t="inlineStr">
        <is>
          <t>668eee34e7e6d</t>
        </is>
      </c>
      <c r="E2317" s="9" t="inlineStr"/>
      <c r="F2317" s="9" t="inlineStr">
        <is>
          <t>8</t>
        </is>
      </c>
      <c r="G2317" s="9" t="n">
        <v>3</v>
      </c>
      <c r="H2317" s="21" t="n">
        <v>5</v>
      </c>
      <c r="I2317" s="21" t="n">
        <v>105.34</v>
      </c>
      <c r="J2317" s="21" t="n">
        <v>316.03</v>
      </c>
      <c r="K2317" s="21" t="n">
        <v>368.7</v>
      </c>
      <c r="L2317" s="21" t="n">
        <v>421.37</v>
      </c>
      <c r="M2317" s="21" t="n">
        <v>450</v>
      </c>
    </row>
    <row r="2318">
      <c r="A2318" s="9" t="inlineStr">
        <is>
          <t>HAIFENG</t>
        </is>
      </c>
      <c r="B2318" s="9" t="inlineStr">
        <is>
          <t>HAIFENG 10/02/2026</t>
        </is>
      </c>
      <c r="C2318" s="9" t="inlineStr">
        <is>
          <t>2026-02-10</t>
        </is>
      </c>
      <c r="D2318" s="9" t="inlineStr">
        <is>
          <t>50498801106509</t>
        </is>
      </c>
      <c r="E2318" s="9" t="inlineStr"/>
      <c r="F2318" s="9" t="inlineStr">
        <is>
          <t>7</t>
        </is>
      </c>
      <c r="G2318" s="9" t="n">
        <v>1</v>
      </c>
      <c r="H2318" s="21" t="n">
        <v>5.99</v>
      </c>
      <c r="I2318" s="21" t="n">
        <v>126.2</v>
      </c>
      <c r="J2318" s="21" t="n">
        <v>378.6</v>
      </c>
      <c r="K2318" s="21" t="n">
        <v>441.7</v>
      </c>
      <c r="L2318" s="21" t="n">
        <v>504.8</v>
      </c>
      <c r="M2318" s="21" t="n">
        <v>510</v>
      </c>
    </row>
    <row r="2319">
      <c r="A2319" s="9" t="inlineStr">
        <is>
          <t>HAIFENG</t>
        </is>
      </c>
      <c r="B2319" s="9" t="inlineStr">
        <is>
          <t>HAIFENG 10/02/2026</t>
        </is>
      </c>
      <c r="C2319" s="9" t="inlineStr">
        <is>
          <t>2026-02-10</t>
        </is>
      </c>
      <c r="D2319" s="9" t="inlineStr">
        <is>
          <t>56481485063436</t>
        </is>
      </c>
      <c r="E2319" s="9" t="inlineStr"/>
      <c r="F2319" s="9" t="inlineStr">
        <is>
          <t>9</t>
        </is>
      </c>
      <c r="G2319" s="9" t="n">
        <v>3</v>
      </c>
      <c r="H2319" s="21" t="n">
        <v>5</v>
      </c>
      <c r="I2319" s="21" t="n">
        <v>105.34</v>
      </c>
      <c r="J2319" s="21" t="n">
        <v>316.03</v>
      </c>
      <c r="K2319" s="21" t="n">
        <v>368.7</v>
      </c>
      <c r="L2319" s="21" t="n">
        <v>421.37</v>
      </c>
      <c r="M2319" s="21" t="n">
        <v>500</v>
      </c>
    </row>
    <row r="2320">
      <c r="A2320" s="9" t="inlineStr">
        <is>
          <t>HAIFENG</t>
        </is>
      </c>
      <c r="B2320" s="9" t="inlineStr">
        <is>
          <t>HAIFENG 10/02/2026</t>
        </is>
      </c>
      <c r="C2320" s="9" t="inlineStr">
        <is>
          <t>2026-02-10</t>
        </is>
      </c>
      <c r="D2320" s="9" t="inlineStr">
        <is>
          <t>56481485096204</t>
        </is>
      </c>
      <c r="E2320" s="9" t="inlineStr"/>
      <c r="F2320" s="9" t="inlineStr">
        <is>
          <t>10</t>
        </is>
      </c>
      <c r="G2320" s="9" t="n">
        <v>5</v>
      </c>
      <c r="H2320" s="21" t="n">
        <v>5</v>
      </c>
      <c r="I2320" s="21" t="n">
        <v>105.34</v>
      </c>
      <c r="J2320" s="21" t="n">
        <v>316.03</v>
      </c>
      <c r="K2320" s="21" t="n">
        <v>368.7</v>
      </c>
      <c r="L2320" s="21" t="n">
        <v>421.37</v>
      </c>
      <c r="M2320" s="21" t="n">
        <v>500</v>
      </c>
    </row>
    <row r="2321">
      <c r="A2321" s="9" t="inlineStr">
        <is>
          <t>HAIFENG</t>
        </is>
      </c>
      <c r="B2321" s="9" t="inlineStr">
        <is>
          <t>HAIFENG 10/02/2026</t>
        </is>
      </c>
      <c r="C2321" s="9" t="inlineStr">
        <is>
          <t>2026-02-10</t>
        </is>
      </c>
      <c r="D2321" s="9" t="inlineStr">
        <is>
          <t>64085742114861</t>
        </is>
      </c>
      <c r="E2321" s="9" t="inlineStr"/>
      <c r="F2321" s="9" t="inlineStr">
        <is>
          <t>6</t>
        </is>
      </c>
      <c r="G2321" s="9" t="n">
        <v>2</v>
      </c>
      <c r="H2321" s="21" t="n">
        <v>6</v>
      </c>
      <c r="I2321" s="21" t="n">
        <v>126.41</v>
      </c>
      <c r="J2321" s="21" t="n">
        <v>379.23</v>
      </c>
      <c r="K2321" s="21" t="n">
        <v>442.44</v>
      </c>
      <c r="L2321" s="21" t="n">
        <v>505.64</v>
      </c>
      <c r="M2321" s="21" t="n">
        <v>499</v>
      </c>
    </row>
    <row r="2322">
      <c r="A2322" s="9" t="inlineStr">
        <is>
          <t>HAIFENG</t>
        </is>
      </c>
      <c r="B2322" s="9" t="inlineStr">
        <is>
          <t>HAIFENG 10/02/2026</t>
        </is>
      </c>
      <c r="C2322" s="9" t="inlineStr">
        <is>
          <t>2026-02-10</t>
        </is>
      </c>
      <c r="D2322" s="9" t="inlineStr">
        <is>
          <t>67201534287725</t>
        </is>
      </c>
      <c r="E2322" s="9" t="inlineStr">
        <is>
          <t>ANILLO BEAN T SILVER MINI</t>
        </is>
      </c>
      <c r="F2322" s="9" t="inlineStr">
        <is>
          <t>6</t>
        </is>
      </c>
      <c r="G2322" s="9" t="n">
        <v>1</v>
      </c>
      <c r="H2322" s="21" t="n">
        <v>5</v>
      </c>
      <c r="I2322" s="21" t="n">
        <v>105.34</v>
      </c>
      <c r="J2322" s="21" t="n">
        <v>316.03</v>
      </c>
      <c r="K2322" s="21" t="n">
        <v>368.7</v>
      </c>
      <c r="L2322" s="21" t="n">
        <v>421.37</v>
      </c>
      <c r="M2322" s="21" t="n">
        <v>495</v>
      </c>
    </row>
    <row r="2323">
      <c r="A2323" s="9" t="inlineStr">
        <is>
          <t>HAIFENG</t>
        </is>
      </c>
      <c r="B2323" s="9" t="inlineStr">
        <is>
          <t>HAIFENG 10/02/2026</t>
        </is>
      </c>
      <c r="C2323" s="9" t="inlineStr">
        <is>
          <t>2026-02-10</t>
        </is>
      </c>
      <c r="D2323" s="9" t="inlineStr">
        <is>
          <t>66009451058221</t>
        </is>
      </c>
      <c r="E2323" s="9" t="inlineStr">
        <is>
          <t>ANILLO BV BROWN</t>
        </is>
      </c>
      <c r="F2323" s="9" t="inlineStr">
        <is>
          <t>6</t>
        </is>
      </c>
      <c r="G2323" s="9" t="n">
        <v>2</v>
      </c>
      <c r="H2323" s="21" t="n">
        <v>7</v>
      </c>
      <c r="I2323" s="21" t="n">
        <v>147.48</v>
      </c>
      <c r="J2323" s="21" t="n">
        <v>442.44</v>
      </c>
      <c r="K2323" s="21" t="n">
        <v>516.1799999999999</v>
      </c>
      <c r="L2323" s="21" t="n">
        <v>589.92</v>
      </c>
      <c r="M2323" s="21" t="n">
        <v>580</v>
      </c>
    </row>
    <row r="2324">
      <c r="A2324" s="9" t="inlineStr">
        <is>
          <t>HAIFENG</t>
        </is>
      </c>
      <c r="B2324" s="9" t="inlineStr">
        <is>
          <t>HAIFENG 10/02/2026</t>
        </is>
      </c>
      <c r="C2324" s="9" t="inlineStr">
        <is>
          <t>2026-02-10</t>
        </is>
      </c>
      <c r="D2324" s="9" t="inlineStr">
        <is>
          <t>13667531088813</t>
        </is>
      </c>
      <c r="E2324" s="9" t="inlineStr">
        <is>
          <t>ANILLO BV BUMPS GOLD-BLACK</t>
        </is>
      </c>
      <c r="F2324" s="9" t="inlineStr">
        <is>
          <t>8</t>
        </is>
      </c>
      <c r="G2324" s="9" t="n">
        <v>1</v>
      </c>
      <c r="H2324" s="21" t="n">
        <v>9</v>
      </c>
      <c r="I2324" s="21" t="n">
        <v>189.62</v>
      </c>
      <c r="J2324" s="21" t="n">
        <v>568.85</v>
      </c>
      <c r="K2324" s="21" t="n">
        <v>663.66</v>
      </c>
      <c r="L2324" s="21" t="n">
        <v>758.47</v>
      </c>
      <c r="M2324" s="21" t="n">
        <v>750</v>
      </c>
    </row>
    <row r="2325">
      <c r="A2325" s="9" t="inlineStr">
        <is>
          <t>HAIFENG</t>
        </is>
      </c>
      <c r="B2325" s="9" t="inlineStr">
        <is>
          <t>HAIFENG 10/02/2026</t>
        </is>
      </c>
      <c r="C2325" s="9" t="inlineStr">
        <is>
          <t>2026-02-10</t>
        </is>
      </c>
      <c r="D2325" s="9" t="inlineStr">
        <is>
          <t>16117871577997</t>
        </is>
      </c>
      <c r="E2325" s="9" t="inlineStr">
        <is>
          <t>ANILLO BV ZERO 1 BLACK-ROSEGOLD</t>
        </is>
      </c>
      <c r="F2325" s="9" t="inlineStr">
        <is>
          <t>7</t>
        </is>
      </c>
      <c r="G2325" s="9" t="n">
        <v>1</v>
      </c>
      <c r="H2325" s="21" t="n">
        <v>7</v>
      </c>
      <c r="I2325" s="21" t="n">
        <v>147.48</v>
      </c>
      <c r="J2325" s="21" t="n">
        <v>442.44</v>
      </c>
      <c r="K2325" s="21" t="n">
        <v>516.1799999999999</v>
      </c>
      <c r="L2325" s="21" t="n">
        <v>589.92</v>
      </c>
      <c r="M2325" s="21" t="n">
        <v>580</v>
      </c>
    </row>
    <row r="2326">
      <c r="A2326" s="9" t="inlineStr">
        <is>
          <t>HAIFENG</t>
        </is>
      </c>
      <c r="B2326" s="9" t="inlineStr">
        <is>
          <t>HAIFENG 10/02/2026</t>
        </is>
      </c>
      <c r="C2326" s="9" t="inlineStr">
        <is>
          <t>2026-02-10</t>
        </is>
      </c>
      <c r="D2326" s="9" t="inlineStr">
        <is>
          <t>86347032550093</t>
        </is>
      </c>
      <c r="E2326" s="9" t="inlineStr">
        <is>
          <t>ANILLO CD DIAMOND ZIRCONIAS</t>
        </is>
      </c>
      <c r="F2326" s="9" t="inlineStr">
        <is>
          <t>7</t>
        </is>
      </c>
      <c r="G2326" s="9" t="n">
        <v>2</v>
      </c>
      <c r="H2326" s="21" t="n">
        <v>4.9</v>
      </c>
      <c r="I2326" s="21" t="n">
        <v>103.24</v>
      </c>
      <c r="J2326" s="21" t="n">
        <v>309.71</v>
      </c>
      <c r="K2326" s="21" t="n">
        <v>361.32</v>
      </c>
      <c r="L2326" s="21" t="n">
        <v>412.94</v>
      </c>
      <c r="M2326" s="21" t="n">
        <v>499</v>
      </c>
    </row>
    <row r="2327">
      <c r="A2327" s="9" t="inlineStr">
        <is>
          <t>HAIFENG</t>
        </is>
      </c>
      <c r="B2327" s="9" t="inlineStr">
        <is>
          <t>HAIFENG 10/02/2026</t>
        </is>
      </c>
      <c r="C2327" s="9" t="inlineStr">
        <is>
          <t>2026-02-10</t>
        </is>
      </c>
      <c r="D2327" s="9" t="inlineStr">
        <is>
          <t>61222821052141</t>
        </is>
      </c>
      <c r="E2327" s="9" t="inlineStr">
        <is>
          <t>ANILLO CD GRABADO GOLD BLACK ZIRCONIAS</t>
        </is>
      </c>
      <c r="F2327" s="9" t="inlineStr">
        <is>
          <t>6</t>
        </is>
      </c>
      <c r="G2327" s="9" t="n">
        <v>3</v>
      </c>
      <c r="H2327" s="21" t="n">
        <v>6.9</v>
      </c>
      <c r="I2327" s="21" t="n">
        <v>145.37</v>
      </c>
      <c r="J2327" s="21" t="n">
        <v>436.12</v>
      </c>
      <c r="K2327" s="21" t="n">
        <v>508.8</v>
      </c>
      <c r="L2327" s="21" t="n">
        <v>581.49</v>
      </c>
      <c r="M2327" s="21" t="n">
        <v>429</v>
      </c>
    </row>
    <row r="2328">
      <c r="A2328" s="9" t="inlineStr">
        <is>
          <t>HAIFENG</t>
        </is>
      </c>
      <c r="B2328" s="9" t="inlineStr">
        <is>
          <t>HAIFENG 10/02/2026</t>
        </is>
      </c>
      <c r="C2328" s="9" t="inlineStr">
        <is>
          <t>2026-02-10</t>
        </is>
      </c>
      <c r="D2328" s="9" t="inlineStr">
        <is>
          <t>66176e5ee773d</t>
        </is>
      </c>
      <c r="E2328" s="9" t="inlineStr">
        <is>
          <t>ANILLO CLASH ROSEGOLD</t>
        </is>
      </c>
      <c r="F2328" s="9" t="inlineStr">
        <is>
          <t>5</t>
        </is>
      </c>
      <c r="G2328" s="9" t="n">
        <v>2</v>
      </c>
      <c r="H2328" s="21" t="n">
        <v>10</v>
      </c>
      <c r="I2328" s="21" t="n">
        <v>210.68</v>
      </c>
      <c r="J2328" s="21" t="n">
        <v>632.05</v>
      </c>
      <c r="K2328" s="21" t="n">
        <v>737.4</v>
      </c>
      <c r="L2328" s="21" t="n">
        <v>842.74</v>
      </c>
      <c r="M2328" s="21" t="n">
        <v>850</v>
      </c>
    </row>
    <row r="2329">
      <c r="A2329" s="9" t="inlineStr">
        <is>
          <t>HAIFENG</t>
        </is>
      </c>
      <c r="B2329" s="9" t="inlineStr">
        <is>
          <t>HAIFENG 10/02/2026</t>
        </is>
      </c>
      <c r="C2329" s="9" t="inlineStr">
        <is>
          <t>2026-02-10</t>
        </is>
      </c>
      <c r="D2329" s="9" t="inlineStr">
        <is>
          <t>66176cdae92c1</t>
        </is>
      </c>
      <c r="E2329" s="9" t="inlineStr">
        <is>
          <t>ANILLO CLAVO GOLD</t>
        </is>
      </c>
      <c r="F2329" s="9" t="inlineStr">
        <is>
          <t>5 HIGH QUALITY</t>
        </is>
      </c>
      <c r="G2329" s="9" t="n">
        <v>10</v>
      </c>
      <c r="H2329" s="21" t="n">
        <v>2.5</v>
      </c>
      <c r="I2329" s="21" t="n">
        <v>52.67</v>
      </c>
      <c r="J2329" s="21" t="n">
        <v>158.01</v>
      </c>
      <c r="K2329" s="21" t="n">
        <v>184.35</v>
      </c>
      <c r="L2329" s="21" t="n">
        <v>210.68</v>
      </c>
      <c r="M2329" s="21" t="n">
        <v>400</v>
      </c>
    </row>
    <row r="2330">
      <c r="A2330" s="9" t="inlineStr">
        <is>
          <t>HAIFENG</t>
        </is>
      </c>
      <c r="B2330" s="9" t="inlineStr">
        <is>
          <t>HAIFENG 10/02/2026</t>
        </is>
      </c>
      <c r="C2330" s="9" t="inlineStr">
        <is>
          <t>2026-02-10</t>
        </is>
      </c>
      <c r="D2330" s="9" t="inlineStr">
        <is>
          <t>66176cdaf1735</t>
        </is>
      </c>
      <c r="E2330" s="9" t="inlineStr">
        <is>
          <t>ANILLO CLAVO SILVER</t>
        </is>
      </c>
      <c r="F2330" s="9" t="inlineStr">
        <is>
          <t>5 HIGH QUALITY</t>
        </is>
      </c>
      <c r="G2330" s="9" t="n">
        <v>7</v>
      </c>
      <c r="H2330" s="21" t="n">
        <v>2.5</v>
      </c>
      <c r="I2330" s="21" t="n">
        <v>52.67</v>
      </c>
      <c r="J2330" s="21" t="n">
        <v>158.01</v>
      </c>
      <c r="K2330" s="21" t="n">
        <v>184.35</v>
      </c>
      <c r="L2330" s="21" t="n">
        <v>210.68</v>
      </c>
      <c r="M2330" s="21" t="n">
        <v>400</v>
      </c>
    </row>
    <row r="2331">
      <c r="A2331" s="9" t="inlineStr">
        <is>
          <t>HAIFENG</t>
        </is>
      </c>
      <c r="B2331" s="9" t="inlineStr">
        <is>
          <t>HAIFENG 10/02/2026</t>
        </is>
      </c>
      <c r="C2331" s="9" t="inlineStr">
        <is>
          <t>2026-02-10</t>
        </is>
      </c>
      <c r="D2331" s="9" t="inlineStr">
        <is>
          <t>46509631089741</t>
        </is>
      </c>
      <c r="E2331" s="9" t="inlineStr">
        <is>
          <t>ANILLO CLAVO SPIRAL GOLD CON ZIRCONIA</t>
        </is>
      </c>
      <c r="F2331" s="9" t="inlineStr">
        <is>
          <t>6</t>
        </is>
      </c>
      <c r="G2331" s="9" t="n">
        <v>1</v>
      </c>
      <c r="H2331" s="21" t="n">
        <v>7.5</v>
      </c>
      <c r="I2331" s="21" t="n">
        <v>158.01</v>
      </c>
      <c r="J2331" s="21" t="n">
        <v>474.04</v>
      </c>
      <c r="K2331" s="21" t="n">
        <v>553.05</v>
      </c>
      <c r="L2331" s="21" t="n">
        <v>632.05</v>
      </c>
      <c r="M2331" s="21" t="n">
        <v>422</v>
      </c>
    </row>
    <row r="2332">
      <c r="A2332" s="9" t="inlineStr">
        <is>
          <t>HAIFENG</t>
        </is>
      </c>
      <c r="B2332" s="9" t="inlineStr">
        <is>
          <t>HAIFENG 10/02/2026</t>
        </is>
      </c>
      <c r="C2332" s="9" t="inlineStr">
        <is>
          <t>2026-02-10</t>
        </is>
      </c>
      <c r="D2332" s="9" t="inlineStr">
        <is>
          <t>63e0b72a8a859</t>
        </is>
      </c>
      <c r="E2332" s="9" t="inlineStr">
        <is>
          <t>ANILLO COCO GOLD</t>
        </is>
      </c>
      <c r="F2332" s="9" t="inlineStr">
        <is>
          <t>5</t>
        </is>
      </c>
      <c r="G2332" s="9" t="n">
        <v>3</v>
      </c>
      <c r="H2332" s="21" t="n">
        <v>1.8</v>
      </c>
      <c r="I2332" s="21" t="n">
        <v>37.92</v>
      </c>
      <c r="J2332" s="21" t="n">
        <v>113.77</v>
      </c>
      <c r="K2332" s="21" t="n">
        <v>132.73</v>
      </c>
      <c r="L2332" s="21" t="n">
        <v>151.69</v>
      </c>
      <c r="M2332" s="21" t="n">
        <v>400</v>
      </c>
    </row>
    <row r="2333">
      <c r="A2333" s="9" t="inlineStr">
        <is>
          <t>HAIFENG</t>
        </is>
      </c>
      <c r="B2333" s="9" t="inlineStr">
        <is>
          <t>HAIFENG 10/02/2026</t>
        </is>
      </c>
      <c r="C2333" s="9" t="inlineStr">
        <is>
          <t>2026-02-10</t>
        </is>
      </c>
      <c r="D2333" s="9" t="inlineStr">
        <is>
          <t>56481450498956</t>
        </is>
      </c>
      <c r="E2333" s="9" t="inlineStr">
        <is>
          <t>ANILLO CORAZÓN GRABADO</t>
        </is>
      </c>
      <c r="F2333" s="9" t="inlineStr">
        <is>
          <t>6</t>
        </is>
      </c>
      <c r="G2333" s="9" t="n">
        <v>8</v>
      </c>
      <c r="H2333" s="21" t="n">
        <v>5</v>
      </c>
      <c r="I2333" s="21" t="n">
        <v>105.34</v>
      </c>
      <c r="J2333" s="21" t="n">
        <v>316.03</v>
      </c>
      <c r="K2333" s="21" t="n">
        <v>368.7</v>
      </c>
      <c r="L2333" s="21" t="n">
        <v>421.37</v>
      </c>
      <c r="M2333" s="21" t="n">
        <v>450</v>
      </c>
    </row>
    <row r="2334">
      <c r="A2334" s="9" t="inlineStr">
        <is>
          <t>HAIFENG</t>
        </is>
      </c>
      <c r="B2334" s="9" t="inlineStr">
        <is>
          <t>HAIFENG 10/02/2026</t>
        </is>
      </c>
      <c r="C2334" s="9" t="inlineStr">
        <is>
          <t>2026-02-10</t>
        </is>
      </c>
      <c r="D2334" s="9" t="inlineStr">
        <is>
          <t>86347032827501</t>
        </is>
      </c>
      <c r="E2334" s="9" t="inlineStr">
        <is>
          <t>ANILLO ESLABONES ROSEGOLD ZIRCONIAS</t>
        </is>
      </c>
      <c r="F2334" s="9" t="inlineStr">
        <is>
          <t>7</t>
        </is>
      </c>
      <c r="G2334" s="9" t="n">
        <v>2</v>
      </c>
      <c r="H2334" s="21" t="n">
        <v>7</v>
      </c>
      <c r="I2334" s="21" t="n">
        <v>147.48</v>
      </c>
      <c r="J2334" s="21" t="n">
        <v>442.44</v>
      </c>
      <c r="K2334" s="21" t="n">
        <v>516.1799999999999</v>
      </c>
      <c r="L2334" s="21" t="n">
        <v>589.92</v>
      </c>
      <c r="M2334" s="21" t="n">
        <v>580</v>
      </c>
    </row>
    <row r="2335">
      <c r="A2335" s="9" t="inlineStr">
        <is>
          <t>HAIFENG</t>
        </is>
      </c>
      <c r="B2335" s="9" t="inlineStr">
        <is>
          <t>HAIFENG 10/02/2026</t>
        </is>
      </c>
      <c r="C2335" s="9" t="inlineStr">
        <is>
          <t>2026-02-10</t>
        </is>
      </c>
      <c r="D2335" s="9" t="inlineStr">
        <is>
          <t>12314361063501</t>
        </is>
      </c>
      <c r="E2335" s="9" t="inlineStr">
        <is>
          <t>ANILLO F DOBLE GOLD</t>
        </is>
      </c>
      <c r="F2335" s="9" t="inlineStr">
        <is>
          <t>AJUSTABLE</t>
        </is>
      </c>
      <c r="G2335" s="9" t="n">
        <v>2</v>
      </c>
      <c r="H2335" s="21" t="n">
        <v>7</v>
      </c>
      <c r="I2335" s="21" t="n">
        <v>147.48</v>
      </c>
      <c r="J2335" s="21" t="n">
        <v>442.44</v>
      </c>
      <c r="K2335" s="21" t="n">
        <v>516.1799999999999</v>
      </c>
      <c r="L2335" s="21" t="n">
        <v>589.92</v>
      </c>
      <c r="M2335" s="21" t="n">
        <v>620</v>
      </c>
    </row>
    <row r="2336">
      <c r="A2336" s="9" t="inlineStr">
        <is>
          <t>HAIFENG</t>
        </is>
      </c>
      <c r="B2336" s="9" t="inlineStr">
        <is>
          <t>HAIFENG 10/02/2026</t>
        </is>
      </c>
      <c r="C2336" s="9" t="inlineStr">
        <is>
          <t>2026-02-10</t>
        </is>
      </c>
      <c r="D2336" s="9" t="inlineStr">
        <is>
          <t>86347033266957</t>
        </is>
      </c>
      <c r="E2336" s="9" t="inlineStr">
        <is>
          <t>ANILLO KNOT DOBLE GOLD ZIRCONIAS</t>
        </is>
      </c>
      <c r="F2336" s="9" t="inlineStr">
        <is>
          <t>6</t>
        </is>
      </c>
      <c r="G2336" s="9" t="n">
        <v>3</v>
      </c>
      <c r="H2336" s="21" t="n">
        <v>6.5</v>
      </c>
      <c r="I2336" s="21" t="n">
        <v>136.95</v>
      </c>
      <c r="J2336" s="21" t="n">
        <v>410.84</v>
      </c>
      <c r="K2336" s="21" t="n">
        <v>479.31</v>
      </c>
      <c r="L2336" s="21" t="n">
        <v>547.78</v>
      </c>
      <c r="M2336" s="21" t="n">
        <v>550</v>
      </c>
    </row>
    <row r="2337">
      <c r="A2337" s="9" t="inlineStr">
        <is>
          <t>HAIFENG</t>
        </is>
      </c>
      <c r="B2337" s="9" t="inlineStr">
        <is>
          <t>HAIFENG 10/02/2026</t>
        </is>
      </c>
      <c r="C2337" s="9" t="inlineStr">
        <is>
          <t>2026-02-10</t>
        </is>
      </c>
      <c r="D2337" s="9" t="inlineStr">
        <is>
          <t>82224433400493</t>
        </is>
      </c>
      <c r="E2337" s="9" t="inlineStr">
        <is>
          <t>ANILLO LOVE CON ZIRCONIA GOLD</t>
        </is>
      </c>
      <c r="F2337" s="9" t="inlineStr">
        <is>
          <t>5</t>
        </is>
      </c>
      <c r="G2337" s="9" t="n">
        <v>6</v>
      </c>
      <c r="H2337" s="21" t="n">
        <v>1.8</v>
      </c>
      <c r="I2337" s="21" t="n">
        <v>37.92</v>
      </c>
      <c r="J2337" s="21" t="n">
        <v>113.77</v>
      </c>
      <c r="K2337" s="21" t="n">
        <v>132.73</v>
      </c>
      <c r="L2337" s="21" t="n">
        <v>151.69</v>
      </c>
      <c r="M2337" s="21" t="n">
        <v>450</v>
      </c>
    </row>
    <row r="2338">
      <c r="A2338" s="9" t="inlineStr">
        <is>
          <t>HAIFENG</t>
        </is>
      </c>
      <c r="B2338" s="9" t="inlineStr">
        <is>
          <t>HAIFENG 10/02/2026</t>
        </is>
      </c>
      <c r="C2338" s="9" t="inlineStr">
        <is>
          <t>2026-02-10</t>
        </is>
      </c>
      <c r="D2338" s="9" t="inlineStr">
        <is>
          <t>59436481029869</t>
        </is>
      </c>
      <c r="E2338" s="9" t="inlineStr">
        <is>
          <t>ANILLO LOVE CON ZIRCONIA SILVER</t>
        </is>
      </c>
      <c r="F2338" s="9" t="inlineStr">
        <is>
          <t>5</t>
        </is>
      </c>
      <c r="G2338" s="9" t="n">
        <v>3</v>
      </c>
      <c r="H2338" s="21" t="n">
        <v>1.8</v>
      </c>
      <c r="I2338" s="21" t="n">
        <v>37.92</v>
      </c>
      <c r="J2338" s="21" t="n">
        <v>113.77</v>
      </c>
      <c r="K2338" s="21" t="n">
        <v>132.73</v>
      </c>
      <c r="L2338" s="21" t="n">
        <v>151.69</v>
      </c>
      <c r="M2338" s="21" t="n">
        <v>450</v>
      </c>
    </row>
    <row r="2339">
      <c r="A2339" s="9" t="inlineStr">
        <is>
          <t>HAIFENG</t>
        </is>
      </c>
      <c r="B2339" s="9" t="inlineStr">
        <is>
          <t>HAIFENG 10/02/2026</t>
        </is>
      </c>
      <c r="C2339" s="9" t="inlineStr">
        <is>
          <t>2026-02-10</t>
        </is>
      </c>
      <c r="D2339" s="9" t="inlineStr">
        <is>
          <t>56481480610956</t>
        </is>
      </c>
      <c r="E2339" s="9" t="inlineStr">
        <is>
          <t>ANILLO LOVE LOVE ROSEGOLD-SILVER ZIRCONIAS</t>
        </is>
      </c>
      <c r="F2339" s="9" t="inlineStr">
        <is>
          <t>6</t>
        </is>
      </c>
      <c r="G2339" s="9" t="n">
        <v>5</v>
      </c>
      <c r="H2339" s="21" t="n">
        <v>7.5</v>
      </c>
      <c r="I2339" s="21" t="n">
        <v>158.01</v>
      </c>
      <c r="J2339" s="21" t="n">
        <v>474.04</v>
      </c>
      <c r="K2339" s="21" t="n">
        <v>553.05</v>
      </c>
      <c r="L2339" s="21" t="n">
        <v>632.05</v>
      </c>
      <c r="M2339" s="21" t="n">
        <v>620</v>
      </c>
    </row>
    <row r="2340">
      <c r="A2340" s="9" t="inlineStr">
        <is>
          <t>HAIFENG</t>
        </is>
      </c>
      <c r="B2340" s="9" t="inlineStr">
        <is>
          <t>HAIFENG 10/02/2026</t>
        </is>
      </c>
      <c r="C2340" s="9" t="inlineStr">
        <is>
          <t>2026-02-10</t>
        </is>
      </c>
      <c r="D2340" s="9" t="inlineStr">
        <is>
          <t>66593bc1df809</t>
        </is>
      </c>
      <c r="E2340" s="9" t="inlineStr">
        <is>
          <t>ANILLO LOVE MZ GOLD</t>
        </is>
      </c>
      <c r="F2340" s="9" t="inlineStr">
        <is>
          <t>5</t>
        </is>
      </c>
      <c r="G2340" s="9" t="n">
        <v>2</v>
      </c>
      <c r="H2340" s="21" t="n">
        <v>5.8</v>
      </c>
      <c r="I2340" s="21" t="n">
        <v>122.2</v>
      </c>
      <c r="J2340" s="21" t="n">
        <v>366.59</v>
      </c>
      <c r="K2340" s="21" t="n">
        <v>427.69</v>
      </c>
      <c r="L2340" s="21" t="n">
        <v>488.79</v>
      </c>
      <c r="M2340" s="21" t="n">
        <v>550</v>
      </c>
    </row>
    <row r="2341">
      <c r="A2341" s="9" t="inlineStr">
        <is>
          <t>HAIFENG</t>
        </is>
      </c>
      <c r="B2341" s="9" t="inlineStr">
        <is>
          <t>HAIFENG 10/02/2026</t>
        </is>
      </c>
      <c r="C2341" s="9" t="inlineStr">
        <is>
          <t>2026-02-10</t>
        </is>
      </c>
      <c r="D2341" s="9" t="inlineStr">
        <is>
          <t>66176c83f3f50</t>
        </is>
      </c>
      <c r="E2341" s="9" t="inlineStr">
        <is>
          <t>ANILLO LOVE SILVER</t>
        </is>
      </c>
      <c r="F2341" s="9" t="inlineStr">
        <is>
          <t>5</t>
        </is>
      </c>
      <c r="G2341" s="9" t="n">
        <v>2</v>
      </c>
      <c r="H2341" s="21" t="n">
        <v>1.8</v>
      </c>
      <c r="I2341" s="21" t="n">
        <v>37.92</v>
      </c>
      <c r="J2341" s="21" t="n">
        <v>113.77</v>
      </c>
      <c r="K2341" s="21" t="n">
        <v>132.73</v>
      </c>
      <c r="L2341" s="21" t="n">
        <v>151.69</v>
      </c>
      <c r="M2341" s="21" t="n">
        <v>400</v>
      </c>
    </row>
    <row r="2342">
      <c r="A2342" s="9" t="inlineStr">
        <is>
          <t>HAIFENG</t>
        </is>
      </c>
      <c r="B2342" s="9" t="inlineStr">
        <is>
          <t>HAIFENG 10/02/2026</t>
        </is>
      </c>
      <c r="C2342" s="9" t="inlineStr">
        <is>
          <t>2026-02-10</t>
        </is>
      </c>
      <c r="D2342" s="9" t="inlineStr">
        <is>
          <t>21206411051949</t>
        </is>
      </c>
      <c r="E2342" s="9" t="inlineStr">
        <is>
          <t>ANILLO LOVE UNLIMITED ROSEGOLD</t>
        </is>
      </c>
      <c r="F2342" s="9" t="inlineStr">
        <is>
          <t>6</t>
        </is>
      </c>
      <c r="G2342" s="9" t="n">
        <v>4</v>
      </c>
      <c r="H2342" s="21" t="n">
        <v>5</v>
      </c>
      <c r="I2342" s="21" t="n">
        <v>105.34</v>
      </c>
      <c r="J2342" s="21" t="n">
        <v>316.03</v>
      </c>
      <c r="K2342" s="21" t="n">
        <v>368.7</v>
      </c>
      <c r="L2342" s="21" t="n">
        <v>421.37</v>
      </c>
      <c r="M2342" s="21" t="n">
        <v>550</v>
      </c>
    </row>
    <row r="2343">
      <c r="A2343" s="9" t="inlineStr">
        <is>
          <t>HAIFENG</t>
        </is>
      </c>
      <c r="B2343" s="9" t="inlineStr">
        <is>
          <t>HAIFENG 10/02/2026</t>
        </is>
      </c>
      <c r="C2343" s="9" t="inlineStr">
        <is>
          <t>2026-02-10</t>
        </is>
      </c>
      <c r="D2343" s="9" t="inlineStr">
        <is>
          <t>71078751481933</t>
        </is>
      </c>
      <c r="E2343" s="9" t="inlineStr">
        <is>
          <t>ANILLO LV GRABADO SILVER</t>
        </is>
      </c>
      <c r="F2343" s="9" t="inlineStr">
        <is>
          <t>8</t>
        </is>
      </c>
      <c r="G2343" s="9" t="n">
        <v>3</v>
      </c>
      <c r="H2343" s="21" t="n">
        <v>6.99</v>
      </c>
      <c r="I2343" s="21" t="n">
        <v>147.27</v>
      </c>
      <c r="J2343" s="21" t="n">
        <v>441.81</v>
      </c>
      <c r="K2343" s="21" t="n">
        <v>515.4400000000001</v>
      </c>
      <c r="L2343" s="21" t="n">
        <v>589.08</v>
      </c>
      <c r="M2343" s="21" t="n">
        <v>599</v>
      </c>
    </row>
    <row r="2344">
      <c r="A2344" s="9" t="inlineStr">
        <is>
          <t>HAIFENG</t>
        </is>
      </c>
      <c r="B2344" s="9" t="inlineStr">
        <is>
          <t>HAIFENG 10/02/2026</t>
        </is>
      </c>
      <c r="C2344" s="9" t="inlineStr">
        <is>
          <t>2026-02-10</t>
        </is>
      </c>
      <c r="D2344" s="9" t="inlineStr">
        <is>
          <t>83765241087533</t>
        </is>
      </c>
      <c r="E2344" s="9" t="inlineStr">
        <is>
          <t>ANILLO LV INSTICT SILVER</t>
        </is>
      </c>
      <c r="F2344" s="9" t="inlineStr">
        <is>
          <t>8</t>
        </is>
      </c>
      <c r="G2344" s="9" t="n">
        <v>2</v>
      </c>
      <c r="H2344" s="21" t="n">
        <v>5.99</v>
      </c>
      <c r="I2344" s="21" t="n">
        <v>126.2</v>
      </c>
      <c r="J2344" s="21" t="n">
        <v>378.6</v>
      </c>
      <c r="K2344" s="21" t="n">
        <v>441.7</v>
      </c>
      <c r="L2344" s="21" t="n">
        <v>504.8</v>
      </c>
      <c r="M2344" s="21" t="n">
        <v>560</v>
      </c>
    </row>
    <row r="2345">
      <c r="A2345" s="9" t="inlineStr">
        <is>
          <t>HAIFENG</t>
        </is>
      </c>
      <c r="B2345" s="9" t="inlineStr">
        <is>
          <t>HAIFENG 10/02/2026</t>
        </is>
      </c>
      <c r="C2345" s="9" t="inlineStr">
        <is>
          <t>2026-02-10</t>
        </is>
      </c>
      <c r="D2345" s="9" t="inlineStr">
        <is>
          <t>64155891097709</t>
        </is>
      </c>
      <c r="E2345" s="9" t="inlineStr">
        <is>
          <t>ANILLO LV SELLO SILVER</t>
        </is>
      </c>
      <c r="F2345" s="9" t="inlineStr">
        <is>
          <t>8</t>
        </is>
      </c>
      <c r="G2345" s="9" t="n">
        <v>1</v>
      </c>
      <c r="H2345" s="21" t="n">
        <v>8.99</v>
      </c>
      <c r="I2345" s="21" t="n">
        <v>189.41</v>
      </c>
      <c r="J2345" s="21" t="n">
        <v>568.22</v>
      </c>
      <c r="K2345" s="21" t="n">
        <v>662.92</v>
      </c>
      <c r="L2345" s="21" t="n">
        <v>757.62</v>
      </c>
      <c r="M2345" s="21" t="n">
        <v>750</v>
      </c>
    </row>
    <row r="2346">
      <c r="A2346" s="9" t="inlineStr">
        <is>
          <t>HAIFENG</t>
        </is>
      </c>
      <c r="B2346" s="9" t="inlineStr">
        <is>
          <t>HAIFENG 10/02/2026</t>
        </is>
      </c>
      <c r="C2346" s="9" t="inlineStr">
        <is>
          <t>2026-02-10</t>
        </is>
      </c>
      <c r="D2346" s="9" t="inlineStr">
        <is>
          <t>86347031552269</t>
        </is>
      </c>
      <c r="E2346" s="9" t="inlineStr">
        <is>
          <t>ANILLO OLYMPE GOLD-BLACK</t>
        </is>
      </c>
      <c r="F2346" s="9" t="inlineStr">
        <is>
          <t>8</t>
        </is>
      </c>
      <c r="G2346" s="9" t="n">
        <v>5</v>
      </c>
      <c r="H2346" s="21" t="n">
        <v>9</v>
      </c>
      <c r="I2346" s="21" t="n">
        <v>189.62</v>
      </c>
      <c r="J2346" s="21" t="n">
        <v>568.85</v>
      </c>
      <c r="K2346" s="21" t="n">
        <v>663.66</v>
      </c>
      <c r="L2346" s="21" t="n">
        <v>758.47</v>
      </c>
      <c r="M2346" s="21" t="n">
        <v>520</v>
      </c>
    </row>
    <row r="2347">
      <c r="A2347" s="9" t="inlineStr">
        <is>
          <t>HAIFENG</t>
        </is>
      </c>
      <c r="B2347" s="9" t="inlineStr">
        <is>
          <t>HAIFENG 10/02/2026</t>
        </is>
      </c>
      <c r="C2347" s="9" t="inlineStr">
        <is>
          <t>2026-02-10</t>
        </is>
      </c>
      <c r="D2347" s="9" t="inlineStr">
        <is>
          <t>673cd55e4a3ca</t>
        </is>
      </c>
      <c r="E2347" s="9" t="inlineStr">
        <is>
          <t>ANILLO ONE T CON ZIRCONIA GOLD</t>
        </is>
      </c>
      <c r="F2347" s="9" t="inlineStr">
        <is>
          <t>6</t>
        </is>
      </c>
      <c r="G2347" s="9" t="n">
        <v>1</v>
      </c>
      <c r="H2347" s="21" t="n">
        <v>5</v>
      </c>
      <c r="I2347" s="21" t="n">
        <v>105.34</v>
      </c>
      <c r="J2347" s="21" t="n">
        <v>316.03</v>
      </c>
      <c r="K2347" s="21" t="n">
        <v>368.7</v>
      </c>
      <c r="L2347" s="21" t="n">
        <v>421.37</v>
      </c>
      <c r="M2347" s="21" t="n">
        <v>450</v>
      </c>
    </row>
    <row r="2348">
      <c r="A2348" s="9" t="inlineStr">
        <is>
          <t>HAIFENG</t>
        </is>
      </c>
      <c r="B2348" s="9" t="inlineStr">
        <is>
          <t>HAIFENG 10/02/2026</t>
        </is>
      </c>
      <c r="C2348" s="9" t="inlineStr">
        <is>
          <t>2026-02-10</t>
        </is>
      </c>
      <c r="D2348" s="9" t="inlineStr">
        <is>
          <t>673cd55cc4ae5</t>
        </is>
      </c>
      <c r="E2348" s="9" t="inlineStr">
        <is>
          <t>ANILLO ONE T ROSEGOLD</t>
        </is>
      </c>
      <c r="F2348" s="9" t="inlineStr">
        <is>
          <t>6</t>
        </is>
      </c>
      <c r="G2348" s="9" t="n">
        <v>1</v>
      </c>
      <c r="H2348" s="21" t="n">
        <v>4</v>
      </c>
      <c r="I2348" s="21" t="n">
        <v>84.27</v>
      </c>
      <c r="J2348" s="21" t="n">
        <v>252.82</v>
      </c>
      <c r="K2348" s="21" t="n">
        <v>294.96</v>
      </c>
      <c r="L2348" s="21" t="n">
        <v>337.1</v>
      </c>
      <c r="M2348" s="21" t="n">
        <v>400</v>
      </c>
    </row>
    <row r="2349">
      <c r="A2349" s="9" t="inlineStr">
        <is>
          <t>HAIFENG</t>
        </is>
      </c>
      <c r="B2349" s="9" t="inlineStr">
        <is>
          <t>HAIFENG 10/02/2026</t>
        </is>
      </c>
      <c r="C2349" s="9" t="inlineStr">
        <is>
          <t>2026-02-10</t>
        </is>
      </c>
      <c r="D2349" s="9" t="inlineStr">
        <is>
          <t>47861321014669</t>
        </is>
      </c>
      <c r="E2349" s="9" t="inlineStr">
        <is>
          <t>ANILLO PANTHERE BIG GOLD C</t>
        </is>
      </c>
      <c r="F2349" s="9" t="inlineStr">
        <is>
          <t>8</t>
        </is>
      </c>
      <c r="G2349" s="9" t="n">
        <v>3</v>
      </c>
      <c r="H2349" s="21" t="n">
        <v>9</v>
      </c>
      <c r="I2349" s="21" t="n">
        <v>189.62</v>
      </c>
      <c r="J2349" s="21" t="n">
        <v>568.85</v>
      </c>
      <c r="K2349" s="21" t="n">
        <v>663.66</v>
      </c>
      <c r="L2349" s="21" t="n">
        <v>758.47</v>
      </c>
      <c r="M2349" s="21" t="n">
        <v>750</v>
      </c>
    </row>
    <row r="2350">
      <c r="A2350" s="9" t="inlineStr">
        <is>
          <t>HAIFENG</t>
        </is>
      </c>
      <c r="B2350" s="9" t="inlineStr">
        <is>
          <t>HAIFENG 10/02/2026</t>
        </is>
      </c>
      <c r="C2350" s="9" t="inlineStr">
        <is>
          <t>2026-02-10</t>
        </is>
      </c>
      <c r="D2350" s="9" t="inlineStr">
        <is>
          <t>43047226540172</t>
        </is>
      </c>
      <c r="E2350" s="9" t="inlineStr">
        <is>
          <t>ANILLO SIXTEEN STONE</t>
        </is>
      </c>
      <c r="F2350" s="9" t="inlineStr">
        <is>
          <t>HIGH QUALITY 6</t>
        </is>
      </c>
      <c r="G2350" s="9" t="n">
        <v>10</v>
      </c>
      <c r="H2350" s="21" t="n">
        <v>6</v>
      </c>
      <c r="I2350" s="21" t="n">
        <v>126.41</v>
      </c>
      <c r="J2350" s="21" t="n">
        <v>379.23</v>
      </c>
      <c r="K2350" s="21" t="n">
        <v>442.44</v>
      </c>
      <c r="L2350" s="21" t="n">
        <v>505.64</v>
      </c>
      <c r="M2350" s="21" t="n">
        <v>550</v>
      </c>
    </row>
    <row r="2351">
      <c r="A2351" s="9" t="inlineStr">
        <is>
          <t>HAIFENG</t>
        </is>
      </c>
      <c r="B2351" s="9" t="inlineStr">
        <is>
          <t>HAIFENG 10/02/2026</t>
        </is>
      </c>
      <c r="C2351" s="9" t="inlineStr">
        <is>
          <t>2026-02-10</t>
        </is>
      </c>
      <c r="D2351" s="9" t="inlineStr">
        <is>
          <t>43047226540172</t>
        </is>
      </c>
      <c r="E2351" s="9" t="inlineStr">
        <is>
          <t>ANILLO SIXTEEN STONE</t>
        </is>
      </c>
      <c r="F2351" s="9" t="inlineStr">
        <is>
          <t>HIGH QUALITY 6</t>
        </is>
      </c>
      <c r="G2351" s="9" t="n">
        <v>5</v>
      </c>
      <c r="H2351" s="21" t="n">
        <v>6</v>
      </c>
      <c r="I2351" s="21" t="n">
        <v>126.41</v>
      </c>
      <c r="J2351" s="21" t="n">
        <v>379.23</v>
      </c>
      <c r="K2351" s="21" t="n">
        <v>442.44</v>
      </c>
      <c r="L2351" s="21" t="n">
        <v>505.64</v>
      </c>
      <c r="M2351" s="21" t="n">
        <v>550</v>
      </c>
    </row>
    <row r="2352">
      <c r="A2352" s="9" t="inlineStr">
        <is>
          <t>HAIFENG</t>
        </is>
      </c>
      <c r="B2352" s="9" t="inlineStr">
        <is>
          <t>HAIFENG 10/02/2026</t>
        </is>
      </c>
      <c r="C2352" s="9" t="inlineStr">
        <is>
          <t>2026-02-10</t>
        </is>
      </c>
      <c r="D2352" s="9" t="inlineStr">
        <is>
          <t>56481484246028</t>
        </is>
      </c>
      <c r="E2352" s="9" t="inlineStr">
        <is>
          <t>ANILLO SIXTEEN STONE GOLD/RED</t>
        </is>
      </c>
      <c r="F2352" s="9" t="inlineStr">
        <is>
          <t>6</t>
        </is>
      </c>
      <c r="G2352" s="9" t="n">
        <v>5</v>
      </c>
      <c r="H2352" s="21" t="n">
        <v>6</v>
      </c>
      <c r="I2352" s="21" t="n">
        <v>126.41</v>
      </c>
      <c r="J2352" s="21" t="n">
        <v>379.23</v>
      </c>
      <c r="K2352" s="21" t="n">
        <v>442.44</v>
      </c>
      <c r="L2352" s="21" t="n">
        <v>505.64</v>
      </c>
      <c r="M2352" s="21" t="n">
        <v>550</v>
      </c>
    </row>
    <row r="2353">
      <c r="A2353" s="9" t="inlineStr">
        <is>
          <t>HAIFENG</t>
        </is>
      </c>
      <c r="B2353" s="9" t="inlineStr">
        <is>
          <t>HAIFENG 10/02/2026</t>
        </is>
      </c>
      <c r="C2353" s="9" t="inlineStr">
        <is>
          <t>2026-02-10</t>
        </is>
      </c>
      <c r="D2353" s="9" t="inlineStr">
        <is>
          <t>71036879166988</t>
        </is>
      </c>
      <c r="E2353" s="9" t="inlineStr">
        <is>
          <t>ANILLO T DE COMPROMISO</t>
        </is>
      </c>
      <c r="F2353" s="9" t="inlineStr">
        <is>
          <t>6</t>
        </is>
      </c>
      <c r="G2353" s="9" t="n">
        <v>2</v>
      </c>
      <c r="H2353" s="21" t="n">
        <v>5</v>
      </c>
      <c r="I2353" s="21" t="n">
        <v>105.34</v>
      </c>
      <c r="J2353" s="21" t="n">
        <v>316.03</v>
      </c>
      <c r="K2353" s="21" t="n">
        <v>368.7</v>
      </c>
      <c r="L2353" s="21" t="n">
        <v>421.37</v>
      </c>
      <c r="M2353" s="21" t="n">
        <v>599</v>
      </c>
    </row>
    <row r="2354">
      <c r="A2354" s="9" t="inlineStr">
        <is>
          <t>HAIFENG</t>
        </is>
      </c>
      <c r="B2354" s="9" t="inlineStr">
        <is>
          <t>HAIFENG 10/02/2026</t>
        </is>
      </c>
      <c r="C2354" s="9" t="inlineStr">
        <is>
          <t>2026-02-10</t>
        </is>
      </c>
      <c r="D2354" s="9" t="inlineStr">
        <is>
          <t>86347033042765</t>
        </is>
      </c>
      <c r="E2354" s="9" t="inlineStr">
        <is>
          <t>ANILLO T ENTRELAZDOS SILVER</t>
        </is>
      </c>
      <c r="F2354" s="9" t="inlineStr">
        <is>
          <t>7</t>
        </is>
      </c>
      <c r="G2354" s="9" t="n">
        <v>4</v>
      </c>
      <c r="H2354" s="21" t="n">
        <v>6</v>
      </c>
      <c r="I2354" s="21" t="n">
        <v>126.41</v>
      </c>
      <c r="J2354" s="21" t="n">
        <v>379.23</v>
      </c>
      <c r="K2354" s="21" t="n">
        <v>442.44</v>
      </c>
      <c r="L2354" s="21" t="n">
        <v>505.64</v>
      </c>
      <c r="M2354" s="21" t="n">
        <v>740.78</v>
      </c>
    </row>
    <row r="2355">
      <c r="A2355" s="9" t="inlineStr">
        <is>
          <t>HAIFENG</t>
        </is>
      </c>
      <c r="B2355" s="9" t="inlineStr">
        <is>
          <t>HAIFENG 10/02/2026</t>
        </is>
      </c>
      <c r="C2355" s="9" t="inlineStr">
        <is>
          <t>2026-02-10</t>
        </is>
      </c>
      <c r="D2355" s="9" t="inlineStr">
        <is>
          <t>56481488554124</t>
        </is>
      </c>
      <c r="E2355" s="9" t="inlineStr">
        <is>
          <t>ANILLO TRES AROS CON ZIRCONIA</t>
        </is>
      </c>
      <c r="F2355" s="9" t="inlineStr">
        <is>
          <t>6</t>
        </is>
      </c>
      <c r="G2355" s="9" t="n">
        <v>3</v>
      </c>
      <c r="H2355" s="21" t="n">
        <v>10</v>
      </c>
      <c r="I2355" s="21" t="n">
        <v>210.68</v>
      </c>
      <c r="J2355" s="21" t="n">
        <v>632.05</v>
      </c>
      <c r="K2355" s="21" t="n">
        <v>737.4</v>
      </c>
      <c r="L2355" s="21" t="n">
        <v>842.74</v>
      </c>
      <c r="M2355" s="21" t="n">
        <v>1405</v>
      </c>
    </row>
    <row r="2356">
      <c r="A2356" s="9" t="inlineStr">
        <is>
          <t>HAIFENG</t>
        </is>
      </c>
      <c r="B2356" s="9" t="inlineStr">
        <is>
          <t>HAIFENG 10/02/2026</t>
        </is>
      </c>
      <c r="C2356" s="9" t="inlineStr">
        <is>
          <t>2026-02-10</t>
        </is>
      </c>
      <c r="D2356" s="9" t="inlineStr">
        <is>
          <t>38334521007073</t>
        </is>
      </c>
      <c r="E2356" s="9" t="inlineStr">
        <is>
          <t>ANILLO TRÉBOL GOLD</t>
        </is>
      </c>
      <c r="F2356" s="9" t="inlineStr">
        <is>
          <t>7</t>
        </is>
      </c>
      <c r="G2356" s="9" t="n">
        <v>2</v>
      </c>
      <c r="H2356" s="21" t="n">
        <v>5.99</v>
      </c>
      <c r="I2356" s="21" t="n">
        <v>126.2</v>
      </c>
      <c r="J2356" s="21" t="n">
        <v>378.6</v>
      </c>
      <c r="K2356" s="21" t="n">
        <v>441.7</v>
      </c>
      <c r="L2356" s="21" t="n">
        <v>504.8</v>
      </c>
      <c r="M2356" s="21" t="n">
        <v>599</v>
      </c>
    </row>
    <row r="2357">
      <c r="A2357" s="9" t="inlineStr">
        <is>
          <t>HAIFENG</t>
        </is>
      </c>
      <c r="B2357" s="9" t="inlineStr">
        <is>
          <t>HAIFENG 10/02/2026</t>
        </is>
      </c>
      <c r="C2357" s="9" t="inlineStr">
        <is>
          <t>2026-02-10</t>
        </is>
      </c>
      <c r="D2357" s="9" t="inlineStr">
        <is>
          <t>86347032691341</t>
        </is>
      </c>
      <c r="E2357" s="9" t="inlineStr">
        <is>
          <t>ANILLO TWO-ROW GOLD</t>
        </is>
      </c>
      <c r="F2357" s="9" t="inlineStr">
        <is>
          <t>6</t>
        </is>
      </c>
      <c r="G2357" s="9" t="n">
        <v>4</v>
      </c>
      <c r="H2357" s="21" t="n">
        <v>5.5</v>
      </c>
      <c r="I2357" s="21" t="n">
        <v>115.88</v>
      </c>
      <c r="J2357" s="21" t="n">
        <v>347.63</v>
      </c>
      <c r="K2357" s="21" t="n">
        <v>405.57</v>
      </c>
      <c r="L2357" s="21" t="n">
        <v>463.51</v>
      </c>
      <c r="M2357" s="21" t="n">
        <v>580</v>
      </c>
    </row>
    <row r="2358">
      <c r="A2358" s="9" t="inlineStr">
        <is>
          <t>HAIFENG</t>
        </is>
      </c>
      <c r="B2358" s="9" t="inlineStr">
        <is>
          <t>HAIFENG 10/02/2026</t>
        </is>
      </c>
      <c r="C2358" s="9" t="inlineStr">
        <is>
          <t>2026-02-10</t>
        </is>
      </c>
      <c r="D2358" s="9" t="inlineStr">
        <is>
          <t>89205551641453</t>
        </is>
      </c>
      <c r="E2358" s="9" t="inlineStr">
        <is>
          <t>ARETES BV ROSEGOLD-WHITE</t>
        </is>
      </c>
      <c r="F2358" s="9" t="inlineStr">
        <is>
          <t>Default Title</t>
        </is>
      </c>
      <c r="G2358" s="9" t="n">
        <v>3</v>
      </c>
      <c r="H2358" s="21" t="n">
        <v>6</v>
      </c>
      <c r="I2358" s="21" t="n">
        <v>126.41</v>
      </c>
      <c r="J2358" s="21" t="n">
        <v>379.23</v>
      </c>
      <c r="K2358" s="21" t="n">
        <v>442.44</v>
      </c>
      <c r="L2358" s="21" t="n">
        <v>505.64</v>
      </c>
      <c r="M2358" s="21" t="n">
        <v>575</v>
      </c>
    </row>
    <row r="2359">
      <c r="A2359" s="9" t="inlineStr">
        <is>
          <t>HAIFENG</t>
        </is>
      </c>
      <c r="B2359" s="9" t="inlineStr">
        <is>
          <t>HAIFENG 10/02/2026</t>
        </is>
      </c>
      <c r="C2359" s="9" t="inlineStr">
        <is>
          <t>2026-02-10</t>
        </is>
      </c>
      <c r="D2359" s="9" t="inlineStr">
        <is>
          <t>51078752492301</t>
        </is>
      </c>
      <c r="E2359" s="9" t="inlineStr">
        <is>
          <t>ARETES C GOLD</t>
        </is>
      </c>
      <c r="F2359" s="9" t="inlineStr">
        <is>
          <t>Default Title</t>
        </is>
      </c>
      <c r="G2359" s="9" t="n">
        <v>2</v>
      </c>
      <c r="H2359" s="21" t="n">
        <v>5.99</v>
      </c>
      <c r="I2359" s="21" t="n">
        <v>126.2</v>
      </c>
      <c r="J2359" s="21" t="n">
        <v>378.6</v>
      </c>
      <c r="K2359" s="21" t="n">
        <v>441.7</v>
      </c>
      <c r="L2359" s="21" t="n">
        <v>504.8</v>
      </c>
      <c r="M2359" s="21" t="n">
        <v>575</v>
      </c>
    </row>
    <row r="2360">
      <c r="A2360" s="9" t="inlineStr">
        <is>
          <t>HAIFENG</t>
        </is>
      </c>
      <c r="B2360" s="9" t="inlineStr">
        <is>
          <t>HAIFENG 10/02/2026</t>
        </is>
      </c>
      <c r="C2360" s="9" t="inlineStr">
        <is>
          <t>2026-02-10</t>
        </is>
      </c>
      <c r="D2360" s="9" t="inlineStr">
        <is>
          <t>11078752382541</t>
        </is>
      </c>
      <c r="E2360" s="9" t="inlineStr">
        <is>
          <t>ARETES C GOLD PEARL</t>
        </is>
      </c>
      <c r="F2360" s="9" t="inlineStr">
        <is>
          <t>Default Title</t>
        </is>
      </c>
      <c r="G2360" s="9" t="n">
        <v>3</v>
      </c>
      <c r="H2360" s="21" t="n">
        <v>5.99</v>
      </c>
      <c r="I2360" s="21" t="n">
        <v>126.2</v>
      </c>
      <c r="J2360" s="21" t="n">
        <v>378.6</v>
      </c>
      <c r="K2360" s="21" t="n">
        <v>441.7</v>
      </c>
      <c r="L2360" s="21" t="n">
        <v>504.8</v>
      </c>
      <c r="M2360" s="21" t="n">
        <v>499</v>
      </c>
    </row>
    <row r="2361">
      <c r="A2361" s="9" t="inlineStr">
        <is>
          <t>HAIFENG</t>
        </is>
      </c>
      <c r="B2361" s="9" t="inlineStr">
        <is>
          <t>HAIFENG 10/02/2026</t>
        </is>
      </c>
      <c r="C2361" s="9" t="inlineStr">
        <is>
          <t>2026-02-10</t>
        </is>
      </c>
      <c r="D2361" s="9" t="inlineStr">
        <is>
          <t>11078751910221</t>
        </is>
      </c>
      <c r="E2361" s="9" t="inlineStr">
        <is>
          <t>ARETES C GOLD ZIRCONIAS</t>
        </is>
      </c>
      <c r="F2361" s="9" t="inlineStr">
        <is>
          <t>Default Title</t>
        </is>
      </c>
      <c r="G2361" s="9" t="n">
        <v>3</v>
      </c>
      <c r="H2361" s="21" t="n">
        <v>5.99</v>
      </c>
      <c r="I2361" s="21" t="n">
        <v>126.2</v>
      </c>
      <c r="J2361" s="21" t="n">
        <v>378.6</v>
      </c>
      <c r="K2361" s="21" t="n">
        <v>441.7</v>
      </c>
      <c r="L2361" s="21" t="n">
        <v>504.8</v>
      </c>
      <c r="M2361" s="21" t="n">
        <v>575</v>
      </c>
    </row>
    <row r="2362">
      <c r="A2362" s="9" t="inlineStr">
        <is>
          <t>HAIFENG</t>
        </is>
      </c>
      <c r="B2362" s="9" t="inlineStr">
        <is>
          <t>HAIFENG 10/02/2026</t>
        </is>
      </c>
      <c r="C2362" s="9" t="inlineStr">
        <is>
          <t>2026-02-10</t>
        </is>
      </c>
      <c r="D2362" s="9" t="inlineStr">
        <is>
          <t>91078752530157</t>
        </is>
      </c>
      <c r="E2362" s="9" t="inlineStr">
        <is>
          <t>ARETES C SILVER</t>
        </is>
      </c>
      <c r="F2362" s="9" t="inlineStr">
        <is>
          <t>Default Title</t>
        </is>
      </c>
      <c r="G2362" s="9" t="n">
        <v>4</v>
      </c>
      <c r="H2362" s="21" t="n">
        <v>5.99</v>
      </c>
      <c r="I2362" s="21" t="n">
        <v>126.2</v>
      </c>
      <c r="J2362" s="21" t="n">
        <v>378.6</v>
      </c>
      <c r="K2362" s="21" t="n">
        <v>441.7</v>
      </c>
      <c r="L2362" s="21" t="n">
        <v>504.8</v>
      </c>
      <c r="M2362" s="21" t="n">
        <v>499</v>
      </c>
    </row>
    <row r="2363">
      <c r="A2363" s="9" t="inlineStr">
        <is>
          <t>HAIFENG</t>
        </is>
      </c>
      <c r="B2363" s="9" t="inlineStr">
        <is>
          <t>HAIFENG 10/02/2026</t>
        </is>
      </c>
      <c r="C2363" s="9" t="inlineStr">
        <is>
          <t>2026-02-10</t>
        </is>
      </c>
      <c r="D2363" s="9" t="inlineStr">
        <is>
          <t>86347032129677</t>
        </is>
      </c>
      <c r="E2363" s="9" t="inlineStr">
        <is>
          <t>ARETES CD BAROQUE GOLD-BLACK</t>
        </is>
      </c>
      <c r="F2363" s="9" t="inlineStr">
        <is>
          <t>Default Title</t>
        </is>
      </c>
      <c r="G2363" s="9" t="n">
        <v>3</v>
      </c>
      <c r="H2363" s="21" t="n">
        <v>6</v>
      </c>
      <c r="I2363" s="21" t="n">
        <v>126.41</v>
      </c>
      <c r="J2363" s="21" t="n">
        <v>379.23</v>
      </c>
      <c r="K2363" s="21" t="n">
        <v>442.44</v>
      </c>
      <c r="L2363" s="21" t="n">
        <v>505.64</v>
      </c>
      <c r="M2363" s="21" t="n">
        <v>495</v>
      </c>
    </row>
    <row r="2364">
      <c r="A2364" s="9" t="inlineStr">
        <is>
          <t>HAIFENG</t>
        </is>
      </c>
      <c r="B2364" s="9" t="inlineStr">
        <is>
          <t>HAIFENG 10/02/2026</t>
        </is>
      </c>
      <c r="C2364" s="9" t="inlineStr">
        <is>
          <t>2026-02-10</t>
        </is>
      </c>
      <c r="D2364" s="9" t="inlineStr">
        <is>
          <t>64085741359693</t>
        </is>
      </c>
      <c r="E2364" s="9" t="inlineStr">
        <is>
          <t>ARETES CLASH ROSE GOLD C</t>
        </is>
      </c>
      <c r="F2364" s="9" t="inlineStr">
        <is>
          <t>Default Title</t>
        </is>
      </c>
      <c r="G2364" s="9" t="n">
        <v>2</v>
      </c>
      <c r="H2364" s="21" t="n">
        <v>9</v>
      </c>
      <c r="I2364" s="21" t="n">
        <v>189.62</v>
      </c>
      <c r="J2364" s="21" t="n">
        <v>568.85</v>
      </c>
      <c r="K2364" s="21" t="n">
        <v>663.66</v>
      </c>
      <c r="L2364" s="21" t="n">
        <v>758.47</v>
      </c>
      <c r="M2364" s="21" t="n">
        <v>742</v>
      </c>
    </row>
    <row r="2365">
      <c r="A2365" s="9" t="inlineStr">
        <is>
          <t>HAIFENG</t>
        </is>
      </c>
      <c r="B2365" s="9" t="inlineStr">
        <is>
          <t>HAIFENG 10/02/2026</t>
        </is>
      </c>
      <c r="C2365" s="9" t="inlineStr">
        <is>
          <t>2026-02-10</t>
        </is>
      </c>
      <c r="D2365" s="9" t="inlineStr">
        <is>
          <t>665bd4a63435b</t>
        </is>
      </c>
      <c r="E2365" s="9" t="inlineStr">
        <is>
          <t>ARETES CLAVO GOLD</t>
        </is>
      </c>
      <c r="F2365" s="9" t="inlineStr">
        <is>
          <t>Default Title</t>
        </is>
      </c>
      <c r="G2365" s="9" t="n">
        <v>3</v>
      </c>
      <c r="H2365" s="21" t="n">
        <v>2.99</v>
      </c>
      <c r="I2365" s="21" t="n">
        <v>62.99</v>
      </c>
      <c r="J2365" s="21" t="n">
        <v>188.98</v>
      </c>
      <c r="K2365" s="21" t="n">
        <v>220.48</v>
      </c>
      <c r="L2365" s="21" t="n">
        <v>251.98</v>
      </c>
      <c r="M2365" s="21" t="n">
        <v>400</v>
      </c>
    </row>
    <row r="2366">
      <c r="A2366" s="9" t="inlineStr">
        <is>
          <t>HAIFENG</t>
        </is>
      </c>
      <c r="B2366" s="9" t="inlineStr">
        <is>
          <t>HAIFENG 10/02/2026</t>
        </is>
      </c>
      <c r="C2366" s="9" t="inlineStr">
        <is>
          <t>2026-02-10</t>
        </is>
      </c>
      <c r="D2366" s="9" t="inlineStr">
        <is>
          <t>86347031100845</t>
        </is>
      </c>
      <c r="E2366" s="9" t="inlineStr">
        <is>
          <t>ARETES CLAVO GOLD ZIRCONIAS</t>
        </is>
      </c>
      <c r="F2366" s="9" t="inlineStr">
        <is>
          <t>HIGH QUALITY</t>
        </is>
      </c>
      <c r="G2366" s="9" t="n">
        <v>3</v>
      </c>
      <c r="H2366" s="21" t="n">
        <v>7</v>
      </c>
      <c r="I2366" s="21" t="n">
        <v>147.48</v>
      </c>
      <c r="J2366" s="21" t="n">
        <v>442.44</v>
      </c>
      <c r="K2366" s="21" t="n">
        <v>516.1799999999999</v>
      </c>
      <c r="L2366" s="21" t="n">
        <v>589.92</v>
      </c>
      <c r="M2366" s="21" t="n">
        <v>599</v>
      </c>
    </row>
    <row r="2367">
      <c r="A2367" s="9" t="inlineStr">
        <is>
          <t>HAIFENG</t>
        </is>
      </c>
      <c r="B2367" s="9" t="inlineStr">
        <is>
          <t>HAIFENG 10/02/2026</t>
        </is>
      </c>
      <c r="C2367" s="9" t="inlineStr">
        <is>
          <t>2026-02-10</t>
        </is>
      </c>
      <c r="D2367" s="9" t="inlineStr">
        <is>
          <t>665bd4a42501a-1</t>
        </is>
      </c>
      <c r="E2367" s="9" t="inlineStr">
        <is>
          <t>ARETES CLAVO SILVER</t>
        </is>
      </c>
      <c r="F2367" s="9" t="inlineStr">
        <is>
          <t>Regular</t>
        </is>
      </c>
      <c r="G2367" s="9" t="n">
        <v>3</v>
      </c>
      <c r="H2367" s="21" t="n">
        <v>2.99</v>
      </c>
      <c r="I2367" s="21" t="n">
        <v>62.99</v>
      </c>
      <c r="J2367" s="21" t="n">
        <v>188.98</v>
      </c>
      <c r="K2367" s="21" t="n">
        <v>220.48</v>
      </c>
      <c r="L2367" s="21" t="n">
        <v>251.98</v>
      </c>
      <c r="M2367" s="21" t="n">
        <v>400</v>
      </c>
    </row>
    <row r="2368">
      <c r="A2368" s="9" t="inlineStr">
        <is>
          <t>HAIFENG</t>
        </is>
      </c>
      <c r="B2368" s="9" t="inlineStr">
        <is>
          <t>HAIFENG 10/02/2026</t>
        </is>
      </c>
      <c r="C2368" s="9" t="inlineStr">
        <is>
          <t>2026-02-10</t>
        </is>
      </c>
      <c r="D2368" s="9" t="inlineStr">
        <is>
          <t>86347031066381</t>
        </is>
      </c>
      <c r="E2368" s="9" t="inlineStr">
        <is>
          <t>ARETES CLAVO SILVER ZIRCONIAS</t>
        </is>
      </c>
      <c r="F2368" s="9" t="inlineStr">
        <is>
          <t>Default Title</t>
        </is>
      </c>
      <c r="G2368" s="9" t="n">
        <v>2</v>
      </c>
      <c r="H2368" s="21" t="n">
        <v>7</v>
      </c>
      <c r="I2368" s="21" t="n">
        <v>147.48</v>
      </c>
      <c r="J2368" s="21" t="n">
        <v>442.44</v>
      </c>
      <c r="K2368" s="21" t="n">
        <v>516.1799999999999</v>
      </c>
      <c r="L2368" s="21" t="n">
        <v>589.92</v>
      </c>
      <c r="M2368" s="21" t="n">
        <v>576.8</v>
      </c>
    </row>
    <row r="2369">
      <c r="A2369" s="9" t="inlineStr">
        <is>
          <t>HAIFENG</t>
        </is>
      </c>
      <c r="B2369" s="9" t="inlineStr">
        <is>
          <t>HAIFENG 10/02/2026</t>
        </is>
      </c>
      <c r="C2369" s="9" t="inlineStr">
        <is>
          <t>2026-02-10</t>
        </is>
      </c>
      <c r="D2369" s="9" t="inlineStr">
        <is>
          <t>12314362492941</t>
        </is>
      </c>
      <c r="E2369" s="9" t="inlineStr">
        <is>
          <t>ARETES F GOLD</t>
        </is>
      </c>
      <c r="F2369" s="9" t="inlineStr">
        <is>
          <t>Default Title</t>
        </is>
      </c>
      <c r="G2369" s="9" t="n">
        <v>1</v>
      </c>
      <c r="H2369" s="21" t="n">
        <v>6</v>
      </c>
      <c r="I2369" s="21" t="n">
        <v>126.41</v>
      </c>
      <c r="J2369" s="21" t="n">
        <v>379.23</v>
      </c>
      <c r="K2369" s="21" t="n">
        <v>442.44</v>
      </c>
      <c r="L2369" s="21" t="n">
        <v>505.64</v>
      </c>
      <c r="M2369" s="21" t="n">
        <v>499</v>
      </c>
    </row>
    <row r="2370">
      <c r="A2370" s="9" t="inlineStr">
        <is>
          <t>HAIFENG</t>
        </is>
      </c>
      <c r="B2370" s="9" t="inlineStr">
        <is>
          <t>HAIFENG 10/02/2026</t>
        </is>
      </c>
      <c r="C2370" s="9" t="inlineStr">
        <is>
          <t>2026-02-10</t>
        </is>
      </c>
      <c r="D2370" s="9" t="inlineStr">
        <is>
          <t>12314361364653</t>
        </is>
      </c>
      <c r="E2370" s="9" t="inlineStr">
        <is>
          <t>ARETES F GOLD PEARL</t>
        </is>
      </c>
      <c r="F2370" s="9" t="inlineStr">
        <is>
          <t>Default Title</t>
        </is>
      </c>
      <c r="G2370" s="9" t="n">
        <v>2</v>
      </c>
      <c r="H2370" s="21" t="n">
        <v>8</v>
      </c>
      <c r="I2370" s="21" t="n">
        <v>168.55</v>
      </c>
      <c r="J2370" s="21" t="n">
        <v>505.64</v>
      </c>
      <c r="K2370" s="21" t="n">
        <v>589.92</v>
      </c>
      <c r="L2370" s="21" t="n">
        <v>674.1900000000001</v>
      </c>
      <c r="M2370" s="21" t="n">
        <v>699</v>
      </c>
    </row>
    <row r="2371">
      <c r="A2371" s="9" t="inlineStr">
        <is>
          <t>HAIFENG</t>
        </is>
      </c>
      <c r="B2371" s="9" t="inlineStr">
        <is>
          <t>HAIFENG 10/02/2026</t>
        </is>
      </c>
      <c r="C2371" s="9" t="inlineStr">
        <is>
          <t>2026-02-10</t>
        </is>
      </c>
      <c r="D2371" s="9" t="inlineStr">
        <is>
          <t>12314362081613</t>
        </is>
      </c>
      <c r="E2371" s="9" t="inlineStr">
        <is>
          <t>ARETES F GOLD ZIRCONIAS</t>
        </is>
      </c>
      <c r="F2371" s="9" t="inlineStr">
        <is>
          <t>Default Title</t>
        </is>
      </c>
      <c r="G2371" s="9" t="n">
        <v>1</v>
      </c>
      <c r="H2371" s="21" t="n">
        <v>7</v>
      </c>
      <c r="I2371" s="21" t="n">
        <v>147.48</v>
      </c>
      <c r="J2371" s="21" t="n">
        <v>442.44</v>
      </c>
      <c r="K2371" s="21" t="n">
        <v>516.1799999999999</v>
      </c>
      <c r="L2371" s="21" t="n">
        <v>589.92</v>
      </c>
      <c r="M2371" s="21" t="n">
        <v>580</v>
      </c>
    </row>
    <row r="2372">
      <c r="A2372" s="9" t="inlineStr">
        <is>
          <t>HAIFENG</t>
        </is>
      </c>
      <c r="B2372" s="9" t="inlineStr">
        <is>
          <t>HAIFENG 10/02/2026</t>
        </is>
      </c>
      <c r="C2372" s="9" t="inlineStr">
        <is>
          <t>2026-02-10</t>
        </is>
      </c>
      <c r="D2372" s="9" t="inlineStr">
        <is>
          <t>14247351086093</t>
        </is>
      </c>
      <c r="E2372" s="9" t="inlineStr">
        <is>
          <t>ARETES F O'LOCK SILVER</t>
        </is>
      </c>
      <c r="F2372" s="9" t="inlineStr">
        <is>
          <t>Default Title</t>
        </is>
      </c>
      <c r="G2372" s="9" t="n">
        <v>1</v>
      </c>
      <c r="H2372" s="21" t="n">
        <v>8</v>
      </c>
      <c r="I2372" s="21" t="n">
        <v>168.55</v>
      </c>
      <c r="J2372" s="21" t="n">
        <v>505.64</v>
      </c>
      <c r="K2372" s="21" t="n">
        <v>589.92</v>
      </c>
      <c r="L2372" s="21" t="n">
        <v>674.1900000000001</v>
      </c>
      <c r="M2372" s="21" t="n">
        <v>670</v>
      </c>
    </row>
    <row r="2373">
      <c r="A2373" s="9" t="inlineStr">
        <is>
          <t>HAIFENG</t>
        </is>
      </c>
      <c r="B2373" s="9" t="inlineStr">
        <is>
          <t>HAIFENG 10/02/2026</t>
        </is>
      </c>
      <c r="C2373" s="9" t="inlineStr">
        <is>
          <t>2026-02-10</t>
        </is>
      </c>
      <c r="D2373" s="9" t="inlineStr">
        <is>
          <t>12314361978221</t>
        </is>
      </c>
      <c r="E2373" s="9" t="inlineStr">
        <is>
          <t>ARETES F SILVER ZIRCONIAS</t>
        </is>
      </c>
      <c r="F2373" s="9" t="inlineStr">
        <is>
          <t>Default Title</t>
        </is>
      </c>
      <c r="G2373" s="9" t="n">
        <v>2</v>
      </c>
      <c r="H2373" s="21" t="n">
        <v>7</v>
      </c>
      <c r="I2373" s="21" t="n">
        <v>147.48</v>
      </c>
      <c r="J2373" s="21" t="n">
        <v>442.44</v>
      </c>
      <c r="K2373" s="21" t="n">
        <v>516.1799999999999</v>
      </c>
      <c r="L2373" s="21" t="n">
        <v>589.92</v>
      </c>
      <c r="M2373" s="21" t="n">
        <v>580</v>
      </c>
    </row>
    <row r="2374">
      <c r="A2374" s="9" t="inlineStr">
        <is>
          <t>HAIFENG</t>
        </is>
      </c>
      <c r="B2374" s="9" t="inlineStr">
        <is>
          <t>HAIFENG 10/02/2026</t>
        </is>
      </c>
      <c r="C2374" s="9" t="inlineStr">
        <is>
          <t>2026-02-10</t>
        </is>
      </c>
      <c r="D2374" s="9" t="inlineStr">
        <is>
          <t>56481477937932</t>
        </is>
      </c>
      <c r="E2374" s="9" t="inlineStr">
        <is>
          <t>ARETES FULL HEART SILVER</t>
        </is>
      </c>
      <c r="F2374" s="9" t="inlineStr">
        <is>
          <t>Default Title</t>
        </is>
      </c>
      <c r="G2374" s="9" t="n">
        <v>14</v>
      </c>
      <c r="H2374" s="21" t="n">
        <v>5</v>
      </c>
      <c r="I2374" s="21" t="n">
        <v>105.34</v>
      </c>
      <c r="J2374" s="21" t="n">
        <v>316.03</v>
      </c>
      <c r="K2374" s="21" t="n">
        <v>368.7</v>
      </c>
      <c r="L2374" s="21" t="n">
        <v>421.37</v>
      </c>
      <c r="M2374" s="21" t="n">
        <v>450</v>
      </c>
    </row>
    <row r="2375">
      <c r="A2375" s="9" t="inlineStr">
        <is>
          <t>HAIFENG</t>
        </is>
      </c>
      <c r="B2375" s="9" t="inlineStr">
        <is>
          <t>HAIFENG 10/02/2026</t>
        </is>
      </c>
      <c r="C2375" s="9" t="inlineStr">
        <is>
          <t>2026-02-10</t>
        </is>
      </c>
      <c r="D2375" s="9" t="inlineStr">
        <is>
          <t>89790741347789</t>
        </is>
      </c>
      <c r="E2375" s="9" t="inlineStr">
        <is>
          <t>ARETES KNOT SILVER CON ZIRCONIAS</t>
        </is>
      </c>
      <c r="F2375" s="9" t="inlineStr">
        <is>
          <t>Default Title</t>
        </is>
      </c>
      <c r="G2375" s="9" t="n">
        <v>3</v>
      </c>
      <c r="H2375" s="21" t="n">
        <v>9</v>
      </c>
      <c r="I2375" s="21" t="n">
        <v>189.62</v>
      </c>
      <c r="J2375" s="21" t="n">
        <v>568.85</v>
      </c>
      <c r="K2375" s="21" t="n">
        <v>663.66</v>
      </c>
      <c r="L2375" s="21" t="n">
        <v>758.47</v>
      </c>
      <c r="M2375" s="21" t="n">
        <v>750</v>
      </c>
    </row>
    <row r="2376">
      <c r="A2376" s="9" t="inlineStr">
        <is>
          <t>HAIFENG</t>
        </is>
      </c>
      <c r="B2376" s="9" t="inlineStr">
        <is>
          <t>HAIFENG 10/02/2026</t>
        </is>
      </c>
      <c r="C2376" s="9" t="inlineStr">
        <is>
          <t>2026-02-10</t>
        </is>
      </c>
      <c r="D2376" s="9" t="inlineStr">
        <is>
          <t>64085741543021</t>
        </is>
      </c>
      <c r="E2376" s="9" t="inlineStr">
        <is>
          <t>ARETES LOVE CON MICRO ZIRCONIAS GOLD C</t>
        </is>
      </c>
      <c r="F2376" s="9" t="inlineStr">
        <is>
          <t>Default Title</t>
        </is>
      </c>
      <c r="G2376" s="9" t="n">
        <v>2</v>
      </c>
      <c r="H2376" s="21" t="n">
        <v>9</v>
      </c>
      <c r="I2376" s="21" t="n">
        <v>189.62</v>
      </c>
      <c r="J2376" s="21" t="n">
        <v>568.85</v>
      </c>
      <c r="K2376" s="21" t="n">
        <v>663.66</v>
      </c>
      <c r="L2376" s="21" t="n">
        <v>758.47</v>
      </c>
      <c r="M2376" s="21" t="n">
        <v>742</v>
      </c>
    </row>
    <row r="2377">
      <c r="A2377" s="9" t="inlineStr">
        <is>
          <t>HAIFENG</t>
        </is>
      </c>
      <c r="B2377" s="9" t="inlineStr">
        <is>
          <t>HAIFENG 10/02/2026</t>
        </is>
      </c>
      <c r="C2377" s="9" t="inlineStr">
        <is>
          <t>2026-02-10</t>
        </is>
      </c>
      <c r="D2377" s="9" t="inlineStr">
        <is>
          <t>67201535108205</t>
        </is>
      </c>
      <c r="E2377" s="9" t="inlineStr">
        <is>
          <t>ARETES MARIPOSA BICOLOR GOLD BLUE VF</t>
        </is>
      </c>
      <c r="F2377" s="9" t="inlineStr">
        <is>
          <t>Default Title</t>
        </is>
      </c>
      <c r="G2377" s="9" t="n">
        <v>2</v>
      </c>
      <c r="H2377" s="21" t="n">
        <v>7</v>
      </c>
      <c r="I2377" s="21" t="n">
        <v>147.48</v>
      </c>
      <c r="J2377" s="21" t="n">
        <v>442.44</v>
      </c>
      <c r="K2377" s="21" t="n">
        <v>516.1799999999999</v>
      </c>
      <c r="L2377" s="21" t="n">
        <v>589.92</v>
      </c>
      <c r="M2377" s="21" t="n">
        <v>599</v>
      </c>
    </row>
    <row r="2378">
      <c r="A2378" s="9" t="inlineStr">
        <is>
          <t>HAIFENG</t>
        </is>
      </c>
      <c r="B2378" s="9" t="inlineStr">
        <is>
          <t>HAIFENG 10/02/2026</t>
        </is>
      </c>
      <c r="C2378" s="9" t="inlineStr">
        <is>
          <t>2026-02-10</t>
        </is>
      </c>
      <c r="D2378" s="9" t="inlineStr">
        <is>
          <t>67201535022509</t>
        </is>
      </c>
      <c r="E2378" s="9" t="inlineStr">
        <is>
          <t>ARETES MARIPOSA ROSE GOLD WHITE VF</t>
        </is>
      </c>
      <c r="F2378" s="9" t="inlineStr">
        <is>
          <t>Default Title</t>
        </is>
      </c>
      <c r="G2378" s="9" t="n">
        <v>3</v>
      </c>
      <c r="H2378" s="21" t="n">
        <v>7</v>
      </c>
      <c r="I2378" s="21" t="n">
        <v>147.48</v>
      </c>
      <c r="J2378" s="21" t="n">
        <v>442.44</v>
      </c>
      <c r="K2378" s="21" t="n">
        <v>516.1799999999999</v>
      </c>
      <c r="L2378" s="21" t="n">
        <v>589.92</v>
      </c>
      <c r="M2378" s="21" t="n">
        <v>599</v>
      </c>
    </row>
    <row r="2379">
      <c r="A2379" s="9" t="inlineStr">
        <is>
          <t>HAIFENG</t>
        </is>
      </c>
      <c r="B2379" s="9" t="inlineStr">
        <is>
          <t>HAIFENG 10/02/2026</t>
        </is>
      </c>
      <c r="C2379" s="9" t="inlineStr">
        <is>
          <t>2026-02-10</t>
        </is>
      </c>
      <c r="D2379" s="9" t="inlineStr">
        <is>
          <t>74011331080589</t>
        </is>
      </c>
      <c r="E2379" s="9" t="inlineStr">
        <is>
          <t>ARETES MM GOLD</t>
        </is>
      </c>
      <c r="F2379" s="9" t="inlineStr">
        <is>
          <t>Default Title</t>
        </is>
      </c>
      <c r="G2379" s="9" t="n">
        <v>6</v>
      </c>
      <c r="H2379" s="21" t="n">
        <v>7</v>
      </c>
      <c r="I2379" s="21" t="n">
        <v>147.48</v>
      </c>
      <c r="J2379" s="21" t="n">
        <v>442.44</v>
      </c>
      <c r="K2379" s="21" t="n">
        <v>516.1799999999999</v>
      </c>
      <c r="L2379" s="21" t="n">
        <v>589.92</v>
      </c>
      <c r="M2379" s="21" t="n">
        <v>599</v>
      </c>
    </row>
    <row r="2380">
      <c r="A2380" s="9" t="inlineStr">
        <is>
          <t>HAIFENG</t>
        </is>
      </c>
      <c r="B2380" s="9" t="inlineStr">
        <is>
          <t>HAIFENG 10/02/2026</t>
        </is>
      </c>
      <c r="C2380" s="9" t="inlineStr">
        <is>
          <t>2026-02-10</t>
        </is>
      </c>
      <c r="D2380" s="9" t="inlineStr">
        <is>
          <t>64085741126029</t>
        </is>
      </c>
      <c r="E2380" s="9" t="inlineStr">
        <is>
          <t>ARETES PANTHERE GOLD C</t>
        </is>
      </c>
      <c r="F2380" s="9" t="inlineStr">
        <is>
          <t>Default Title</t>
        </is>
      </c>
      <c r="G2380" s="9" t="n">
        <v>2</v>
      </c>
      <c r="H2380" s="21" t="n">
        <v>6</v>
      </c>
      <c r="I2380" s="21" t="n">
        <v>126.41</v>
      </c>
      <c r="J2380" s="21" t="n">
        <v>379.23</v>
      </c>
      <c r="K2380" s="21" t="n">
        <v>442.44</v>
      </c>
      <c r="L2380" s="21" t="n">
        <v>505.64</v>
      </c>
      <c r="M2380" s="21" t="n">
        <v>499</v>
      </c>
    </row>
    <row r="2381">
      <c r="A2381" s="9" t="inlineStr">
        <is>
          <t>HAIFENG</t>
        </is>
      </c>
      <c r="B2381" s="9" t="inlineStr">
        <is>
          <t>HAIFENG 10/02/2026</t>
        </is>
      </c>
      <c r="C2381" s="9" t="inlineStr">
        <is>
          <t>2026-02-10</t>
        </is>
      </c>
      <c r="D2381" s="9" t="inlineStr">
        <is>
          <t>81078753595757</t>
        </is>
      </c>
      <c r="E2381" s="9" t="inlineStr">
        <is>
          <t>ARETES PANTHERE SILVER ZIRCONIAS</t>
        </is>
      </c>
      <c r="F2381" s="9" t="inlineStr">
        <is>
          <t>Default Title</t>
        </is>
      </c>
      <c r="G2381" s="9" t="n">
        <v>2</v>
      </c>
      <c r="H2381" s="21" t="n">
        <v>6.5</v>
      </c>
      <c r="I2381" s="21" t="n">
        <v>136.95</v>
      </c>
      <c r="J2381" s="21" t="n">
        <v>410.84</v>
      </c>
      <c r="K2381" s="21" t="n">
        <v>479.31</v>
      </c>
      <c r="L2381" s="21" t="n">
        <v>547.78</v>
      </c>
      <c r="M2381" s="21" t="n">
        <v>550</v>
      </c>
    </row>
    <row r="2382">
      <c r="A2382" s="9" t="inlineStr">
        <is>
          <t>HAIFENG</t>
        </is>
      </c>
      <c r="B2382" s="9" t="inlineStr">
        <is>
          <t>HAIFENG 10/02/2026</t>
        </is>
      </c>
      <c r="C2382" s="9" t="inlineStr">
        <is>
          <t>2026-02-10</t>
        </is>
      </c>
      <c r="D2382" s="9" t="inlineStr">
        <is>
          <t>665bb75e1389b</t>
        </is>
      </c>
      <c r="E2382" s="9" t="inlineStr">
        <is>
          <t>ARETES SCREW LOVE GOLD</t>
        </is>
      </c>
      <c r="F2382" s="9" t="inlineStr">
        <is>
          <t>MEDIUM</t>
        </is>
      </c>
      <c r="G2382" s="9" t="n">
        <v>5</v>
      </c>
      <c r="H2382" s="21" t="n">
        <v>2.99</v>
      </c>
      <c r="I2382" s="21" t="n">
        <v>62.99</v>
      </c>
      <c r="J2382" s="21" t="n">
        <v>188.98</v>
      </c>
      <c r="K2382" s="21" t="n">
        <v>220.48</v>
      </c>
      <c r="L2382" s="21" t="n">
        <v>251.98</v>
      </c>
      <c r="M2382" s="21" t="n">
        <v>550</v>
      </c>
    </row>
    <row r="2383">
      <c r="A2383" s="9" t="inlineStr">
        <is>
          <t>HAIFENG</t>
        </is>
      </c>
      <c r="B2383" s="9" t="inlineStr">
        <is>
          <t>HAIFENG 10/02/2026</t>
        </is>
      </c>
      <c r="C2383" s="9" t="inlineStr">
        <is>
          <t>2026-02-10</t>
        </is>
      </c>
      <c r="D2383" s="9" t="inlineStr">
        <is>
          <t>665bb7668ef3c</t>
        </is>
      </c>
      <c r="E2383" s="9" t="inlineStr">
        <is>
          <t>ARETES SCREW LOVE SILVER</t>
        </is>
      </c>
      <c r="F2383" s="9" t="inlineStr">
        <is>
          <t>MEDIUM</t>
        </is>
      </c>
      <c r="G2383" s="9" t="n">
        <v>3</v>
      </c>
      <c r="H2383" s="21" t="n">
        <v>2.99</v>
      </c>
      <c r="I2383" s="21" t="n">
        <v>62.99</v>
      </c>
      <c r="J2383" s="21" t="n">
        <v>188.98</v>
      </c>
      <c r="K2383" s="21" t="n">
        <v>220.48</v>
      </c>
      <c r="L2383" s="21" t="n">
        <v>251.98</v>
      </c>
      <c r="M2383" s="21" t="n">
        <v>550</v>
      </c>
    </row>
    <row r="2384">
      <c r="A2384" s="9" t="inlineStr">
        <is>
          <t>HAIFENG</t>
        </is>
      </c>
      <c r="B2384" s="9" t="inlineStr">
        <is>
          <t>HAIFENG 10/02/2026</t>
        </is>
      </c>
      <c r="C2384" s="9" t="inlineStr">
        <is>
          <t>2026-02-10</t>
        </is>
      </c>
      <c r="D2384" s="9" t="inlineStr">
        <is>
          <t>15118061083949</t>
        </is>
      </c>
      <c r="E2384" s="9" t="inlineStr">
        <is>
          <t>ARETES T CORAZÓN CON FLECHA</t>
        </is>
      </c>
      <c r="F2384" s="9" t="inlineStr">
        <is>
          <t>Default Title</t>
        </is>
      </c>
      <c r="G2384" s="9" t="n">
        <v>6</v>
      </c>
      <c r="H2384" s="21" t="n">
        <v>5</v>
      </c>
      <c r="I2384" s="21" t="n">
        <v>105.34</v>
      </c>
      <c r="J2384" s="21" t="n">
        <v>316.03</v>
      </c>
      <c r="K2384" s="21" t="n">
        <v>368.7</v>
      </c>
      <c r="L2384" s="21" t="n">
        <v>421.37</v>
      </c>
      <c r="M2384" s="21" t="n">
        <v>450</v>
      </c>
    </row>
    <row r="2385">
      <c r="A2385" s="9" t="inlineStr">
        <is>
          <t>HAIFENG</t>
        </is>
      </c>
      <c r="B2385" s="9" t="inlineStr">
        <is>
          <t>HAIFENG 10/02/2026</t>
        </is>
      </c>
      <c r="C2385" s="9" t="inlineStr">
        <is>
          <t>2026-02-10</t>
        </is>
      </c>
      <c r="D2385" s="9" t="inlineStr">
        <is>
          <t>45043621046701</t>
        </is>
      </c>
      <c r="E2385" s="9" t="inlineStr">
        <is>
          <t>ARETES T GOLD CON ZIRCONIA</t>
        </is>
      </c>
      <c r="F2385" s="9" t="inlineStr">
        <is>
          <t>Default Title</t>
        </is>
      </c>
      <c r="G2385" s="9" t="n">
        <v>2</v>
      </c>
      <c r="H2385" s="21" t="n">
        <v>10</v>
      </c>
      <c r="I2385" s="21" t="n">
        <v>210.68</v>
      </c>
      <c r="J2385" s="21" t="n">
        <v>632.05</v>
      </c>
      <c r="K2385" s="21" t="n">
        <v>737.4</v>
      </c>
      <c r="L2385" s="21" t="n">
        <v>842.74</v>
      </c>
      <c r="M2385" s="21" t="n">
        <v>749</v>
      </c>
    </row>
    <row r="2386">
      <c r="A2386" s="9" t="inlineStr">
        <is>
          <t>HAIFENG</t>
        </is>
      </c>
      <c r="B2386" s="9" t="inlineStr">
        <is>
          <t>HAIFENG 10/02/2026</t>
        </is>
      </c>
      <c r="C2386" s="9" t="inlineStr">
        <is>
          <t>2026-02-10</t>
        </is>
      </c>
      <c r="D2386" s="9" t="inlineStr">
        <is>
          <t>56481470225932</t>
        </is>
      </c>
      <c r="E2386" s="9" t="inlineStr">
        <is>
          <t>ARETES T LOVE</t>
        </is>
      </c>
      <c r="F2386" s="9" t="inlineStr">
        <is>
          <t>Default Title</t>
        </is>
      </c>
      <c r="G2386" s="9" t="n">
        <v>3</v>
      </c>
      <c r="H2386" s="21" t="n">
        <v>7</v>
      </c>
      <c r="I2386" s="21" t="n">
        <v>147.48</v>
      </c>
      <c r="J2386" s="21" t="n">
        <v>442.44</v>
      </c>
      <c r="K2386" s="21" t="n">
        <v>516.1799999999999</v>
      </c>
      <c r="L2386" s="21" t="n">
        <v>589.92</v>
      </c>
      <c r="M2386" s="21" t="n">
        <v>650</v>
      </c>
    </row>
    <row r="2387">
      <c r="A2387" s="9" t="inlineStr">
        <is>
          <t>HAIFENG</t>
        </is>
      </c>
      <c r="B2387" s="9" t="inlineStr">
        <is>
          <t>HAIFENG 10/02/2026</t>
        </is>
      </c>
      <c r="C2387" s="9" t="inlineStr">
        <is>
          <t>2026-02-10</t>
        </is>
      </c>
      <c r="D2387" s="9" t="inlineStr">
        <is>
          <t>661784a190a7f</t>
        </is>
      </c>
      <c r="E2387" s="9" t="inlineStr">
        <is>
          <t>ARETES TREBOL GOLD-RED</t>
        </is>
      </c>
      <c r="F2387" s="9" t="inlineStr">
        <is>
          <t>HIGH QUALITY</t>
        </is>
      </c>
      <c r="G2387" s="9" t="n">
        <v>2</v>
      </c>
      <c r="H2387" s="21" t="n">
        <v>8</v>
      </c>
      <c r="I2387" s="21" t="n">
        <v>168.55</v>
      </c>
      <c r="J2387" s="21" t="n">
        <v>505.64</v>
      </c>
      <c r="K2387" s="21" t="n">
        <v>589.92</v>
      </c>
      <c r="L2387" s="21" t="n">
        <v>674.1900000000001</v>
      </c>
      <c r="M2387" s="21" t="n">
        <v>832</v>
      </c>
    </row>
    <row r="2388">
      <c r="A2388" s="9" t="inlineStr">
        <is>
          <t>HAIFENG</t>
        </is>
      </c>
      <c r="B2388" s="9" t="inlineStr">
        <is>
          <t>HAIFENG 10/02/2026</t>
        </is>
      </c>
      <c r="C2388" s="9" t="inlineStr">
        <is>
          <t>2026-02-10</t>
        </is>
      </c>
      <c r="D2388" s="9" t="inlineStr">
        <is>
          <t>66b6834cd5e9b</t>
        </is>
      </c>
      <c r="E2388" s="9" t="inlineStr">
        <is>
          <t>ARETES TRINITY</t>
        </is>
      </c>
      <c r="F2388" s="9" t="inlineStr">
        <is>
          <t>1.5 cm</t>
        </is>
      </c>
      <c r="G2388" s="9" t="n">
        <v>2</v>
      </c>
      <c r="H2388" s="21" t="n">
        <v>8</v>
      </c>
      <c r="I2388" s="21" t="n">
        <v>168.55</v>
      </c>
      <c r="J2388" s="21" t="n">
        <v>505.64</v>
      </c>
      <c r="K2388" s="21" t="n">
        <v>589.92</v>
      </c>
      <c r="L2388" s="21" t="n">
        <v>674.1900000000001</v>
      </c>
      <c r="M2388" s="21" t="n">
        <v>550</v>
      </c>
    </row>
    <row r="2389">
      <c r="A2389" s="9" t="inlineStr">
        <is>
          <t>HAIFENG</t>
        </is>
      </c>
      <c r="B2389" s="9" t="inlineStr">
        <is>
          <t>HAIFENG 10/02/2026</t>
        </is>
      </c>
      <c r="C2389" s="9" t="inlineStr">
        <is>
          <t>2026-02-10</t>
        </is>
      </c>
      <c r="D2389" s="9" t="inlineStr">
        <is>
          <t>665bb779989a5</t>
        </is>
      </c>
      <c r="E2389" s="9" t="inlineStr">
        <is>
          <t>ARETES TRÉBOL GOLD-WHITE</t>
        </is>
      </c>
      <c r="F2389" s="9" t="inlineStr">
        <is>
          <t>HIGH QUALITY</t>
        </is>
      </c>
      <c r="G2389" s="9" t="n">
        <v>2</v>
      </c>
      <c r="H2389" s="21" t="n">
        <v>8</v>
      </c>
      <c r="I2389" s="21" t="n">
        <v>168.55</v>
      </c>
      <c r="J2389" s="21" t="n">
        <v>505.64</v>
      </c>
      <c r="K2389" s="21" t="n">
        <v>589.92</v>
      </c>
      <c r="L2389" s="21" t="n">
        <v>674.1900000000001</v>
      </c>
      <c r="M2389" s="21" t="n">
        <v>699</v>
      </c>
    </row>
    <row r="2390">
      <c r="A2390" s="9" t="inlineStr">
        <is>
          <t>HAIFENG</t>
        </is>
      </c>
      <c r="B2390" s="9" t="inlineStr">
        <is>
          <t>HAIFENG 10/02/2026</t>
        </is>
      </c>
      <c r="C2390" s="9" t="inlineStr">
        <is>
          <t>2026-02-10</t>
        </is>
      </c>
      <c r="D2390" s="9" t="inlineStr">
        <is>
          <t>21078752836941</t>
        </is>
      </c>
      <c r="E2390" s="9" t="inlineStr">
        <is>
          <t>ARRACADAS C GOLD ZIRCONIAS</t>
        </is>
      </c>
      <c r="F2390" s="9" t="inlineStr">
        <is>
          <t>Default Title</t>
        </is>
      </c>
      <c r="G2390" s="9" t="n">
        <v>4</v>
      </c>
      <c r="H2390" s="21" t="n">
        <v>7</v>
      </c>
      <c r="I2390" s="21" t="n">
        <v>147.48</v>
      </c>
      <c r="J2390" s="21" t="n">
        <v>442.44</v>
      </c>
      <c r="K2390" s="21" t="n">
        <v>516.1799999999999</v>
      </c>
      <c r="L2390" s="21" t="n">
        <v>589.92</v>
      </c>
      <c r="M2390" s="21" t="n">
        <v>620</v>
      </c>
    </row>
    <row r="2391">
      <c r="A2391" s="9" t="inlineStr">
        <is>
          <t>HAIFENG</t>
        </is>
      </c>
      <c r="B2391" s="9" t="inlineStr">
        <is>
          <t>HAIFENG 10/02/2026</t>
        </is>
      </c>
      <c r="C2391" s="9" t="inlineStr">
        <is>
          <t>2026-02-10</t>
        </is>
      </c>
      <c r="D2391" s="9" t="inlineStr">
        <is>
          <t>12314361226797</t>
        </is>
      </c>
      <c r="E2391" s="9" t="inlineStr">
        <is>
          <t>ARRACADAS COLGANTES F ZIRCONIA</t>
        </is>
      </c>
      <c r="F2391" s="9" t="inlineStr">
        <is>
          <t>Default Title</t>
        </is>
      </c>
      <c r="G2391" s="9" t="n">
        <v>1</v>
      </c>
      <c r="H2391" s="21" t="n">
        <v>8</v>
      </c>
      <c r="I2391" s="21" t="n">
        <v>168.55</v>
      </c>
      <c r="J2391" s="21" t="n">
        <v>505.64</v>
      </c>
      <c r="K2391" s="21" t="n">
        <v>589.92</v>
      </c>
      <c r="L2391" s="21" t="n">
        <v>674.1900000000001</v>
      </c>
      <c r="M2391" s="21" t="n">
        <v>435</v>
      </c>
    </row>
    <row r="2392">
      <c r="A2392" s="9" t="inlineStr">
        <is>
          <t>HAIFENG</t>
        </is>
      </c>
      <c r="B2392" s="9" t="inlineStr">
        <is>
          <t>HAIFENG 10/02/2026</t>
        </is>
      </c>
      <c r="C2392" s="9" t="inlineStr">
        <is>
          <t>2026-02-10</t>
        </is>
      </c>
      <c r="D2392" s="9" t="inlineStr">
        <is>
          <t>12314362540493</t>
        </is>
      </c>
      <c r="E2392" s="9" t="inlineStr">
        <is>
          <t>ARRACADAS F GOLD-BLACK</t>
        </is>
      </c>
      <c r="F2392" s="9" t="inlineStr">
        <is>
          <t>Default Title</t>
        </is>
      </c>
      <c r="G2392" s="9" t="n">
        <v>4</v>
      </c>
      <c r="H2392" s="21" t="n">
        <v>7</v>
      </c>
      <c r="I2392" s="21" t="n">
        <v>147.48</v>
      </c>
      <c r="J2392" s="21" t="n">
        <v>442.44</v>
      </c>
      <c r="K2392" s="21" t="n">
        <v>516.1799999999999</v>
      </c>
      <c r="L2392" s="21" t="n">
        <v>589.92</v>
      </c>
      <c r="M2392" s="21" t="n">
        <v>670</v>
      </c>
    </row>
    <row r="2393">
      <c r="A2393" s="9" t="inlineStr">
        <is>
          <t>HAIFENG</t>
        </is>
      </c>
      <c r="B2393" s="9" t="inlineStr">
        <is>
          <t>HAIFENG 10/02/2026</t>
        </is>
      </c>
      <c r="C2393" s="9" t="inlineStr">
        <is>
          <t>2026-02-10</t>
        </is>
      </c>
      <c r="D2393" s="9" t="inlineStr">
        <is>
          <t>86347033785069</t>
        </is>
      </c>
      <c r="E2393" s="9" t="inlineStr">
        <is>
          <t>ARRACADAS KNOT ROSEGOLD ZIRCONIAS</t>
        </is>
      </c>
      <c r="F2393" s="9" t="inlineStr">
        <is>
          <t>Default Title</t>
        </is>
      </c>
      <c r="G2393" s="9" t="n">
        <v>2</v>
      </c>
      <c r="H2393" s="21" t="n">
        <v>8</v>
      </c>
      <c r="I2393" s="21" t="n">
        <v>168.55</v>
      </c>
      <c r="J2393" s="21" t="n">
        <v>505.64</v>
      </c>
      <c r="K2393" s="21" t="n">
        <v>589.92</v>
      </c>
      <c r="L2393" s="21" t="n">
        <v>674.1900000000001</v>
      </c>
      <c r="M2393" s="21" t="n">
        <v>670</v>
      </c>
    </row>
    <row r="2394">
      <c r="A2394" s="9" t="inlineStr">
        <is>
          <t>HAIFENG</t>
        </is>
      </c>
      <c r="B2394" s="9" t="inlineStr">
        <is>
          <t>HAIFENG 10/02/2026</t>
        </is>
      </c>
      <c r="C2394" s="9" t="inlineStr">
        <is>
          <t>2026-02-10</t>
        </is>
      </c>
      <c r="D2394" s="9" t="inlineStr">
        <is>
          <t>86347031202541</t>
        </is>
      </c>
      <c r="E2394" s="9" t="inlineStr">
        <is>
          <t>ARRACADAS LOVELOVE ROSEGOLD</t>
        </is>
      </c>
      <c r="F2394" s="9" t="inlineStr">
        <is>
          <t>Default Title</t>
        </is>
      </c>
      <c r="G2394" s="9" t="n">
        <v>3</v>
      </c>
      <c r="H2394" s="21" t="n">
        <v>6.5</v>
      </c>
      <c r="I2394" s="21" t="n">
        <v>136.95</v>
      </c>
      <c r="J2394" s="21" t="n">
        <v>410.84</v>
      </c>
      <c r="K2394" s="21" t="n">
        <v>479.31</v>
      </c>
      <c r="L2394" s="21" t="n">
        <v>547.78</v>
      </c>
      <c r="M2394" s="21" t="n">
        <v>536</v>
      </c>
    </row>
    <row r="2395">
      <c r="A2395" s="9" t="inlineStr">
        <is>
          <t>HAIFENG</t>
        </is>
      </c>
      <c r="B2395" s="9" t="inlineStr">
        <is>
          <t>HAIFENG 10/02/2026</t>
        </is>
      </c>
      <c r="C2395" s="9" t="inlineStr">
        <is>
          <t>2026-02-10</t>
        </is>
      </c>
      <c r="D2395" s="9" t="inlineStr">
        <is>
          <t>86347031304237</t>
        </is>
      </c>
      <c r="E2395" s="9" t="inlineStr">
        <is>
          <t>ARRACADAS LOVELOVE SILVER</t>
        </is>
      </c>
      <c r="F2395" s="9" t="inlineStr">
        <is>
          <t>Default Title</t>
        </is>
      </c>
      <c r="G2395" s="9" t="n">
        <v>2</v>
      </c>
      <c r="H2395" s="21" t="n">
        <v>6.5</v>
      </c>
      <c r="I2395" s="21" t="n">
        <v>136.95</v>
      </c>
      <c r="J2395" s="21" t="n">
        <v>410.84</v>
      </c>
      <c r="K2395" s="21" t="n">
        <v>479.31</v>
      </c>
      <c r="L2395" s="21" t="n">
        <v>547.78</v>
      </c>
      <c r="M2395" s="21" t="n">
        <v>536</v>
      </c>
    </row>
    <row r="2396">
      <c r="A2396" s="9" t="inlineStr">
        <is>
          <t>HAIFENG</t>
        </is>
      </c>
      <c r="B2396" s="9" t="inlineStr">
        <is>
          <t>HAIFENG 10/02/2026</t>
        </is>
      </c>
      <c r="C2396" s="9" t="inlineStr">
        <is>
          <t>2026-02-10</t>
        </is>
      </c>
      <c r="D2396" s="9" t="inlineStr">
        <is>
          <t>47076841262765</t>
        </is>
      </c>
      <c r="E2396" s="9" t="inlineStr">
        <is>
          <t>ARRACADAS T GOLD CON ZIRCONIA</t>
        </is>
      </c>
      <c r="F2396" s="9" t="inlineStr">
        <is>
          <t>Default Title</t>
        </is>
      </c>
      <c r="G2396" s="9" t="n">
        <v>2</v>
      </c>
      <c r="H2396" s="21" t="n">
        <v>7</v>
      </c>
      <c r="I2396" s="21" t="n">
        <v>147.48</v>
      </c>
      <c r="J2396" s="21" t="n">
        <v>442.44</v>
      </c>
      <c r="K2396" s="21" t="n">
        <v>516.1799999999999</v>
      </c>
      <c r="L2396" s="21" t="n">
        <v>589.92</v>
      </c>
      <c r="M2396" s="21" t="n">
        <v>580</v>
      </c>
    </row>
    <row r="2397">
      <c r="A2397" s="9" t="inlineStr">
        <is>
          <t>HAIFENG</t>
        </is>
      </c>
      <c r="B2397" s="9" t="inlineStr">
        <is>
          <t>HAIFENG 10/02/2026</t>
        </is>
      </c>
      <c r="C2397" s="9" t="inlineStr">
        <is>
          <t>2026-02-10</t>
        </is>
      </c>
      <c r="D2397" s="9" t="inlineStr">
        <is>
          <t>665bb91f1ebf4</t>
        </is>
      </c>
      <c r="E2397" s="9" t="inlineStr">
        <is>
          <t>BRAZALETE CLASH ROSE GOLD</t>
        </is>
      </c>
      <c r="F2397" s="9" t="inlineStr">
        <is>
          <t>16CM</t>
        </is>
      </c>
      <c r="G2397" s="9" t="n">
        <v>4</v>
      </c>
      <c r="H2397" s="21" t="n">
        <v>22</v>
      </c>
      <c r="I2397" s="21" t="n">
        <v>463.51</v>
      </c>
      <c r="J2397" s="21" t="n">
        <v>1390.52</v>
      </c>
      <c r="K2397" s="21" t="n">
        <v>1622.27</v>
      </c>
      <c r="L2397" s="21" t="n">
        <v>1854.03</v>
      </c>
      <c r="M2397" s="21" t="n">
        <v>1840</v>
      </c>
    </row>
    <row r="2398">
      <c r="A2398" s="9" t="inlineStr">
        <is>
          <t>HAIFENG</t>
        </is>
      </c>
      <c r="B2398" s="9" t="inlineStr">
        <is>
          <t>HAIFENG 10/02/2026</t>
        </is>
      </c>
      <c r="C2398" s="9" t="inlineStr">
        <is>
          <t>2026-02-10</t>
        </is>
      </c>
      <c r="D2398" s="9" t="inlineStr">
        <is>
          <t>665bb920c632c</t>
        </is>
      </c>
      <c r="E2398" s="9" t="inlineStr">
        <is>
          <t>BRAZALETE CLASH SILVER</t>
        </is>
      </c>
      <c r="F2398" s="9" t="inlineStr">
        <is>
          <t>16CM</t>
        </is>
      </c>
      <c r="G2398" s="9" t="n">
        <v>1</v>
      </c>
      <c r="H2398" s="21" t="n">
        <v>22</v>
      </c>
      <c r="I2398" s="21" t="n">
        <v>463.51</v>
      </c>
      <c r="J2398" s="21" t="n">
        <v>1390.52</v>
      </c>
      <c r="K2398" s="21" t="n">
        <v>1622.27</v>
      </c>
      <c r="L2398" s="21" t="n">
        <v>1854.03</v>
      </c>
      <c r="M2398" s="21" t="n">
        <v>1850</v>
      </c>
    </row>
    <row r="2399">
      <c r="A2399" s="9" t="inlineStr">
        <is>
          <t>HAIFENG</t>
        </is>
      </c>
      <c r="B2399" s="9" t="inlineStr">
        <is>
          <t>HAIFENG 10/02/2026</t>
        </is>
      </c>
      <c r="C2399" s="9" t="inlineStr">
        <is>
          <t>2026-02-10</t>
        </is>
      </c>
      <c r="D2399" s="9" t="inlineStr">
        <is>
          <t>12314362665261</t>
        </is>
      </c>
      <c r="E2399" s="9" t="inlineStr">
        <is>
          <t>BRAZALETE F GOLD ZIRCONIAS</t>
        </is>
      </c>
      <c r="F2399" s="9" t="inlineStr">
        <is>
          <t>0.5 cm</t>
        </is>
      </c>
      <c r="G2399" s="9" t="n">
        <v>1</v>
      </c>
      <c r="H2399" s="21" t="n">
        <v>10</v>
      </c>
      <c r="I2399" s="21" t="n">
        <v>210.68</v>
      </c>
      <c r="J2399" s="21" t="n">
        <v>632.05</v>
      </c>
      <c r="K2399" s="21" t="n">
        <v>737.4</v>
      </c>
      <c r="L2399" s="21" t="n">
        <v>842.74</v>
      </c>
      <c r="M2399" s="21" t="n">
        <v>840</v>
      </c>
    </row>
    <row r="2400">
      <c r="A2400" s="9" t="inlineStr">
        <is>
          <t>HAIFENG</t>
        </is>
      </c>
      <c r="B2400" s="9" t="inlineStr">
        <is>
          <t>HAIFENG 10/02/2026</t>
        </is>
      </c>
      <c r="C2400" s="9" t="inlineStr">
        <is>
          <t>2026-02-10</t>
        </is>
      </c>
      <c r="D2400" s="9" t="inlineStr">
        <is>
          <t>12314363576653</t>
        </is>
      </c>
      <c r="E2400" s="9" t="inlineStr">
        <is>
          <t>BRAZALETE F LOGOS GOLD</t>
        </is>
      </c>
      <c r="F2400" s="9" t="inlineStr">
        <is>
          <t>Default Title</t>
        </is>
      </c>
      <c r="G2400" s="9" t="n">
        <v>2</v>
      </c>
      <c r="H2400" s="21" t="n">
        <v>10</v>
      </c>
      <c r="I2400" s="21" t="n">
        <v>210.68</v>
      </c>
      <c r="J2400" s="21" t="n">
        <v>632.05</v>
      </c>
      <c r="K2400" s="21" t="n">
        <v>737.4</v>
      </c>
      <c r="L2400" s="21" t="n">
        <v>842.74</v>
      </c>
      <c r="M2400" s="21" t="n">
        <v>840</v>
      </c>
    </row>
    <row r="2401">
      <c r="A2401" s="9" t="inlineStr">
        <is>
          <t>HAIFENG</t>
        </is>
      </c>
      <c r="B2401" s="9" t="inlineStr">
        <is>
          <t>HAIFENG 10/02/2026</t>
        </is>
      </c>
      <c r="C2401" s="9" t="inlineStr">
        <is>
          <t>2026-02-10</t>
        </is>
      </c>
      <c r="D2401" s="9" t="inlineStr">
        <is>
          <t>86347031857357</t>
        </is>
      </c>
      <c r="E2401" s="9" t="inlineStr">
        <is>
          <t>BRAZALETE H UNI GOLD-BLACK</t>
        </is>
      </c>
      <c r="F2401" s="9" t="inlineStr">
        <is>
          <t>Default Title</t>
        </is>
      </c>
      <c r="G2401" s="9" t="n">
        <v>2</v>
      </c>
      <c r="H2401" s="21" t="n">
        <v>15</v>
      </c>
      <c r="I2401" s="21" t="n">
        <v>316.03</v>
      </c>
      <c r="J2401" s="21" t="n">
        <v>948.08</v>
      </c>
      <c r="K2401" s="21" t="n">
        <v>1106.1</v>
      </c>
      <c r="L2401" s="21" t="n">
        <v>1264.11</v>
      </c>
      <c r="M2401" s="21" t="n">
        <v>1236</v>
      </c>
    </row>
    <row r="2402">
      <c r="A2402" s="9" t="inlineStr">
        <is>
          <t>HAIFENG</t>
        </is>
      </c>
      <c r="B2402" s="9" t="inlineStr">
        <is>
          <t>HAIFENG 10/02/2026</t>
        </is>
      </c>
      <c r="C2402" s="9" t="inlineStr">
        <is>
          <t>2026-02-10</t>
        </is>
      </c>
      <c r="D2402" s="9" t="inlineStr">
        <is>
          <t>66768001258381</t>
        </is>
      </c>
      <c r="E2402" s="9" t="inlineStr">
        <is>
          <t>BRAZALETE KELLY CLIC H GOLD</t>
        </is>
      </c>
      <c r="F2402" s="9" t="inlineStr">
        <is>
          <t>Default Title</t>
        </is>
      </c>
      <c r="G2402" s="9" t="n">
        <v>6</v>
      </c>
      <c r="H2402" s="21" t="n">
        <v>10</v>
      </c>
      <c r="I2402" s="21" t="n">
        <v>210.68</v>
      </c>
      <c r="J2402" s="21" t="n">
        <v>632.05</v>
      </c>
      <c r="K2402" s="21" t="n">
        <v>737.4</v>
      </c>
      <c r="L2402" s="21" t="n">
        <v>842.74</v>
      </c>
      <c r="M2402" s="21" t="n">
        <v>824</v>
      </c>
    </row>
    <row r="2403">
      <c r="A2403" s="9" t="inlineStr">
        <is>
          <t>HAIFENG</t>
        </is>
      </c>
      <c r="B2403" s="9" t="inlineStr">
        <is>
          <t>HAIFENG 10/02/2026</t>
        </is>
      </c>
      <c r="C2403" s="9" t="inlineStr">
        <is>
          <t>2026-02-10</t>
        </is>
      </c>
      <c r="D2403" s="9" t="inlineStr">
        <is>
          <t>86347033884525</t>
        </is>
      </c>
      <c r="E2403" s="9" t="inlineStr">
        <is>
          <t>BRAZALETE PERETTI GOLD ZIRCONIAS</t>
        </is>
      </c>
      <c r="F2403" s="9" t="inlineStr">
        <is>
          <t>Default Title</t>
        </is>
      </c>
      <c r="G2403" s="9" t="n">
        <v>2</v>
      </c>
      <c r="H2403" s="21" t="n">
        <v>8</v>
      </c>
      <c r="I2403" s="21" t="n">
        <v>168.55</v>
      </c>
      <c r="J2403" s="21" t="n">
        <v>505.64</v>
      </c>
      <c r="K2403" s="21" t="n">
        <v>589.92</v>
      </c>
      <c r="L2403" s="21" t="n">
        <v>674.1900000000001</v>
      </c>
      <c r="M2403" s="21" t="n">
        <v>740</v>
      </c>
    </row>
    <row r="2404">
      <c r="A2404" s="9" t="inlineStr">
        <is>
          <t>HAIFENG</t>
        </is>
      </c>
      <c r="B2404" s="9" t="inlineStr">
        <is>
          <t>HAIFENG 10/02/2026</t>
        </is>
      </c>
      <c r="C2404" s="9" t="inlineStr">
        <is>
          <t>2026-02-10</t>
        </is>
      </c>
      <c r="D2404" s="9" t="inlineStr">
        <is>
          <t>63e0bdd7637c5</t>
        </is>
      </c>
      <c r="E2404" s="9" t="inlineStr">
        <is>
          <t>COLLAR ARO LOVE GOLD</t>
        </is>
      </c>
      <c r="F2404" s="9" t="inlineStr">
        <is>
          <t>42cm</t>
        </is>
      </c>
      <c r="G2404" s="9" t="n">
        <v>2</v>
      </c>
      <c r="H2404" s="21" t="n">
        <v>4.7</v>
      </c>
      <c r="I2404" s="21" t="n">
        <v>99.02</v>
      </c>
      <c r="J2404" s="21" t="n">
        <v>297.07</v>
      </c>
      <c r="K2404" s="21" t="n">
        <v>346.58</v>
      </c>
      <c r="L2404" s="21" t="n">
        <v>396.09</v>
      </c>
      <c r="M2404" s="21" t="n">
        <v>460</v>
      </c>
    </row>
    <row r="2405">
      <c r="A2405" s="9" t="inlineStr">
        <is>
          <t>HAIFENG</t>
        </is>
      </c>
      <c r="B2405" s="9" t="inlineStr">
        <is>
          <t>HAIFENG 10/02/2026</t>
        </is>
      </c>
      <c r="C2405" s="9" t="inlineStr">
        <is>
          <t>2026-02-10</t>
        </is>
      </c>
      <c r="D2405" s="9" t="inlineStr">
        <is>
          <t>56481484584844</t>
        </is>
      </c>
      <c r="E2405" s="9" t="inlineStr">
        <is>
          <t>COLLAR BEAN GOLD</t>
        </is>
      </c>
      <c r="F2405" s="9" t="inlineStr">
        <is>
          <t>41cm con 5cm de extensión</t>
        </is>
      </c>
      <c r="G2405" s="9" t="n">
        <v>8</v>
      </c>
      <c r="H2405" s="21" t="n">
        <v>6</v>
      </c>
      <c r="I2405" s="21" t="n">
        <v>126.41</v>
      </c>
      <c r="J2405" s="21" t="n">
        <v>379.23</v>
      </c>
      <c r="K2405" s="21" t="n">
        <v>442.44</v>
      </c>
      <c r="L2405" s="21" t="n">
        <v>505.64</v>
      </c>
      <c r="M2405" s="21" t="n">
        <v>520</v>
      </c>
    </row>
    <row r="2406">
      <c r="A2406" s="9" t="inlineStr">
        <is>
          <t>HAIFENG</t>
        </is>
      </c>
      <c r="B2406" s="9" t="inlineStr">
        <is>
          <t>HAIFENG 10/02/2026</t>
        </is>
      </c>
      <c r="C2406" s="9" t="inlineStr">
        <is>
          <t>2026-02-10</t>
        </is>
      </c>
      <c r="D2406" s="9" t="inlineStr">
        <is>
          <t>56481482264076</t>
        </is>
      </c>
      <c r="E2406" s="9" t="inlineStr">
        <is>
          <t>COLLAR BEAN SILVER</t>
        </is>
      </c>
      <c r="F2406" s="9" t="inlineStr">
        <is>
          <t>41cm con 5cm de extensión</t>
        </is>
      </c>
      <c r="G2406" s="9" t="n">
        <v>8</v>
      </c>
      <c r="H2406" s="21" t="n">
        <v>6</v>
      </c>
      <c r="I2406" s="21" t="n">
        <v>126.41</v>
      </c>
      <c r="J2406" s="21" t="n">
        <v>379.23</v>
      </c>
      <c r="K2406" s="21" t="n">
        <v>442.44</v>
      </c>
      <c r="L2406" s="21" t="n">
        <v>505.64</v>
      </c>
      <c r="M2406" s="21" t="n">
        <v>520</v>
      </c>
    </row>
    <row r="2407">
      <c r="A2407" s="9" t="inlineStr">
        <is>
          <t>HAIFENG</t>
        </is>
      </c>
      <c r="B2407" s="9" t="inlineStr">
        <is>
          <t>HAIFENG 10/02/2026</t>
        </is>
      </c>
      <c r="C2407" s="9" t="inlineStr">
        <is>
          <t>2026-02-10</t>
        </is>
      </c>
      <c r="D2407" s="9" t="inlineStr">
        <is>
          <t>643ec108c3efe</t>
        </is>
      </c>
      <c r="E2407" s="9" t="inlineStr">
        <is>
          <t>COLLAR BV GOLD</t>
        </is>
      </c>
      <c r="F2407" s="9" t="inlineStr">
        <is>
          <t>Largo de cadena total 40cm  Extensión 8 cm  Dije 1 cm</t>
        </is>
      </c>
      <c r="G2407" s="9" t="n">
        <v>2</v>
      </c>
      <c r="H2407" s="21" t="n">
        <v>3.99</v>
      </c>
      <c r="I2407" s="21" t="n">
        <v>84.06</v>
      </c>
      <c r="J2407" s="21" t="n">
        <v>252.19</v>
      </c>
      <c r="K2407" s="21" t="n">
        <v>294.22</v>
      </c>
      <c r="L2407" s="21" t="n">
        <v>336.25</v>
      </c>
      <c r="M2407" s="21" t="n">
        <v>499</v>
      </c>
    </row>
    <row r="2408">
      <c r="A2408" s="9" t="inlineStr">
        <is>
          <t>HAIFENG</t>
        </is>
      </c>
      <c r="B2408" s="9" t="inlineStr">
        <is>
          <t>HAIFENG 10/02/2026</t>
        </is>
      </c>
      <c r="C2408" s="9" t="inlineStr">
        <is>
          <t>2026-02-10</t>
        </is>
      </c>
      <c r="D2408" s="9" t="inlineStr">
        <is>
          <t>91078752962381</t>
        </is>
      </c>
      <c r="E2408" s="9" t="inlineStr">
        <is>
          <t>COLLAR BV GOLD PEAKS CON ZIRCONIA ALREDEDOR</t>
        </is>
      </c>
      <c r="F2408" s="9" t="inlineStr">
        <is>
          <t>Default Title</t>
        </is>
      </c>
      <c r="G2408" s="9" t="n">
        <v>2</v>
      </c>
      <c r="H2408" s="21" t="n">
        <v>8</v>
      </c>
      <c r="I2408" s="21" t="n">
        <v>168.55</v>
      </c>
      <c r="J2408" s="21" t="n">
        <v>505.64</v>
      </c>
      <c r="K2408" s="21" t="n">
        <v>589.92</v>
      </c>
      <c r="L2408" s="21" t="n">
        <v>674.1900000000001</v>
      </c>
      <c r="M2408" s="21" t="n">
        <v>659.2</v>
      </c>
    </row>
    <row r="2409">
      <c r="A2409" s="9" t="inlineStr">
        <is>
          <t>HAIFENG</t>
        </is>
      </c>
      <c r="B2409" s="9" t="inlineStr">
        <is>
          <t>HAIFENG 10/02/2026</t>
        </is>
      </c>
      <c r="C2409" s="9" t="inlineStr">
        <is>
          <t>2026-02-10</t>
        </is>
      </c>
      <c r="D2409" s="9" t="inlineStr">
        <is>
          <t>89790741558733</t>
        </is>
      </c>
      <c r="E2409" s="9" t="inlineStr">
        <is>
          <t>COLLAR BV ROSEGOLD PEARL ZIRCONIA</t>
        </is>
      </c>
      <c r="F2409" s="9" t="inlineStr">
        <is>
          <t>Default Title</t>
        </is>
      </c>
      <c r="G2409" s="9" t="n">
        <v>2</v>
      </c>
      <c r="H2409" s="21" t="n">
        <v>7</v>
      </c>
      <c r="I2409" s="21" t="n">
        <v>147.48</v>
      </c>
      <c r="J2409" s="21" t="n">
        <v>442.44</v>
      </c>
      <c r="K2409" s="21" t="n">
        <v>516.1799999999999</v>
      </c>
      <c r="L2409" s="21" t="n">
        <v>589.92</v>
      </c>
      <c r="M2409" s="21" t="n">
        <v>599</v>
      </c>
    </row>
    <row r="2410">
      <c r="A2410" s="9" t="inlineStr">
        <is>
          <t>HAIFENG</t>
        </is>
      </c>
      <c r="B2410" s="9" t="inlineStr">
        <is>
          <t>HAIFENG 10/02/2026</t>
        </is>
      </c>
      <c r="C2410" s="9" t="inlineStr">
        <is>
          <t>2026-02-10</t>
        </is>
      </c>
      <c r="D2410" s="9" t="inlineStr">
        <is>
          <t>89695511098893</t>
        </is>
      </c>
      <c r="E2410" s="9" t="inlineStr">
        <is>
          <t>COLLAR BV SILVER CON ZIRCONIA ALREDEDOR</t>
        </is>
      </c>
      <c r="F2410" s="9" t="inlineStr">
        <is>
          <t>Default Title</t>
        </is>
      </c>
      <c r="G2410" s="9" t="n">
        <v>5</v>
      </c>
      <c r="H2410" s="21" t="n">
        <v>7.5</v>
      </c>
      <c r="I2410" s="21" t="n">
        <v>158.01</v>
      </c>
      <c r="J2410" s="21" t="n">
        <v>474.04</v>
      </c>
      <c r="K2410" s="21" t="n">
        <v>553.05</v>
      </c>
      <c r="L2410" s="21" t="n">
        <v>632.05</v>
      </c>
      <c r="M2410" s="21" t="n">
        <v>659</v>
      </c>
    </row>
    <row r="2411">
      <c r="A2411" s="9" t="inlineStr">
        <is>
          <t>HAIFENG</t>
        </is>
      </c>
      <c r="B2411" s="9" t="inlineStr">
        <is>
          <t>HAIFENG 10/02/2026</t>
        </is>
      </c>
      <c r="C2411" s="9" t="inlineStr">
        <is>
          <t>2026-02-10</t>
        </is>
      </c>
      <c r="D2411" s="9" t="inlineStr">
        <is>
          <t>27127017235212</t>
        </is>
      </c>
      <c r="E2411" s="9" t="inlineStr">
        <is>
          <t>COLLAR Bzero ROSEGOLD BLACK</t>
        </is>
      </c>
      <c r="F2411" s="9" t="inlineStr">
        <is>
          <t>41cm de largo con 8cm de extensión</t>
        </is>
      </c>
      <c r="G2411" s="9" t="n">
        <v>3</v>
      </c>
      <c r="H2411" s="21" t="n">
        <v>3.99</v>
      </c>
      <c r="I2411" s="21" t="n">
        <v>84.06</v>
      </c>
      <c r="J2411" s="21" t="n">
        <v>252.19</v>
      </c>
      <c r="K2411" s="21" t="n">
        <v>294.22</v>
      </c>
      <c r="L2411" s="21" t="n">
        <v>336.25</v>
      </c>
      <c r="M2411" s="21" t="n">
        <v>550</v>
      </c>
    </row>
    <row r="2412">
      <c r="A2412" s="9" t="inlineStr">
        <is>
          <t>HAIFENG</t>
        </is>
      </c>
      <c r="B2412" s="9" t="inlineStr">
        <is>
          <t>HAIFENG 10/02/2026</t>
        </is>
      </c>
      <c r="C2412" s="9" t="inlineStr">
        <is>
          <t>2026-02-10</t>
        </is>
      </c>
      <c r="D2412" s="9" t="inlineStr">
        <is>
          <t>43728082412172</t>
        </is>
      </c>
      <c r="E2412" s="9" t="inlineStr">
        <is>
          <t>COLLAR C D’AMOUR ROSE GOLD</t>
        </is>
      </c>
      <c r="F2412" s="9" t="inlineStr">
        <is>
          <t>44cm con 5cm de extensión</t>
        </is>
      </c>
      <c r="G2412" s="9" t="n">
        <v>2</v>
      </c>
      <c r="H2412" s="21" t="n">
        <v>2.99</v>
      </c>
      <c r="I2412" s="21" t="n">
        <v>62.99</v>
      </c>
      <c r="J2412" s="21" t="n">
        <v>188.98</v>
      </c>
      <c r="K2412" s="21" t="n">
        <v>220.48</v>
      </c>
      <c r="L2412" s="21" t="n">
        <v>251.98</v>
      </c>
      <c r="M2412" s="21" t="n">
        <v>525</v>
      </c>
    </row>
    <row r="2413">
      <c r="A2413" s="9" t="inlineStr">
        <is>
          <t>HAIFENG</t>
        </is>
      </c>
      <c r="B2413" s="9" t="inlineStr">
        <is>
          <t>HAIFENG 10/02/2026</t>
        </is>
      </c>
      <c r="C2413" s="9" t="inlineStr">
        <is>
          <t>2026-02-10</t>
        </is>
      </c>
      <c r="D2413" s="9" t="inlineStr">
        <is>
          <t>43728082231852</t>
        </is>
      </c>
      <c r="E2413" s="9" t="inlineStr">
        <is>
          <t>COLLAR C D’AMOUR SILVER</t>
        </is>
      </c>
      <c r="F2413" s="9" t="inlineStr">
        <is>
          <t>44cm con 5cm de extensión</t>
        </is>
      </c>
      <c r="G2413" s="9" t="n">
        <v>10</v>
      </c>
      <c r="H2413" s="21" t="n">
        <v>2.99</v>
      </c>
      <c r="I2413" s="21" t="n">
        <v>62.99</v>
      </c>
      <c r="J2413" s="21" t="n">
        <v>188.98</v>
      </c>
      <c r="K2413" s="21" t="n">
        <v>220.48</v>
      </c>
      <c r="L2413" s="21" t="n">
        <v>251.98</v>
      </c>
      <c r="M2413" s="21" t="n">
        <v>399</v>
      </c>
    </row>
    <row r="2414">
      <c r="A2414" s="9" t="inlineStr">
        <is>
          <t>HAIFENG</t>
        </is>
      </c>
      <c r="B2414" s="9" t="inlineStr">
        <is>
          <t>HAIFENG 10/02/2026</t>
        </is>
      </c>
      <c r="C2414" s="9" t="inlineStr">
        <is>
          <t>2026-02-10</t>
        </is>
      </c>
      <c r="D2414" s="9" t="inlineStr">
        <is>
          <t>11078751761037</t>
        </is>
      </c>
      <c r="E2414" s="9" t="inlineStr">
        <is>
          <t>COLLAR C GOLD ZIRCONIAS</t>
        </is>
      </c>
      <c r="F2414" s="9" t="inlineStr">
        <is>
          <t>Default Title</t>
        </is>
      </c>
      <c r="G2414" s="9" t="n">
        <v>3</v>
      </c>
      <c r="H2414" s="21" t="n">
        <v>5.99</v>
      </c>
      <c r="I2414" s="21" t="n">
        <v>126.2</v>
      </c>
      <c r="J2414" s="21" t="n">
        <v>378.6</v>
      </c>
      <c r="K2414" s="21" t="n">
        <v>441.7</v>
      </c>
      <c r="L2414" s="21" t="n">
        <v>504.8</v>
      </c>
      <c r="M2414" s="21" t="n">
        <v>550</v>
      </c>
    </row>
    <row r="2415">
      <c r="A2415" s="9" t="inlineStr">
        <is>
          <t>HAIFENG</t>
        </is>
      </c>
      <c r="B2415" s="9" t="inlineStr">
        <is>
          <t>HAIFENG 10/02/2026</t>
        </is>
      </c>
      <c r="C2415" s="9" t="inlineStr">
        <is>
          <t>2026-02-10</t>
        </is>
      </c>
      <c r="D2415" s="9" t="inlineStr">
        <is>
          <t>71078751659341</t>
        </is>
      </c>
      <c r="E2415" s="9" t="inlineStr">
        <is>
          <t>COLLAR C SILVER ZIRCONIAS</t>
        </is>
      </c>
      <c r="F2415" s="9" t="inlineStr">
        <is>
          <t>Default Title</t>
        </is>
      </c>
      <c r="G2415" s="9" t="n">
        <v>1</v>
      </c>
      <c r="H2415" s="21" t="n">
        <v>5.99</v>
      </c>
      <c r="I2415" s="21" t="n">
        <v>126.2</v>
      </c>
      <c r="J2415" s="21" t="n">
        <v>378.6</v>
      </c>
      <c r="K2415" s="21" t="n">
        <v>441.7</v>
      </c>
      <c r="L2415" s="21" t="n">
        <v>504.8</v>
      </c>
      <c r="M2415" s="21" t="n">
        <v>493.58</v>
      </c>
    </row>
    <row r="2416">
      <c r="A2416" s="9" t="inlineStr">
        <is>
          <t>HAIFENG</t>
        </is>
      </c>
      <c r="B2416" s="9" t="inlineStr">
        <is>
          <t>HAIFENG 10/02/2026</t>
        </is>
      </c>
      <c r="C2416" s="9" t="inlineStr">
        <is>
          <t>2026-02-10</t>
        </is>
      </c>
      <c r="D2416" s="9" t="inlineStr">
        <is>
          <t>53864631024909</t>
        </is>
      </c>
      <c r="E2416" s="9" t="inlineStr">
        <is>
          <t>COLLAR CON PASADOR Y PLACA ESTILO CORAZÓN SILVER</t>
        </is>
      </c>
      <c r="F2416" s="9" t="inlineStr">
        <is>
          <t>44 cm</t>
        </is>
      </c>
      <c r="G2416" s="9" t="n">
        <v>6</v>
      </c>
      <c r="H2416" s="21" t="n">
        <v>12</v>
      </c>
      <c r="I2416" s="21" t="n">
        <v>252.82</v>
      </c>
      <c r="J2416" s="21" t="n">
        <v>758.47</v>
      </c>
      <c r="K2416" s="21" t="n">
        <v>884.88</v>
      </c>
      <c r="L2416" s="21" t="n">
        <v>1011.29</v>
      </c>
      <c r="M2416" s="21" t="n">
        <v>989</v>
      </c>
    </row>
    <row r="2417">
      <c r="A2417" s="9" t="inlineStr">
        <is>
          <t>HAIFENG</t>
        </is>
      </c>
      <c r="B2417" s="9" t="inlineStr">
        <is>
          <t>HAIFENG 10/02/2026</t>
        </is>
      </c>
      <c r="C2417" s="9" t="inlineStr">
        <is>
          <t>2026-02-10</t>
        </is>
      </c>
      <c r="D2417" s="9" t="inlineStr">
        <is>
          <t>67201534708013</t>
        </is>
      </c>
      <c r="E2417" s="9" t="inlineStr">
        <is>
          <t>COLLAR CRUZ T GOLD</t>
        </is>
      </c>
      <c r="F2417" s="9" t="inlineStr">
        <is>
          <t>Default Title</t>
        </is>
      </c>
      <c r="G2417" s="9" t="n">
        <v>8</v>
      </c>
      <c r="H2417" s="21" t="n">
        <v>7</v>
      </c>
      <c r="I2417" s="21" t="n">
        <v>147.48</v>
      </c>
      <c r="J2417" s="21" t="n">
        <v>442.44</v>
      </c>
      <c r="K2417" s="21" t="n">
        <v>516.1799999999999</v>
      </c>
      <c r="L2417" s="21" t="n">
        <v>589.92</v>
      </c>
      <c r="M2417" s="21" t="n">
        <v>577</v>
      </c>
    </row>
    <row r="2418">
      <c r="A2418" s="9" t="inlineStr">
        <is>
          <t>HAIFENG</t>
        </is>
      </c>
      <c r="B2418" s="9" t="inlineStr">
        <is>
          <t>HAIFENG 10/02/2026</t>
        </is>
      </c>
      <c r="C2418" s="9" t="inlineStr">
        <is>
          <t>2026-02-10</t>
        </is>
      </c>
      <c r="D2418" s="9" t="inlineStr">
        <is>
          <t>668eee3550b09</t>
        </is>
      </c>
      <c r="E2418" s="9" t="inlineStr">
        <is>
          <t>COLLAR DOBLE PLACA CORAZÓN ROJO-PLATA</t>
        </is>
      </c>
      <c r="F2418" s="9" t="inlineStr">
        <is>
          <t>Middle Quality</t>
        </is>
      </c>
      <c r="G2418" s="9" t="n">
        <v>5</v>
      </c>
      <c r="H2418" s="21" t="n">
        <v>5</v>
      </c>
      <c r="I2418" s="21" t="n">
        <v>105.34</v>
      </c>
      <c r="J2418" s="21" t="n">
        <v>316.03</v>
      </c>
      <c r="K2418" s="21" t="n">
        <v>368.7</v>
      </c>
      <c r="L2418" s="21" t="n">
        <v>421.37</v>
      </c>
      <c r="M2418" s="21" t="n">
        <v>950</v>
      </c>
    </row>
    <row r="2419">
      <c r="A2419" s="9" t="inlineStr">
        <is>
          <t>HAIFENG</t>
        </is>
      </c>
      <c r="B2419" s="9" t="inlineStr">
        <is>
          <t>HAIFENG 10/02/2026</t>
        </is>
      </c>
      <c r="C2419" s="9" t="inlineStr">
        <is>
          <t>2026-02-10</t>
        </is>
      </c>
      <c r="D2419" s="9" t="inlineStr">
        <is>
          <t>56481489561612</t>
        </is>
      </c>
      <c r="E2419" s="9" t="inlineStr">
        <is>
          <t>COLLAR DOBLE PLACA ROSEGOLD</t>
        </is>
      </c>
      <c r="F2419" s="9" t="inlineStr">
        <is>
          <t>39cm con 5cm de extensión</t>
        </is>
      </c>
      <c r="G2419" s="9" t="n">
        <v>5</v>
      </c>
      <c r="H2419" s="21" t="n">
        <v>5</v>
      </c>
      <c r="I2419" s="21" t="n">
        <v>105.34</v>
      </c>
      <c r="J2419" s="21" t="n">
        <v>316.03</v>
      </c>
      <c r="K2419" s="21" t="n">
        <v>368.7</v>
      </c>
      <c r="L2419" s="21" t="n">
        <v>421.37</v>
      </c>
      <c r="M2419" s="21" t="n">
        <v>550</v>
      </c>
    </row>
    <row r="2420">
      <c r="A2420" s="9" t="inlineStr">
        <is>
          <t>HAIFENG</t>
        </is>
      </c>
      <c r="B2420" s="9" t="inlineStr">
        <is>
          <t>HAIFENG 10/02/2026</t>
        </is>
      </c>
      <c r="C2420" s="9" t="inlineStr">
        <is>
          <t>2026-02-10</t>
        </is>
      </c>
      <c r="D2420" s="9" t="inlineStr">
        <is>
          <t>56481497508748</t>
        </is>
      </c>
      <c r="E2420" s="9" t="inlineStr">
        <is>
          <t>COLLAR DOBLE PLACA ROSEGOLD PLATA</t>
        </is>
      </c>
      <c r="F2420" s="9" t="inlineStr">
        <is>
          <t>40cm con 5cm de extensión</t>
        </is>
      </c>
      <c r="G2420" s="9" t="n">
        <v>6</v>
      </c>
      <c r="H2420" s="21" t="n">
        <v>5</v>
      </c>
      <c r="I2420" s="21" t="n">
        <v>105.34</v>
      </c>
      <c r="J2420" s="21" t="n">
        <v>316.03</v>
      </c>
      <c r="K2420" s="21" t="n">
        <v>368.7</v>
      </c>
      <c r="L2420" s="21" t="n">
        <v>421.37</v>
      </c>
      <c r="M2420" s="21" t="n">
        <v>550</v>
      </c>
    </row>
    <row r="2421">
      <c r="A2421" s="9" t="inlineStr">
        <is>
          <t>HAIFENG</t>
        </is>
      </c>
      <c r="B2421" s="9" t="inlineStr">
        <is>
          <t>HAIFENG 10/02/2026</t>
        </is>
      </c>
      <c r="C2421" s="9" t="inlineStr">
        <is>
          <t>2026-02-10</t>
        </is>
      </c>
      <c r="D2421" s="9" t="inlineStr">
        <is>
          <t>12314361740365</t>
        </is>
      </c>
      <c r="E2421" s="9" t="inlineStr">
        <is>
          <t>COLLAR F GOLD ZIRCONIAS</t>
        </is>
      </c>
      <c r="F2421" s="9" t="inlineStr">
        <is>
          <t>Default Title</t>
        </is>
      </c>
      <c r="G2421" s="9" t="n">
        <v>2</v>
      </c>
      <c r="H2421" s="21" t="n">
        <v>8</v>
      </c>
      <c r="I2421" s="21" t="n">
        <v>168.55</v>
      </c>
      <c r="J2421" s="21" t="n">
        <v>505.64</v>
      </c>
      <c r="K2421" s="21" t="n">
        <v>589.92</v>
      </c>
      <c r="L2421" s="21" t="n">
        <v>674.1900000000001</v>
      </c>
      <c r="M2421" s="21" t="n">
        <v>660</v>
      </c>
    </row>
    <row r="2422">
      <c r="A2422" s="9" t="inlineStr">
        <is>
          <t>HAIFENG</t>
        </is>
      </c>
      <c r="B2422" s="9" t="inlineStr">
        <is>
          <t>HAIFENG 10/02/2026</t>
        </is>
      </c>
      <c r="C2422" s="9" t="inlineStr">
        <is>
          <t>2026-02-10</t>
        </is>
      </c>
      <c r="D2422" s="9" t="inlineStr">
        <is>
          <t>37491258394380</t>
        </is>
      </c>
      <c r="E2422" s="9" t="inlineStr">
        <is>
          <t>COLLAR FLOWER VF</t>
        </is>
      </c>
      <c r="F2422" s="9" t="inlineStr">
        <is>
          <t>45cm</t>
        </is>
      </c>
      <c r="G2422" s="9" t="n">
        <v>4</v>
      </c>
      <c r="H2422" s="21" t="n">
        <v>5</v>
      </c>
      <c r="I2422" s="21" t="n">
        <v>105.34</v>
      </c>
      <c r="J2422" s="21" t="n">
        <v>316.03</v>
      </c>
      <c r="K2422" s="21" t="n">
        <v>368.7</v>
      </c>
      <c r="L2422" s="21" t="n">
        <v>421.37</v>
      </c>
      <c r="M2422" s="21" t="n">
        <v>432.6</v>
      </c>
    </row>
    <row r="2423">
      <c r="A2423" s="9" t="inlineStr">
        <is>
          <t>HAIFENG</t>
        </is>
      </c>
      <c r="B2423" s="9" t="inlineStr">
        <is>
          <t>HAIFENG 10/02/2026</t>
        </is>
      </c>
      <c r="C2423" s="9" t="inlineStr">
        <is>
          <t>2026-02-10</t>
        </is>
      </c>
      <c r="D2423" s="9" t="inlineStr">
        <is>
          <t>64085741817357</t>
        </is>
      </c>
      <c r="E2423" s="9" t="inlineStr">
        <is>
          <t>COLLAR LOVE 3 AROS CON ZIRCONIA</t>
        </is>
      </c>
      <c r="F2423" s="9" t="inlineStr">
        <is>
          <t>Default Title</t>
        </is>
      </c>
      <c r="G2423" s="9" t="n">
        <v>3</v>
      </c>
      <c r="H2423" s="21" t="n">
        <v>7</v>
      </c>
      <c r="I2423" s="21" t="n">
        <v>147.48</v>
      </c>
      <c r="J2423" s="21" t="n">
        <v>442.44</v>
      </c>
      <c r="K2423" s="21" t="n">
        <v>516.1799999999999</v>
      </c>
      <c r="L2423" s="21" t="n">
        <v>589.92</v>
      </c>
      <c r="M2423" s="21" t="n">
        <v>577</v>
      </c>
    </row>
    <row r="2424">
      <c r="A2424" s="9" t="inlineStr">
        <is>
          <t>HAIFENG</t>
        </is>
      </c>
      <c r="B2424" s="9" t="inlineStr">
        <is>
          <t>HAIFENG 10/02/2026</t>
        </is>
      </c>
      <c r="C2424" s="9" t="inlineStr">
        <is>
          <t>2026-02-10</t>
        </is>
      </c>
      <c r="D2424" s="9" t="inlineStr">
        <is>
          <t>46912391017229</t>
        </is>
      </c>
      <c r="E2424" s="9" t="inlineStr">
        <is>
          <t>COLLAR LOVELOVE ROSE GOLD</t>
        </is>
      </c>
      <c r="F2424" s="9" t="inlineStr">
        <is>
          <t>Default Title</t>
        </is>
      </c>
      <c r="G2424" s="9" t="n">
        <v>4</v>
      </c>
      <c r="H2424" s="21" t="n">
        <v>5</v>
      </c>
      <c r="I2424" s="21" t="n">
        <v>105.34</v>
      </c>
      <c r="J2424" s="21" t="n">
        <v>316.03</v>
      </c>
      <c r="K2424" s="21" t="n">
        <v>368.7</v>
      </c>
      <c r="L2424" s="21" t="n">
        <v>421.37</v>
      </c>
      <c r="M2424" s="21" t="n">
        <v>550</v>
      </c>
    </row>
    <row r="2425">
      <c r="A2425" s="9" t="inlineStr">
        <is>
          <t>HAIFENG</t>
        </is>
      </c>
      <c r="B2425" s="9" t="inlineStr">
        <is>
          <t>HAIFENG 10/02/2026</t>
        </is>
      </c>
      <c r="C2425" s="9" t="inlineStr">
        <is>
          <t>2026-02-10</t>
        </is>
      </c>
      <c r="D2425" s="9" t="inlineStr">
        <is>
          <t>37491254947980</t>
        </is>
      </c>
      <c r="E2425" s="9" t="inlineStr">
        <is>
          <t>COLLAR MARIQUITA VF</t>
        </is>
      </c>
      <c r="F2425" s="9" t="inlineStr">
        <is>
          <t>47cm</t>
        </is>
      </c>
      <c r="G2425" s="9" t="n">
        <v>5</v>
      </c>
      <c r="H2425" s="21" t="n">
        <v>7</v>
      </c>
      <c r="I2425" s="21" t="n">
        <v>147.48</v>
      </c>
      <c r="J2425" s="21" t="n">
        <v>442.44</v>
      </c>
      <c r="K2425" s="21" t="n">
        <v>516.1799999999999</v>
      </c>
      <c r="L2425" s="21" t="n">
        <v>589.92</v>
      </c>
      <c r="M2425" s="21" t="n">
        <v>580</v>
      </c>
    </row>
    <row r="2426">
      <c r="A2426" s="9" t="inlineStr">
        <is>
          <t>HAIFENG</t>
        </is>
      </c>
      <c r="B2426" s="9" t="inlineStr">
        <is>
          <t>HAIFENG 10/02/2026</t>
        </is>
      </c>
      <c r="C2426" s="9" t="inlineStr">
        <is>
          <t>2026-02-10</t>
        </is>
      </c>
      <c r="D2426" s="9" t="inlineStr">
        <is>
          <t>39966871032781</t>
        </is>
      </c>
      <c r="E2426" s="9" t="inlineStr">
        <is>
          <t>COLLAR MSS GOLD CON ZIRCONIA</t>
        </is>
      </c>
      <c r="F2426" s="9" t="inlineStr">
        <is>
          <t>Default Title</t>
        </is>
      </c>
      <c r="G2426" s="9" t="n">
        <v>13</v>
      </c>
      <c r="H2426" s="21" t="n">
        <v>8</v>
      </c>
      <c r="I2426" s="21" t="n">
        <v>168.55</v>
      </c>
      <c r="J2426" s="21" t="n">
        <v>505.64</v>
      </c>
      <c r="K2426" s="21" t="n">
        <v>589.92</v>
      </c>
      <c r="L2426" s="21" t="n">
        <v>674.1900000000001</v>
      </c>
      <c r="M2426" s="21" t="n">
        <v>660</v>
      </c>
    </row>
    <row r="2427">
      <c r="A2427" s="9" t="inlineStr">
        <is>
          <t>HAIFENG</t>
        </is>
      </c>
      <c r="B2427" s="9" t="inlineStr">
        <is>
          <t>HAIFENG 10/02/2026</t>
        </is>
      </c>
      <c r="C2427" s="9" t="inlineStr">
        <is>
          <t>2026-02-10</t>
        </is>
      </c>
      <c r="D2427" s="9" t="inlineStr">
        <is>
          <t>79024851004397</t>
        </is>
      </c>
      <c r="E2427" s="9" t="inlineStr">
        <is>
          <t>COLLAR MSS MOVE GOLD LISO</t>
        </is>
      </c>
      <c r="F2427" s="9" t="inlineStr">
        <is>
          <t>Default Title</t>
        </is>
      </c>
      <c r="G2427" s="9" t="n">
        <v>6</v>
      </c>
      <c r="H2427" s="21" t="n">
        <v>8</v>
      </c>
      <c r="I2427" s="21" t="n">
        <v>168.55</v>
      </c>
      <c r="J2427" s="21" t="n">
        <v>505.64</v>
      </c>
      <c r="K2427" s="21" t="n">
        <v>589.92</v>
      </c>
      <c r="L2427" s="21" t="n">
        <v>674.1900000000001</v>
      </c>
      <c r="M2427" s="21" t="n">
        <v>699</v>
      </c>
    </row>
    <row r="2428">
      <c r="A2428" s="9" t="inlineStr">
        <is>
          <t>HAIFENG</t>
        </is>
      </c>
      <c r="B2428" s="9" t="inlineStr">
        <is>
          <t>HAIFENG 10/02/2026</t>
        </is>
      </c>
      <c r="C2428" s="9" t="inlineStr">
        <is>
          <t>2026-02-10</t>
        </is>
      </c>
      <c r="D2428" s="9" t="inlineStr">
        <is>
          <t>77791751017421</t>
        </is>
      </c>
      <c r="E2428" s="9" t="inlineStr">
        <is>
          <t>COLLAR MSS MOVE SILVER LISO</t>
        </is>
      </c>
      <c r="F2428" s="9" t="inlineStr">
        <is>
          <t>Default Title</t>
        </is>
      </c>
      <c r="G2428" s="9" t="n">
        <v>7</v>
      </c>
      <c r="H2428" s="21" t="n">
        <v>8</v>
      </c>
      <c r="I2428" s="21" t="n">
        <v>168.55</v>
      </c>
      <c r="J2428" s="21" t="n">
        <v>505.64</v>
      </c>
      <c r="K2428" s="21" t="n">
        <v>589.92</v>
      </c>
      <c r="L2428" s="21" t="n">
        <v>674.1900000000001</v>
      </c>
      <c r="M2428" s="21" t="n">
        <v>659.2</v>
      </c>
    </row>
    <row r="2429">
      <c r="A2429" s="9" t="inlineStr">
        <is>
          <t>HAIFENG</t>
        </is>
      </c>
      <c r="B2429" s="9" t="inlineStr">
        <is>
          <t>HAIFENG 10/02/2026</t>
        </is>
      </c>
      <c r="C2429" s="9" t="inlineStr">
        <is>
          <t>2026-02-10</t>
        </is>
      </c>
      <c r="D2429" s="9" t="inlineStr">
        <is>
          <t>50869451078413</t>
        </is>
      </c>
      <c r="E2429" s="9" t="inlineStr">
        <is>
          <t>COLLAR MSS ROSEGOLD CON ZIRCONIA</t>
        </is>
      </c>
      <c r="F2429" s="9" t="inlineStr">
        <is>
          <t>Default Title</t>
        </is>
      </c>
      <c r="G2429" s="9" t="n">
        <v>2</v>
      </c>
      <c r="H2429" s="21" t="n">
        <v>8</v>
      </c>
      <c r="I2429" s="21" t="n">
        <v>168.55</v>
      </c>
      <c r="J2429" s="21" t="n">
        <v>505.64</v>
      </c>
      <c r="K2429" s="21" t="n">
        <v>589.92</v>
      </c>
      <c r="L2429" s="21" t="n">
        <v>674.1900000000001</v>
      </c>
      <c r="M2429" s="21" t="n">
        <v>660</v>
      </c>
    </row>
    <row r="2430">
      <c r="A2430" s="9" t="inlineStr">
        <is>
          <t>HAIFENG</t>
        </is>
      </c>
      <c r="B2430" s="9" t="inlineStr">
        <is>
          <t>HAIFENG 10/02/2026</t>
        </is>
      </c>
      <c r="C2430" s="9" t="inlineStr">
        <is>
          <t>2026-02-10</t>
        </is>
      </c>
      <c r="D2430" s="9" t="inlineStr">
        <is>
          <t>54479961098957</t>
        </is>
      </c>
      <c r="E2430" s="9" t="inlineStr">
        <is>
          <t>COLLAR MSS SILVER CON ZIRCONIA</t>
        </is>
      </c>
      <c r="F2430" s="9" t="inlineStr">
        <is>
          <t>Default Title</t>
        </is>
      </c>
      <c r="G2430" s="9" t="n">
        <v>13</v>
      </c>
      <c r="H2430" s="21" t="n">
        <v>8</v>
      </c>
      <c r="I2430" s="21" t="n">
        <v>168.55</v>
      </c>
      <c r="J2430" s="21" t="n">
        <v>505.64</v>
      </c>
      <c r="K2430" s="21" t="n">
        <v>589.92</v>
      </c>
      <c r="L2430" s="21" t="n">
        <v>674.1900000000001</v>
      </c>
      <c r="M2430" s="21" t="n">
        <v>699</v>
      </c>
    </row>
    <row r="2431">
      <c r="A2431" s="9" t="inlineStr">
        <is>
          <t>HAIFENG</t>
        </is>
      </c>
      <c r="B2431" s="9" t="inlineStr">
        <is>
          <t>HAIFENG 10/02/2026</t>
        </is>
      </c>
      <c r="C2431" s="9" t="inlineStr">
        <is>
          <t>2026-02-10</t>
        </is>
      </c>
      <c r="D2431" s="9" t="inlineStr">
        <is>
          <t>67201534607245</t>
        </is>
      </c>
      <c r="E2431" s="9" t="inlineStr">
        <is>
          <t>COLLAR OPEN HEART GOLD</t>
        </is>
      </c>
      <c r="F2431" s="9" t="inlineStr">
        <is>
          <t>Default Title</t>
        </is>
      </c>
      <c r="G2431" s="9" t="n">
        <v>6</v>
      </c>
      <c r="H2431" s="21" t="n">
        <v>7</v>
      </c>
      <c r="I2431" s="21" t="n">
        <v>147.48</v>
      </c>
      <c r="J2431" s="21" t="n">
        <v>442.44</v>
      </c>
      <c r="K2431" s="21" t="n">
        <v>516.1799999999999</v>
      </c>
      <c r="L2431" s="21" t="n">
        <v>589.92</v>
      </c>
      <c r="M2431" s="21" t="n">
        <v>599</v>
      </c>
    </row>
    <row r="2432">
      <c r="A2432" s="9" t="inlineStr">
        <is>
          <t>HAIFENG</t>
        </is>
      </c>
      <c r="B2432" s="9" t="inlineStr">
        <is>
          <t>HAIFENG 10/02/2026</t>
        </is>
      </c>
      <c r="C2432" s="9" t="inlineStr">
        <is>
          <t>2026-02-10</t>
        </is>
      </c>
      <c r="D2432" s="9" t="inlineStr">
        <is>
          <t>64085741986765</t>
        </is>
      </c>
      <c r="E2432" s="9" t="inlineStr">
        <is>
          <t>COLLAR PANTHERE GOLD C</t>
        </is>
      </c>
      <c r="F2432" s="9" t="inlineStr">
        <is>
          <t>Default Title</t>
        </is>
      </c>
      <c r="G2432" s="9" t="n">
        <v>2</v>
      </c>
      <c r="H2432" s="21" t="n">
        <v>7</v>
      </c>
      <c r="I2432" s="21" t="n">
        <v>147.48</v>
      </c>
      <c r="J2432" s="21" t="n">
        <v>442.44</v>
      </c>
      <c r="K2432" s="21" t="n">
        <v>516.1799999999999</v>
      </c>
      <c r="L2432" s="21" t="n">
        <v>589.92</v>
      </c>
      <c r="M2432" s="21" t="n">
        <v>577</v>
      </c>
    </row>
    <row r="2433">
      <c r="A2433" s="9" t="inlineStr">
        <is>
          <t>HAIFENG</t>
        </is>
      </c>
      <c r="B2433" s="9" t="inlineStr">
        <is>
          <t>HAIFENG 10/02/2026</t>
        </is>
      </c>
      <c r="C2433" s="9" t="inlineStr">
        <is>
          <t>2026-02-10</t>
        </is>
      </c>
      <c r="D2433" s="9" t="inlineStr">
        <is>
          <t>86347031405933</t>
        </is>
      </c>
      <c r="E2433" s="9" t="inlineStr">
        <is>
          <t>COLLAR POP H ROSEGOLD BABYPINK</t>
        </is>
      </c>
      <c r="F2433" s="9" t="inlineStr">
        <is>
          <t>Default Title</t>
        </is>
      </c>
      <c r="G2433" s="9" t="n">
        <v>2</v>
      </c>
      <c r="H2433" s="21" t="n">
        <v>7.99</v>
      </c>
      <c r="I2433" s="21" t="n">
        <v>168.34</v>
      </c>
      <c r="J2433" s="21" t="n">
        <v>505.01</v>
      </c>
      <c r="K2433" s="21" t="n">
        <v>589.1799999999999</v>
      </c>
      <c r="L2433" s="21" t="n">
        <v>673.35</v>
      </c>
      <c r="M2433" s="21" t="n">
        <v>699</v>
      </c>
    </row>
    <row r="2434">
      <c r="A2434" s="9" t="inlineStr">
        <is>
          <t>HAIFENG</t>
        </is>
      </c>
      <c r="B2434" s="9" t="inlineStr">
        <is>
          <t>HAIFENG 10/02/2026</t>
        </is>
      </c>
      <c r="C2434" s="9" t="inlineStr">
        <is>
          <t>2026-02-10</t>
        </is>
      </c>
      <c r="D2434" s="9" t="inlineStr">
        <is>
          <t>66178423967c9</t>
        </is>
      </c>
      <c r="E2434" s="9" t="inlineStr">
        <is>
          <t>COLLAR SERPENTI CON ZIRCONIA</t>
        </is>
      </c>
      <c r="F2434" s="9" t="inlineStr">
        <is>
          <t>46cm</t>
        </is>
      </c>
      <c r="G2434" s="9" t="n">
        <v>1</v>
      </c>
      <c r="H2434" s="21" t="n">
        <v>32</v>
      </c>
      <c r="I2434" s="21" t="n">
        <v>674.1900000000001</v>
      </c>
      <c r="J2434" s="21" t="n">
        <v>2022.58</v>
      </c>
      <c r="K2434" s="21" t="n">
        <v>2359.67</v>
      </c>
      <c r="L2434" s="21" t="n">
        <v>2696.77</v>
      </c>
      <c r="M2434" s="21" t="n">
        <v>2650</v>
      </c>
    </row>
    <row r="2435">
      <c r="A2435" s="9" t="inlineStr">
        <is>
          <t>HAIFENG</t>
        </is>
      </c>
      <c r="B2435" s="9" t="inlineStr">
        <is>
          <t>HAIFENG 10/02/2026</t>
        </is>
      </c>
      <c r="C2435" s="9" t="inlineStr">
        <is>
          <t>2026-02-10</t>
        </is>
      </c>
      <c r="D2435" s="9" t="inlineStr">
        <is>
          <t>82014673288716</t>
        </is>
      </c>
      <c r="E2435" s="9" t="inlineStr">
        <is>
          <t>COLLAR SIXTEEN STONE</t>
        </is>
      </c>
      <c r="F2435" s="9" t="inlineStr">
        <is>
          <t>43cm con extensión de 5cm</t>
        </is>
      </c>
      <c r="G2435" s="9" t="n">
        <v>4</v>
      </c>
      <c r="H2435" s="21" t="n">
        <v>7.5</v>
      </c>
      <c r="I2435" s="21" t="n">
        <v>158.01</v>
      </c>
      <c r="J2435" s="21" t="n">
        <v>474.04</v>
      </c>
      <c r="K2435" s="21" t="n">
        <v>553.05</v>
      </c>
      <c r="L2435" s="21" t="n">
        <v>632.05</v>
      </c>
      <c r="M2435" s="21" t="n">
        <v>650</v>
      </c>
    </row>
    <row r="2436">
      <c r="A2436" s="9" t="inlineStr">
        <is>
          <t>HAIFENG</t>
        </is>
      </c>
      <c r="B2436" s="9" t="inlineStr">
        <is>
          <t>HAIFENG 10/02/2026</t>
        </is>
      </c>
      <c r="C2436" s="9" t="inlineStr">
        <is>
          <t>2026-02-10</t>
        </is>
      </c>
      <c r="D2436" s="9" t="inlineStr">
        <is>
          <t>86347033994701</t>
        </is>
      </c>
      <c r="E2436" s="9" t="inlineStr">
        <is>
          <t>COLLAR SIXTEEN STONE SCHLUM</t>
        </is>
      </c>
      <c r="F2436" s="9" t="inlineStr">
        <is>
          <t>Default Title</t>
        </is>
      </c>
      <c r="G2436" s="9" t="n">
        <v>2</v>
      </c>
      <c r="H2436" s="21" t="n">
        <v>6</v>
      </c>
      <c r="I2436" s="21" t="n">
        <v>126.41</v>
      </c>
      <c r="J2436" s="21" t="n">
        <v>379.23</v>
      </c>
      <c r="K2436" s="21" t="n">
        <v>442.44</v>
      </c>
      <c r="L2436" s="21" t="n">
        <v>505.64</v>
      </c>
      <c r="M2436" s="21" t="n">
        <v>495</v>
      </c>
    </row>
    <row r="2437">
      <c r="A2437" s="9" t="inlineStr">
        <is>
          <t>HAIFENG</t>
        </is>
      </c>
      <c r="B2437" s="9" t="inlineStr">
        <is>
          <t>HAIFENG 10/02/2026</t>
        </is>
      </c>
      <c r="C2437" s="9" t="inlineStr">
        <is>
          <t>2026-02-10</t>
        </is>
      </c>
      <c r="D2437" s="9" t="inlineStr">
        <is>
          <t>86347034024077</t>
        </is>
      </c>
      <c r="E2437" s="9" t="inlineStr">
        <is>
          <t>COLLAR SIXTEEN STONE SCHLUM RED</t>
        </is>
      </c>
      <c r="F2437" s="9" t="inlineStr">
        <is>
          <t>Default Title</t>
        </is>
      </c>
      <c r="G2437" s="9" t="n">
        <v>2</v>
      </c>
      <c r="H2437" s="21" t="n">
        <v>6</v>
      </c>
      <c r="I2437" s="21" t="n">
        <v>126.41</v>
      </c>
      <c r="J2437" s="21" t="n">
        <v>379.23</v>
      </c>
      <c r="K2437" s="21" t="n">
        <v>442.44</v>
      </c>
      <c r="L2437" s="21" t="n">
        <v>505.64</v>
      </c>
      <c r="M2437" s="21" t="n">
        <v>499</v>
      </c>
    </row>
    <row r="2438">
      <c r="A2438" s="9" t="inlineStr">
        <is>
          <t>HAIFENG</t>
        </is>
      </c>
      <c r="B2438" s="9" t="inlineStr">
        <is>
          <t>HAIFENG 10/02/2026</t>
        </is>
      </c>
      <c r="C2438" s="9" t="inlineStr">
        <is>
          <t>2026-02-10</t>
        </is>
      </c>
      <c r="D2438" s="9" t="inlineStr">
        <is>
          <t>63ebdb90c5a7d</t>
        </is>
      </c>
      <c r="E2438" s="9" t="inlineStr">
        <is>
          <t>COLLAR TREBOL BLACK-ROSE GOLD</t>
        </is>
      </c>
      <c r="F2438" s="9" t="inlineStr">
        <is>
          <t>High Quality 45cm</t>
        </is>
      </c>
      <c r="G2438" s="9" t="n">
        <v>1</v>
      </c>
      <c r="H2438" s="21" t="n">
        <v>4</v>
      </c>
      <c r="I2438" s="21" t="n">
        <v>84.27</v>
      </c>
      <c r="J2438" s="21" t="n">
        <v>252.82</v>
      </c>
      <c r="K2438" s="21" t="n">
        <v>294.96</v>
      </c>
      <c r="L2438" s="21" t="n">
        <v>337.1</v>
      </c>
      <c r="M2438" s="21" t="n">
        <v>584</v>
      </c>
    </row>
    <row r="2439">
      <c r="A2439" s="9" t="inlineStr">
        <is>
          <t>HAIFENG</t>
        </is>
      </c>
      <c r="B2439" s="9" t="inlineStr">
        <is>
          <t>HAIFENG 10/02/2026</t>
        </is>
      </c>
      <c r="C2439" s="9" t="inlineStr">
        <is>
          <t>2026-02-10</t>
        </is>
      </c>
      <c r="D2439" s="9" t="inlineStr">
        <is>
          <t>665bbe8b6904f</t>
        </is>
      </c>
      <c r="E2439" s="9" t="inlineStr">
        <is>
          <t>COLLAR TRES AROS</t>
        </is>
      </c>
      <c r="F2439" s="9" t="inlineStr">
        <is>
          <t>45cm</t>
        </is>
      </c>
      <c r="G2439" s="9" t="n">
        <v>2</v>
      </c>
      <c r="H2439" s="21" t="n">
        <v>7</v>
      </c>
      <c r="I2439" s="21" t="n">
        <v>147.48</v>
      </c>
      <c r="J2439" s="21" t="n">
        <v>442.44</v>
      </c>
      <c r="K2439" s="21" t="n">
        <v>516.1799999999999</v>
      </c>
      <c r="L2439" s="21" t="n">
        <v>589.92</v>
      </c>
      <c r="M2439" s="21" t="n">
        <v>580</v>
      </c>
    </row>
    <row r="2440">
      <c r="A2440" s="9" t="inlineStr">
        <is>
          <t>HAIFENG</t>
        </is>
      </c>
      <c r="B2440" s="9" t="inlineStr">
        <is>
          <t>HAIFENG 10/02/2026</t>
        </is>
      </c>
      <c r="C2440" s="9" t="inlineStr">
        <is>
          <t>2026-02-10</t>
        </is>
      </c>
      <c r="D2440" s="9" t="inlineStr">
        <is>
          <t>66177b50c9a71</t>
        </is>
      </c>
      <c r="E2440" s="9" t="inlineStr">
        <is>
          <t>COLLAR TRÉBOL BLACK-GOLD</t>
        </is>
      </c>
      <c r="F2440" s="9" t="inlineStr">
        <is>
          <t>HIGH QUALITY (45CM)</t>
        </is>
      </c>
      <c r="G2440" s="9" t="n">
        <v>4</v>
      </c>
      <c r="H2440" s="21" t="n">
        <v>4</v>
      </c>
      <c r="I2440" s="21" t="n">
        <v>84.27</v>
      </c>
      <c r="J2440" s="21" t="n">
        <v>252.82</v>
      </c>
      <c r="K2440" s="21" t="n">
        <v>294.96</v>
      </c>
      <c r="L2440" s="21" t="n">
        <v>337.1</v>
      </c>
      <c r="M2440" s="21" t="n">
        <v>550</v>
      </c>
    </row>
    <row r="2441">
      <c r="A2441" s="9" t="inlineStr">
        <is>
          <t>HAIFENG</t>
        </is>
      </c>
      <c r="B2441" s="9" t="inlineStr">
        <is>
          <t>HAIFENG 10/02/2026</t>
        </is>
      </c>
      <c r="C2441" s="9" t="inlineStr">
        <is>
          <t>2026-02-10</t>
        </is>
      </c>
      <c r="D2441" s="9" t="inlineStr">
        <is>
          <t>648cc5bf129eb</t>
        </is>
      </c>
      <c r="E2441" s="9" t="inlineStr">
        <is>
          <t>COLLAR TRÉBOL GOLD</t>
        </is>
      </c>
      <c r="F2441" s="9" t="inlineStr">
        <is>
          <t>41cm con extension de 3cm</t>
        </is>
      </c>
      <c r="G2441" s="9" t="n">
        <v>2</v>
      </c>
      <c r="H2441" s="21" t="n">
        <v>4</v>
      </c>
      <c r="I2441" s="21" t="n">
        <v>84.27</v>
      </c>
      <c r="J2441" s="21" t="n">
        <v>252.82</v>
      </c>
      <c r="K2441" s="21" t="n">
        <v>294.96</v>
      </c>
      <c r="L2441" s="21" t="n">
        <v>337.1</v>
      </c>
      <c r="M2441" s="21" t="n">
        <v>550</v>
      </c>
    </row>
    <row r="2442">
      <c r="A2442" s="9" t="inlineStr">
        <is>
          <t>HAIFENG</t>
        </is>
      </c>
      <c r="B2442" s="9" t="inlineStr">
        <is>
          <t>HAIFENG 10/02/2026</t>
        </is>
      </c>
      <c r="C2442" s="9" t="inlineStr">
        <is>
          <t>2026-02-10</t>
        </is>
      </c>
      <c r="D2442" s="9" t="inlineStr">
        <is>
          <t>66177b506a320</t>
        </is>
      </c>
      <c r="E2442" s="9" t="inlineStr">
        <is>
          <t>COLLAR TRÉBOL GOLD-RED</t>
        </is>
      </c>
      <c r="F2442" s="9" t="inlineStr">
        <is>
          <t>HIGH QUALITY (45CM)</t>
        </is>
      </c>
      <c r="G2442" s="9" t="n">
        <v>1</v>
      </c>
      <c r="H2442" s="21" t="n">
        <v>4</v>
      </c>
      <c r="I2442" s="21" t="n">
        <v>84.27</v>
      </c>
      <c r="J2442" s="21" t="n">
        <v>252.82</v>
      </c>
      <c r="K2442" s="21" t="n">
        <v>294.96</v>
      </c>
      <c r="L2442" s="21" t="n">
        <v>337.1</v>
      </c>
      <c r="M2442" s="21" t="n">
        <v>899</v>
      </c>
    </row>
    <row r="2443">
      <c r="A2443" s="9" t="inlineStr">
        <is>
          <t>HAIFENG</t>
        </is>
      </c>
      <c r="B2443" s="9" t="inlineStr">
        <is>
          <t>HAIFENG 10/02/2026</t>
        </is>
      </c>
      <c r="C2443" s="9" t="inlineStr">
        <is>
          <t>2026-02-10</t>
        </is>
      </c>
      <c r="D2443" s="9" t="inlineStr">
        <is>
          <t>77216891573644</t>
        </is>
      </c>
      <c r="E2443" s="9" t="inlineStr">
        <is>
          <t>GARGANTILLA SIXTEEN STONE</t>
        </is>
      </c>
      <c r="F2443" s="9" t="inlineStr">
        <is>
          <t>42cm</t>
        </is>
      </c>
      <c r="G2443" s="9" t="n">
        <v>3</v>
      </c>
      <c r="H2443" s="21" t="n">
        <v>25</v>
      </c>
      <c r="I2443" s="21" t="n">
        <v>526.71</v>
      </c>
      <c r="J2443" s="21" t="n">
        <v>1580.14</v>
      </c>
      <c r="K2443" s="21" t="n">
        <v>1843.49</v>
      </c>
      <c r="L2443" s="21" t="n">
        <v>2106.85</v>
      </c>
      <c r="M2443" s="21" t="n">
        <v>2099</v>
      </c>
    </row>
    <row r="2444">
      <c r="A2444" s="9" t="inlineStr">
        <is>
          <t>HAIFENG</t>
        </is>
      </c>
      <c r="B2444" s="9" t="inlineStr">
        <is>
          <t>HAIFENG 10/02/2026</t>
        </is>
      </c>
      <c r="C2444" s="9" t="inlineStr">
        <is>
          <t>2026-02-10</t>
        </is>
      </c>
      <c r="D2444" s="9" t="inlineStr">
        <is>
          <t>67201531268621</t>
        </is>
      </c>
      <c r="E2444" s="9" t="inlineStr">
        <is>
          <t>LENTES EYEWEAR BROWN MM</t>
        </is>
      </c>
      <c r="F2444" s="9" t="inlineStr">
        <is>
          <t>Default Title</t>
        </is>
      </c>
      <c r="G2444" s="9" t="n">
        <v>2</v>
      </c>
      <c r="H2444" s="21" t="n">
        <v>42</v>
      </c>
      <c r="I2444" s="21" t="n">
        <v>884.88</v>
      </c>
      <c r="J2444" s="21" t="n">
        <v>2654.63</v>
      </c>
      <c r="K2444" s="21" t="n">
        <v>3097.07</v>
      </c>
      <c r="L2444" s="21" t="n">
        <v>3539.51</v>
      </c>
      <c r="M2444" s="21" t="n">
        <v>3499</v>
      </c>
    </row>
    <row r="2445">
      <c r="A2445" s="9" t="inlineStr">
        <is>
          <t>HAIFENG</t>
        </is>
      </c>
      <c r="B2445" s="9" t="inlineStr">
        <is>
          <t>HAIFENG 10/02/2026</t>
        </is>
      </c>
      <c r="C2445" s="9" t="inlineStr">
        <is>
          <t>2026-02-10</t>
        </is>
      </c>
      <c r="D2445" s="9" t="inlineStr">
        <is>
          <t>67201531386477</t>
        </is>
      </c>
      <c r="E2445" s="9" t="inlineStr">
        <is>
          <t>LENTES GOLD BLACK GC</t>
        </is>
      </c>
      <c r="F2445" s="9" t="inlineStr">
        <is>
          <t>Default Title</t>
        </is>
      </c>
      <c r="G2445" s="9" t="n">
        <v>1</v>
      </c>
      <c r="H2445" s="21" t="n">
        <v>35</v>
      </c>
      <c r="I2445" s="21" t="n">
        <v>737.4</v>
      </c>
      <c r="J2445" s="21" t="n">
        <v>2212.19</v>
      </c>
      <c r="K2445" s="21" t="n">
        <v>2580.89</v>
      </c>
      <c r="L2445" s="21" t="n">
        <v>2949.59</v>
      </c>
      <c r="M2445" s="21" t="n">
        <v>2884</v>
      </c>
    </row>
    <row r="2446">
      <c r="A2446" s="9" t="inlineStr">
        <is>
          <t>HAIFENG</t>
        </is>
      </c>
      <c r="B2446" s="9" t="inlineStr">
        <is>
          <t>HAIFENG 10/02/2026</t>
        </is>
      </c>
      <c r="C2446" s="9" t="inlineStr">
        <is>
          <t>2026-02-10</t>
        </is>
      </c>
      <c r="D2446" s="9" t="inlineStr">
        <is>
          <t>56481472890252</t>
        </is>
      </c>
      <c r="E2446" s="9" t="inlineStr">
        <is>
          <t>PULSERA ARO LOVE GOLD</t>
        </is>
      </c>
      <c r="F2446" s="9" t="inlineStr">
        <is>
          <t>18cm con extensión de 3.5cm</t>
        </is>
      </c>
      <c r="G2446" s="9" t="n">
        <v>2</v>
      </c>
      <c r="H2446" s="21" t="n">
        <v>5</v>
      </c>
      <c r="I2446" s="21" t="n">
        <v>105.34</v>
      </c>
      <c r="J2446" s="21" t="n">
        <v>316.03</v>
      </c>
      <c r="K2446" s="21" t="n">
        <v>368.7</v>
      </c>
      <c r="L2446" s="21" t="n">
        <v>421.37</v>
      </c>
      <c r="M2446" s="21" t="n">
        <v>420</v>
      </c>
    </row>
    <row r="2447">
      <c r="A2447" s="9" t="inlineStr">
        <is>
          <t>HAIFENG</t>
        </is>
      </c>
      <c r="B2447" s="9" t="inlineStr">
        <is>
          <t>HAIFENG 10/02/2026</t>
        </is>
      </c>
      <c r="C2447" s="9" t="inlineStr">
        <is>
          <t>2026-02-10</t>
        </is>
      </c>
      <c r="D2447" s="9" t="inlineStr">
        <is>
          <t>81078753280493</t>
        </is>
      </c>
      <c r="E2447" s="9" t="inlineStr">
        <is>
          <t>PULSERA BV.ZERO GAPS SILVER</t>
        </is>
      </c>
      <c r="F2447" s="9" t="inlineStr">
        <is>
          <t>Default Title</t>
        </is>
      </c>
      <c r="G2447" s="9" t="n">
        <v>2</v>
      </c>
      <c r="H2447" s="21" t="n">
        <v>8.5</v>
      </c>
      <c r="I2447" s="21" t="n">
        <v>179.08</v>
      </c>
      <c r="J2447" s="21" t="n">
        <v>537.25</v>
      </c>
      <c r="K2447" s="21" t="n">
        <v>626.79</v>
      </c>
      <c r="L2447" s="21" t="n">
        <v>716.33</v>
      </c>
      <c r="M2447" s="21" t="n">
        <v>720</v>
      </c>
    </row>
    <row r="2448">
      <c r="A2448" s="9" t="inlineStr">
        <is>
          <t>HAIFENG</t>
        </is>
      </c>
      <c r="B2448" s="9" t="inlineStr">
        <is>
          <t>HAIFENG 10/02/2026</t>
        </is>
      </c>
      <c r="C2448" s="9" t="inlineStr">
        <is>
          <t>2026-02-10</t>
        </is>
      </c>
      <c r="D2448" s="9" t="inlineStr">
        <is>
          <t>91078753456205</t>
        </is>
      </c>
      <c r="E2448" s="9" t="inlineStr">
        <is>
          <t>PULSERA BV.ZERO ROSEGOLD</t>
        </is>
      </c>
      <c r="F2448" s="9" t="inlineStr">
        <is>
          <t>HIGH QUALITY</t>
        </is>
      </c>
      <c r="G2448" s="9" t="n">
        <v>2</v>
      </c>
      <c r="H2448" s="21" t="n">
        <v>10</v>
      </c>
      <c r="I2448" s="21" t="n">
        <v>210.68</v>
      </c>
      <c r="J2448" s="21" t="n">
        <v>632.05</v>
      </c>
      <c r="K2448" s="21" t="n">
        <v>737.4</v>
      </c>
      <c r="L2448" s="21" t="n">
        <v>842.74</v>
      </c>
      <c r="M2448" s="21" t="n">
        <v>850</v>
      </c>
    </row>
    <row r="2449">
      <c r="A2449" s="9" t="inlineStr">
        <is>
          <t>HAIFENG</t>
        </is>
      </c>
      <c r="B2449" s="9" t="inlineStr">
        <is>
          <t>HAIFENG 10/02/2026</t>
        </is>
      </c>
      <c r="C2449" s="9" t="inlineStr">
        <is>
          <t>2026-02-10</t>
        </is>
      </c>
      <c r="D2449" s="9" t="inlineStr">
        <is>
          <t>66075802428173</t>
        </is>
      </c>
      <c r="E2449" s="9" t="inlineStr">
        <is>
          <t>PULSERA CHAIN GOLD CD</t>
        </is>
      </c>
      <c r="F2449" s="9" t="inlineStr">
        <is>
          <t>Default Title</t>
        </is>
      </c>
      <c r="G2449" s="9" t="n">
        <v>2</v>
      </c>
      <c r="H2449" s="21" t="n">
        <v>7.9</v>
      </c>
      <c r="I2449" s="21" t="n">
        <v>166.44</v>
      </c>
      <c r="J2449" s="21" t="n">
        <v>499.32</v>
      </c>
      <c r="K2449" s="21" t="n">
        <v>582.54</v>
      </c>
      <c r="L2449" s="21" t="n">
        <v>665.76</v>
      </c>
      <c r="M2449" s="21" t="n">
        <v>651</v>
      </c>
    </row>
    <row r="2450">
      <c r="A2450" s="9" t="inlineStr">
        <is>
          <t>HAIFENG</t>
        </is>
      </c>
      <c r="B2450" s="9" t="inlineStr">
        <is>
          <t>HAIFENG 10/02/2026</t>
        </is>
      </c>
      <c r="C2450" s="9" t="inlineStr">
        <is>
          <t>2026-02-10</t>
        </is>
      </c>
      <c r="D2450" s="9" t="inlineStr">
        <is>
          <t>63e0c23442e74</t>
        </is>
      </c>
      <c r="E2450" s="9" t="inlineStr">
        <is>
          <t>PULSERA CLIC H GOLD BLACK</t>
        </is>
      </c>
      <c r="F2450" s="9" t="inlineStr">
        <is>
          <t>16.8 cm</t>
        </is>
      </c>
      <c r="G2450" s="9" t="n">
        <v>5</v>
      </c>
      <c r="H2450" s="21" t="n">
        <v>5</v>
      </c>
      <c r="I2450" s="21" t="n">
        <v>105.34</v>
      </c>
      <c r="J2450" s="21" t="n">
        <v>316.03</v>
      </c>
      <c r="K2450" s="21" t="n">
        <v>368.7</v>
      </c>
      <c r="L2450" s="21" t="n">
        <v>421.37</v>
      </c>
      <c r="M2450" s="21" t="n">
        <v>569</v>
      </c>
    </row>
    <row r="2451">
      <c r="A2451" s="9" t="inlineStr">
        <is>
          <t>HAIFENG</t>
        </is>
      </c>
      <c r="B2451" s="9" t="inlineStr">
        <is>
          <t>HAIFENG 10/02/2026</t>
        </is>
      </c>
      <c r="C2451" s="9" t="inlineStr">
        <is>
          <t>2026-02-10</t>
        </is>
      </c>
      <c r="D2451" s="9" t="inlineStr">
        <is>
          <t>63ebddddb879a</t>
        </is>
      </c>
      <c r="E2451" s="9" t="inlineStr">
        <is>
          <t>PULSERA CLIC H GOLD WHITE</t>
        </is>
      </c>
      <c r="F2451" s="9" t="inlineStr">
        <is>
          <t>16.8 cm</t>
        </is>
      </c>
      <c r="G2451" s="9" t="n">
        <v>1</v>
      </c>
      <c r="H2451" s="21" t="n">
        <v>5</v>
      </c>
      <c r="I2451" s="21" t="n">
        <v>105.34</v>
      </c>
      <c r="J2451" s="21" t="n">
        <v>316.03</v>
      </c>
      <c r="K2451" s="21" t="n">
        <v>368.7</v>
      </c>
      <c r="L2451" s="21" t="n">
        <v>421.37</v>
      </c>
      <c r="M2451" s="21" t="n">
        <v>569</v>
      </c>
    </row>
    <row r="2452">
      <c r="A2452" s="9" t="inlineStr">
        <is>
          <t>HAIFENG</t>
        </is>
      </c>
      <c r="B2452" s="9" t="inlineStr">
        <is>
          <t>HAIFENG 10/02/2026</t>
        </is>
      </c>
      <c r="C2452" s="9" t="inlineStr">
        <is>
          <t>2026-02-10</t>
        </is>
      </c>
      <c r="D2452" s="9" t="inlineStr">
        <is>
          <t>63e0c234b0e65</t>
        </is>
      </c>
      <c r="E2452" s="9" t="inlineStr">
        <is>
          <t>PULSERA CLIC H SILVER BLACK</t>
        </is>
      </c>
      <c r="F2452" s="9" t="inlineStr">
        <is>
          <t>16.8 cm</t>
        </is>
      </c>
      <c r="G2452" s="9" t="n">
        <v>6</v>
      </c>
      <c r="H2452" s="21" t="n">
        <v>5</v>
      </c>
      <c r="I2452" s="21" t="n">
        <v>105.34</v>
      </c>
      <c r="J2452" s="21" t="n">
        <v>316.03</v>
      </c>
      <c r="K2452" s="21" t="n">
        <v>368.7</v>
      </c>
      <c r="L2452" s="21" t="n">
        <v>421.37</v>
      </c>
      <c r="M2452" s="21" t="n">
        <v>550</v>
      </c>
    </row>
    <row r="2453">
      <c r="A2453" s="9" t="inlineStr">
        <is>
          <t>HAIFENG</t>
        </is>
      </c>
      <c r="B2453" s="9" t="inlineStr">
        <is>
          <t>HAIFENG 10/02/2026</t>
        </is>
      </c>
      <c r="C2453" s="9" t="inlineStr">
        <is>
          <t>2026-02-10</t>
        </is>
      </c>
      <c r="D2453" s="9" t="inlineStr">
        <is>
          <t>63e0c23519a54</t>
        </is>
      </c>
      <c r="E2453" s="9" t="inlineStr">
        <is>
          <t>PULSERA CLIC H SILVER PINK</t>
        </is>
      </c>
      <c r="F2453" s="9" t="inlineStr">
        <is>
          <t>16.8 cm</t>
        </is>
      </c>
      <c r="G2453" s="9" t="n">
        <v>5</v>
      </c>
      <c r="H2453" s="21" t="n">
        <v>5</v>
      </c>
      <c r="I2453" s="21" t="n">
        <v>105.34</v>
      </c>
      <c r="J2453" s="21" t="n">
        <v>316.03</v>
      </c>
      <c r="K2453" s="21" t="n">
        <v>368.7</v>
      </c>
      <c r="L2453" s="21" t="n">
        <v>421.37</v>
      </c>
      <c r="M2453" s="21" t="n">
        <v>550</v>
      </c>
    </row>
    <row r="2454">
      <c r="A2454" s="9" t="inlineStr">
        <is>
          <t>HAIFENG</t>
        </is>
      </c>
      <c r="B2454" s="9" t="inlineStr">
        <is>
          <t>HAIFENG 10/02/2026</t>
        </is>
      </c>
      <c r="C2454" s="9" t="inlineStr">
        <is>
          <t>2026-02-10</t>
        </is>
      </c>
      <c r="D2454" s="9" t="inlineStr">
        <is>
          <t>63e0c2310d7f4</t>
        </is>
      </c>
      <c r="E2454" s="9" t="inlineStr">
        <is>
          <t>PULSERA CLIC H SILVER WHITE</t>
        </is>
      </c>
      <c r="F2454" s="9" t="inlineStr">
        <is>
          <t>16.8 cm</t>
        </is>
      </c>
      <c r="G2454" s="9" t="n">
        <v>8</v>
      </c>
      <c r="H2454" s="21" t="n">
        <v>5</v>
      </c>
      <c r="I2454" s="21" t="n">
        <v>105.34</v>
      </c>
      <c r="J2454" s="21" t="n">
        <v>316.03</v>
      </c>
      <c r="K2454" s="21" t="n">
        <v>368.7</v>
      </c>
      <c r="L2454" s="21" t="n">
        <v>421.37</v>
      </c>
      <c r="M2454" s="21" t="n">
        <v>569</v>
      </c>
    </row>
    <row r="2455">
      <c r="A2455" s="9" t="inlineStr">
        <is>
          <t>HAIFENG</t>
        </is>
      </c>
      <c r="B2455" s="9" t="inlineStr">
        <is>
          <t>HAIFENG 10/02/2026</t>
        </is>
      </c>
      <c r="C2455" s="9" t="inlineStr">
        <is>
          <t>2026-02-10</t>
        </is>
      </c>
      <c r="D2455" s="9" t="inlineStr">
        <is>
          <t>43728081992652</t>
        </is>
      </c>
      <c r="E2455" s="9" t="inlineStr">
        <is>
          <t>PULSERA CON PASADOR Y PLACA ESTILO CORAZON SILVER</t>
        </is>
      </c>
      <c r="F2455" s="9" t="inlineStr">
        <is>
          <t>17cm</t>
        </is>
      </c>
      <c r="G2455" s="9" t="n">
        <v>10</v>
      </c>
      <c r="H2455" s="21" t="n">
        <v>7</v>
      </c>
      <c r="I2455" s="21" t="n">
        <v>147.48</v>
      </c>
      <c r="J2455" s="21" t="n">
        <v>442.44</v>
      </c>
      <c r="K2455" s="21" t="n">
        <v>516.1799999999999</v>
      </c>
      <c r="L2455" s="21" t="n">
        <v>589.92</v>
      </c>
      <c r="M2455" s="21" t="n">
        <v>699</v>
      </c>
    </row>
    <row r="2456">
      <c r="A2456" s="9" t="inlineStr">
        <is>
          <t>HAIFENG</t>
        </is>
      </c>
      <c r="B2456" s="9" t="inlineStr">
        <is>
          <t>HAIFENG 10/02/2026</t>
        </is>
      </c>
      <c r="C2456" s="9" t="inlineStr">
        <is>
          <t>2026-02-10</t>
        </is>
      </c>
      <c r="D2456" s="9" t="inlineStr">
        <is>
          <t>668eee357952c</t>
        </is>
      </c>
      <c r="E2456" s="9" t="inlineStr">
        <is>
          <t>PULSERA DE CUENTAS CON INSIGNIA DE CORAZÓN BLUE</t>
        </is>
      </c>
      <c r="F2456" s="9" t="inlineStr">
        <is>
          <t>17 cm</t>
        </is>
      </c>
      <c r="G2456" s="9" t="n">
        <v>6</v>
      </c>
      <c r="H2456" s="21" t="n">
        <v>5</v>
      </c>
      <c r="I2456" s="21" t="n">
        <v>105.34</v>
      </c>
      <c r="J2456" s="21" t="n">
        <v>316.03</v>
      </c>
      <c r="K2456" s="21" t="n">
        <v>368.7</v>
      </c>
      <c r="L2456" s="21" t="n">
        <v>421.37</v>
      </c>
      <c r="M2456" s="21" t="n">
        <v>550</v>
      </c>
    </row>
    <row r="2457">
      <c r="A2457" s="9" t="inlineStr">
        <is>
          <t>HAIFENG</t>
        </is>
      </c>
      <c r="B2457" s="9" t="inlineStr">
        <is>
          <t>HAIFENG 10/02/2026</t>
        </is>
      </c>
      <c r="C2457" s="9" t="inlineStr">
        <is>
          <t>2026-02-10</t>
        </is>
      </c>
      <c r="D2457" s="9" t="inlineStr">
        <is>
          <t>668eee369b9c1</t>
        </is>
      </c>
      <c r="E2457" s="9" t="inlineStr">
        <is>
          <t>PULSERA DE CUENTAS CON INSIGNIA DE CORAZÓN BLUE</t>
        </is>
      </c>
      <c r="F2457" s="9" t="inlineStr">
        <is>
          <t>19 cm</t>
        </is>
      </c>
      <c r="G2457" s="9" t="n">
        <v>5</v>
      </c>
      <c r="H2457" s="21" t="n">
        <v>5</v>
      </c>
      <c r="I2457" s="21" t="n">
        <v>105.34</v>
      </c>
      <c r="J2457" s="21" t="n">
        <v>316.03</v>
      </c>
      <c r="K2457" s="21" t="n">
        <v>368.7</v>
      </c>
      <c r="L2457" s="21" t="n">
        <v>421.37</v>
      </c>
      <c r="M2457" s="21" t="n">
        <v>550</v>
      </c>
    </row>
    <row r="2458">
      <c r="A2458" s="9" t="inlineStr">
        <is>
          <t>HAIFENG</t>
        </is>
      </c>
      <c r="B2458" s="9" t="inlineStr">
        <is>
          <t>HAIFENG 10/02/2026</t>
        </is>
      </c>
      <c r="C2458" s="9" t="inlineStr">
        <is>
          <t>2026-02-10</t>
        </is>
      </c>
      <c r="D2458" s="9" t="inlineStr">
        <is>
          <t>43047224541324</t>
        </is>
      </c>
      <c r="E2458" s="9" t="inlineStr">
        <is>
          <t>PULSERA DE CUENTAS CON INSIGNIA DE CORAZÓN PINK</t>
        </is>
      </c>
      <c r="F2458" s="9" t="inlineStr">
        <is>
          <t>17 cm</t>
        </is>
      </c>
      <c r="G2458" s="9" t="n">
        <v>8</v>
      </c>
      <c r="H2458" s="21" t="n">
        <v>5</v>
      </c>
      <c r="I2458" s="21" t="n">
        <v>105.34</v>
      </c>
      <c r="J2458" s="21" t="n">
        <v>316.03</v>
      </c>
      <c r="K2458" s="21" t="n">
        <v>368.7</v>
      </c>
      <c r="L2458" s="21" t="n">
        <v>421.37</v>
      </c>
      <c r="M2458" s="21" t="n">
        <v>550</v>
      </c>
    </row>
    <row r="2459">
      <c r="A2459" s="9" t="inlineStr">
        <is>
          <t>HAIFENG</t>
        </is>
      </c>
      <c r="B2459" s="9" t="inlineStr">
        <is>
          <t>HAIFENG 10/02/2026</t>
        </is>
      </c>
      <c r="C2459" s="9" t="inlineStr">
        <is>
          <t>2026-02-10</t>
        </is>
      </c>
      <c r="D2459" s="9" t="inlineStr">
        <is>
          <t>668eee51ba91b</t>
        </is>
      </c>
      <c r="E2459" s="9" t="inlineStr">
        <is>
          <t>PULSERA DE CUENTAS CON INSIGNIA DE CORAZÓN RED</t>
        </is>
      </c>
      <c r="F2459" s="9" t="inlineStr">
        <is>
          <t>17 cm</t>
        </is>
      </c>
      <c r="G2459" s="9" t="n">
        <v>5</v>
      </c>
      <c r="H2459" s="21" t="n">
        <v>5</v>
      </c>
      <c r="I2459" s="21" t="n">
        <v>105.34</v>
      </c>
      <c r="J2459" s="21" t="n">
        <v>316.03</v>
      </c>
      <c r="K2459" s="21" t="n">
        <v>368.7</v>
      </c>
      <c r="L2459" s="21" t="n">
        <v>421.37</v>
      </c>
      <c r="M2459" s="21" t="n">
        <v>550</v>
      </c>
    </row>
    <row r="2460">
      <c r="A2460" s="9" t="inlineStr">
        <is>
          <t>HAIFENG</t>
        </is>
      </c>
      <c r="B2460" s="9" t="inlineStr">
        <is>
          <t>HAIFENG 10/02/2026</t>
        </is>
      </c>
      <c r="C2460" s="9" t="inlineStr">
        <is>
          <t>2026-02-10</t>
        </is>
      </c>
      <c r="D2460" s="9" t="inlineStr">
        <is>
          <t>668eee52c5906</t>
        </is>
      </c>
      <c r="E2460" s="9" t="inlineStr">
        <is>
          <t>PULSERA DE CUENTAS CON INSIGNIA DE CORAZÓN RED</t>
        </is>
      </c>
      <c r="F2460" s="9" t="inlineStr">
        <is>
          <t>18 cm</t>
        </is>
      </c>
      <c r="G2460" s="9" t="n">
        <v>1</v>
      </c>
      <c r="H2460" s="21" t="n">
        <v>5</v>
      </c>
      <c r="I2460" s="21" t="n">
        <v>105.34</v>
      </c>
      <c r="J2460" s="21" t="n">
        <v>316.03</v>
      </c>
      <c r="K2460" s="21" t="n">
        <v>368.7</v>
      </c>
      <c r="L2460" s="21" t="n">
        <v>421.37</v>
      </c>
      <c r="M2460" s="21" t="n">
        <v>550</v>
      </c>
    </row>
    <row r="2461">
      <c r="A2461" s="9" t="inlineStr">
        <is>
          <t>HAIFENG</t>
        </is>
      </c>
      <c r="B2461" s="9" t="inlineStr">
        <is>
          <t>HAIFENG 10/02/2026</t>
        </is>
      </c>
      <c r="C2461" s="9" t="inlineStr">
        <is>
          <t>2026-02-10</t>
        </is>
      </c>
      <c r="D2461" s="9" t="inlineStr">
        <is>
          <t>6617748fe62cc</t>
        </is>
      </c>
      <c r="E2461" s="9" t="inlineStr">
        <is>
          <t>PULSERA DE TELA TRES AROS BLACK</t>
        </is>
      </c>
      <c r="F2461" s="9" t="inlineStr">
        <is>
          <t>AJUSTABLE</t>
        </is>
      </c>
      <c r="G2461" s="9" t="n">
        <v>5</v>
      </c>
      <c r="H2461" s="21" t="n">
        <v>4.7</v>
      </c>
      <c r="I2461" s="21" t="n">
        <v>99.02</v>
      </c>
      <c r="J2461" s="21" t="n">
        <v>297.07</v>
      </c>
      <c r="K2461" s="21" t="n">
        <v>346.58</v>
      </c>
      <c r="L2461" s="21" t="n">
        <v>396.09</v>
      </c>
      <c r="M2461" s="21" t="n">
        <v>399</v>
      </c>
    </row>
    <row r="2462">
      <c r="A2462" s="9" t="inlineStr">
        <is>
          <t>HAIFENG</t>
        </is>
      </c>
      <c r="B2462" s="9" t="inlineStr">
        <is>
          <t>HAIFENG 10/02/2026</t>
        </is>
      </c>
      <c r="C2462" s="9" t="inlineStr">
        <is>
          <t>2026-02-10</t>
        </is>
      </c>
      <c r="D2462" s="9" t="inlineStr">
        <is>
          <t>85245863092492</t>
        </is>
      </c>
      <c r="E2462" s="9" t="inlineStr">
        <is>
          <t>PULSERA DE TELA TRES AROS RED</t>
        </is>
      </c>
      <c r="F2462" s="9" t="inlineStr">
        <is>
          <t>AJUSTABLE</t>
        </is>
      </c>
      <c r="G2462" s="9" t="n">
        <v>3</v>
      </c>
      <c r="H2462" s="21" t="n">
        <v>4.7</v>
      </c>
      <c r="I2462" s="21" t="n">
        <v>99.02</v>
      </c>
      <c r="J2462" s="21" t="n">
        <v>297.07</v>
      </c>
      <c r="K2462" s="21" t="n">
        <v>346.58</v>
      </c>
      <c r="L2462" s="21" t="n">
        <v>396.09</v>
      </c>
      <c r="M2462" s="21" t="n">
        <v>399</v>
      </c>
    </row>
    <row r="2463">
      <c r="A2463" s="9" t="inlineStr">
        <is>
          <t>HAIFENG</t>
        </is>
      </c>
      <c r="B2463" s="9" t="inlineStr">
        <is>
          <t>HAIFENG 10/02/2026</t>
        </is>
      </c>
      <c r="C2463" s="9" t="inlineStr">
        <is>
          <t>2026-02-10</t>
        </is>
      </c>
      <c r="D2463" s="9" t="inlineStr">
        <is>
          <t>34361211039213</t>
        </is>
      </c>
      <c r="E2463" s="9" t="inlineStr">
        <is>
          <t>PULSERA DIVAS DREAM SILVER</t>
        </is>
      </c>
      <c r="F2463" s="9" t="inlineStr">
        <is>
          <t>Default Title</t>
        </is>
      </c>
      <c r="G2463" s="9" t="n">
        <v>2</v>
      </c>
      <c r="H2463" s="21" t="n">
        <v>7.5</v>
      </c>
      <c r="I2463" s="21" t="n">
        <v>158.01</v>
      </c>
      <c r="J2463" s="21" t="n">
        <v>474.04</v>
      </c>
      <c r="K2463" s="21" t="n">
        <v>553.05</v>
      </c>
      <c r="L2463" s="21" t="n">
        <v>632.05</v>
      </c>
      <c r="M2463" s="21" t="n">
        <v>620</v>
      </c>
    </row>
    <row r="2464">
      <c r="A2464" s="9" t="inlineStr">
        <is>
          <t>HAIFENG</t>
        </is>
      </c>
      <c r="B2464" s="9" t="inlineStr">
        <is>
          <t>HAIFENG 10/02/2026</t>
        </is>
      </c>
      <c r="C2464" s="9" t="inlineStr">
        <is>
          <t>2026-02-10</t>
        </is>
      </c>
      <c r="D2464" s="9" t="inlineStr">
        <is>
          <t>75330961067949</t>
        </is>
      </c>
      <c r="E2464" s="9" t="inlineStr">
        <is>
          <t>PULSERA DOS VUELTAS SERPENTI ROSEGOLD CON ZIRCONIA</t>
        </is>
      </c>
      <c r="F2464" s="9" t="inlineStr">
        <is>
          <t>Default Title</t>
        </is>
      </c>
      <c r="G2464" s="9" t="n">
        <v>1</v>
      </c>
      <c r="H2464" s="21" t="n">
        <v>25</v>
      </c>
      <c r="I2464" s="21" t="n">
        <v>526.71</v>
      </c>
      <c r="J2464" s="21" t="n">
        <v>1580.14</v>
      </c>
      <c r="K2464" s="21" t="n">
        <v>1843.49</v>
      </c>
      <c r="L2464" s="21" t="n">
        <v>2106.85</v>
      </c>
      <c r="M2464" s="21" t="n">
        <v>2099</v>
      </c>
    </row>
    <row r="2465">
      <c r="A2465" s="9" t="inlineStr">
        <is>
          <t>HAIFENG</t>
        </is>
      </c>
      <c r="B2465" s="9" t="inlineStr">
        <is>
          <t>HAIFENG 10/02/2026</t>
        </is>
      </c>
      <c r="C2465" s="9" t="inlineStr">
        <is>
          <t>2026-02-10</t>
        </is>
      </c>
      <c r="D2465" s="9" t="inlineStr">
        <is>
          <t>86347033612749</t>
        </is>
      </c>
      <c r="E2465" s="9" t="inlineStr">
        <is>
          <t>PULSERA ESLABONES ROSEGOLD ZIRCONIA</t>
        </is>
      </c>
      <c r="F2465" s="9" t="inlineStr">
        <is>
          <t>Default Title</t>
        </is>
      </c>
      <c r="G2465" s="9" t="n">
        <v>3</v>
      </c>
      <c r="H2465" s="21" t="n">
        <v>10</v>
      </c>
      <c r="I2465" s="21" t="n">
        <v>210.68</v>
      </c>
      <c r="J2465" s="21" t="n">
        <v>632.05</v>
      </c>
      <c r="K2465" s="21" t="n">
        <v>737.4</v>
      </c>
      <c r="L2465" s="21" t="n">
        <v>842.74</v>
      </c>
      <c r="M2465" s="21" t="n">
        <v>824</v>
      </c>
    </row>
    <row r="2466">
      <c r="A2466" s="9" t="inlineStr">
        <is>
          <t>HAIFENG</t>
        </is>
      </c>
      <c r="B2466" s="9" t="inlineStr">
        <is>
          <t>HAIFENG 10/02/2026</t>
        </is>
      </c>
      <c r="C2466" s="9" t="inlineStr">
        <is>
          <t>2026-02-10</t>
        </is>
      </c>
      <c r="D2466" s="9" t="inlineStr">
        <is>
          <t>12314363483981</t>
        </is>
      </c>
      <c r="E2466" s="9" t="inlineStr">
        <is>
          <t>PULSERA F LOGOS GOLD-BLACK</t>
        </is>
      </c>
      <c r="F2466" s="9" t="inlineStr">
        <is>
          <t>HIGH QUALITY</t>
        </is>
      </c>
      <c r="G2466" s="9" t="n">
        <v>3</v>
      </c>
      <c r="H2466" s="21" t="n">
        <v>10</v>
      </c>
      <c r="I2466" s="21" t="n">
        <v>210.68</v>
      </c>
      <c r="J2466" s="21" t="n">
        <v>632.05</v>
      </c>
      <c r="K2466" s="21" t="n">
        <v>737.4</v>
      </c>
      <c r="L2466" s="21" t="n">
        <v>842.74</v>
      </c>
      <c r="M2466" s="21" t="n">
        <v>988</v>
      </c>
    </row>
    <row r="2467">
      <c r="A2467" s="9" t="inlineStr">
        <is>
          <t>HAIFENG</t>
        </is>
      </c>
      <c r="B2467" s="9" t="inlineStr">
        <is>
          <t>HAIFENG 10/02/2026</t>
        </is>
      </c>
      <c r="C2467" s="9" t="inlineStr">
        <is>
          <t>2026-02-10</t>
        </is>
      </c>
      <c r="D2467" s="9" t="inlineStr">
        <is>
          <t>12314362119469</t>
        </is>
      </c>
      <c r="E2467" s="9" t="inlineStr">
        <is>
          <t>PULSERA F O'LOCK GOLD</t>
        </is>
      </c>
      <c r="F2467" s="9" t="inlineStr">
        <is>
          <t>Default Title</t>
        </is>
      </c>
      <c r="G2467" s="9" t="n">
        <v>2</v>
      </c>
      <c r="H2467" s="21" t="n">
        <v>7</v>
      </c>
      <c r="I2467" s="21" t="n">
        <v>147.48</v>
      </c>
      <c r="J2467" s="21" t="n">
        <v>442.44</v>
      </c>
      <c r="K2467" s="21" t="n">
        <v>516.1799999999999</v>
      </c>
      <c r="L2467" s="21" t="n">
        <v>589.92</v>
      </c>
      <c r="M2467" s="21" t="n">
        <v>580</v>
      </c>
    </row>
    <row r="2468">
      <c r="A2468" s="9" t="inlineStr">
        <is>
          <t>HAIFENG</t>
        </is>
      </c>
      <c r="B2468" s="9" t="inlineStr">
        <is>
          <t>HAIFENG 10/02/2026</t>
        </is>
      </c>
      <c r="C2468" s="9" t="inlineStr">
        <is>
          <t>2026-02-10</t>
        </is>
      </c>
      <c r="D2468" s="9" t="inlineStr">
        <is>
          <t>39396101044045</t>
        </is>
      </c>
      <c r="E2468" s="9" t="inlineStr">
        <is>
          <t>PULSERA KNOT GOLD CON ZIRCONIA</t>
        </is>
      </c>
      <c r="F2468" s="9" t="inlineStr">
        <is>
          <t>Default Title</t>
        </is>
      </c>
      <c r="G2468" s="9" t="n">
        <v>2</v>
      </c>
      <c r="H2468" s="21" t="n">
        <v>13</v>
      </c>
      <c r="I2468" s="21" t="n">
        <v>273.89</v>
      </c>
      <c r="J2468" s="21" t="n">
        <v>821.67</v>
      </c>
      <c r="K2468" s="21" t="n">
        <v>958.62</v>
      </c>
      <c r="L2468" s="21" t="n">
        <v>1095.56</v>
      </c>
      <c r="M2468" s="21" t="n">
        <v>1199</v>
      </c>
    </row>
    <row r="2469">
      <c r="A2469" s="9" t="inlineStr">
        <is>
          <t>HAIFENG</t>
        </is>
      </c>
      <c r="B2469" s="9" t="inlineStr">
        <is>
          <t>HAIFENG 10/02/2026</t>
        </is>
      </c>
      <c r="C2469" s="9" t="inlineStr">
        <is>
          <t>2026-02-10</t>
        </is>
      </c>
      <c r="D2469" s="9" t="inlineStr">
        <is>
          <t>79274691076205</t>
        </is>
      </c>
      <c r="E2469" s="9" t="inlineStr">
        <is>
          <t>PULSERA LOVE DELGADA GOLD</t>
        </is>
      </c>
      <c r="F2469" s="9" t="inlineStr">
        <is>
          <t>16cm</t>
        </is>
      </c>
      <c r="G2469" s="9" t="n">
        <v>15</v>
      </c>
      <c r="H2469" s="21" t="n">
        <v>5</v>
      </c>
      <c r="I2469" s="21" t="n">
        <v>105.34</v>
      </c>
      <c r="J2469" s="21" t="n">
        <v>316.03</v>
      </c>
      <c r="K2469" s="21" t="n">
        <v>368.7</v>
      </c>
      <c r="L2469" s="21" t="n">
        <v>421.37</v>
      </c>
      <c r="M2469" s="21" t="n">
        <v>499</v>
      </c>
    </row>
    <row r="2470">
      <c r="A2470" s="9" t="inlineStr">
        <is>
          <t>HAIFENG</t>
        </is>
      </c>
      <c r="B2470" s="9" t="inlineStr">
        <is>
          <t>HAIFENG 10/02/2026</t>
        </is>
      </c>
      <c r="C2470" s="9" t="inlineStr">
        <is>
          <t>2026-02-10</t>
        </is>
      </c>
      <c r="D2470" s="9" t="inlineStr">
        <is>
          <t>79274691241741</t>
        </is>
      </c>
      <c r="E2470" s="9" t="inlineStr">
        <is>
          <t>PULSERA LOVE DELGADA GOLD</t>
        </is>
      </c>
      <c r="F2470" s="9" t="inlineStr">
        <is>
          <t>18cm</t>
        </is>
      </c>
      <c r="G2470" s="9" t="n">
        <v>10</v>
      </c>
      <c r="H2470" s="21" t="n">
        <v>5</v>
      </c>
      <c r="I2470" s="21" t="n">
        <v>105.34</v>
      </c>
      <c r="J2470" s="21" t="n">
        <v>316.03</v>
      </c>
      <c r="K2470" s="21" t="n">
        <v>368.7</v>
      </c>
      <c r="L2470" s="21" t="n">
        <v>421.37</v>
      </c>
      <c r="M2470" s="21" t="n">
        <v>499</v>
      </c>
    </row>
    <row r="2471">
      <c r="A2471" s="9" t="inlineStr">
        <is>
          <t>HAIFENG</t>
        </is>
      </c>
      <c r="B2471" s="9" t="inlineStr">
        <is>
          <t>HAIFENG 10/02/2026</t>
        </is>
      </c>
      <c r="C2471" s="9" t="inlineStr">
        <is>
          <t>2026-02-10</t>
        </is>
      </c>
      <c r="D2471" s="9" t="inlineStr">
        <is>
          <t>47179791074049</t>
        </is>
      </c>
      <c r="E2471" s="9" t="inlineStr">
        <is>
          <t>PULSERA LOVE DELGADA GOLD</t>
        </is>
      </c>
      <c r="F2471" s="9" t="inlineStr">
        <is>
          <t>16cm con 5cm de extensión</t>
        </is>
      </c>
      <c r="G2471" s="9" t="n">
        <v>6</v>
      </c>
      <c r="H2471" s="21" t="n">
        <v>5</v>
      </c>
      <c r="I2471" s="21" t="n">
        <v>105.34</v>
      </c>
      <c r="J2471" s="21" t="n">
        <v>316.03</v>
      </c>
      <c r="K2471" s="21" t="n">
        <v>368.7</v>
      </c>
      <c r="L2471" s="21" t="n">
        <v>421.37</v>
      </c>
      <c r="M2471" s="21" t="n">
        <v>499</v>
      </c>
    </row>
    <row r="2472">
      <c r="A2472" s="9" t="inlineStr">
        <is>
          <t>HAIFENG</t>
        </is>
      </c>
      <c r="B2472" s="9" t="inlineStr">
        <is>
          <t>HAIFENG 10/02/2026</t>
        </is>
      </c>
      <c r="C2472" s="9" t="inlineStr">
        <is>
          <t>2026-02-10</t>
        </is>
      </c>
      <c r="D2472" s="9" t="inlineStr">
        <is>
          <t>63e0c58ca26ac</t>
        </is>
      </c>
      <c r="E2472" s="9" t="inlineStr">
        <is>
          <t>PULSERA LOVE DELGADA ROSE GOLD</t>
        </is>
      </c>
      <c r="F2472" s="9" t="inlineStr">
        <is>
          <t>16 cm</t>
        </is>
      </c>
      <c r="G2472" s="9" t="n">
        <v>4</v>
      </c>
      <c r="H2472" s="21" t="n">
        <v>5</v>
      </c>
      <c r="I2472" s="21" t="n">
        <v>105.34</v>
      </c>
      <c r="J2472" s="21" t="n">
        <v>316.03</v>
      </c>
      <c r="K2472" s="21" t="n">
        <v>368.7</v>
      </c>
      <c r="L2472" s="21" t="n">
        <v>421.37</v>
      </c>
      <c r="M2472" s="21" t="n">
        <v>499</v>
      </c>
    </row>
    <row r="2473">
      <c r="A2473" s="9" t="inlineStr">
        <is>
          <t>HAIFENG</t>
        </is>
      </c>
      <c r="B2473" s="9" t="inlineStr">
        <is>
          <t>HAIFENG 10/02/2026</t>
        </is>
      </c>
      <c r="C2473" s="9" t="inlineStr">
        <is>
          <t>2026-02-10</t>
        </is>
      </c>
      <c r="D2473" s="9" t="inlineStr">
        <is>
          <t>77724991007277</t>
        </is>
      </c>
      <c r="E2473" s="9" t="inlineStr">
        <is>
          <t>PULSERA LOVE DELGADA SILVER</t>
        </is>
      </c>
      <c r="F2473" s="9" t="inlineStr">
        <is>
          <t>16cm</t>
        </is>
      </c>
      <c r="G2473" s="9" t="n">
        <v>4</v>
      </c>
      <c r="H2473" s="21" t="n">
        <v>5</v>
      </c>
      <c r="I2473" s="21" t="n">
        <v>105.34</v>
      </c>
      <c r="J2473" s="21" t="n">
        <v>316.03</v>
      </c>
      <c r="K2473" s="21" t="n">
        <v>368.7</v>
      </c>
      <c r="L2473" s="21" t="n">
        <v>421.37</v>
      </c>
      <c r="M2473" s="21" t="n">
        <v>499</v>
      </c>
    </row>
    <row r="2474">
      <c r="A2474" s="9" t="inlineStr">
        <is>
          <t>HAIFENG</t>
        </is>
      </c>
      <c r="B2474" s="9" t="inlineStr">
        <is>
          <t>HAIFENG 10/02/2026</t>
        </is>
      </c>
      <c r="C2474" s="9" t="inlineStr">
        <is>
          <t>2026-02-10</t>
        </is>
      </c>
      <c r="D2474" s="9" t="inlineStr">
        <is>
          <t>77724991140045</t>
        </is>
      </c>
      <c r="E2474" s="9" t="inlineStr">
        <is>
          <t>PULSERA LOVE DELGADA SILVER</t>
        </is>
      </c>
      <c r="F2474" s="9" t="inlineStr">
        <is>
          <t>17cm</t>
        </is>
      </c>
      <c r="G2474" s="9" t="n">
        <v>3</v>
      </c>
      <c r="H2474" s="21" t="n">
        <v>5</v>
      </c>
      <c r="I2474" s="21" t="n">
        <v>105.34</v>
      </c>
      <c r="J2474" s="21" t="n">
        <v>316.03</v>
      </c>
      <c r="K2474" s="21" t="n">
        <v>368.7</v>
      </c>
      <c r="L2474" s="21" t="n">
        <v>421.37</v>
      </c>
      <c r="M2474" s="21" t="n">
        <v>499</v>
      </c>
    </row>
    <row r="2475">
      <c r="A2475" s="9" t="inlineStr">
        <is>
          <t>HAIFENG</t>
        </is>
      </c>
      <c r="B2475" s="9" t="inlineStr">
        <is>
          <t>HAIFENG 10/02/2026</t>
        </is>
      </c>
      <c r="C2475" s="9" t="inlineStr">
        <is>
          <t>2026-02-10</t>
        </is>
      </c>
      <c r="D2475" s="9" t="inlineStr">
        <is>
          <t>43728090715788</t>
        </is>
      </c>
      <c r="E2475" s="9" t="inlineStr">
        <is>
          <t>PULSERA LOVE SILVER</t>
        </is>
      </c>
      <c r="F2475" s="9" t="inlineStr">
        <is>
          <t>16cm</t>
        </is>
      </c>
      <c r="G2475" s="9" t="n">
        <v>8</v>
      </c>
      <c r="H2475" s="21" t="n">
        <v>4.5</v>
      </c>
      <c r="I2475" s="21" t="n">
        <v>94.81</v>
      </c>
      <c r="J2475" s="21" t="n">
        <v>284.42</v>
      </c>
      <c r="K2475" s="21" t="n">
        <v>331.83</v>
      </c>
      <c r="L2475" s="21" t="n">
        <v>379.23</v>
      </c>
      <c r="M2475" s="21" t="n">
        <v>499</v>
      </c>
    </row>
    <row r="2476">
      <c r="A2476" s="9" t="inlineStr">
        <is>
          <t>HAIFENG</t>
        </is>
      </c>
      <c r="B2476" s="9" t="inlineStr">
        <is>
          <t>HAIFENG 10/02/2026</t>
        </is>
      </c>
      <c r="C2476" s="9" t="inlineStr">
        <is>
          <t>2026-02-10</t>
        </is>
      </c>
      <c r="D2476" s="9" t="inlineStr">
        <is>
          <t>43728090848556</t>
        </is>
      </c>
      <c r="E2476" s="9" t="inlineStr">
        <is>
          <t>PULSERA LOVE SILVER</t>
        </is>
      </c>
      <c r="F2476" s="9" t="inlineStr">
        <is>
          <t>17cm</t>
        </is>
      </c>
      <c r="G2476" s="9" t="n">
        <v>10</v>
      </c>
      <c r="H2476" s="21" t="n">
        <v>4.5</v>
      </c>
      <c r="I2476" s="21" t="n">
        <v>94.81</v>
      </c>
      <c r="J2476" s="21" t="n">
        <v>284.42</v>
      </c>
      <c r="K2476" s="21" t="n">
        <v>331.83</v>
      </c>
      <c r="L2476" s="21" t="n">
        <v>379.23</v>
      </c>
      <c r="M2476" s="21" t="n">
        <v>499</v>
      </c>
    </row>
    <row r="2477">
      <c r="A2477" s="9" t="inlineStr">
        <is>
          <t>HAIFENG</t>
        </is>
      </c>
      <c r="B2477" s="9" t="inlineStr">
        <is>
          <t>HAIFENG 10/02/2026</t>
        </is>
      </c>
      <c r="C2477" s="9" t="inlineStr">
        <is>
          <t>2026-02-10</t>
        </is>
      </c>
      <c r="D2477" s="9" t="inlineStr">
        <is>
          <t>43728091146860</t>
        </is>
      </c>
      <c r="E2477" s="9" t="inlineStr">
        <is>
          <t>PULSERA LOVE SILVER</t>
        </is>
      </c>
      <c r="F2477" s="9" t="inlineStr">
        <is>
          <t>20cm</t>
        </is>
      </c>
      <c r="G2477" s="9" t="n">
        <v>7</v>
      </c>
      <c r="H2477" s="21" t="n">
        <v>4.5</v>
      </c>
      <c r="I2477" s="21" t="n">
        <v>94.81</v>
      </c>
      <c r="J2477" s="21" t="n">
        <v>284.42</v>
      </c>
      <c r="K2477" s="21" t="n">
        <v>331.83</v>
      </c>
      <c r="L2477" s="21" t="n">
        <v>379.23</v>
      </c>
      <c r="M2477" s="21" t="n">
        <v>499</v>
      </c>
    </row>
    <row r="2478">
      <c r="A2478" s="9" t="inlineStr">
        <is>
          <t>HAIFENG</t>
        </is>
      </c>
      <c r="B2478" s="9" t="inlineStr">
        <is>
          <t>HAIFENG 10/02/2026</t>
        </is>
      </c>
      <c r="C2478" s="9" t="inlineStr">
        <is>
          <t>2026-02-10</t>
        </is>
      </c>
      <c r="D2478" s="9" t="inlineStr">
        <is>
          <t>43728091014092</t>
        </is>
      </c>
      <c r="E2478" s="9" t="inlineStr">
        <is>
          <t>PULSERA LOVE SILVER</t>
        </is>
      </c>
      <c r="F2478" s="9" t="inlineStr">
        <is>
          <t>19cm</t>
        </is>
      </c>
      <c r="G2478" s="9" t="n">
        <v>3</v>
      </c>
      <c r="H2478" s="21" t="n">
        <v>4.5</v>
      </c>
      <c r="I2478" s="21" t="n">
        <v>94.81</v>
      </c>
      <c r="J2478" s="21" t="n">
        <v>284.42</v>
      </c>
      <c r="K2478" s="21" t="n">
        <v>331.83</v>
      </c>
      <c r="L2478" s="21" t="n">
        <v>379.23</v>
      </c>
      <c r="M2478" s="21" t="n">
        <v>499</v>
      </c>
    </row>
    <row r="2479">
      <c r="A2479" s="9" t="inlineStr">
        <is>
          <t>HAIFENG</t>
        </is>
      </c>
      <c r="B2479" s="9" t="inlineStr">
        <is>
          <t>HAIFENG 10/02/2026</t>
        </is>
      </c>
      <c r="C2479" s="9" t="inlineStr">
        <is>
          <t>2026-02-10</t>
        </is>
      </c>
      <c r="D2479" s="9" t="inlineStr">
        <is>
          <t>67201535214413</t>
        </is>
      </c>
      <c r="E2479" s="9" t="inlineStr">
        <is>
          <t>PULSERA LUCKY SPRING ROSE GOLD VF</t>
        </is>
      </c>
      <c r="F2479" s="9" t="inlineStr">
        <is>
          <t>Default Title</t>
        </is>
      </c>
      <c r="G2479" s="9" t="n">
        <v>10</v>
      </c>
      <c r="H2479" s="21" t="n">
        <v>7</v>
      </c>
      <c r="I2479" s="21" t="n">
        <v>147.48</v>
      </c>
      <c r="J2479" s="21" t="n">
        <v>442.44</v>
      </c>
      <c r="K2479" s="21" t="n">
        <v>516.1799999999999</v>
      </c>
      <c r="L2479" s="21" t="n">
        <v>589.92</v>
      </c>
      <c r="M2479" s="21" t="n">
        <v>599</v>
      </c>
    </row>
    <row r="2480">
      <c r="A2480" s="9" t="inlineStr">
        <is>
          <t>HAIFENG</t>
        </is>
      </c>
      <c r="B2480" s="9" t="inlineStr">
        <is>
          <t>HAIFENG 10/02/2026</t>
        </is>
      </c>
      <c r="C2480" s="9" t="inlineStr">
        <is>
          <t>2026-02-10</t>
        </is>
      </c>
      <c r="D2480" s="9" t="inlineStr">
        <is>
          <t>71078751021293</t>
        </is>
      </c>
      <c r="E2480" s="9" t="inlineStr">
        <is>
          <t>PULSERA LV IDYLLE SILVER</t>
        </is>
      </c>
      <c r="F2480" s="9" t="inlineStr">
        <is>
          <t>Default Title</t>
        </is>
      </c>
      <c r="G2480" s="9" t="n">
        <v>2</v>
      </c>
      <c r="H2480" s="21" t="n">
        <v>6.99</v>
      </c>
      <c r="I2480" s="21" t="n">
        <v>147.27</v>
      </c>
      <c r="J2480" s="21" t="n">
        <v>441.81</v>
      </c>
      <c r="K2480" s="21" t="n">
        <v>515.4400000000001</v>
      </c>
      <c r="L2480" s="21" t="n">
        <v>589.08</v>
      </c>
      <c r="M2480" s="21" t="n">
        <v>580</v>
      </c>
    </row>
    <row r="2481">
      <c r="A2481" s="9" t="inlineStr">
        <is>
          <t>HAIFENG</t>
        </is>
      </c>
      <c r="B2481" s="9" t="inlineStr">
        <is>
          <t>HAIFENG 10/02/2026</t>
        </is>
      </c>
      <c r="C2481" s="9" t="inlineStr">
        <is>
          <t>2026-02-10</t>
        </is>
      </c>
      <c r="D2481" s="9" t="inlineStr">
        <is>
          <t>37491253271052</t>
        </is>
      </c>
      <c r="E2481" s="9" t="inlineStr">
        <is>
          <t>PULSERA MARIQUITA VF</t>
        </is>
      </c>
      <c r="F2481" s="9" t="inlineStr">
        <is>
          <t>17cm con 2cm de extensión</t>
        </is>
      </c>
      <c r="G2481" s="9" t="n">
        <v>5</v>
      </c>
      <c r="H2481" s="21" t="n">
        <v>6</v>
      </c>
      <c r="I2481" s="21" t="n">
        <v>126.41</v>
      </c>
      <c r="J2481" s="21" t="n">
        <v>379.23</v>
      </c>
      <c r="K2481" s="21" t="n">
        <v>442.44</v>
      </c>
      <c r="L2481" s="21" t="n">
        <v>505.64</v>
      </c>
      <c r="M2481" s="21" t="n">
        <v>520</v>
      </c>
    </row>
    <row r="2482">
      <c r="A2482" s="9" t="inlineStr">
        <is>
          <t>HAIFENG</t>
        </is>
      </c>
      <c r="B2482" s="9" t="inlineStr">
        <is>
          <t>HAIFENG 10/02/2026</t>
        </is>
      </c>
      <c r="C2482" s="9" t="inlineStr">
        <is>
          <t>2026-02-10</t>
        </is>
      </c>
      <c r="D2482" s="9" t="inlineStr">
        <is>
          <t>72083641016013</t>
        </is>
      </c>
      <c r="E2482" s="9" t="inlineStr">
        <is>
          <t>PULSERA MM GOLD-WHITE</t>
        </is>
      </c>
      <c r="F2482" s="9" t="inlineStr">
        <is>
          <t>REGULAR</t>
        </is>
      </c>
      <c r="G2482" s="9" t="n">
        <v>2</v>
      </c>
      <c r="H2482" s="21" t="n">
        <v>6.99</v>
      </c>
      <c r="I2482" s="21" t="n">
        <v>147.27</v>
      </c>
      <c r="J2482" s="21" t="n">
        <v>441.81</v>
      </c>
      <c r="K2482" s="21" t="n">
        <v>515.4400000000001</v>
      </c>
      <c r="L2482" s="21" t="n">
        <v>589.08</v>
      </c>
      <c r="M2482" s="21" t="n">
        <v>580</v>
      </c>
    </row>
    <row r="2483">
      <c r="A2483" s="9" t="inlineStr">
        <is>
          <t>HAIFENG</t>
        </is>
      </c>
      <c r="B2483" s="9" t="inlineStr">
        <is>
          <t>HAIFENG 10/02/2026</t>
        </is>
      </c>
      <c r="C2483" s="9" t="inlineStr">
        <is>
          <t>2026-02-10</t>
        </is>
      </c>
      <c r="D2483" s="9" t="inlineStr">
        <is>
          <t>67201532161837</t>
        </is>
      </c>
      <c r="E2483" s="9" t="inlineStr">
        <is>
          <t>PULSERA MSS GOLD</t>
        </is>
      </c>
      <c r="F2483" s="9" t="inlineStr">
        <is>
          <t>Default Title</t>
        </is>
      </c>
      <c r="G2483" s="9" t="n">
        <v>8</v>
      </c>
      <c r="H2483" s="21" t="n">
        <v>7</v>
      </c>
      <c r="I2483" s="21" t="n">
        <v>147.48</v>
      </c>
      <c r="J2483" s="21" t="n">
        <v>442.44</v>
      </c>
      <c r="K2483" s="21" t="n">
        <v>516.1799999999999</v>
      </c>
      <c r="L2483" s="21" t="n">
        <v>589.92</v>
      </c>
      <c r="M2483" s="21" t="n">
        <v>599</v>
      </c>
    </row>
    <row r="2484">
      <c r="A2484" s="9" t="inlineStr">
        <is>
          <t>HAIFENG</t>
        </is>
      </c>
      <c r="B2484" s="9" t="inlineStr">
        <is>
          <t>HAIFENG 10/02/2026</t>
        </is>
      </c>
      <c r="C2484" s="9" t="inlineStr">
        <is>
          <t>2026-02-10</t>
        </is>
      </c>
      <c r="D2484" s="9" t="inlineStr">
        <is>
          <t>67201532004237</t>
        </is>
      </c>
      <c r="E2484" s="9" t="inlineStr">
        <is>
          <t>PULSERA MSS SILVER</t>
        </is>
      </c>
      <c r="F2484" s="9" t="inlineStr">
        <is>
          <t>Default Title</t>
        </is>
      </c>
      <c r="G2484" s="9" t="n">
        <v>8</v>
      </c>
      <c r="H2484" s="21" t="n">
        <v>7</v>
      </c>
      <c r="I2484" s="21" t="n">
        <v>147.48</v>
      </c>
      <c r="J2484" s="21" t="n">
        <v>442.44</v>
      </c>
      <c r="K2484" s="21" t="n">
        <v>516.1799999999999</v>
      </c>
      <c r="L2484" s="21" t="n">
        <v>589.92</v>
      </c>
      <c r="M2484" s="21" t="n">
        <v>599</v>
      </c>
    </row>
    <row r="2485">
      <c r="A2485" s="9" t="inlineStr">
        <is>
          <t>HAIFENG</t>
        </is>
      </c>
      <c r="B2485" s="9" t="inlineStr">
        <is>
          <t>HAIFENG 10/02/2026</t>
        </is>
      </c>
      <c r="C2485" s="9" t="inlineStr">
        <is>
          <t>2026-02-10</t>
        </is>
      </c>
      <c r="D2485" s="9" t="inlineStr">
        <is>
          <t>86347033456237</t>
        </is>
      </c>
      <c r="E2485" s="9" t="inlineStr">
        <is>
          <t>PULSERA TITAN GOLD ZIRCONIAS</t>
        </is>
      </c>
      <c r="F2485" s="9" t="inlineStr">
        <is>
          <t>Default Title</t>
        </is>
      </c>
      <c r="G2485" s="9" t="n">
        <v>2</v>
      </c>
      <c r="H2485" s="21" t="n">
        <v>10</v>
      </c>
      <c r="I2485" s="21" t="n">
        <v>210.68</v>
      </c>
      <c r="J2485" s="21" t="n">
        <v>632.05</v>
      </c>
      <c r="K2485" s="21" t="n">
        <v>737.4</v>
      </c>
      <c r="L2485" s="21" t="n">
        <v>842.74</v>
      </c>
      <c r="M2485" s="21" t="n">
        <v>824</v>
      </c>
    </row>
    <row r="2486">
      <c r="A2486" s="9" t="inlineStr">
        <is>
          <t>HAIFENG</t>
        </is>
      </c>
      <c r="B2486" s="9" t="inlineStr">
        <is>
          <t>HAIFENG 10/02/2026</t>
        </is>
      </c>
      <c r="C2486" s="9" t="inlineStr">
        <is>
          <t>2026-02-10</t>
        </is>
      </c>
      <c r="D2486" s="9" t="inlineStr">
        <is>
          <t>6617744e4fde3</t>
        </is>
      </c>
      <c r="E2486" s="9" t="inlineStr">
        <is>
          <t>PULSERA TRÉBOL GOLD WHITE VF</t>
        </is>
      </c>
      <c r="F2486" s="9" t="inlineStr">
        <is>
          <t>18cm</t>
        </is>
      </c>
      <c r="G2486" s="9" t="n">
        <v>5</v>
      </c>
      <c r="H2486" s="21" t="n">
        <v>7</v>
      </c>
      <c r="I2486" s="21" t="n">
        <v>147.48</v>
      </c>
      <c r="J2486" s="21" t="n">
        <v>442.44</v>
      </c>
      <c r="K2486" s="21" t="n">
        <v>516.1799999999999</v>
      </c>
      <c r="L2486" s="21" t="n">
        <v>589.92</v>
      </c>
      <c r="M2486" s="21" t="n">
        <v>1286</v>
      </c>
    </row>
    <row r="2487">
      <c r="A2487" s="9" t="inlineStr">
        <is>
          <t>HAIFENG</t>
        </is>
      </c>
      <c r="B2487" s="9" t="inlineStr">
        <is>
          <t>HAIFENG 10/02/2026</t>
        </is>
      </c>
      <c r="C2487" s="9" t="inlineStr">
        <is>
          <t>2026-02-10</t>
        </is>
      </c>
      <c r="D2487" s="9" t="inlineStr">
        <is>
          <t>43728135385740</t>
        </is>
      </c>
      <c r="E2487" s="9" t="inlineStr">
        <is>
          <t>PULSERA TRÉBOL GOLD-GREEN VF</t>
        </is>
      </c>
      <c r="F2487" s="9" t="inlineStr">
        <is>
          <t>18cm</t>
        </is>
      </c>
      <c r="G2487" s="9" t="n">
        <v>4</v>
      </c>
      <c r="H2487" s="21" t="n">
        <v>7</v>
      </c>
      <c r="I2487" s="21" t="n">
        <v>147.48</v>
      </c>
      <c r="J2487" s="21" t="n">
        <v>442.44</v>
      </c>
      <c r="K2487" s="21" t="n">
        <v>516.1799999999999</v>
      </c>
      <c r="L2487" s="21" t="n">
        <v>589.92</v>
      </c>
      <c r="M2487" s="21" t="n">
        <v>599</v>
      </c>
    </row>
    <row r="2488">
      <c r="A2488" s="9" t="inlineStr">
        <is>
          <t>HAIFENG</t>
        </is>
      </c>
      <c r="B2488" s="9" t="inlineStr">
        <is>
          <t>HAIFENG 10/02/2026</t>
        </is>
      </c>
      <c r="C2488" s="9" t="inlineStr">
        <is>
          <t>2026-02-10</t>
        </is>
      </c>
      <c r="D2488" s="9" t="inlineStr">
        <is>
          <t>6617745150ec8</t>
        </is>
      </c>
      <c r="E2488" s="9" t="inlineStr">
        <is>
          <t>PULSERA TRÉBOL SILVER BLACK VF</t>
        </is>
      </c>
      <c r="F2488" s="9" t="inlineStr">
        <is>
          <t>20cm</t>
        </is>
      </c>
      <c r="G2488" s="9" t="n">
        <v>4</v>
      </c>
      <c r="H2488" s="21" t="n">
        <v>7</v>
      </c>
      <c r="I2488" s="21" t="n">
        <v>147.48</v>
      </c>
      <c r="J2488" s="21" t="n">
        <v>442.44</v>
      </c>
      <c r="K2488" s="21" t="n">
        <v>516.1799999999999</v>
      </c>
      <c r="L2488" s="21" t="n">
        <v>589.92</v>
      </c>
      <c r="M2488" s="21" t="n">
        <v>599</v>
      </c>
    </row>
    <row r="2489">
      <c r="A2489" s="9" t="inlineStr">
        <is>
          <t>HAIFENG</t>
        </is>
      </c>
      <c r="B2489" s="9" t="inlineStr">
        <is>
          <t>HAIFENG 10/02/2026</t>
        </is>
      </c>
      <c r="C2489" s="9" t="inlineStr">
        <is>
          <t>2026-02-10</t>
        </is>
      </c>
      <c r="D2489" s="9" t="inlineStr">
        <is>
          <t>654bdb8083165</t>
        </is>
      </c>
      <c r="E2489" s="9" t="inlineStr">
        <is>
          <t>PULSERA TRÉBOL SILVER VF</t>
        </is>
      </c>
      <c r="F2489" s="9" t="inlineStr">
        <is>
          <t>20cm</t>
        </is>
      </c>
      <c r="G2489" s="9" t="n">
        <v>6</v>
      </c>
      <c r="H2489" s="21" t="n">
        <v>7</v>
      </c>
      <c r="I2489" s="21" t="n">
        <v>147.48</v>
      </c>
      <c r="J2489" s="21" t="n">
        <v>442.44</v>
      </c>
      <c r="K2489" s="21" t="n">
        <v>516.1799999999999</v>
      </c>
      <c r="L2489" s="21" t="n">
        <v>589.92</v>
      </c>
      <c r="M2489" s="21" t="n">
        <v>1286</v>
      </c>
    </row>
    <row r="2490">
      <c r="A2490" s="9" t="inlineStr">
        <is>
          <t>COCO ZHANG</t>
        </is>
      </c>
      <c r="B2490" s="9" t="inlineStr">
        <is>
          <t>COCO ZHANG 16/02/2026</t>
        </is>
      </c>
      <c r="C2490" s="9" t="inlineStr">
        <is>
          <t>2026-02-16</t>
        </is>
      </c>
      <c r="D2490" s="9" t="inlineStr">
        <is>
          <t>26853592178861</t>
        </is>
      </c>
      <c r="E2490" s="9" t="inlineStr">
        <is>
          <t>GORRA 31 FOREVER BLACK</t>
        </is>
      </c>
      <c r="F2490" s="9" t="inlineStr">
        <is>
          <t>Default Title</t>
        </is>
      </c>
      <c r="G2490" s="9" t="n">
        <v>1</v>
      </c>
      <c r="H2490" s="21" t="n">
        <v>15</v>
      </c>
      <c r="I2490" s="21" t="n">
        <v>309</v>
      </c>
      <c r="J2490" s="21" t="n">
        <v>927</v>
      </c>
      <c r="K2490" s="21" t="n">
        <v>1081.5</v>
      </c>
      <c r="L2490" s="21" t="n">
        <v>1236</v>
      </c>
      <c r="M2490" s="21" t="n">
        <v>1550</v>
      </c>
    </row>
    <row r="2491">
      <c r="A2491" s="9" t="inlineStr">
        <is>
          <t>COCO ZHANG</t>
        </is>
      </c>
      <c r="B2491" s="9" t="inlineStr">
        <is>
          <t>COCO ZHANG 16/02/2026</t>
        </is>
      </c>
      <c r="C2491" s="9" t="inlineStr">
        <is>
          <t>2026-02-16</t>
        </is>
      </c>
      <c r="D2491" s="9" t="inlineStr">
        <is>
          <t>26853591980557</t>
        </is>
      </c>
      <c r="E2491" s="9" t="inlineStr">
        <is>
          <t>GORRA BARBAS B CHROME</t>
        </is>
      </c>
      <c r="F2491" s="9" t="inlineStr">
        <is>
          <t>Default Title</t>
        </is>
      </c>
      <c r="G2491" s="9" t="n">
        <v>1</v>
      </c>
      <c r="H2491" s="21" t="n">
        <v>15</v>
      </c>
      <c r="I2491" s="21" t="n">
        <v>309</v>
      </c>
      <c r="J2491" s="21" t="n">
        <v>927</v>
      </c>
      <c r="K2491" s="21" t="n">
        <v>1081.5</v>
      </c>
      <c r="L2491" s="21" t="n">
        <v>1236</v>
      </c>
      <c r="M2491" s="21" t="n">
        <v>1199</v>
      </c>
    </row>
    <row r="2492">
      <c r="A2492" s="9" t="inlineStr">
        <is>
          <t>COCO ZHANG</t>
        </is>
      </c>
      <c r="B2492" s="9" t="inlineStr">
        <is>
          <t>COCO ZHANG 16/02/2026</t>
        </is>
      </c>
      <c r="C2492" s="9" t="inlineStr">
        <is>
          <t>2026-02-16</t>
        </is>
      </c>
      <c r="D2492" s="9" t="inlineStr">
        <is>
          <t>26853591099213</t>
        </is>
      </c>
      <c r="E2492" s="9" t="inlineStr">
        <is>
          <t>GORRA BARBAS EL MAGO</t>
        </is>
      </c>
      <c r="F2492" s="9" t="inlineStr">
        <is>
          <t>Default Title</t>
        </is>
      </c>
      <c r="G2492" s="9" t="n">
        <v>2</v>
      </c>
      <c r="H2492" s="21" t="n">
        <v>15</v>
      </c>
      <c r="I2492" s="21" t="n">
        <v>309</v>
      </c>
      <c r="J2492" s="21" t="n">
        <v>927</v>
      </c>
      <c r="K2492" s="21" t="n">
        <v>1081.5</v>
      </c>
      <c r="L2492" s="21" t="n">
        <v>1236</v>
      </c>
      <c r="M2492" s="21" t="n">
        <v>1007</v>
      </c>
    </row>
    <row r="2493">
      <c r="A2493" s="9" t="inlineStr">
        <is>
          <t>COCO ZHANG</t>
        </is>
      </c>
      <c r="B2493" s="9" t="inlineStr">
        <is>
          <t>COCO ZHANG 16/02/2026</t>
        </is>
      </c>
      <c r="C2493" s="9" t="inlineStr">
        <is>
          <t>2026-02-16</t>
        </is>
      </c>
      <c r="D2493" s="9" t="inlineStr">
        <is>
          <t>26853591497517</t>
        </is>
      </c>
      <c r="E2493" s="9" t="inlineStr">
        <is>
          <t>GORRA DANDY ONYX</t>
        </is>
      </c>
      <c r="F2493" s="9" t="inlineStr">
        <is>
          <t>Default Title</t>
        </is>
      </c>
      <c r="G2493" s="9" t="n">
        <v>2</v>
      </c>
      <c r="H2493" s="21" t="n">
        <v>15</v>
      </c>
      <c r="I2493" s="21" t="n">
        <v>309</v>
      </c>
      <c r="J2493" s="21" t="n">
        <v>927</v>
      </c>
      <c r="K2493" s="21" t="n">
        <v>1081.5</v>
      </c>
      <c r="L2493" s="21" t="n">
        <v>1236</v>
      </c>
      <c r="M2493" s="21" t="n">
        <v>1550</v>
      </c>
    </row>
    <row r="2494">
      <c r="A2494" s="9" t="inlineStr">
        <is>
          <t>COCO ZHANG</t>
        </is>
      </c>
      <c r="B2494" s="9" t="inlineStr">
        <is>
          <t>COCO ZHANG 16/02/2026</t>
        </is>
      </c>
      <c r="C2494" s="9" t="inlineStr">
        <is>
          <t>2026-02-16</t>
        </is>
      </c>
      <c r="D2494" s="9" t="inlineStr">
        <is>
          <t>26853591721805</t>
        </is>
      </c>
      <c r="E2494" s="9" t="inlineStr">
        <is>
          <t>GORRA DANDY X JUNIOR CLAVE ALI</t>
        </is>
      </c>
      <c r="F2494" s="9" t="inlineStr">
        <is>
          <t>Default Title</t>
        </is>
      </c>
      <c r="G2494" s="9" t="n">
        <v>1</v>
      </c>
      <c r="H2494" s="21" t="n">
        <v>15</v>
      </c>
      <c r="I2494" s="21" t="n">
        <v>309</v>
      </c>
      <c r="J2494" s="21" t="n">
        <v>927</v>
      </c>
      <c r="K2494" s="21" t="n">
        <v>1081.5</v>
      </c>
      <c r="L2494" s="21" t="n">
        <v>1236</v>
      </c>
      <c r="M2494" s="21" t="n">
        <v>1007</v>
      </c>
    </row>
    <row r="2495">
      <c r="A2495" s="9" t="inlineStr">
        <is>
          <t>COCO ZHANG</t>
        </is>
      </c>
      <c r="B2495" s="9" t="inlineStr">
        <is>
          <t>COCO ZHANG 16/02/2026</t>
        </is>
      </c>
      <c r="C2495" s="9" t="inlineStr">
        <is>
          <t>2026-02-16</t>
        </is>
      </c>
      <c r="D2495" s="9" t="inlineStr">
        <is>
          <t>26853591657965</t>
        </is>
      </c>
      <c r="E2495" s="9" t="inlineStr">
        <is>
          <t>GORRA DANDY X JUNIOR EL AZUL</t>
        </is>
      </c>
      <c r="F2495" s="9" t="inlineStr">
        <is>
          <t>Default Title</t>
        </is>
      </c>
      <c r="G2495" s="9" t="n">
        <v>1</v>
      </c>
      <c r="H2495" s="21" t="n">
        <v>15</v>
      </c>
      <c r="I2495" s="21" t="n">
        <v>309</v>
      </c>
      <c r="J2495" s="21" t="n">
        <v>927</v>
      </c>
      <c r="K2495" s="21" t="n">
        <v>1081.5</v>
      </c>
      <c r="L2495" s="21" t="n">
        <v>1236</v>
      </c>
      <c r="M2495" s="21" t="n">
        <v>1550</v>
      </c>
    </row>
    <row r="2496">
      <c r="A2496" s="9" t="inlineStr">
        <is>
          <t>COCO ZHANG</t>
        </is>
      </c>
      <c r="B2496" s="9" t="inlineStr">
        <is>
          <t>COCO ZHANG 16/02/2026</t>
        </is>
      </c>
      <c r="C2496" s="9" t="inlineStr">
        <is>
          <t>2026-02-16</t>
        </is>
      </c>
      <c r="D2496" s="9" t="inlineStr">
        <is>
          <t>26853592046093</t>
        </is>
      </c>
      <c r="E2496" s="9" t="inlineStr">
        <is>
          <t>GORRA DANDY X LOST HILLS LH CHROME</t>
        </is>
      </c>
      <c r="F2496" s="9" t="inlineStr">
        <is>
          <t>Default Title</t>
        </is>
      </c>
      <c r="G2496" s="9" t="n">
        <v>1</v>
      </c>
      <c r="H2496" s="21" t="n">
        <v>15</v>
      </c>
      <c r="I2496" s="21" t="n">
        <v>309</v>
      </c>
      <c r="J2496" s="21" t="n">
        <v>927</v>
      </c>
      <c r="K2496" s="21" t="n">
        <v>1081.5</v>
      </c>
      <c r="L2496" s="21" t="n">
        <v>1236</v>
      </c>
      <c r="M2496" s="21" t="n">
        <v>1550</v>
      </c>
    </row>
    <row r="2497">
      <c r="A2497" s="9" t="inlineStr">
        <is>
          <t>COCO ZHANG</t>
        </is>
      </c>
      <c r="B2497" s="9" t="inlineStr">
        <is>
          <t>COCO ZHANG 16/02/2026</t>
        </is>
      </c>
      <c r="C2497" s="9" t="inlineStr">
        <is>
          <t>2026-02-16</t>
        </is>
      </c>
      <c r="D2497" s="9" t="inlineStr">
        <is>
          <t>26853592244397</t>
        </is>
      </c>
      <c r="E2497" s="9" t="inlineStr">
        <is>
          <t>GORRA EL BARBAS 77</t>
        </is>
      </c>
      <c r="F2497" s="9" t="inlineStr">
        <is>
          <t>Default Title</t>
        </is>
      </c>
      <c r="G2497" s="9" t="n">
        <v>1</v>
      </c>
      <c r="H2497" s="21" t="n">
        <v>15</v>
      </c>
      <c r="I2497" s="21" t="n">
        <v>309</v>
      </c>
      <c r="J2497" s="21" t="n">
        <v>927</v>
      </c>
      <c r="K2497" s="21" t="n">
        <v>1081.5</v>
      </c>
      <c r="L2497" s="21" t="n">
        <v>1236</v>
      </c>
      <c r="M2497" s="21" t="n">
        <v>1550</v>
      </c>
    </row>
    <row r="2498">
      <c r="A2498" s="9" t="inlineStr">
        <is>
          <t>COCO ZHANG</t>
        </is>
      </c>
      <c r="B2498" s="9" t="inlineStr">
        <is>
          <t>COCO ZHANG 16/02/2026</t>
        </is>
      </c>
      <c r="C2498" s="9" t="inlineStr">
        <is>
          <t>2026-02-16</t>
        </is>
      </c>
      <c r="D2498" s="9" t="inlineStr">
        <is>
          <t>26853591330285</t>
        </is>
      </c>
      <c r="E2498" s="9" t="inlineStr">
        <is>
          <t>GORRA EL BARBAS CHROME</t>
        </is>
      </c>
      <c r="F2498" s="9" t="inlineStr">
        <is>
          <t>Default Title</t>
        </is>
      </c>
      <c r="G2498" s="9" t="n">
        <v>2</v>
      </c>
      <c r="H2498" s="21" t="n">
        <v>15</v>
      </c>
      <c r="I2498" s="21" t="n">
        <v>309</v>
      </c>
      <c r="J2498" s="21" t="n">
        <v>927</v>
      </c>
      <c r="K2498" s="21" t="n">
        <v>1081.5</v>
      </c>
      <c r="L2498" s="21" t="n">
        <v>1236</v>
      </c>
      <c r="M2498" s="21" t="n">
        <v>1007</v>
      </c>
    </row>
    <row r="2499">
      <c r="A2499" s="9" t="inlineStr">
        <is>
          <t>COCO ZHANG</t>
        </is>
      </c>
      <c r="B2499" s="9" t="inlineStr">
        <is>
          <t>COCO ZHANG 16/02/2026</t>
        </is>
      </c>
      <c r="C2499" s="9" t="inlineStr">
        <is>
          <t>2026-02-16</t>
        </is>
      </c>
      <c r="D2499" s="9" t="inlineStr">
        <is>
          <t>26853591295821</t>
        </is>
      </c>
      <c r="E2499" s="9" t="inlineStr">
        <is>
          <t>GORRA EL BARBAS CHROME X CT</t>
        </is>
      </c>
      <c r="F2499" s="9" t="inlineStr">
        <is>
          <t>Default Title</t>
        </is>
      </c>
      <c r="G2499" s="9" t="n">
        <v>2</v>
      </c>
      <c r="H2499" s="21" t="n">
        <v>15</v>
      </c>
      <c r="I2499" s="21" t="n">
        <v>309</v>
      </c>
      <c r="J2499" s="21" t="n">
        <v>927</v>
      </c>
      <c r="K2499" s="21" t="n">
        <v>1081.5</v>
      </c>
      <c r="L2499" s="21" t="n">
        <v>1236</v>
      </c>
      <c r="M2499" s="21" t="n">
        <v>1550</v>
      </c>
    </row>
    <row r="2500">
      <c r="A2500" s="9" t="inlineStr">
        <is>
          <t>COCO ZHANG</t>
        </is>
      </c>
      <c r="B2500" s="9" t="inlineStr">
        <is>
          <t>COCO ZHANG 16/02/2026</t>
        </is>
      </c>
      <c r="C2500" s="9" t="inlineStr">
        <is>
          <t>2026-02-16</t>
        </is>
      </c>
      <c r="D2500" s="9" t="inlineStr">
        <is>
          <t>26853591847789</t>
        </is>
      </c>
      <c r="E2500" s="9" t="inlineStr">
        <is>
          <t>GORRA EL BARBAS GALAXY</t>
        </is>
      </c>
      <c r="F2500" s="9" t="inlineStr">
        <is>
          <t>Default Title</t>
        </is>
      </c>
      <c r="G2500" s="9" t="n">
        <v>2</v>
      </c>
      <c r="H2500" s="21" t="n">
        <v>15</v>
      </c>
      <c r="I2500" s="21" t="n">
        <v>309</v>
      </c>
      <c r="J2500" s="21" t="n">
        <v>927</v>
      </c>
      <c r="K2500" s="21" t="n">
        <v>1081.5</v>
      </c>
      <c r="L2500" s="21" t="n">
        <v>1236</v>
      </c>
      <c r="M2500" s="21" t="n">
        <v>1550</v>
      </c>
    </row>
    <row r="2501">
      <c r="A2501" s="9" t="inlineStr">
        <is>
          <t>COCO ZHANG</t>
        </is>
      </c>
      <c r="B2501" s="9" t="inlineStr">
        <is>
          <t>COCO ZHANG 16/02/2026</t>
        </is>
      </c>
      <c r="C2501" s="9" t="inlineStr">
        <is>
          <t>2026-02-16</t>
        </is>
      </c>
      <c r="D2501" s="9" t="inlineStr">
        <is>
          <t>26853591559661</t>
        </is>
      </c>
      <c r="E2501" s="9" t="inlineStr">
        <is>
          <t>GORRA EL BARBAS X RICH THE KID STATE</t>
        </is>
      </c>
      <c r="F2501" s="9" t="inlineStr">
        <is>
          <t>Default Title</t>
        </is>
      </c>
      <c r="G2501" s="9" t="n">
        <v>2</v>
      </c>
      <c r="H2501" s="21" t="n">
        <v>15</v>
      </c>
      <c r="I2501" s="21" t="n">
        <v>309</v>
      </c>
      <c r="J2501" s="21" t="n">
        <v>927</v>
      </c>
      <c r="K2501" s="21" t="n">
        <v>1081.5</v>
      </c>
      <c r="L2501" s="21" t="n">
        <v>1236</v>
      </c>
      <c r="M2501" s="21" t="n">
        <v>1550</v>
      </c>
    </row>
    <row r="2502">
      <c r="A2502" s="9" t="inlineStr">
        <is>
          <t>COCO ZHANG</t>
        </is>
      </c>
      <c r="B2502" s="9" t="inlineStr">
        <is>
          <t>COCO ZHANG 16/02/2026</t>
        </is>
      </c>
      <c r="C2502" s="9" t="inlineStr">
        <is>
          <t>2026-02-16</t>
        </is>
      </c>
      <c r="D2502" s="9" t="inlineStr">
        <is>
          <t>26853591164749</t>
        </is>
      </c>
      <c r="E2502" s="9" t="inlineStr">
        <is>
          <t>GORRA THIRTY ONE FOREVER</t>
        </is>
      </c>
      <c r="F2502" s="9" t="inlineStr">
        <is>
          <t>Default Title</t>
        </is>
      </c>
      <c r="G2502" s="9" t="n">
        <v>2</v>
      </c>
      <c r="H2502" s="21" t="n">
        <v>15</v>
      </c>
      <c r="I2502" s="21" t="n">
        <v>309</v>
      </c>
      <c r="J2502" s="21" t="n">
        <v>927</v>
      </c>
      <c r="K2502" s="21" t="n">
        <v>1081.5</v>
      </c>
      <c r="L2502" s="21" t="n">
        <v>1236</v>
      </c>
      <c r="M2502" s="21" t="n">
        <v>1550</v>
      </c>
    </row>
    <row r="2503">
      <c r="A2503" s="9" t="inlineStr">
        <is>
          <t>ZOEY</t>
        </is>
      </c>
      <c r="B2503" s="9" t="inlineStr">
        <is>
          <t>ZOEY 16/02/2026</t>
        </is>
      </c>
      <c r="C2503" s="9" t="inlineStr">
        <is>
          <t>2026-02-16</t>
        </is>
      </c>
      <c r="D2503" s="9" t="inlineStr">
        <is>
          <t>79684371047437</t>
        </is>
      </c>
      <c r="E2503" s="9" t="inlineStr">
        <is>
          <t>ANILLO GC BLONDIE ANCHO CON ZIRCONIA</t>
        </is>
      </c>
      <c r="F2503" s="9" t="inlineStr">
        <is>
          <t>8</t>
        </is>
      </c>
      <c r="G2503" s="9" t="n">
        <v>2</v>
      </c>
      <c r="H2503" s="21" t="n">
        <v>9</v>
      </c>
      <c r="I2503" s="21" t="n">
        <v>0</v>
      </c>
      <c r="J2503" s="21" t="n">
        <v>0</v>
      </c>
      <c r="K2503" s="21" t="n">
        <v>5.46</v>
      </c>
      <c r="L2503" s="21" t="n">
        <v>187.37</v>
      </c>
      <c r="M2503" s="21" t="n">
        <v>562.12</v>
      </c>
    </row>
    <row r="2504">
      <c r="A2504" s="9" t="inlineStr">
        <is>
          <t>ZOEY</t>
        </is>
      </c>
      <c r="B2504" s="9" t="inlineStr">
        <is>
          <t>ZOEY 16/02/2026</t>
        </is>
      </c>
      <c r="C2504" s="9" t="inlineStr">
        <is>
          <t>2026-02-16</t>
        </is>
      </c>
      <c r="D2504" s="9" t="inlineStr">
        <is>
          <t>66148671022797</t>
        </is>
      </c>
      <c r="E2504" s="9" t="inlineStr">
        <is>
          <t>ARETES CD GOLD BLACK CON ZIRCONIA</t>
        </is>
      </c>
      <c r="F2504" s="9" t="inlineStr">
        <is>
          <t>Default Title</t>
        </is>
      </c>
      <c r="G2504" s="9" t="n">
        <v>1</v>
      </c>
      <c r="H2504" s="21" t="n">
        <v>9</v>
      </c>
      <c r="I2504" s="21" t="n">
        <v>0</v>
      </c>
      <c r="J2504" s="21" t="n">
        <v>0</v>
      </c>
      <c r="K2504" s="21" t="n">
        <v>5.46</v>
      </c>
      <c r="L2504" s="21" t="n">
        <v>187.37</v>
      </c>
      <c r="M2504" s="21" t="n">
        <v>562.12</v>
      </c>
    </row>
    <row r="2505">
      <c r="A2505" s="9" t="inlineStr">
        <is>
          <t>ZOEY</t>
        </is>
      </c>
      <c r="B2505" s="9" t="inlineStr">
        <is>
          <t>ZOEY 16/02/2026</t>
        </is>
      </c>
      <c r="C2505" s="9" t="inlineStr">
        <is>
          <t>2026-02-16</t>
        </is>
      </c>
      <c r="D2505" s="9" t="inlineStr">
        <is>
          <t>69612281066221</t>
        </is>
      </c>
      <c r="E2505" s="9" t="inlineStr">
        <is>
          <t>ARETES CD GOLD WHITE CON ZIRCONIA</t>
        </is>
      </c>
      <c r="F2505" s="9" t="inlineStr">
        <is>
          <t>Default Title</t>
        </is>
      </c>
      <c r="G2505" s="9" t="n">
        <v>1</v>
      </c>
      <c r="H2505" s="21" t="n">
        <v>9</v>
      </c>
      <c r="I2505" s="21" t="n">
        <v>0</v>
      </c>
      <c r="J2505" s="21" t="n">
        <v>0</v>
      </c>
      <c r="K2505" s="21" t="n">
        <v>5.46</v>
      </c>
      <c r="L2505" s="21" t="n">
        <v>187.37</v>
      </c>
      <c r="M2505" s="21" t="n">
        <v>562.12</v>
      </c>
    </row>
    <row r="2506">
      <c r="A2506" s="9" t="inlineStr">
        <is>
          <t>ZOEY</t>
        </is>
      </c>
      <c r="B2506" s="9" t="inlineStr">
        <is>
          <t>ZOEY 16/02/2026</t>
        </is>
      </c>
      <c r="C2506" s="9" t="inlineStr">
        <is>
          <t>2026-02-16</t>
        </is>
      </c>
      <c r="D2506" s="9" t="inlineStr">
        <is>
          <t>85409401017325</t>
        </is>
      </c>
      <c r="E2506" s="9" t="inlineStr">
        <is>
          <t>ARETES F OVAL GOLD CON ZIRCONIA</t>
        </is>
      </c>
      <c r="F2506" s="9" t="inlineStr">
        <is>
          <t>Default Title</t>
        </is>
      </c>
      <c r="G2506" s="9" t="n">
        <v>1</v>
      </c>
      <c r="H2506" s="21" t="n">
        <v>8</v>
      </c>
      <c r="I2506" s="21" t="n">
        <v>0</v>
      </c>
      <c r="J2506" s="21" t="n">
        <v>0</v>
      </c>
      <c r="K2506" s="21" t="n">
        <v>4.85</v>
      </c>
      <c r="L2506" s="21" t="n">
        <v>166.55</v>
      </c>
      <c r="M2506" s="21" t="n">
        <v>499.66</v>
      </c>
    </row>
    <row r="2507">
      <c r="A2507" s="9" t="inlineStr">
        <is>
          <t>ZOEY</t>
        </is>
      </c>
      <c r="B2507" s="9" t="inlineStr">
        <is>
          <t>ZOEY 16/02/2026</t>
        </is>
      </c>
      <c r="C2507" s="9" t="inlineStr">
        <is>
          <t>2026-02-16</t>
        </is>
      </c>
      <c r="D2507" s="9" t="inlineStr">
        <is>
          <t>76327071018669</t>
        </is>
      </c>
      <c r="E2507" s="9" t="inlineStr">
        <is>
          <t>ARRACADAS SERPENTI VIPPER GOLD CON ZIRCONIA</t>
        </is>
      </c>
      <c r="F2507" s="9" t="inlineStr">
        <is>
          <t>Default Title</t>
        </is>
      </c>
      <c r="G2507" s="9" t="n">
        <v>5</v>
      </c>
      <c r="H2507" s="21" t="n">
        <v>9</v>
      </c>
      <c r="I2507" s="21" t="n">
        <v>0</v>
      </c>
      <c r="J2507" s="21" t="n">
        <v>0</v>
      </c>
      <c r="K2507" s="21" t="n">
        <v>5.46</v>
      </c>
      <c r="L2507" s="21" t="n">
        <v>187.37</v>
      </c>
      <c r="M2507" s="21" t="n">
        <v>562.12</v>
      </c>
    </row>
    <row r="2508">
      <c r="A2508" s="9" t="inlineStr">
        <is>
          <t>ZOEY</t>
        </is>
      </c>
      <c r="B2508" s="9" t="inlineStr">
        <is>
          <t>ZOEY 16/02/2026</t>
        </is>
      </c>
      <c r="C2508" s="9" t="inlineStr">
        <is>
          <t>2026-02-16</t>
        </is>
      </c>
      <c r="D2508" s="9" t="inlineStr">
        <is>
          <t>27168511089165</t>
        </is>
      </c>
      <c r="E2508" s="9" t="inlineStr">
        <is>
          <t>BOLSA GG SMALL BROWN</t>
        </is>
      </c>
      <c r="F2508" s="9" t="inlineStr">
        <is>
          <t>Default Title</t>
        </is>
      </c>
      <c r="G2508" s="9" t="n">
        <v>4</v>
      </c>
      <c r="H2508" s="21" t="n">
        <v>46</v>
      </c>
      <c r="I2508" s="21" t="n">
        <v>0</v>
      </c>
      <c r="J2508" s="21" t="n">
        <v>0</v>
      </c>
      <c r="K2508" s="21" t="n">
        <v>27.89</v>
      </c>
      <c r="L2508" s="21" t="n">
        <v>957.6799999999999</v>
      </c>
      <c r="M2508" s="21" t="n">
        <v>2873.04</v>
      </c>
    </row>
    <row r="2509">
      <c r="A2509" s="9" t="inlineStr">
        <is>
          <t>ZOEY</t>
        </is>
      </c>
      <c r="B2509" s="9" t="inlineStr">
        <is>
          <t>ZOEY 16/02/2026</t>
        </is>
      </c>
      <c r="C2509" s="9" t="inlineStr">
        <is>
          <t>2026-02-16</t>
        </is>
      </c>
      <c r="D2509" s="9" t="inlineStr">
        <is>
          <t>94350549840780</t>
        </is>
      </c>
      <c r="E2509" s="9" t="inlineStr">
        <is>
          <t>BOLSO A TIEDIE</t>
        </is>
      </c>
      <c r="F2509" s="9" t="inlineStr">
        <is>
          <t>31cm de alto x 45.5cm de largo x 18cm de ancho</t>
        </is>
      </c>
      <c r="G2509" s="9" t="n">
        <v>12</v>
      </c>
      <c r="H2509" s="21" t="n">
        <v>10</v>
      </c>
      <c r="I2509" s="21" t="n">
        <v>0</v>
      </c>
      <c r="J2509" s="21" t="n">
        <v>0</v>
      </c>
      <c r="K2509" s="21" t="n">
        <v>6.06</v>
      </c>
      <c r="L2509" s="21" t="n">
        <v>208.19</v>
      </c>
      <c r="M2509" s="21" t="n">
        <v>624.5700000000001</v>
      </c>
    </row>
    <row r="2510">
      <c r="A2510" s="9" t="inlineStr">
        <is>
          <t>ZOEY</t>
        </is>
      </c>
      <c r="B2510" s="9" t="inlineStr">
        <is>
          <t>ZOEY 16/02/2026</t>
        </is>
      </c>
      <c r="C2510" s="9" t="inlineStr">
        <is>
          <t>2026-02-16</t>
        </is>
      </c>
      <c r="D2510" s="9" t="inlineStr">
        <is>
          <t>66581df1de94d</t>
        </is>
      </c>
      <c r="E2510" s="9" t="inlineStr">
        <is>
          <t>BOLSO B BLACK</t>
        </is>
      </c>
      <c r="F2510" s="9" t="inlineStr">
        <is>
          <t>17cm de largo x 11cm de alto x 8.3cm de ancho</t>
        </is>
      </c>
      <c r="G2510" s="9" t="n">
        <v>2</v>
      </c>
      <c r="H2510" s="21" t="n">
        <v>45</v>
      </c>
      <c r="I2510" s="21" t="n">
        <v>0</v>
      </c>
      <c r="J2510" s="21" t="n">
        <v>0</v>
      </c>
      <c r="K2510" s="21" t="n">
        <v>27.29</v>
      </c>
      <c r="L2510" s="21" t="n">
        <v>936.86</v>
      </c>
      <c r="M2510" s="21" t="n">
        <v>2810.58</v>
      </c>
    </row>
    <row r="2511">
      <c r="A2511" s="9" t="inlineStr">
        <is>
          <t>ZOEY</t>
        </is>
      </c>
      <c r="B2511" s="9" t="inlineStr">
        <is>
          <t>ZOEY 16/02/2026</t>
        </is>
      </c>
      <c r="C2511" s="9" t="inlineStr">
        <is>
          <t>2026-02-16</t>
        </is>
      </c>
      <c r="D2511" s="9" t="inlineStr">
        <is>
          <t>66ec817ce19fe</t>
        </is>
      </c>
      <c r="E2511" s="9" t="inlineStr">
        <is>
          <t>BOLSO B BLACK LISA</t>
        </is>
      </c>
      <c r="F2511" s="9" t="inlineStr">
        <is>
          <t>HIGH QUALITY 23cm de largo x 14.5cm de alto x 10cm de ancho</t>
        </is>
      </c>
      <c r="G2511" s="9" t="n">
        <v>2</v>
      </c>
      <c r="H2511" s="21" t="n">
        <v>45</v>
      </c>
      <c r="I2511" s="21" t="n">
        <v>0</v>
      </c>
      <c r="J2511" s="21" t="n">
        <v>0</v>
      </c>
      <c r="K2511" s="21" t="n">
        <v>27.29</v>
      </c>
      <c r="L2511" s="21" t="n">
        <v>936.86</v>
      </c>
      <c r="M2511" s="21" t="n">
        <v>2810.58</v>
      </c>
    </row>
    <row r="2512">
      <c r="A2512" s="9" t="inlineStr">
        <is>
          <t>ZOEY</t>
        </is>
      </c>
      <c r="B2512" s="9" t="inlineStr">
        <is>
          <t>ZOEY 16/02/2026</t>
        </is>
      </c>
      <c r="C2512" s="9" t="inlineStr">
        <is>
          <t>2026-02-16</t>
        </is>
      </c>
      <c r="D2512" s="9" t="inlineStr">
        <is>
          <t>99781782573645</t>
        </is>
      </c>
      <c r="E2512" s="9" t="inlineStr">
        <is>
          <t>BOLSO C TANK TOP</t>
        </is>
      </c>
      <c r="F2512" s="9" t="inlineStr">
        <is>
          <t>BROWN</t>
        </is>
      </c>
      <c r="G2512" s="9" t="n">
        <v>1</v>
      </c>
      <c r="H2512" s="21" t="n">
        <v>55</v>
      </c>
      <c r="I2512" s="21" t="n">
        <v>0</v>
      </c>
      <c r="J2512" s="21" t="n">
        <v>0</v>
      </c>
      <c r="K2512" s="21" t="n">
        <v>33.35</v>
      </c>
      <c r="L2512" s="21" t="n">
        <v>1145.05</v>
      </c>
      <c r="M2512" s="21" t="n">
        <v>3435.15</v>
      </c>
    </row>
    <row r="2513">
      <c r="A2513" s="9" t="inlineStr">
        <is>
          <t>ZOEY</t>
        </is>
      </c>
      <c r="B2513" s="9" t="inlineStr">
        <is>
          <t>ZOEY 16/02/2026</t>
        </is>
      </c>
      <c r="C2513" s="9" t="inlineStr">
        <is>
          <t>2026-02-16</t>
        </is>
      </c>
      <c r="D2513" s="9" t="inlineStr">
        <is>
          <t>63666799441676</t>
        </is>
      </c>
      <c r="E2513" s="9" t="inlineStr">
        <is>
          <t>BOLSO C TOTE</t>
        </is>
      </c>
      <c r="F2513" s="9" t="inlineStr">
        <is>
          <t>20cm de largo x 21 cm de alto x 11cm de ancho</t>
        </is>
      </c>
      <c r="G2513" s="9" t="n">
        <v>1</v>
      </c>
      <c r="H2513" s="21" t="n">
        <v>72</v>
      </c>
      <c r="I2513" s="21" t="n">
        <v>0</v>
      </c>
      <c r="J2513" s="21" t="n">
        <v>0</v>
      </c>
      <c r="K2513" s="21" t="n">
        <v>43.66</v>
      </c>
      <c r="L2513" s="21" t="n">
        <v>1498.98</v>
      </c>
      <c r="M2513" s="21" t="n">
        <v>4496.93</v>
      </c>
    </row>
    <row r="2514">
      <c r="A2514" s="9" t="inlineStr">
        <is>
          <t>ZOEY</t>
        </is>
      </c>
      <c r="B2514" s="9" t="inlineStr">
        <is>
          <t>ZOEY 16/02/2026</t>
        </is>
      </c>
      <c r="C2514" s="9" t="inlineStr">
        <is>
          <t>2026-02-16</t>
        </is>
      </c>
      <c r="D2514" s="9" t="inlineStr">
        <is>
          <t>64571791072897</t>
        </is>
      </c>
      <c r="E2514" s="9" t="inlineStr">
        <is>
          <t>BOLSO CC BLACK</t>
        </is>
      </c>
      <c r="F2514" s="9" t="inlineStr">
        <is>
          <t>25cm de largo x 17cm de alto x 6cm de ancho</t>
        </is>
      </c>
      <c r="G2514" s="9" t="n">
        <v>2</v>
      </c>
      <c r="H2514" s="21" t="n">
        <v>48</v>
      </c>
      <c r="I2514" s="21" t="n">
        <v>0</v>
      </c>
      <c r="J2514" s="21" t="n">
        <v>0</v>
      </c>
      <c r="K2514" s="21" t="n">
        <v>29.11</v>
      </c>
      <c r="L2514" s="21" t="n">
        <v>999.3200000000001</v>
      </c>
      <c r="M2514" s="21" t="n">
        <v>2997.95</v>
      </c>
    </row>
    <row r="2515">
      <c r="A2515" s="9" t="inlineStr">
        <is>
          <t>ZOEY</t>
        </is>
      </c>
      <c r="B2515" s="9" t="inlineStr">
        <is>
          <t>ZOEY 16/02/2026</t>
        </is>
      </c>
      <c r="C2515" s="9" t="inlineStr">
        <is>
          <t>2026-02-16</t>
        </is>
      </c>
      <c r="D2515" s="9" t="inlineStr">
        <is>
          <t>69521938776076</t>
        </is>
      </c>
      <c r="E2515" s="9" t="inlineStr">
        <is>
          <t>BOLSO CD CARO</t>
        </is>
      </c>
      <c r="F2515" s="9" t="inlineStr">
        <is>
          <t>18.5cm x 12cm x 6cm</t>
        </is>
      </c>
      <c r="G2515" s="9" t="n">
        <v>1</v>
      </c>
      <c r="H2515" s="21" t="n">
        <v>58</v>
      </c>
      <c r="I2515" s="21" t="n">
        <v>0</v>
      </c>
      <c r="J2515" s="21" t="n">
        <v>0</v>
      </c>
      <c r="K2515" s="21" t="n">
        <v>35.17</v>
      </c>
      <c r="L2515" s="21" t="n">
        <v>1207.51</v>
      </c>
      <c r="M2515" s="21" t="n">
        <v>3622.53</v>
      </c>
    </row>
    <row r="2516">
      <c r="A2516" s="9" t="inlineStr">
        <is>
          <t>ZOEY</t>
        </is>
      </c>
      <c r="B2516" s="9" t="inlineStr">
        <is>
          <t>ZOEY 16/02/2026</t>
        </is>
      </c>
      <c r="C2516" s="9" t="inlineStr">
        <is>
          <t>2026-02-16</t>
        </is>
      </c>
      <c r="D2516" s="9" t="inlineStr">
        <is>
          <t>43728083428428</t>
        </is>
      </c>
      <c r="E2516" s="9" t="inlineStr">
        <is>
          <t>BOLSO CD GROOVE 20</t>
        </is>
      </c>
      <c r="F2516" s="9" t="inlineStr">
        <is>
          <t>25.5cm de largo x 21cm de alto x 15.5cm de ancho</t>
        </is>
      </c>
      <c r="G2516" s="9" t="n">
        <v>2</v>
      </c>
      <c r="H2516" s="21" t="n">
        <v>55</v>
      </c>
      <c r="I2516" s="21" t="n">
        <v>0</v>
      </c>
      <c r="J2516" s="21" t="n">
        <v>0</v>
      </c>
      <c r="K2516" s="21" t="n">
        <v>33.35</v>
      </c>
      <c r="L2516" s="21" t="n">
        <v>1145.05</v>
      </c>
      <c r="M2516" s="21" t="n">
        <v>3435.15</v>
      </c>
    </row>
    <row r="2517">
      <c r="A2517" s="9" t="inlineStr">
        <is>
          <t>ZOEY</t>
        </is>
      </c>
      <c r="B2517" s="9" t="inlineStr">
        <is>
          <t>ZOEY 16/02/2026</t>
        </is>
      </c>
      <c r="C2517" s="9" t="inlineStr">
        <is>
          <t>2026-02-16</t>
        </is>
      </c>
      <c r="D2517" s="9" t="inlineStr">
        <is>
          <t>73794531662733</t>
        </is>
      </c>
      <c r="E2517" s="9" t="inlineStr">
        <is>
          <t>BOLSO CD MY TOP HANDLE</t>
        </is>
      </c>
      <c r="F2517" s="9" t="inlineStr">
        <is>
          <t>WHITE</t>
        </is>
      </c>
      <c r="G2517" s="9" t="n">
        <v>1</v>
      </c>
      <c r="H2517" s="21" t="n">
        <v>55</v>
      </c>
      <c r="I2517" s="21" t="n">
        <v>0</v>
      </c>
      <c r="J2517" s="21" t="n">
        <v>0</v>
      </c>
      <c r="K2517" s="21" t="n">
        <v>33.35</v>
      </c>
      <c r="L2517" s="21" t="n">
        <v>1145.05</v>
      </c>
      <c r="M2517" s="21" t="n">
        <v>3435.15</v>
      </c>
    </row>
    <row r="2518">
      <c r="A2518" s="9" t="inlineStr">
        <is>
          <t>ZOEY</t>
        </is>
      </c>
      <c r="B2518" s="9" t="inlineStr">
        <is>
          <t>ZOEY 16/02/2026</t>
        </is>
      </c>
      <c r="C2518" s="9" t="inlineStr">
        <is>
          <t>2026-02-16</t>
        </is>
      </c>
      <c r="D2518" s="9" t="inlineStr">
        <is>
          <t>17416232396428</t>
        </is>
      </c>
      <c r="E2518" s="9" t="inlineStr">
        <is>
          <t>BOLSO CD TOTE</t>
        </is>
      </c>
      <c r="F2518" s="9" t="inlineStr">
        <is>
          <t>36.5cm x 28cm x 10cm</t>
        </is>
      </c>
      <c r="G2518" s="9" t="n">
        <v>2</v>
      </c>
      <c r="H2518" s="21" t="n">
        <v>45</v>
      </c>
      <c r="I2518" s="21" t="n">
        <v>0</v>
      </c>
      <c r="J2518" s="21" t="n">
        <v>0</v>
      </c>
      <c r="K2518" s="21" t="n">
        <v>27.29</v>
      </c>
      <c r="L2518" s="21" t="n">
        <v>936.86</v>
      </c>
      <c r="M2518" s="21" t="n">
        <v>2810.58</v>
      </c>
    </row>
    <row r="2519">
      <c r="A2519" s="9" t="inlineStr">
        <is>
          <t>ZOEY</t>
        </is>
      </c>
      <c r="B2519" s="9" t="inlineStr">
        <is>
          <t>ZOEY 16/02/2026</t>
        </is>
      </c>
      <c r="C2519" s="9" t="inlineStr">
        <is>
          <t>2026-02-16</t>
        </is>
      </c>
      <c r="D2519" s="9" t="inlineStr">
        <is>
          <t>99781782406413</t>
        </is>
      </c>
      <c r="E2519" s="9" t="inlineStr">
        <is>
          <t>BOLSO GC BUCKET EMBLEM</t>
        </is>
      </c>
      <c r="F2519" s="9" t="inlineStr">
        <is>
          <t>BEIGE</t>
        </is>
      </c>
      <c r="G2519" s="9" t="n">
        <v>1</v>
      </c>
      <c r="H2519" s="21" t="n">
        <v>58</v>
      </c>
      <c r="I2519" s="21" t="n">
        <v>0</v>
      </c>
      <c r="J2519" s="21" t="n">
        <v>0</v>
      </c>
      <c r="K2519" s="21" t="n">
        <v>35.17</v>
      </c>
      <c r="L2519" s="21" t="n">
        <v>1207.51</v>
      </c>
      <c r="M2519" s="21" t="n">
        <v>3622.53</v>
      </c>
    </row>
    <row r="2520">
      <c r="A2520" s="9" t="inlineStr">
        <is>
          <t>ZOEY</t>
        </is>
      </c>
      <c r="B2520" s="9" t="inlineStr">
        <is>
          <t>ZOEY 16/02/2026</t>
        </is>
      </c>
      <c r="C2520" s="9" t="inlineStr">
        <is>
          <t>2026-02-16</t>
        </is>
      </c>
      <c r="D2520" s="9" t="inlineStr">
        <is>
          <t>99781782370253</t>
        </is>
      </c>
      <c r="E2520" s="9" t="inlineStr">
        <is>
          <t>BOLSO GC BUCKET MARMONT</t>
        </is>
      </c>
      <c r="F2520" s="9" t="inlineStr">
        <is>
          <t>WHITE</t>
        </is>
      </c>
      <c r="G2520" s="9" t="n">
        <v>2</v>
      </c>
      <c r="H2520" s="21" t="n">
        <v>42</v>
      </c>
      <c r="I2520" s="21" t="n">
        <v>0</v>
      </c>
      <c r="J2520" s="21" t="n">
        <v>0</v>
      </c>
      <c r="K2520" s="21" t="n">
        <v>25.47</v>
      </c>
      <c r="L2520" s="21" t="n">
        <v>874.4</v>
      </c>
      <c r="M2520" s="21" t="n">
        <v>2623.21</v>
      </c>
    </row>
    <row r="2521">
      <c r="A2521" s="9" t="inlineStr">
        <is>
          <t>ZOEY</t>
        </is>
      </c>
      <c r="B2521" s="9" t="inlineStr">
        <is>
          <t>ZOEY 16/02/2026</t>
        </is>
      </c>
      <c r="C2521" s="9" t="inlineStr">
        <is>
          <t>2026-02-16</t>
        </is>
      </c>
      <c r="D2521" s="9" t="inlineStr">
        <is>
          <t>43728099701932</t>
        </is>
      </c>
      <c r="E2521" s="9" t="inlineStr">
        <is>
          <t>BOLSO JM WHITE</t>
        </is>
      </c>
      <c r="F2521" s="9" t="inlineStr">
        <is>
          <t>16cm de alto x 19.5cm de largo x 7cm de ancho 15cm de alto de correa</t>
        </is>
      </c>
      <c r="G2521" s="9" t="n">
        <v>2</v>
      </c>
      <c r="H2521" s="21" t="n">
        <v>56</v>
      </c>
      <c r="I2521" s="21" t="n">
        <v>0</v>
      </c>
      <c r="J2521" s="21" t="n">
        <v>0</v>
      </c>
      <c r="K2521" s="21" t="n">
        <v>33.96</v>
      </c>
      <c r="L2521" s="21" t="n">
        <v>1165.87</v>
      </c>
      <c r="M2521" s="21" t="n">
        <v>3497.61</v>
      </c>
    </row>
    <row r="2522">
      <c r="A2522" s="9" t="inlineStr">
        <is>
          <t>ZOEY</t>
        </is>
      </c>
      <c r="B2522" s="9" t="inlineStr">
        <is>
          <t>ZOEY 16/02/2026</t>
        </is>
      </c>
      <c r="C2522" s="9" t="inlineStr">
        <is>
          <t>2026-02-16</t>
        </is>
      </c>
      <c r="D2522" s="9" t="inlineStr">
        <is>
          <t>66958009110540</t>
        </is>
      </c>
      <c r="E2522" s="9" t="inlineStr">
        <is>
          <t>BOLSO LADY D JOY BLACK</t>
        </is>
      </c>
      <c r="F2522" s="9" t="inlineStr">
        <is>
          <t>22cm de largo x 11.5cm dde alto x 6.8cm de ancho (REMATE)</t>
        </is>
      </c>
      <c r="G2522" s="9" t="n">
        <v>2</v>
      </c>
      <c r="H2522" s="21" t="n">
        <v>56</v>
      </c>
      <c r="I2522" s="21" t="n">
        <v>0</v>
      </c>
      <c r="J2522" s="21" t="n">
        <v>0</v>
      </c>
      <c r="K2522" s="21" t="n">
        <v>33.96</v>
      </c>
      <c r="L2522" s="21" t="n">
        <v>1165.87</v>
      </c>
      <c r="M2522" s="21" t="n">
        <v>3497.61</v>
      </c>
    </row>
    <row r="2523">
      <c r="A2523" s="9" t="inlineStr">
        <is>
          <t>ZOEY</t>
        </is>
      </c>
      <c r="B2523" s="9" t="inlineStr">
        <is>
          <t>ZOEY 16/02/2026</t>
        </is>
      </c>
      <c r="C2523" s="9" t="inlineStr">
        <is>
          <t>2026-02-16</t>
        </is>
      </c>
      <c r="D2523" s="9" t="inlineStr">
        <is>
          <t>43124048199820</t>
        </is>
      </c>
      <c r="E2523" s="9" t="inlineStr">
        <is>
          <t>BOLSO LADY D JOY WHITE</t>
        </is>
      </c>
      <c r="F2523" s="9" t="inlineStr">
        <is>
          <t>10.5cm de alto x 16.4cm de largo x 5.5cm de ancho</t>
        </is>
      </c>
      <c r="G2523" s="9" t="n">
        <v>2</v>
      </c>
      <c r="H2523" s="21" t="n">
        <v>56</v>
      </c>
      <c r="I2523" s="21" t="n">
        <v>0</v>
      </c>
      <c r="J2523" s="21" t="n">
        <v>0</v>
      </c>
      <c r="K2523" s="21" t="n">
        <v>33.96</v>
      </c>
      <c r="L2523" s="21" t="n">
        <v>1165.87</v>
      </c>
      <c r="M2523" s="21" t="n">
        <v>3497.61</v>
      </c>
    </row>
    <row r="2524">
      <c r="A2524" s="9" t="inlineStr">
        <is>
          <t>ZOEY</t>
        </is>
      </c>
      <c r="B2524" s="9" t="inlineStr">
        <is>
          <t>ZOEY 16/02/2026</t>
        </is>
      </c>
      <c r="C2524" s="9" t="inlineStr">
        <is>
          <t>2026-02-16</t>
        </is>
      </c>
      <c r="D2524" s="9" t="inlineStr">
        <is>
          <t>66581dfb2f7ce</t>
        </is>
      </c>
      <c r="E2524" s="9" t="inlineStr">
        <is>
          <t>BOLSO LADY D NUDE</t>
        </is>
      </c>
      <c r="F2524" s="9" t="inlineStr">
        <is>
          <t>17cm de largo x 20cm largo x 8cm de ancho</t>
        </is>
      </c>
      <c r="G2524" s="9" t="n">
        <v>2</v>
      </c>
      <c r="H2524" s="21" t="n">
        <v>56</v>
      </c>
      <c r="I2524" s="21" t="n">
        <v>0</v>
      </c>
      <c r="J2524" s="21" t="n">
        <v>0</v>
      </c>
      <c r="K2524" s="21" t="n">
        <v>33.96</v>
      </c>
      <c r="L2524" s="21" t="n">
        <v>1165.87</v>
      </c>
      <c r="M2524" s="21" t="n">
        <v>3497.61</v>
      </c>
    </row>
    <row r="2525">
      <c r="A2525" s="9" t="inlineStr">
        <is>
          <t>ZOEY</t>
        </is>
      </c>
      <c r="B2525" s="9" t="inlineStr">
        <is>
          <t>ZOEY 16/02/2026</t>
        </is>
      </c>
      <c r="C2525" s="9" t="inlineStr">
        <is>
          <t>2026-02-16</t>
        </is>
      </c>
      <c r="D2525" s="9" t="inlineStr">
        <is>
          <t>654bdb2a8966e</t>
        </is>
      </c>
      <c r="E2525" s="9" t="inlineStr">
        <is>
          <t>BOLSO LADY D WHITE</t>
        </is>
      </c>
      <c r="F2525" s="9" t="inlineStr">
        <is>
          <t>23.5cm de largo x 20.5cm largo x 12.5cm de ancho</t>
        </is>
      </c>
      <c r="G2525" s="9" t="n">
        <v>2</v>
      </c>
      <c r="H2525" s="21" t="n">
        <v>56</v>
      </c>
      <c r="I2525" s="21" t="n">
        <v>0</v>
      </c>
      <c r="J2525" s="21" t="n">
        <v>0</v>
      </c>
      <c r="K2525" s="21" t="n">
        <v>33.96</v>
      </c>
      <c r="L2525" s="21" t="n">
        <v>1165.87</v>
      </c>
      <c r="M2525" s="21" t="n">
        <v>3497.61</v>
      </c>
    </row>
    <row r="2526">
      <c r="A2526" s="9" t="inlineStr">
        <is>
          <t>ZOEY</t>
        </is>
      </c>
      <c r="B2526" s="9" t="inlineStr">
        <is>
          <t>ZOEY 16/02/2026</t>
        </is>
      </c>
      <c r="C2526" s="9" t="inlineStr">
        <is>
          <t>2026-02-16</t>
        </is>
      </c>
      <c r="D2526" s="9" t="inlineStr">
        <is>
          <t>93098782243181</t>
        </is>
      </c>
      <c r="E2526" s="9" t="inlineStr">
        <is>
          <t>BOLSO LV ALMA BB BLACK</t>
        </is>
      </c>
      <c r="F2526" s="9" t="inlineStr">
        <is>
          <t>BLACK</t>
        </is>
      </c>
      <c r="G2526" s="9" t="n">
        <v>2</v>
      </c>
      <c r="H2526" s="21" t="n">
        <v>47</v>
      </c>
      <c r="I2526" s="21" t="n">
        <v>0</v>
      </c>
      <c r="J2526" s="21" t="n">
        <v>0</v>
      </c>
      <c r="K2526" s="21" t="n">
        <v>28.5</v>
      </c>
      <c r="L2526" s="21" t="n">
        <v>978.5</v>
      </c>
      <c r="M2526" s="21" t="n">
        <v>2935.49</v>
      </c>
    </row>
    <row r="2527">
      <c r="A2527" s="9" t="inlineStr">
        <is>
          <t>ZOEY</t>
        </is>
      </c>
      <c r="B2527" s="9" t="inlineStr">
        <is>
          <t>ZOEY 16/02/2026</t>
        </is>
      </c>
      <c r="C2527" s="9" t="inlineStr">
        <is>
          <t>2026-02-16</t>
        </is>
      </c>
      <c r="D2527" s="9" t="inlineStr">
        <is>
          <t>93098782074253</t>
        </is>
      </c>
      <c r="E2527" s="9" t="inlineStr">
        <is>
          <t>BOLSO LV CHRISTOPHER MESSENGER</t>
        </is>
      </c>
      <c r="F2527" s="9" t="inlineStr">
        <is>
          <t>BLACK</t>
        </is>
      </c>
      <c r="G2527" s="9" t="n">
        <v>2</v>
      </c>
      <c r="H2527" s="21" t="n">
        <v>45</v>
      </c>
      <c r="I2527" s="21" t="n">
        <v>0</v>
      </c>
      <c r="J2527" s="21" t="n">
        <v>0</v>
      </c>
      <c r="K2527" s="21" t="n">
        <v>27.29</v>
      </c>
      <c r="L2527" s="21" t="n">
        <v>936.86</v>
      </c>
      <c r="M2527" s="21" t="n">
        <v>2810.58</v>
      </c>
    </row>
    <row r="2528">
      <c r="A2528" s="9" t="inlineStr">
        <is>
          <t>ZOEY</t>
        </is>
      </c>
      <c r="B2528" s="9" t="inlineStr">
        <is>
          <t>ZOEY 16/02/2026</t>
        </is>
      </c>
      <c r="C2528" s="9" t="inlineStr">
        <is>
          <t>2026-02-16</t>
        </is>
      </c>
      <c r="D2528" s="9" t="inlineStr">
        <is>
          <t>93098782381037</t>
        </is>
      </c>
      <c r="E2528" s="9" t="inlineStr">
        <is>
          <t>BOLSO LV LOW KEY HOBO</t>
        </is>
      </c>
      <c r="F2528" s="9" t="inlineStr">
        <is>
          <t>BLACK</t>
        </is>
      </c>
      <c r="G2528" s="9" t="n">
        <v>2</v>
      </c>
      <c r="H2528" s="21" t="n">
        <v>54</v>
      </c>
      <c r="I2528" s="21" t="n">
        <v>0</v>
      </c>
      <c r="J2528" s="21" t="n">
        <v>0</v>
      </c>
      <c r="K2528" s="21" t="n">
        <v>32.74</v>
      </c>
      <c r="L2528" s="21" t="n">
        <v>1124.23</v>
      </c>
      <c r="M2528" s="21" t="n">
        <v>3372.7</v>
      </c>
    </row>
    <row r="2529">
      <c r="A2529" s="9" t="inlineStr">
        <is>
          <t>ZOEY</t>
        </is>
      </c>
      <c r="B2529" s="9" t="inlineStr">
        <is>
          <t>ZOEY 16/02/2026</t>
        </is>
      </c>
      <c r="C2529" s="9" t="inlineStr">
        <is>
          <t>2026-02-16</t>
        </is>
      </c>
      <c r="D2529" s="9" t="inlineStr">
        <is>
          <t>68802901471244</t>
        </is>
      </c>
      <c r="E2529" s="9" t="inlineStr">
        <is>
          <t>BOLSO LV MESSENGER</t>
        </is>
      </c>
      <c r="F2529" s="9" t="inlineStr">
        <is>
          <t>30cm de largo x 20cm de alto x 10 cm de ancho</t>
        </is>
      </c>
      <c r="G2529" s="9" t="n">
        <v>1</v>
      </c>
      <c r="H2529" s="21" t="n">
        <v>48</v>
      </c>
      <c r="I2529" s="21" t="n">
        <v>0</v>
      </c>
      <c r="J2529" s="21" t="n">
        <v>0</v>
      </c>
      <c r="K2529" s="21" t="n">
        <v>29.11</v>
      </c>
      <c r="L2529" s="21" t="n">
        <v>999.3200000000001</v>
      </c>
      <c r="M2529" s="21" t="n">
        <v>2997.95</v>
      </c>
    </row>
    <row r="2530">
      <c r="A2530" s="9" t="inlineStr">
        <is>
          <t>ZOEY</t>
        </is>
      </c>
      <c r="B2530" s="9" t="inlineStr">
        <is>
          <t>ZOEY 16/02/2026</t>
        </is>
      </c>
      <c r="C2530" s="9" t="inlineStr">
        <is>
          <t>2026-02-16</t>
        </is>
      </c>
      <c r="D2530" s="9" t="inlineStr">
        <is>
          <t>93098783094061</t>
        </is>
      </c>
      <c r="E2530" s="9" t="inlineStr">
        <is>
          <t>BOLSO LV POCHETTE FELICIE</t>
        </is>
      </c>
      <c r="F2530" s="9" t="inlineStr">
        <is>
          <t>BROWN</t>
        </is>
      </c>
      <c r="G2530" s="9" t="n">
        <v>2</v>
      </c>
      <c r="H2530" s="21" t="n">
        <v>21</v>
      </c>
      <c r="I2530" s="21" t="n">
        <v>0</v>
      </c>
      <c r="J2530" s="21" t="n">
        <v>0</v>
      </c>
      <c r="K2530" s="21" t="n">
        <v>12.73</v>
      </c>
      <c r="L2530" s="21" t="n">
        <v>437.2</v>
      </c>
      <c r="M2530" s="21" t="n">
        <v>1311.6</v>
      </c>
    </row>
    <row r="2531">
      <c r="A2531" s="9" t="inlineStr">
        <is>
          <t>ZOEY</t>
        </is>
      </c>
      <c r="B2531" s="9" t="inlineStr">
        <is>
          <t>ZOEY 16/02/2026</t>
        </is>
      </c>
      <c r="C2531" s="9" t="inlineStr">
        <is>
          <t>2026-02-16</t>
        </is>
      </c>
      <c r="D2531" s="9" t="inlineStr">
        <is>
          <t>93098783161293</t>
        </is>
      </c>
      <c r="E2531" s="9" t="inlineStr">
        <is>
          <t>BOLSO LV POCHETTE HILLS</t>
        </is>
      </c>
      <c r="F2531" s="9" t="inlineStr">
        <is>
          <t>BROWN</t>
        </is>
      </c>
      <c r="G2531" s="9" t="n">
        <v>1</v>
      </c>
      <c r="H2531" s="21" t="n">
        <v>41</v>
      </c>
      <c r="I2531" s="21" t="n">
        <v>0</v>
      </c>
      <c r="J2531" s="21" t="n">
        <v>0</v>
      </c>
      <c r="K2531" s="21" t="n">
        <v>24.86</v>
      </c>
      <c r="L2531" s="21" t="n">
        <v>853.58</v>
      </c>
      <c r="M2531" s="21" t="n">
        <v>2560.75</v>
      </c>
    </row>
    <row r="2532">
      <c r="A2532" s="9" t="inlineStr">
        <is>
          <t>ZOEY</t>
        </is>
      </c>
      <c r="B2532" s="9" t="inlineStr">
        <is>
          <t>ZOEY 16/02/2026</t>
        </is>
      </c>
      <c r="C2532" s="9" t="inlineStr">
        <is>
          <t>2026-02-16</t>
        </is>
      </c>
      <c r="D2532" s="9" t="inlineStr">
        <is>
          <t>17872087535244</t>
        </is>
      </c>
      <c r="E2532" s="9" t="inlineStr">
        <is>
          <t>BOLSO LW ANAGRAM</t>
        </is>
      </c>
      <c r="F2532" s="9" t="inlineStr">
        <is>
          <t>50cm x 26cm x 15cm</t>
        </is>
      </c>
      <c r="G2532" s="9" t="n">
        <v>4</v>
      </c>
      <c r="H2532" s="21" t="n">
        <v>35</v>
      </c>
      <c r="I2532" s="21" t="n">
        <v>0</v>
      </c>
      <c r="J2532" s="21" t="n">
        <v>0</v>
      </c>
      <c r="K2532" s="21" t="n">
        <v>21.22</v>
      </c>
      <c r="L2532" s="21" t="n">
        <v>728.67</v>
      </c>
      <c r="M2532" s="21" t="n">
        <v>2186.01</v>
      </c>
    </row>
    <row r="2533">
      <c r="A2533" s="9" t="inlineStr">
        <is>
          <t>ZOEY</t>
        </is>
      </c>
      <c r="B2533" s="9" t="inlineStr">
        <is>
          <t>ZOEY 16/02/2026</t>
        </is>
      </c>
      <c r="C2533" s="9" t="inlineStr">
        <is>
          <t>2026-02-16</t>
        </is>
      </c>
      <c r="D2533" s="9" t="inlineStr">
        <is>
          <t>82224431085741</t>
        </is>
      </c>
      <c r="E2533" s="9" t="inlineStr">
        <is>
          <t>BOLSO MM WANDER OFF WHITE</t>
        </is>
      </c>
      <c r="F2533" s="9" t="inlineStr">
        <is>
          <t>WHITE</t>
        </is>
      </c>
      <c r="G2533" s="9" t="n">
        <v>2</v>
      </c>
      <c r="H2533" s="21" t="n">
        <v>48</v>
      </c>
      <c r="I2533" s="21" t="n">
        <v>0</v>
      </c>
      <c r="J2533" s="21" t="n">
        <v>0</v>
      </c>
      <c r="K2533" s="21" t="n">
        <v>29.11</v>
      </c>
      <c r="L2533" s="21" t="n">
        <v>999.3200000000001</v>
      </c>
      <c r="M2533" s="21" t="n">
        <v>2997.95</v>
      </c>
    </row>
    <row r="2534">
      <c r="A2534" s="9" t="inlineStr">
        <is>
          <t>ZOEY</t>
        </is>
      </c>
      <c r="B2534" s="9" t="inlineStr">
        <is>
          <t>ZOEY 16/02/2026</t>
        </is>
      </c>
      <c r="C2534" s="9" t="inlineStr">
        <is>
          <t>2026-02-16</t>
        </is>
      </c>
      <c r="D2534" s="9" t="inlineStr">
        <is>
          <t>648cc614da168</t>
        </is>
      </c>
      <c r="E2534" s="9" t="inlineStr">
        <is>
          <t>BOLSO YSL BLACK</t>
        </is>
      </c>
      <c r="F2534" s="9" t="inlineStr">
        <is>
          <t>24cm x 15cm</t>
        </is>
      </c>
      <c r="G2534" s="9" t="n">
        <v>2</v>
      </c>
      <c r="H2534" s="21" t="n">
        <v>48</v>
      </c>
      <c r="I2534" s="21" t="n">
        <v>0</v>
      </c>
      <c r="J2534" s="21" t="n">
        <v>0</v>
      </c>
      <c r="K2534" s="21" t="n">
        <v>29.11</v>
      </c>
      <c r="L2534" s="21" t="n">
        <v>999.3200000000001</v>
      </c>
      <c r="M2534" s="21" t="n">
        <v>2997.95</v>
      </c>
    </row>
    <row r="2535">
      <c r="A2535" s="9" t="inlineStr">
        <is>
          <t>ZOEY</t>
        </is>
      </c>
      <c r="B2535" s="9" t="inlineStr">
        <is>
          <t>ZOEY 16/02/2026</t>
        </is>
      </c>
      <c r="C2535" s="9" t="inlineStr">
        <is>
          <t>2026-02-16</t>
        </is>
      </c>
      <c r="D2535" s="9" t="inlineStr">
        <is>
          <t>48915671144269</t>
        </is>
      </c>
      <c r="E2535" s="9" t="inlineStr">
        <is>
          <t>CAMISETA CD OBLIQUE BLACK</t>
        </is>
      </c>
      <c r="F2535" s="9" t="inlineStr">
        <is>
          <t>M</t>
        </is>
      </c>
      <c r="G2535" s="9" t="n">
        <v>1</v>
      </c>
      <c r="H2535" s="21" t="n">
        <v>27</v>
      </c>
      <c r="I2535" s="21" t="n">
        <v>0</v>
      </c>
      <c r="J2535" s="21" t="n">
        <v>0</v>
      </c>
      <c r="K2535" s="21" t="n">
        <v>16.37</v>
      </c>
      <c r="L2535" s="21" t="n">
        <v>562.12</v>
      </c>
      <c r="M2535" s="21" t="n">
        <v>1686.35</v>
      </c>
    </row>
    <row r="2536">
      <c r="A2536" s="9" t="inlineStr">
        <is>
          <t>ZOEY</t>
        </is>
      </c>
      <c r="B2536" s="9" t="inlineStr">
        <is>
          <t>ZOEY 16/02/2026</t>
        </is>
      </c>
      <c r="C2536" s="9" t="inlineStr">
        <is>
          <t>2026-02-16</t>
        </is>
      </c>
      <c r="D2536" s="9" t="inlineStr">
        <is>
          <t>93098782175949</t>
        </is>
      </c>
      <c r="E2536" s="9" t="inlineStr">
        <is>
          <t>CANGURERA LV HIGH RISE PM</t>
        </is>
      </c>
      <c r="F2536" s="9" t="inlineStr">
        <is>
          <t>BLACK</t>
        </is>
      </c>
      <c r="G2536" s="9" t="n">
        <v>1</v>
      </c>
      <c r="H2536" s="21" t="n">
        <v>40</v>
      </c>
      <c r="I2536" s="21" t="n">
        <v>0</v>
      </c>
      <c r="J2536" s="21" t="n">
        <v>0</v>
      </c>
      <c r="K2536" s="21" t="n">
        <v>24.26</v>
      </c>
      <c r="L2536" s="21" t="n">
        <v>832.76</v>
      </c>
      <c r="M2536" s="21" t="n">
        <v>2498.29</v>
      </c>
    </row>
    <row r="2537">
      <c r="A2537" s="9" t="inlineStr">
        <is>
          <t>ZOEY</t>
        </is>
      </c>
      <c r="B2537" s="9" t="inlineStr">
        <is>
          <t>ZOEY 16/02/2026</t>
        </is>
      </c>
      <c r="C2537" s="9" t="inlineStr">
        <is>
          <t>2026-02-16</t>
        </is>
      </c>
      <c r="D2537" s="9" t="inlineStr">
        <is>
          <t>99781783183821</t>
        </is>
      </c>
      <c r="E2537" s="9" t="inlineStr">
        <is>
          <t>CARTERA C FLAP TRIOMPHIE</t>
        </is>
      </c>
      <c r="F2537" s="9" t="inlineStr">
        <is>
          <t>BROWN</t>
        </is>
      </c>
      <c r="G2537" s="9" t="n">
        <v>3</v>
      </c>
      <c r="H2537" s="21" t="n">
        <v>22</v>
      </c>
      <c r="I2537" s="21" t="n">
        <v>0</v>
      </c>
      <c r="J2537" s="21" t="n">
        <v>0</v>
      </c>
      <c r="K2537" s="21" t="n">
        <v>13.34</v>
      </c>
      <c r="L2537" s="21" t="n">
        <v>458.02</v>
      </c>
      <c r="M2537" s="21" t="n">
        <v>1374.06</v>
      </c>
    </row>
    <row r="2538">
      <c r="A2538" s="9" t="inlineStr">
        <is>
          <t>ZOEY</t>
        </is>
      </c>
      <c r="B2538" s="9" t="inlineStr">
        <is>
          <t>ZOEY 16/02/2026</t>
        </is>
      </c>
      <c r="C2538" s="9" t="inlineStr">
        <is>
          <t>2026-02-16</t>
        </is>
      </c>
      <c r="D2538" s="9" t="inlineStr">
        <is>
          <t>94758097365260</t>
        </is>
      </c>
      <c r="E2538" s="9" t="inlineStr">
        <is>
          <t>CARTERA G SAINT-MARC GREY</t>
        </is>
      </c>
      <c r="F2538" s="9" t="inlineStr">
        <is>
          <t>11cm x 8cm</t>
        </is>
      </c>
      <c r="G2538" s="9" t="n">
        <v>3</v>
      </c>
      <c r="H2538" s="21" t="n">
        <v>15</v>
      </c>
      <c r="I2538" s="21" t="n">
        <v>0</v>
      </c>
      <c r="J2538" s="21" t="n">
        <v>0</v>
      </c>
      <c r="K2538" s="21" t="n">
        <v>9.1</v>
      </c>
      <c r="L2538" s="21" t="n">
        <v>312.29</v>
      </c>
      <c r="M2538" s="21" t="n">
        <v>936.86</v>
      </c>
    </row>
    <row r="2539">
      <c r="A2539" s="9" t="inlineStr">
        <is>
          <t>ZOEY</t>
        </is>
      </c>
      <c r="B2539" s="9" t="inlineStr">
        <is>
          <t>ZOEY 16/02/2026</t>
        </is>
      </c>
      <c r="C2539" s="9" t="inlineStr">
        <is>
          <t>2026-02-16</t>
        </is>
      </c>
      <c r="D2539" s="9" t="inlineStr">
        <is>
          <t>99781782263469</t>
        </is>
      </c>
      <c r="E2539" s="9" t="inlineStr">
        <is>
          <t>CARTERA GC ALARGADA</t>
        </is>
      </c>
      <c r="F2539" s="9" t="inlineStr">
        <is>
          <t>BLACK</t>
        </is>
      </c>
      <c r="G2539" s="9" t="n">
        <v>2</v>
      </c>
      <c r="H2539" s="21" t="n">
        <v>17</v>
      </c>
      <c r="I2539" s="21" t="n">
        <v>0</v>
      </c>
      <c r="J2539" s="21" t="n">
        <v>0</v>
      </c>
      <c r="K2539" s="21" t="n">
        <v>10.31</v>
      </c>
      <c r="L2539" s="21" t="n">
        <v>353.92</v>
      </c>
      <c r="M2539" s="21" t="n">
        <v>1061.77</v>
      </c>
    </row>
    <row r="2540">
      <c r="A2540" s="9" t="inlineStr">
        <is>
          <t>ZOEY</t>
        </is>
      </c>
      <c r="B2540" s="9" t="inlineStr">
        <is>
          <t>ZOEY 16/02/2026</t>
        </is>
      </c>
      <c r="C2540" s="9" t="inlineStr">
        <is>
          <t>2026-02-16</t>
        </is>
      </c>
      <c r="D2540" s="9" t="inlineStr">
        <is>
          <t>15565825325196</t>
        </is>
      </c>
      <c r="E2540" s="9" t="inlineStr">
        <is>
          <t>CARTERA GC BI-FOLD</t>
        </is>
      </c>
      <c r="F2540" s="9" t="inlineStr">
        <is>
          <t>9.5cm x 10cm</t>
        </is>
      </c>
      <c r="G2540" s="9" t="n">
        <v>2</v>
      </c>
      <c r="H2540" s="21" t="n">
        <v>18</v>
      </c>
      <c r="I2540" s="21" t="n">
        <v>0</v>
      </c>
      <c r="J2540" s="21" t="n">
        <v>0</v>
      </c>
      <c r="K2540" s="21" t="n">
        <v>10.91</v>
      </c>
      <c r="L2540" s="21" t="n">
        <v>374.74</v>
      </c>
      <c r="M2540" s="21" t="n">
        <v>1124.23</v>
      </c>
    </row>
    <row r="2541">
      <c r="A2541" s="9" t="inlineStr">
        <is>
          <t>ZOEY</t>
        </is>
      </c>
      <c r="B2541" s="9" t="inlineStr">
        <is>
          <t>ZOEY 16/02/2026</t>
        </is>
      </c>
      <c r="C2541" s="9" t="inlineStr">
        <is>
          <t>2026-02-16</t>
        </is>
      </c>
      <c r="D2541" s="9" t="inlineStr">
        <is>
          <t>99781781554989</t>
        </is>
      </c>
      <c r="E2541" s="9" t="inlineStr">
        <is>
          <t>CARTERA GC CADENA OPHIDIA</t>
        </is>
      </c>
      <c r="F2541" s="9" t="inlineStr">
        <is>
          <t>BROWN</t>
        </is>
      </c>
      <c r="G2541" s="9" t="n">
        <v>2</v>
      </c>
      <c r="H2541" s="21" t="n">
        <v>27</v>
      </c>
      <c r="I2541" s="21" t="n">
        <v>0</v>
      </c>
      <c r="J2541" s="21" t="n">
        <v>0</v>
      </c>
      <c r="K2541" s="21" t="n">
        <v>16.37</v>
      </c>
      <c r="L2541" s="21" t="n">
        <v>562.12</v>
      </c>
      <c r="M2541" s="21" t="n">
        <v>1686.35</v>
      </c>
    </row>
    <row r="2542">
      <c r="A2542" s="9" t="inlineStr">
        <is>
          <t>ZOEY</t>
        </is>
      </c>
      <c r="B2542" s="9" t="inlineStr">
        <is>
          <t>ZOEY 16/02/2026</t>
        </is>
      </c>
      <c r="C2542" s="9" t="inlineStr">
        <is>
          <t>2026-02-16</t>
        </is>
      </c>
      <c r="D2542" s="9" t="inlineStr">
        <is>
          <t>99781781282669</t>
        </is>
      </c>
      <c r="E2542" s="9" t="inlineStr">
        <is>
          <t>CARTERA GC CONTINENTAL BICOLOR</t>
        </is>
      </c>
      <c r="F2542" s="9" t="inlineStr">
        <is>
          <t>BLACK</t>
        </is>
      </c>
      <c r="G2542" s="9" t="n">
        <v>2</v>
      </c>
      <c r="H2542" s="21" t="n">
        <v>27</v>
      </c>
      <c r="I2542" s="21" t="n">
        <v>0</v>
      </c>
      <c r="J2542" s="21" t="n">
        <v>0</v>
      </c>
      <c r="K2542" s="21" t="n">
        <v>16.37</v>
      </c>
      <c r="L2542" s="21" t="n">
        <v>562.12</v>
      </c>
      <c r="M2542" s="21" t="n">
        <v>1686.35</v>
      </c>
    </row>
    <row r="2543">
      <c r="A2543" s="9" t="inlineStr">
        <is>
          <t>ZOEY</t>
        </is>
      </c>
      <c r="B2543" s="9" t="inlineStr">
        <is>
          <t>ZOEY 16/02/2026</t>
        </is>
      </c>
      <c r="C2543" s="9" t="inlineStr">
        <is>
          <t>2026-02-16</t>
        </is>
      </c>
      <c r="D2543" s="9" t="inlineStr">
        <is>
          <t>99781781725613</t>
        </is>
      </c>
      <c r="E2543" s="9" t="inlineStr">
        <is>
          <t>CARTERA GC LEATHER</t>
        </is>
      </c>
      <c r="F2543" s="9" t="inlineStr">
        <is>
          <t>BLACK</t>
        </is>
      </c>
      <c r="G2543" s="9" t="n">
        <v>2</v>
      </c>
      <c r="H2543" s="21" t="n">
        <v>19</v>
      </c>
      <c r="I2543" s="21" t="n">
        <v>0</v>
      </c>
      <c r="J2543" s="21" t="n">
        <v>0</v>
      </c>
      <c r="K2543" s="21" t="n">
        <v>11.52</v>
      </c>
      <c r="L2543" s="21" t="n">
        <v>395.56</v>
      </c>
      <c r="M2543" s="21" t="n">
        <v>1186.69</v>
      </c>
    </row>
    <row r="2544">
      <c r="A2544" s="9" t="inlineStr">
        <is>
          <t>ZOEY</t>
        </is>
      </c>
      <c r="B2544" s="9" t="inlineStr">
        <is>
          <t>ZOEY 16/02/2026</t>
        </is>
      </c>
      <c r="C2544" s="9" t="inlineStr">
        <is>
          <t>2026-02-16</t>
        </is>
      </c>
      <c r="D2544" s="9" t="inlineStr">
        <is>
          <t>99781781418829</t>
        </is>
      </c>
      <c r="E2544" s="9" t="inlineStr">
        <is>
          <t>CARTERA GC PLEGABLE</t>
        </is>
      </c>
      <c r="F2544" s="9" t="inlineStr">
        <is>
          <t>BLACK</t>
        </is>
      </c>
      <c r="G2544" s="9" t="n">
        <v>2</v>
      </c>
      <c r="H2544" s="21" t="n">
        <v>19</v>
      </c>
      <c r="I2544" s="21" t="n">
        <v>0</v>
      </c>
      <c r="J2544" s="21" t="n">
        <v>0</v>
      </c>
      <c r="K2544" s="21" t="n">
        <v>11.52</v>
      </c>
      <c r="L2544" s="21" t="n">
        <v>395.56</v>
      </c>
      <c r="M2544" s="21" t="n">
        <v>1186.69</v>
      </c>
    </row>
    <row r="2545">
      <c r="A2545" s="9" t="inlineStr">
        <is>
          <t>ZOEY</t>
        </is>
      </c>
      <c r="B2545" s="9" t="inlineStr">
        <is>
          <t>ZOEY 16/02/2026</t>
        </is>
      </c>
      <c r="C2545" s="9" t="inlineStr">
        <is>
          <t>2026-02-16</t>
        </is>
      </c>
      <c r="D2545" s="9" t="inlineStr">
        <is>
          <t>93098781770861</t>
        </is>
      </c>
      <c r="E2545" s="9" t="inlineStr">
        <is>
          <t>CARTERA LV EMPREINTE BLACK</t>
        </is>
      </c>
      <c r="F2545" s="9" t="inlineStr">
        <is>
          <t>BLACK</t>
        </is>
      </c>
      <c r="G2545" s="9" t="n">
        <v>3</v>
      </c>
      <c r="H2545" s="21" t="n">
        <v>17</v>
      </c>
      <c r="I2545" s="21" t="n">
        <v>0</v>
      </c>
      <c r="J2545" s="21" t="n">
        <v>0</v>
      </c>
      <c r="K2545" s="21" t="n">
        <v>10.31</v>
      </c>
      <c r="L2545" s="21" t="n">
        <v>353.92</v>
      </c>
      <c r="M2545" s="21" t="n">
        <v>1061.77</v>
      </c>
    </row>
    <row r="2546">
      <c r="A2546" s="9" t="inlineStr">
        <is>
          <t>ZOEY</t>
        </is>
      </c>
      <c r="B2546" s="9" t="inlineStr">
        <is>
          <t>ZOEY 16/02/2026</t>
        </is>
      </c>
      <c r="C2546" s="9" t="inlineStr">
        <is>
          <t>2026-02-16</t>
        </is>
      </c>
      <c r="D2546" s="9" t="inlineStr">
        <is>
          <t>93098781907021</t>
        </is>
      </c>
      <c r="E2546" s="9" t="inlineStr">
        <is>
          <t>CARTERA LV GASTON MONOGRAM</t>
        </is>
      </c>
      <c r="F2546" s="9" t="inlineStr">
        <is>
          <t>BLACK</t>
        </is>
      </c>
      <c r="G2546" s="9" t="n">
        <v>2</v>
      </c>
      <c r="H2546" s="21" t="n">
        <v>45</v>
      </c>
      <c r="I2546" s="21" t="n">
        <v>0</v>
      </c>
      <c r="J2546" s="21" t="n">
        <v>0</v>
      </c>
      <c r="K2546" s="21" t="n">
        <v>27.29</v>
      </c>
      <c r="L2546" s="21" t="n">
        <v>936.86</v>
      </c>
      <c r="M2546" s="21" t="n">
        <v>2810.58</v>
      </c>
    </row>
    <row r="2547">
      <c r="A2547" s="9" t="inlineStr">
        <is>
          <t>ZOEY</t>
        </is>
      </c>
      <c r="B2547" s="9" t="inlineStr">
        <is>
          <t>ZOEY 16/02/2026</t>
        </is>
      </c>
      <c r="C2547" s="9" t="inlineStr">
        <is>
          <t>2026-02-16</t>
        </is>
      </c>
      <c r="D2547" s="9" t="inlineStr">
        <is>
          <t>93098781603629</t>
        </is>
      </c>
      <c r="E2547" s="9" t="inlineStr">
        <is>
          <t>CARTERA LV MULTIPLE MONOGRAM</t>
        </is>
      </c>
      <c r="F2547" s="9" t="inlineStr">
        <is>
          <t>BLACK</t>
        </is>
      </c>
      <c r="G2547" s="9" t="n">
        <v>3</v>
      </c>
      <c r="H2547" s="21" t="n">
        <v>17</v>
      </c>
      <c r="I2547" s="21" t="n">
        <v>0</v>
      </c>
      <c r="J2547" s="21" t="n">
        <v>0</v>
      </c>
      <c r="K2547" s="21" t="n">
        <v>10.31</v>
      </c>
      <c r="L2547" s="21" t="n">
        <v>353.92</v>
      </c>
      <c r="M2547" s="21" t="n">
        <v>1061.77</v>
      </c>
    </row>
    <row r="2548">
      <c r="A2548" s="9" t="inlineStr">
        <is>
          <t>ZOEY</t>
        </is>
      </c>
      <c r="B2548" s="9" t="inlineStr">
        <is>
          <t>ZOEY 16/02/2026</t>
        </is>
      </c>
      <c r="C2548" s="9" t="inlineStr">
        <is>
          <t>2026-02-16</t>
        </is>
      </c>
      <c r="D2548" s="9" t="inlineStr">
        <is>
          <t>93098783399149</t>
        </is>
      </c>
      <c r="E2548" s="9" t="inlineStr">
        <is>
          <t>CARTERA LV ZIPPY CLIP</t>
        </is>
      </c>
      <c r="F2548" s="9" t="inlineStr">
        <is>
          <t>BROWN</t>
        </is>
      </c>
      <c r="G2548" s="9" t="n">
        <v>3</v>
      </c>
      <c r="H2548" s="21" t="n">
        <v>14</v>
      </c>
      <c r="I2548" s="21" t="n">
        <v>0</v>
      </c>
      <c r="J2548" s="21" t="n">
        <v>0</v>
      </c>
      <c r="K2548" s="21" t="n">
        <v>8.49</v>
      </c>
      <c r="L2548" s="21" t="n">
        <v>291.47</v>
      </c>
      <c r="M2548" s="21" t="n">
        <v>874.4</v>
      </c>
    </row>
    <row r="2549">
      <c r="A2549" s="9" t="inlineStr">
        <is>
          <t>ZOEY</t>
        </is>
      </c>
      <c r="B2549" s="9" t="inlineStr">
        <is>
          <t>ZOEY 16/02/2026</t>
        </is>
      </c>
      <c r="C2549" s="9" t="inlineStr">
        <is>
          <t>2026-02-16</t>
        </is>
      </c>
      <c r="D2549" s="9" t="inlineStr">
        <is>
          <t>23794532108653</t>
        </is>
      </c>
      <c r="E2549" s="9" t="inlineStr">
        <is>
          <t>CARTERA MM MATELASSE</t>
        </is>
      </c>
      <c r="F2549" s="9" t="inlineStr">
        <is>
          <t>BLACK</t>
        </is>
      </c>
      <c r="G2549" s="9" t="n">
        <v>2</v>
      </c>
      <c r="H2549" s="21" t="n">
        <v>22</v>
      </c>
      <c r="I2549" s="21" t="n">
        <v>0</v>
      </c>
      <c r="J2549" s="21" t="n">
        <v>0</v>
      </c>
      <c r="K2549" s="21" t="n">
        <v>13.34</v>
      </c>
      <c r="L2549" s="21" t="n">
        <v>458.02</v>
      </c>
      <c r="M2549" s="21" t="n">
        <v>1374.06</v>
      </c>
    </row>
    <row r="2550">
      <c r="A2550" s="9" t="inlineStr">
        <is>
          <t>ZOEY</t>
        </is>
      </c>
      <c r="B2550" s="9" t="inlineStr">
        <is>
          <t>ZOEY 16/02/2026</t>
        </is>
      </c>
      <c r="C2550" s="9" t="inlineStr">
        <is>
          <t>2026-02-16</t>
        </is>
      </c>
      <c r="D2550" s="9" t="inlineStr">
        <is>
          <t>13794532310349</t>
        </is>
      </c>
      <c r="E2550" s="9" t="inlineStr">
        <is>
          <t>CARTERA MM NAPA PINK</t>
        </is>
      </c>
      <c r="F2550" s="9" t="inlineStr">
        <is>
          <t>PINK</t>
        </is>
      </c>
      <c r="G2550" s="9" t="n">
        <v>2</v>
      </c>
      <c r="H2550" s="21" t="n">
        <v>23</v>
      </c>
      <c r="I2550" s="21" t="n">
        <v>0</v>
      </c>
      <c r="J2550" s="21" t="n">
        <v>0</v>
      </c>
      <c r="K2550" s="21" t="n">
        <v>13.95</v>
      </c>
      <c r="L2550" s="21" t="n">
        <v>478.84</v>
      </c>
      <c r="M2550" s="21" t="n">
        <v>1436.52</v>
      </c>
    </row>
    <row r="2551">
      <c r="A2551" s="9" t="inlineStr">
        <is>
          <t>ZOEY</t>
        </is>
      </c>
      <c r="B2551" s="9" t="inlineStr">
        <is>
          <t>ZOEY 16/02/2026</t>
        </is>
      </c>
      <c r="C2551" s="9" t="inlineStr">
        <is>
          <t>2026-02-16</t>
        </is>
      </c>
      <c r="D2551" s="9" t="inlineStr">
        <is>
          <t>43794532275885</t>
        </is>
      </c>
      <c r="E2551" s="9" t="inlineStr">
        <is>
          <t>CARTERA MM NAPA SMALL</t>
        </is>
      </c>
      <c r="F2551" s="9" t="inlineStr">
        <is>
          <t>BLACK</t>
        </is>
      </c>
      <c r="G2551" s="9" t="n">
        <v>2</v>
      </c>
      <c r="H2551" s="21" t="n">
        <v>23</v>
      </c>
      <c r="I2551" s="21" t="n">
        <v>0</v>
      </c>
      <c r="J2551" s="21" t="n">
        <v>0</v>
      </c>
      <c r="K2551" s="21" t="n">
        <v>13.95</v>
      </c>
      <c r="L2551" s="21" t="n">
        <v>478.84</v>
      </c>
      <c r="M2551" s="21" t="n">
        <v>1436.52</v>
      </c>
    </row>
    <row r="2552">
      <c r="A2552" s="9" t="inlineStr">
        <is>
          <t>ZOEY</t>
        </is>
      </c>
      <c r="B2552" s="9" t="inlineStr">
        <is>
          <t>ZOEY 16/02/2026</t>
        </is>
      </c>
      <c r="C2552" s="9" t="inlineStr">
        <is>
          <t>2026-02-16</t>
        </is>
      </c>
      <c r="D2552" s="9" t="inlineStr">
        <is>
          <t>43794531982605</t>
        </is>
      </c>
      <c r="E2552" s="9" t="inlineStr">
        <is>
          <t>CARTERA PR LOGO TRIANGULAR</t>
        </is>
      </c>
      <c r="F2552" s="9" t="inlineStr">
        <is>
          <t>BLACK</t>
        </is>
      </c>
      <c r="G2552" s="9" t="n">
        <v>2</v>
      </c>
      <c r="H2552" s="21" t="n">
        <v>23</v>
      </c>
      <c r="I2552" s="21" t="n">
        <v>0</v>
      </c>
      <c r="J2552" s="21" t="n">
        <v>0</v>
      </c>
      <c r="K2552" s="21" t="n">
        <v>13.95</v>
      </c>
      <c r="L2552" s="21" t="n">
        <v>478.84</v>
      </c>
      <c r="M2552" s="21" t="n">
        <v>1436.52</v>
      </c>
    </row>
    <row r="2553">
      <c r="A2553" s="9" t="inlineStr">
        <is>
          <t>ZOEY</t>
        </is>
      </c>
      <c r="B2553" s="9" t="inlineStr">
        <is>
          <t>ZOEY 16/02/2026</t>
        </is>
      </c>
      <c r="C2553" s="9" t="inlineStr">
        <is>
          <t>2026-02-16</t>
        </is>
      </c>
      <c r="D2553" s="9" t="inlineStr">
        <is>
          <t>93794531735053</t>
        </is>
      </c>
      <c r="E2553" s="9" t="inlineStr">
        <is>
          <t>CARTERA PR SAFFIANO</t>
        </is>
      </c>
      <c r="F2553" s="9" t="inlineStr">
        <is>
          <t>BLACK</t>
        </is>
      </c>
      <c r="G2553" s="9" t="n">
        <v>2</v>
      </c>
      <c r="H2553" s="21" t="n">
        <v>19</v>
      </c>
      <c r="I2553" s="21" t="n">
        <v>0</v>
      </c>
      <c r="J2553" s="21" t="n">
        <v>0</v>
      </c>
      <c r="K2553" s="21" t="n">
        <v>11.52</v>
      </c>
      <c r="L2553" s="21" t="n">
        <v>395.56</v>
      </c>
      <c r="M2553" s="21" t="n">
        <v>1186.69</v>
      </c>
    </row>
    <row r="2554">
      <c r="A2554" s="9" t="inlineStr">
        <is>
          <t>ZOEY</t>
        </is>
      </c>
      <c r="B2554" s="9" t="inlineStr">
        <is>
          <t>ZOEY 16/02/2026</t>
        </is>
      </c>
      <c r="C2554" s="9" t="inlineStr">
        <is>
          <t>2026-02-16</t>
        </is>
      </c>
      <c r="D2554" s="9" t="inlineStr">
        <is>
          <t>13794531858861</t>
        </is>
      </c>
      <c r="E2554" s="9" t="inlineStr">
        <is>
          <t>CARTERA PR SAFFIANO DARKBLUE</t>
        </is>
      </c>
      <c r="F2554" s="9" t="inlineStr">
        <is>
          <t>BLUE</t>
        </is>
      </c>
      <c r="G2554" s="9" t="n">
        <v>2</v>
      </c>
      <c r="H2554" s="21" t="n">
        <v>19</v>
      </c>
      <c r="I2554" s="21" t="n">
        <v>0</v>
      </c>
      <c r="J2554" s="21" t="n">
        <v>0</v>
      </c>
      <c r="K2554" s="21" t="n">
        <v>11.52</v>
      </c>
      <c r="L2554" s="21" t="n">
        <v>395.56</v>
      </c>
      <c r="M2554" s="21" t="n">
        <v>1186.69</v>
      </c>
    </row>
    <row r="2555">
      <c r="A2555" s="9" t="inlineStr">
        <is>
          <t>ZOEY</t>
        </is>
      </c>
      <c r="B2555" s="9" t="inlineStr">
        <is>
          <t>ZOEY 16/02/2026</t>
        </is>
      </c>
      <c r="C2555" s="9" t="inlineStr">
        <is>
          <t>2026-02-16</t>
        </is>
      </c>
      <c r="D2555" s="9" t="inlineStr">
        <is>
          <t>99781782880429</t>
        </is>
      </c>
      <c r="E2555" s="9" t="inlineStr">
        <is>
          <t>CINTO C HERITAGE</t>
        </is>
      </c>
      <c r="F2555" s="9" t="inlineStr">
        <is>
          <t>BLACK</t>
        </is>
      </c>
      <c r="G2555" s="9" t="n">
        <v>1</v>
      </c>
      <c r="H2555" s="21" t="n">
        <v>45</v>
      </c>
      <c r="I2555" s="21" t="n">
        <v>0</v>
      </c>
      <c r="J2555" s="21" t="n">
        <v>0</v>
      </c>
      <c r="K2555" s="21" t="n">
        <v>27.29</v>
      </c>
      <c r="L2555" s="21" t="n">
        <v>936.86</v>
      </c>
      <c r="M2555" s="21" t="n">
        <v>2810.58</v>
      </c>
    </row>
    <row r="2556">
      <c r="A2556" s="9" t="inlineStr">
        <is>
          <t>ZOEY</t>
        </is>
      </c>
      <c r="B2556" s="9" t="inlineStr">
        <is>
          <t>ZOEY 16/02/2026</t>
        </is>
      </c>
      <c r="C2556" s="9" t="inlineStr">
        <is>
          <t>2026-02-16</t>
        </is>
      </c>
      <c r="D2556" s="9" t="inlineStr">
        <is>
          <t>99781782675341</t>
        </is>
      </c>
      <c r="E2556" s="9" t="inlineStr">
        <is>
          <t>CINTO C TRIOMPHIE BUCKLE</t>
        </is>
      </c>
      <c r="F2556" s="9" t="inlineStr">
        <is>
          <t>BLACK</t>
        </is>
      </c>
      <c r="G2556" s="9" t="n">
        <v>1</v>
      </c>
      <c r="H2556" s="21" t="n">
        <v>45</v>
      </c>
      <c r="I2556" s="21" t="n">
        <v>0</v>
      </c>
      <c r="J2556" s="21" t="n">
        <v>0</v>
      </c>
      <c r="K2556" s="21" t="n">
        <v>27.29</v>
      </c>
      <c r="L2556" s="21" t="n">
        <v>936.86</v>
      </c>
      <c r="M2556" s="21" t="n">
        <v>2810.58</v>
      </c>
    </row>
    <row r="2557">
      <c r="A2557" s="9" t="inlineStr">
        <is>
          <t>ZOEY</t>
        </is>
      </c>
      <c r="B2557" s="9" t="inlineStr">
        <is>
          <t>ZOEY 16/02/2026</t>
        </is>
      </c>
      <c r="C2557" s="9" t="inlineStr">
        <is>
          <t>2026-02-16</t>
        </is>
      </c>
      <c r="D2557" s="9" t="inlineStr">
        <is>
          <t>99781782982125</t>
        </is>
      </c>
      <c r="E2557" s="9" t="inlineStr">
        <is>
          <t>CINTO C VIVIENNE 25</t>
        </is>
      </c>
      <c r="F2557" s="9" t="inlineStr">
        <is>
          <t>BROWN</t>
        </is>
      </c>
      <c r="G2557" s="9" t="n">
        <v>1</v>
      </c>
      <c r="H2557" s="21" t="n">
        <v>45</v>
      </c>
      <c r="I2557" s="21" t="n">
        <v>0</v>
      </c>
      <c r="J2557" s="21" t="n">
        <v>0</v>
      </c>
      <c r="K2557" s="21" t="n">
        <v>27.29</v>
      </c>
      <c r="L2557" s="21" t="n">
        <v>936.86</v>
      </c>
      <c r="M2557" s="21" t="n">
        <v>2810.58</v>
      </c>
    </row>
    <row r="2558">
      <c r="A2558" s="9" t="inlineStr">
        <is>
          <t>ZOEY</t>
        </is>
      </c>
      <c r="B2558" s="9" t="inlineStr">
        <is>
          <t>ZOEY 16/02/2026</t>
        </is>
      </c>
      <c r="C2558" s="9" t="inlineStr">
        <is>
          <t>2026-02-16</t>
        </is>
      </c>
      <c r="D2558" s="9" t="inlineStr">
        <is>
          <t>99781783009805</t>
        </is>
      </c>
      <c r="E2558" s="9" t="inlineStr">
        <is>
          <t>CINTO C VIVIENNE 25 BLACK</t>
        </is>
      </c>
      <c r="F2558" s="9" t="inlineStr">
        <is>
          <t>BLACK</t>
        </is>
      </c>
      <c r="G2558" s="9" t="n">
        <v>1</v>
      </c>
      <c r="H2558" s="21" t="n">
        <v>45</v>
      </c>
      <c r="I2558" s="21" t="n">
        <v>0</v>
      </c>
      <c r="J2558" s="21" t="n">
        <v>0</v>
      </c>
      <c r="K2558" s="21" t="n">
        <v>27.29</v>
      </c>
      <c r="L2558" s="21" t="n">
        <v>936.86</v>
      </c>
      <c r="M2558" s="21" t="n">
        <v>2810.58</v>
      </c>
    </row>
    <row r="2559">
      <c r="A2559" s="9" t="inlineStr">
        <is>
          <t>ZOEY</t>
        </is>
      </c>
      <c r="B2559" s="9" t="inlineStr">
        <is>
          <t>ZOEY 16/02/2026</t>
        </is>
      </c>
      <c r="C2559" s="9" t="inlineStr">
        <is>
          <t>2026-02-16</t>
        </is>
      </c>
      <c r="D2559" s="9" t="inlineStr">
        <is>
          <t>99781781012045</t>
        </is>
      </c>
      <c r="E2559" s="9" t="inlineStr">
        <is>
          <t>CINTO GC DELGADO MARMONT</t>
        </is>
      </c>
      <c r="F2559" s="9" t="inlineStr">
        <is>
          <t>BLACK</t>
        </is>
      </c>
      <c r="G2559" s="9" t="n">
        <v>1</v>
      </c>
      <c r="H2559" s="21" t="n">
        <v>45</v>
      </c>
      <c r="I2559" s="21" t="n">
        <v>0</v>
      </c>
      <c r="J2559" s="21" t="n">
        <v>0</v>
      </c>
      <c r="K2559" s="21" t="n">
        <v>27.29</v>
      </c>
      <c r="L2559" s="21" t="n">
        <v>936.86</v>
      </c>
      <c r="M2559" s="21" t="n">
        <v>2810.58</v>
      </c>
    </row>
    <row r="2560">
      <c r="A2560" s="9" t="inlineStr">
        <is>
          <t>ZOEY</t>
        </is>
      </c>
      <c r="B2560" s="9" t="inlineStr">
        <is>
          <t>ZOEY 16/02/2026</t>
        </is>
      </c>
      <c r="C2560" s="9" t="inlineStr">
        <is>
          <t>2026-02-16</t>
        </is>
      </c>
      <c r="D2560" s="9" t="inlineStr">
        <is>
          <t>99781781126317</t>
        </is>
      </c>
      <c r="E2560" s="9" t="inlineStr">
        <is>
          <t>CINTO GC REVERSIBLE HEBILLA</t>
        </is>
      </c>
      <c r="F2560" s="9" t="inlineStr">
        <is>
          <t>BLACK</t>
        </is>
      </c>
      <c r="G2560" s="9" t="n">
        <v>1</v>
      </c>
      <c r="H2560" s="21" t="n">
        <v>45</v>
      </c>
      <c r="I2560" s="21" t="n">
        <v>0</v>
      </c>
      <c r="J2560" s="21" t="n">
        <v>0</v>
      </c>
      <c r="K2560" s="21" t="n">
        <v>27.29</v>
      </c>
      <c r="L2560" s="21" t="n">
        <v>936.86</v>
      </c>
      <c r="M2560" s="21" t="n">
        <v>2810.58</v>
      </c>
    </row>
    <row r="2561">
      <c r="A2561" s="9" t="inlineStr">
        <is>
          <t>ZOEY</t>
        </is>
      </c>
      <c r="B2561" s="9" t="inlineStr">
        <is>
          <t>ZOEY 16/02/2026</t>
        </is>
      </c>
      <c r="C2561" s="9" t="inlineStr">
        <is>
          <t>2026-02-16</t>
        </is>
      </c>
      <c r="D2561" s="9" t="inlineStr">
        <is>
          <t>93098782959597</t>
        </is>
      </c>
      <c r="E2561" s="9" t="inlineStr">
        <is>
          <t>CINTO LV PONT NEUF BLACK</t>
        </is>
      </c>
      <c r="F2561" s="9" t="inlineStr">
        <is>
          <t>BLACK</t>
        </is>
      </c>
      <c r="G2561" s="9" t="n">
        <v>1</v>
      </c>
      <c r="H2561" s="21" t="n">
        <v>35</v>
      </c>
      <c r="I2561" s="21" t="n">
        <v>0</v>
      </c>
      <c r="J2561" s="21" t="n">
        <v>0</v>
      </c>
      <c r="K2561" s="21" t="n">
        <v>21.22</v>
      </c>
      <c r="L2561" s="21" t="n">
        <v>728.67</v>
      </c>
      <c r="M2561" s="21" t="n">
        <v>2186.01</v>
      </c>
    </row>
    <row r="2562">
      <c r="A2562" s="9" t="inlineStr">
        <is>
          <t>ZOEY</t>
        </is>
      </c>
      <c r="B2562" s="9" t="inlineStr">
        <is>
          <t>ZOEY 16/02/2026</t>
        </is>
      </c>
      <c r="C2562" s="9" t="inlineStr">
        <is>
          <t>2026-02-16</t>
        </is>
      </c>
      <c r="D2562" s="9" t="inlineStr">
        <is>
          <t>93098782758445</t>
        </is>
      </c>
      <c r="E2562" s="9" t="inlineStr">
        <is>
          <t>CINTO LV REVERSIBLE INITIALES</t>
        </is>
      </c>
      <c r="F2562" s="9" t="inlineStr">
        <is>
          <t>BLACK</t>
        </is>
      </c>
      <c r="G2562" s="9" t="n">
        <v>1</v>
      </c>
      <c r="H2562" s="21" t="n">
        <v>35</v>
      </c>
      <c r="I2562" s="21" t="n">
        <v>0</v>
      </c>
      <c r="J2562" s="21" t="n">
        <v>0</v>
      </c>
      <c r="K2562" s="21" t="n">
        <v>21.22</v>
      </c>
      <c r="L2562" s="21" t="n">
        <v>728.67</v>
      </c>
      <c r="M2562" s="21" t="n">
        <v>2186.01</v>
      </c>
    </row>
    <row r="2563">
      <c r="A2563" s="9" t="inlineStr">
        <is>
          <t>ZOEY</t>
        </is>
      </c>
      <c r="B2563" s="9" t="inlineStr">
        <is>
          <t>ZOEY 16/02/2026</t>
        </is>
      </c>
      <c r="C2563" s="9" t="inlineStr">
        <is>
          <t>2026-02-16</t>
        </is>
      </c>
      <c r="D2563" s="9" t="inlineStr">
        <is>
          <t>93098782555053</t>
        </is>
      </c>
      <c r="E2563" s="9" t="inlineStr">
        <is>
          <t>CINTO LV REVERSIBLE MINI</t>
        </is>
      </c>
      <c r="F2563" s="9" t="inlineStr">
        <is>
          <t>BLACK</t>
        </is>
      </c>
      <c r="G2563" s="9" t="n">
        <v>1</v>
      </c>
      <c r="H2563" s="21" t="n">
        <v>45</v>
      </c>
      <c r="I2563" s="21" t="n">
        <v>0</v>
      </c>
      <c r="J2563" s="21" t="n">
        <v>0</v>
      </c>
      <c r="K2563" s="21" t="n">
        <v>27.29</v>
      </c>
      <c r="L2563" s="21" t="n">
        <v>936.86</v>
      </c>
      <c r="M2563" s="21" t="n">
        <v>2810.58</v>
      </c>
    </row>
    <row r="2564">
      <c r="A2564" s="9" t="inlineStr">
        <is>
          <t>ZOEY</t>
        </is>
      </c>
      <c r="B2564" s="9" t="inlineStr">
        <is>
          <t>ZOEY 16/02/2026</t>
        </is>
      </c>
      <c r="C2564" s="9" t="inlineStr">
        <is>
          <t>2026-02-16</t>
        </is>
      </c>
      <c r="D2564" s="9" t="inlineStr">
        <is>
          <t>93098782656749</t>
        </is>
      </c>
      <c r="E2564" s="9" t="inlineStr">
        <is>
          <t>CINTO LV REVERSIBLE PRETTY</t>
        </is>
      </c>
      <c r="F2564" s="9" t="inlineStr">
        <is>
          <t>BLACK</t>
        </is>
      </c>
      <c r="G2564" s="9" t="n">
        <v>1</v>
      </c>
      <c r="H2564" s="21" t="n">
        <v>45</v>
      </c>
      <c r="I2564" s="21" t="n">
        <v>0</v>
      </c>
      <c r="J2564" s="21" t="n">
        <v>0</v>
      </c>
      <c r="K2564" s="21" t="n">
        <v>27.29</v>
      </c>
      <c r="L2564" s="21" t="n">
        <v>936.86</v>
      </c>
      <c r="M2564" s="21" t="n">
        <v>2810.58</v>
      </c>
    </row>
    <row r="2565">
      <c r="A2565" s="9" t="inlineStr">
        <is>
          <t>ZOEY</t>
        </is>
      </c>
      <c r="B2565" s="9" t="inlineStr">
        <is>
          <t>ZOEY 16/02/2026</t>
        </is>
      </c>
      <c r="C2565" s="9" t="inlineStr">
        <is>
          <t>2026-02-16</t>
        </is>
      </c>
      <c r="D2565" s="9" t="inlineStr">
        <is>
          <t>93098782860141</t>
        </is>
      </c>
      <c r="E2565" s="9" t="inlineStr">
        <is>
          <t>CINTO LV SKYLINE BLACK</t>
        </is>
      </c>
      <c r="F2565" s="9" t="inlineStr">
        <is>
          <t>BLACK</t>
        </is>
      </c>
      <c r="G2565" s="9" t="n">
        <v>1</v>
      </c>
      <c r="H2565" s="21" t="n">
        <v>35</v>
      </c>
      <c r="I2565" s="21" t="n">
        <v>0</v>
      </c>
      <c r="J2565" s="21" t="n">
        <v>0</v>
      </c>
      <c r="K2565" s="21" t="n">
        <v>21.22</v>
      </c>
      <c r="L2565" s="21" t="n">
        <v>728.67</v>
      </c>
      <c r="M2565" s="21" t="n">
        <v>2186.01</v>
      </c>
    </row>
    <row r="2566">
      <c r="A2566" s="9" t="inlineStr">
        <is>
          <t>ZOEY</t>
        </is>
      </c>
      <c r="B2566" s="9" t="inlineStr">
        <is>
          <t>ZOEY 16/02/2026</t>
        </is>
      </c>
      <c r="C2566" s="9" t="inlineStr">
        <is>
          <t>2026-02-16</t>
        </is>
      </c>
      <c r="D2566" s="9" t="inlineStr">
        <is>
          <t>38563859802892</t>
        </is>
      </c>
      <c r="E2566" s="9" t="inlineStr">
        <is>
          <t>COLLAR CORAZ√ìN GOLD</t>
        </is>
      </c>
      <c r="F2566" s="9" t="inlineStr">
        <is>
          <t>44 cm / dije 2.5cm</t>
        </is>
      </c>
      <c r="G2566" s="9" t="n">
        <v>2</v>
      </c>
      <c r="H2566" s="21" t="n">
        <v>9</v>
      </c>
      <c r="I2566" s="21" t="n">
        <v>0</v>
      </c>
      <c r="J2566" s="21" t="n">
        <v>0</v>
      </c>
      <c r="K2566" s="21" t="n">
        <v>5.46</v>
      </c>
      <c r="L2566" s="21" t="n">
        <v>187.37</v>
      </c>
      <c r="M2566" s="21" t="n">
        <v>562.12</v>
      </c>
    </row>
    <row r="2567">
      <c r="A2567" s="9" t="inlineStr">
        <is>
          <t>ZOEY</t>
        </is>
      </c>
      <c r="B2567" s="9" t="inlineStr">
        <is>
          <t>ZOEY 16/02/2026</t>
        </is>
      </c>
      <c r="C2567" s="9" t="inlineStr">
        <is>
          <t>2026-02-16</t>
        </is>
      </c>
      <c r="D2567" s="9" t="inlineStr">
        <is>
          <t>46022281088705</t>
        </is>
      </c>
      <c r="E2567" s="9" t="inlineStr">
        <is>
          <t>COLLAR CORAZ√ìN SILVER</t>
        </is>
      </c>
      <c r="F2567" s="9" t="inlineStr">
        <is>
          <t>titanio 45cm / dije 1cm</t>
        </is>
      </c>
      <c r="G2567" s="9" t="n">
        <v>2</v>
      </c>
      <c r="H2567" s="21" t="n">
        <v>9</v>
      </c>
      <c r="I2567" s="21" t="n">
        <v>0</v>
      </c>
      <c r="J2567" s="21" t="n">
        <v>0</v>
      </c>
      <c r="K2567" s="21" t="n">
        <v>5.46</v>
      </c>
      <c r="L2567" s="21" t="n">
        <v>187.37</v>
      </c>
      <c r="M2567" s="21" t="n">
        <v>562.12</v>
      </c>
    </row>
    <row r="2568">
      <c r="A2568" s="9" t="inlineStr">
        <is>
          <t>ZOEY</t>
        </is>
      </c>
      <c r="B2568" s="9" t="inlineStr">
        <is>
          <t>ZOEY 16/02/2026</t>
        </is>
      </c>
      <c r="C2568" s="9" t="inlineStr">
        <is>
          <t>2026-02-16</t>
        </is>
      </c>
      <c r="D2568" s="9" t="inlineStr">
        <is>
          <t>12731906776716</t>
        </is>
      </c>
      <c r="E2568" s="9" t="inlineStr">
        <is>
          <t>COLLAR CORAZ√ìN SILVER</t>
        </is>
      </c>
      <c r="F2568" s="9" t="inlineStr">
        <is>
          <t>44 cm / dije 2.5cm</t>
        </is>
      </c>
      <c r="G2568" s="9" t="n">
        <v>2</v>
      </c>
      <c r="H2568" s="21" t="n">
        <v>9</v>
      </c>
      <c r="I2568" s="21" t="n">
        <v>0</v>
      </c>
      <c r="J2568" s="21" t="n">
        <v>0</v>
      </c>
      <c r="K2568" s="21" t="n">
        <v>5.46</v>
      </c>
      <c r="L2568" s="21" t="n">
        <v>187.37</v>
      </c>
      <c r="M2568" s="21" t="n">
        <v>562.12</v>
      </c>
    </row>
    <row r="2569">
      <c r="A2569" s="9" t="inlineStr">
        <is>
          <t>ZOEY</t>
        </is>
      </c>
      <c r="B2569" s="9" t="inlineStr">
        <is>
          <t>ZOEY 16/02/2026</t>
        </is>
      </c>
      <c r="C2569" s="9" t="inlineStr">
        <is>
          <t>2026-02-16</t>
        </is>
      </c>
      <c r="D2569" s="9" t="inlineStr">
        <is>
          <t>81420901016909</t>
        </is>
      </c>
      <c r="E2569" s="9" t="inlineStr">
        <is>
          <t>COLLAR DE CADENA GC SCRIPT GOLD</t>
        </is>
      </c>
      <c r="F2569" s="9" t="inlineStr">
        <is>
          <t>Default Title</t>
        </is>
      </c>
      <c r="G2569" s="9" t="n">
        <v>1</v>
      </c>
      <c r="H2569" s="21" t="n">
        <v>9</v>
      </c>
      <c r="I2569" s="21" t="n">
        <v>0</v>
      </c>
      <c r="J2569" s="21" t="n">
        <v>0</v>
      </c>
      <c r="K2569" s="21" t="n">
        <v>5.46</v>
      </c>
      <c r="L2569" s="21" t="n">
        <v>187.37</v>
      </c>
      <c r="M2569" s="21" t="n">
        <v>562.12</v>
      </c>
    </row>
    <row r="2570">
      <c r="A2570" s="9" t="inlineStr">
        <is>
          <t>ZOEY</t>
        </is>
      </c>
      <c r="B2570" s="9" t="inlineStr">
        <is>
          <t>ZOEY 16/02/2026</t>
        </is>
      </c>
      <c r="C2570" s="9" t="inlineStr">
        <is>
          <t>2026-02-16</t>
        </is>
      </c>
      <c r="D2570" s="9" t="inlineStr">
        <is>
          <t>87084241011085</t>
        </is>
      </c>
      <c r="E2570" s="9" t="inlineStr">
        <is>
          <t>COLLAR F SILVER CON ZIRCONIA</t>
        </is>
      </c>
      <c r="F2570" s="9" t="inlineStr">
        <is>
          <t>Default Title</t>
        </is>
      </c>
      <c r="G2570" s="9" t="n">
        <v>1</v>
      </c>
      <c r="H2570" s="21" t="n">
        <v>9</v>
      </c>
      <c r="I2570" s="21" t="n">
        <v>0</v>
      </c>
      <c r="J2570" s="21" t="n">
        <v>0</v>
      </c>
      <c r="K2570" s="21" t="n">
        <v>5.46</v>
      </c>
      <c r="L2570" s="21" t="n">
        <v>187.37</v>
      </c>
      <c r="M2570" s="21" t="n">
        <v>562.12</v>
      </c>
    </row>
    <row r="2571">
      <c r="A2571" s="9" t="inlineStr">
        <is>
          <t>ZOEY</t>
        </is>
      </c>
      <c r="B2571" s="9" t="inlineStr">
        <is>
          <t>ZOEY 16/02/2026</t>
        </is>
      </c>
      <c r="C2571" s="9" t="inlineStr">
        <is>
          <t>2026-02-16</t>
        </is>
      </c>
      <c r="D2571" s="9" t="inlineStr">
        <is>
          <t>78326321018849</t>
        </is>
      </c>
      <c r="E2571" s="9" t="inlineStr">
        <is>
          <t>COLLAR LOVESTRUCK</t>
        </is>
      </c>
      <c r="F2571" s="9" t="inlineStr">
        <is>
          <t>43CM</t>
        </is>
      </c>
      <c r="G2571" s="9" t="n">
        <v>3</v>
      </c>
      <c r="H2571" s="21" t="n">
        <v>6.5</v>
      </c>
      <c r="I2571" s="21" t="n">
        <v>0</v>
      </c>
      <c r="J2571" s="21" t="n">
        <v>0</v>
      </c>
      <c r="K2571" s="21" t="n">
        <v>3.94</v>
      </c>
      <c r="L2571" s="21" t="n">
        <v>135.32</v>
      </c>
      <c r="M2571" s="21" t="n">
        <v>405.97</v>
      </c>
    </row>
    <row r="2572">
      <c r="A2572" s="9" t="inlineStr">
        <is>
          <t>ZOEY</t>
        </is>
      </c>
      <c r="B2572" s="9" t="inlineStr">
        <is>
          <t>ZOEY 16/02/2026</t>
        </is>
      </c>
      <c r="C2572" s="9" t="inlineStr">
        <is>
          <t>2026-02-16</t>
        </is>
      </c>
      <c r="D2572" s="9" t="inlineStr">
        <is>
          <t>99781783430157</t>
        </is>
      </c>
      <c r="E2572" s="9" t="inlineStr">
        <is>
          <t>COLLAR LV SAILOR SOO</t>
        </is>
      </c>
      <c r="F2572" s="9" t="inlineStr">
        <is>
          <t>SILVER</t>
        </is>
      </c>
      <c r="G2572" s="9" t="n">
        <v>2</v>
      </c>
      <c r="H2572" s="21" t="n">
        <v>14</v>
      </c>
      <c r="I2572" s="21" t="n">
        <v>0</v>
      </c>
      <c r="J2572" s="21" t="n">
        <v>0</v>
      </c>
      <c r="K2572" s="21" t="n">
        <v>8.49</v>
      </c>
      <c r="L2572" s="21" t="n">
        <v>291.47</v>
      </c>
      <c r="M2572" s="21" t="n">
        <v>874.4</v>
      </c>
    </row>
    <row r="2573">
      <c r="A2573" s="9" t="inlineStr">
        <is>
          <t>ZOEY</t>
        </is>
      </c>
      <c r="B2573" s="9" t="inlineStr">
        <is>
          <t>ZOEY 16/02/2026</t>
        </is>
      </c>
      <c r="C2573" s="9" t="inlineStr">
        <is>
          <t>2026-02-16</t>
        </is>
      </c>
      <c r="D2573" s="9" t="inlineStr">
        <is>
          <t>3382853668492</t>
        </is>
      </c>
      <c r="E2573" s="9" t="inlineStr">
        <is>
          <t>GORRA C BLACK</t>
        </is>
      </c>
      <c r="F2573" s="9" t="inlineStr">
        <is>
          <t>M (AJUSTABLE)</t>
        </is>
      </c>
      <c r="G2573" s="9" t="n">
        <v>3</v>
      </c>
      <c r="H2573" s="21" t="n">
        <v>18</v>
      </c>
      <c r="I2573" s="21" t="n">
        <v>0</v>
      </c>
      <c r="J2573" s="21" t="n">
        <v>0</v>
      </c>
      <c r="K2573" s="21" t="n">
        <v>10.91</v>
      </c>
      <c r="L2573" s="21" t="n">
        <v>374.74</v>
      </c>
      <c r="M2573" s="21" t="n">
        <v>1124.23</v>
      </c>
    </row>
    <row r="2574">
      <c r="A2574" s="9" t="inlineStr">
        <is>
          <t>ZOEY</t>
        </is>
      </c>
      <c r="B2574" s="9" t="inlineStr">
        <is>
          <t>ZOEY 16/02/2026</t>
        </is>
      </c>
      <c r="C2574" s="9" t="inlineStr">
        <is>
          <t>2026-02-16</t>
        </is>
      </c>
      <c r="D2574" s="9" t="inlineStr">
        <is>
          <t>99781782742573</t>
        </is>
      </c>
      <c r="E2574" s="9" t="inlineStr">
        <is>
          <t>GORRA C DENIM LAVADO</t>
        </is>
      </c>
      <c r="F2574" s="9" t="inlineStr">
        <is>
          <t>BLUE</t>
        </is>
      </c>
      <c r="G2574" s="9" t="n">
        <v>2</v>
      </c>
      <c r="H2574" s="21" t="n">
        <v>17</v>
      </c>
      <c r="I2574" s="21" t="n">
        <v>0</v>
      </c>
      <c r="J2574" s="21" t="n">
        <v>0</v>
      </c>
      <c r="K2574" s="21" t="n">
        <v>10.31</v>
      </c>
      <c r="L2574" s="21" t="n">
        <v>353.92</v>
      </c>
      <c r="M2574" s="21" t="n">
        <v>1061.77</v>
      </c>
    </row>
    <row r="2575">
      <c r="A2575" s="9" t="inlineStr">
        <is>
          <t>ZOEY</t>
        </is>
      </c>
      <c r="B2575" s="9" t="inlineStr">
        <is>
          <t>ZOEY 16/02/2026</t>
        </is>
      </c>
      <c r="C2575" s="9" t="inlineStr">
        <is>
          <t>2026-02-16</t>
        </is>
      </c>
      <c r="D2575" s="9" t="inlineStr">
        <is>
          <t>93098782449965</t>
        </is>
      </c>
      <c r="E2575" s="9" t="inlineStr">
        <is>
          <t>GORRA LV MY PARIS</t>
        </is>
      </c>
      <c r="F2575" s="9" t="inlineStr">
        <is>
          <t>BLACK</t>
        </is>
      </c>
      <c r="G2575" s="9" t="n">
        <v>2</v>
      </c>
      <c r="H2575" s="21" t="n">
        <v>20</v>
      </c>
      <c r="I2575" s="21" t="n">
        <v>0</v>
      </c>
      <c r="J2575" s="21" t="n">
        <v>0</v>
      </c>
      <c r="K2575" s="21" t="n">
        <v>12.13</v>
      </c>
      <c r="L2575" s="21" t="n">
        <v>416.38</v>
      </c>
      <c r="M2575" s="21" t="n">
        <v>1249.15</v>
      </c>
    </row>
    <row r="2576">
      <c r="A2576" s="9" t="inlineStr">
        <is>
          <t>ZOEY</t>
        </is>
      </c>
      <c r="B2576" s="9" t="inlineStr">
        <is>
          <t>ZOEY 16/02/2026</t>
        </is>
      </c>
      <c r="C2576" s="9" t="inlineStr">
        <is>
          <t>2026-02-16</t>
        </is>
      </c>
      <c r="D2576" s="9" t="inlineStr">
        <is>
          <t>61050601014957</t>
        </is>
      </c>
      <c r="E2576" s="9" t="inlineStr">
        <is>
          <t>LEGGINGS LLM BLACK</t>
        </is>
      </c>
      <c r="F2576" s="9" t="inlineStr">
        <is>
          <t>Default Title</t>
        </is>
      </c>
      <c r="G2576" s="9" t="n">
        <v>1</v>
      </c>
      <c r="H2576" s="21" t="n">
        <v>25</v>
      </c>
      <c r="I2576" s="21" t="n">
        <v>0</v>
      </c>
      <c r="J2576" s="21" t="n">
        <v>0</v>
      </c>
      <c r="K2576" s="21" t="n">
        <v>15.16</v>
      </c>
      <c r="L2576" s="21" t="n">
        <v>520.48</v>
      </c>
      <c r="M2576" s="21" t="n">
        <v>1561.43</v>
      </c>
    </row>
    <row r="2577">
      <c r="A2577" s="9" t="inlineStr">
        <is>
          <t>ZOEY</t>
        </is>
      </c>
      <c r="B2577" s="9" t="inlineStr">
        <is>
          <t>ZOEY 16/02/2026</t>
        </is>
      </c>
      <c r="C2577" s="9" t="inlineStr">
        <is>
          <t>2026-02-16</t>
        </is>
      </c>
      <c r="D2577" s="9" t="inlineStr">
        <is>
          <t>99781783219981</t>
        </is>
      </c>
      <c r="E2577" s="9" t="inlineStr">
        <is>
          <t>LENTES C TRIOMPHIE 01</t>
        </is>
      </c>
      <c r="F2577" s="9" t="inlineStr">
        <is>
          <t>BLACK</t>
        </is>
      </c>
      <c r="G2577" s="9" t="n">
        <v>2</v>
      </c>
      <c r="H2577" s="21" t="n">
        <v>32</v>
      </c>
      <c r="I2577" s="21" t="n">
        <v>0</v>
      </c>
      <c r="J2577" s="21" t="n">
        <v>0</v>
      </c>
      <c r="K2577" s="21" t="n">
        <v>19.4</v>
      </c>
      <c r="L2577" s="21" t="n">
        <v>666.21</v>
      </c>
      <c r="M2577" s="21" t="n">
        <v>1998.63</v>
      </c>
    </row>
    <row r="2578">
      <c r="A2578" s="9" t="inlineStr">
        <is>
          <t>ZOEY</t>
        </is>
      </c>
      <c r="B2578" s="9" t="inlineStr">
        <is>
          <t>ZOEY 16/02/2026</t>
        </is>
      </c>
      <c r="C2578" s="9" t="inlineStr">
        <is>
          <t>2026-02-16</t>
        </is>
      </c>
      <c r="D2578" s="9" t="inlineStr">
        <is>
          <t>53794531101133</t>
        </is>
      </c>
      <c r="E2578" s="9" t="inlineStr">
        <is>
          <t>LENTES CD CANNAGE S2U</t>
        </is>
      </c>
      <c r="F2578" s="9" t="inlineStr"/>
      <c r="G2578" s="9" t="n">
        <v>2</v>
      </c>
      <c r="H2578" s="21" t="n">
        <v>32</v>
      </c>
      <c r="I2578" s="21" t="n">
        <v>0</v>
      </c>
      <c r="J2578" s="21" t="n">
        <v>0</v>
      </c>
      <c r="K2578" s="21" t="n">
        <v>19.4</v>
      </c>
      <c r="L2578" s="21" t="n">
        <v>666.21</v>
      </c>
      <c r="M2578" s="21" t="n">
        <v>1998.63</v>
      </c>
    </row>
    <row r="2579">
      <c r="A2579" s="9" t="inlineStr">
        <is>
          <t>ZOEY</t>
        </is>
      </c>
      <c r="B2579" s="9" t="inlineStr">
        <is>
          <t>ZOEY 16/02/2026</t>
        </is>
      </c>
      <c r="C2579" s="9" t="inlineStr">
        <is>
          <t>2026-02-16</t>
        </is>
      </c>
      <c r="D2579" s="9" t="inlineStr">
        <is>
          <t>33794531202829</t>
        </is>
      </c>
      <c r="E2579" s="9" t="inlineStr">
        <is>
          <t>LENTES CD GLOW S1</t>
        </is>
      </c>
      <c r="F2579" s="9" t="inlineStr"/>
      <c r="G2579" s="9" t="n">
        <v>2</v>
      </c>
      <c r="H2579" s="21" t="n">
        <v>32</v>
      </c>
      <c r="I2579" s="21" t="n">
        <v>0</v>
      </c>
      <c r="J2579" s="21" t="n">
        <v>0</v>
      </c>
      <c r="K2579" s="21" t="n">
        <v>19.4</v>
      </c>
      <c r="L2579" s="21" t="n">
        <v>666.21</v>
      </c>
      <c r="M2579" s="21" t="n">
        <v>1998.63</v>
      </c>
    </row>
    <row r="2580">
      <c r="A2580" s="9" t="inlineStr">
        <is>
          <t>ZOEY</t>
        </is>
      </c>
      <c r="B2580" s="9" t="inlineStr">
        <is>
          <t>ZOEY 16/02/2026</t>
        </is>
      </c>
      <c r="C2580" s="9" t="inlineStr">
        <is>
          <t>2026-02-16</t>
        </is>
      </c>
      <c r="D2580" s="9" t="inlineStr">
        <is>
          <t>93794531066669</t>
        </is>
      </c>
      <c r="E2580" s="9" t="inlineStr">
        <is>
          <t>LENTES CD M1U</t>
        </is>
      </c>
      <c r="F2580" s="9" t="inlineStr"/>
      <c r="G2580" s="9" t="n">
        <v>1</v>
      </c>
      <c r="H2580" s="21" t="n">
        <v>32</v>
      </c>
      <c r="I2580" s="21" t="n">
        <v>0</v>
      </c>
      <c r="J2580" s="21" t="n">
        <v>0</v>
      </c>
      <c r="K2580" s="21" t="n">
        <v>19.4</v>
      </c>
      <c r="L2580" s="21" t="n">
        <v>666.21</v>
      </c>
      <c r="M2580" s="21" t="n">
        <v>1998.63</v>
      </c>
    </row>
    <row r="2581">
      <c r="A2581" s="9" t="inlineStr">
        <is>
          <t>ZOEY</t>
        </is>
      </c>
      <c r="B2581" s="9" t="inlineStr">
        <is>
          <t>ZOEY 16/02/2026</t>
        </is>
      </c>
      <c r="C2581" s="9" t="inlineStr">
        <is>
          <t>2026-02-16</t>
        </is>
      </c>
      <c r="D2581" s="9" t="inlineStr">
        <is>
          <t>43794531550861</t>
        </is>
      </c>
      <c r="E2581" s="9" t="inlineStr">
        <is>
          <t>LENTES CD PACIFIC R1</t>
        </is>
      </c>
      <c r="F2581" s="9" t="inlineStr"/>
      <c r="G2581" s="9" t="n">
        <v>2</v>
      </c>
      <c r="H2581" s="21" t="n">
        <v>32</v>
      </c>
      <c r="I2581" s="21" t="n">
        <v>0</v>
      </c>
      <c r="J2581" s="21" t="n">
        <v>0</v>
      </c>
      <c r="K2581" s="21" t="n">
        <v>19.4</v>
      </c>
      <c r="L2581" s="21" t="n">
        <v>666.21</v>
      </c>
      <c r="M2581" s="21" t="n">
        <v>1998.63</v>
      </c>
    </row>
    <row r="2582">
      <c r="A2582" s="9" t="inlineStr">
        <is>
          <t>ZOEY</t>
        </is>
      </c>
      <c r="B2582" s="9" t="inlineStr">
        <is>
          <t>ZOEY 16/02/2026</t>
        </is>
      </c>
      <c r="C2582" s="9" t="inlineStr">
        <is>
          <t>2026-02-16</t>
        </is>
      </c>
      <c r="D2582" s="9" t="inlineStr">
        <is>
          <t>63794531345773</t>
        </is>
      </c>
      <c r="E2582" s="9" t="inlineStr">
        <is>
          <t>LENTES CD SIGNATURE B8U</t>
        </is>
      </c>
      <c r="F2582" s="9" t="inlineStr"/>
      <c r="G2582" s="9" t="n">
        <v>1</v>
      </c>
      <c r="H2582" s="21" t="n">
        <v>32</v>
      </c>
      <c r="I2582" s="21" t="n">
        <v>0</v>
      </c>
      <c r="J2582" s="21" t="n">
        <v>0</v>
      </c>
      <c r="K2582" s="21" t="n">
        <v>19.4</v>
      </c>
      <c r="L2582" s="21" t="n">
        <v>666.21</v>
      </c>
      <c r="M2582" s="21" t="n">
        <v>1998.63</v>
      </c>
    </row>
    <row r="2583">
      <c r="A2583" s="9" t="inlineStr">
        <is>
          <t>ZOEY</t>
        </is>
      </c>
      <c r="B2583" s="9" t="inlineStr">
        <is>
          <t>ZOEY 16/02/2026</t>
        </is>
      </c>
      <c r="C2583" s="9" t="inlineStr">
        <is>
          <t>2026-02-16</t>
        </is>
      </c>
      <c r="D2583" s="9" t="inlineStr">
        <is>
          <t>53794531481933</t>
        </is>
      </c>
      <c r="E2583" s="9" t="inlineStr">
        <is>
          <t>LENTES CD TREASURE R1</t>
        </is>
      </c>
      <c r="F2583" s="9" t="inlineStr"/>
      <c r="G2583" s="9" t="n">
        <v>2</v>
      </c>
      <c r="H2583" s="21" t="n">
        <v>32</v>
      </c>
      <c r="I2583" s="21" t="n">
        <v>0</v>
      </c>
      <c r="J2583" s="21" t="n">
        <v>0</v>
      </c>
      <c r="K2583" s="21" t="n">
        <v>19.4</v>
      </c>
      <c r="L2583" s="21" t="n">
        <v>666.21</v>
      </c>
      <c r="M2583" s="21" t="n">
        <v>1998.63</v>
      </c>
    </row>
    <row r="2584">
      <c r="A2584" s="9" t="inlineStr">
        <is>
          <t>ZOEY</t>
        </is>
      </c>
      <c r="B2584" s="9" t="inlineStr">
        <is>
          <t>ZOEY 16/02/2026</t>
        </is>
      </c>
      <c r="C2584" s="9" t="inlineStr">
        <is>
          <t>2026-02-16</t>
        </is>
      </c>
      <c r="D2584" s="9" t="inlineStr">
        <is>
          <t>93098781536397</t>
        </is>
      </c>
      <c r="E2584" s="9" t="inlineStr">
        <is>
          <t>LENTES LV ATTITUDE SOO</t>
        </is>
      </c>
      <c r="F2584" s="9" t="inlineStr">
        <is>
          <t>BROWN</t>
        </is>
      </c>
      <c r="G2584" s="9" t="n">
        <v>2</v>
      </c>
      <c r="H2584" s="21" t="n">
        <v>32</v>
      </c>
      <c r="I2584" s="21" t="n">
        <v>0</v>
      </c>
      <c r="J2584" s="21" t="n">
        <v>0</v>
      </c>
      <c r="K2584" s="21" t="n">
        <v>19.4</v>
      </c>
      <c r="L2584" s="21" t="n">
        <v>666.21</v>
      </c>
      <c r="M2584" s="21" t="n">
        <v>1998.63</v>
      </c>
    </row>
    <row r="2585">
      <c r="A2585" s="9" t="inlineStr">
        <is>
          <t>ZOEY</t>
        </is>
      </c>
      <c r="B2585" s="9" t="inlineStr">
        <is>
          <t>ZOEY 16/02/2026</t>
        </is>
      </c>
      <c r="C2585" s="9" t="inlineStr">
        <is>
          <t>2026-02-16</t>
        </is>
      </c>
      <c r="D2585" s="9" t="inlineStr">
        <is>
          <t>93098781173101</t>
        </is>
      </c>
      <c r="E2585" s="9" t="inlineStr">
        <is>
          <t>LENTES LV ESCAPE SQUARE</t>
        </is>
      </c>
      <c r="F2585" s="9" t="inlineStr">
        <is>
          <t>BLACK</t>
        </is>
      </c>
      <c r="G2585" s="9" t="n">
        <v>2</v>
      </c>
      <c r="H2585" s="21" t="n">
        <v>32</v>
      </c>
      <c r="I2585" s="21" t="n">
        <v>0</v>
      </c>
      <c r="J2585" s="21" t="n">
        <v>0</v>
      </c>
      <c r="K2585" s="21" t="n">
        <v>19.4</v>
      </c>
      <c r="L2585" s="21" t="n">
        <v>666.21</v>
      </c>
      <c r="M2585" s="21" t="n">
        <v>1998.63</v>
      </c>
    </row>
    <row r="2586">
      <c r="A2586" s="9" t="inlineStr">
        <is>
          <t>ZOEY</t>
        </is>
      </c>
      <c r="B2586" s="9" t="inlineStr">
        <is>
          <t>ZOEY 16/02/2026</t>
        </is>
      </c>
      <c r="C2586" s="9" t="inlineStr">
        <is>
          <t>2026-02-16</t>
        </is>
      </c>
      <c r="D2586" s="9" t="inlineStr">
        <is>
          <t>93098781301933</t>
        </is>
      </c>
      <c r="E2586" s="9" t="inlineStr">
        <is>
          <t>LENTES LV HIT SOO</t>
        </is>
      </c>
      <c r="F2586" s="9" t="inlineStr">
        <is>
          <t>BLACK</t>
        </is>
      </c>
      <c r="G2586" s="9" t="n">
        <v>2</v>
      </c>
      <c r="H2586" s="21" t="n">
        <v>32</v>
      </c>
      <c r="I2586" s="21" t="n">
        <v>0</v>
      </c>
      <c r="J2586" s="21" t="n">
        <v>0</v>
      </c>
      <c r="K2586" s="21" t="n">
        <v>19.4</v>
      </c>
      <c r="L2586" s="21" t="n">
        <v>666.21</v>
      </c>
      <c r="M2586" s="21" t="n">
        <v>1998.63</v>
      </c>
    </row>
    <row r="2587">
      <c r="A2587" s="9" t="inlineStr">
        <is>
          <t>ZOEY</t>
        </is>
      </c>
      <c r="B2587" s="9" t="inlineStr">
        <is>
          <t>ZOEY 16/02/2026</t>
        </is>
      </c>
      <c r="C2587" s="9" t="inlineStr">
        <is>
          <t>2026-02-16</t>
        </is>
      </c>
      <c r="D2587" s="9" t="inlineStr">
        <is>
          <t>99781783326765</t>
        </is>
      </c>
      <c r="E2587" s="9" t="inlineStr">
        <is>
          <t>LENTES PANTHERE GOLD</t>
        </is>
      </c>
      <c r="F2587" s="9" t="inlineStr">
        <is>
          <t>GOLD</t>
        </is>
      </c>
      <c r="G2587" s="9" t="n">
        <v>2</v>
      </c>
      <c r="H2587" s="21" t="n">
        <v>32</v>
      </c>
      <c r="I2587" s="21" t="n">
        <v>0</v>
      </c>
      <c r="J2587" s="21" t="n">
        <v>0</v>
      </c>
      <c r="K2587" s="21" t="n">
        <v>19.4</v>
      </c>
      <c r="L2587" s="21" t="n">
        <v>666.21</v>
      </c>
      <c r="M2587" s="21" t="n">
        <v>1998.63</v>
      </c>
    </row>
    <row r="2588">
      <c r="A2588" s="9" t="inlineStr">
        <is>
          <t>ZOEY</t>
        </is>
      </c>
      <c r="B2588" s="9" t="inlineStr">
        <is>
          <t>ZOEY 16/02/2026</t>
        </is>
      </c>
      <c r="C2588" s="9" t="inlineStr">
        <is>
          <t>2026-02-16</t>
        </is>
      </c>
      <c r="D2588" s="9" t="inlineStr">
        <is>
          <t>93098783231917</t>
        </is>
      </c>
      <c r="E2588" s="9" t="inlineStr">
        <is>
          <t>MONEDERO LV ROSALIE BLACK</t>
        </is>
      </c>
      <c r="F2588" s="9" t="inlineStr">
        <is>
          <t>BLACK</t>
        </is>
      </c>
      <c r="G2588" s="9" t="n">
        <v>3</v>
      </c>
      <c r="H2588" s="21" t="n">
        <v>17</v>
      </c>
      <c r="I2588" s="21" t="n">
        <v>0</v>
      </c>
      <c r="J2588" s="21" t="n">
        <v>0</v>
      </c>
      <c r="K2588" s="21" t="n">
        <v>10.31</v>
      </c>
      <c r="L2588" s="21" t="n">
        <v>353.92</v>
      </c>
      <c r="M2588" s="21" t="n">
        <v>1061.77</v>
      </c>
    </row>
    <row r="2589">
      <c r="A2589" s="9" t="inlineStr">
        <is>
          <t>ZOEY</t>
        </is>
      </c>
      <c r="B2589" s="9" t="inlineStr">
        <is>
          <t>ZOEY 16/02/2026</t>
        </is>
      </c>
      <c r="C2589" s="9" t="inlineStr">
        <is>
          <t>2026-02-16</t>
        </is>
      </c>
      <c r="D2589" s="9" t="inlineStr">
        <is>
          <t>93098783400845</t>
        </is>
      </c>
      <c r="E2589" s="9" t="inlineStr">
        <is>
          <t>MONEDERO LV ZIPPY</t>
        </is>
      </c>
      <c r="F2589" s="9" t="inlineStr">
        <is>
          <t>BROWN</t>
        </is>
      </c>
      <c r="G2589" s="9" t="n">
        <v>3</v>
      </c>
      <c r="H2589" s="21" t="n">
        <v>14</v>
      </c>
      <c r="I2589" s="21" t="n">
        <v>0</v>
      </c>
      <c r="J2589" s="21" t="n">
        <v>0</v>
      </c>
      <c r="K2589" s="21" t="n">
        <v>8.49</v>
      </c>
      <c r="L2589" s="21" t="n">
        <v>291.47</v>
      </c>
      <c r="M2589" s="21" t="n">
        <v>874.4</v>
      </c>
    </row>
    <row r="2590">
      <c r="A2590" s="9" t="inlineStr">
        <is>
          <t>ZOEY</t>
        </is>
      </c>
      <c r="B2590" s="9" t="inlineStr">
        <is>
          <t>ZOEY 16/02/2026</t>
        </is>
      </c>
      <c r="C2590" s="9" t="inlineStr">
        <is>
          <t>2026-02-16</t>
        </is>
      </c>
      <c r="D2590" s="9" t="inlineStr">
        <is>
          <t>48321436441740</t>
        </is>
      </c>
      <c r="E2590" s="9" t="inlineStr">
        <is>
          <t>PERFUME CC No 5</t>
        </is>
      </c>
      <c r="F2590" s="9" t="inlineStr">
        <is>
          <t>100ml</t>
        </is>
      </c>
      <c r="G2590" s="9" t="n">
        <v>1</v>
      </c>
      <c r="H2590" s="21" t="n">
        <v>18</v>
      </c>
      <c r="I2590" s="21" t="n">
        <v>0</v>
      </c>
      <c r="J2590" s="21" t="n">
        <v>0</v>
      </c>
      <c r="K2590" s="21" t="n">
        <v>10.91</v>
      </c>
      <c r="L2590" s="21" t="n">
        <v>374.74</v>
      </c>
      <c r="M2590" s="21" t="n">
        <v>1124.23</v>
      </c>
    </row>
    <row r="2591">
      <c r="A2591" s="9" t="inlineStr">
        <is>
          <t>ZOEY</t>
        </is>
      </c>
      <c r="B2591" s="9" t="inlineStr">
        <is>
          <t>ZOEY 16/02/2026</t>
        </is>
      </c>
      <c r="C2591" s="9" t="inlineStr">
        <is>
          <t>2026-02-16</t>
        </is>
      </c>
      <c r="D2591" s="9" t="inlineStr">
        <is>
          <t>15711173123085</t>
        </is>
      </c>
      <c r="E2591" s="9" t="inlineStr">
        <is>
          <t>PERFUME LAYTON DE MARLY 125ML</t>
        </is>
      </c>
      <c r="F2591" s="9" t="inlineStr">
        <is>
          <t>Default Title</t>
        </is>
      </c>
      <c r="G2591" s="9" t="n">
        <v>1</v>
      </c>
      <c r="H2591" s="21" t="n">
        <v>18</v>
      </c>
      <c r="I2591" s="21" t="n">
        <v>0</v>
      </c>
      <c r="J2591" s="21" t="n">
        <v>0</v>
      </c>
      <c r="K2591" s="21" t="n">
        <v>10.91</v>
      </c>
      <c r="L2591" s="21" t="n">
        <v>374.74</v>
      </c>
      <c r="M2591" s="21" t="n">
        <v>1124.23</v>
      </c>
    </row>
    <row r="2592">
      <c r="A2592" s="9" t="inlineStr">
        <is>
          <t>ZOEY</t>
        </is>
      </c>
      <c r="B2592" s="9" t="inlineStr">
        <is>
          <t>ZOEY 16/02/2026</t>
        </is>
      </c>
      <c r="C2592" s="9" t="inlineStr">
        <is>
          <t>2026-02-16</t>
        </is>
      </c>
      <c r="D2592" s="9" t="inlineStr">
        <is>
          <t>77763961743628</t>
        </is>
      </c>
      <c r="E2592" s="9" t="inlineStr">
        <is>
          <t>PERFUME SANTAL 33</t>
        </is>
      </c>
      <c r="F2592" s="9" t="inlineStr">
        <is>
          <t>100ml</t>
        </is>
      </c>
      <c r="G2592" s="9" t="n">
        <v>10</v>
      </c>
      <c r="H2592" s="21" t="n">
        <v>18</v>
      </c>
      <c r="I2592" s="21" t="n">
        <v>0</v>
      </c>
      <c r="J2592" s="21" t="n">
        <v>0</v>
      </c>
      <c r="K2592" s="21" t="n">
        <v>10.91</v>
      </c>
      <c r="L2592" s="21" t="n">
        <v>374.74</v>
      </c>
      <c r="M2592" s="21" t="n">
        <v>1124.23</v>
      </c>
    </row>
    <row r="2593">
      <c r="A2593" s="9" t="inlineStr">
        <is>
          <t>ZOEY</t>
        </is>
      </c>
      <c r="B2593" s="9" t="inlineStr">
        <is>
          <t>ZOEY 16/02/2026</t>
        </is>
      </c>
      <c r="C2593" s="9" t="inlineStr">
        <is>
          <t>2026-02-16</t>
        </is>
      </c>
      <c r="D2593" s="9" t="inlineStr">
        <is>
          <t>40495211254925</t>
        </is>
      </c>
      <c r="E2593" s="9" t="inlineStr">
        <is>
          <t>PERFUME V BORN IN ROMA THE GOLD DONNA</t>
        </is>
      </c>
      <c r="F2593" s="9" t="inlineStr">
        <is>
          <t>100 ml</t>
        </is>
      </c>
      <c r="G2593" s="9" t="n">
        <v>4</v>
      </c>
      <c r="H2593" s="21" t="n">
        <v>18</v>
      </c>
      <c r="I2593" s="21" t="n">
        <v>0</v>
      </c>
      <c r="J2593" s="21" t="n">
        <v>0</v>
      </c>
      <c r="K2593" s="21" t="n">
        <v>10.91</v>
      </c>
      <c r="L2593" s="21" t="n">
        <v>374.74</v>
      </c>
      <c r="M2593" s="21" t="n">
        <v>1124.23</v>
      </c>
    </row>
    <row r="2594">
      <c r="A2594" s="9" t="inlineStr">
        <is>
          <t>ZOEY</t>
        </is>
      </c>
      <c r="B2594" s="9" t="inlineStr">
        <is>
          <t>ZOEY 16/02/2026</t>
        </is>
      </c>
      <c r="C2594" s="9" t="inlineStr">
        <is>
          <t>2026-02-16</t>
        </is>
      </c>
      <c r="D2594" s="9" t="inlineStr">
        <is>
          <t>93098781839789</t>
        </is>
      </c>
      <c r="E2594" s="9" t="inlineStr">
        <is>
          <t>PORTADOCUMENTOS LV VOYAGE</t>
        </is>
      </c>
      <c r="F2594" s="9" t="inlineStr">
        <is>
          <t>BLACK</t>
        </is>
      </c>
      <c r="G2594" s="9" t="n">
        <v>1</v>
      </c>
      <c r="H2594" s="21" t="n">
        <v>55</v>
      </c>
      <c r="I2594" s="21" t="n">
        <v>0</v>
      </c>
      <c r="J2594" s="21" t="n">
        <v>0</v>
      </c>
      <c r="K2594" s="21" t="n">
        <v>33.35</v>
      </c>
      <c r="L2594" s="21" t="n">
        <v>1145.05</v>
      </c>
      <c r="M2594" s="21" t="n">
        <v>3435.15</v>
      </c>
    </row>
    <row r="2595">
      <c r="A2595" s="9" t="inlineStr">
        <is>
          <t>ZOEY</t>
        </is>
      </c>
      <c r="B2595" s="9" t="inlineStr">
        <is>
          <t>ZOEY 16/02/2026</t>
        </is>
      </c>
      <c r="C2595" s="9" t="inlineStr">
        <is>
          <t>2026-02-16</t>
        </is>
      </c>
      <c r="D2595" s="9" t="inlineStr">
        <is>
          <t>10473111097537</t>
        </is>
      </c>
      <c r="E2595" s="9" t="inlineStr">
        <is>
          <t>PULSERA DE CUENTAS ROSEGOLD</t>
        </is>
      </c>
      <c r="F2595" s="9" t="inlineStr">
        <is>
          <t>17cm</t>
        </is>
      </c>
      <c r="G2595" s="9" t="n">
        <v>2</v>
      </c>
      <c r="H2595" s="21" t="n">
        <v>6</v>
      </c>
      <c r="I2595" s="21" t="n">
        <v>0</v>
      </c>
      <c r="J2595" s="21" t="n">
        <v>0</v>
      </c>
      <c r="K2595" s="21" t="n">
        <v>3.64</v>
      </c>
      <c r="L2595" s="21" t="n">
        <v>124.91</v>
      </c>
      <c r="M2595" s="21" t="n">
        <v>374.74</v>
      </c>
    </row>
    <row r="2596">
      <c r="A2596" s="9" t="inlineStr">
        <is>
          <t>ZOEY</t>
        </is>
      </c>
      <c r="B2596" s="9" t="inlineStr">
        <is>
          <t>ZOEY 16/02/2026</t>
        </is>
      </c>
      <c r="C2596" s="9" t="inlineStr">
        <is>
          <t>2026-02-16</t>
        </is>
      </c>
      <c r="D2596" s="9" t="inlineStr">
        <is>
          <t>87401991025249</t>
        </is>
      </c>
      <c r="E2596" s="9" t="inlineStr">
        <is>
          <t>PULSERA LOVESTRUCK</t>
        </is>
      </c>
      <c r="F2596" s="9" t="inlineStr">
        <is>
          <t>18 cm</t>
        </is>
      </c>
      <c r="G2596" s="9" t="n">
        <v>4</v>
      </c>
      <c r="H2596" s="21" t="n">
        <v>6.5</v>
      </c>
      <c r="I2596" s="21" t="n">
        <v>0</v>
      </c>
      <c r="J2596" s="21" t="n">
        <v>0</v>
      </c>
      <c r="K2596" s="21" t="n">
        <v>3.94</v>
      </c>
      <c r="L2596" s="21" t="n">
        <v>135.32</v>
      </c>
      <c r="M2596" s="21" t="n">
        <v>405.97</v>
      </c>
    </row>
    <row r="2597">
      <c r="A2597" s="9" t="inlineStr">
        <is>
          <t>ZOEY</t>
        </is>
      </c>
      <c r="B2597" s="9" t="inlineStr">
        <is>
          <t>ZOEY 16/02/2026</t>
        </is>
      </c>
      <c r="C2597" s="9" t="inlineStr">
        <is>
          <t>2026-02-16</t>
        </is>
      </c>
      <c r="D2597" s="9" t="inlineStr">
        <is>
          <t>93098781469165</t>
        </is>
      </c>
      <c r="E2597" s="9" t="inlineStr">
        <is>
          <t>PULSERA LV CATCH IT BLACK</t>
        </is>
      </c>
      <c r="F2597" s="9" t="inlineStr">
        <is>
          <t>BLACK</t>
        </is>
      </c>
      <c r="G2597" s="9" t="n">
        <v>2</v>
      </c>
      <c r="H2597" s="21" t="n">
        <v>10</v>
      </c>
      <c r="I2597" s="21" t="n">
        <v>0</v>
      </c>
      <c r="J2597" s="21" t="n">
        <v>0</v>
      </c>
      <c r="K2597" s="21" t="n">
        <v>6.06</v>
      </c>
      <c r="L2597" s="21" t="n">
        <v>208.19</v>
      </c>
      <c r="M2597" s="21" t="n">
        <v>624.5700000000001</v>
      </c>
    </row>
    <row r="2598">
      <c r="A2598" s="9" t="inlineStr">
        <is>
          <t>ZOEY</t>
        </is>
      </c>
      <c r="B2598" s="9" t="inlineStr">
        <is>
          <t>ZOEY 16/02/2026</t>
        </is>
      </c>
      <c r="C2598" s="9" t="inlineStr">
        <is>
          <t>2026-02-16</t>
        </is>
      </c>
      <c r="D2598" s="9" t="inlineStr">
        <is>
          <t>93098781071405</t>
        </is>
      </c>
      <c r="E2598" s="9" t="inlineStr">
        <is>
          <t>PULSERA LV SAILOR SOO</t>
        </is>
      </c>
      <c r="F2598" s="9" t="inlineStr">
        <is>
          <t>SILVER</t>
        </is>
      </c>
      <c r="G2598" s="9" t="n">
        <v>2</v>
      </c>
      <c r="H2598" s="21" t="n">
        <v>9</v>
      </c>
      <c r="I2598" s="21" t="n">
        <v>0</v>
      </c>
      <c r="J2598" s="21" t="n">
        <v>0</v>
      </c>
      <c r="K2598" s="21" t="n">
        <v>5.46</v>
      </c>
      <c r="L2598" s="21" t="n">
        <v>187.37</v>
      </c>
      <c r="M2598" s="21" t="n">
        <v>562.12</v>
      </c>
    </row>
    <row r="2599">
      <c r="A2599" s="9" t="inlineStr">
        <is>
          <t>ZOEY</t>
        </is>
      </c>
      <c r="B2599" s="9" t="inlineStr">
        <is>
          <t>ZOEY 16/02/2026</t>
        </is>
      </c>
      <c r="C2599" s="9" t="inlineStr">
        <is>
          <t>2026-02-16</t>
        </is>
      </c>
      <c r="D2599" s="9" t="inlineStr">
        <is>
          <t>93098781240333</t>
        </is>
      </c>
      <c r="E2599" s="9" t="inlineStr">
        <is>
          <t>PULSERA LV SPIKE SOO</t>
        </is>
      </c>
      <c r="F2599" s="9" t="inlineStr">
        <is>
          <t>SILVER</t>
        </is>
      </c>
      <c r="G2599" s="9" t="n">
        <v>2</v>
      </c>
      <c r="H2599" s="21" t="n">
        <v>8</v>
      </c>
      <c r="I2599" s="21" t="n">
        <v>0</v>
      </c>
      <c r="J2599" s="21" t="n">
        <v>0</v>
      </c>
      <c r="K2599" s="21" t="n">
        <v>4.85</v>
      </c>
      <c r="L2599" s="21" t="n">
        <v>166.55</v>
      </c>
      <c r="M2599" s="21" t="n">
        <v>499.66</v>
      </c>
    </row>
    <row r="2600">
      <c r="A2600" s="9" t="inlineStr">
        <is>
          <t>ZOEY</t>
        </is>
      </c>
      <c r="B2600" s="9" t="inlineStr">
        <is>
          <t>ZOEY 16/02/2026</t>
        </is>
      </c>
      <c r="C2600" s="9" t="inlineStr">
        <is>
          <t>2026-02-16</t>
        </is>
      </c>
      <c r="D2600" s="9" t="inlineStr">
        <is>
          <t>17360611474253</t>
        </is>
      </c>
      <c r="E2600" s="9" t="inlineStr">
        <is>
          <t>RELOJ LADY DATEJUST GOLD RX</t>
        </is>
      </c>
      <c r="F2600" s="9" t="inlineStr">
        <is>
          <t>RELOJ SIN CAJA</t>
        </is>
      </c>
      <c r="G2600" s="9" t="n">
        <v>2</v>
      </c>
      <c r="H2600" s="21" t="n">
        <v>48</v>
      </c>
      <c r="I2600" s="21" t="n">
        <v>0</v>
      </c>
      <c r="J2600" s="21" t="n">
        <v>0</v>
      </c>
      <c r="K2600" s="21" t="n">
        <v>29.11</v>
      </c>
      <c r="L2600" s="21" t="n">
        <v>999.3200000000001</v>
      </c>
      <c r="M2600" s="21" t="n">
        <v>2997.95</v>
      </c>
    </row>
    <row r="2601">
      <c r="A2601" s="9" t="inlineStr">
        <is>
          <t>ZOEY</t>
        </is>
      </c>
      <c r="B2601" s="9" t="inlineStr">
        <is>
          <t>ZOEY 16/02/2026</t>
        </is>
      </c>
      <c r="C2601" s="9" t="inlineStr">
        <is>
          <t>2026-02-16</t>
        </is>
      </c>
      <c r="D2601" s="9" t="inlineStr">
        <is>
          <t>53890267165196</t>
        </is>
      </c>
      <c r="E2601" s="9" t="inlineStr">
        <is>
          <t>RELOJ PANTHERE GOLD</t>
        </is>
      </c>
      <c r="F2601" s="9" t="inlineStr">
        <is>
          <t>RELOJ SIN CAJA</t>
        </is>
      </c>
      <c r="G2601" s="9" t="n">
        <v>3</v>
      </c>
      <c r="H2601" s="21" t="n">
        <v>60</v>
      </c>
      <c r="I2601" s="21" t="n">
        <v>0</v>
      </c>
      <c r="J2601" s="21" t="n">
        <v>0</v>
      </c>
      <c r="K2601" s="21" t="n">
        <v>36.38</v>
      </c>
      <c r="L2601" s="21" t="n">
        <v>1249.15</v>
      </c>
      <c r="M2601" s="21" t="n">
        <v>3747.44</v>
      </c>
    </row>
    <row r="2602">
      <c r="A2602" s="9" t="inlineStr">
        <is>
          <t>ZOEY</t>
        </is>
      </c>
      <c r="B2602" s="9" t="inlineStr">
        <is>
          <t>ZOEY 16/02/2026</t>
        </is>
      </c>
      <c r="C2602" s="9" t="inlineStr">
        <is>
          <t>2026-02-16</t>
        </is>
      </c>
      <c r="D2602" s="9" t="inlineStr">
        <is>
          <t>10427542282892</t>
        </is>
      </c>
      <c r="E2602" s="9" t="inlineStr">
        <is>
          <t>RELOJ SANTOS SILVER</t>
        </is>
      </c>
      <c r="F2602" s="9" t="inlineStr">
        <is>
          <t>34mm Mujer Con Caja</t>
        </is>
      </c>
      <c r="G2602" s="9" t="n">
        <v>1</v>
      </c>
      <c r="H2602" s="21" t="n">
        <v>68</v>
      </c>
      <c r="I2602" s="21" t="n">
        <v>0</v>
      </c>
      <c r="J2602" s="21" t="n">
        <v>0</v>
      </c>
      <c r="K2602" s="21" t="n">
        <v>41.23</v>
      </c>
      <c r="L2602" s="21" t="n">
        <v>1415.7</v>
      </c>
      <c r="M2602" s="21" t="n">
        <v>4247.1</v>
      </c>
    </row>
    <row r="2603">
      <c r="A2603" s="9" t="inlineStr">
        <is>
          <t>ZOEY</t>
        </is>
      </c>
      <c r="B2603" s="9" t="inlineStr">
        <is>
          <t>ZOEY 16/02/2026</t>
        </is>
      </c>
      <c r="C2603" s="9" t="inlineStr">
        <is>
          <t>2026-02-16</t>
        </is>
      </c>
      <c r="D2603" s="9" t="inlineStr">
        <is>
          <t>42283701061581</t>
        </is>
      </c>
      <c r="E2603" s="9" t="inlineStr">
        <is>
          <t>RELOJ TANK CR BLACK GOLD</t>
        </is>
      </c>
      <c r="F2603" s="9" t="inlineStr">
        <is>
          <t>Default Title</t>
        </is>
      </c>
      <c r="G2603" s="9" t="n">
        <v>2</v>
      </c>
      <c r="H2603" s="21" t="n">
        <v>35</v>
      </c>
      <c r="I2603" s="21" t="n">
        <v>0</v>
      </c>
      <c r="J2603" s="21" t="n">
        <v>0</v>
      </c>
      <c r="K2603" s="21" t="n">
        <v>21.22</v>
      </c>
      <c r="L2603" s="21" t="n">
        <v>728.67</v>
      </c>
      <c r="M2603" s="21" t="n">
        <v>2186.01</v>
      </c>
    </row>
    <row r="2604">
      <c r="A2604" s="9" t="inlineStr">
        <is>
          <t>ZOEY</t>
        </is>
      </c>
      <c r="B2604" s="9" t="inlineStr">
        <is>
          <t>ZOEY 16/02/2026</t>
        </is>
      </c>
      <c r="C2604" s="9" t="inlineStr">
        <is>
          <t>2026-02-16</t>
        </is>
      </c>
      <c r="D2604" s="9" t="inlineStr">
        <is>
          <t>16498231076513</t>
        </is>
      </c>
      <c r="E2604" s="9" t="inlineStr">
        <is>
          <t>SET DE COLLAR Y PULSERA CORAZ√ìN CON ZIRCONIA. Titanio</t>
        </is>
      </c>
      <c r="F2604" s="9" t="inlineStr">
        <is>
          <t>Default Title</t>
        </is>
      </c>
      <c r="G2604" s="9" t="n">
        <v>2</v>
      </c>
      <c r="H2604" s="21" t="n">
        <v>9</v>
      </c>
      <c r="I2604" s="21" t="n">
        <v>0</v>
      </c>
      <c r="J2604" s="21" t="n">
        <v>0</v>
      </c>
      <c r="K2604" s="21" t="n">
        <v>5.46</v>
      </c>
      <c r="L2604" s="21" t="n">
        <v>187.37</v>
      </c>
      <c r="M2604" s="21" t="n">
        <v>562.12</v>
      </c>
    </row>
    <row r="2605">
      <c r="A2605" s="9" t="inlineStr">
        <is>
          <t>ZOEY</t>
        </is>
      </c>
      <c r="B2605" s="9" t="inlineStr">
        <is>
          <t>ZOEY 16/02/2026</t>
        </is>
      </c>
      <c r="C2605" s="9" t="inlineStr">
        <is>
          <t>2026-02-16</t>
        </is>
      </c>
      <c r="D2605" s="9" t="inlineStr">
        <is>
          <t>99781781861773</t>
        </is>
      </c>
      <c r="E2605" s="9" t="inlineStr">
        <is>
          <t>TARJETERO GC EBANO</t>
        </is>
      </c>
      <c r="F2605" s="9" t="inlineStr">
        <is>
          <t>BROWN</t>
        </is>
      </c>
      <c r="G2605" s="9" t="n">
        <v>1</v>
      </c>
      <c r="H2605" s="21" t="n">
        <v>14</v>
      </c>
      <c r="I2605" s="21" t="n">
        <v>0</v>
      </c>
      <c r="J2605" s="21" t="n">
        <v>0</v>
      </c>
      <c r="K2605" s="21" t="n">
        <v>8.49</v>
      </c>
      <c r="L2605" s="21" t="n">
        <v>291.47</v>
      </c>
      <c r="M2605" s="21" t="n">
        <v>874.4</v>
      </c>
    </row>
    <row r="2606">
      <c r="A2606" s="9" t="inlineStr">
        <is>
          <t>ZOEY</t>
        </is>
      </c>
      <c r="B2606" s="9" t="inlineStr">
        <is>
          <t>ZOEY 16/02/2026</t>
        </is>
      </c>
      <c r="C2606" s="9" t="inlineStr">
        <is>
          <t>2026-02-16</t>
        </is>
      </c>
      <c r="D2606" s="9" t="inlineStr">
        <is>
          <t>99781782139949</t>
        </is>
      </c>
      <c r="E2606" s="9" t="inlineStr">
        <is>
          <t>TARJETERO GC EMBLEM</t>
        </is>
      </c>
      <c r="F2606" s="9" t="inlineStr">
        <is>
          <t>BLACK</t>
        </is>
      </c>
      <c r="G2606" s="9" t="n">
        <v>3</v>
      </c>
      <c r="H2606" s="21" t="n">
        <v>14</v>
      </c>
      <c r="I2606" s="21" t="n">
        <v>0</v>
      </c>
      <c r="J2606" s="21" t="n">
        <v>0</v>
      </c>
      <c r="K2606" s="21" t="n">
        <v>8.49</v>
      </c>
      <c r="L2606" s="21" t="n">
        <v>291.47</v>
      </c>
      <c r="M2606" s="21" t="n">
        <v>874.4</v>
      </c>
    </row>
    <row r="2607">
      <c r="A2607" s="9" t="inlineStr">
        <is>
          <t>ZOEY</t>
        </is>
      </c>
      <c r="B2607" s="9" t="inlineStr">
        <is>
          <t>ZOEY 16/02/2026</t>
        </is>
      </c>
      <c r="C2607" s="9" t="inlineStr">
        <is>
          <t>2026-02-16</t>
        </is>
      </c>
      <c r="D2607" s="9" t="inlineStr">
        <is>
          <t>99781781623917</t>
        </is>
      </c>
      <c r="E2607" s="9" t="inlineStr">
        <is>
          <t>TARJETERO GC LEATHER LOGO SILVER</t>
        </is>
      </c>
      <c r="F2607" s="9" t="inlineStr">
        <is>
          <t>BLACK</t>
        </is>
      </c>
      <c r="G2607" s="9" t="n">
        <v>2</v>
      </c>
      <c r="H2607" s="21" t="n">
        <v>19</v>
      </c>
      <c r="I2607" s="21" t="n">
        <v>0</v>
      </c>
      <c r="J2607" s="21" t="n">
        <v>0</v>
      </c>
      <c r="K2607" s="21" t="n">
        <v>11.52</v>
      </c>
      <c r="L2607" s="21" t="n">
        <v>395.56</v>
      </c>
      <c r="M2607" s="21" t="n">
        <v>1186.69</v>
      </c>
    </row>
    <row r="2608">
      <c r="A2608" s="9" t="inlineStr">
        <is>
          <t>ZOEY</t>
        </is>
      </c>
      <c r="B2608" s="9" t="inlineStr">
        <is>
          <t>ZOEY 16/02/2026</t>
        </is>
      </c>
      <c r="C2608" s="9" t="inlineStr">
        <is>
          <t>2026-02-16</t>
        </is>
      </c>
      <c r="D2608" s="9" t="inlineStr">
        <is>
          <t>99781781384365</t>
        </is>
      </c>
      <c r="E2608" s="9" t="inlineStr">
        <is>
          <t>TARJETERO GC MARMONT</t>
        </is>
      </c>
      <c r="F2608" s="9" t="inlineStr">
        <is>
          <t>BLACK</t>
        </is>
      </c>
      <c r="G2608" s="9" t="n">
        <v>2</v>
      </c>
      <c r="H2608" s="21" t="n">
        <v>14</v>
      </c>
      <c r="I2608" s="21" t="n">
        <v>0</v>
      </c>
      <c r="J2608" s="21" t="n">
        <v>0</v>
      </c>
      <c r="K2608" s="21" t="n">
        <v>8.49</v>
      </c>
      <c r="L2608" s="21" t="n">
        <v>291.47</v>
      </c>
      <c r="M2608" s="21" t="n">
        <v>874.4</v>
      </c>
    </row>
    <row r="2609">
      <c r="A2609" s="9" t="inlineStr">
        <is>
          <t>ZOEY</t>
        </is>
      </c>
      <c r="B2609" s="9" t="inlineStr">
        <is>
          <t>ZOEY 16/02/2026</t>
        </is>
      </c>
      <c r="C2609" s="9" t="inlineStr">
        <is>
          <t>2026-02-16</t>
        </is>
      </c>
      <c r="D2609" s="9" t="inlineStr">
        <is>
          <t>99781781934093</t>
        </is>
      </c>
      <c r="E2609" s="9" t="inlineStr">
        <is>
          <t>TARJETERO GC OPHIDIA SUPREME</t>
        </is>
      </c>
      <c r="F2609" s="9" t="inlineStr">
        <is>
          <t>BROWN</t>
        </is>
      </c>
      <c r="G2609" s="9" t="n">
        <v>2</v>
      </c>
      <c r="H2609" s="21" t="n">
        <v>14</v>
      </c>
      <c r="I2609" s="21" t="n">
        <v>0</v>
      </c>
      <c r="J2609" s="21" t="n">
        <v>0</v>
      </c>
      <c r="K2609" s="21" t="n">
        <v>8.49</v>
      </c>
      <c r="L2609" s="21" t="n">
        <v>291.47</v>
      </c>
      <c r="M2609" s="21" t="n">
        <v>874.4</v>
      </c>
    </row>
    <row r="2610">
      <c r="A2610" s="9" t="inlineStr">
        <is>
          <t>ZOEY</t>
        </is>
      </c>
      <c r="B2610" s="9" t="inlineStr">
        <is>
          <t>ZOEY 16/02/2026</t>
        </is>
      </c>
      <c r="C2610" s="9" t="inlineStr">
        <is>
          <t>2026-02-16</t>
        </is>
      </c>
      <c r="D2610" s="9" t="inlineStr">
        <is>
          <t>99781782096237</t>
        </is>
      </c>
      <c r="E2610" s="9" t="inlineStr">
        <is>
          <t>TARJETERO GC SUPREME</t>
        </is>
      </c>
      <c r="F2610" s="9" t="inlineStr">
        <is>
          <t>BROWN</t>
        </is>
      </c>
      <c r="G2610" s="9" t="n">
        <v>2</v>
      </c>
      <c r="H2610" s="21" t="n">
        <v>16</v>
      </c>
      <c r="I2610" s="21" t="n">
        <v>0</v>
      </c>
      <c r="J2610" s="21" t="n">
        <v>0</v>
      </c>
      <c r="K2610" s="21" t="n">
        <v>9.699999999999999</v>
      </c>
      <c r="L2610" s="21" t="n">
        <v>333.11</v>
      </c>
      <c r="M2610" s="21" t="n">
        <v>999.3200000000001</v>
      </c>
    </row>
    <row r="2611">
      <c r="A2611" s="9" t="inlineStr">
        <is>
          <t>ZOEY</t>
        </is>
      </c>
      <c r="B2611" s="9" t="inlineStr">
        <is>
          <t>ZOEY 16/02/2026</t>
        </is>
      </c>
      <c r="C2611" s="9" t="inlineStr">
        <is>
          <t>2026-02-16</t>
        </is>
      </c>
      <c r="D2611" s="9" t="inlineStr">
        <is>
          <t>33794532055533</t>
        </is>
      </c>
      <c r="E2611" s="9" t="inlineStr">
        <is>
          <t>TARJETERO MM NAPA</t>
        </is>
      </c>
      <c r="F2611" s="9" t="inlineStr">
        <is>
          <t>BLACK</t>
        </is>
      </c>
      <c r="G2611" s="9" t="n">
        <v>2</v>
      </c>
      <c r="H2611" s="21" t="n">
        <v>15</v>
      </c>
      <c r="I2611" s="21" t="n">
        <v>0</v>
      </c>
      <c r="J2611" s="21" t="n">
        <v>0</v>
      </c>
      <c r="K2611" s="21" t="n">
        <v>9.1</v>
      </c>
      <c r="L2611" s="21" t="n">
        <v>312.29</v>
      </c>
      <c r="M2611" s="21" t="n">
        <v>936.86</v>
      </c>
    </row>
    <row r="2612">
      <c r="A2612" s="9" t="inlineStr">
        <is>
          <t>ZOEY</t>
        </is>
      </c>
      <c r="B2612" s="9" t="inlineStr">
        <is>
          <t>ZOEY 16/02/2026</t>
        </is>
      </c>
      <c r="C2612" s="9" t="inlineStr">
        <is>
          <t>2026-02-16</t>
        </is>
      </c>
      <c r="D2612" s="9" t="inlineStr">
        <is>
          <t>66f1ed2e521fd</t>
        </is>
      </c>
      <c r="E2612" s="9" t="inlineStr">
        <is>
          <t>TARJETERO YSL SILVER</t>
        </is>
      </c>
      <c r="F2612" s="9" t="inlineStr">
        <is>
          <t>8cm x 10.5cm</t>
        </is>
      </c>
      <c r="G2612" s="9" t="n">
        <v>3</v>
      </c>
      <c r="H2612" s="21" t="n">
        <v>13</v>
      </c>
      <c r="I2612" s="21" t="n">
        <v>0</v>
      </c>
      <c r="J2612" s="21" t="n">
        <v>0</v>
      </c>
      <c r="K2612" s="21" t="n">
        <v>7.88</v>
      </c>
      <c r="L2612" s="21" t="n">
        <v>270.65</v>
      </c>
      <c r="M2612" s="21" t="n">
        <v>811.95</v>
      </c>
    </row>
    <row r="2613">
      <c r="A2613" s="9" t="inlineStr">
        <is>
          <t>ZOEY</t>
        </is>
      </c>
      <c r="B2613" s="9" t="inlineStr">
        <is>
          <t>ZOEY 16/02/2026</t>
        </is>
      </c>
      <c r="C2613" s="9" t="inlineStr">
        <is>
          <t>2026-02-16</t>
        </is>
      </c>
      <c r="D2613" s="9" t="inlineStr">
        <is>
          <t>71556651035341</t>
        </is>
      </c>
      <c r="E2613" s="9" t="inlineStr">
        <is>
          <t>TRAJE DE BAÑO CD</t>
        </is>
      </c>
      <c r="F2613" s="9" t="inlineStr">
        <is>
          <t>L</t>
        </is>
      </c>
      <c r="G2613" s="9" t="n">
        <v>2</v>
      </c>
      <c r="H2613" s="21" t="n">
        <v>25</v>
      </c>
      <c r="I2613" s="21" t="n">
        <v>0</v>
      </c>
      <c r="J2613" s="21" t="n">
        <v>0</v>
      </c>
      <c r="K2613" s="21" t="n">
        <v>15.16</v>
      </c>
      <c r="L2613" s="21" t="n">
        <v>520.48</v>
      </c>
      <c r="M2613" s="21" t="n">
        <v>1561.43</v>
      </c>
    </row>
    <row r="2614">
      <c r="A2614" s="9" t="inlineStr">
        <is>
          <t>ZOEY</t>
        </is>
      </c>
      <c r="B2614" s="9" t="inlineStr">
        <is>
          <t>ZOEY 16/02/2026</t>
        </is>
      </c>
      <c r="C2614" s="9" t="inlineStr">
        <is>
          <t>2026-02-16</t>
        </is>
      </c>
      <c r="D2614" s="9" t="inlineStr">
        <is>
          <t>70693391064173</t>
        </is>
      </c>
      <c r="E2614" s="9" t="inlineStr">
        <is>
          <t>TRAJE DE BAÑO COMPLETO DG</t>
        </is>
      </c>
      <c r="F2614" s="9" t="inlineStr">
        <is>
          <t>L</t>
        </is>
      </c>
      <c r="G2614" s="9" t="n">
        <v>1</v>
      </c>
      <c r="H2614" s="21" t="n">
        <v>25</v>
      </c>
      <c r="I2614" s="21" t="n">
        <v>0</v>
      </c>
      <c r="J2614" s="21" t="n">
        <v>0</v>
      </c>
      <c r="K2614" s="21" t="n">
        <v>15.16</v>
      </c>
      <c r="L2614" s="21" t="n">
        <v>520.48</v>
      </c>
      <c r="M2614" s="21" t="n">
        <v>1561.43</v>
      </c>
    </row>
    <row r="2615">
      <c r="A2615" s="9" t="inlineStr">
        <is>
          <t>ZOEY</t>
        </is>
      </c>
      <c r="B2615" s="9" t="inlineStr">
        <is>
          <t>ZOEY 16/02/2026</t>
        </is>
      </c>
      <c r="C2615" s="9" t="inlineStr">
        <is>
          <t>2026-02-16</t>
        </is>
      </c>
      <c r="D2615" s="9" t="inlineStr">
        <is>
          <t>77590343248780</t>
        </is>
      </c>
      <c r="E2615" s="9" t="inlineStr">
        <is>
          <t>TRAJE DE BAÑO COMPLETO PR</t>
        </is>
      </c>
      <c r="F2615" s="9" t="inlineStr">
        <is>
          <t>M</t>
        </is>
      </c>
      <c r="G2615" s="9" t="n">
        <v>3</v>
      </c>
      <c r="H2615" s="21" t="n">
        <v>25</v>
      </c>
      <c r="I2615" s="21" t="n">
        <v>0</v>
      </c>
      <c r="J2615" s="21" t="n">
        <v>0</v>
      </c>
      <c r="K2615" s="21" t="n">
        <v>15.16</v>
      </c>
      <c r="L2615" s="21" t="n">
        <v>520.48</v>
      </c>
      <c r="M2615" s="21" t="n">
        <v>1561.43</v>
      </c>
    </row>
    <row r="2616">
      <c r="A2616" s="9" t="inlineStr">
        <is>
          <t>ZOEY</t>
        </is>
      </c>
      <c r="B2616" s="9" t="inlineStr">
        <is>
          <t>ZOEY 16/02/2026</t>
        </is>
      </c>
      <c r="C2616" s="9" t="inlineStr">
        <is>
          <t>2026-02-16</t>
        </is>
      </c>
      <c r="D2616" s="9" t="inlineStr">
        <is>
          <t>69428801043277</t>
        </is>
      </c>
      <c r="E2616" s="9" t="inlineStr">
        <is>
          <t>TRAJE DE BAÑO F</t>
        </is>
      </c>
      <c r="F2616" s="9" t="inlineStr">
        <is>
          <t>L</t>
        </is>
      </c>
      <c r="G2616" s="9" t="n">
        <v>2</v>
      </c>
      <c r="H2616" s="21" t="n">
        <v>25</v>
      </c>
      <c r="I2616" s="21" t="n">
        <v>0</v>
      </c>
      <c r="J2616" s="21" t="n">
        <v>0</v>
      </c>
      <c r="K2616" s="21" t="n">
        <v>15.16</v>
      </c>
      <c r="L2616" s="21" t="n">
        <v>520.48</v>
      </c>
      <c r="M2616" s="21" t="n">
        <v>1561.43</v>
      </c>
    </row>
    <row r="2617">
      <c r="A2617" s="9" t="inlineStr">
        <is>
          <t>ZOEY</t>
        </is>
      </c>
      <c r="B2617" s="9" t="inlineStr">
        <is>
          <t>ZOEY 16/02/2026</t>
        </is>
      </c>
      <c r="C2617" s="9" t="inlineStr">
        <is>
          <t>2026-02-16</t>
        </is>
      </c>
      <c r="D2617" s="9" t="inlineStr">
        <is>
          <t>72002489673612</t>
        </is>
      </c>
      <c r="E2617" s="9" t="inlineStr">
        <is>
          <t>ZAPATILLAS CL KATE</t>
        </is>
      </c>
      <c r="F2617" s="9" t="inlineStr">
        <is>
          <t>25cm=39</t>
        </is>
      </c>
      <c r="G2617" s="9" t="n">
        <v>2</v>
      </c>
      <c r="H2617" s="21" t="n">
        <v>48</v>
      </c>
      <c r="I2617" s="21" t="n">
        <v>0</v>
      </c>
      <c r="J2617" s="21" t="n">
        <v>0</v>
      </c>
      <c r="K2617" s="21" t="n">
        <v>29.11</v>
      </c>
      <c r="L2617" s="21" t="n">
        <v>999.3200000000001</v>
      </c>
      <c r="M2617" s="21" t="n">
        <v>2997.95</v>
      </c>
    </row>
    <row r="2618">
      <c r="A2618" s="9" t="inlineStr">
        <is>
          <t>ZOEY</t>
        </is>
      </c>
      <c r="B2618" s="9" t="inlineStr">
        <is>
          <t>ZOEY 16/02/2026</t>
        </is>
      </c>
      <c r="C2618" s="9" t="inlineStr">
        <is>
          <t>2026-02-16</t>
        </is>
      </c>
      <c r="D2618" s="9" t="inlineStr">
        <is>
          <t>72002489640844</t>
        </is>
      </c>
      <c r="E2618" s="9" t="inlineStr">
        <is>
          <t>ZAPATILLAS CL KATE</t>
        </is>
      </c>
      <c r="F2618" s="9" t="inlineStr">
        <is>
          <t>24cm=38</t>
        </is>
      </c>
      <c r="G2618" s="9" t="n">
        <v>1</v>
      </c>
      <c r="H2618" s="21" t="n">
        <v>48</v>
      </c>
      <c r="I2618" s="21" t="n">
        <v>0</v>
      </c>
      <c r="J2618" s="21" t="n">
        <v>0</v>
      </c>
      <c r="K2618" s="21" t="n">
        <v>29.11</v>
      </c>
      <c r="L2618" s="21" t="n">
        <v>999.3200000000001</v>
      </c>
      <c r="M2618" s="21" t="n">
        <v>2997.95</v>
      </c>
    </row>
    <row r="2619">
      <c r="A2619" s="9" t="inlineStr">
        <is>
          <t>ZOEY</t>
        </is>
      </c>
      <c r="B2619" s="9" t="inlineStr">
        <is>
          <t>ZOEY 16/02/2026</t>
        </is>
      </c>
      <c r="C2619" s="9" t="inlineStr">
        <is>
          <t>2026-02-16</t>
        </is>
      </c>
      <c r="D2619" s="9" t="inlineStr">
        <is>
          <t>72002489425036</t>
        </is>
      </c>
      <c r="E2619" s="9" t="inlineStr">
        <is>
          <t>ZAPATILLAS YSL OPYUM BLACK</t>
        </is>
      </c>
      <c r="F2619" s="9" t="inlineStr">
        <is>
          <t>23cm=36</t>
        </is>
      </c>
      <c r="G2619" s="9" t="n">
        <v>1</v>
      </c>
      <c r="H2619" s="21" t="n">
        <v>65</v>
      </c>
      <c r="I2619" s="21" t="n">
        <v>0</v>
      </c>
      <c r="J2619" s="21" t="n">
        <v>0</v>
      </c>
      <c r="K2619" s="21" t="n">
        <v>39.41</v>
      </c>
      <c r="L2619" s="21" t="n">
        <v>1353.24</v>
      </c>
      <c r="M2619" s="21" t="n">
        <v>4059.73</v>
      </c>
    </row>
    <row r="2620">
      <c r="A2620" s="9" t="inlineStr">
        <is>
          <t>CYNTHIA</t>
        </is>
      </c>
      <c r="B2620" s="9" t="inlineStr">
        <is>
          <t>CYNTHIA 18/02/2026</t>
        </is>
      </c>
      <c r="C2620" s="9" t="inlineStr">
        <is>
          <t>2026-02-18</t>
        </is>
      </c>
      <c r="D2620" s="9" t="inlineStr">
        <is>
          <t>43078594789516</t>
        </is>
      </c>
      <c r="E2620" s="9" t="inlineStr"/>
      <c r="F2620" s="9" t="inlineStr">
        <is>
          <t>8</t>
        </is>
      </c>
      <c r="G2620" s="9" t="n">
        <v>1</v>
      </c>
      <c r="H2620" s="21" t="n">
        <v>2.6</v>
      </c>
      <c r="I2620" s="21" t="n">
        <v>70.31</v>
      </c>
      <c r="J2620" s="21" t="n">
        <v>210.94</v>
      </c>
      <c r="K2620" s="21" t="n">
        <v>246.09</v>
      </c>
      <c r="L2620" s="21" t="n">
        <v>281.25</v>
      </c>
      <c r="M2620" s="21" t="n">
        <v>520</v>
      </c>
    </row>
    <row r="2621">
      <c r="A2621" s="9" t="inlineStr">
        <is>
          <t>CYNTHIA</t>
        </is>
      </c>
      <c r="B2621" s="9" t="inlineStr">
        <is>
          <t>CYNTHIA 18/02/2026</t>
        </is>
      </c>
      <c r="C2621" s="9" t="inlineStr">
        <is>
          <t>2026-02-18</t>
        </is>
      </c>
      <c r="D2621" s="9" t="inlineStr">
        <is>
          <t>43071835963532</t>
        </is>
      </c>
      <c r="E2621" s="9" t="inlineStr"/>
      <c r="F2621" s="9" t="inlineStr">
        <is>
          <t>8</t>
        </is>
      </c>
      <c r="G2621" s="9" t="n">
        <v>2</v>
      </c>
      <c r="H2621" s="21" t="n">
        <v>1.7</v>
      </c>
      <c r="I2621" s="21" t="n">
        <v>45.97</v>
      </c>
      <c r="J2621" s="21" t="n">
        <v>137.92</v>
      </c>
      <c r="K2621" s="21" t="n">
        <v>160.91</v>
      </c>
      <c r="L2621" s="21" t="n">
        <v>183.89</v>
      </c>
      <c r="M2621" s="21" t="n">
        <v>250</v>
      </c>
    </row>
    <row r="2622">
      <c r="A2622" s="9" t="inlineStr">
        <is>
          <t>CYNTHIA</t>
        </is>
      </c>
      <c r="B2622" s="9" t="inlineStr">
        <is>
          <t>CYNTHIA 18/02/2026</t>
        </is>
      </c>
      <c r="C2622" s="9" t="inlineStr">
        <is>
          <t>2026-02-18</t>
        </is>
      </c>
      <c r="D2622" s="9" t="inlineStr">
        <is>
          <t>63e0bd2165d38</t>
        </is>
      </c>
      <c r="E2622" s="9" t="inlineStr"/>
      <c r="F2622" s="9" t="inlineStr">
        <is>
          <t>1cm</t>
        </is>
      </c>
      <c r="G2622" s="9" t="n">
        <v>2</v>
      </c>
      <c r="H2622" s="21" t="n">
        <v>3.88</v>
      </c>
      <c r="I2622" s="21" t="n">
        <v>104.93</v>
      </c>
      <c r="J2622" s="21" t="n">
        <v>314.78</v>
      </c>
      <c r="K2622" s="21" t="n">
        <v>367.25</v>
      </c>
      <c r="L2622" s="21" t="n">
        <v>419.71</v>
      </c>
      <c r="M2622" s="21" t="n">
        <v>570</v>
      </c>
    </row>
    <row r="2623">
      <c r="A2623" s="9" t="inlineStr">
        <is>
          <t>CYNTHIA</t>
        </is>
      </c>
      <c r="B2623" s="9" t="inlineStr">
        <is>
          <t>CYNTHIA 18/02/2026</t>
        </is>
      </c>
      <c r="C2623" s="9" t="inlineStr">
        <is>
          <t>2026-02-18</t>
        </is>
      </c>
      <c r="D2623" s="9" t="inlineStr">
        <is>
          <t>19976221521036</t>
        </is>
      </c>
      <c r="E2623" s="9" t="inlineStr"/>
      <c r="F2623" s="9" t="inlineStr">
        <is>
          <t>HIGH QUALITY</t>
        </is>
      </c>
      <c r="G2623" s="9" t="n">
        <v>1</v>
      </c>
      <c r="H2623" s="21" t="n">
        <v>54</v>
      </c>
      <c r="I2623" s="21" t="n">
        <v>1460.34</v>
      </c>
      <c r="J2623" s="21" t="n">
        <v>4381.03</v>
      </c>
      <c r="K2623" s="21" t="n">
        <v>5111.2</v>
      </c>
      <c r="L2623" s="21" t="n">
        <v>5841.37</v>
      </c>
      <c r="M2623" s="21" t="n">
        <v>5609</v>
      </c>
    </row>
    <row r="2624">
      <c r="A2624" s="9" t="inlineStr">
        <is>
          <t>CYNTHIA</t>
        </is>
      </c>
      <c r="B2624" s="9" t="inlineStr">
        <is>
          <t>CYNTHIA 18/02/2026</t>
        </is>
      </c>
      <c r="C2624" s="9" t="inlineStr">
        <is>
          <t>2026-02-18</t>
        </is>
      </c>
      <c r="D2624" s="9" t="inlineStr">
        <is>
          <t>59416971022989</t>
        </is>
      </c>
      <c r="E2624" s="9" t="inlineStr"/>
      <c r="F2624" s="9" t="inlineStr">
        <is>
          <t>26cmX21cmX6cm</t>
        </is>
      </c>
      <c r="G2624" s="9" t="n">
        <v>2</v>
      </c>
      <c r="H2624" s="21" t="n">
        <v>51</v>
      </c>
      <c r="I2624" s="21" t="n">
        <v>1379.21</v>
      </c>
      <c r="J2624" s="21" t="n">
        <v>4137.63</v>
      </c>
      <c r="K2624" s="21" t="n">
        <v>4827.24</v>
      </c>
      <c r="L2624" s="21" t="n">
        <v>5516.85</v>
      </c>
      <c r="M2624" s="21" t="n">
        <v>5519</v>
      </c>
    </row>
    <row r="2625">
      <c r="A2625" s="9" t="inlineStr">
        <is>
          <t>CYNTHIA</t>
        </is>
      </c>
      <c r="B2625" s="9" t="inlineStr">
        <is>
          <t>CYNTHIA 18/02/2026</t>
        </is>
      </c>
      <c r="C2625" s="9" t="inlineStr">
        <is>
          <t>2026-02-18</t>
        </is>
      </c>
      <c r="D2625" s="9" t="inlineStr">
        <is>
          <t>81712814328716</t>
        </is>
      </c>
      <c r="E2625" s="9" t="inlineStr"/>
      <c r="F2625" s="9" t="inlineStr">
        <is>
          <t>38/24cm</t>
        </is>
      </c>
      <c r="G2625" s="9" t="n">
        <v>1</v>
      </c>
      <c r="H2625" s="21" t="n">
        <v>28</v>
      </c>
      <c r="I2625" s="21" t="n">
        <v>757.21</v>
      </c>
      <c r="J2625" s="21" t="n">
        <v>2271.64</v>
      </c>
      <c r="K2625" s="21" t="n">
        <v>2650.25</v>
      </c>
      <c r="L2625" s="21" t="n">
        <v>3028.86</v>
      </c>
      <c r="M2625" s="21" t="n">
        <v>1650</v>
      </c>
    </row>
    <row r="2626">
      <c r="A2626" s="9" t="inlineStr">
        <is>
          <t>CYNTHIA</t>
        </is>
      </c>
      <c r="B2626" s="9" t="inlineStr">
        <is>
          <t>CYNTHIA 18/02/2026</t>
        </is>
      </c>
      <c r="C2626" s="9" t="inlineStr">
        <is>
          <t>2026-02-18</t>
        </is>
      </c>
      <c r="D2626" s="9" t="inlineStr">
        <is>
          <t>6701d26098e78</t>
        </is>
      </c>
      <c r="E2626" s="9" t="inlineStr"/>
      <c r="F2626" s="9" t="inlineStr">
        <is>
          <t>40 (25cm)</t>
        </is>
      </c>
      <c r="G2626" s="9" t="n">
        <v>1</v>
      </c>
      <c r="H2626" s="21" t="n">
        <v>34</v>
      </c>
      <c r="I2626" s="21" t="n">
        <v>919.47</v>
      </c>
      <c r="J2626" s="21" t="n">
        <v>2758.42</v>
      </c>
      <c r="K2626" s="21" t="n">
        <v>3218.16</v>
      </c>
      <c r="L2626" s="21" t="n">
        <v>3677.9</v>
      </c>
      <c r="M2626" s="21" t="n">
        <v>3649</v>
      </c>
    </row>
    <row r="2627">
      <c r="A2627" s="9" t="inlineStr">
        <is>
          <t>CYNTHIA</t>
        </is>
      </c>
      <c r="B2627" s="9" t="inlineStr">
        <is>
          <t>CYNTHIA 18/02/2026</t>
        </is>
      </c>
      <c r="C2627" s="9" t="inlineStr">
        <is>
          <t>2026-02-18</t>
        </is>
      </c>
      <c r="D2627" s="9" t="inlineStr">
        <is>
          <t>71628204959884</t>
        </is>
      </c>
      <c r="E2627" s="9" t="inlineStr"/>
      <c r="F2627" s="9" t="inlineStr">
        <is>
          <t>38 (24cm)</t>
        </is>
      </c>
      <c r="G2627" s="9" t="n">
        <v>1</v>
      </c>
      <c r="H2627" s="21" t="n">
        <v>34</v>
      </c>
      <c r="I2627" s="21" t="n">
        <v>919.47</v>
      </c>
      <c r="J2627" s="21" t="n">
        <v>2758.42</v>
      </c>
      <c r="K2627" s="21" t="n">
        <v>3218.16</v>
      </c>
      <c r="L2627" s="21" t="n">
        <v>3677.9</v>
      </c>
      <c r="M2627" s="21" t="n">
        <v>3649</v>
      </c>
    </row>
    <row r="2628">
      <c r="A2628" s="9" t="inlineStr">
        <is>
          <t>CYNTHIA</t>
        </is>
      </c>
      <c r="B2628" s="9" t="inlineStr">
        <is>
          <t>CYNTHIA 18/02/2026</t>
        </is>
      </c>
      <c r="C2628" s="9" t="inlineStr">
        <is>
          <t>2026-02-18</t>
        </is>
      </c>
      <c r="D2628" s="9" t="inlineStr">
        <is>
          <t>68339221065441</t>
        </is>
      </c>
      <c r="E2628" s="9" t="inlineStr"/>
      <c r="F2628" s="9" t="inlineStr">
        <is>
          <t>42 (26cm)</t>
        </is>
      </c>
      <c r="G2628" s="9" t="n">
        <v>2</v>
      </c>
      <c r="H2628" s="21" t="n">
        <v>30</v>
      </c>
      <c r="I2628" s="21" t="n">
        <v>811.3</v>
      </c>
      <c r="J2628" s="21" t="n">
        <v>2433.9</v>
      </c>
      <c r="K2628" s="21" t="n">
        <v>2839.55</v>
      </c>
      <c r="L2628" s="21" t="n">
        <v>3245.2</v>
      </c>
      <c r="M2628" s="21" t="n">
        <v>3189</v>
      </c>
    </row>
    <row r="2629">
      <c r="A2629" s="9" t="inlineStr">
        <is>
          <t>CYNTHIA</t>
        </is>
      </c>
      <c r="B2629" s="9" t="inlineStr">
        <is>
          <t>CYNTHIA 18/02/2026</t>
        </is>
      </c>
      <c r="C2629" s="9" t="inlineStr">
        <is>
          <t>2026-02-18</t>
        </is>
      </c>
      <c r="D2629" s="9" t="inlineStr">
        <is>
          <t>71628204107916</t>
        </is>
      </c>
      <c r="E2629" s="9" t="inlineStr"/>
      <c r="F2629" s="9" t="inlineStr">
        <is>
          <t>37 (23cm)</t>
        </is>
      </c>
      <c r="G2629" s="9" t="n">
        <v>1</v>
      </c>
      <c r="H2629" s="21" t="n">
        <v>30</v>
      </c>
      <c r="I2629" s="21" t="n">
        <v>811.3</v>
      </c>
      <c r="J2629" s="21" t="n">
        <v>2433.9</v>
      </c>
      <c r="K2629" s="21" t="n">
        <v>2839.55</v>
      </c>
      <c r="L2629" s="21" t="n">
        <v>3245.2</v>
      </c>
      <c r="M2629" s="21" t="n">
        <v>3189</v>
      </c>
    </row>
    <row r="2630">
      <c r="A2630" s="9" t="inlineStr">
        <is>
          <t>CYNTHIA</t>
        </is>
      </c>
      <c r="B2630" s="9" t="inlineStr">
        <is>
          <t>CYNTHIA 18/02/2026</t>
        </is>
      </c>
      <c r="C2630" s="9" t="inlineStr">
        <is>
          <t>2026-02-18</t>
        </is>
      </c>
      <c r="D2630" s="9" t="inlineStr">
        <is>
          <t>71628205648012</t>
        </is>
      </c>
      <c r="E2630" s="9" t="inlineStr"/>
      <c r="F2630" s="9" t="inlineStr">
        <is>
          <t>38 (24cm)</t>
        </is>
      </c>
      <c r="G2630" s="9" t="n">
        <v>1</v>
      </c>
      <c r="H2630" s="21" t="n">
        <v>30</v>
      </c>
      <c r="I2630" s="21" t="n">
        <v>811.3</v>
      </c>
      <c r="J2630" s="21" t="n">
        <v>2433.9</v>
      </c>
      <c r="K2630" s="21" t="n">
        <v>2839.55</v>
      </c>
      <c r="L2630" s="21" t="n">
        <v>3245.2</v>
      </c>
      <c r="M2630" s="21" t="n">
        <v>3189</v>
      </c>
    </row>
    <row r="2631">
      <c r="A2631" s="9" t="inlineStr">
        <is>
          <t>CYNTHIA</t>
        </is>
      </c>
      <c r="B2631" s="9" t="inlineStr">
        <is>
          <t>CYNTHIA 18/02/2026</t>
        </is>
      </c>
      <c r="C2631" s="9" t="inlineStr">
        <is>
          <t>2026-02-18</t>
        </is>
      </c>
      <c r="D2631" s="9" t="inlineStr">
        <is>
          <t>82224431124141</t>
        </is>
      </c>
      <c r="E2631" s="9" t="inlineStr"/>
      <c r="F2631" s="9" t="inlineStr">
        <is>
          <t>40 (25 cm)</t>
        </is>
      </c>
      <c r="G2631" s="9" t="n">
        <v>2</v>
      </c>
      <c r="H2631" s="21" t="n">
        <v>30</v>
      </c>
      <c r="I2631" s="21" t="n">
        <v>811.3</v>
      </c>
      <c r="J2631" s="21" t="n">
        <v>2433.9</v>
      </c>
      <c r="K2631" s="21" t="n">
        <v>2839.55</v>
      </c>
      <c r="L2631" s="21" t="n">
        <v>3245.2</v>
      </c>
      <c r="M2631" s="21" t="n">
        <v>3189</v>
      </c>
    </row>
    <row r="2632">
      <c r="A2632" s="9" t="inlineStr">
        <is>
          <t>CYNTHIA</t>
        </is>
      </c>
      <c r="B2632" s="9" t="inlineStr">
        <is>
          <t>CYNTHIA 18/02/2026</t>
        </is>
      </c>
      <c r="C2632" s="9" t="inlineStr">
        <is>
          <t>2026-02-18</t>
        </is>
      </c>
      <c r="D2632" s="9" t="inlineStr">
        <is>
          <t>81712806121228</t>
        </is>
      </c>
      <c r="E2632" s="9" t="inlineStr"/>
      <c r="F2632" s="9" t="inlineStr">
        <is>
          <t>38/ 24cm</t>
        </is>
      </c>
      <c r="G2632" s="9" t="n">
        <v>1</v>
      </c>
      <c r="H2632" s="21" t="n">
        <v>28</v>
      </c>
      <c r="I2632" s="21" t="n">
        <v>757.21</v>
      </c>
      <c r="J2632" s="21" t="n">
        <v>2271.64</v>
      </c>
      <c r="K2632" s="21" t="n">
        <v>2650.25</v>
      </c>
      <c r="L2632" s="21" t="n">
        <v>3028.86</v>
      </c>
      <c r="M2632" s="21" t="n">
        <v>2999</v>
      </c>
    </row>
    <row r="2633">
      <c r="A2633" s="9" t="inlineStr">
        <is>
          <t>CYNTHIA</t>
        </is>
      </c>
      <c r="B2633" s="9" t="inlineStr">
        <is>
          <t>CYNTHIA 18/02/2026</t>
        </is>
      </c>
      <c r="C2633" s="9" t="inlineStr">
        <is>
          <t>2026-02-18</t>
        </is>
      </c>
      <c r="D2633" s="9" t="inlineStr">
        <is>
          <t>16572644570636</t>
        </is>
      </c>
      <c r="E2633" s="9" t="inlineStr"/>
      <c r="F2633" s="9" t="inlineStr">
        <is>
          <t>L</t>
        </is>
      </c>
      <c r="G2633" s="9" t="n">
        <v>2</v>
      </c>
      <c r="H2633" s="21" t="n">
        <v>10.8</v>
      </c>
      <c r="I2633" s="21" t="n">
        <v>292.07</v>
      </c>
      <c r="J2633" s="21" t="n">
        <v>876.21</v>
      </c>
      <c r="K2633" s="21" t="n">
        <v>1022.24</v>
      </c>
      <c r="L2633" s="21" t="n">
        <v>1168.27</v>
      </c>
      <c r="M2633" s="21" t="n">
        <v>1129</v>
      </c>
    </row>
    <row r="2634">
      <c r="A2634" s="9" t="inlineStr">
        <is>
          <t>CYNTHIA</t>
        </is>
      </c>
      <c r="B2634" s="9" t="inlineStr">
        <is>
          <t>CYNTHIA 18/02/2026</t>
        </is>
      </c>
      <c r="C2634" s="9" t="inlineStr">
        <is>
          <t>2026-02-18</t>
        </is>
      </c>
      <c r="D2634" s="9" t="inlineStr">
        <is>
          <t>39252671264941</t>
        </is>
      </c>
      <c r="E2634" s="9" t="inlineStr">
        <is>
          <t>ANILLO LV LETTER GOLD</t>
        </is>
      </c>
      <c r="F2634" s="9" t="inlineStr">
        <is>
          <t>7</t>
        </is>
      </c>
      <c r="G2634" s="9" t="n">
        <v>2</v>
      </c>
      <c r="H2634" s="21" t="n">
        <v>5.28</v>
      </c>
      <c r="I2634" s="21" t="n">
        <v>142.79</v>
      </c>
      <c r="J2634" s="21" t="n">
        <v>428.37</v>
      </c>
      <c r="K2634" s="21" t="n">
        <v>499.76</v>
      </c>
      <c r="L2634" s="21" t="n">
        <v>571.16</v>
      </c>
      <c r="M2634" s="21" t="n">
        <v>499</v>
      </c>
    </row>
    <row r="2635">
      <c r="A2635" s="9" t="inlineStr">
        <is>
          <t>CYNTHIA</t>
        </is>
      </c>
      <c r="B2635" s="9" t="inlineStr">
        <is>
          <t>CYNTHIA 18/02/2026</t>
        </is>
      </c>
      <c r="C2635" s="9" t="inlineStr">
        <is>
          <t>2026-02-18</t>
        </is>
      </c>
      <c r="D2635" s="9" t="inlineStr">
        <is>
          <t>39252671092621</t>
        </is>
      </c>
      <c r="E2635" s="9" t="inlineStr">
        <is>
          <t>ANILLO LV LETTER SILVER</t>
        </is>
      </c>
      <c r="F2635" s="9" t="inlineStr">
        <is>
          <t>7</t>
        </is>
      </c>
      <c r="G2635" s="9" t="n">
        <v>1</v>
      </c>
      <c r="H2635" s="21" t="n">
        <v>5.28</v>
      </c>
      <c r="I2635" s="21" t="n">
        <v>142.79</v>
      </c>
      <c r="J2635" s="21" t="n">
        <v>428.37</v>
      </c>
      <c r="K2635" s="21" t="n">
        <v>499.76</v>
      </c>
      <c r="L2635" s="21" t="n">
        <v>571.16</v>
      </c>
      <c r="M2635" s="21" t="n">
        <v>575</v>
      </c>
    </row>
    <row r="2636">
      <c r="A2636" s="9" t="inlineStr">
        <is>
          <t>CYNTHIA</t>
        </is>
      </c>
      <c r="B2636" s="9" t="inlineStr">
        <is>
          <t>CYNTHIA 18/02/2026</t>
        </is>
      </c>
      <c r="C2636" s="9" t="inlineStr">
        <is>
          <t>2026-02-18</t>
        </is>
      </c>
      <c r="D2636" s="9" t="inlineStr">
        <is>
          <t>15711172030349</t>
        </is>
      </c>
      <c r="E2636" s="9" t="inlineStr">
        <is>
          <t>ARETES BEAN GOLD T</t>
        </is>
      </c>
      <c r="F2636" s="9" t="inlineStr">
        <is>
          <t>Default Title</t>
        </is>
      </c>
      <c r="G2636" s="9" t="n">
        <v>10</v>
      </c>
      <c r="H2636" s="21" t="n">
        <v>7.5</v>
      </c>
      <c r="I2636" s="21" t="n">
        <v>202.83</v>
      </c>
      <c r="J2636" s="21" t="n">
        <v>608.48</v>
      </c>
      <c r="K2636" s="21" t="n">
        <v>709.89</v>
      </c>
      <c r="L2636" s="21" t="n">
        <v>811.3</v>
      </c>
      <c r="M2636" s="21" t="n">
        <v>935</v>
      </c>
    </row>
    <row r="2637">
      <c r="A2637" s="9" t="inlineStr">
        <is>
          <t>CYNTHIA</t>
        </is>
      </c>
      <c r="B2637" s="9" t="inlineStr">
        <is>
          <t>CYNTHIA 18/02/2026</t>
        </is>
      </c>
      <c r="C2637" s="9" t="inlineStr">
        <is>
          <t>2026-02-18</t>
        </is>
      </c>
      <c r="D2637" s="9" t="inlineStr">
        <is>
          <t>62101481140653</t>
        </is>
      </c>
      <c r="E2637" s="9" t="inlineStr">
        <is>
          <t>ARETES BEAN SILVER T</t>
        </is>
      </c>
      <c r="F2637" s="9" t="inlineStr">
        <is>
          <t>Default Title</t>
        </is>
      </c>
      <c r="G2637" s="9" t="n">
        <v>5</v>
      </c>
      <c r="H2637" s="21" t="n">
        <v>7.5</v>
      </c>
      <c r="I2637" s="21" t="n">
        <v>202.83</v>
      </c>
      <c r="J2637" s="21" t="n">
        <v>608.48</v>
      </c>
      <c r="K2637" s="21" t="n">
        <v>709.89</v>
      </c>
      <c r="L2637" s="21" t="n">
        <v>811.3</v>
      </c>
      <c r="M2637" s="21" t="n">
        <v>849</v>
      </c>
    </row>
    <row r="2638">
      <c r="A2638" s="9" t="inlineStr">
        <is>
          <t>CYNTHIA</t>
        </is>
      </c>
      <c r="B2638" s="9" t="inlineStr">
        <is>
          <t>CYNTHIA 18/02/2026</t>
        </is>
      </c>
      <c r="C2638" s="9" t="inlineStr">
        <is>
          <t>2026-02-18</t>
        </is>
      </c>
      <c r="D2638" s="9" t="inlineStr">
        <is>
          <t>94792221051565</t>
        </is>
      </c>
      <c r="E2638" s="9" t="inlineStr">
        <is>
          <t>ARETES BLOSSOM STAR GOLD</t>
        </is>
      </c>
      <c r="F2638" s="9" t="inlineStr">
        <is>
          <t>REGULAR</t>
        </is>
      </c>
      <c r="G2638" s="9" t="n">
        <v>2</v>
      </c>
      <c r="H2638" s="21" t="n">
        <v>6.8</v>
      </c>
      <c r="I2638" s="21" t="n">
        <v>183.89</v>
      </c>
      <c r="J2638" s="21" t="n">
        <v>551.6799999999999</v>
      </c>
      <c r="K2638" s="21" t="n">
        <v>643.63</v>
      </c>
      <c r="L2638" s="21" t="n">
        <v>735.58</v>
      </c>
      <c r="M2638" s="21" t="n">
        <v>722</v>
      </c>
    </row>
    <row r="2639">
      <c r="A2639" s="9" t="inlineStr">
        <is>
          <t>CYNTHIA</t>
        </is>
      </c>
      <c r="B2639" s="9" t="inlineStr">
        <is>
          <t>CYNTHIA 18/02/2026</t>
        </is>
      </c>
      <c r="C2639" s="9" t="inlineStr">
        <is>
          <t>2026-02-18</t>
        </is>
      </c>
      <c r="D2639" s="9" t="inlineStr">
        <is>
          <t>64e78d3baafe7</t>
        </is>
      </c>
      <c r="E2639" s="9" t="inlineStr">
        <is>
          <t>ARETES BLOSSOM STAR ROSE GOLD</t>
        </is>
      </c>
      <c r="F2639" s="9" t="inlineStr">
        <is>
          <t>Default Title</t>
        </is>
      </c>
      <c r="G2639" s="9" t="n">
        <v>2</v>
      </c>
      <c r="H2639" s="21" t="n">
        <v>6.8</v>
      </c>
      <c r="I2639" s="21" t="n">
        <v>183.89</v>
      </c>
      <c r="J2639" s="21" t="n">
        <v>551.6799999999999</v>
      </c>
      <c r="K2639" s="21" t="n">
        <v>643.63</v>
      </c>
      <c r="L2639" s="21" t="n">
        <v>735.58</v>
      </c>
      <c r="M2639" s="21" t="n">
        <v>709</v>
      </c>
    </row>
    <row r="2640">
      <c r="A2640" s="9" t="inlineStr">
        <is>
          <t>CYNTHIA</t>
        </is>
      </c>
      <c r="B2640" s="9" t="inlineStr">
        <is>
          <t>CYNTHIA 18/02/2026</t>
        </is>
      </c>
      <c r="C2640" s="9" t="inlineStr">
        <is>
          <t>2026-02-18</t>
        </is>
      </c>
      <c r="D2640" s="9" t="inlineStr">
        <is>
          <t>665bb4e06b7c8</t>
        </is>
      </c>
      <c r="E2640" s="9" t="inlineStr">
        <is>
          <t>ARETES CC DORADO</t>
        </is>
      </c>
      <c r="F2640" s="9" t="inlineStr">
        <is>
          <t>Regular</t>
        </is>
      </c>
      <c r="G2640" s="9" t="n">
        <v>10</v>
      </c>
      <c r="H2640" s="21" t="n">
        <v>2</v>
      </c>
      <c r="I2640" s="21" t="n">
        <v>54.09</v>
      </c>
      <c r="J2640" s="21" t="n">
        <v>162.26</v>
      </c>
      <c r="K2640" s="21" t="n">
        <v>189.3</v>
      </c>
      <c r="L2640" s="21" t="n">
        <v>216.35</v>
      </c>
      <c r="M2640" s="21" t="n">
        <v>220</v>
      </c>
    </row>
    <row r="2641">
      <c r="A2641" s="9" t="inlineStr">
        <is>
          <t>CYNTHIA</t>
        </is>
      </c>
      <c r="B2641" s="9" t="inlineStr">
        <is>
          <t>CYNTHIA 18/02/2026</t>
        </is>
      </c>
      <c r="C2641" s="9" t="inlineStr">
        <is>
          <t>2026-02-18</t>
        </is>
      </c>
      <c r="D2641" s="9" t="inlineStr">
        <is>
          <t>8275727247244</t>
        </is>
      </c>
      <c r="E2641" s="9" t="inlineStr">
        <is>
          <t>ARETES CD COLGANTES</t>
        </is>
      </c>
      <c r="F2641" s="9" t="inlineStr">
        <is>
          <t>Default Title</t>
        </is>
      </c>
      <c r="G2641" s="9" t="n">
        <v>2</v>
      </c>
      <c r="H2641" s="21" t="n">
        <v>8.800000000000001</v>
      </c>
      <c r="I2641" s="21" t="n">
        <v>237.98</v>
      </c>
      <c r="J2641" s="21" t="n">
        <v>713.9400000000001</v>
      </c>
      <c r="K2641" s="21" t="n">
        <v>832.9400000000001</v>
      </c>
      <c r="L2641" s="21" t="n">
        <v>951.9299999999999</v>
      </c>
      <c r="M2641" s="21" t="n">
        <v>935</v>
      </c>
    </row>
    <row r="2642">
      <c r="A2642" s="9" t="inlineStr">
        <is>
          <t>CYNTHIA</t>
        </is>
      </c>
      <c r="B2642" s="9" t="inlineStr">
        <is>
          <t>CYNTHIA 18/02/2026</t>
        </is>
      </c>
      <c r="C2642" s="9" t="inlineStr">
        <is>
          <t>2026-02-18</t>
        </is>
      </c>
      <c r="D2642" s="9" t="inlineStr">
        <is>
          <t>15711172330573</t>
        </is>
      </c>
      <c r="E2642" s="9" t="inlineStr">
        <is>
          <t>ARETES CD PETIT JOLIE GOLD</t>
        </is>
      </c>
      <c r="F2642" s="9" t="inlineStr">
        <is>
          <t>Default Title</t>
        </is>
      </c>
      <c r="G2642" s="9" t="n">
        <v>2</v>
      </c>
      <c r="H2642" s="21" t="n">
        <v>6</v>
      </c>
      <c r="I2642" s="21" t="n">
        <v>162.26</v>
      </c>
      <c r="J2642" s="21" t="n">
        <v>486.78</v>
      </c>
      <c r="K2642" s="21" t="n">
        <v>567.91</v>
      </c>
      <c r="L2642" s="21" t="n">
        <v>649.04</v>
      </c>
      <c r="M2642" s="21" t="n">
        <v>709</v>
      </c>
    </row>
    <row r="2643">
      <c r="A2643" s="9" t="inlineStr">
        <is>
          <t>CYNTHIA</t>
        </is>
      </c>
      <c r="B2643" s="9" t="inlineStr">
        <is>
          <t>CYNTHIA 18/02/2026</t>
        </is>
      </c>
      <c r="C2643" s="9" t="inlineStr">
        <is>
          <t>2026-02-18</t>
        </is>
      </c>
      <c r="D2643" s="9" t="inlineStr">
        <is>
          <t>17235661006529</t>
        </is>
      </c>
      <c r="E2643" s="9" t="inlineStr">
        <is>
          <t>ARETES CD TRIBALES</t>
        </is>
      </c>
      <c r="F2643" s="9" t="inlineStr">
        <is>
          <t>Default Title</t>
        </is>
      </c>
      <c r="G2643" s="9" t="n">
        <v>1</v>
      </c>
      <c r="H2643" s="21" t="n">
        <v>8.800000000000001</v>
      </c>
      <c r="I2643" s="21" t="n">
        <v>237.98</v>
      </c>
      <c r="J2643" s="21" t="n">
        <v>713.9400000000001</v>
      </c>
      <c r="K2643" s="21" t="n">
        <v>832.9400000000001</v>
      </c>
      <c r="L2643" s="21" t="n">
        <v>951.9299999999999</v>
      </c>
      <c r="M2643" s="21" t="n">
        <v>935</v>
      </c>
    </row>
    <row r="2644">
      <c r="A2644" s="9" t="inlineStr">
        <is>
          <t>CYNTHIA</t>
        </is>
      </c>
      <c r="B2644" s="9" t="inlineStr">
        <is>
          <t>CYNTHIA 18/02/2026</t>
        </is>
      </c>
      <c r="C2644" s="9" t="inlineStr">
        <is>
          <t>2026-02-18</t>
        </is>
      </c>
      <c r="D2644" s="9" t="inlineStr">
        <is>
          <t>43047217758348</t>
        </is>
      </c>
      <c r="E2644" s="9" t="inlineStr">
        <is>
          <t>ARETES CORAZÓN GRABADO GOLD</t>
        </is>
      </c>
      <c r="F2644" s="9" t="inlineStr">
        <is>
          <t>HIGH QUALITY</t>
        </is>
      </c>
      <c r="G2644" s="9" t="n">
        <v>4</v>
      </c>
      <c r="H2644" s="21" t="n">
        <v>5.4</v>
      </c>
      <c r="I2644" s="21" t="n">
        <v>146.03</v>
      </c>
      <c r="J2644" s="21" t="n">
        <v>438.1</v>
      </c>
      <c r="K2644" s="21" t="n">
        <v>511.12</v>
      </c>
      <c r="L2644" s="21" t="n">
        <v>584.14</v>
      </c>
      <c r="M2644" s="21" t="n">
        <v>550</v>
      </c>
    </row>
    <row r="2645">
      <c r="A2645" s="9" t="inlineStr">
        <is>
          <t>CYNTHIA</t>
        </is>
      </c>
      <c r="B2645" s="9" t="inlineStr">
        <is>
          <t>CYNTHIA 18/02/2026</t>
        </is>
      </c>
      <c r="C2645" s="9" t="inlineStr">
        <is>
          <t>2026-02-18</t>
        </is>
      </c>
      <c r="D2645" s="9" t="inlineStr">
        <is>
          <t>43047204716684</t>
        </is>
      </c>
      <c r="E2645" s="9" t="inlineStr">
        <is>
          <t>ARETES CORAZÓN GRABADO ROSEGOLD</t>
        </is>
      </c>
      <c r="F2645" s="9" t="inlineStr">
        <is>
          <t>Default Title</t>
        </is>
      </c>
      <c r="G2645" s="9" t="n">
        <v>6</v>
      </c>
      <c r="H2645" s="21" t="n">
        <v>5.4</v>
      </c>
      <c r="I2645" s="21" t="n">
        <v>146.03</v>
      </c>
      <c r="J2645" s="21" t="n">
        <v>438.1</v>
      </c>
      <c r="K2645" s="21" t="n">
        <v>511.12</v>
      </c>
      <c r="L2645" s="21" t="n">
        <v>584.14</v>
      </c>
      <c r="M2645" s="21" t="n">
        <v>599</v>
      </c>
    </row>
    <row r="2646">
      <c r="A2646" s="9" t="inlineStr">
        <is>
          <t>CYNTHIA</t>
        </is>
      </c>
      <c r="B2646" s="9" t="inlineStr">
        <is>
          <t>CYNTHIA 18/02/2026</t>
        </is>
      </c>
      <c r="C2646" s="9" t="inlineStr">
        <is>
          <t>2026-02-18</t>
        </is>
      </c>
      <c r="D2646" s="9" t="inlineStr">
        <is>
          <t>43047196360844</t>
        </is>
      </c>
      <c r="E2646" s="9" t="inlineStr">
        <is>
          <t>ARETES CORAZÓN GRABADO SILVER</t>
        </is>
      </c>
      <c r="F2646" s="9" t="inlineStr">
        <is>
          <t>Default Title</t>
        </is>
      </c>
      <c r="G2646" s="9" t="n">
        <v>2</v>
      </c>
      <c r="H2646" s="21" t="n">
        <v>5.4</v>
      </c>
      <c r="I2646" s="21" t="n">
        <v>146.03</v>
      </c>
      <c r="J2646" s="21" t="n">
        <v>438.1</v>
      </c>
      <c r="K2646" s="21" t="n">
        <v>511.12</v>
      </c>
      <c r="L2646" s="21" t="n">
        <v>584.14</v>
      </c>
      <c r="M2646" s="21" t="n">
        <v>550</v>
      </c>
    </row>
    <row r="2647">
      <c r="A2647" s="9" t="inlineStr">
        <is>
          <t>CYNTHIA</t>
        </is>
      </c>
      <c r="B2647" s="9" t="inlineStr">
        <is>
          <t>CYNTHIA 18/02/2026</t>
        </is>
      </c>
      <c r="C2647" s="9" t="inlineStr">
        <is>
          <t>2026-02-18</t>
        </is>
      </c>
      <c r="D2647" s="9" t="inlineStr">
        <is>
          <t>15711172175405</t>
        </is>
      </c>
      <c r="E2647" s="9" t="inlineStr">
        <is>
          <t>ARETES DIORIVIERA GOLD CD</t>
        </is>
      </c>
      <c r="F2647" s="9" t="inlineStr">
        <is>
          <t>Default Title</t>
        </is>
      </c>
      <c r="G2647" s="9" t="n">
        <v>4</v>
      </c>
      <c r="H2647" s="21" t="n">
        <v>10</v>
      </c>
      <c r="I2647" s="21" t="n">
        <v>270.43</v>
      </c>
      <c r="J2647" s="21" t="n">
        <v>811.3</v>
      </c>
      <c r="K2647" s="21" t="n">
        <v>946.52</v>
      </c>
      <c r="L2647" s="21" t="n">
        <v>1081.73</v>
      </c>
      <c r="M2647" s="21" t="n">
        <v>950</v>
      </c>
    </row>
    <row r="2648">
      <c r="A2648" s="9" t="inlineStr">
        <is>
          <t>CYNTHIA</t>
        </is>
      </c>
      <c r="B2648" s="9" t="inlineStr">
        <is>
          <t>CYNTHIA 18/02/2026</t>
        </is>
      </c>
      <c r="C2648" s="9" t="inlineStr">
        <is>
          <t>2026-02-18</t>
        </is>
      </c>
      <c r="D2648" s="9" t="inlineStr">
        <is>
          <t>63e0bd172995f-1</t>
        </is>
      </c>
      <c r="E2648" s="9" t="inlineStr">
        <is>
          <t>ARETES LV GOLD</t>
        </is>
      </c>
      <c r="F2648" s="9" t="inlineStr">
        <is>
          <t>Regular</t>
        </is>
      </c>
      <c r="G2648" s="9" t="n">
        <v>2</v>
      </c>
      <c r="H2648" s="21" t="n">
        <v>5.18</v>
      </c>
      <c r="I2648" s="21" t="n">
        <v>140.08</v>
      </c>
      <c r="J2648" s="21" t="n">
        <v>420.25</v>
      </c>
      <c r="K2648" s="21" t="n">
        <v>490.3</v>
      </c>
      <c r="L2648" s="21" t="n">
        <v>560.34</v>
      </c>
      <c r="M2648" s="21" t="n">
        <v>559</v>
      </c>
    </row>
    <row r="2649">
      <c r="A2649" s="9" t="inlineStr">
        <is>
          <t>CYNTHIA</t>
        </is>
      </c>
      <c r="B2649" s="9" t="inlineStr">
        <is>
          <t>CYNTHIA 18/02/2026</t>
        </is>
      </c>
      <c r="C2649" s="9" t="inlineStr">
        <is>
          <t>2026-02-18</t>
        </is>
      </c>
      <c r="D2649" s="9" t="inlineStr">
        <is>
          <t>63e0bd1a27e4e</t>
        </is>
      </c>
      <c r="E2649" s="9" t="inlineStr">
        <is>
          <t>ARETES LV SILVER</t>
        </is>
      </c>
      <c r="F2649" s="9" t="inlineStr">
        <is>
          <t>Default Title</t>
        </is>
      </c>
      <c r="G2649" s="9" t="n">
        <v>2</v>
      </c>
      <c r="H2649" s="21" t="n">
        <v>5.18</v>
      </c>
      <c r="I2649" s="21" t="n">
        <v>140.08</v>
      </c>
      <c r="J2649" s="21" t="n">
        <v>420.25</v>
      </c>
      <c r="K2649" s="21" t="n">
        <v>490.3</v>
      </c>
      <c r="L2649" s="21" t="n">
        <v>560.34</v>
      </c>
      <c r="M2649" s="21" t="n">
        <v>565</v>
      </c>
    </row>
    <row r="2650">
      <c r="A2650" s="9" t="inlineStr">
        <is>
          <t>CYNTHIA</t>
        </is>
      </c>
      <c r="B2650" s="9" t="inlineStr">
        <is>
          <t>CYNTHIA 18/02/2026</t>
        </is>
      </c>
      <c r="C2650" s="9" t="inlineStr">
        <is>
          <t>2026-02-18</t>
        </is>
      </c>
      <c r="D2650" s="9" t="inlineStr">
        <is>
          <t>43047214612620</t>
        </is>
      </c>
      <c r="E2650" s="9" t="inlineStr">
        <is>
          <t>ARETES SIXTEEN STONE</t>
        </is>
      </c>
      <c r="F2650" s="9" t="inlineStr">
        <is>
          <t>Default Title</t>
        </is>
      </c>
      <c r="G2650" s="9" t="n">
        <v>1</v>
      </c>
      <c r="H2650" s="21" t="n">
        <v>12.8</v>
      </c>
      <c r="I2650" s="21" t="n">
        <v>346.16</v>
      </c>
      <c r="J2650" s="21" t="n">
        <v>1038.47</v>
      </c>
      <c r="K2650" s="21" t="n">
        <v>1211.54</v>
      </c>
      <c r="L2650" s="21" t="n">
        <v>1384.62</v>
      </c>
      <c r="M2650" s="21" t="n">
        <v>1329</v>
      </c>
    </row>
    <row r="2651">
      <c r="A2651" s="9" t="inlineStr">
        <is>
          <t>CYNTHIA</t>
        </is>
      </c>
      <c r="B2651" s="9" t="inlineStr">
        <is>
          <t>CYNTHIA 18/02/2026</t>
        </is>
      </c>
      <c r="C2651" s="9" t="inlineStr">
        <is>
          <t>2026-02-18</t>
        </is>
      </c>
      <c r="D2651" s="9" t="inlineStr">
        <is>
          <t>34876761251373</t>
        </is>
      </c>
      <c r="E2651" s="9" t="inlineStr">
        <is>
          <t>ARETES T SQUARE SIXTEEN STONE</t>
        </is>
      </c>
      <c r="F2651" s="9" t="inlineStr">
        <is>
          <t>Default Title</t>
        </is>
      </c>
      <c r="G2651" s="9" t="n">
        <v>4</v>
      </c>
      <c r="H2651" s="21" t="n">
        <v>7</v>
      </c>
      <c r="I2651" s="21" t="n">
        <v>189.3</v>
      </c>
      <c r="J2651" s="21" t="n">
        <v>567.91</v>
      </c>
      <c r="K2651" s="21" t="n">
        <v>662.5599999999999</v>
      </c>
      <c r="L2651" s="21" t="n">
        <v>757.21</v>
      </c>
      <c r="M2651" s="21" t="n">
        <v>750</v>
      </c>
    </row>
    <row r="2652">
      <c r="A2652" s="9" t="inlineStr">
        <is>
          <t>CYNTHIA</t>
        </is>
      </c>
      <c r="B2652" s="9" t="inlineStr">
        <is>
          <t>CYNTHIA 18/02/2026</t>
        </is>
      </c>
      <c r="C2652" s="9" t="inlineStr">
        <is>
          <t>2026-02-18</t>
        </is>
      </c>
      <c r="D2652" s="9" t="inlineStr">
        <is>
          <t>63529311036333</t>
        </is>
      </c>
      <c r="E2652" s="9" t="inlineStr">
        <is>
          <t>ARETES T-SMILE GOLD CON ZIRCONIAS</t>
        </is>
      </c>
      <c r="F2652" s="9" t="inlineStr">
        <is>
          <t>Default Title</t>
        </is>
      </c>
      <c r="G2652" s="9" t="n">
        <v>1</v>
      </c>
      <c r="H2652" s="21" t="n">
        <v>6.8</v>
      </c>
      <c r="I2652" s="21" t="n">
        <v>183.89</v>
      </c>
      <c r="J2652" s="21" t="n">
        <v>551.6799999999999</v>
      </c>
      <c r="K2652" s="21" t="n">
        <v>643.63</v>
      </c>
      <c r="L2652" s="21" t="n">
        <v>735.58</v>
      </c>
      <c r="M2652" s="21" t="n">
        <v>739</v>
      </c>
    </row>
    <row r="2653">
      <c r="A2653" s="9" t="inlineStr">
        <is>
          <t>CYNTHIA</t>
        </is>
      </c>
      <c r="B2653" s="9" t="inlineStr">
        <is>
          <t>CYNTHIA 18/02/2026</t>
        </is>
      </c>
      <c r="C2653" s="9" t="inlineStr">
        <is>
          <t>2026-02-18</t>
        </is>
      </c>
      <c r="D2653" s="9" t="inlineStr">
        <is>
          <t>42101481043501</t>
        </is>
      </c>
      <c r="E2653" s="9" t="inlineStr">
        <is>
          <t>BOLSA CC Nº25</t>
        </is>
      </c>
      <c r="F2653" s="9" t="inlineStr">
        <is>
          <t>HIGH QUALITY</t>
        </is>
      </c>
      <c r="G2653" s="9" t="n">
        <v>2</v>
      </c>
      <c r="H2653" s="21" t="n">
        <v>66</v>
      </c>
      <c r="I2653" s="21" t="n">
        <v>1784.86</v>
      </c>
      <c r="J2653" s="21" t="n">
        <v>5354.59</v>
      </c>
      <c r="K2653" s="21" t="n">
        <v>6247.02</v>
      </c>
      <c r="L2653" s="21" t="n">
        <v>7139.45</v>
      </c>
      <c r="M2653" s="21" t="n">
        <v>5999</v>
      </c>
    </row>
    <row r="2654">
      <c r="A2654" s="9" t="inlineStr">
        <is>
          <t>CYNTHIA</t>
        </is>
      </c>
      <c r="B2654" s="9" t="inlineStr">
        <is>
          <t>CYNTHIA 18/02/2026</t>
        </is>
      </c>
      <c r="C2654" s="9" t="inlineStr">
        <is>
          <t>2026-02-18</t>
        </is>
      </c>
      <c r="D2654" s="9" t="inlineStr">
        <is>
          <t>98269341115213</t>
        </is>
      </c>
      <c r="E2654" s="9" t="inlineStr">
        <is>
          <t>BOLSA CC Nº25 BURDEOS</t>
        </is>
      </c>
      <c r="F2654" s="9" t="inlineStr">
        <is>
          <t>Default Title</t>
        </is>
      </c>
      <c r="G2654" s="9" t="n">
        <v>2</v>
      </c>
      <c r="H2654" s="21" t="n">
        <v>66</v>
      </c>
      <c r="I2654" s="21" t="n">
        <v>1784.86</v>
      </c>
      <c r="J2654" s="21" t="n">
        <v>5354.59</v>
      </c>
      <c r="K2654" s="21" t="n">
        <v>6247.02</v>
      </c>
      <c r="L2654" s="21" t="n">
        <v>7139.45</v>
      </c>
      <c r="M2654" s="21" t="n">
        <v>6999.6</v>
      </c>
    </row>
    <row r="2655">
      <c r="A2655" s="9" t="inlineStr">
        <is>
          <t>CYNTHIA</t>
        </is>
      </c>
      <c r="B2655" s="9" t="inlineStr">
        <is>
          <t>CYNTHIA 18/02/2026</t>
        </is>
      </c>
      <c r="C2655" s="9" t="inlineStr">
        <is>
          <t>2026-02-18</t>
        </is>
      </c>
      <c r="D2655" s="9" t="inlineStr">
        <is>
          <t>66581e33ea15d</t>
        </is>
      </c>
      <c r="E2655" s="9" t="inlineStr">
        <is>
          <t>BOLSA G GREEN</t>
        </is>
      </c>
      <c r="F2655" s="9" t="inlineStr">
        <is>
          <t>34cm largo x 27cm ancho</t>
        </is>
      </c>
      <c r="G2655" s="9" t="n">
        <v>2</v>
      </c>
      <c r="H2655" s="21" t="n">
        <v>40</v>
      </c>
      <c r="I2655" s="21" t="n">
        <v>1081.73</v>
      </c>
      <c r="J2655" s="21" t="n">
        <v>3245.2</v>
      </c>
      <c r="K2655" s="21" t="n">
        <v>3786.07</v>
      </c>
      <c r="L2655" s="21" t="n">
        <v>4326.94</v>
      </c>
      <c r="M2655" s="21" t="n">
        <v>4250</v>
      </c>
    </row>
    <row r="2656">
      <c r="A2656" s="9" t="inlineStr">
        <is>
          <t>CYNTHIA</t>
        </is>
      </c>
      <c r="B2656" s="9" t="inlineStr">
        <is>
          <t>CYNTHIA 18/02/2026</t>
        </is>
      </c>
      <c r="C2656" s="9" t="inlineStr">
        <is>
          <t>2026-02-18</t>
        </is>
      </c>
      <c r="D2656" s="9" t="inlineStr">
        <is>
          <t>66581e37d7ef3</t>
        </is>
      </c>
      <c r="E2656" s="9" t="inlineStr">
        <is>
          <t>BOLSA LV BROWN</t>
        </is>
      </c>
      <c r="F2656" s="9" t="inlineStr">
        <is>
          <t>21.5cm de largo x 12cm de alto x 5cm de ancho</t>
        </is>
      </c>
      <c r="G2656" s="9" t="n">
        <v>8</v>
      </c>
      <c r="H2656" s="21" t="n">
        <v>55</v>
      </c>
      <c r="I2656" s="21" t="n">
        <v>1487.39</v>
      </c>
      <c r="J2656" s="21" t="n">
        <v>4462.16</v>
      </c>
      <c r="K2656" s="21" t="n">
        <v>5205.85</v>
      </c>
      <c r="L2656" s="21" t="n">
        <v>5949.54</v>
      </c>
      <c r="M2656" s="21" t="n">
        <v>6050</v>
      </c>
    </row>
    <row r="2657">
      <c r="A2657" s="9" t="inlineStr">
        <is>
          <t>CYNTHIA</t>
        </is>
      </c>
      <c r="B2657" s="9" t="inlineStr">
        <is>
          <t>CYNTHIA 18/02/2026</t>
        </is>
      </c>
      <c r="C2657" s="9" t="inlineStr">
        <is>
          <t>2026-02-18</t>
        </is>
      </c>
      <c r="D2657" s="9" t="inlineStr">
        <is>
          <t>6701d27b47f9e</t>
        </is>
      </c>
      <c r="E2657" s="9" t="inlineStr">
        <is>
          <t>BOLSO C AVA TRIOMPHE BLACK</t>
        </is>
      </c>
      <c r="F2657" s="9" t="inlineStr">
        <is>
          <t>22cm de largo x 12cm de alto x 6cm de ancho</t>
        </is>
      </c>
      <c r="G2657" s="9" t="n">
        <v>2</v>
      </c>
      <c r="H2657" s="21" t="n">
        <v>46</v>
      </c>
      <c r="I2657" s="21" t="n">
        <v>1243.99</v>
      </c>
      <c r="J2657" s="21" t="n">
        <v>3731.98</v>
      </c>
      <c r="K2657" s="21" t="n">
        <v>4353.98</v>
      </c>
      <c r="L2657" s="21" t="n">
        <v>4975.98</v>
      </c>
      <c r="M2657" s="21" t="n">
        <v>4359</v>
      </c>
    </row>
    <row r="2658">
      <c r="A2658" s="9" t="inlineStr">
        <is>
          <t>CYNTHIA</t>
        </is>
      </c>
      <c r="B2658" s="9" t="inlineStr">
        <is>
          <t>CYNTHIA 18/02/2026</t>
        </is>
      </c>
      <c r="C2658" s="9" t="inlineStr">
        <is>
          <t>2026-02-18</t>
        </is>
      </c>
      <c r="D2658" s="9" t="inlineStr">
        <is>
          <t>14401521547373</t>
        </is>
      </c>
      <c r="E2658" s="9" t="inlineStr">
        <is>
          <t>BOLSO C CABAS PANIER BLACK</t>
        </is>
      </c>
      <c r="F2658" s="9" t="inlineStr">
        <is>
          <t>Default Title</t>
        </is>
      </c>
      <c r="G2658" s="9" t="n">
        <v>2</v>
      </c>
      <c r="H2658" s="21" t="n">
        <v>43</v>
      </c>
      <c r="I2658" s="21" t="n">
        <v>1162.86</v>
      </c>
      <c r="J2658" s="21" t="n">
        <v>3488.59</v>
      </c>
      <c r="K2658" s="21" t="n">
        <v>4070.03</v>
      </c>
      <c r="L2658" s="21" t="n">
        <v>4651.46</v>
      </c>
      <c r="M2658" s="21" t="n">
        <v>4469</v>
      </c>
    </row>
    <row r="2659">
      <c r="A2659" s="9" t="inlineStr">
        <is>
          <t>CYNTHIA</t>
        </is>
      </c>
      <c r="B2659" s="9" t="inlineStr">
        <is>
          <t>CYNTHIA 18/02/2026</t>
        </is>
      </c>
      <c r="C2659" s="9" t="inlineStr">
        <is>
          <t>2026-02-18</t>
        </is>
      </c>
      <c r="D2659" s="9" t="inlineStr">
        <is>
          <t>14401521745677</t>
        </is>
      </c>
      <c r="E2659" s="9" t="inlineStr">
        <is>
          <t>BOLSO C CABAS PANIER BROWN</t>
        </is>
      </c>
      <c r="F2659" s="9" t="inlineStr">
        <is>
          <t>Default Title</t>
        </is>
      </c>
      <c r="G2659" s="9" t="n">
        <v>1</v>
      </c>
      <c r="H2659" s="21" t="n">
        <v>43</v>
      </c>
      <c r="I2659" s="21" t="n">
        <v>1162.86</v>
      </c>
      <c r="J2659" s="21" t="n">
        <v>3488.59</v>
      </c>
      <c r="K2659" s="21" t="n">
        <v>4070.03</v>
      </c>
      <c r="L2659" s="21" t="n">
        <v>4651.46</v>
      </c>
      <c r="M2659" s="21" t="n">
        <v>4469</v>
      </c>
    </row>
    <row r="2660">
      <c r="A2660" s="9" t="inlineStr">
        <is>
          <t>CYNTHIA</t>
        </is>
      </c>
      <c r="B2660" s="9" t="inlineStr">
        <is>
          <t>CYNTHIA 18/02/2026</t>
        </is>
      </c>
      <c r="C2660" s="9" t="inlineStr">
        <is>
          <t>2026-02-18</t>
        </is>
      </c>
      <c r="D2660" s="9" t="inlineStr">
        <is>
          <t>14401521878445</t>
        </is>
      </c>
      <c r="E2660" s="9" t="inlineStr">
        <is>
          <t>BOLSO C HALFMOON BLACK</t>
        </is>
      </c>
      <c r="F2660" s="9" t="inlineStr">
        <is>
          <t>Default Title</t>
        </is>
      </c>
      <c r="G2660" s="9" t="n">
        <v>1</v>
      </c>
      <c r="H2660" s="21" t="n">
        <v>65</v>
      </c>
      <c r="I2660" s="21" t="n">
        <v>1757.82</v>
      </c>
      <c r="J2660" s="21" t="n">
        <v>5273.46</v>
      </c>
      <c r="K2660" s="21" t="n">
        <v>6152.37</v>
      </c>
      <c r="L2660" s="21" t="n">
        <v>7031.27</v>
      </c>
      <c r="M2660" s="21" t="n">
        <v>5910</v>
      </c>
    </row>
    <row r="2661">
      <c r="A2661" s="9" t="inlineStr">
        <is>
          <t>CYNTHIA</t>
        </is>
      </c>
      <c r="B2661" s="9" t="inlineStr">
        <is>
          <t>CYNTHIA 18/02/2026</t>
        </is>
      </c>
      <c r="C2661" s="9" t="inlineStr">
        <is>
          <t>2026-02-18</t>
        </is>
      </c>
      <c r="D2661" s="9" t="inlineStr">
        <is>
          <t>14401521612909</t>
        </is>
      </c>
      <c r="E2661" s="9" t="inlineStr">
        <is>
          <t>BOLSO C PANIER HOBO</t>
        </is>
      </c>
      <c r="F2661" s="9" t="inlineStr">
        <is>
          <t>Default Title</t>
        </is>
      </c>
      <c r="G2661" s="9" t="n">
        <v>1</v>
      </c>
      <c r="H2661" s="21" t="n">
        <v>42</v>
      </c>
      <c r="I2661" s="21" t="n">
        <v>1135.82</v>
      </c>
      <c r="J2661" s="21" t="n">
        <v>3407.46</v>
      </c>
      <c r="K2661" s="21" t="n">
        <v>3975.37</v>
      </c>
      <c r="L2661" s="21" t="n">
        <v>4543.29</v>
      </c>
      <c r="M2661" s="21" t="n">
        <v>4459</v>
      </c>
    </row>
    <row r="2662">
      <c r="A2662" s="9" t="inlineStr">
        <is>
          <t>CYNTHIA</t>
        </is>
      </c>
      <c r="B2662" s="9" t="inlineStr">
        <is>
          <t>CYNTHIA 18/02/2026</t>
        </is>
      </c>
      <c r="C2662" s="9" t="inlineStr">
        <is>
          <t>2026-02-18</t>
        </is>
      </c>
      <c r="D2662" s="9" t="inlineStr">
        <is>
          <t>71092951532237</t>
        </is>
      </c>
      <c r="E2662" s="9" t="inlineStr">
        <is>
          <t>BOLSO C TRIOMPHE TEEN</t>
        </is>
      </c>
      <c r="F2662" s="9" t="inlineStr">
        <is>
          <t>Default Title</t>
        </is>
      </c>
      <c r="G2662" s="9" t="n">
        <v>2</v>
      </c>
      <c r="H2662" s="21" t="n">
        <v>59</v>
      </c>
      <c r="I2662" s="21" t="n">
        <v>1595.56</v>
      </c>
      <c r="J2662" s="21" t="n">
        <v>4786.68</v>
      </c>
      <c r="K2662" s="21" t="n">
        <v>5584.45</v>
      </c>
      <c r="L2662" s="21" t="n">
        <v>6382.23</v>
      </c>
      <c r="M2662" s="21" t="n">
        <v>6259</v>
      </c>
    </row>
    <row r="2663">
      <c r="A2663" s="9" t="inlineStr">
        <is>
          <t>CYNTHIA</t>
        </is>
      </c>
      <c r="B2663" s="9" t="inlineStr">
        <is>
          <t>CYNTHIA 18/02/2026</t>
        </is>
      </c>
      <c r="C2663" s="9" t="inlineStr">
        <is>
          <t>2026-02-18</t>
        </is>
      </c>
      <c r="D2663" s="9" t="inlineStr">
        <is>
          <t>24469411472813</t>
        </is>
      </c>
      <c r="E2663" s="9" t="inlineStr">
        <is>
          <t>BOLSO CC CLASIC BROWN</t>
        </is>
      </c>
      <c r="F2663" s="9" t="inlineStr">
        <is>
          <t>Default Title</t>
        </is>
      </c>
      <c r="G2663" s="9" t="n">
        <v>3</v>
      </c>
      <c r="H2663" s="21" t="n">
        <v>54</v>
      </c>
      <c r="I2663" s="21" t="n">
        <v>1460.34</v>
      </c>
      <c r="J2663" s="21" t="n">
        <v>4381.03</v>
      </c>
      <c r="K2663" s="21" t="n">
        <v>5111.2</v>
      </c>
      <c r="L2663" s="21" t="n">
        <v>5841.37</v>
      </c>
      <c r="M2663" s="21" t="n">
        <v>4999</v>
      </c>
    </row>
    <row r="2664">
      <c r="A2664" s="9" t="inlineStr">
        <is>
          <t>CYNTHIA</t>
        </is>
      </c>
      <c r="B2664" s="9" t="inlineStr">
        <is>
          <t>CYNTHIA 18/02/2026</t>
        </is>
      </c>
      <c r="C2664" s="9" t="inlineStr">
        <is>
          <t>2026-02-18</t>
        </is>
      </c>
      <c r="D2664" s="9" t="inlineStr">
        <is>
          <t>14401522920237</t>
        </is>
      </c>
      <c r="E2664" s="9" t="inlineStr">
        <is>
          <t>BOLSO CC DOUBLE FLAP</t>
        </is>
      </c>
      <c r="F2664" s="9" t="inlineStr">
        <is>
          <t>Default Title</t>
        </is>
      </c>
      <c r="G2664" s="9" t="n">
        <v>1</v>
      </c>
      <c r="H2664" s="21" t="n">
        <v>72</v>
      </c>
      <c r="I2664" s="21" t="n">
        <v>1947.12</v>
      </c>
      <c r="J2664" s="21" t="n">
        <v>5841.37</v>
      </c>
      <c r="K2664" s="21" t="n">
        <v>6814.93</v>
      </c>
      <c r="L2664" s="21" t="n">
        <v>7788.49</v>
      </c>
      <c r="M2664" s="21" t="n">
        <v>6540</v>
      </c>
    </row>
    <row r="2665">
      <c r="A2665" s="9" t="inlineStr">
        <is>
          <t>CYNTHIA</t>
        </is>
      </c>
      <c r="B2665" s="9" t="inlineStr">
        <is>
          <t>CYNTHIA 18/02/2026</t>
        </is>
      </c>
      <c r="C2665" s="9" t="inlineStr">
        <is>
          <t>2026-02-18</t>
        </is>
      </c>
      <c r="D2665" s="9" t="inlineStr">
        <is>
          <t>98269351344877</t>
        </is>
      </c>
      <c r="E2665" s="9" t="inlineStr">
        <is>
          <t>BOLSO CC MINI KELLY BURDEOS</t>
        </is>
      </c>
      <c r="F2665" s="9" t="inlineStr">
        <is>
          <t>Default Title</t>
        </is>
      </c>
      <c r="G2665" s="9" t="n">
        <v>2</v>
      </c>
      <c r="H2665" s="21" t="n">
        <v>53</v>
      </c>
      <c r="I2665" s="21" t="n">
        <v>1433.3</v>
      </c>
      <c r="J2665" s="21" t="n">
        <v>4299.9</v>
      </c>
      <c r="K2665" s="21" t="n">
        <v>5016.54</v>
      </c>
      <c r="L2665" s="21" t="n">
        <v>5733.19</v>
      </c>
      <c r="M2665" s="21" t="n">
        <v>5629</v>
      </c>
    </row>
    <row r="2666">
      <c r="A2666" s="9" t="inlineStr">
        <is>
          <t>CYNTHIA</t>
        </is>
      </c>
      <c r="B2666" s="9" t="inlineStr">
        <is>
          <t>CYNTHIA 18/02/2026</t>
        </is>
      </c>
      <c r="C2666" s="9" t="inlineStr">
        <is>
          <t>2026-02-18</t>
        </is>
      </c>
      <c r="D2666" s="9" t="inlineStr">
        <is>
          <t>71092951310861</t>
        </is>
      </c>
      <c r="E2666" s="9" t="inlineStr">
        <is>
          <t>BOLSO CC VANITY WHITE</t>
        </is>
      </c>
      <c r="F2666" s="9" t="inlineStr">
        <is>
          <t>Default Title</t>
        </is>
      </c>
      <c r="G2666" s="9" t="n">
        <v>2</v>
      </c>
      <c r="H2666" s="21" t="n">
        <v>52</v>
      </c>
      <c r="I2666" s="21" t="n">
        <v>1406.25</v>
      </c>
      <c r="J2666" s="21" t="n">
        <v>4218.76</v>
      </c>
      <c r="K2666" s="21" t="n">
        <v>4921.89</v>
      </c>
      <c r="L2666" s="21" t="n">
        <v>5625.02</v>
      </c>
      <c r="M2666" s="21" t="n">
        <v>4729</v>
      </c>
    </row>
    <row r="2667">
      <c r="A2667" s="9" t="inlineStr">
        <is>
          <t>CYNTHIA</t>
        </is>
      </c>
      <c r="B2667" s="9" t="inlineStr">
        <is>
          <t>CYNTHIA 18/02/2026</t>
        </is>
      </c>
      <c r="C2667" s="9" t="inlineStr">
        <is>
          <t>2026-02-18</t>
        </is>
      </c>
      <c r="D2667" s="9" t="inlineStr">
        <is>
          <t>14401523449613</t>
        </is>
      </c>
      <c r="E2667" s="9" t="inlineStr">
        <is>
          <t>BOLSO CD CON CREMALLERA</t>
        </is>
      </c>
      <c r="F2667" s="9" t="inlineStr">
        <is>
          <t>Default Title</t>
        </is>
      </c>
      <c r="G2667" s="9" t="n">
        <v>2</v>
      </c>
      <c r="H2667" s="21" t="n">
        <v>48</v>
      </c>
      <c r="I2667" s="21" t="n">
        <v>1298.08</v>
      </c>
      <c r="J2667" s="21" t="n">
        <v>3894.24</v>
      </c>
      <c r="K2667" s="21" t="n">
        <v>4543.29</v>
      </c>
      <c r="L2667" s="21" t="n">
        <v>5192.33</v>
      </c>
      <c r="M2667" s="21" t="n">
        <v>5095</v>
      </c>
    </row>
    <row r="2668">
      <c r="A2668" s="9" t="inlineStr">
        <is>
          <t>CYNTHIA</t>
        </is>
      </c>
      <c r="B2668" s="9" t="inlineStr">
        <is>
          <t>CYNTHIA 18/02/2026</t>
        </is>
      </c>
      <c r="C2668" s="9" t="inlineStr">
        <is>
          <t>2026-02-18</t>
        </is>
      </c>
      <c r="D2668" s="9" t="inlineStr">
        <is>
          <t>62809482933772</t>
        </is>
      </c>
      <c r="E2668" s="9" t="inlineStr">
        <is>
          <t>BOLSO CD MESSENGER SADDLE BLUE</t>
        </is>
      </c>
      <c r="F2668" s="9" t="inlineStr">
        <is>
          <t>20cm de largo x 14cm de alto x 5cm de ancho</t>
        </is>
      </c>
      <c r="G2668" s="9" t="n">
        <v>2</v>
      </c>
      <c r="H2668" s="21" t="n">
        <v>49</v>
      </c>
      <c r="I2668" s="21" t="n">
        <v>1325.12</v>
      </c>
      <c r="J2668" s="21" t="n">
        <v>3975.37</v>
      </c>
      <c r="K2668" s="21" t="n">
        <v>4637.94</v>
      </c>
      <c r="L2668" s="21" t="n">
        <v>5300.5</v>
      </c>
      <c r="M2668" s="21" t="n">
        <v>4700</v>
      </c>
    </row>
    <row r="2669">
      <c r="A2669" s="9" t="inlineStr">
        <is>
          <t>CYNTHIA</t>
        </is>
      </c>
      <c r="B2669" s="9" t="inlineStr">
        <is>
          <t>CYNTHIA 18/02/2026</t>
        </is>
      </c>
      <c r="C2669" s="9" t="inlineStr">
        <is>
          <t>2026-02-18</t>
        </is>
      </c>
      <c r="D2669" s="9" t="inlineStr">
        <is>
          <t>6701d2610aff8</t>
        </is>
      </c>
      <c r="E2669" s="9" t="inlineStr">
        <is>
          <t>BOLSO G BROWN</t>
        </is>
      </c>
      <c r="F2669" s="9" t="inlineStr">
        <is>
          <t>54cm de largo x 29.8cm de alto</t>
        </is>
      </c>
      <c r="G2669" s="9" t="n">
        <v>1</v>
      </c>
      <c r="H2669" s="21" t="n">
        <v>49</v>
      </c>
      <c r="I2669" s="21" t="n">
        <v>1325.12</v>
      </c>
      <c r="J2669" s="21" t="n">
        <v>3975.37</v>
      </c>
      <c r="K2669" s="21" t="n">
        <v>4637.94</v>
      </c>
      <c r="L2669" s="21" t="n">
        <v>5300.5</v>
      </c>
      <c r="M2669" s="21" t="n">
        <v>5200</v>
      </c>
    </row>
    <row r="2670">
      <c r="A2670" s="9" t="inlineStr">
        <is>
          <t>CYNTHIA</t>
        </is>
      </c>
      <c r="B2670" s="9" t="inlineStr">
        <is>
          <t>CYNTHIA 18/02/2026</t>
        </is>
      </c>
      <c r="C2670" s="9" t="inlineStr">
        <is>
          <t>2026-02-18</t>
        </is>
      </c>
      <c r="D2670" s="9" t="inlineStr">
        <is>
          <t>6701d2613fe66</t>
        </is>
      </c>
      <c r="E2670" s="9" t="inlineStr">
        <is>
          <t>BOLSO G DARK BLUE</t>
        </is>
      </c>
      <c r="F2670" s="9" t="inlineStr">
        <is>
          <t>54cm de largo x 29.8cm de alto</t>
        </is>
      </c>
      <c r="G2670" s="9" t="n">
        <v>8</v>
      </c>
      <c r="H2670" s="21" t="n">
        <v>48</v>
      </c>
      <c r="I2670" s="21" t="n">
        <v>1298.08</v>
      </c>
      <c r="J2670" s="21" t="n">
        <v>3894.24</v>
      </c>
      <c r="K2670" s="21" t="n">
        <v>4543.29</v>
      </c>
      <c r="L2670" s="21" t="n">
        <v>5192.33</v>
      </c>
      <c r="M2670" s="21" t="n">
        <v>4549</v>
      </c>
    </row>
    <row r="2671">
      <c r="A2671" s="9" t="inlineStr">
        <is>
          <t>CYNTHIA</t>
        </is>
      </c>
      <c r="B2671" s="9" t="inlineStr">
        <is>
          <t>CYNTHIA 18/02/2026</t>
        </is>
      </c>
      <c r="C2671" s="9" t="inlineStr">
        <is>
          <t>2026-02-18</t>
        </is>
      </c>
      <c r="D2671" s="9" t="inlineStr">
        <is>
          <t>71092951414253</t>
        </is>
      </c>
      <c r="E2671" s="9" t="inlineStr">
        <is>
          <t>BOLSO GC MARMONT ALL WHITE</t>
        </is>
      </c>
      <c r="F2671" s="9" t="inlineStr">
        <is>
          <t>Default Title</t>
        </is>
      </c>
      <c r="G2671" s="9" t="n">
        <v>2</v>
      </c>
      <c r="H2671" s="21" t="n">
        <v>52</v>
      </c>
      <c r="I2671" s="21" t="n">
        <v>1406.25</v>
      </c>
      <c r="J2671" s="21" t="n">
        <v>4218.76</v>
      </c>
      <c r="K2671" s="21" t="n">
        <v>4921.89</v>
      </c>
      <c r="L2671" s="21" t="n">
        <v>5625.02</v>
      </c>
      <c r="M2671" s="21" t="n">
        <v>5515</v>
      </c>
    </row>
    <row r="2672">
      <c r="A2672" s="9" t="inlineStr">
        <is>
          <t>CYNTHIA</t>
        </is>
      </c>
      <c r="B2672" s="9" t="inlineStr">
        <is>
          <t>CYNTHIA 18/02/2026</t>
        </is>
      </c>
      <c r="C2672" s="9" t="inlineStr">
        <is>
          <t>2026-02-18</t>
        </is>
      </c>
      <c r="D2672" s="9" t="inlineStr">
        <is>
          <t>14401521907821</t>
        </is>
      </c>
      <c r="E2672" s="9" t="inlineStr">
        <is>
          <t>BOLSO GC SHOULDER BLACK</t>
        </is>
      </c>
      <c r="F2672" s="9" t="inlineStr">
        <is>
          <t>Default Title</t>
        </is>
      </c>
      <c r="G2672" s="9" t="n">
        <v>1</v>
      </c>
      <c r="H2672" s="21" t="n">
        <v>56</v>
      </c>
      <c r="I2672" s="21" t="n">
        <v>1514.43</v>
      </c>
      <c r="J2672" s="21" t="n">
        <v>4543.29</v>
      </c>
      <c r="K2672" s="21" t="n">
        <v>5300.5</v>
      </c>
      <c r="L2672" s="21" t="n">
        <v>6057.71</v>
      </c>
      <c r="M2672" s="21" t="n">
        <v>5815</v>
      </c>
    </row>
    <row r="2673">
      <c r="A2673" s="9" t="inlineStr">
        <is>
          <t>CYNTHIA</t>
        </is>
      </c>
      <c r="B2673" s="9" t="inlineStr">
        <is>
          <t>CYNTHIA 18/02/2026</t>
        </is>
      </c>
      <c r="C2673" s="9" t="inlineStr">
        <is>
          <t>2026-02-18</t>
        </is>
      </c>
      <c r="D2673" s="9" t="inlineStr">
        <is>
          <t>14401522499341</t>
        </is>
      </c>
      <c r="E2673" s="9" t="inlineStr">
        <is>
          <t>BOLSO GC SHOULDER SUPREME</t>
        </is>
      </c>
      <c r="F2673" s="9" t="inlineStr">
        <is>
          <t>Default Title</t>
        </is>
      </c>
      <c r="G2673" s="9" t="n">
        <v>1</v>
      </c>
      <c r="H2673" s="21" t="n">
        <v>49</v>
      </c>
      <c r="I2673" s="21" t="n">
        <v>1325.12</v>
      </c>
      <c r="J2673" s="21" t="n">
        <v>3975.37</v>
      </c>
      <c r="K2673" s="21" t="n">
        <v>4637.94</v>
      </c>
      <c r="L2673" s="21" t="n">
        <v>5300.5</v>
      </c>
      <c r="M2673" s="21" t="n">
        <v>5300</v>
      </c>
    </row>
    <row r="2674">
      <c r="A2674" s="9" t="inlineStr">
        <is>
          <t>CYNTHIA</t>
        </is>
      </c>
      <c r="B2674" s="9" t="inlineStr">
        <is>
          <t>CYNTHIA 18/02/2026</t>
        </is>
      </c>
      <c r="C2674" s="9" t="inlineStr">
        <is>
          <t>2026-02-18</t>
        </is>
      </c>
      <c r="D2674" s="9" t="inlineStr">
        <is>
          <t>14401522038893</t>
        </is>
      </c>
      <c r="E2674" s="9" t="inlineStr">
        <is>
          <t>BOLSO GC TOTE BEATRIX BROWN</t>
        </is>
      </c>
      <c r="F2674" s="9" t="inlineStr">
        <is>
          <t>Default Title</t>
        </is>
      </c>
      <c r="G2674" s="9" t="n">
        <v>2</v>
      </c>
      <c r="H2674" s="21" t="n">
        <v>53</v>
      </c>
      <c r="I2674" s="21" t="n">
        <v>1433.3</v>
      </c>
      <c r="J2674" s="21" t="n">
        <v>4299.9</v>
      </c>
      <c r="K2674" s="21" t="n">
        <v>5016.54</v>
      </c>
      <c r="L2674" s="21" t="n">
        <v>5733.19</v>
      </c>
      <c r="M2674" s="21" t="n">
        <v>5505</v>
      </c>
    </row>
    <row r="2675">
      <c r="A2675" s="9" t="inlineStr">
        <is>
          <t>CYNTHIA</t>
        </is>
      </c>
      <c r="B2675" s="9" t="inlineStr">
        <is>
          <t>CYNTHIA 18/02/2026</t>
        </is>
      </c>
      <c r="C2675" s="9" t="inlineStr">
        <is>
          <t>2026-02-18</t>
        </is>
      </c>
      <c r="D2675" s="9" t="inlineStr">
        <is>
          <t>43728071990540</t>
        </is>
      </c>
      <c r="E2675" s="9" t="inlineStr">
        <is>
          <t>BOLSO LW BLACK</t>
        </is>
      </c>
      <c r="F2675" s="9" t="inlineStr">
        <is>
          <t>28cm x 20cm</t>
        </is>
      </c>
      <c r="G2675" s="9" t="n">
        <v>2</v>
      </c>
      <c r="H2675" s="21" t="n">
        <v>74</v>
      </c>
      <c r="I2675" s="21" t="n">
        <v>2001.21</v>
      </c>
      <c r="J2675" s="21" t="n">
        <v>6003.63</v>
      </c>
      <c r="K2675" s="21" t="n">
        <v>7004.23</v>
      </c>
      <c r="L2675" s="21" t="n">
        <v>8004.84</v>
      </c>
      <c r="M2675" s="21" t="n">
        <v>6999</v>
      </c>
    </row>
    <row r="2676">
      <c r="A2676" s="9" t="inlineStr">
        <is>
          <t>CYNTHIA</t>
        </is>
      </c>
      <c r="B2676" s="9" t="inlineStr">
        <is>
          <t>CYNTHIA 18/02/2026</t>
        </is>
      </c>
      <c r="C2676" s="9" t="inlineStr">
        <is>
          <t>2026-02-18</t>
        </is>
      </c>
      <c r="D2676" s="9" t="inlineStr">
        <is>
          <t>43728082064620</t>
        </is>
      </c>
      <c r="E2676" s="9" t="inlineStr">
        <is>
          <t>BOLSO LW CHERRY</t>
        </is>
      </c>
      <c r="F2676" s="9" t="inlineStr">
        <is>
          <t>28cmx20cm</t>
        </is>
      </c>
      <c r="G2676" s="9" t="n">
        <v>2</v>
      </c>
      <c r="H2676" s="21" t="n">
        <v>74</v>
      </c>
      <c r="I2676" s="21" t="n">
        <v>2001.21</v>
      </c>
      <c r="J2676" s="21" t="n">
        <v>6003.63</v>
      </c>
      <c r="K2676" s="21" t="n">
        <v>7004.23</v>
      </c>
      <c r="L2676" s="21" t="n">
        <v>8004.84</v>
      </c>
      <c r="M2676" s="21" t="n">
        <v>6999</v>
      </c>
    </row>
    <row r="2677">
      <c r="A2677" s="9" t="inlineStr">
        <is>
          <t>CYNTHIA</t>
        </is>
      </c>
      <c r="B2677" s="9" t="inlineStr">
        <is>
          <t>CYNTHIA 18/02/2026</t>
        </is>
      </c>
      <c r="C2677" s="9" t="inlineStr">
        <is>
          <t>2026-02-18</t>
        </is>
      </c>
      <c r="D2677" s="9" t="inlineStr">
        <is>
          <t>677c26b31023a</t>
        </is>
      </c>
      <c r="E2677" s="9" t="inlineStr">
        <is>
          <t>BOLSO LW GREEN</t>
        </is>
      </c>
      <c r="F2677" s="9" t="inlineStr">
        <is>
          <t>28cmx20cm</t>
        </is>
      </c>
      <c r="G2677" s="9" t="n">
        <v>2</v>
      </c>
      <c r="H2677" s="21" t="n">
        <v>74</v>
      </c>
      <c r="I2677" s="21" t="n">
        <v>2001.21</v>
      </c>
      <c r="J2677" s="21" t="n">
        <v>6003.63</v>
      </c>
      <c r="K2677" s="21" t="n">
        <v>7004.23</v>
      </c>
      <c r="L2677" s="21" t="n">
        <v>8004.84</v>
      </c>
      <c r="M2677" s="21" t="n">
        <v>6999</v>
      </c>
    </row>
    <row r="2678">
      <c r="A2678" s="9" t="inlineStr">
        <is>
          <t>CYNTHIA</t>
        </is>
      </c>
      <c r="B2678" s="9" t="inlineStr">
        <is>
          <t>CYNTHIA 18/02/2026</t>
        </is>
      </c>
      <c r="C2678" s="9" t="inlineStr">
        <is>
          <t>2026-02-18</t>
        </is>
      </c>
      <c r="D2678" s="9" t="inlineStr">
        <is>
          <t>24469411243981</t>
        </is>
      </c>
      <c r="E2678" s="9" t="inlineStr">
        <is>
          <t>BOLSO MM AVENTURE BROWN</t>
        </is>
      </c>
      <c r="F2678" s="9" t="inlineStr">
        <is>
          <t>Café</t>
        </is>
      </c>
      <c r="G2678" s="9" t="n">
        <v>2</v>
      </c>
      <c r="H2678" s="21" t="n">
        <v>69</v>
      </c>
      <c r="I2678" s="21" t="n">
        <v>1865.99</v>
      </c>
      <c r="J2678" s="21" t="n">
        <v>5597.98</v>
      </c>
      <c r="K2678" s="21" t="n">
        <v>6530.97</v>
      </c>
      <c r="L2678" s="21" t="n">
        <v>7463.97</v>
      </c>
      <c r="M2678" s="21" t="n">
        <v>6535</v>
      </c>
    </row>
    <row r="2679">
      <c r="A2679" s="9" t="inlineStr">
        <is>
          <t>CYNTHIA</t>
        </is>
      </c>
      <c r="B2679" s="9" t="inlineStr">
        <is>
          <t>CYNTHIA 18/02/2026</t>
        </is>
      </c>
      <c r="C2679" s="9" t="inlineStr">
        <is>
          <t>2026-02-18</t>
        </is>
      </c>
      <c r="D2679" s="9" t="inlineStr">
        <is>
          <t>71092951207469</t>
        </is>
      </c>
      <c r="E2679" s="9" t="inlineStr">
        <is>
          <t>BOLSO MM BEAU COÑAC</t>
        </is>
      </c>
      <c r="F2679" s="9" t="inlineStr">
        <is>
          <t>Default Title</t>
        </is>
      </c>
      <c r="G2679" s="9" t="n">
        <v>2</v>
      </c>
      <c r="H2679" s="21" t="n">
        <v>63</v>
      </c>
      <c r="I2679" s="21" t="n">
        <v>1703.73</v>
      </c>
      <c r="J2679" s="21" t="n">
        <v>5111.2</v>
      </c>
      <c r="K2679" s="21" t="n">
        <v>5963.06</v>
      </c>
      <c r="L2679" s="21" t="n">
        <v>6814.93</v>
      </c>
      <c r="M2679" s="21" t="n">
        <v>5722</v>
      </c>
    </row>
    <row r="2680">
      <c r="A2680" s="9" t="inlineStr">
        <is>
          <t>CYNTHIA</t>
        </is>
      </c>
      <c r="B2680" s="9" t="inlineStr">
        <is>
          <t>CYNTHIA 18/02/2026</t>
        </is>
      </c>
      <c r="C2680" s="9" t="inlineStr">
        <is>
          <t>2026-02-18</t>
        </is>
      </c>
      <c r="D2680" s="9" t="inlineStr">
        <is>
          <t>71092951161133</t>
        </is>
      </c>
      <c r="E2680" s="9" t="inlineStr">
        <is>
          <t>BOLSO MM TOTE ARCADIE DARK BROWN</t>
        </is>
      </c>
      <c r="F2680" s="9" t="inlineStr">
        <is>
          <t>Default Title</t>
        </is>
      </c>
      <c r="G2680" s="9" t="n">
        <v>2</v>
      </c>
      <c r="H2680" s="21" t="n">
        <v>55</v>
      </c>
      <c r="I2680" s="21" t="n">
        <v>1487.39</v>
      </c>
      <c r="J2680" s="21" t="n">
        <v>4462.16</v>
      </c>
      <c r="K2680" s="21" t="n">
        <v>5205.85</v>
      </c>
      <c r="L2680" s="21" t="n">
        <v>5949.54</v>
      </c>
      <c r="M2680" s="21" t="n">
        <v>4999</v>
      </c>
    </row>
    <row r="2681">
      <c r="A2681" s="9" t="inlineStr">
        <is>
          <t>CYNTHIA</t>
        </is>
      </c>
      <c r="B2681" s="9" t="inlineStr">
        <is>
          <t>CYNTHIA 18/02/2026</t>
        </is>
      </c>
      <c r="C2681" s="9" t="inlineStr">
        <is>
          <t>2026-02-18</t>
        </is>
      </c>
      <c r="D2681" s="9" t="inlineStr">
        <is>
          <t>14401523218541</t>
        </is>
      </c>
      <c r="E2681" s="9" t="inlineStr">
        <is>
          <t>BOLSO PR RE-NYLON</t>
        </is>
      </c>
      <c r="F2681" s="9" t="inlineStr">
        <is>
          <t>Default Title</t>
        </is>
      </c>
      <c r="G2681" s="9" t="n">
        <v>2</v>
      </c>
      <c r="H2681" s="21" t="n">
        <v>49</v>
      </c>
      <c r="I2681" s="21" t="n">
        <v>1325.12</v>
      </c>
      <c r="J2681" s="21" t="n">
        <v>3975.37</v>
      </c>
      <c r="K2681" s="21" t="n">
        <v>4637.94</v>
      </c>
      <c r="L2681" s="21" t="n">
        <v>5300.5</v>
      </c>
      <c r="M2681" s="21" t="n">
        <v>0</v>
      </c>
    </row>
    <row r="2682">
      <c r="A2682" s="9" t="inlineStr">
        <is>
          <t>CYNTHIA</t>
        </is>
      </c>
      <c r="B2682" s="9" t="inlineStr">
        <is>
          <t>CYNTHIA 18/02/2026</t>
        </is>
      </c>
      <c r="C2682" s="9" t="inlineStr">
        <is>
          <t>2026-02-18</t>
        </is>
      </c>
      <c r="D2682" s="9" t="inlineStr">
        <is>
          <t>43728135714860</t>
        </is>
      </c>
      <c r="E2682" s="9" t="inlineStr">
        <is>
          <t>BOLSO YSL CHAROL CROCODILE</t>
        </is>
      </c>
      <c r="F2682" s="9" t="inlineStr">
        <is>
          <t>20 cm de largo x 13 cm de alto x 6 de ancho</t>
        </is>
      </c>
      <c r="G2682" s="9" t="n">
        <v>3</v>
      </c>
      <c r="H2682" s="21" t="n">
        <v>41</v>
      </c>
      <c r="I2682" s="21" t="n">
        <v>1108.78</v>
      </c>
      <c r="J2682" s="21" t="n">
        <v>3326.33</v>
      </c>
      <c r="K2682" s="21" t="n">
        <v>3880.72</v>
      </c>
      <c r="L2682" s="21" t="n">
        <v>4435.11</v>
      </c>
      <c r="M2682" s="21" t="n">
        <v>4500</v>
      </c>
    </row>
    <row r="2683">
      <c r="A2683" s="9" t="inlineStr">
        <is>
          <t>CYNTHIA</t>
        </is>
      </c>
      <c r="B2683" s="9" t="inlineStr">
        <is>
          <t>CYNTHIA 18/02/2026</t>
        </is>
      </c>
      <c r="C2683" s="9" t="inlineStr">
        <is>
          <t>2026-02-18</t>
        </is>
      </c>
      <c r="D2683" s="9" t="inlineStr">
        <is>
          <t>94350543859468</t>
        </is>
      </c>
      <c r="E2683" s="9" t="inlineStr">
        <is>
          <t>BOLSO YSL CHAROL WHITE</t>
        </is>
      </c>
      <c r="F2683" s="9" t="inlineStr">
        <is>
          <t>24cm x 15cm</t>
        </is>
      </c>
      <c r="G2683" s="9" t="n">
        <v>1</v>
      </c>
      <c r="H2683" s="21" t="n">
        <v>55</v>
      </c>
      <c r="I2683" s="21" t="n">
        <v>1487.39</v>
      </c>
      <c r="J2683" s="21" t="n">
        <v>4462.16</v>
      </c>
      <c r="K2683" s="21" t="n">
        <v>5205.85</v>
      </c>
      <c r="L2683" s="21" t="n">
        <v>5949.54</v>
      </c>
      <c r="M2683" s="21" t="n">
        <v>5209</v>
      </c>
    </row>
    <row r="2684">
      <c r="A2684" s="9" t="inlineStr">
        <is>
          <t>CYNTHIA</t>
        </is>
      </c>
      <c r="B2684" s="9" t="inlineStr">
        <is>
          <t>CYNTHIA 18/02/2026</t>
        </is>
      </c>
      <c r="C2684" s="9" t="inlineStr">
        <is>
          <t>2026-02-18</t>
        </is>
      </c>
      <c r="D2684" s="9" t="inlineStr">
        <is>
          <t>67572c78e34a0</t>
        </is>
      </c>
      <c r="E2684" s="9" t="inlineStr">
        <is>
          <t>BOLSO YSL CHERRY CHAROL</t>
        </is>
      </c>
      <c r="F2684" s="9" t="inlineStr">
        <is>
          <t>24.3cm de largo x 15cm de alto x 6cm de ancho</t>
        </is>
      </c>
      <c r="G2684" s="9" t="n">
        <v>3</v>
      </c>
      <c r="H2684" s="21" t="n">
        <v>55</v>
      </c>
      <c r="I2684" s="21" t="n">
        <v>1487.39</v>
      </c>
      <c r="J2684" s="21" t="n">
        <v>4462.16</v>
      </c>
      <c r="K2684" s="21" t="n">
        <v>5205.85</v>
      </c>
      <c r="L2684" s="21" t="n">
        <v>5949.54</v>
      </c>
      <c r="M2684" s="21" t="n">
        <v>5850</v>
      </c>
    </row>
    <row r="2685">
      <c r="A2685" s="9" t="inlineStr">
        <is>
          <t>CYNTHIA</t>
        </is>
      </c>
      <c r="B2685" s="9" t="inlineStr">
        <is>
          <t>CYNTHIA 18/02/2026</t>
        </is>
      </c>
      <c r="C2685" s="9" t="inlineStr">
        <is>
          <t>2026-02-18</t>
        </is>
      </c>
      <c r="D2685" s="9" t="inlineStr">
        <is>
          <t>24469411540045</t>
        </is>
      </c>
      <c r="E2685" s="9" t="inlineStr">
        <is>
          <t>BOLSO ZV BLACK</t>
        </is>
      </c>
      <c r="F2685" s="9" t="inlineStr">
        <is>
          <t>Default Title</t>
        </is>
      </c>
      <c r="G2685" s="9" t="n">
        <v>2</v>
      </c>
      <c r="H2685" s="21" t="n">
        <v>30</v>
      </c>
      <c r="I2685" s="21" t="n">
        <v>811.3</v>
      </c>
      <c r="J2685" s="21" t="n">
        <v>2433.9</v>
      </c>
      <c r="K2685" s="21" t="n">
        <v>2839.55</v>
      </c>
      <c r="L2685" s="21" t="n">
        <v>3245.2</v>
      </c>
      <c r="M2685" s="21" t="n">
        <v>3200</v>
      </c>
    </row>
    <row r="2686">
      <c r="A2686" s="9" t="inlineStr">
        <is>
          <t>CYNTHIA</t>
        </is>
      </c>
      <c r="B2686" s="9" t="inlineStr">
        <is>
          <t>CYNTHIA 18/02/2026</t>
        </is>
      </c>
      <c r="C2686" s="9" t="inlineStr">
        <is>
          <t>2026-02-18</t>
        </is>
      </c>
      <c r="D2686" s="9" t="inlineStr">
        <is>
          <t>39252672009453</t>
        </is>
      </c>
      <c r="E2686" s="9" t="inlineStr">
        <is>
          <t>BRAZALETE BLOSSOM GOLD ZIRCONIA</t>
        </is>
      </c>
      <c r="F2686" s="9" t="inlineStr">
        <is>
          <t>Default Title</t>
        </is>
      </c>
      <c r="G2686" s="9" t="n">
        <v>1</v>
      </c>
      <c r="H2686" s="21" t="n">
        <v>8.800000000000001</v>
      </c>
      <c r="I2686" s="21" t="n">
        <v>237.98</v>
      </c>
      <c r="J2686" s="21" t="n">
        <v>713.9400000000001</v>
      </c>
      <c r="K2686" s="21" t="n">
        <v>832.9400000000001</v>
      </c>
      <c r="L2686" s="21" t="n">
        <v>951.9299999999999</v>
      </c>
      <c r="M2686" s="21" t="n">
        <v>955</v>
      </c>
    </row>
    <row r="2687">
      <c r="A2687" s="9" t="inlineStr">
        <is>
          <t>CYNTHIA</t>
        </is>
      </c>
      <c r="B2687" s="9" t="inlineStr">
        <is>
          <t>CYNTHIA 18/02/2026</t>
        </is>
      </c>
      <c r="C2687" s="9" t="inlineStr">
        <is>
          <t>2026-02-18</t>
        </is>
      </c>
      <c r="D2687" s="9" t="inlineStr">
        <is>
          <t>39252671973293</t>
        </is>
      </c>
      <c r="E2687" s="9" t="inlineStr">
        <is>
          <t>BRAZALETE BLOSSOM ROSEGOLD ZIRCONIA</t>
        </is>
      </c>
      <c r="F2687" s="9" t="inlineStr">
        <is>
          <t>Default Title</t>
        </is>
      </c>
      <c r="G2687" s="9" t="n">
        <v>1</v>
      </c>
      <c r="H2687" s="21" t="n">
        <v>8.800000000000001</v>
      </c>
      <c r="I2687" s="21" t="n">
        <v>237.98</v>
      </c>
      <c r="J2687" s="21" t="n">
        <v>713.9400000000001</v>
      </c>
      <c r="K2687" s="21" t="n">
        <v>832.9400000000001</v>
      </c>
      <c r="L2687" s="21" t="n">
        <v>951.9299999999999</v>
      </c>
      <c r="M2687" s="21" t="n">
        <v>950</v>
      </c>
    </row>
    <row r="2688">
      <c r="A2688" s="9" t="inlineStr">
        <is>
          <t>CYNTHIA</t>
        </is>
      </c>
      <c r="B2688" s="9" t="inlineStr">
        <is>
          <t>CYNTHIA 18/02/2026</t>
        </is>
      </c>
      <c r="C2688" s="9" t="inlineStr">
        <is>
          <t>2026-02-18</t>
        </is>
      </c>
      <c r="D2688" s="9" t="inlineStr">
        <is>
          <t>41889241773165</t>
        </is>
      </c>
      <c r="E2688" s="9" t="inlineStr">
        <is>
          <t>BRAZALETE CD GOLD-WHITE ZIRCONIAS</t>
        </is>
      </c>
      <c r="F2688" s="9" t="inlineStr">
        <is>
          <t>ALL WHITE</t>
        </is>
      </c>
      <c r="G2688" s="9" t="n">
        <v>3</v>
      </c>
      <c r="H2688" s="21" t="n">
        <v>10.8</v>
      </c>
      <c r="I2688" s="21" t="n">
        <v>292.07</v>
      </c>
      <c r="J2688" s="21" t="n">
        <v>876.21</v>
      </c>
      <c r="K2688" s="21" t="n">
        <v>1022.24</v>
      </c>
      <c r="L2688" s="21" t="n">
        <v>1168.27</v>
      </c>
      <c r="M2688" s="21" t="n">
        <v>1025</v>
      </c>
    </row>
    <row r="2689">
      <c r="A2689" s="9" t="inlineStr">
        <is>
          <t>CYNTHIA</t>
        </is>
      </c>
      <c r="B2689" s="9" t="inlineStr">
        <is>
          <t>CYNTHIA 18/02/2026</t>
        </is>
      </c>
      <c r="C2689" s="9" t="inlineStr">
        <is>
          <t>2026-02-18</t>
        </is>
      </c>
      <c r="D2689" s="9" t="inlineStr">
        <is>
          <t>41889241578253</t>
        </is>
      </c>
      <c r="E2689" s="9" t="inlineStr">
        <is>
          <t>BRAZALETE CD ZIRCONIAS GOLD-BLACK</t>
        </is>
      </c>
      <c r="F2689" s="9" t="inlineStr">
        <is>
          <t>High quality</t>
        </is>
      </c>
      <c r="G2689" s="9" t="n">
        <v>1</v>
      </c>
      <c r="H2689" s="21" t="n">
        <v>10.8</v>
      </c>
      <c r="I2689" s="21" t="n">
        <v>292.07</v>
      </c>
      <c r="J2689" s="21" t="n">
        <v>876.21</v>
      </c>
      <c r="K2689" s="21" t="n">
        <v>1022.24</v>
      </c>
      <c r="L2689" s="21" t="n">
        <v>1168.27</v>
      </c>
      <c r="M2689" s="21" t="n">
        <v>1025</v>
      </c>
    </row>
    <row r="2690">
      <c r="A2690" s="9" t="inlineStr">
        <is>
          <t>CYNTHIA</t>
        </is>
      </c>
      <c r="B2690" s="9" t="inlineStr">
        <is>
          <t>CYNTHIA 18/02/2026</t>
        </is>
      </c>
      <c r="C2690" s="9" t="inlineStr">
        <is>
          <t>2026-02-18</t>
        </is>
      </c>
      <c r="D2690" s="9" t="inlineStr">
        <is>
          <t>14401522171661</t>
        </is>
      </c>
      <c r="E2690" s="9" t="inlineStr">
        <is>
          <t>CARTERA GC PLEGABLE ALL BLACK</t>
        </is>
      </c>
      <c r="F2690" s="9" t="inlineStr">
        <is>
          <t>Default Title</t>
        </is>
      </c>
      <c r="G2690" s="9" t="n">
        <v>2</v>
      </c>
      <c r="H2690" s="21" t="n">
        <v>22</v>
      </c>
      <c r="I2690" s="21" t="n">
        <v>594.95</v>
      </c>
      <c r="J2690" s="21" t="n">
        <v>1784.86</v>
      </c>
      <c r="K2690" s="21" t="n">
        <v>2082.34</v>
      </c>
      <c r="L2690" s="21" t="n">
        <v>2379.82</v>
      </c>
      <c r="M2690" s="21" t="n">
        <v>2380</v>
      </c>
    </row>
    <row r="2691">
      <c r="A2691" s="9" t="inlineStr">
        <is>
          <t>CYNTHIA</t>
        </is>
      </c>
      <c r="B2691" s="9" t="inlineStr">
        <is>
          <t>CYNTHIA 18/02/2026</t>
        </is>
      </c>
      <c r="C2691" s="9" t="inlineStr">
        <is>
          <t>2026-02-18</t>
        </is>
      </c>
      <c r="D2691" s="9" t="inlineStr">
        <is>
          <t>14401522525325</t>
        </is>
      </c>
      <c r="E2691" s="9" t="inlineStr">
        <is>
          <t>CARTERA GC PLEGABLE LOGOS</t>
        </is>
      </c>
      <c r="F2691" s="9" t="inlineStr">
        <is>
          <t>Default Title</t>
        </is>
      </c>
      <c r="G2691" s="9" t="n">
        <v>2</v>
      </c>
      <c r="H2691" s="21" t="n">
        <v>25</v>
      </c>
      <c r="I2691" s="21" t="n">
        <v>676.08</v>
      </c>
      <c r="J2691" s="21" t="n">
        <v>2028.25</v>
      </c>
      <c r="K2691" s="21" t="n">
        <v>2366.29</v>
      </c>
      <c r="L2691" s="21" t="n">
        <v>2704.34</v>
      </c>
      <c r="M2691" s="21" t="n">
        <v>2799</v>
      </c>
    </row>
    <row r="2692">
      <c r="A2692" s="9" t="inlineStr">
        <is>
          <t>CYNTHIA</t>
        </is>
      </c>
      <c r="B2692" s="9" t="inlineStr">
        <is>
          <t>CYNTHIA 18/02/2026</t>
        </is>
      </c>
      <c r="C2692" s="9" t="inlineStr">
        <is>
          <t>2026-02-18</t>
        </is>
      </c>
      <c r="D2692" s="9" t="inlineStr">
        <is>
          <t>14401522366573</t>
        </is>
      </c>
      <c r="E2692" s="9" t="inlineStr">
        <is>
          <t>CARTERA GC ZIP MARMONT BLACK</t>
        </is>
      </c>
      <c r="F2692" s="9" t="inlineStr">
        <is>
          <t>Default Title</t>
        </is>
      </c>
      <c r="G2692" s="9" t="n">
        <v>2</v>
      </c>
      <c r="H2692" s="21" t="n">
        <v>29</v>
      </c>
      <c r="I2692" s="21" t="n">
        <v>784.26</v>
      </c>
      <c r="J2692" s="21" t="n">
        <v>2352.77</v>
      </c>
      <c r="K2692" s="21" t="n">
        <v>2744.9</v>
      </c>
      <c r="L2692" s="21" t="n">
        <v>3137.03</v>
      </c>
      <c r="M2692" s="21" t="n">
        <v>3099</v>
      </c>
    </row>
    <row r="2693">
      <c r="A2693" s="9" t="inlineStr">
        <is>
          <t>CYNTHIA</t>
        </is>
      </c>
      <c r="B2693" s="9" t="inlineStr">
        <is>
          <t>CYNTHIA 18/02/2026</t>
        </is>
      </c>
      <c r="C2693" s="9" t="inlineStr">
        <is>
          <t>2026-02-18</t>
        </is>
      </c>
      <c r="D2693" s="9" t="inlineStr">
        <is>
          <t>14401521186925</t>
        </is>
      </c>
      <c r="E2693" s="9" t="inlineStr">
        <is>
          <t>CARTERA LV STREAMER MOCASIN</t>
        </is>
      </c>
      <c r="F2693" s="9" t="inlineStr">
        <is>
          <t>Default Title</t>
        </is>
      </c>
      <c r="G2693" s="9" t="n">
        <v>1</v>
      </c>
      <c r="H2693" s="21" t="n">
        <v>39</v>
      </c>
      <c r="I2693" s="21" t="n">
        <v>1054.69</v>
      </c>
      <c r="J2693" s="21" t="n">
        <v>3164.07</v>
      </c>
      <c r="K2693" s="21" t="n">
        <v>3691.42</v>
      </c>
      <c r="L2693" s="21" t="n">
        <v>4218.76</v>
      </c>
      <c r="M2693" s="21" t="n">
        <v>4199</v>
      </c>
    </row>
    <row r="2694">
      <c r="A2694" s="9" t="inlineStr">
        <is>
          <t>CYNTHIA</t>
        </is>
      </c>
      <c r="B2694" s="9" t="inlineStr">
        <is>
          <t>CYNTHIA 18/02/2026</t>
        </is>
      </c>
      <c r="C2694" s="9" t="inlineStr">
        <is>
          <t>2026-02-18</t>
        </is>
      </c>
      <c r="D2694" s="9" t="inlineStr">
        <is>
          <t>14401523053005</t>
        </is>
      </c>
      <c r="E2694" s="9" t="inlineStr">
        <is>
          <t>CARTERA MM BLACK</t>
        </is>
      </c>
      <c r="F2694" s="9" t="inlineStr">
        <is>
          <t>Default Title</t>
        </is>
      </c>
      <c r="G2694" s="9" t="n">
        <v>2</v>
      </c>
      <c r="H2694" s="21" t="n">
        <v>33</v>
      </c>
      <c r="I2694" s="21" t="n">
        <v>892.4299999999999</v>
      </c>
      <c r="J2694" s="21" t="n">
        <v>2677.29</v>
      </c>
      <c r="K2694" s="21" t="n">
        <v>3123.51</v>
      </c>
      <c r="L2694" s="21" t="n">
        <v>3569.72</v>
      </c>
      <c r="M2694" s="21" t="n">
        <v>3125</v>
      </c>
    </row>
    <row r="2695">
      <c r="A2695" s="9" t="inlineStr">
        <is>
          <t>CYNTHIA</t>
        </is>
      </c>
      <c r="B2695" s="9" t="inlineStr">
        <is>
          <t>CYNTHIA 18/02/2026</t>
        </is>
      </c>
      <c r="C2695" s="9" t="inlineStr">
        <is>
          <t>2026-02-18</t>
        </is>
      </c>
      <c r="D2695" s="9" t="inlineStr">
        <is>
          <t>14401521483533</t>
        </is>
      </c>
      <c r="E2695" s="9" t="inlineStr">
        <is>
          <t>CINTO C TRIOMPHE LOGOS</t>
        </is>
      </c>
      <c r="F2695" s="9" t="inlineStr">
        <is>
          <t>Default Title</t>
        </is>
      </c>
      <c r="G2695" s="9" t="n">
        <v>2</v>
      </c>
      <c r="H2695" s="21" t="n">
        <v>8.800000000000001</v>
      </c>
      <c r="I2695" s="21" t="n">
        <v>237.98</v>
      </c>
      <c r="J2695" s="21" t="n">
        <v>713.9400000000001</v>
      </c>
      <c r="K2695" s="21" t="n">
        <v>832.9400000000001</v>
      </c>
      <c r="L2695" s="21" t="n">
        <v>951.9299999999999</v>
      </c>
      <c r="M2695" s="21" t="n">
        <v>915</v>
      </c>
    </row>
    <row r="2696">
      <c r="A2696" s="9" t="inlineStr">
        <is>
          <t>CYNTHIA</t>
        </is>
      </c>
      <c r="B2696" s="9" t="inlineStr">
        <is>
          <t>CYNTHIA 18/02/2026</t>
        </is>
      </c>
      <c r="C2696" s="9" t="inlineStr">
        <is>
          <t>2026-02-18</t>
        </is>
      </c>
      <c r="D2696" s="9" t="inlineStr">
        <is>
          <t>14401522887469</t>
        </is>
      </c>
      <c r="E2696" s="9" t="inlineStr">
        <is>
          <t>CINTO GC WHITE</t>
        </is>
      </c>
      <c r="F2696" s="9" t="inlineStr">
        <is>
          <t>Default Title</t>
        </is>
      </c>
      <c r="G2696" s="9" t="n">
        <v>2</v>
      </c>
      <c r="H2696" s="21" t="n">
        <v>8</v>
      </c>
      <c r="I2696" s="21" t="n">
        <v>216.35</v>
      </c>
      <c r="J2696" s="21" t="n">
        <v>649.04</v>
      </c>
      <c r="K2696" s="21" t="n">
        <v>757.21</v>
      </c>
      <c r="L2696" s="21" t="n">
        <v>865.39</v>
      </c>
      <c r="M2696" s="21" t="n">
        <v>899</v>
      </c>
    </row>
    <row r="2697">
      <c r="A2697" s="9" t="inlineStr">
        <is>
          <t>CYNTHIA</t>
        </is>
      </c>
      <c r="B2697" s="9" t="inlineStr">
        <is>
          <t>CYNTHIA 18/02/2026</t>
        </is>
      </c>
      <c r="C2697" s="9" t="inlineStr">
        <is>
          <t>2026-02-18</t>
        </is>
      </c>
      <c r="D2697" s="9" t="inlineStr">
        <is>
          <t>43728071667212</t>
        </is>
      </c>
      <c r="E2697" s="9" t="inlineStr">
        <is>
          <t>CINTO H KELLY BLACK</t>
        </is>
      </c>
      <c r="F2697" s="9" t="inlineStr">
        <is>
          <t>AJUSTABLE</t>
        </is>
      </c>
      <c r="G2697" s="9" t="n">
        <v>4</v>
      </c>
      <c r="H2697" s="21" t="n">
        <v>5.8</v>
      </c>
      <c r="I2697" s="21" t="n">
        <v>156.85</v>
      </c>
      <c r="J2697" s="21" t="n">
        <v>470.55</v>
      </c>
      <c r="K2697" s="21" t="n">
        <v>548.98</v>
      </c>
      <c r="L2697" s="21" t="n">
        <v>627.41</v>
      </c>
      <c r="M2697" s="21" t="n">
        <v>899</v>
      </c>
    </row>
    <row r="2698">
      <c r="A2698" s="9" t="inlineStr">
        <is>
          <t>CYNTHIA</t>
        </is>
      </c>
      <c r="B2698" s="9" t="inlineStr">
        <is>
          <t>CYNTHIA 18/02/2026</t>
        </is>
      </c>
      <c r="C2698" s="9" t="inlineStr">
        <is>
          <t>2026-02-18</t>
        </is>
      </c>
      <c r="D2698" s="9" t="inlineStr">
        <is>
          <t>43728071764972</t>
        </is>
      </c>
      <c r="E2698" s="9" t="inlineStr">
        <is>
          <t>CINTO H KELLY BROWN</t>
        </is>
      </c>
      <c r="F2698" s="9" t="inlineStr">
        <is>
          <t>AJUSTABLE</t>
        </is>
      </c>
      <c r="G2698" s="9" t="n">
        <v>10</v>
      </c>
      <c r="H2698" s="21" t="n">
        <v>5.8</v>
      </c>
      <c r="I2698" s="21" t="n">
        <v>156.85</v>
      </c>
      <c r="J2698" s="21" t="n">
        <v>470.55</v>
      </c>
      <c r="K2698" s="21" t="n">
        <v>548.98</v>
      </c>
      <c r="L2698" s="21" t="n">
        <v>627.41</v>
      </c>
      <c r="M2698" s="21" t="n">
        <v>899</v>
      </c>
    </row>
    <row r="2699">
      <c r="A2699" s="9" t="inlineStr">
        <is>
          <t>CYNTHIA</t>
        </is>
      </c>
      <c r="B2699" s="9" t="inlineStr">
        <is>
          <t>CYNTHIA 18/02/2026</t>
        </is>
      </c>
      <c r="C2699" s="9" t="inlineStr">
        <is>
          <t>2026-02-18</t>
        </is>
      </c>
      <c r="D2699" s="9" t="inlineStr">
        <is>
          <t>16483891088621</t>
        </is>
      </c>
      <c r="E2699" s="9" t="inlineStr">
        <is>
          <t>CINTO LV HERITAGE LOGO SILVER</t>
        </is>
      </c>
      <c r="F2699" s="9" t="inlineStr">
        <is>
          <t>Default Title</t>
        </is>
      </c>
      <c r="G2699" s="9" t="n">
        <v>2</v>
      </c>
      <c r="H2699" s="21" t="n">
        <v>8.800000000000001</v>
      </c>
      <c r="I2699" s="21" t="n">
        <v>237.98</v>
      </c>
      <c r="J2699" s="21" t="n">
        <v>713.9400000000001</v>
      </c>
      <c r="K2699" s="21" t="n">
        <v>832.9400000000001</v>
      </c>
      <c r="L2699" s="21" t="n">
        <v>951.9299999999999</v>
      </c>
      <c r="M2699" s="21" t="n">
        <v>915</v>
      </c>
    </row>
    <row r="2700">
      <c r="A2700" s="9" t="inlineStr">
        <is>
          <t>CYNTHIA</t>
        </is>
      </c>
      <c r="B2700" s="9" t="inlineStr">
        <is>
          <t>CYNTHIA 18/02/2026</t>
        </is>
      </c>
      <c r="C2700" s="9" t="inlineStr">
        <is>
          <t>2026-02-18</t>
        </is>
      </c>
      <c r="D2700" s="9" t="inlineStr">
        <is>
          <t>14401521021389</t>
        </is>
      </c>
      <c r="E2700" s="9" t="inlineStr">
        <is>
          <t>CINTO LV REVERSIBLE HERITAGE</t>
        </is>
      </c>
      <c r="F2700" s="9" t="inlineStr">
        <is>
          <t>Default Title</t>
        </is>
      </c>
      <c r="G2700" s="9" t="n">
        <v>2</v>
      </c>
      <c r="H2700" s="21" t="n">
        <v>8.800000000000001</v>
      </c>
      <c r="I2700" s="21" t="n">
        <v>237.98</v>
      </c>
      <c r="J2700" s="21" t="n">
        <v>713.9400000000001</v>
      </c>
      <c r="K2700" s="21" t="n">
        <v>832.9400000000001</v>
      </c>
      <c r="L2700" s="21" t="n">
        <v>951.9299999999999</v>
      </c>
      <c r="M2700" s="21" t="n">
        <v>1199</v>
      </c>
    </row>
    <row r="2701">
      <c r="A2701" s="9" t="inlineStr">
        <is>
          <t>CYNTHIA</t>
        </is>
      </c>
      <c r="B2701" s="9" t="inlineStr">
        <is>
          <t>CYNTHIA 18/02/2026</t>
        </is>
      </c>
      <c r="C2701" s="9" t="inlineStr">
        <is>
          <t>2026-02-18</t>
        </is>
      </c>
      <c r="D2701" s="9" t="inlineStr">
        <is>
          <t>34876761034381</t>
        </is>
      </c>
      <c r="E2701" s="9" t="inlineStr">
        <is>
          <t>COLLAR DE CUENTAS BLUE T</t>
        </is>
      </c>
      <c r="F2701" s="9" t="inlineStr">
        <is>
          <t>Default Title</t>
        </is>
      </c>
      <c r="G2701" s="9" t="n">
        <v>4</v>
      </c>
      <c r="H2701" s="21" t="n">
        <v>9.800000000000001</v>
      </c>
      <c r="I2701" s="21" t="n">
        <v>265.02</v>
      </c>
      <c r="J2701" s="21" t="n">
        <v>795.0700000000001</v>
      </c>
      <c r="K2701" s="21" t="n">
        <v>927.59</v>
      </c>
      <c r="L2701" s="21" t="n">
        <v>1060.1</v>
      </c>
      <c r="M2701" s="21" t="n">
        <v>1040</v>
      </c>
    </row>
    <row r="2702">
      <c r="A2702" s="9" t="inlineStr">
        <is>
          <t>CYNTHIA</t>
        </is>
      </c>
      <c r="B2702" s="9" t="inlineStr">
        <is>
          <t>CYNTHIA 18/02/2026</t>
        </is>
      </c>
      <c r="C2702" s="9" t="inlineStr">
        <is>
          <t>2026-02-18</t>
        </is>
      </c>
      <c r="D2702" s="9" t="inlineStr">
        <is>
          <t>43047247904908</t>
        </is>
      </c>
      <c r="E2702" s="9" t="inlineStr">
        <is>
          <t>COLLAR ESLABON DOBLE CADENA SILVER</t>
        </is>
      </c>
      <c r="F2702" s="9" t="inlineStr">
        <is>
          <t>40cm</t>
        </is>
      </c>
      <c r="G2702" s="9" t="n">
        <v>4</v>
      </c>
      <c r="H2702" s="21" t="n">
        <v>9.800000000000001</v>
      </c>
      <c r="I2702" s="21" t="n">
        <v>265.02</v>
      </c>
      <c r="J2702" s="21" t="n">
        <v>795.0700000000001</v>
      </c>
      <c r="K2702" s="21" t="n">
        <v>927.59</v>
      </c>
      <c r="L2702" s="21" t="n">
        <v>1060.1</v>
      </c>
      <c r="M2702" s="21" t="n">
        <v>1025</v>
      </c>
    </row>
    <row r="2703">
      <c r="A2703" s="9" t="inlineStr">
        <is>
          <t>CYNTHIA</t>
        </is>
      </c>
      <c r="B2703" s="9" t="inlineStr">
        <is>
          <t>CYNTHIA 18/02/2026</t>
        </is>
      </c>
      <c r="C2703" s="9" t="inlineStr">
        <is>
          <t>2026-02-18</t>
        </is>
      </c>
      <c r="D2703" s="9" t="inlineStr">
        <is>
          <t>43047208517772</t>
        </is>
      </c>
      <c r="E2703" s="9" t="inlineStr">
        <is>
          <t>COLLAR ESLABÓN DOBLE CADENA ROSEGOLD</t>
        </is>
      </c>
      <c r="F2703" s="9" t="inlineStr">
        <is>
          <t>47cm</t>
        </is>
      </c>
      <c r="G2703" s="9" t="n">
        <v>6</v>
      </c>
      <c r="H2703" s="21" t="n">
        <v>10.8</v>
      </c>
      <c r="I2703" s="21" t="n">
        <v>292.07</v>
      </c>
      <c r="J2703" s="21" t="n">
        <v>876.21</v>
      </c>
      <c r="K2703" s="21" t="n">
        <v>1022.24</v>
      </c>
      <c r="L2703" s="21" t="n">
        <v>1168.27</v>
      </c>
      <c r="M2703" s="21" t="n">
        <v>1025</v>
      </c>
    </row>
    <row r="2704">
      <c r="A2704" s="9" t="inlineStr">
        <is>
          <t>CYNTHIA</t>
        </is>
      </c>
      <c r="B2704" s="9" t="inlineStr">
        <is>
          <t>CYNTHIA 18/02/2026</t>
        </is>
      </c>
      <c r="C2704" s="9" t="inlineStr">
        <is>
          <t>2026-02-18</t>
        </is>
      </c>
      <c r="D2704" s="9" t="inlineStr">
        <is>
          <t>43047222083724</t>
        </is>
      </c>
      <c r="E2704" s="9" t="inlineStr">
        <is>
          <t>COLLAR SMILE ROSE GOLD CON ZIRCONIA</t>
        </is>
      </c>
      <c r="F2704" s="9" t="inlineStr">
        <is>
          <t>Ajustable</t>
        </is>
      </c>
      <c r="G2704" s="9" t="n">
        <v>2</v>
      </c>
      <c r="H2704" s="21" t="n">
        <v>13.8</v>
      </c>
      <c r="I2704" s="21" t="n">
        <v>373.2</v>
      </c>
      <c r="J2704" s="21" t="n">
        <v>1119.6</v>
      </c>
      <c r="K2704" s="21" t="n">
        <v>1306.19</v>
      </c>
      <c r="L2704" s="21" t="n">
        <v>1492.79</v>
      </c>
      <c r="M2704" s="21" t="n">
        <v>1485</v>
      </c>
    </row>
    <row r="2705">
      <c r="A2705" s="9" t="inlineStr">
        <is>
          <t>CYNTHIA</t>
        </is>
      </c>
      <c r="B2705" s="9" t="inlineStr">
        <is>
          <t>CYNTHIA 18/02/2026</t>
        </is>
      </c>
      <c r="C2705" s="9" t="inlineStr">
        <is>
          <t>2026-02-18</t>
        </is>
      </c>
      <c r="D2705" s="9" t="inlineStr">
        <is>
          <t>3382860722828</t>
        </is>
      </c>
      <c r="E2705" s="9" t="inlineStr">
        <is>
          <t>GORRA C LOGO BLACK</t>
        </is>
      </c>
      <c r="F2705" s="9" t="inlineStr">
        <is>
          <t>AJUSTABLE</t>
        </is>
      </c>
      <c r="G2705" s="9" t="n">
        <v>2</v>
      </c>
      <c r="H2705" s="21" t="n">
        <v>8.300000000000001</v>
      </c>
      <c r="I2705" s="21" t="n">
        <v>224.46</v>
      </c>
      <c r="J2705" s="21" t="n">
        <v>673.38</v>
      </c>
      <c r="K2705" s="21" t="n">
        <v>785.61</v>
      </c>
      <c r="L2705" s="21" t="n">
        <v>897.84</v>
      </c>
      <c r="M2705" s="21" t="n">
        <v>899</v>
      </c>
    </row>
    <row r="2706">
      <c r="A2706" s="9" t="inlineStr">
        <is>
          <t>CYNTHIA</t>
        </is>
      </c>
      <c r="B2706" s="9" t="inlineStr">
        <is>
          <t>CYNTHIA 18/02/2026</t>
        </is>
      </c>
      <c r="C2706" s="9" t="inlineStr">
        <is>
          <t>2026-02-18</t>
        </is>
      </c>
      <c r="D2706" s="9" t="inlineStr">
        <is>
          <t>77216894110092</t>
        </is>
      </c>
      <c r="E2706" s="9" t="inlineStr">
        <is>
          <t>GORRA C LOGO WHITE</t>
        </is>
      </c>
      <c r="F2706" s="9" t="inlineStr">
        <is>
          <t>AJUSTABLE</t>
        </is>
      </c>
      <c r="G2706" s="9" t="n">
        <v>2</v>
      </c>
      <c r="H2706" s="21" t="n">
        <v>8.300000000000001</v>
      </c>
      <c r="I2706" s="21" t="n">
        <v>224.46</v>
      </c>
      <c r="J2706" s="21" t="n">
        <v>673.38</v>
      </c>
      <c r="K2706" s="21" t="n">
        <v>785.61</v>
      </c>
      <c r="L2706" s="21" t="n">
        <v>897.84</v>
      </c>
      <c r="M2706" s="21" t="n">
        <v>869</v>
      </c>
    </row>
    <row r="2707">
      <c r="A2707" s="9" t="inlineStr">
        <is>
          <t>CYNTHIA</t>
        </is>
      </c>
      <c r="B2707" s="9" t="inlineStr">
        <is>
          <t>CYNTHIA 18/02/2026</t>
        </is>
      </c>
      <c r="C2707" s="9" t="inlineStr">
        <is>
          <t>2026-02-18</t>
        </is>
      </c>
      <c r="D2707" s="9" t="inlineStr">
        <is>
          <t>665bc0b8d1cab-2</t>
        </is>
      </c>
      <c r="E2707" s="9" t="inlineStr">
        <is>
          <t>LENTES C GOLD SLIM BLACK</t>
        </is>
      </c>
      <c r="F2707" s="9" t="inlineStr">
        <is>
          <t>REGULAR</t>
        </is>
      </c>
      <c r="G2707" s="9" t="n">
        <v>1</v>
      </c>
      <c r="H2707" s="21" t="n">
        <v>8.5</v>
      </c>
      <c r="I2707" s="21" t="n">
        <v>229.87</v>
      </c>
      <c r="J2707" s="21" t="n">
        <v>689.61</v>
      </c>
      <c r="K2707" s="21" t="n">
        <v>804.54</v>
      </c>
      <c r="L2707" s="21" t="n">
        <v>919.47</v>
      </c>
      <c r="M2707" s="21" t="n">
        <v>950</v>
      </c>
    </row>
    <row r="2708">
      <c r="A2708" s="9" t="inlineStr">
        <is>
          <t>CYNTHIA</t>
        </is>
      </c>
      <c r="B2708" s="9" t="inlineStr">
        <is>
          <t>CYNTHIA 18/02/2026</t>
        </is>
      </c>
      <c r="C2708" s="9" t="inlineStr">
        <is>
          <t>2026-02-18</t>
        </is>
      </c>
      <c r="D2708" s="9" t="inlineStr">
        <is>
          <t>66581907ee9cb-1</t>
        </is>
      </c>
      <c r="E2708" s="9" t="inlineStr">
        <is>
          <t>LENTES C OVAL BROWN</t>
        </is>
      </c>
      <c r="F2708" s="9" t="inlineStr">
        <is>
          <t>REGULAR</t>
        </is>
      </c>
      <c r="G2708" s="9" t="n">
        <v>2</v>
      </c>
      <c r="H2708" s="21" t="n">
        <v>29.5</v>
      </c>
      <c r="I2708" s="21" t="n">
        <v>797.78</v>
      </c>
      <c r="J2708" s="21" t="n">
        <v>2393.34</v>
      </c>
      <c r="K2708" s="21" t="n">
        <v>2792.23</v>
      </c>
      <c r="L2708" s="21" t="n">
        <v>3191.12</v>
      </c>
      <c r="M2708" s="21" t="n">
        <v>2779</v>
      </c>
    </row>
    <row r="2709">
      <c r="A2709" s="9" t="inlineStr">
        <is>
          <t>CYNTHIA</t>
        </is>
      </c>
      <c r="B2709" s="9" t="inlineStr">
        <is>
          <t>CYNTHIA 18/02/2026</t>
        </is>
      </c>
      <c r="C2709" s="9" t="inlineStr">
        <is>
          <t>2026-02-18</t>
        </is>
      </c>
      <c r="D2709" s="9" t="inlineStr">
        <is>
          <t>665bc0bb805f5</t>
        </is>
      </c>
      <c r="E2709" s="9" t="inlineStr">
        <is>
          <t>LENTES C OVAL GOLD BLACK</t>
        </is>
      </c>
      <c r="F2709" s="9" t="inlineStr">
        <is>
          <t>REGULAR</t>
        </is>
      </c>
      <c r="G2709" s="9" t="n">
        <v>2</v>
      </c>
      <c r="H2709" s="21" t="n">
        <v>29.5</v>
      </c>
      <c r="I2709" s="21" t="n">
        <v>797.78</v>
      </c>
      <c r="J2709" s="21" t="n">
        <v>2393.34</v>
      </c>
      <c r="K2709" s="21" t="n">
        <v>2792.23</v>
      </c>
      <c r="L2709" s="21" t="n">
        <v>3191.12</v>
      </c>
      <c r="M2709" s="21" t="n">
        <v>3199</v>
      </c>
    </row>
    <row r="2710">
      <c r="A2710" s="9" t="inlineStr">
        <is>
          <t>CYNTHIA</t>
        </is>
      </c>
      <c r="B2710" s="9" t="inlineStr">
        <is>
          <t>CYNTHIA 18/02/2026</t>
        </is>
      </c>
      <c r="C2710" s="9" t="inlineStr">
        <is>
          <t>2026-02-18</t>
        </is>
      </c>
      <c r="D2710" s="9" t="inlineStr">
        <is>
          <t>664fc858469b1</t>
        </is>
      </c>
      <c r="E2710" s="9" t="inlineStr">
        <is>
          <t>LENTES C OVAL GREEN</t>
        </is>
      </c>
      <c r="F2710" s="9" t="inlineStr">
        <is>
          <t>REGULAR</t>
        </is>
      </c>
      <c r="G2710" s="9" t="n">
        <v>1</v>
      </c>
      <c r="H2710" s="21" t="n">
        <v>29.5</v>
      </c>
      <c r="I2710" s="21" t="n">
        <v>797.78</v>
      </c>
      <c r="J2710" s="21" t="n">
        <v>2393.34</v>
      </c>
      <c r="K2710" s="21" t="n">
        <v>2792.23</v>
      </c>
      <c r="L2710" s="21" t="n">
        <v>3191.12</v>
      </c>
      <c r="M2710" s="21" t="n">
        <v>3199</v>
      </c>
    </row>
    <row r="2711">
      <c r="A2711" s="9" t="inlineStr">
        <is>
          <t>CYNTHIA</t>
        </is>
      </c>
      <c r="B2711" s="9" t="inlineStr">
        <is>
          <t>CYNTHIA 18/02/2026</t>
        </is>
      </c>
      <c r="C2711" s="9" t="inlineStr">
        <is>
          <t>2026-02-18</t>
        </is>
      </c>
      <c r="D2711" s="9" t="inlineStr">
        <is>
          <t>14401521219693</t>
        </is>
      </c>
      <c r="E2711" s="9" t="inlineStr">
        <is>
          <t>LENTES C SANTOS</t>
        </is>
      </c>
      <c r="F2711" s="9" t="inlineStr">
        <is>
          <t>Default Title</t>
        </is>
      </c>
      <c r="G2711" s="9" t="n">
        <v>2</v>
      </c>
      <c r="H2711" s="21" t="n">
        <v>32.5</v>
      </c>
      <c r="I2711" s="21" t="n">
        <v>878.91</v>
      </c>
      <c r="J2711" s="21" t="n">
        <v>2636.73</v>
      </c>
      <c r="K2711" s="21" t="n">
        <v>3076.18</v>
      </c>
      <c r="L2711" s="21" t="n">
        <v>3515.64</v>
      </c>
      <c r="M2711" s="21" t="n">
        <v>3079</v>
      </c>
    </row>
    <row r="2712">
      <c r="A2712" s="9" t="inlineStr">
        <is>
          <t>CYNTHIA</t>
        </is>
      </c>
      <c r="B2712" s="9" t="inlineStr">
        <is>
          <t>CYNTHIA 18/02/2026</t>
        </is>
      </c>
      <c r="C2712" s="9" t="inlineStr">
        <is>
          <t>2026-02-18</t>
        </is>
      </c>
      <c r="D2712" s="9" t="inlineStr">
        <is>
          <t>14401521352461</t>
        </is>
      </c>
      <c r="E2712" s="9" t="inlineStr">
        <is>
          <t>LENTES C TRIOMPHE GOLD CAT</t>
        </is>
      </c>
      <c r="F2712" s="9" t="inlineStr">
        <is>
          <t>Default Title</t>
        </is>
      </c>
      <c r="G2712" s="9" t="n">
        <v>2</v>
      </c>
      <c r="H2712" s="21" t="n">
        <v>29.5</v>
      </c>
      <c r="I2712" s="21" t="n">
        <v>797.78</v>
      </c>
      <c r="J2712" s="21" t="n">
        <v>2393.34</v>
      </c>
      <c r="K2712" s="21" t="n">
        <v>2792.23</v>
      </c>
      <c r="L2712" s="21" t="n">
        <v>3191.12</v>
      </c>
      <c r="M2712" s="21" t="n">
        <v>2799</v>
      </c>
    </row>
    <row r="2713">
      <c r="A2713" s="9" t="inlineStr">
        <is>
          <t>CYNTHIA</t>
        </is>
      </c>
      <c r="B2713" s="9" t="inlineStr">
        <is>
          <t>CYNTHIA 18/02/2026</t>
        </is>
      </c>
      <c r="C2713" s="9" t="inlineStr">
        <is>
          <t>2026-02-18</t>
        </is>
      </c>
      <c r="D2713" s="9" t="inlineStr">
        <is>
          <t>43728090185228</t>
        </is>
      </c>
      <c r="E2713" s="9" t="inlineStr">
        <is>
          <t>LENTES DE SOL MM GLIMPSE BLACK</t>
        </is>
      </c>
      <c r="F2713" s="9" t="inlineStr">
        <is>
          <t>REGULAR</t>
        </is>
      </c>
      <c r="G2713" s="9" t="n">
        <v>2</v>
      </c>
      <c r="H2713" s="21" t="n">
        <v>32</v>
      </c>
      <c r="I2713" s="21" t="n">
        <v>865.39</v>
      </c>
      <c r="J2713" s="21" t="n">
        <v>2596.16</v>
      </c>
      <c r="K2713" s="21" t="n">
        <v>3028.86</v>
      </c>
      <c r="L2713" s="21" t="n">
        <v>3461.55</v>
      </c>
      <c r="M2713" s="21" t="n">
        <v>3399</v>
      </c>
    </row>
    <row r="2714">
      <c r="A2714" s="9" t="inlineStr">
        <is>
          <t>CYNTHIA</t>
        </is>
      </c>
      <c r="B2714" s="9" t="inlineStr">
        <is>
          <t>CYNTHIA 18/02/2026</t>
        </is>
      </c>
      <c r="C2714" s="9" t="inlineStr">
        <is>
          <t>2026-02-18</t>
        </is>
      </c>
      <c r="D2714" s="9" t="inlineStr">
        <is>
          <t>14401522754701</t>
        </is>
      </c>
      <c r="E2714" s="9" t="inlineStr">
        <is>
          <t>LENTES GC ALL BLACK</t>
        </is>
      </c>
      <c r="F2714" s="9" t="inlineStr">
        <is>
          <t>Default Title</t>
        </is>
      </c>
      <c r="G2714" s="9" t="n">
        <v>2</v>
      </c>
      <c r="H2714" s="21" t="n">
        <v>42</v>
      </c>
      <c r="I2714" s="21" t="n">
        <v>1135.82</v>
      </c>
      <c r="J2714" s="21" t="n">
        <v>3407.46</v>
      </c>
      <c r="K2714" s="21" t="n">
        <v>3975.37</v>
      </c>
      <c r="L2714" s="21" t="n">
        <v>4543.29</v>
      </c>
      <c r="M2714" s="21" t="n">
        <v>4450</v>
      </c>
    </row>
    <row r="2715">
      <c r="A2715" s="9" t="inlineStr">
        <is>
          <t>CYNTHIA</t>
        </is>
      </c>
      <c r="B2715" s="9" t="inlineStr">
        <is>
          <t>CYNTHIA 18/02/2026</t>
        </is>
      </c>
      <c r="C2715" s="9" t="inlineStr">
        <is>
          <t>2026-02-18</t>
        </is>
      </c>
      <c r="D2715" s="9" t="inlineStr">
        <is>
          <t>14401522621933</t>
        </is>
      </c>
      <c r="E2715" s="9" t="inlineStr">
        <is>
          <t>LENTES GC EYEWEAR NEW POP</t>
        </is>
      </c>
      <c r="F2715" s="9" t="inlineStr">
        <is>
          <t>Default Title</t>
        </is>
      </c>
      <c r="G2715" s="9" t="n">
        <v>2</v>
      </c>
      <c r="H2715" s="21" t="n">
        <v>33</v>
      </c>
      <c r="I2715" s="21" t="n">
        <v>892.4299999999999</v>
      </c>
      <c r="J2715" s="21" t="n">
        <v>2677.29</v>
      </c>
      <c r="K2715" s="21" t="n">
        <v>3123.51</v>
      </c>
      <c r="L2715" s="21" t="n">
        <v>3569.72</v>
      </c>
      <c r="M2715" s="21" t="n">
        <v>3125</v>
      </c>
    </row>
    <row r="2716">
      <c r="A2716" s="9" t="inlineStr">
        <is>
          <t>CYNTHIA</t>
        </is>
      </c>
      <c r="B2716" s="9" t="inlineStr">
        <is>
          <t>CYNTHIA 18/02/2026</t>
        </is>
      </c>
      <c r="C2716" s="9" t="inlineStr">
        <is>
          <t>2026-02-18</t>
        </is>
      </c>
      <c r="D2716" s="9" t="inlineStr">
        <is>
          <t>38332092017357</t>
        </is>
      </c>
      <c r="E2716" s="9" t="inlineStr">
        <is>
          <t>LENTES LV MILIONAIRES SQUARE</t>
        </is>
      </c>
      <c r="F2716" s="9" t="inlineStr">
        <is>
          <t>Default Title</t>
        </is>
      </c>
      <c r="G2716" s="9" t="n">
        <v>2</v>
      </c>
      <c r="H2716" s="21" t="n">
        <v>30</v>
      </c>
      <c r="I2716" s="21" t="n">
        <v>811.3</v>
      </c>
      <c r="J2716" s="21" t="n">
        <v>2433.9</v>
      </c>
      <c r="K2716" s="21" t="n">
        <v>2839.55</v>
      </c>
      <c r="L2716" s="21" t="n">
        <v>3245.2</v>
      </c>
      <c r="M2716" s="21" t="n">
        <v>3115</v>
      </c>
    </row>
    <row r="2717">
      <c r="A2717" s="9" t="inlineStr">
        <is>
          <t>CYNTHIA</t>
        </is>
      </c>
      <c r="B2717" s="9" t="inlineStr">
        <is>
          <t>CYNTHIA 18/02/2026</t>
        </is>
      </c>
      <c r="C2717" s="9" t="inlineStr">
        <is>
          <t>2026-02-18</t>
        </is>
      </c>
      <c r="D2717" s="9" t="inlineStr">
        <is>
          <t>6701d26f13b86</t>
        </is>
      </c>
      <c r="E2717" s="9" t="inlineStr">
        <is>
          <t>LENTES PR OVAL BLACK</t>
        </is>
      </c>
      <c r="F2717" s="9" t="inlineStr">
        <is>
          <t>HIGH QUALITY</t>
        </is>
      </c>
      <c r="G2717" s="9" t="n">
        <v>4</v>
      </c>
      <c r="H2717" s="21" t="n">
        <v>28</v>
      </c>
      <c r="I2717" s="21" t="n">
        <v>757.21</v>
      </c>
      <c r="J2717" s="21" t="n">
        <v>2271.64</v>
      </c>
      <c r="K2717" s="21" t="n">
        <v>2650.25</v>
      </c>
      <c r="L2717" s="21" t="n">
        <v>3028.86</v>
      </c>
      <c r="M2717" s="21" t="n">
        <v>2635</v>
      </c>
    </row>
    <row r="2718">
      <c r="A2718" s="9" t="inlineStr">
        <is>
          <t>CYNTHIA</t>
        </is>
      </c>
      <c r="B2718" s="9" t="inlineStr">
        <is>
          <t>CYNTHIA 18/02/2026</t>
        </is>
      </c>
      <c r="C2718" s="9" t="inlineStr">
        <is>
          <t>2026-02-18</t>
        </is>
      </c>
      <c r="D2718" s="9" t="inlineStr">
        <is>
          <t>43026599575692</t>
        </is>
      </c>
      <c r="E2718" s="9" t="inlineStr">
        <is>
          <t>LENTES YSL</t>
        </is>
      </c>
      <c r="F2718" s="9" t="inlineStr">
        <is>
          <t>Regular</t>
        </is>
      </c>
      <c r="G2718" s="9" t="n">
        <v>5</v>
      </c>
      <c r="H2718" s="21" t="n">
        <v>8</v>
      </c>
      <c r="I2718" s="21" t="n">
        <v>216.35</v>
      </c>
      <c r="J2718" s="21" t="n">
        <v>649.04</v>
      </c>
      <c r="K2718" s="21" t="n">
        <v>757.21</v>
      </c>
      <c r="L2718" s="21" t="n">
        <v>865.39</v>
      </c>
      <c r="M2718" s="21" t="n">
        <v>860</v>
      </c>
    </row>
    <row r="2719">
      <c r="A2719" s="9" t="inlineStr">
        <is>
          <t>CYNTHIA</t>
        </is>
      </c>
      <c r="B2719" s="9" t="inlineStr">
        <is>
          <t>CYNTHIA 18/02/2026</t>
        </is>
      </c>
      <c r="C2719" s="9" t="inlineStr">
        <is>
          <t>2026-02-18</t>
        </is>
      </c>
      <c r="D2719" s="9" t="inlineStr">
        <is>
          <t>43026586435724</t>
        </is>
      </c>
      <c r="E2719" s="9" t="inlineStr">
        <is>
          <t>LENTES YSL SQUARE</t>
        </is>
      </c>
      <c r="F2719" s="9" t="inlineStr">
        <is>
          <t>HIGH QUALITY</t>
        </is>
      </c>
      <c r="G2719" s="9" t="n">
        <v>5</v>
      </c>
      <c r="H2719" s="21" t="n">
        <v>8</v>
      </c>
      <c r="I2719" s="21" t="n">
        <v>216.35</v>
      </c>
      <c r="J2719" s="21" t="n">
        <v>649.04</v>
      </c>
      <c r="K2719" s="21" t="n">
        <v>757.21</v>
      </c>
      <c r="L2719" s="21" t="n">
        <v>865.39</v>
      </c>
      <c r="M2719" s="21" t="n">
        <v>850</v>
      </c>
    </row>
    <row r="2720">
      <c r="A2720" s="9" t="inlineStr">
        <is>
          <t>CYNTHIA</t>
        </is>
      </c>
      <c r="B2720" s="9" t="inlineStr">
        <is>
          <t>CYNTHIA 18/02/2026</t>
        </is>
      </c>
      <c r="C2720" s="9" t="inlineStr">
        <is>
          <t>2026-02-18</t>
        </is>
      </c>
      <c r="D2720" s="9" t="inlineStr">
        <is>
          <t>71092951015341</t>
        </is>
      </c>
      <c r="E2720" s="9" t="inlineStr">
        <is>
          <t>MOCHILA MM CANVAS</t>
        </is>
      </c>
      <c r="F2720" s="9" t="inlineStr">
        <is>
          <t>Default Title</t>
        </is>
      </c>
      <c r="G2720" s="9" t="n">
        <v>2</v>
      </c>
      <c r="H2720" s="21" t="n">
        <v>68</v>
      </c>
      <c r="I2720" s="21" t="n">
        <v>1838.95</v>
      </c>
      <c r="J2720" s="21" t="n">
        <v>5516.85</v>
      </c>
      <c r="K2720" s="21" t="n">
        <v>6436.32</v>
      </c>
      <c r="L2720" s="21" t="n">
        <v>7355.8</v>
      </c>
      <c r="M2720" s="21" t="n">
        <v>6179</v>
      </c>
    </row>
    <row r="2721">
      <c r="A2721" s="9" t="inlineStr">
        <is>
          <t>CYNTHIA</t>
        </is>
      </c>
      <c r="B2721" s="9" t="inlineStr">
        <is>
          <t>CYNTHIA 18/02/2026</t>
        </is>
      </c>
      <c r="C2721" s="9" t="inlineStr">
        <is>
          <t>2026-02-18</t>
        </is>
      </c>
      <c r="D2721" s="9" t="inlineStr">
        <is>
          <t>14401523316845</t>
        </is>
      </c>
      <c r="E2721" s="9" t="inlineStr">
        <is>
          <t>MOCHILA PR RE-NYLON</t>
        </is>
      </c>
      <c r="F2721" s="9" t="inlineStr">
        <is>
          <t>Default Title</t>
        </is>
      </c>
      <c r="G2721" s="9" t="n">
        <v>2</v>
      </c>
      <c r="H2721" s="21" t="n">
        <v>53</v>
      </c>
      <c r="I2721" s="21" t="n">
        <v>1433.3</v>
      </c>
      <c r="J2721" s="21" t="n">
        <v>4299.9</v>
      </c>
      <c r="K2721" s="21" t="n">
        <v>5016.54</v>
      </c>
      <c r="L2721" s="21" t="n">
        <v>5733.19</v>
      </c>
      <c r="M2721" s="21" t="n">
        <v>5999</v>
      </c>
    </row>
    <row r="2722">
      <c r="A2722" s="9" t="inlineStr">
        <is>
          <t>CYNTHIA</t>
        </is>
      </c>
      <c r="B2722" s="9" t="inlineStr">
        <is>
          <t>CYNTHIA 18/02/2026</t>
        </is>
      </c>
      <c r="C2722" s="9" t="inlineStr">
        <is>
          <t>2026-02-18</t>
        </is>
      </c>
      <c r="D2722" s="9" t="inlineStr">
        <is>
          <t>15711172766221</t>
        </is>
      </c>
      <c r="E2722" s="9" t="inlineStr">
        <is>
          <t>PULSERA C GOLD</t>
        </is>
      </c>
      <c r="F2722" s="9" t="inlineStr">
        <is>
          <t>Default Title</t>
        </is>
      </c>
      <c r="G2722" s="9" t="n">
        <v>2</v>
      </c>
      <c r="H2722" s="21" t="n">
        <v>8.800000000000001</v>
      </c>
      <c r="I2722" s="21" t="n">
        <v>237.98</v>
      </c>
      <c r="J2722" s="21" t="n">
        <v>713.9400000000001</v>
      </c>
      <c r="K2722" s="21" t="n">
        <v>832.9400000000001</v>
      </c>
      <c r="L2722" s="21" t="n">
        <v>951.9299999999999</v>
      </c>
      <c r="M2722" s="21" t="n">
        <v>939</v>
      </c>
    </row>
    <row r="2723">
      <c r="A2723" s="9" t="inlineStr">
        <is>
          <t>CYNTHIA</t>
        </is>
      </c>
      <c r="B2723" s="9" t="inlineStr">
        <is>
          <t>CYNTHIA 18/02/2026</t>
        </is>
      </c>
      <c r="C2723" s="9" t="inlineStr">
        <is>
          <t>2026-02-18</t>
        </is>
      </c>
      <c r="D2723" s="9" t="inlineStr">
        <is>
          <t>646f846abc38f</t>
        </is>
      </c>
      <c r="E2723" s="9" t="inlineStr">
        <is>
          <t>PULSERA COCO ROSEGOLD</t>
        </is>
      </c>
      <c r="F2723" s="9" t="inlineStr">
        <is>
          <t>17cm</t>
        </is>
      </c>
      <c r="G2723" s="9" t="n">
        <v>1</v>
      </c>
      <c r="H2723" s="21" t="n">
        <v>14</v>
      </c>
      <c r="I2723" s="21" t="n">
        <v>378.61</v>
      </c>
      <c r="J2723" s="21" t="n">
        <v>1135.82</v>
      </c>
      <c r="K2723" s="21" t="n">
        <v>1325.12</v>
      </c>
      <c r="L2723" s="21" t="n">
        <v>1514.43</v>
      </c>
      <c r="M2723" s="21" t="n">
        <v>1499</v>
      </c>
    </row>
    <row r="2724">
      <c r="A2724" s="9" t="inlineStr">
        <is>
          <t>CYNTHIA</t>
        </is>
      </c>
      <c r="B2724" s="9" t="inlineStr">
        <is>
          <t>CYNTHIA 18/02/2026</t>
        </is>
      </c>
      <c r="C2724" s="9" t="inlineStr">
        <is>
          <t>2026-02-18</t>
        </is>
      </c>
      <c r="D2724" s="9" t="inlineStr">
        <is>
          <t>665bcd30f2870</t>
        </is>
      </c>
      <c r="E2724" s="9" t="inlineStr">
        <is>
          <t>PULSERA DY ESCLAVA</t>
        </is>
      </c>
      <c r="F2724" s="9" t="inlineStr">
        <is>
          <t>17cm</t>
        </is>
      </c>
      <c r="G2724" s="9" t="n">
        <v>2</v>
      </c>
      <c r="H2724" s="21" t="n">
        <v>13.3</v>
      </c>
      <c r="I2724" s="21" t="n">
        <v>359.68</v>
      </c>
      <c r="J2724" s="21" t="n">
        <v>1079.03</v>
      </c>
      <c r="K2724" s="21" t="n">
        <v>1258.87</v>
      </c>
      <c r="L2724" s="21" t="n">
        <v>1438.71</v>
      </c>
      <c r="M2724" s="21" t="n">
        <v>1420</v>
      </c>
    </row>
    <row r="2725">
      <c r="A2725" s="9" t="inlineStr">
        <is>
          <t>CYNTHIA</t>
        </is>
      </c>
      <c r="B2725" s="9" t="inlineStr">
        <is>
          <t>CYNTHIA 18/02/2026</t>
        </is>
      </c>
      <c r="C2725" s="9" t="inlineStr">
        <is>
          <t>2026-02-18</t>
        </is>
      </c>
      <c r="D2725" s="9" t="inlineStr">
        <is>
          <t>668eee4e0326c</t>
        </is>
      </c>
      <c r="E2725" s="9" t="inlineStr">
        <is>
          <t>PULSERA ESLABONES SILVER</t>
        </is>
      </c>
      <c r="F2725" s="9" t="inlineStr">
        <is>
          <t>High Quality 17.5 cm</t>
        </is>
      </c>
      <c r="G2725" s="9" t="n">
        <v>2</v>
      </c>
      <c r="H2725" s="21" t="n">
        <v>13.8</v>
      </c>
      <c r="I2725" s="21" t="n">
        <v>373.2</v>
      </c>
      <c r="J2725" s="21" t="n">
        <v>1119.6</v>
      </c>
      <c r="K2725" s="21" t="n">
        <v>1306.19</v>
      </c>
      <c r="L2725" s="21" t="n">
        <v>1492.79</v>
      </c>
      <c r="M2725" s="21" t="n">
        <v>1469</v>
      </c>
    </row>
    <row r="2726">
      <c r="A2726" s="9" t="inlineStr">
        <is>
          <t>CYNTHIA</t>
        </is>
      </c>
      <c r="B2726" s="9" t="inlineStr">
        <is>
          <t>CYNTHIA 18/02/2026</t>
        </is>
      </c>
      <c r="C2726" s="9" t="inlineStr">
        <is>
          <t>2026-02-18</t>
        </is>
      </c>
      <c r="D2726" s="9" t="inlineStr">
        <is>
          <t>43047220412556</t>
        </is>
      </c>
      <c r="E2726" s="9" t="inlineStr">
        <is>
          <t>PULSERA ONE T DOBLE ZIRCONIA GOLD</t>
        </is>
      </c>
      <c r="F2726" s="9" t="inlineStr">
        <is>
          <t>16.58cm</t>
        </is>
      </c>
      <c r="G2726" s="9" t="n">
        <v>2</v>
      </c>
      <c r="H2726" s="21" t="n">
        <v>14.8</v>
      </c>
      <c r="I2726" s="21" t="n">
        <v>400.24</v>
      </c>
      <c r="J2726" s="21" t="n">
        <v>1200.73</v>
      </c>
      <c r="K2726" s="21" t="n">
        <v>1400.85</v>
      </c>
      <c r="L2726" s="21" t="n">
        <v>1600.97</v>
      </c>
      <c r="M2726" s="21" t="n">
        <v>1405</v>
      </c>
    </row>
    <row r="2727">
      <c r="A2727" s="9" t="inlineStr">
        <is>
          <t>CYNTHIA</t>
        </is>
      </c>
      <c r="B2727" s="9" t="inlineStr">
        <is>
          <t>CYNTHIA 18/02/2026</t>
        </is>
      </c>
      <c r="C2727" s="9" t="inlineStr">
        <is>
          <t>2026-02-18</t>
        </is>
      </c>
      <c r="D2727" s="9" t="inlineStr">
        <is>
          <t>43047219560588</t>
        </is>
      </c>
      <c r="E2727" s="9" t="inlineStr">
        <is>
          <t>PULSERA ONE T DOBLE ZIRCONIA ROSE GOLD</t>
        </is>
      </c>
      <c r="F2727" s="9" t="inlineStr">
        <is>
          <t>16.58cm</t>
        </is>
      </c>
      <c r="G2727" s="9" t="n">
        <v>1</v>
      </c>
      <c r="H2727" s="21" t="n">
        <v>14.8</v>
      </c>
      <c r="I2727" s="21" t="n">
        <v>400.24</v>
      </c>
      <c r="J2727" s="21" t="n">
        <v>1200.73</v>
      </c>
      <c r="K2727" s="21" t="n">
        <v>1400.85</v>
      </c>
      <c r="L2727" s="21" t="n">
        <v>1600.97</v>
      </c>
      <c r="M2727" s="21" t="n">
        <v>1405</v>
      </c>
    </row>
    <row r="2728">
      <c r="A2728" s="9" t="inlineStr">
        <is>
          <t>CYNTHIA</t>
        </is>
      </c>
      <c r="B2728" s="9" t="inlineStr">
        <is>
          <t>CYNTHIA 18/02/2026</t>
        </is>
      </c>
      <c r="C2728" s="9" t="inlineStr">
        <is>
          <t>2026-02-18</t>
        </is>
      </c>
      <c r="D2728" s="9" t="inlineStr">
        <is>
          <t>63ebe022e73ea</t>
        </is>
      </c>
      <c r="E2728" s="9" t="inlineStr">
        <is>
          <t>PULSERA SERPENTI ROSE GOLD CON ZIRCONIA</t>
        </is>
      </c>
      <c r="F2728" s="9" t="inlineStr">
        <is>
          <t>18 cm</t>
        </is>
      </c>
      <c r="G2728" s="9" t="n">
        <v>2</v>
      </c>
      <c r="H2728" s="21" t="n">
        <v>13.8</v>
      </c>
      <c r="I2728" s="21" t="n">
        <v>373.2</v>
      </c>
      <c r="J2728" s="21" t="n">
        <v>1119.6</v>
      </c>
      <c r="K2728" s="21" t="n">
        <v>1306.19</v>
      </c>
      <c r="L2728" s="21" t="n">
        <v>1492.79</v>
      </c>
      <c r="M2728" s="21" t="n">
        <v>1499</v>
      </c>
    </row>
    <row r="2729">
      <c r="A2729" s="9" t="inlineStr">
        <is>
          <t>CYNTHIA</t>
        </is>
      </c>
      <c r="B2729" s="9" t="inlineStr">
        <is>
          <t>CYNTHIA 18/02/2026</t>
        </is>
      </c>
      <c r="C2729" s="9" t="inlineStr">
        <is>
          <t>2026-02-18</t>
        </is>
      </c>
      <c r="D2729" s="9" t="inlineStr">
        <is>
          <t>43047207010444</t>
        </is>
      </c>
      <c r="E2729" s="9" t="inlineStr">
        <is>
          <t>PULSERA T ANGOSTA SILVER</t>
        </is>
      </c>
      <c r="F2729" s="9" t="inlineStr">
        <is>
          <t>16cm</t>
        </is>
      </c>
      <c r="G2729" s="9" t="n">
        <v>3</v>
      </c>
      <c r="H2729" s="21" t="n">
        <v>14</v>
      </c>
      <c r="I2729" s="21" t="n">
        <v>378.61</v>
      </c>
      <c r="J2729" s="21" t="n">
        <v>1135.82</v>
      </c>
      <c r="K2729" s="21" t="n">
        <v>1325.12</v>
      </c>
      <c r="L2729" s="21" t="n">
        <v>1514.43</v>
      </c>
      <c r="M2729" s="21" t="n">
        <v>1330</v>
      </c>
    </row>
    <row r="2730">
      <c r="A2730" s="9" t="inlineStr">
        <is>
          <t>CYNTHIA</t>
        </is>
      </c>
      <c r="B2730" s="9" t="inlineStr">
        <is>
          <t>CYNTHIA 18/02/2026</t>
        </is>
      </c>
      <c r="C2730" s="9" t="inlineStr">
        <is>
          <t>2026-02-18</t>
        </is>
      </c>
      <c r="D2730" s="9" t="inlineStr">
        <is>
          <t>668eecb8df0eb</t>
        </is>
      </c>
      <c r="E2730" s="9" t="inlineStr">
        <is>
          <t>PULSERA T GOLD</t>
        </is>
      </c>
      <c r="F2730" s="9" t="inlineStr">
        <is>
          <t>16 cm</t>
        </is>
      </c>
      <c r="G2730" s="9" t="n">
        <v>5</v>
      </c>
      <c r="H2730" s="21" t="n">
        <v>9.5</v>
      </c>
      <c r="I2730" s="21" t="n">
        <v>256.91</v>
      </c>
      <c r="J2730" s="21" t="n">
        <v>770.74</v>
      </c>
      <c r="K2730" s="21" t="n">
        <v>899.1900000000001</v>
      </c>
      <c r="L2730" s="21" t="n">
        <v>1027.65</v>
      </c>
      <c r="M2730" s="21" t="n">
        <v>885</v>
      </c>
    </row>
    <row r="2731">
      <c r="A2731" s="9" t="inlineStr">
        <is>
          <t>CYNTHIA</t>
        </is>
      </c>
      <c r="B2731" s="9" t="inlineStr">
        <is>
          <t>CYNTHIA 18/02/2026</t>
        </is>
      </c>
      <c r="C2731" s="9" t="inlineStr">
        <is>
          <t>2026-02-18</t>
        </is>
      </c>
      <c r="D2731" s="9" t="inlineStr">
        <is>
          <t>81712804295948</t>
        </is>
      </c>
      <c r="E2731" s="9" t="inlineStr">
        <is>
          <t>SANDALIAS DG BIANCA</t>
        </is>
      </c>
      <c r="F2731" s="9" t="inlineStr">
        <is>
          <t>37/ 23cm</t>
        </is>
      </c>
      <c r="G2731" s="9" t="n">
        <v>1</v>
      </c>
      <c r="H2731" s="21" t="n">
        <v>28</v>
      </c>
      <c r="I2731" s="21" t="n">
        <v>757.21</v>
      </c>
      <c r="J2731" s="21" t="n">
        <v>2271.64</v>
      </c>
      <c r="K2731" s="21" t="n">
        <v>2650.25</v>
      </c>
      <c r="L2731" s="21" t="n">
        <v>3028.86</v>
      </c>
      <c r="M2731" s="21" t="n">
        <v>1650</v>
      </c>
    </row>
    <row r="2732">
      <c r="A2732" s="9" t="inlineStr">
        <is>
          <t>CYNTHIA</t>
        </is>
      </c>
      <c r="B2732" s="9" t="inlineStr">
        <is>
          <t>CYNTHIA 18/02/2026</t>
        </is>
      </c>
      <c r="C2732" s="9" t="inlineStr">
        <is>
          <t>2026-02-18</t>
        </is>
      </c>
      <c r="D2732" s="9" t="inlineStr">
        <is>
          <t>71628204927116</t>
        </is>
      </c>
      <c r="E2732" s="9" t="inlineStr">
        <is>
          <t>SANDALIAS H BLACK</t>
        </is>
      </c>
      <c r="F2732" s="9" t="inlineStr">
        <is>
          <t>37 (23 cm)</t>
        </is>
      </c>
      <c r="G2732" s="9" t="n">
        <v>2</v>
      </c>
      <c r="H2732" s="21" t="n">
        <v>34</v>
      </c>
      <c r="I2732" s="21" t="n">
        <v>919.47</v>
      </c>
      <c r="J2732" s="21" t="n">
        <v>2758.42</v>
      </c>
      <c r="K2732" s="21" t="n">
        <v>3218.16</v>
      </c>
      <c r="L2732" s="21" t="n">
        <v>3677.9</v>
      </c>
      <c r="M2732" s="21" t="n">
        <v>3649</v>
      </c>
    </row>
    <row r="2733">
      <c r="A2733" s="9" t="inlineStr">
        <is>
          <t>CYNTHIA</t>
        </is>
      </c>
      <c r="B2733" s="9" t="inlineStr">
        <is>
          <t>CYNTHIA 18/02/2026</t>
        </is>
      </c>
      <c r="C2733" s="9" t="inlineStr">
        <is>
          <t>2026-02-18</t>
        </is>
      </c>
      <c r="D2733" s="9" t="inlineStr">
        <is>
          <t>71628205615244</t>
        </is>
      </c>
      <c r="E2733" s="9" t="inlineStr">
        <is>
          <t>SANDALIAS H BROWN</t>
        </is>
      </c>
      <c r="F2733" s="9" t="inlineStr">
        <is>
          <t>37 (23cm)</t>
        </is>
      </c>
      <c r="G2733" s="9" t="n">
        <v>1</v>
      </c>
      <c r="H2733" s="21" t="n">
        <v>30</v>
      </c>
      <c r="I2733" s="21" t="n">
        <v>811.3</v>
      </c>
      <c r="J2733" s="21" t="n">
        <v>2433.9</v>
      </c>
      <c r="K2733" s="21" t="n">
        <v>2839.55</v>
      </c>
      <c r="L2733" s="21" t="n">
        <v>3245.2</v>
      </c>
      <c r="M2733" s="21" t="n">
        <v>3189</v>
      </c>
    </row>
    <row r="2734">
      <c r="A2734" s="9" t="inlineStr">
        <is>
          <t>CYNTHIA</t>
        </is>
      </c>
      <c r="B2734" s="9" t="inlineStr">
        <is>
          <t>CYNTHIA 18/02/2026</t>
        </is>
      </c>
      <c r="C2734" s="9" t="inlineStr">
        <is>
          <t>2026-02-18</t>
        </is>
      </c>
      <c r="D2734" s="9" t="inlineStr">
        <is>
          <t>6701d26083b55</t>
        </is>
      </c>
      <c r="E2734" s="9" t="inlineStr">
        <is>
          <t>SANDALIAS H WHITE</t>
        </is>
      </c>
      <c r="F2734" s="9" t="inlineStr">
        <is>
          <t>37 (23 cm)</t>
        </is>
      </c>
      <c r="G2734" s="9" t="n">
        <v>1</v>
      </c>
      <c r="H2734" s="21" t="n">
        <v>30</v>
      </c>
      <c r="I2734" s="21" t="n">
        <v>811.3</v>
      </c>
      <c r="J2734" s="21" t="n">
        <v>2433.9</v>
      </c>
      <c r="K2734" s="21" t="n">
        <v>2839.55</v>
      </c>
      <c r="L2734" s="21" t="n">
        <v>3245.2</v>
      </c>
      <c r="M2734" s="21" t="n">
        <v>3189</v>
      </c>
    </row>
    <row r="2735">
      <c r="A2735" s="9" t="inlineStr">
        <is>
          <t>CYNTHIA</t>
        </is>
      </c>
      <c r="B2735" s="9" t="inlineStr">
        <is>
          <t>CYNTHIA 18/02/2026</t>
        </is>
      </c>
      <c r="C2735" s="9" t="inlineStr">
        <is>
          <t>2026-02-18</t>
        </is>
      </c>
      <c r="D2735" s="9" t="inlineStr">
        <is>
          <t>81712806088460</t>
        </is>
      </c>
      <c r="E2735" s="9" t="inlineStr">
        <is>
          <t>SANDALIAS MM</t>
        </is>
      </c>
      <c r="F2735" s="9" t="inlineStr">
        <is>
          <t>37/ 23cm</t>
        </is>
      </c>
      <c r="G2735" s="9" t="n">
        <v>1</v>
      </c>
      <c r="H2735" s="21" t="n">
        <v>28</v>
      </c>
      <c r="I2735" s="21" t="n">
        <v>757.21</v>
      </c>
      <c r="J2735" s="21" t="n">
        <v>2271.64</v>
      </c>
      <c r="K2735" s="21" t="n">
        <v>2650.25</v>
      </c>
      <c r="L2735" s="21" t="n">
        <v>3028.86</v>
      </c>
      <c r="M2735" s="21" t="n">
        <v>2999</v>
      </c>
    </row>
    <row r="2736">
      <c r="A2736" s="9" t="inlineStr">
        <is>
          <t>CYNTHIA</t>
        </is>
      </c>
      <c r="B2736" s="9" t="inlineStr">
        <is>
          <t>CYNTHIA 18/02/2026</t>
        </is>
      </c>
      <c r="C2736" s="9" t="inlineStr">
        <is>
          <t>2026-02-18</t>
        </is>
      </c>
      <c r="D2736" s="9" t="inlineStr">
        <is>
          <t>14401522235501</t>
        </is>
      </c>
      <c r="E2736" s="9" t="inlineStr">
        <is>
          <t>TARJETERO GC HORSEBIT 1955</t>
        </is>
      </c>
      <c r="F2736" s="9" t="inlineStr">
        <is>
          <t>Default Title</t>
        </is>
      </c>
      <c r="G2736" s="9" t="n">
        <v>2</v>
      </c>
      <c r="H2736" s="21" t="n">
        <v>33</v>
      </c>
      <c r="I2736" s="21" t="n">
        <v>892.4299999999999</v>
      </c>
      <c r="J2736" s="21" t="n">
        <v>2677.29</v>
      </c>
      <c r="K2736" s="21" t="n">
        <v>3123.51</v>
      </c>
      <c r="L2736" s="21" t="n">
        <v>3569.72</v>
      </c>
      <c r="M2736" s="21" t="n">
        <v>3499</v>
      </c>
    </row>
    <row r="2737">
      <c r="A2737" s="9" t="inlineStr">
        <is>
          <t>CYNTHIA</t>
        </is>
      </c>
      <c r="B2737" s="9" t="inlineStr">
        <is>
          <t>CYNTHIA 18/02/2026</t>
        </is>
      </c>
      <c r="C2737" s="9" t="inlineStr">
        <is>
          <t>2026-02-18</t>
        </is>
      </c>
      <c r="D2737" s="9" t="inlineStr">
        <is>
          <t>14401523185773</t>
        </is>
      </c>
      <c r="E2737" s="9" t="inlineStr">
        <is>
          <t>TARJETERO MM BLACK</t>
        </is>
      </c>
      <c r="F2737" s="9" t="inlineStr">
        <is>
          <t>Default Title</t>
        </is>
      </c>
      <c r="G2737" s="9" t="n">
        <v>2</v>
      </c>
      <c r="H2737" s="21" t="n">
        <v>25</v>
      </c>
      <c r="I2737" s="21" t="n">
        <v>676.08</v>
      </c>
      <c r="J2737" s="21" t="n">
        <v>2028.25</v>
      </c>
      <c r="K2737" s="21" t="n">
        <v>2366.29</v>
      </c>
      <c r="L2737" s="21" t="n">
        <v>2704.34</v>
      </c>
      <c r="M2737" s="21" t="n">
        <v>2799</v>
      </c>
    </row>
    <row r="2738">
      <c r="A2738" s="9" t="inlineStr">
        <is>
          <t>CYNTHIA</t>
        </is>
      </c>
      <c r="B2738" s="9" t="inlineStr">
        <is>
          <t>CYNTHIA 18/02/2026</t>
        </is>
      </c>
      <c r="C2738" s="9" t="inlineStr">
        <is>
          <t>2026-02-18</t>
        </is>
      </c>
      <c r="D2738" s="9" t="inlineStr">
        <is>
          <t>665bd4aa5e311</t>
        </is>
      </c>
      <c r="E2738" s="9" t="inlineStr">
        <is>
          <t>TARJETERO YSL LOGO BLACK</t>
        </is>
      </c>
      <c r="F2738" s="9" t="inlineStr">
        <is>
          <t>10cm de largo x 7.5cm de alto</t>
        </is>
      </c>
      <c r="G2738" s="9" t="n">
        <v>3</v>
      </c>
      <c r="H2738" s="21" t="n">
        <v>24</v>
      </c>
      <c r="I2738" s="21" t="n">
        <v>649.04</v>
      </c>
      <c r="J2738" s="21" t="n">
        <v>1947.12</v>
      </c>
      <c r="K2738" s="21" t="n">
        <v>2271.64</v>
      </c>
      <c r="L2738" s="21" t="n">
        <v>2596.16</v>
      </c>
      <c r="M2738" s="21" t="n">
        <v>2279</v>
      </c>
    </row>
    <row r="2739">
      <c r="A2739" s="9" t="inlineStr">
        <is>
          <t>NANCY</t>
        </is>
      </c>
      <c r="B2739" s="9" t="inlineStr">
        <is>
          <t>NANCY 01/03/2026</t>
        </is>
      </c>
      <c r="C2739" s="9" t="inlineStr">
        <is>
          <t>2026-03-01</t>
        </is>
      </c>
      <c r="D2739" s="9" t="inlineStr">
        <is>
          <t>56481462591116</t>
        </is>
      </c>
      <c r="E2739" s="9" t="inlineStr">
        <is>
          <t>ANILLO ECROU SILVER</t>
        </is>
      </c>
      <c r="F2739" s="9" t="inlineStr">
        <is>
          <t>7</t>
        </is>
      </c>
      <c r="G2739" s="9" t="n">
        <v>2</v>
      </c>
      <c r="H2739" s="21" t="n">
        <v>3.29</v>
      </c>
      <c r="I2739" s="21" t="n">
        <v>83.25</v>
      </c>
      <c r="J2739" s="21" t="n">
        <v>249.75</v>
      </c>
      <c r="K2739" s="21" t="n">
        <v>291.37</v>
      </c>
      <c r="L2739" s="21" t="n">
        <v>333</v>
      </c>
      <c r="M2739" s="21" t="n">
        <v>560</v>
      </c>
    </row>
    <row r="2740">
      <c r="A2740" s="9" t="inlineStr">
        <is>
          <t>NANCY</t>
        </is>
      </c>
      <c r="B2740" s="9" t="inlineStr">
        <is>
          <t>NANCY 01/03/2026</t>
        </is>
      </c>
      <c r="C2740" s="9" t="inlineStr">
        <is>
          <t>2026-03-01</t>
        </is>
      </c>
      <c r="D2740" s="9" t="inlineStr">
        <is>
          <t>66593a9cc1aaa</t>
        </is>
      </c>
      <c r="E2740" s="9" t="inlineStr">
        <is>
          <t>ANILLO KNOT GOLD</t>
        </is>
      </c>
      <c r="F2740" s="9" t="inlineStr">
        <is>
          <t>7</t>
        </is>
      </c>
      <c r="G2740" s="9" t="n">
        <v>2</v>
      </c>
      <c r="H2740" s="21" t="n">
        <v>5.59</v>
      </c>
      <c r="I2740" s="21" t="n">
        <v>141.45</v>
      </c>
      <c r="J2740" s="21" t="n">
        <v>424.34</v>
      </c>
      <c r="K2740" s="21" t="n">
        <v>495.07</v>
      </c>
      <c r="L2740" s="21" t="n">
        <v>565.79</v>
      </c>
      <c r="M2740" s="21" t="n">
        <v>480</v>
      </c>
    </row>
    <row r="2741">
      <c r="A2741" s="9" t="inlineStr">
        <is>
          <t>NANCY</t>
        </is>
      </c>
      <c r="B2741" s="9" t="inlineStr">
        <is>
          <t>NANCY 01/03/2026</t>
        </is>
      </c>
      <c r="C2741" s="9" t="inlineStr">
        <is>
          <t>2026-03-01</t>
        </is>
      </c>
      <c r="D2741" s="9" t="inlineStr">
        <is>
          <t>66593a9c168cf</t>
        </is>
      </c>
      <c r="E2741" s="9" t="inlineStr">
        <is>
          <t>ANILLO KNOT GOLD</t>
        </is>
      </c>
      <c r="F2741" s="9" t="inlineStr">
        <is>
          <t>6</t>
        </is>
      </c>
      <c r="G2741" s="9" t="n">
        <v>2</v>
      </c>
      <c r="H2741" s="21" t="n">
        <v>5.59</v>
      </c>
      <c r="I2741" s="21" t="n">
        <v>141.45</v>
      </c>
      <c r="J2741" s="21" t="n">
        <v>424.34</v>
      </c>
      <c r="K2741" s="21" t="n">
        <v>495.07</v>
      </c>
      <c r="L2741" s="21" t="n">
        <v>565.79</v>
      </c>
      <c r="M2741" s="21" t="n">
        <v>480</v>
      </c>
    </row>
    <row r="2742">
      <c r="A2742" s="9" t="inlineStr">
        <is>
          <t>NANCY</t>
        </is>
      </c>
      <c r="B2742" s="9" t="inlineStr">
        <is>
          <t>NANCY 01/03/2026</t>
        </is>
      </c>
      <c r="C2742" s="9" t="inlineStr">
        <is>
          <t>2026-03-01</t>
        </is>
      </c>
      <c r="D2742" s="9" t="inlineStr">
        <is>
          <t>2653027325964</t>
        </is>
      </c>
      <c r="E2742" s="9" t="inlineStr">
        <is>
          <t>ANILLO KNOT GOLD</t>
        </is>
      </c>
      <c r="F2742" s="9" t="inlineStr">
        <is>
          <t>8</t>
        </is>
      </c>
      <c r="G2742" s="9" t="n">
        <v>2</v>
      </c>
      <c r="H2742" s="21" t="n">
        <v>5.59</v>
      </c>
      <c r="I2742" s="21" t="n">
        <v>141.45</v>
      </c>
      <c r="J2742" s="21" t="n">
        <v>424.34</v>
      </c>
      <c r="K2742" s="21" t="n">
        <v>495.07</v>
      </c>
      <c r="L2742" s="21" t="n">
        <v>565.79</v>
      </c>
      <c r="M2742" s="21" t="n">
        <v>480</v>
      </c>
    </row>
    <row r="2743">
      <c r="A2743" s="9" t="inlineStr">
        <is>
          <t>NANCY</t>
        </is>
      </c>
      <c r="B2743" s="9" t="inlineStr">
        <is>
          <t>NANCY 01/03/2026</t>
        </is>
      </c>
      <c r="C2743" s="9" t="inlineStr">
        <is>
          <t>2026-03-01</t>
        </is>
      </c>
      <c r="D2743" s="9" t="inlineStr">
        <is>
          <t>42981580832908</t>
        </is>
      </c>
      <c r="E2743" s="9" t="inlineStr">
        <is>
          <t>ANILLO LV VOLT MULTI</t>
        </is>
      </c>
      <c r="F2743" s="9" t="inlineStr">
        <is>
          <t>Default Title</t>
        </is>
      </c>
      <c r="G2743" s="9" t="n">
        <v>2</v>
      </c>
      <c r="H2743" s="21" t="n">
        <v>5.59</v>
      </c>
      <c r="I2743" s="21" t="n">
        <v>141.45</v>
      </c>
      <c r="J2743" s="21" t="n">
        <v>424.34</v>
      </c>
      <c r="K2743" s="21" t="n">
        <v>495.07</v>
      </c>
      <c r="L2743" s="21" t="n">
        <v>565.79</v>
      </c>
      <c r="M2743" s="21" t="n">
        <v>466</v>
      </c>
    </row>
    <row r="2744">
      <c r="A2744" s="9" t="inlineStr">
        <is>
          <t>NANCY</t>
        </is>
      </c>
      <c r="B2744" s="9" t="inlineStr">
        <is>
          <t>NANCY 01/03/2026</t>
        </is>
      </c>
      <c r="C2744" s="9" t="inlineStr">
        <is>
          <t>2026-03-01</t>
        </is>
      </c>
      <c r="D2744" s="9" t="inlineStr">
        <is>
          <t>42981773246604</t>
        </is>
      </c>
      <c r="E2744" s="9" t="inlineStr">
        <is>
          <t>ANILLO PANTHERE GOLD</t>
        </is>
      </c>
      <c r="F2744" s="9" t="inlineStr">
        <is>
          <t>Regular</t>
        </is>
      </c>
      <c r="G2744" s="9" t="n">
        <v>3</v>
      </c>
      <c r="H2744" s="21" t="n">
        <v>5.59</v>
      </c>
      <c r="I2744" s="21" t="n">
        <v>141.45</v>
      </c>
      <c r="J2744" s="21" t="n">
        <v>424.34</v>
      </c>
      <c r="K2744" s="21" t="n">
        <v>495.07</v>
      </c>
      <c r="L2744" s="21" t="n">
        <v>565.79</v>
      </c>
      <c r="M2744" s="21" t="n">
        <v>480</v>
      </c>
    </row>
    <row r="2745">
      <c r="A2745" s="9" t="inlineStr">
        <is>
          <t>NANCY</t>
        </is>
      </c>
      <c r="B2745" s="9" t="inlineStr">
        <is>
          <t>NANCY 01/03/2026</t>
        </is>
      </c>
      <c r="C2745" s="9" t="inlineStr">
        <is>
          <t>2026-03-01</t>
        </is>
      </c>
      <c r="D2745" s="9" t="inlineStr">
        <is>
          <t>66593bd77de70</t>
        </is>
      </c>
      <c r="E2745" s="9" t="inlineStr">
        <is>
          <t>ANILLO PERLEE GOLD</t>
        </is>
      </c>
      <c r="F2745" s="9" t="inlineStr">
        <is>
          <t>7</t>
        </is>
      </c>
      <c r="G2745" s="9" t="n">
        <v>1</v>
      </c>
      <c r="H2745" s="21" t="n">
        <v>5.59</v>
      </c>
      <c r="I2745" s="21" t="n">
        <v>141.45</v>
      </c>
      <c r="J2745" s="21" t="n">
        <v>424.34</v>
      </c>
      <c r="K2745" s="21" t="n">
        <v>495.07</v>
      </c>
      <c r="L2745" s="21" t="n">
        <v>565.79</v>
      </c>
      <c r="M2745" s="21" t="n">
        <v>499</v>
      </c>
    </row>
    <row r="2746">
      <c r="A2746" s="9" t="inlineStr">
        <is>
          <t>NANCY</t>
        </is>
      </c>
      <c r="B2746" s="9" t="inlineStr">
        <is>
          <t>NANCY 01/03/2026</t>
        </is>
      </c>
      <c r="C2746" s="9" t="inlineStr">
        <is>
          <t>2026-03-01</t>
        </is>
      </c>
      <c r="D2746" s="9" t="inlineStr">
        <is>
          <t>66593be0a0b51</t>
        </is>
      </c>
      <c r="E2746" s="9" t="inlineStr">
        <is>
          <t>ANILLO PERLEE ROSEGOLD</t>
        </is>
      </c>
      <c r="F2746" s="9" t="inlineStr">
        <is>
          <t>8</t>
        </is>
      </c>
      <c r="G2746" s="9" t="n">
        <v>2</v>
      </c>
      <c r="H2746" s="21" t="n">
        <v>5.59</v>
      </c>
      <c r="I2746" s="21" t="n">
        <v>141.45</v>
      </c>
      <c r="J2746" s="21" t="n">
        <v>424.34</v>
      </c>
      <c r="K2746" s="21" t="n">
        <v>495.07</v>
      </c>
      <c r="L2746" s="21" t="n">
        <v>565.79</v>
      </c>
      <c r="M2746" s="21" t="n">
        <v>466</v>
      </c>
    </row>
    <row r="2747">
      <c r="A2747" s="9" t="inlineStr">
        <is>
          <t>NANCY</t>
        </is>
      </c>
      <c r="B2747" s="9" t="inlineStr">
        <is>
          <t>NANCY 01/03/2026</t>
        </is>
      </c>
      <c r="C2747" s="9" t="inlineStr">
        <is>
          <t>2026-03-01</t>
        </is>
      </c>
      <c r="D2747" s="9" t="inlineStr">
        <is>
          <t>66593be14e8c5</t>
        </is>
      </c>
      <c r="E2747" s="9" t="inlineStr">
        <is>
          <t>ANILLO PERLEE SILVER</t>
        </is>
      </c>
      <c r="F2747" s="9" t="inlineStr">
        <is>
          <t>6</t>
        </is>
      </c>
      <c r="G2747" s="9" t="n">
        <v>2</v>
      </c>
      <c r="H2747" s="21" t="n">
        <v>5.59</v>
      </c>
      <c r="I2747" s="21" t="n">
        <v>141.45</v>
      </c>
      <c r="J2747" s="21" t="n">
        <v>424.34</v>
      </c>
      <c r="K2747" s="21" t="n">
        <v>495.07</v>
      </c>
      <c r="L2747" s="21" t="n">
        <v>565.79</v>
      </c>
      <c r="M2747" s="21" t="n">
        <v>499</v>
      </c>
    </row>
    <row r="2748">
      <c r="A2748" s="9" t="inlineStr">
        <is>
          <t>NANCY</t>
        </is>
      </c>
      <c r="B2748" s="9" t="inlineStr">
        <is>
          <t>NANCY 01/03/2026</t>
        </is>
      </c>
      <c r="C2748" s="9" t="inlineStr">
        <is>
          <t>2026-03-01</t>
        </is>
      </c>
      <c r="D2748" s="9" t="inlineStr">
        <is>
          <t>66593be29b6a6</t>
        </is>
      </c>
      <c r="E2748" s="9" t="inlineStr">
        <is>
          <t>ANILLO PERLEE SILVER</t>
        </is>
      </c>
      <c r="F2748" s="9" t="inlineStr">
        <is>
          <t>8</t>
        </is>
      </c>
      <c r="G2748" s="9" t="n">
        <v>1</v>
      </c>
      <c r="H2748" s="21" t="n">
        <v>5.59</v>
      </c>
      <c r="I2748" s="21" t="n">
        <v>141.45</v>
      </c>
      <c r="J2748" s="21" t="n">
        <v>424.34</v>
      </c>
      <c r="K2748" s="21" t="n">
        <v>495.07</v>
      </c>
      <c r="L2748" s="21" t="n">
        <v>565.79</v>
      </c>
      <c r="M2748" s="21" t="n">
        <v>499</v>
      </c>
    </row>
    <row r="2749">
      <c r="A2749" s="9" t="inlineStr">
        <is>
          <t>NANCY</t>
        </is>
      </c>
      <c r="B2749" s="9" t="inlineStr">
        <is>
          <t>NANCY 01/03/2026</t>
        </is>
      </c>
      <c r="C2749" s="9" t="inlineStr">
        <is>
          <t>2026-03-01</t>
        </is>
      </c>
      <c r="D2749" s="9" t="inlineStr">
        <is>
          <t>665bb4bf5d480</t>
        </is>
      </c>
      <c r="E2749" s="9" t="inlineStr">
        <is>
          <t>ANILLO TREBOL GOLD BLACK</t>
        </is>
      </c>
      <c r="F2749" s="9" t="inlineStr">
        <is>
          <t>7</t>
        </is>
      </c>
      <c r="G2749" s="9" t="n">
        <v>1</v>
      </c>
      <c r="H2749" s="21" t="n">
        <v>5.59</v>
      </c>
      <c r="I2749" s="21" t="n">
        <v>141.45</v>
      </c>
      <c r="J2749" s="21" t="n">
        <v>424.34</v>
      </c>
      <c r="K2749" s="21" t="n">
        <v>495.07</v>
      </c>
      <c r="L2749" s="21" t="n">
        <v>565.79</v>
      </c>
      <c r="M2749" s="21" t="n">
        <v>599</v>
      </c>
    </row>
    <row r="2750">
      <c r="A2750" s="9" t="inlineStr">
        <is>
          <t>NANCY</t>
        </is>
      </c>
      <c r="B2750" s="9" t="inlineStr">
        <is>
          <t>NANCY 01/03/2026</t>
        </is>
      </c>
      <c r="C2750" s="9" t="inlineStr">
        <is>
          <t>2026-03-01</t>
        </is>
      </c>
      <c r="D2750" s="9" t="inlineStr">
        <is>
          <t>2653028882316</t>
        </is>
      </c>
      <c r="E2750" s="9" t="inlineStr">
        <is>
          <t>ANILLO TREBOL GOLD BLACK</t>
        </is>
      </c>
      <c r="F2750" s="9" t="inlineStr">
        <is>
          <t>6</t>
        </is>
      </c>
      <c r="G2750" s="9" t="n">
        <v>2</v>
      </c>
      <c r="H2750" s="21" t="n">
        <v>5.59</v>
      </c>
      <c r="I2750" s="21" t="n">
        <v>141.45</v>
      </c>
      <c r="J2750" s="21" t="n">
        <v>424.34</v>
      </c>
      <c r="K2750" s="21" t="n">
        <v>495.07</v>
      </c>
      <c r="L2750" s="21" t="n">
        <v>565.79</v>
      </c>
      <c r="M2750" s="21" t="n">
        <v>599</v>
      </c>
    </row>
    <row r="2751">
      <c r="A2751" s="9" t="inlineStr">
        <is>
          <t>NANCY</t>
        </is>
      </c>
      <c r="B2751" s="9" t="inlineStr">
        <is>
          <t>NANCY 01/03/2026</t>
        </is>
      </c>
      <c r="C2751" s="9" t="inlineStr">
        <is>
          <t>2026-03-01</t>
        </is>
      </c>
      <c r="D2751" s="9" t="inlineStr">
        <is>
          <t>665bb4c1438b1</t>
        </is>
      </c>
      <c r="E2751" s="9" t="inlineStr">
        <is>
          <t>ANILLO TREBOL GOLD GREEN</t>
        </is>
      </c>
      <c r="F2751" s="9" t="inlineStr">
        <is>
          <t>7</t>
        </is>
      </c>
      <c r="G2751" s="9" t="n">
        <v>2</v>
      </c>
      <c r="H2751" s="21" t="n">
        <v>5.59</v>
      </c>
      <c r="I2751" s="21" t="n">
        <v>141.45</v>
      </c>
      <c r="J2751" s="21" t="n">
        <v>424.34</v>
      </c>
      <c r="K2751" s="21" t="n">
        <v>495.07</v>
      </c>
      <c r="L2751" s="21" t="n">
        <v>565.79</v>
      </c>
      <c r="M2751" s="21" t="n">
        <v>499</v>
      </c>
    </row>
    <row r="2752">
      <c r="A2752" s="9" t="inlineStr">
        <is>
          <t>NANCY</t>
        </is>
      </c>
      <c r="B2752" s="9" t="inlineStr">
        <is>
          <t>NANCY 01/03/2026</t>
        </is>
      </c>
      <c r="C2752" s="9" t="inlineStr">
        <is>
          <t>2026-03-01</t>
        </is>
      </c>
      <c r="D2752" s="9" t="inlineStr">
        <is>
          <t>665bb4c25887b</t>
        </is>
      </c>
      <c r="E2752" s="9" t="inlineStr">
        <is>
          <t>ANILLO TREBOL GOLD WHITE</t>
        </is>
      </c>
      <c r="F2752" s="9" t="inlineStr">
        <is>
          <t>7</t>
        </is>
      </c>
      <c r="G2752" s="9" t="n">
        <v>2</v>
      </c>
      <c r="H2752" s="21" t="n">
        <v>5.59</v>
      </c>
      <c r="I2752" s="21" t="n">
        <v>141.45</v>
      </c>
      <c r="J2752" s="21" t="n">
        <v>424.34</v>
      </c>
      <c r="K2752" s="21" t="n">
        <v>495.07</v>
      </c>
      <c r="L2752" s="21" t="n">
        <v>565.79</v>
      </c>
      <c r="M2752" s="21" t="n">
        <v>599</v>
      </c>
    </row>
    <row r="2753">
      <c r="A2753" s="9" t="inlineStr">
        <is>
          <t>NANCY</t>
        </is>
      </c>
      <c r="B2753" s="9" t="inlineStr">
        <is>
          <t>NANCY 01/03/2026</t>
        </is>
      </c>
      <c r="C2753" s="9" t="inlineStr">
        <is>
          <t>2026-03-01</t>
        </is>
      </c>
      <c r="D2753" s="9" t="inlineStr">
        <is>
          <t>673cd5677aee7</t>
        </is>
      </c>
      <c r="E2753" s="9" t="inlineStr">
        <is>
          <t>ANILLO TRUE GOLD</t>
        </is>
      </c>
      <c r="F2753" s="9" t="inlineStr">
        <is>
          <t>6</t>
        </is>
      </c>
      <c r="G2753" s="9" t="n">
        <v>2</v>
      </c>
      <c r="H2753" s="21" t="n">
        <v>7.59</v>
      </c>
      <c r="I2753" s="21" t="n">
        <v>192.06</v>
      </c>
      <c r="J2753" s="21" t="n">
        <v>576.17</v>
      </c>
      <c r="K2753" s="21" t="n">
        <v>672.1900000000001</v>
      </c>
      <c r="L2753" s="21" t="n">
        <v>768.22</v>
      </c>
      <c r="M2753" s="21" t="n">
        <v>639</v>
      </c>
    </row>
    <row r="2754">
      <c r="A2754" s="9" t="inlineStr">
        <is>
          <t>NANCY</t>
        </is>
      </c>
      <c r="B2754" s="9" t="inlineStr">
        <is>
          <t>NANCY 01/03/2026</t>
        </is>
      </c>
      <c r="C2754" s="9" t="inlineStr">
        <is>
          <t>2026-03-01</t>
        </is>
      </c>
      <c r="D2754" s="9" t="inlineStr">
        <is>
          <t>646f84c300fa5</t>
        </is>
      </c>
      <c r="E2754" s="9" t="inlineStr">
        <is>
          <t>ARETES BV GOLD-BLACK</t>
        </is>
      </c>
      <c r="F2754" s="9" t="inlineStr">
        <is>
          <t>0.7cm</t>
        </is>
      </c>
      <c r="G2754" s="9" t="n">
        <v>1</v>
      </c>
      <c r="H2754" s="21" t="n">
        <v>3.69</v>
      </c>
      <c r="I2754" s="21" t="n">
        <v>93.37</v>
      </c>
      <c r="J2754" s="21" t="n">
        <v>280.11</v>
      </c>
      <c r="K2754" s="21" t="n">
        <v>326.8</v>
      </c>
      <c r="L2754" s="21" t="n">
        <v>373.48</v>
      </c>
      <c r="M2754" s="21" t="n">
        <v>450</v>
      </c>
    </row>
    <row r="2755">
      <c r="A2755" s="9" t="inlineStr">
        <is>
          <t>NANCY</t>
        </is>
      </c>
      <c r="B2755" s="9" t="inlineStr">
        <is>
          <t>NANCY 01/03/2026</t>
        </is>
      </c>
      <c r="C2755" s="9" t="inlineStr">
        <is>
          <t>2026-03-01</t>
        </is>
      </c>
      <c r="D2755" s="9" t="inlineStr">
        <is>
          <t>52064791097837</t>
        </is>
      </c>
      <c r="E2755" s="9" t="inlineStr">
        <is>
          <t>ARETES BV GOLD-WHITE</t>
        </is>
      </c>
      <c r="F2755" s="9" t="inlineStr">
        <is>
          <t>Default Title</t>
        </is>
      </c>
      <c r="G2755" s="9" t="n">
        <v>2</v>
      </c>
      <c r="H2755" s="21" t="n">
        <v>3.69</v>
      </c>
      <c r="I2755" s="21" t="n">
        <v>93.37</v>
      </c>
      <c r="J2755" s="21" t="n">
        <v>280.11</v>
      </c>
      <c r="K2755" s="21" t="n">
        <v>326.8</v>
      </c>
      <c r="L2755" s="21" t="n">
        <v>373.48</v>
      </c>
      <c r="M2755" s="21" t="n">
        <v>450</v>
      </c>
    </row>
    <row r="2756">
      <c r="A2756" s="9" t="inlineStr">
        <is>
          <t>NANCY</t>
        </is>
      </c>
      <c r="B2756" s="9" t="inlineStr">
        <is>
          <t>NANCY 01/03/2026</t>
        </is>
      </c>
      <c r="C2756" s="9" t="inlineStr">
        <is>
          <t>2026-03-01</t>
        </is>
      </c>
      <c r="D2756" s="9" t="inlineStr">
        <is>
          <t>63ebd61958890</t>
        </is>
      </c>
      <c r="E2756" s="9" t="inlineStr">
        <is>
          <t>ARETES BV ROSE GOLD-BLACK</t>
        </is>
      </c>
      <c r="F2756" s="9" t="inlineStr">
        <is>
          <t>1cm</t>
        </is>
      </c>
      <c r="G2756" s="9" t="n">
        <v>3</v>
      </c>
      <c r="H2756" s="21" t="n">
        <v>3.69</v>
      </c>
      <c r="I2756" s="21" t="n">
        <v>93.37</v>
      </c>
      <c r="J2756" s="21" t="n">
        <v>280.11</v>
      </c>
      <c r="K2756" s="21" t="n">
        <v>326.8</v>
      </c>
      <c r="L2756" s="21" t="n">
        <v>373.48</v>
      </c>
      <c r="M2756" s="21" t="n">
        <v>499</v>
      </c>
    </row>
    <row r="2757">
      <c r="A2757" s="9" t="inlineStr">
        <is>
          <t>NANCY</t>
        </is>
      </c>
      <c r="B2757" s="9" t="inlineStr">
        <is>
          <t>NANCY 01/03/2026</t>
        </is>
      </c>
      <c r="C2757" s="9" t="inlineStr">
        <is>
          <t>2026-03-01</t>
        </is>
      </c>
      <c r="D2757" s="9" t="inlineStr">
        <is>
          <t>64e78ca71edc7</t>
        </is>
      </c>
      <c r="E2757" s="9" t="inlineStr">
        <is>
          <t>ARETES BV SILVER- WHITE</t>
        </is>
      </c>
      <c r="F2757" s="9" t="inlineStr">
        <is>
          <t>Regular</t>
        </is>
      </c>
      <c r="G2757" s="9" t="n">
        <v>2</v>
      </c>
      <c r="H2757" s="21" t="n">
        <v>3.69</v>
      </c>
      <c r="I2757" s="21" t="n">
        <v>93.37</v>
      </c>
      <c r="J2757" s="21" t="n">
        <v>280.11</v>
      </c>
      <c r="K2757" s="21" t="n">
        <v>326.8</v>
      </c>
      <c r="L2757" s="21" t="n">
        <v>373.48</v>
      </c>
      <c r="M2757" s="21" t="n">
        <v>450</v>
      </c>
    </row>
    <row r="2758">
      <c r="A2758" s="9" t="inlineStr">
        <is>
          <t>NANCY</t>
        </is>
      </c>
      <c r="B2758" s="9" t="inlineStr">
        <is>
          <t>NANCY 01/03/2026</t>
        </is>
      </c>
      <c r="C2758" s="9" t="inlineStr">
        <is>
          <t>2026-03-01</t>
        </is>
      </c>
      <c r="D2758" s="9" t="inlineStr">
        <is>
          <t>665bb4e91bcaf</t>
        </is>
      </c>
      <c r="E2758" s="9" t="inlineStr">
        <is>
          <t>ARETES CD GOLD BLACK</t>
        </is>
      </c>
      <c r="F2758" s="9" t="inlineStr">
        <is>
          <t>Default Title</t>
        </is>
      </c>
      <c r="G2758" s="9" t="n">
        <v>3</v>
      </c>
      <c r="H2758" s="21" t="n">
        <v>5.59</v>
      </c>
      <c r="I2758" s="21" t="n">
        <v>141.45</v>
      </c>
      <c r="J2758" s="21" t="n">
        <v>424.34</v>
      </c>
      <c r="K2758" s="21" t="n">
        <v>495.07</v>
      </c>
      <c r="L2758" s="21" t="n">
        <v>565.79</v>
      </c>
      <c r="M2758" s="21" t="n">
        <v>499</v>
      </c>
    </row>
    <row r="2759">
      <c r="A2759" s="9" t="inlineStr">
        <is>
          <t>NANCY</t>
        </is>
      </c>
      <c r="B2759" s="9" t="inlineStr">
        <is>
          <t>NANCY 01/03/2026</t>
        </is>
      </c>
      <c r="C2759" s="9" t="inlineStr">
        <is>
          <t>2026-03-01</t>
        </is>
      </c>
      <c r="D2759" s="9" t="inlineStr">
        <is>
          <t>42981640208524</t>
        </is>
      </c>
      <c r="E2759" s="9" t="inlineStr">
        <is>
          <t>ARETES CD GOLD CON PERLA COLGANTE</t>
        </is>
      </c>
      <c r="F2759" s="9" t="inlineStr">
        <is>
          <t>Default Title</t>
        </is>
      </c>
      <c r="G2759" s="9" t="n">
        <v>3</v>
      </c>
      <c r="H2759" s="21" t="n">
        <v>5.59</v>
      </c>
      <c r="I2759" s="21" t="n">
        <v>141.45</v>
      </c>
      <c r="J2759" s="21" t="n">
        <v>424.34</v>
      </c>
      <c r="K2759" s="21" t="n">
        <v>495.07</v>
      </c>
      <c r="L2759" s="21" t="n">
        <v>565.79</v>
      </c>
      <c r="M2759" s="21" t="n">
        <v>466</v>
      </c>
    </row>
    <row r="2760">
      <c r="A2760" s="9" t="inlineStr">
        <is>
          <t>NANCY</t>
        </is>
      </c>
      <c r="B2760" s="9" t="inlineStr">
        <is>
          <t>NANCY 01/03/2026</t>
        </is>
      </c>
      <c r="C2760" s="9" t="inlineStr">
        <is>
          <t>2026-03-01</t>
        </is>
      </c>
      <c r="D2760" s="9" t="inlineStr">
        <is>
          <t>665bb4f54f46f</t>
        </is>
      </c>
      <c r="E2760" s="9" t="inlineStr">
        <is>
          <t>ARETES CORAZÓN GC</t>
        </is>
      </c>
      <c r="F2760" s="9" t="inlineStr">
        <is>
          <t>Default Title</t>
        </is>
      </c>
      <c r="G2760" s="9" t="n">
        <v>2</v>
      </c>
      <c r="H2760" s="21" t="n">
        <v>5.59</v>
      </c>
      <c r="I2760" s="21" t="n">
        <v>141.45</v>
      </c>
      <c r="J2760" s="21" t="n">
        <v>424.34</v>
      </c>
      <c r="K2760" s="21" t="n">
        <v>495.07</v>
      </c>
      <c r="L2760" s="21" t="n">
        <v>565.79</v>
      </c>
      <c r="M2760" s="21" t="n">
        <v>350</v>
      </c>
    </row>
    <row r="2761">
      <c r="A2761" s="9" t="inlineStr">
        <is>
          <t>NANCY</t>
        </is>
      </c>
      <c r="B2761" s="9" t="inlineStr">
        <is>
          <t>NANCY 01/03/2026</t>
        </is>
      </c>
      <c r="C2761" s="9" t="inlineStr">
        <is>
          <t>2026-03-01</t>
        </is>
      </c>
      <c r="D2761" s="9" t="inlineStr">
        <is>
          <t>665bb4fe45383</t>
        </is>
      </c>
      <c r="E2761" s="9" t="inlineStr">
        <is>
          <t>ARETES DE PERLA YSL</t>
        </is>
      </c>
      <c r="F2761" s="9" t="inlineStr">
        <is>
          <t>Regular</t>
        </is>
      </c>
      <c r="G2761" s="9" t="n">
        <v>10</v>
      </c>
      <c r="H2761" s="21" t="n">
        <v>5.59</v>
      </c>
      <c r="I2761" s="21" t="n">
        <v>141.45</v>
      </c>
      <c r="J2761" s="21" t="n">
        <v>424.34</v>
      </c>
      <c r="K2761" s="21" t="n">
        <v>495.07</v>
      </c>
      <c r="L2761" s="21" t="n">
        <v>565.79</v>
      </c>
      <c r="M2761" s="21" t="n">
        <v>499</v>
      </c>
    </row>
    <row r="2762">
      <c r="A2762" s="9" t="inlineStr">
        <is>
          <t>NANCY</t>
        </is>
      </c>
      <c r="B2762" s="9" t="inlineStr">
        <is>
          <t>NANCY 01/03/2026</t>
        </is>
      </c>
      <c r="C2762" s="9" t="inlineStr">
        <is>
          <t>2026-03-01</t>
        </is>
      </c>
      <c r="D2762" s="9" t="inlineStr">
        <is>
          <t>43047216545932</t>
        </is>
      </c>
      <c r="E2762" s="9" t="inlineStr">
        <is>
          <t>ARETES ESLABON LISO ROSEGOLD</t>
        </is>
      </c>
      <c r="F2762" s="9" t="inlineStr">
        <is>
          <t>Small 3cm</t>
        </is>
      </c>
      <c r="G2762" s="9" t="n">
        <v>3</v>
      </c>
      <c r="H2762" s="21" t="n">
        <v>5.79</v>
      </c>
      <c r="I2762" s="21" t="n">
        <v>146.51</v>
      </c>
      <c r="J2762" s="21" t="n">
        <v>439.53</v>
      </c>
      <c r="K2762" s="21" t="n">
        <v>512.78</v>
      </c>
      <c r="L2762" s="21" t="n">
        <v>586.03</v>
      </c>
      <c r="M2762" s="21" t="n">
        <v>650</v>
      </c>
    </row>
    <row r="2763">
      <c r="A2763" s="9" t="inlineStr">
        <is>
          <t>NANCY</t>
        </is>
      </c>
      <c r="B2763" s="9" t="inlineStr">
        <is>
          <t>NANCY 01/03/2026</t>
        </is>
      </c>
      <c r="C2763" s="9" t="inlineStr">
        <is>
          <t>2026-03-01</t>
        </is>
      </c>
      <c r="D2763" s="9" t="inlineStr">
        <is>
          <t>42981553012876</t>
        </is>
      </c>
      <c r="E2763" s="9" t="inlineStr">
        <is>
          <t>ARETES ESSENTIAL LV GOLD</t>
        </is>
      </c>
      <c r="F2763" s="9" t="inlineStr">
        <is>
          <t>Default Title</t>
        </is>
      </c>
      <c r="G2763" s="9" t="n">
        <v>4</v>
      </c>
      <c r="H2763" s="21" t="n">
        <v>5.59</v>
      </c>
      <c r="I2763" s="21" t="n">
        <v>141.45</v>
      </c>
      <c r="J2763" s="21" t="n">
        <v>424.34</v>
      </c>
      <c r="K2763" s="21" t="n">
        <v>495.07</v>
      </c>
      <c r="L2763" s="21" t="n">
        <v>565.79</v>
      </c>
      <c r="M2763" s="21" t="n">
        <v>499</v>
      </c>
    </row>
    <row r="2764">
      <c r="A2764" s="9" t="inlineStr">
        <is>
          <t>NANCY</t>
        </is>
      </c>
      <c r="B2764" s="9" t="inlineStr">
        <is>
          <t>NANCY 01/03/2026</t>
        </is>
      </c>
      <c r="C2764" s="9" t="inlineStr">
        <is>
          <t>2026-03-01</t>
        </is>
      </c>
      <c r="D2764" s="9" t="inlineStr">
        <is>
          <t>42981569396876</t>
        </is>
      </c>
      <c r="E2764" s="9" t="inlineStr">
        <is>
          <t>ARETES ESSENTIAL LV SILVER</t>
        </is>
      </c>
      <c r="F2764" s="9" t="inlineStr">
        <is>
          <t>Default Title</t>
        </is>
      </c>
      <c r="G2764" s="9" t="n">
        <v>3</v>
      </c>
      <c r="H2764" s="21" t="n">
        <v>5.59</v>
      </c>
      <c r="I2764" s="21" t="n">
        <v>141.45</v>
      </c>
      <c r="J2764" s="21" t="n">
        <v>424.34</v>
      </c>
      <c r="K2764" s="21" t="n">
        <v>495.07</v>
      </c>
      <c r="L2764" s="21" t="n">
        <v>565.79</v>
      </c>
      <c r="M2764" s="21" t="n">
        <v>499</v>
      </c>
    </row>
    <row r="2765">
      <c r="A2765" s="9" t="inlineStr">
        <is>
          <t>NANCY</t>
        </is>
      </c>
      <c r="B2765" s="9" t="inlineStr">
        <is>
          <t>NANCY 01/03/2026</t>
        </is>
      </c>
      <c r="C2765" s="9" t="inlineStr">
        <is>
          <t>2026-03-01</t>
        </is>
      </c>
      <c r="D2765" s="9" t="inlineStr">
        <is>
          <t>64e78ca83b5da-1</t>
        </is>
      </c>
      <c r="E2765" s="9" t="inlineStr">
        <is>
          <t>ARETES GC GOLD</t>
        </is>
      </c>
      <c r="F2765" s="9" t="inlineStr">
        <is>
          <t>Regular</t>
        </is>
      </c>
      <c r="G2765" s="9" t="n">
        <v>3</v>
      </c>
      <c r="H2765" s="21" t="n">
        <v>5.59</v>
      </c>
      <c r="I2765" s="21" t="n">
        <v>141.45</v>
      </c>
      <c r="J2765" s="21" t="n">
        <v>424.34</v>
      </c>
      <c r="K2765" s="21" t="n">
        <v>495.07</v>
      </c>
      <c r="L2765" s="21" t="n">
        <v>565.79</v>
      </c>
      <c r="M2765" s="21" t="n">
        <v>499</v>
      </c>
    </row>
    <row r="2766">
      <c r="A2766" s="9" t="inlineStr">
        <is>
          <t>NANCY</t>
        </is>
      </c>
      <c r="B2766" s="9" t="inlineStr">
        <is>
          <t>NANCY 01/03/2026</t>
        </is>
      </c>
      <c r="C2766" s="9" t="inlineStr">
        <is>
          <t>2026-03-01</t>
        </is>
      </c>
      <c r="D2766" s="9" t="inlineStr">
        <is>
          <t>665bb512aacaa</t>
        </is>
      </c>
      <c r="E2766" s="9" t="inlineStr">
        <is>
          <t>ARETES GC LOGO GOLD</t>
        </is>
      </c>
      <c r="F2766" s="9" t="inlineStr">
        <is>
          <t>Default Title</t>
        </is>
      </c>
      <c r="G2766" s="9" t="n">
        <v>7</v>
      </c>
      <c r="H2766" s="21" t="n">
        <v>5.59</v>
      </c>
      <c r="I2766" s="21" t="n">
        <v>141.45</v>
      </c>
      <c r="J2766" s="21" t="n">
        <v>424.34</v>
      </c>
      <c r="K2766" s="21" t="n">
        <v>495.07</v>
      </c>
      <c r="L2766" s="21" t="n">
        <v>565.79</v>
      </c>
      <c r="M2766" s="21" t="n">
        <v>480</v>
      </c>
    </row>
    <row r="2767">
      <c r="A2767" s="9" t="inlineStr">
        <is>
          <t>NANCY</t>
        </is>
      </c>
      <c r="B2767" s="9" t="inlineStr">
        <is>
          <t>NANCY 01/03/2026</t>
        </is>
      </c>
      <c r="C2767" s="9" t="inlineStr">
        <is>
          <t>2026-03-01</t>
        </is>
      </c>
      <c r="D2767" s="9" t="inlineStr">
        <is>
          <t>665bb75a563b8</t>
        </is>
      </c>
      <c r="E2767" s="9" t="inlineStr">
        <is>
          <t>ARETES MY LV SILVER</t>
        </is>
      </c>
      <c r="F2767" s="9" t="inlineStr">
        <is>
          <t>Default Title</t>
        </is>
      </c>
      <c r="G2767" s="9" t="n">
        <v>2</v>
      </c>
      <c r="H2767" s="21" t="n">
        <v>5.59</v>
      </c>
      <c r="I2767" s="21" t="n">
        <v>141.45</v>
      </c>
      <c r="J2767" s="21" t="n">
        <v>424.34</v>
      </c>
      <c r="K2767" s="21" t="n">
        <v>495.07</v>
      </c>
      <c r="L2767" s="21" t="n">
        <v>565.79</v>
      </c>
      <c r="M2767" s="21" t="n">
        <v>499</v>
      </c>
    </row>
    <row r="2768">
      <c r="A2768" s="9" t="inlineStr">
        <is>
          <t>NANCY</t>
        </is>
      </c>
      <c r="B2768" s="9" t="inlineStr">
        <is>
          <t>NANCY 01/03/2026</t>
        </is>
      </c>
      <c r="C2768" s="9" t="inlineStr">
        <is>
          <t>2026-03-01</t>
        </is>
      </c>
      <c r="D2768" s="9" t="inlineStr">
        <is>
          <t>68431126327692</t>
        </is>
      </c>
      <c r="E2768" s="9" t="inlineStr">
        <is>
          <t>ARETES PERLE√â GOLD</t>
        </is>
      </c>
      <c r="F2768" s="9" t="inlineStr">
        <is>
          <t>Default Title</t>
        </is>
      </c>
      <c r="G2768" s="9" t="n">
        <v>1</v>
      </c>
      <c r="H2768" s="21" t="n">
        <v>9.99</v>
      </c>
      <c r="I2768" s="21" t="n">
        <v>252.78</v>
      </c>
      <c r="J2768" s="21" t="n">
        <v>758.35</v>
      </c>
      <c r="K2768" s="21" t="n">
        <v>884.74</v>
      </c>
      <c r="L2768" s="21" t="n">
        <v>1011.14</v>
      </c>
      <c r="M2768" s="21" t="n">
        <v>849</v>
      </c>
    </row>
    <row r="2769">
      <c r="A2769" s="9" t="inlineStr">
        <is>
          <t>NANCY</t>
        </is>
      </c>
      <c r="B2769" s="9" t="inlineStr">
        <is>
          <t>NANCY 01/03/2026</t>
        </is>
      </c>
      <c r="C2769" s="9" t="inlineStr">
        <is>
          <t>2026-03-01</t>
        </is>
      </c>
      <c r="D2769" s="9" t="inlineStr">
        <is>
          <t>665bb76e6de16</t>
        </is>
      </c>
      <c r="E2769" s="9" t="inlineStr">
        <is>
          <t>ARETES TB GOLD</t>
        </is>
      </c>
      <c r="F2769" s="9" t="inlineStr">
        <is>
          <t>Regular</t>
        </is>
      </c>
      <c r="G2769" s="9" t="n">
        <v>8</v>
      </c>
      <c r="H2769" s="21" t="n">
        <v>2.79</v>
      </c>
      <c r="I2769" s="21" t="n">
        <v>70.59999999999999</v>
      </c>
      <c r="J2769" s="21" t="n">
        <v>211.79</v>
      </c>
      <c r="K2769" s="21" t="n">
        <v>247.09</v>
      </c>
      <c r="L2769" s="21" t="n">
        <v>282.39</v>
      </c>
      <c r="M2769" s="21" t="n">
        <v>450</v>
      </c>
    </row>
    <row r="2770">
      <c r="A2770" s="9" t="inlineStr">
        <is>
          <t>NANCY</t>
        </is>
      </c>
      <c r="B2770" s="9" t="inlineStr">
        <is>
          <t>NANCY 01/03/2026</t>
        </is>
      </c>
      <c r="C2770" s="9" t="inlineStr">
        <is>
          <t>2026-03-01</t>
        </is>
      </c>
      <c r="D2770" s="9" t="inlineStr">
        <is>
          <t>64e78c9c19fe7</t>
        </is>
      </c>
      <c r="E2770" s="9" t="inlineStr">
        <is>
          <t>ARETES V CON PERLA COLGANTE</t>
        </is>
      </c>
      <c r="F2770" s="9" t="inlineStr">
        <is>
          <t>Regular</t>
        </is>
      </c>
      <c r="G2770" s="9" t="n">
        <v>4</v>
      </c>
      <c r="H2770" s="21" t="n">
        <v>7.29</v>
      </c>
      <c r="I2770" s="21" t="n">
        <v>184.46</v>
      </c>
      <c r="J2770" s="21" t="n">
        <v>553.39</v>
      </c>
      <c r="K2770" s="21" t="n">
        <v>645.62</v>
      </c>
      <c r="L2770" s="21" t="n">
        <v>737.86</v>
      </c>
      <c r="M2770" s="21" t="n">
        <v>599</v>
      </c>
    </row>
    <row r="2771">
      <c r="A2771" s="9" t="inlineStr">
        <is>
          <t>NANCY</t>
        </is>
      </c>
      <c r="B2771" s="9" t="inlineStr">
        <is>
          <t>NANCY 01/03/2026</t>
        </is>
      </c>
      <c r="C2771" s="9" t="inlineStr">
        <is>
          <t>2026-03-01</t>
        </is>
      </c>
      <c r="D2771" s="9" t="inlineStr">
        <is>
          <t>665bb79224272</t>
        </is>
      </c>
      <c r="E2771" s="9" t="inlineStr">
        <is>
          <t>ARRACADAS CD GOLD BLACK</t>
        </is>
      </c>
      <c r="F2771" s="9" t="inlineStr">
        <is>
          <t>Default Title</t>
        </is>
      </c>
      <c r="G2771" s="9" t="n">
        <v>1</v>
      </c>
      <c r="H2771" s="21" t="n">
        <v>7.59</v>
      </c>
      <c r="I2771" s="21" t="n">
        <v>192.06</v>
      </c>
      <c r="J2771" s="21" t="n">
        <v>576.17</v>
      </c>
      <c r="K2771" s="21" t="n">
        <v>672.1900000000001</v>
      </c>
      <c r="L2771" s="21" t="n">
        <v>768.22</v>
      </c>
      <c r="M2771" s="21" t="n">
        <v>649</v>
      </c>
    </row>
    <row r="2772">
      <c r="A2772" s="9" t="inlineStr">
        <is>
          <t>NANCY</t>
        </is>
      </c>
      <c r="B2772" s="9" t="inlineStr">
        <is>
          <t>NANCY 01/03/2026</t>
        </is>
      </c>
      <c r="C2772" s="9" t="inlineStr">
        <is>
          <t>2026-03-01</t>
        </is>
      </c>
      <c r="D2772" s="9" t="inlineStr">
        <is>
          <t>43047204749452</t>
        </is>
      </c>
      <c r="E2772" s="9" t="inlineStr">
        <is>
          <t>ARRACADAS T CORAZ√ìN</t>
        </is>
      </c>
      <c r="F2772" s="9" t="inlineStr">
        <is>
          <t>Regular</t>
        </is>
      </c>
      <c r="G2772" s="9" t="n">
        <v>4</v>
      </c>
      <c r="H2772" s="21" t="n">
        <v>5.59</v>
      </c>
      <c r="I2772" s="21" t="n">
        <v>141.45</v>
      </c>
      <c r="J2772" s="21" t="n">
        <v>424.34</v>
      </c>
      <c r="K2772" s="21" t="n">
        <v>495.07</v>
      </c>
      <c r="L2772" s="21" t="n">
        <v>565.79</v>
      </c>
      <c r="M2772" s="21" t="n">
        <v>499</v>
      </c>
    </row>
    <row r="2773">
      <c r="A2773" s="9" t="inlineStr">
        <is>
          <t>NANCY</t>
        </is>
      </c>
      <c r="B2773" s="9" t="inlineStr">
        <is>
          <t>NANCY 01/03/2026</t>
        </is>
      </c>
      <c r="C2773" s="9" t="inlineStr">
        <is>
          <t>2026-03-01</t>
        </is>
      </c>
      <c r="D2773" s="9" t="inlineStr">
        <is>
          <t>66177be17fc51</t>
        </is>
      </c>
      <c r="E2773" s="9" t="inlineStr">
        <is>
          <t>COLLAR CLAVO ROUND GOLD</t>
        </is>
      </c>
      <c r="F2773" s="9" t="inlineStr">
        <is>
          <t>Regular</t>
        </is>
      </c>
      <c r="G2773" s="9" t="n">
        <v>2</v>
      </c>
      <c r="H2773" s="21" t="n">
        <v>7.59</v>
      </c>
      <c r="I2773" s="21" t="n">
        <v>192.06</v>
      </c>
      <c r="J2773" s="21" t="n">
        <v>576.17</v>
      </c>
      <c r="K2773" s="21" t="n">
        <v>672.1900000000001</v>
      </c>
      <c r="L2773" s="21" t="n">
        <v>768.22</v>
      </c>
      <c r="M2773" s="21" t="n">
        <v>650</v>
      </c>
    </row>
    <row r="2774">
      <c r="A2774" s="9" t="inlineStr">
        <is>
          <t>NANCY</t>
        </is>
      </c>
      <c r="B2774" s="9" t="inlineStr">
        <is>
          <t>NANCY 01/03/2026</t>
        </is>
      </c>
      <c r="C2774" s="9" t="inlineStr">
        <is>
          <t>2026-03-01</t>
        </is>
      </c>
      <c r="D2774" s="9" t="inlineStr">
        <is>
          <t>66177be046ec0-1</t>
        </is>
      </c>
      <c r="E2774" s="9" t="inlineStr">
        <is>
          <t>COLLAR CLAVO ROUND ROSEGOLD</t>
        </is>
      </c>
      <c r="F2774" s="9" t="inlineStr">
        <is>
          <t>Regular</t>
        </is>
      </c>
      <c r="G2774" s="9" t="n">
        <v>2</v>
      </c>
      <c r="H2774" s="21" t="n">
        <v>7.59</v>
      </c>
      <c r="I2774" s="21" t="n">
        <v>192.06</v>
      </c>
      <c r="J2774" s="21" t="n">
        <v>576.17</v>
      </c>
      <c r="K2774" s="21" t="n">
        <v>672.1900000000001</v>
      </c>
      <c r="L2774" s="21" t="n">
        <v>768.22</v>
      </c>
      <c r="M2774" s="21" t="n">
        <v>650</v>
      </c>
    </row>
    <row r="2775">
      <c r="A2775" s="9" t="inlineStr">
        <is>
          <t>NANCY</t>
        </is>
      </c>
      <c r="B2775" s="9" t="inlineStr">
        <is>
          <t>NANCY 01/03/2026</t>
        </is>
      </c>
      <c r="C2775" s="9" t="inlineStr">
        <is>
          <t>2026-03-01</t>
        </is>
      </c>
      <c r="D2775" s="9" t="inlineStr">
        <is>
          <t>42981825511564</t>
        </is>
      </c>
      <c r="E2775" s="9" t="inlineStr">
        <is>
          <t>COLLAR LOCK CON ZIRCONIAS GOLD SILVER</t>
        </is>
      </c>
      <c r="F2775" s="9" t="inlineStr">
        <is>
          <t>Default Title</t>
        </is>
      </c>
      <c r="G2775" s="9" t="n">
        <v>3</v>
      </c>
      <c r="H2775" s="21" t="n">
        <v>8.59</v>
      </c>
      <c r="I2775" s="21" t="n">
        <v>217.36</v>
      </c>
      <c r="J2775" s="21" t="n">
        <v>652.08</v>
      </c>
      <c r="K2775" s="21" t="n">
        <v>760.76</v>
      </c>
      <c r="L2775" s="21" t="n">
        <v>869.4400000000001</v>
      </c>
      <c r="M2775" s="21" t="n">
        <v>750</v>
      </c>
    </row>
    <row r="2776">
      <c r="A2776" s="9" t="inlineStr">
        <is>
          <t>NANCY</t>
        </is>
      </c>
      <c r="B2776" s="9" t="inlineStr">
        <is>
          <t>NANCY 01/03/2026</t>
        </is>
      </c>
      <c r="C2776" s="9" t="inlineStr">
        <is>
          <t>2026-03-01</t>
        </is>
      </c>
      <c r="D2776" s="9" t="inlineStr">
        <is>
          <t>42981893177484</t>
        </is>
      </c>
      <c r="E2776" s="9" t="inlineStr">
        <is>
          <t>COLLAR LOCK CON ZIRCONIAS ROSEGOLD SILVER</t>
        </is>
      </c>
      <c r="F2776" s="9" t="inlineStr">
        <is>
          <t>Default Title</t>
        </is>
      </c>
      <c r="G2776" s="9" t="n">
        <v>1</v>
      </c>
      <c r="H2776" s="21" t="n">
        <v>8.59</v>
      </c>
      <c r="I2776" s="21" t="n">
        <v>217.36</v>
      </c>
      <c r="J2776" s="21" t="n">
        <v>652.08</v>
      </c>
      <c r="K2776" s="21" t="n">
        <v>760.76</v>
      </c>
      <c r="L2776" s="21" t="n">
        <v>869.4400000000001</v>
      </c>
      <c r="M2776" s="21" t="n">
        <v>750</v>
      </c>
    </row>
    <row r="2777">
      <c r="A2777" s="9" t="inlineStr">
        <is>
          <t>NANCY</t>
        </is>
      </c>
      <c r="B2777" s="9" t="inlineStr">
        <is>
          <t>NANCY 01/03/2026</t>
        </is>
      </c>
      <c r="C2777" s="9" t="inlineStr">
        <is>
          <t>2026-03-01</t>
        </is>
      </c>
      <c r="D2777" s="9" t="inlineStr">
        <is>
          <t>64e78d44e18fa</t>
        </is>
      </c>
      <c r="E2777" s="9" t="inlineStr">
        <is>
          <t>COLLAR LV CON ZIRCONIA GOLD</t>
        </is>
      </c>
      <c r="F2777" s="9" t="inlineStr">
        <is>
          <t>42cm</t>
        </is>
      </c>
      <c r="G2777" s="9" t="n">
        <v>1</v>
      </c>
      <c r="H2777" s="21" t="n">
        <v>6.89</v>
      </c>
      <c r="I2777" s="21" t="n">
        <v>174.34</v>
      </c>
      <c r="J2777" s="21" t="n">
        <v>523.03</v>
      </c>
      <c r="K2777" s="21" t="n">
        <v>610.2</v>
      </c>
      <c r="L2777" s="21" t="n">
        <v>697.37</v>
      </c>
      <c r="M2777" s="21" t="n">
        <v>575</v>
      </c>
    </row>
    <row r="2778">
      <c r="A2778" s="9" t="inlineStr">
        <is>
          <t>NANCY</t>
        </is>
      </c>
      <c r="B2778" s="9" t="inlineStr">
        <is>
          <t>NANCY 01/03/2026</t>
        </is>
      </c>
      <c r="C2778" s="9" t="inlineStr">
        <is>
          <t>2026-03-01</t>
        </is>
      </c>
      <c r="D2778" s="9" t="inlineStr">
        <is>
          <t>64e78caf2dfa6</t>
        </is>
      </c>
      <c r="E2778" s="9" t="inlineStr">
        <is>
          <t>COLLAR LV FLOWER GOLD</t>
        </is>
      </c>
      <c r="F2778" s="9" t="inlineStr">
        <is>
          <t>Default Title</t>
        </is>
      </c>
      <c r="G2778" s="9" t="n">
        <v>2</v>
      </c>
      <c r="H2778" s="21" t="n">
        <v>6.29</v>
      </c>
      <c r="I2778" s="21" t="n">
        <v>159.16</v>
      </c>
      <c r="J2778" s="21" t="n">
        <v>477.48</v>
      </c>
      <c r="K2778" s="21" t="n">
        <v>557.0599999999999</v>
      </c>
      <c r="L2778" s="21" t="n">
        <v>636.64</v>
      </c>
      <c r="M2778" s="21" t="n">
        <v>650</v>
      </c>
    </row>
    <row r="2779">
      <c r="A2779" s="9" t="inlineStr">
        <is>
          <t>NANCY</t>
        </is>
      </c>
      <c r="B2779" s="9" t="inlineStr">
        <is>
          <t>NANCY 01/03/2026</t>
        </is>
      </c>
      <c r="C2779" s="9" t="inlineStr">
        <is>
          <t>2026-03-01</t>
        </is>
      </c>
      <c r="D2779" s="9" t="inlineStr">
        <is>
          <t>64e78caeba151</t>
        </is>
      </c>
      <c r="E2779" s="9" t="inlineStr">
        <is>
          <t>COLLAR LV FLOWER ROSE-GOLD</t>
        </is>
      </c>
      <c r="F2779" s="9" t="inlineStr">
        <is>
          <t>Default Title</t>
        </is>
      </c>
      <c r="G2779" s="9" t="n">
        <v>3</v>
      </c>
      <c r="H2779" s="21" t="n">
        <v>6.29</v>
      </c>
      <c r="I2779" s="21" t="n">
        <v>159.16</v>
      </c>
      <c r="J2779" s="21" t="n">
        <v>477.48</v>
      </c>
      <c r="K2779" s="21" t="n">
        <v>557.0599999999999</v>
      </c>
      <c r="L2779" s="21" t="n">
        <v>636.64</v>
      </c>
      <c r="M2779" s="21" t="n">
        <v>650</v>
      </c>
    </row>
    <row r="2780">
      <c r="A2780" s="9" t="inlineStr">
        <is>
          <t>NANCY</t>
        </is>
      </c>
      <c r="B2780" s="9" t="inlineStr">
        <is>
          <t>NANCY 01/03/2026</t>
        </is>
      </c>
      <c r="C2780" s="9" t="inlineStr">
        <is>
          <t>2026-03-01</t>
        </is>
      </c>
      <c r="D2780" s="9" t="inlineStr">
        <is>
          <t>64e78caddd20d</t>
        </is>
      </c>
      <c r="E2780" s="9" t="inlineStr">
        <is>
          <t>COLLAR LV FLOWER SILVER</t>
        </is>
      </c>
      <c r="F2780" s="9" t="inlineStr">
        <is>
          <t>Default Title</t>
        </is>
      </c>
      <c r="G2780" s="9" t="n">
        <v>2</v>
      </c>
      <c r="H2780" s="21" t="n">
        <v>6.29</v>
      </c>
      <c r="I2780" s="21" t="n">
        <v>159.16</v>
      </c>
      <c r="J2780" s="21" t="n">
        <v>477.48</v>
      </c>
      <c r="K2780" s="21" t="n">
        <v>557.0599999999999</v>
      </c>
      <c r="L2780" s="21" t="n">
        <v>636.64</v>
      </c>
      <c r="M2780" s="21" t="n">
        <v>650</v>
      </c>
    </row>
    <row r="2781">
      <c r="A2781" s="9" t="inlineStr">
        <is>
          <t>NANCY</t>
        </is>
      </c>
      <c r="B2781" s="9" t="inlineStr">
        <is>
          <t>NANCY 01/03/2026</t>
        </is>
      </c>
      <c r="C2781" s="9" t="inlineStr">
        <is>
          <t>2026-03-01</t>
        </is>
      </c>
      <c r="D2781" s="9" t="inlineStr">
        <is>
          <t>42981975064716</t>
        </is>
      </c>
      <c r="E2781" s="9" t="inlineStr">
        <is>
          <t>COLLAR POP H GOLD WHITE</t>
        </is>
      </c>
      <c r="F2781" s="9" t="inlineStr">
        <is>
          <t>Regular</t>
        </is>
      </c>
      <c r="G2781" s="9" t="n">
        <v>2</v>
      </c>
      <c r="H2781" s="21" t="n">
        <v>3.99</v>
      </c>
      <c r="I2781" s="21" t="n">
        <v>100.96</v>
      </c>
      <c r="J2781" s="21" t="n">
        <v>302.89</v>
      </c>
      <c r="K2781" s="21" t="n">
        <v>353.37</v>
      </c>
      <c r="L2781" s="21" t="n">
        <v>403.85</v>
      </c>
      <c r="M2781" s="21" t="n">
        <v>550</v>
      </c>
    </row>
    <row r="2782">
      <c r="A2782" s="9" t="inlineStr">
        <is>
          <t>NANCY</t>
        </is>
      </c>
      <c r="B2782" s="9" t="inlineStr">
        <is>
          <t>NANCY 01/03/2026</t>
        </is>
      </c>
      <c r="C2782" s="9" t="inlineStr">
        <is>
          <t>2026-03-01</t>
        </is>
      </c>
      <c r="D2782" s="9" t="inlineStr">
        <is>
          <t>42981964578956</t>
        </is>
      </c>
      <c r="E2782" s="9" t="inlineStr">
        <is>
          <t>COLLAR POP H SILVER BLACK</t>
        </is>
      </c>
      <c r="F2782" s="9" t="inlineStr">
        <is>
          <t>MEDIUM QUALITY</t>
        </is>
      </c>
      <c r="G2782" s="9" t="n">
        <v>2</v>
      </c>
      <c r="H2782" s="21" t="n">
        <v>3.99</v>
      </c>
      <c r="I2782" s="21" t="n">
        <v>100.96</v>
      </c>
      <c r="J2782" s="21" t="n">
        <v>302.89</v>
      </c>
      <c r="K2782" s="21" t="n">
        <v>353.37</v>
      </c>
      <c r="L2782" s="21" t="n">
        <v>403.85</v>
      </c>
      <c r="M2782" s="21" t="n">
        <v>499</v>
      </c>
    </row>
    <row r="2783">
      <c r="A2783" s="9" t="inlineStr">
        <is>
          <t>NANCY</t>
        </is>
      </c>
      <c r="B2783" s="9" t="inlineStr">
        <is>
          <t>NANCY 01/03/2026</t>
        </is>
      </c>
      <c r="C2783" s="9" t="inlineStr">
        <is>
          <t>2026-03-01</t>
        </is>
      </c>
      <c r="D2783" s="9" t="inlineStr">
        <is>
          <t>36002950539532</t>
        </is>
      </c>
      <c r="E2783" s="9" t="inlineStr">
        <is>
          <t>COLLAR T CORAZÓN</t>
        </is>
      </c>
      <c r="F2783" s="9" t="inlineStr">
        <is>
          <t>Default Title</t>
        </is>
      </c>
      <c r="G2783" s="9" t="n">
        <v>3</v>
      </c>
      <c r="H2783" s="21" t="n">
        <v>8.59</v>
      </c>
      <c r="I2783" s="21" t="n">
        <v>217.36</v>
      </c>
      <c r="J2783" s="21" t="n">
        <v>652.08</v>
      </c>
      <c r="K2783" s="21" t="n">
        <v>760.76</v>
      </c>
      <c r="L2783" s="21" t="n">
        <v>869.4400000000001</v>
      </c>
      <c r="M2783" s="21" t="n">
        <v>850</v>
      </c>
    </row>
    <row r="2784">
      <c r="A2784" s="9" t="inlineStr">
        <is>
          <t>NANCY</t>
        </is>
      </c>
      <c r="B2784" s="9" t="inlineStr">
        <is>
          <t>NANCY 01/03/2026</t>
        </is>
      </c>
      <c r="C2784" s="9" t="inlineStr">
        <is>
          <t>2026-03-01</t>
        </is>
      </c>
      <c r="D2784" s="9" t="inlineStr">
        <is>
          <t>66745aa7a2ba5</t>
        </is>
      </c>
      <c r="E2784" s="9" t="inlineStr">
        <is>
          <t>GARGANTILLA 10 TR√âBOLES GOLD BLACK</t>
        </is>
      </c>
      <c r="F2784" s="9" t="inlineStr">
        <is>
          <t>15mm</t>
        </is>
      </c>
      <c r="G2784" s="9" t="n">
        <v>1</v>
      </c>
      <c r="H2784" s="21" t="n">
        <v>16.59</v>
      </c>
      <c r="I2784" s="21" t="n">
        <v>419.79</v>
      </c>
      <c r="J2784" s="21" t="n">
        <v>1259.37</v>
      </c>
      <c r="K2784" s="21" t="n">
        <v>1469.26</v>
      </c>
      <c r="L2784" s="21" t="n">
        <v>1679.15</v>
      </c>
      <c r="M2784" s="21" t="n">
        <v>1428</v>
      </c>
    </row>
    <row r="2785">
      <c r="A2785" s="9" t="inlineStr">
        <is>
          <t>NANCY</t>
        </is>
      </c>
      <c r="B2785" s="9" t="inlineStr">
        <is>
          <t>NANCY 01/03/2026</t>
        </is>
      </c>
      <c r="C2785" s="9" t="inlineStr">
        <is>
          <t>2026-03-01</t>
        </is>
      </c>
      <c r="D2785" s="9" t="inlineStr">
        <is>
          <t>66745aa830c56</t>
        </is>
      </c>
      <c r="E2785" s="9" t="inlineStr">
        <is>
          <t>GARGANTILLA 10 TR√âBOLES GOLD GREEN</t>
        </is>
      </c>
      <c r="F2785" s="9" t="inlineStr">
        <is>
          <t>15mm</t>
        </is>
      </c>
      <c r="G2785" s="9" t="n">
        <v>1</v>
      </c>
      <c r="H2785" s="21" t="n">
        <v>16.59</v>
      </c>
      <c r="I2785" s="21" t="n">
        <v>419.79</v>
      </c>
      <c r="J2785" s="21" t="n">
        <v>1259.37</v>
      </c>
      <c r="K2785" s="21" t="n">
        <v>1469.26</v>
      </c>
      <c r="L2785" s="21" t="n">
        <v>1679.15</v>
      </c>
      <c r="M2785" s="21" t="n">
        <v>1428</v>
      </c>
    </row>
    <row r="2786">
      <c r="A2786" s="9" t="inlineStr">
        <is>
          <t>NANCY</t>
        </is>
      </c>
      <c r="B2786" s="9" t="inlineStr">
        <is>
          <t>NANCY 01/03/2026</t>
        </is>
      </c>
      <c r="C2786" s="9" t="inlineStr">
        <is>
          <t>2026-03-01</t>
        </is>
      </c>
      <c r="D2786" s="9" t="inlineStr">
        <is>
          <t>63e0c0ed991c0</t>
        </is>
      </c>
      <c r="E2786" s="9" t="inlineStr">
        <is>
          <t>PULSERA CLAVO GOLD</t>
        </is>
      </c>
      <c r="F2786" s="9" t="inlineStr">
        <is>
          <t>17 cm</t>
        </is>
      </c>
      <c r="G2786" s="9" t="n">
        <v>15</v>
      </c>
      <c r="H2786" s="21" t="n">
        <v>2.99</v>
      </c>
      <c r="I2786" s="21" t="n">
        <v>75.66</v>
      </c>
      <c r="J2786" s="21" t="n">
        <v>226.97</v>
      </c>
      <c r="K2786" s="21" t="n">
        <v>264.8</v>
      </c>
      <c r="L2786" s="21" t="n">
        <v>302.63</v>
      </c>
      <c r="M2786" s="21" t="n">
        <v>450</v>
      </c>
    </row>
    <row r="2787">
      <c r="A2787" s="9" t="inlineStr">
        <is>
          <t>NANCY</t>
        </is>
      </c>
      <c r="B2787" s="9" t="inlineStr">
        <is>
          <t>NANCY 01/03/2026</t>
        </is>
      </c>
      <c r="C2787" s="9" t="inlineStr">
        <is>
          <t>2026-03-01</t>
        </is>
      </c>
      <c r="D2787" s="9" t="inlineStr">
        <is>
          <t>52477061035757</t>
        </is>
      </c>
      <c r="E2787" s="9" t="inlineStr">
        <is>
          <t>PULSERA CLAVO GOLD</t>
        </is>
      </c>
      <c r="F2787" s="9" t="inlineStr">
        <is>
          <t>16 cm</t>
        </is>
      </c>
      <c r="G2787" s="9" t="n">
        <v>5</v>
      </c>
      <c r="H2787" s="21" t="n">
        <v>2.99</v>
      </c>
      <c r="I2787" s="21" t="n">
        <v>75.66</v>
      </c>
      <c r="J2787" s="21" t="n">
        <v>226.97</v>
      </c>
      <c r="K2787" s="21" t="n">
        <v>264.8</v>
      </c>
      <c r="L2787" s="21" t="n">
        <v>302.63</v>
      </c>
      <c r="M2787" s="21" t="n">
        <v>450</v>
      </c>
    </row>
    <row r="2788">
      <c r="A2788" s="9" t="inlineStr">
        <is>
          <t>NANCY</t>
        </is>
      </c>
      <c r="B2788" s="9" t="inlineStr">
        <is>
          <t>NANCY 01/03/2026</t>
        </is>
      </c>
      <c r="C2788" s="9" t="inlineStr">
        <is>
          <t>2026-03-01</t>
        </is>
      </c>
      <c r="D2788" s="9" t="inlineStr">
        <is>
          <t>63e0c0e97703d</t>
        </is>
      </c>
      <c r="E2788" s="9" t="inlineStr">
        <is>
          <t>PULSERA CLAVO GOLD DELGADA</t>
        </is>
      </c>
      <c r="F2788" s="9" t="inlineStr">
        <is>
          <t>16cm</t>
        </is>
      </c>
      <c r="G2788" s="9" t="n">
        <v>5</v>
      </c>
      <c r="H2788" s="21" t="n">
        <v>2.99</v>
      </c>
      <c r="I2788" s="21" t="n">
        <v>75.66</v>
      </c>
      <c r="J2788" s="21" t="n">
        <v>226.97</v>
      </c>
      <c r="K2788" s="21" t="n">
        <v>264.8</v>
      </c>
      <c r="L2788" s="21" t="n">
        <v>302.63</v>
      </c>
      <c r="M2788" s="21" t="n">
        <v>550</v>
      </c>
    </row>
    <row r="2789">
      <c r="A2789" s="9" t="inlineStr">
        <is>
          <t>NANCY</t>
        </is>
      </c>
      <c r="B2789" s="9" t="inlineStr">
        <is>
          <t>NANCY 01/03/2026</t>
        </is>
      </c>
      <c r="C2789" s="9" t="inlineStr">
        <is>
          <t>2026-03-01</t>
        </is>
      </c>
      <c r="D2789" s="9" t="inlineStr">
        <is>
          <t>82224432971117</t>
        </is>
      </c>
      <c r="E2789" s="9" t="inlineStr">
        <is>
          <t>PULSERA CLAVO JUST UN CLOU ZIRCONIA ROSEGOLD</t>
        </is>
      </c>
      <c r="F2789" s="9" t="inlineStr">
        <is>
          <t>17 cm</t>
        </is>
      </c>
      <c r="G2789" s="9" t="n">
        <v>1</v>
      </c>
      <c r="H2789" s="21" t="n">
        <v>3.99</v>
      </c>
      <c r="I2789" s="21" t="n">
        <v>100.96</v>
      </c>
      <c r="J2789" s="21" t="n">
        <v>302.89</v>
      </c>
      <c r="K2789" s="21" t="n">
        <v>353.37</v>
      </c>
      <c r="L2789" s="21" t="n">
        <v>403.85</v>
      </c>
      <c r="M2789" s="21" t="n">
        <v>430</v>
      </c>
    </row>
    <row r="2790">
      <c r="A2790" s="9" t="inlineStr">
        <is>
          <t>NANCY</t>
        </is>
      </c>
      <c r="B2790" s="9" t="inlineStr">
        <is>
          <t>NANCY 01/03/2026</t>
        </is>
      </c>
      <c r="C2790" s="9" t="inlineStr">
        <is>
          <t>2026-03-01</t>
        </is>
      </c>
      <c r="D2790" s="9" t="inlineStr">
        <is>
          <t>82224433136653</t>
        </is>
      </c>
      <c r="E2790" s="9" t="inlineStr">
        <is>
          <t>PULSERA CLAVO ROSEGOLD</t>
        </is>
      </c>
      <c r="F2790" s="9" t="inlineStr">
        <is>
          <t>17 cm</t>
        </is>
      </c>
      <c r="G2790" s="9" t="n">
        <v>4</v>
      </c>
      <c r="H2790" s="21" t="n">
        <v>2.99</v>
      </c>
      <c r="I2790" s="21" t="n">
        <v>75.66</v>
      </c>
      <c r="J2790" s="21" t="n">
        <v>226.97</v>
      </c>
      <c r="K2790" s="21" t="n">
        <v>264.8</v>
      </c>
      <c r="L2790" s="21" t="n">
        <v>302.63</v>
      </c>
      <c r="M2790" s="21" t="n">
        <v>450</v>
      </c>
    </row>
    <row r="2791">
      <c r="A2791" s="9" t="inlineStr">
        <is>
          <t>NANCY</t>
        </is>
      </c>
      <c r="B2791" s="9" t="inlineStr">
        <is>
          <t>NANCY 01/03/2026</t>
        </is>
      </c>
      <c r="C2791" s="9" t="inlineStr">
        <is>
          <t>2026-03-01</t>
        </is>
      </c>
      <c r="D2791" s="9" t="inlineStr">
        <is>
          <t>82224433269421</t>
        </is>
      </c>
      <c r="E2791" s="9" t="inlineStr">
        <is>
          <t>PULSERA CLAVO ROSEGOLD</t>
        </is>
      </c>
      <c r="F2791" s="9" t="inlineStr">
        <is>
          <t>19 cm</t>
        </is>
      </c>
      <c r="G2791" s="9" t="n">
        <v>2</v>
      </c>
      <c r="H2791" s="21" t="n">
        <v>2.99</v>
      </c>
      <c r="I2791" s="21" t="n">
        <v>75.66</v>
      </c>
      <c r="J2791" s="21" t="n">
        <v>226.97</v>
      </c>
      <c r="K2791" s="21" t="n">
        <v>264.8</v>
      </c>
      <c r="L2791" s="21" t="n">
        <v>302.63</v>
      </c>
      <c r="M2791" s="21" t="n">
        <v>450</v>
      </c>
    </row>
    <row r="2792">
      <c r="A2792" s="9" t="inlineStr">
        <is>
          <t>NANCY</t>
        </is>
      </c>
      <c r="B2792" s="9" t="inlineStr">
        <is>
          <t>NANCY 01/03/2026</t>
        </is>
      </c>
      <c r="C2792" s="9" t="inlineStr">
        <is>
          <t>2026-03-01</t>
        </is>
      </c>
      <c r="D2792" s="9" t="inlineStr">
        <is>
          <t>661774c11e19f</t>
        </is>
      </c>
      <c r="E2792" s="9" t="inlineStr">
        <is>
          <t>PULSERA ECROU GOLD</t>
        </is>
      </c>
      <c r="F2792" s="9" t="inlineStr">
        <is>
          <t>16</t>
        </is>
      </c>
      <c r="G2792" s="9" t="n">
        <v>3</v>
      </c>
      <c r="H2792" s="21" t="n">
        <v>5.39</v>
      </c>
      <c r="I2792" s="21" t="n">
        <v>136.39</v>
      </c>
      <c r="J2792" s="21" t="n">
        <v>409.16</v>
      </c>
      <c r="K2792" s="21" t="n">
        <v>477.35</v>
      </c>
      <c r="L2792" s="21" t="n">
        <v>545.55</v>
      </c>
      <c r="M2792" s="21" t="n">
        <v>450</v>
      </c>
    </row>
    <row r="2793">
      <c r="A2793" s="9" t="inlineStr">
        <is>
          <t>NANCY</t>
        </is>
      </c>
      <c r="B2793" s="9" t="inlineStr">
        <is>
          <t>NANCY 01/03/2026</t>
        </is>
      </c>
      <c r="C2793" s="9" t="inlineStr">
        <is>
          <t>2026-03-01</t>
        </is>
      </c>
      <c r="D2793" s="9" t="inlineStr">
        <is>
          <t>661774c249e2a</t>
        </is>
      </c>
      <c r="E2793" s="9" t="inlineStr">
        <is>
          <t>PULSERA ECROU ROSEGOLD</t>
        </is>
      </c>
      <c r="F2793" s="9" t="inlineStr">
        <is>
          <t>20cm</t>
        </is>
      </c>
      <c r="G2793" s="9" t="n">
        <v>3</v>
      </c>
      <c r="H2793" s="21" t="n">
        <v>5.39</v>
      </c>
      <c r="I2793" s="21" t="n">
        <v>136.39</v>
      </c>
      <c r="J2793" s="21" t="n">
        <v>409.16</v>
      </c>
      <c r="K2793" s="21" t="n">
        <v>477.35</v>
      </c>
      <c r="L2793" s="21" t="n">
        <v>545.55</v>
      </c>
      <c r="M2793" s="21" t="n">
        <v>479</v>
      </c>
    </row>
    <row r="2794">
      <c r="A2794" s="9" t="inlineStr">
        <is>
          <t>NANCY</t>
        </is>
      </c>
      <c r="B2794" s="9" t="inlineStr">
        <is>
          <t>NANCY 01/03/2026</t>
        </is>
      </c>
      <c r="C2794" s="9" t="inlineStr">
        <is>
          <t>2026-03-01</t>
        </is>
      </c>
      <c r="D2794" s="9" t="inlineStr">
        <is>
          <t>661774c19f755</t>
        </is>
      </c>
      <c r="E2794" s="9" t="inlineStr">
        <is>
          <t>PULSERA ECROU ROSEGOLD</t>
        </is>
      </c>
      <c r="F2794" s="9" t="inlineStr">
        <is>
          <t>16cm</t>
        </is>
      </c>
      <c r="G2794" s="9" t="n">
        <v>3</v>
      </c>
      <c r="H2794" s="21" t="n">
        <v>6.39</v>
      </c>
      <c r="I2794" s="21" t="n">
        <v>161.69</v>
      </c>
      <c r="J2794" s="21" t="n">
        <v>485.07</v>
      </c>
      <c r="K2794" s="21" t="n">
        <v>565.92</v>
      </c>
      <c r="L2794" s="21" t="n">
        <v>646.76</v>
      </c>
      <c r="M2794" s="21" t="n">
        <v>479</v>
      </c>
    </row>
    <row r="2795">
      <c r="A2795" s="9" t="inlineStr">
        <is>
          <t>NANCY</t>
        </is>
      </c>
      <c r="B2795" s="9" t="inlineStr">
        <is>
          <t>NANCY 01/03/2026</t>
        </is>
      </c>
      <c r="C2795" s="9" t="inlineStr">
        <is>
          <t>2026-03-01</t>
        </is>
      </c>
      <c r="D2795" s="9" t="inlineStr">
        <is>
          <t>661774c181d21</t>
        </is>
      </c>
      <c r="E2795" s="9" t="inlineStr">
        <is>
          <t>PULSERA ECROU SILVER</t>
        </is>
      </c>
      <c r="F2795" s="9" t="inlineStr">
        <is>
          <t>16cm</t>
        </is>
      </c>
      <c r="G2795" s="9" t="n">
        <v>5</v>
      </c>
      <c r="H2795" s="21" t="n">
        <v>5.39</v>
      </c>
      <c r="I2795" s="21" t="n">
        <v>136.39</v>
      </c>
      <c r="J2795" s="21" t="n">
        <v>409.16</v>
      </c>
      <c r="K2795" s="21" t="n">
        <v>477.35</v>
      </c>
      <c r="L2795" s="21" t="n">
        <v>545.55</v>
      </c>
      <c r="M2795" s="21" t="n">
        <v>499</v>
      </c>
    </row>
    <row r="2796">
      <c r="A2796" s="9" t="inlineStr">
        <is>
          <t>NANCY</t>
        </is>
      </c>
      <c r="B2796" s="9" t="inlineStr">
        <is>
          <t>NANCY 01/03/2026</t>
        </is>
      </c>
      <c r="C2796" s="9" t="inlineStr">
        <is>
          <t>2026-03-01</t>
        </is>
      </c>
      <c r="D2796" s="9" t="inlineStr">
        <is>
          <t>661774c22d9a0</t>
        </is>
      </c>
      <c r="E2796" s="9" t="inlineStr">
        <is>
          <t>PULSERA ECROU SILVER</t>
        </is>
      </c>
      <c r="F2796" s="9" t="inlineStr">
        <is>
          <t>20cm</t>
        </is>
      </c>
      <c r="G2796" s="9" t="n">
        <v>7</v>
      </c>
      <c r="H2796" s="21" t="n">
        <v>5.39</v>
      </c>
      <c r="I2796" s="21" t="n">
        <v>136.39</v>
      </c>
      <c r="J2796" s="21" t="n">
        <v>409.16</v>
      </c>
      <c r="K2796" s="21" t="n">
        <v>477.35</v>
      </c>
      <c r="L2796" s="21" t="n">
        <v>545.55</v>
      </c>
      <c r="M2796" s="21" t="n">
        <v>499</v>
      </c>
    </row>
    <row r="2797">
      <c r="A2797" s="9" t="inlineStr">
        <is>
          <t>NANCY</t>
        </is>
      </c>
      <c r="B2797" s="9" t="inlineStr">
        <is>
          <t>NANCY 01/03/2026</t>
        </is>
      </c>
      <c r="C2797" s="9" t="inlineStr">
        <is>
          <t>2026-03-01</t>
        </is>
      </c>
      <c r="D2797" s="9" t="inlineStr">
        <is>
          <t>43047201472652</t>
        </is>
      </c>
      <c r="E2797" s="9" t="inlineStr">
        <is>
          <t>PULSERA KNOT SILVER</t>
        </is>
      </c>
      <c r="F2797" s="9" t="inlineStr">
        <is>
          <t>17cm</t>
        </is>
      </c>
      <c r="G2797" s="9" t="n">
        <v>2</v>
      </c>
      <c r="H2797" s="21" t="n">
        <v>7.29</v>
      </c>
      <c r="I2797" s="21" t="n">
        <v>184.46</v>
      </c>
      <c r="J2797" s="21" t="n">
        <v>553.39</v>
      </c>
      <c r="K2797" s="21" t="n">
        <v>645.62</v>
      </c>
      <c r="L2797" s="21" t="n">
        <v>737.86</v>
      </c>
      <c r="M2797" s="21" t="n">
        <v>675</v>
      </c>
    </row>
    <row r="2798">
      <c r="A2798" s="9" t="inlineStr">
        <is>
          <t>NANCY</t>
        </is>
      </c>
      <c r="B2798" s="9" t="inlineStr">
        <is>
          <t>NANCY 01/03/2026</t>
        </is>
      </c>
      <c r="C2798" s="9" t="inlineStr">
        <is>
          <t>2026-03-01</t>
        </is>
      </c>
      <c r="D2798" s="9" t="inlineStr">
        <is>
          <t>665bce4734fce</t>
        </is>
      </c>
      <c r="E2798" s="9" t="inlineStr">
        <is>
          <t>PULSERA PERLE√â ROSEGOLD</t>
        </is>
      </c>
      <c r="F2798" s="9" t="inlineStr">
        <is>
          <t>16cm</t>
        </is>
      </c>
      <c r="G2798" s="9" t="n">
        <v>2</v>
      </c>
      <c r="H2798" s="21" t="n">
        <v>10.99</v>
      </c>
      <c r="I2798" s="21" t="n">
        <v>278.09</v>
      </c>
      <c r="J2798" s="21" t="n">
        <v>834.26</v>
      </c>
      <c r="K2798" s="21" t="n">
        <v>973.3099999999999</v>
      </c>
      <c r="L2798" s="21" t="n">
        <v>1112.35</v>
      </c>
      <c r="M2798" s="21" t="n">
        <v>860</v>
      </c>
    </row>
    <row r="2799">
      <c r="A2799" s="9" t="inlineStr">
        <is>
          <t>NANCY</t>
        </is>
      </c>
      <c r="B2799" s="9" t="inlineStr">
        <is>
          <t>NANCY 01/03/2026</t>
        </is>
      </c>
      <c r="C2799" s="9" t="inlineStr">
        <is>
          <t>2026-03-01</t>
        </is>
      </c>
      <c r="D2799" s="9" t="inlineStr">
        <is>
          <t>665bce699c07e-1</t>
        </is>
      </c>
      <c r="E2799" s="9" t="inlineStr">
        <is>
          <t>PULSERA SERPENTI LISA GOLD</t>
        </is>
      </c>
      <c r="F2799" s="9" t="inlineStr">
        <is>
          <t>18cm</t>
        </is>
      </c>
      <c r="G2799" s="9" t="n">
        <v>3</v>
      </c>
      <c r="H2799" s="21" t="n">
        <v>9.390000000000001</v>
      </c>
      <c r="I2799" s="21" t="n">
        <v>237.6</v>
      </c>
      <c r="J2799" s="21" t="n">
        <v>712.8099999999999</v>
      </c>
      <c r="K2799" s="21" t="n">
        <v>831.61</v>
      </c>
      <c r="L2799" s="21" t="n">
        <v>950.41</v>
      </c>
      <c r="M2799" s="21" t="n">
        <v>799</v>
      </c>
    </row>
    <row r="2800">
      <c r="A2800" s="9" t="inlineStr">
        <is>
          <t>NANCY</t>
        </is>
      </c>
      <c r="B2800" s="9" t="inlineStr">
        <is>
          <t>NANCY 01/03/2026</t>
        </is>
      </c>
      <c r="C2800" s="9" t="inlineStr">
        <is>
          <t>2026-03-01</t>
        </is>
      </c>
      <c r="D2800" s="9" t="inlineStr">
        <is>
          <t>665bce619b90b</t>
        </is>
      </c>
      <c r="E2800" s="9" t="inlineStr">
        <is>
          <t>PULSERA SERPENTI LISA ROSEGOLD</t>
        </is>
      </c>
      <c r="F2800" s="9" t="inlineStr">
        <is>
          <t>18cm</t>
        </is>
      </c>
      <c r="G2800" s="9" t="n">
        <v>2</v>
      </c>
      <c r="H2800" s="21" t="n">
        <v>9.390000000000001</v>
      </c>
      <c r="I2800" s="21" t="n">
        <v>237.6</v>
      </c>
      <c r="J2800" s="21" t="n">
        <v>712.8099999999999</v>
      </c>
      <c r="K2800" s="21" t="n">
        <v>831.61</v>
      </c>
      <c r="L2800" s="21" t="n">
        <v>950.41</v>
      </c>
      <c r="M2800" s="21" t="n">
        <v>789</v>
      </c>
    </row>
    <row r="2801">
      <c r="A2801" s="9" t="inlineStr">
        <is>
          <t>NANCY</t>
        </is>
      </c>
      <c r="B2801" s="9" t="inlineStr">
        <is>
          <t>NANCY 01/03/2026</t>
        </is>
      </c>
      <c r="C2801" s="9" t="inlineStr">
        <is>
          <t>2026-03-01</t>
        </is>
      </c>
      <c r="D2801" s="9" t="inlineStr">
        <is>
          <t>665bce65c57fd</t>
        </is>
      </c>
      <c r="E2801" s="9" t="inlineStr">
        <is>
          <t>PULSERA SERPENTI LISA SILVER</t>
        </is>
      </c>
      <c r="F2801" s="9" t="inlineStr">
        <is>
          <t>18cm</t>
        </is>
      </c>
      <c r="G2801" s="9" t="n">
        <v>8</v>
      </c>
      <c r="H2801" s="21" t="n">
        <v>9.390000000000001</v>
      </c>
      <c r="I2801" s="21" t="n">
        <v>237.6</v>
      </c>
      <c r="J2801" s="21" t="n">
        <v>712.8099999999999</v>
      </c>
      <c r="K2801" s="21" t="n">
        <v>831.61</v>
      </c>
      <c r="L2801" s="21" t="n">
        <v>950.41</v>
      </c>
      <c r="M2801" s="21" t="n">
        <v>789</v>
      </c>
    </row>
    <row r="2802">
      <c r="A2802" s="9" t="inlineStr">
        <is>
          <t>ZOEY</t>
        </is>
      </c>
      <c r="B2802" s="9" t="inlineStr">
        <is>
          <t>ZOEY 02/03/2026</t>
        </is>
      </c>
      <c r="C2802" s="9" t="inlineStr">
        <is>
          <t>2026-03-02</t>
        </is>
      </c>
      <c r="D2802" s="9" t="inlineStr">
        <is>
          <t>79684371047437</t>
        </is>
      </c>
      <c r="E2802" s="9" t="inlineStr">
        <is>
          <t>ANILLO GC BLONDIE ANCHO CON ZIRCONIA</t>
        </is>
      </c>
      <c r="F2802" s="9" t="inlineStr">
        <is>
          <t>8</t>
        </is>
      </c>
      <c r="G2802" s="9" t="n">
        <v>2</v>
      </c>
      <c r="H2802" s="21" t="n">
        <v>9</v>
      </c>
      <c r="I2802" s="21" t="n">
        <v>236.49</v>
      </c>
      <c r="J2802" s="21" t="n">
        <v>709.48</v>
      </c>
      <c r="K2802" s="21" t="n">
        <v>827.72</v>
      </c>
      <c r="L2802" s="21" t="n">
        <v>945.97</v>
      </c>
      <c r="M2802" s="21" t="n">
        <v>945</v>
      </c>
    </row>
    <row r="2803">
      <c r="A2803" s="9" t="inlineStr">
        <is>
          <t>ZOEY</t>
        </is>
      </c>
      <c r="B2803" s="9" t="inlineStr">
        <is>
          <t>ZOEY 02/03/2026</t>
        </is>
      </c>
      <c r="C2803" s="9" t="inlineStr">
        <is>
          <t>2026-03-02</t>
        </is>
      </c>
      <c r="D2803" s="9" t="inlineStr">
        <is>
          <t>66148671022797</t>
        </is>
      </c>
      <c r="E2803" s="9" t="inlineStr">
        <is>
          <t>ARETES CD GOLD BLACK CON ZIRCONIA</t>
        </is>
      </c>
      <c r="F2803" s="9" t="inlineStr">
        <is>
          <t>Default Title</t>
        </is>
      </c>
      <c r="G2803" s="9" t="n">
        <v>1</v>
      </c>
      <c r="H2803" s="21" t="n">
        <v>9</v>
      </c>
      <c r="I2803" s="21" t="n">
        <v>236.49</v>
      </c>
      <c r="J2803" s="21" t="n">
        <v>709.48</v>
      </c>
      <c r="K2803" s="21" t="n">
        <v>827.72</v>
      </c>
      <c r="L2803" s="21" t="n">
        <v>945.97</v>
      </c>
      <c r="M2803" s="21" t="n">
        <v>925</v>
      </c>
    </row>
    <row r="2804">
      <c r="A2804" s="9" t="inlineStr">
        <is>
          <t>ZOEY</t>
        </is>
      </c>
      <c r="B2804" s="9" t="inlineStr">
        <is>
          <t>ZOEY 02/03/2026</t>
        </is>
      </c>
      <c r="C2804" s="9" t="inlineStr">
        <is>
          <t>2026-03-02</t>
        </is>
      </c>
      <c r="D2804" s="9" t="inlineStr">
        <is>
          <t>69612281066221</t>
        </is>
      </c>
      <c r="E2804" s="9" t="inlineStr">
        <is>
          <t>ARETES CD GOLD WHITE CON ZIRCONIA</t>
        </is>
      </c>
      <c r="F2804" s="9" t="inlineStr">
        <is>
          <t>Default Title</t>
        </is>
      </c>
      <c r="G2804" s="9" t="n">
        <v>1</v>
      </c>
      <c r="H2804" s="21" t="n">
        <v>9</v>
      </c>
      <c r="I2804" s="21" t="n">
        <v>236.49</v>
      </c>
      <c r="J2804" s="21" t="n">
        <v>709.48</v>
      </c>
      <c r="K2804" s="21" t="n">
        <v>827.72</v>
      </c>
      <c r="L2804" s="21" t="n">
        <v>945.97</v>
      </c>
      <c r="M2804" s="21" t="n">
        <v>959</v>
      </c>
    </row>
    <row r="2805">
      <c r="A2805" s="9" t="inlineStr">
        <is>
          <t>ZOEY</t>
        </is>
      </c>
      <c r="B2805" s="9" t="inlineStr">
        <is>
          <t>ZOEY 02/03/2026</t>
        </is>
      </c>
      <c r="C2805" s="9" t="inlineStr">
        <is>
          <t>2026-03-02</t>
        </is>
      </c>
      <c r="D2805" s="9" t="inlineStr">
        <is>
          <t>85409401017325</t>
        </is>
      </c>
      <c r="E2805" s="9" t="inlineStr">
        <is>
          <t>ARETES F OVAL GOLD CON ZIRCONIA</t>
        </is>
      </c>
      <c r="F2805" s="9" t="inlineStr">
        <is>
          <t>Default Title</t>
        </is>
      </c>
      <c r="G2805" s="9" t="n">
        <v>1</v>
      </c>
      <c r="H2805" s="21" t="n">
        <v>8</v>
      </c>
      <c r="I2805" s="21" t="n">
        <v>210.22</v>
      </c>
      <c r="J2805" s="21" t="n">
        <v>630.65</v>
      </c>
      <c r="K2805" s="21" t="n">
        <v>735.76</v>
      </c>
      <c r="L2805" s="21" t="n">
        <v>840.86</v>
      </c>
      <c r="M2805" s="21" t="n">
        <v>850</v>
      </c>
    </row>
    <row r="2806">
      <c r="A2806" s="9" t="inlineStr">
        <is>
          <t>ZOEY</t>
        </is>
      </c>
      <c r="B2806" s="9" t="inlineStr">
        <is>
          <t>ZOEY 02/03/2026</t>
        </is>
      </c>
      <c r="C2806" s="9" t="inlineStr">
        <is>
          <t>2026-03-02</t>
        </is>
      </c>
      <c r="D2806" s="9" t="inlineStr">
        <is>
          <t>76327071018669</t>
        </is>
      </c>
      <c r="E2806" s="9" t="inlineStr">
        <is>
          <t>ARRACADAS SERPENTI VIPPER GOLD CON ZIRCONIA</t>
        </is>
      </c>
      <c r="F2806" s="9" t="inlineStr">
        <is>
          <t>Default Title</t>
        </is>
      </c>
      <c r="G2806" s="9" t="n">
        <v>5</v>
      </c>
      <c r="H2806" s="21" t="n">
        <v>9</v>
      </c>
      <c r="I2806" s="21" t="n">
        <v>236.49</v>
      </c>
      <c r="J2806" s="21" t="n">
        <v>709.48</v>
      </c>
      <c r="K2806" s="21" t="n">
        <v>827.72</v>
      </c>
      <c r="L2806" s="21" t="n">
        <v>945.97</v>
      </c>
      <c r="M2806" s="21" t="n">
        <v>876</v>
      </c>
    </row>
    <row r="2807">
      <c r="A2807" s="9" t="inlineStr">
        <is>
          <t>ZOEY</t>
        </is>
      </c>
      <c r="B2807" s="9" t="inlineStr">
        <is>
          <t>ZOEY 02/03/2026</t>
        </is>
      </c>
      <c r="C2807" s="9" t="inlineStr">
        <is>
          <t>2026-03-02</t>
        </is>
      </c>
      <c r="D2807" s="9" t="inlineStr">
        <is>
          <t>27168511089165</t>
        </is>
      </c>
      <c r="E2807" s="9" t="inlineStr">
        <is>
          <t>BOLSA GG SMALL BROWN</t>
        </is>
      </c>
      <c r="F2807" s="9" t="inlineStr">
        <is>
          <t>Default Title</t>
        </is>
      </c>
      <c r="G2807" s="9" t="n">
        <v>4</v>
      </c>
      <c r="H2807" s="21" t="n">
        <v>46</v>
      </c>
      <c r="I2807" s="21" t="n">
        <v>1208.74</v>
      </c>
      <c r="J2807" s="21" t="n">
        <v>3626.22</v>
      </c>
      <c r="K2807" s="21" t="n">
        <v>4230.59</v>
      </c>
      <c r="L2807" s="21" t="n">
        <v>4834.96</v>
      </c>
      <c r="M2807" s="21" t="n">
        <v>4230.59</v>
      </c>
    </row>
    <row r="2808">
      <c r="A2808" s="9" t="inlineStr">
        <is>
          <t>ZOEY</t>
        </is>
      </c>
      <c r="B2808" s="9" t="inlineStr">
        <is>
          <t>ZOEY 02/03/2026</t>
        </is>
      </c>
      <c r="C2808" s="9" t="inlineStr">
        <is>
          <t>2026-03-02</t>
        </is>
      </c>
      <c r="D2808" s="9" t="inlineStr">
        <is>
          <t>94350549840780</t>
        </is>
      </c>
      <c r="E2808" s="9" t="inlineStr">
        <is>
          <t>BOLSO A TIEDIE</t>
        </is>
      </c>
      <c r="F2808" s="9" t="inlineStr">
        <is>
          <t>31cm de alto x 45.5cm de largo x 18cm de ancho</t>
        </is>
      </c>
      <c r="G2808" s="9" t="n">
        <v>12</v>
      </c>
      <c r="H2808" s="21" t="n">
        <v>10</v>
      </c>
      <c r="I2808" s="21" t="n">
        <v>262.77</v>
      </c>
      <c r="J2808" s="21" t="n">
        <v>788.3099999999999</v>
      </c>
      <c r="K2808" s="21" t="n">
        <v>919.6900000000001</v>
      </c>
      <c r="L2808" s="21" t="n">
        <v>1051.08</v>
      </c>
      <c r="M2808" s="21" t="n">
        <v>1069</v>
      </c>
    </row>
    <row r="2809">
      <c r="A2809" s="9" t="inlineStr">
        <is>
          <t>ZOEY</t>
        </is>
      </c>
      <c r="B2809" s="9" t="inlineStr">
        <is>
          <t>ZOEY 02/03/2026</t>
        </is>
      </c>
      <c r="C2809" s="9" t="inlineStr">
        <is>
          <t>2026-03-02</t>
        </is>
      </c>
      <c r="D2809" s="9" t="inlineStr">
        <is>
          <t>66581df1de94d</t>
        </is>
      </c>
      <c r="E2809" s="9" t="inlineStr">
        <is>
          <t>BOLSO B BLACK</t>
        </is>
      </c>
      <c r="F2809" s="9" t="inlineStr">
        <is>
          <t>17cm de largo x 11cm de alto x 8.3cm de ancho</t>
        </is>
      </c>
      <c r="G2809" s="9" t="n">
        <v>2</v>
      </c>
      <c r="H2809" s="21" t="n">
        <v>45</v>
      </c>
      <c r="I2809" s="21" t="n">
        <v>1182.46</v>
      </c>
      <c r="J2809" s="21" t="n">
        <v>3547.39</v>
      </c>
      <c r="K2809" s="21" t="n">
        <v>4138.62</v>
      </c>
      <c r="L2809" s="21" t="n">
        <v>4729.86</v>
      </c>
      <c r="M2809" s="21" t="n">
        <v>4609</v>
      </c>
    </row>
    <row r="2810">
      <c r="A2810" s="9" t="inlineStr">
        <is>
          <t>ZOEY</t>
        </is>
      </c>
      <c r="B2810" s="9" t="inlineStr">
        <is>
          <t>ZOEY 02/03/2026</t>
        </is>
      </c>
      <c r="C2810" s="9" t="inlineStr">
        <is>
          <t>2026-03-02</t>
        </is>
      </c>
      <c r="D2810" s="9" t="inlineStr">
        <is>
          <t>66ec817ce19fe</t>
        </is>
      </c>
      <c r="E2810" s="9" t="inlineStr">
        <is>
          <t>BOLSO B BLACK LISA</t>
        </is>
      </c>
      <c r="F2810" s="9" t="inlineStr">
        <is>
          <t>HIGH QUALITY 23cm de largo x 14.5cm de alto x 10cm de ancho</t>
        </is>
      </c>
      <c r="G2810" s="9" t="n">
        <v>2</v>
      </c>
      <c r="H2810" s="21" t="n">
        <v>45</v>
      </c>
      <c r="I2810" s="21" t="n">
        <v>1182.46</v>
      </c>
      <c r="J2810" s="21" t="n">
        <v>3547.39</v>
      </c>
      <c r="K2810" s="21" t="n">
        <v>4138.62</v>
      </c>
      <c r="L2810" s="21" t="n">
        <v>4729.86</v>
      </c>
      <c r="M2810" s="21" t="n">
        <v>4060</v>
      </c>
    </row>
    <row r="2811">
      <c r="A2811" s="9" t="inlineStr">
        <is>
          <t>ZOEY</t>
        </is>
      </c>
      <c r="B2811" s="9" t="inlineStr">
        <is>
          <t>ZOEY 02/03/2026</t>
        </is>
      </c>
      <c r="C2811" s="9" t="inlineStr">
        <is>
          <t>2026-03-02</t>
        </is>
      </c>
      <c r="D2811" s="9" t="inlineStr">
        <is>
          <t>99781782573645</t>
        </is>
      </c>
      <c r="E2811" s="9" t="inlineStr">
        <is>
          <t>BOLSO C TANK TOP</t>
        </is>
      </c>
      <c r="F2811" s="9" t="inlineStr">
        <is>
          <t>BROWN</t>
        </is>
      </c>
      <c r="G2811" s="9" t="n">
        <v>1</v>
      </c>
      <c r="H2811" s="21" t="n">
        <v>55</v>
      </c>
      <c r="I2811" s="21" t="n">
        <v>1445.23</v>
      </c>
      <c r="J2811" s="21" t="n">
        <v>4335.7</v>
      </c>
      <c r="K2811" s="21" t="n">
        <v>5058.32</v>
      </c>
      <c r="L2811" s="21" t="n">
        <v>5780.93</v>
      </c>
      <c r="M2811" s="21" t="n">
        <v>5839</v>
      </c>
    </row>
    <row r="2812">
      <c r="A2812" s="9" t="inlineStr">
        <is>
          <t>ZOEY</t>
        </is>
      </c>
      <c r="B2812" s="9" t="inlineStr">
        <is>
          <t>ZOEY 02/03/2026</t>
        </is>
      </c>
      <c r="C2812" s="9" t="inlineStr">
        <is>
          <t>2026-03-02</t>
        </is>
      </c>
      <c r="D2812" s="9" t="inlineStr">
        <is>
          <t>63666799441676</t>
        </is>
      </c>
      <c r="E2812" s="9" t="inlineStr">
        <is>
          <t>BOLSO C TOTE</t>
        </is>
      </c>
      <c r="F2812" s="9" t="inlineStr">
        <is>
          <t>20cm de largo x 21 cm de alto x 11cm de ancho</t>
        </is>
      </c>
      <c r="G2812" s="9" t="n">
        <v>1</v>
      </c>
      <c r="H2812" s="21" t="n">
        <v>72</v>
      </c>
      <c r="I2812" s="21" t="n">
        <v>1891.94</v>
      </c>
      <c r="J2812" s="21" t="n">
        <v>5675.83</v>
      </c>
      <c r="K2812" s="21" t="n">
        <v>6621.8</v>
      </c>
      <c r="L2812" s="21" t="n">
        <v>7567.77</v>
      </c>
      <c r="M2812" s="21" t="n">
        <v>6621.8</v>
      </c>
    </row>
    <row r="2813">
      <c r="A2813" s="9" t="inlineStr">
        <is>
          <t>ZOEY</t>
        </is>
      </c>
      <c r="B2813" s="9" t="inlineStr">
        <is>
          <t>ZOEY 02/03/2026</t>
        </is>
      </c>
      <c r="C2813" s="9" t="inlineStr">
        <is>
          <t>2026-03-02</t>
        </is>
      </c>
      <c r="D2813" s="9" t="inlineStr">
        <is>
          <t>64571791072897</t>
        </is>
      </c>
      <c r="E2813" s="9" t="inlineStr">
        <is>
          <t>BOLSO CC BLACK</t>
        </is>
      </c>
      <c r="F2813" s="9" t="inlineStr">
        <is>
          <t>25cm de largo x 17cm de alto x 6cm de ancho</t>
        </is>
      </c>
      <c r="G2813" s="9" t="n">
        <v>2</v>
      </c>
      <c r="H2813" s="21" t="n">
        <v>48</v>
      </c>
      <c r="I2813" s="21" t="n">
        <v>1261.29</v>
      </c>
      <c r="J2813" s="21" t="n">
        <v>3783.88</v>
      </c>
      <c r="K2813" s="21" t="n">
        <v>4414.53</v>
      </c>
      <c r="L2813" s="21" t="n">
        <v>5045.18</v>
      </c>
      <c r="M2813" s="21" t="n">
        <v>5089</v>
      </c>
    </row>
    <row r="2814">
      <c r="A2814" s="9" t="inlineStr">
        <is>
          <t>ZOEY</t>
        </is>
      </c>
      <c r="B2814" s="9" t="inlineStr">
        <is>
          <t>ZOEY 02/03/2026</t>
        </is>
      </c>
      <c r="C2814" s="9" t="inlineStr">
        <is>
          <t>2026-03-02</t>
        </is>
      </c>
      <c r="D2814" s="9" t="inlineStr">
        <is>
          <t>69521938776076</t>
        </is>
      </c>
      <c r="E2814" s="9" t="inlineStr">
        <is>
          <t>BOLSO CD CARO</t>
        </is>
      </c>
      <c r="F2814" s="9" t="inlineStr">
        <is>
          <t>18.5cm x 12cm x 6cm</t>
        </is>
      </c>
      <c r="G2814" s="9" t="n">
        <v>1</v>
      </c>
      <c r="H2814" s="21" t="n">
        <v>58</v>
      </c>
      <c r="I2814" s="21" t="n">
        <v>1524.06</v>
      </c>
      <c r="J2814" s="21" t="n">
        <v>4572.19</v>
      </c>
      <c r="K2814" s="21" t="n">
        <v>5334.23</v>
      </c>
      <c r="L2814" s="21" t="n">
        <v>6096.26</v>
      </c>
      <c r="M2814" s="21" t="n">
        <v>5239</v>
      </c>
    </row>
    <row r="2815">
      <c r="A2815" s="9" t="inlineStr">
        <is>
          <t>ZOEY</t>
        </is>
      </c>
      <c r="B2815" s="9" t="inlineStr">
        <is>
          <t>ZOEY 02/03/2026</t>
        </is>
      </c>
      <c r="C2815" s="9" t="inlineStr">
        <is>
          <t>2026-03-02</t>
        </is>
      </c>
      <c r="D2815" s="9" t="inlineStr">
        <is>
          <t>43728083428428</t>
        </is>
      </c>
      <c r="E2815" s="9" t="inlineStr">
        <is>
          <t>BOLSO CD GROOVE 20</t>
        </is>
      </c>
      <c r="F2815" s="9" t="inlineStr">
        <is>
          <t>25.5cm de largo x 21cm de alto x 15.5cm de ancho</t>
        </is>
      </c>
      <c r="G2815" s="9" t="n">
        <v>2</v>
      </c>
      <c r="H2815" s="21" t="n">
        <v>55</v>
      </c>
      <c r="I2815" s="21" t="n">
        <v>1445.23</v>
      </c>
      <c r="J2815" s="21" t="n">
        <v>4335.7</v>
      </c>
      <c r="K2815" s="21" t="n">
        <v>5058.32</v>
      </c>
      <c r="L2815" s="21" t="n">
        <v>5780.93</v>
      </c>
      <c r="M2815" s="21" t="n">
        <v>5058.32</v>
      </c>
    </row>
    <row r="2816">
      <c r="A2816" s="9" t="inlineStr">
        <is>
          <t>ZOEY</t>
        </is>
      </c>
      <c r="B2816" s="9" t="inlineStr">
        <is>
          <t>ZOEY 02/03/2026</t>
        </is>
      </c>
      <c r="C2816" s="9" t="inlineStr">
        <is>
          <t>2026-03-02</t>
        </is>
      </c>
      <c r="D2816" s="9" t="inlineStr">
        <is>
          <t>73794531662733</t>
        </is>
      </c>
      <c r="E2816" s="9" t="inlineStr">
        <is>
          <t>BOLSO CD MY TOP HANDLE</t>
        </is>
      </c>
      <c r="F2816" s="9" t="inlineStr">
        <is>
          <t>WHITE</t>
        </is>
      </c>
      <c r="G2816" s="9" t="n">
        <v>1</v>
      </c>
      <c r="H2816" s="21" t="n">
        <v>55</v>
      </c>
      <c r="I2816" s="21" t="n">
        <v>1445.23</v>
      </c>
      <c r="J2816" s="21" t="n">
        <v>4335.7</v>
      </c>
      <c r="K2816" s="21" t="n">
        <v>5058.32</v>
      </c>
      <c r="L2816" s="21" t="n">
        <v>5780.93</v>
      </c>
      <c r="M2816" s="21" t="n">
        <v>5832</v>
      </c>
    </row>
    <row r="2817">
      <c r="A2817" s="9" t="inlineStr">
        <is>
          <t>ZOEY</t>
        </is>
      </c>
      <c r="B2817" s="9" t="inlineStr">
        <is>
          <t>ZOEY 02/03/2026</t>
        </is>
      </c>
      <c r="C2817" s="9" t="inlineStr">
        <is>
          <t>2026-03-02</t>
        </is>
      </c>
      <c r="D2817" s="9" t="inlineStr">
        <is>
          <t>17416232396428</t>
        </is>
      </c>
      <c r="E2817" s="9" t="inlineStr">
        <is>
          <t>BOLSO CD TOTE</t>
        </is>
      </c>
      <c r="F2817" s="9" t="inlineStr">
        <is>
          <t>36.5cm x 28cm x 10cm</t>
        </is>
      </c>
      <c r="G2817" s="9" t="n">
        <v>2</v>
      </c>
      <c r="H2817" s="21" t="n">
        <v>45</v>
      </c>
      <c r="I2817" s="21" t="n">
        <v>1182.46</v>
      </c>
      <c r="J2817" s="21" t="n">
        <v>3547.39</v>
      </c>
      <c r="K2817" s="21" t="n">
        <v>4138.62</v>
      </c>
      <c r="L2817" s="21" t="n">
        <v>4729.86</v>
      </c>
      <c r="M2817" s="21" t="n">
        <v>4069</v>
      </c>
    </row>
    <row r="2818">
      <c r="A2818" s="9" t="inlineStr">
        <is>
          <t>ZOEY</t>
        </is>
      </c>
      <c r="B2818" s="9" t="inlineStr">
        <is>
          <t>ZOEY 02/03/2026</t>
        </is>
      </c>
      <c r="C2818" s="9" t="inlineStr">
        <is>
          <t>2026-03-02</t>
        </is>
      </c>
      <c r="D2818" s="9" t="inlineStr">
        <is>
          <t>99781782406413</t>
        </is>
      </c>
      <c r="E2818" s="9" t="inlineStr">
        <is>
          <t>BOLSO GC BUCKET EMBLEM</t>
        </is>
      </c>
      <c r="F2818" s="9" t="inlineStr">
        <is>
          <t>BEIGE</t>
        </is>
      </c>
      <c r="G2818" s="9" t="n">
        <v>1</v>
      </c>
      <c r="H2818" s="21" t="n">
        <v>58</v>
      </c>
      <c r="I2818" s="21" t="n">
        <v>1524.06</v>
      </c>
      <c r="J2818" s="21" t="n">
        <v>4572.19</v>
      </c>
      <c r="K2818" s="21" t="n">
        <v>5334.23</v>
      </c>
      <c r="L2818" s="21" t="n">
        <v>6096.26</v>
      </c>
      <c r="M2818" s="21" t="n">
        <v>5699</v>
      </c>
    </row>
    <row r="2819">
      <c r="A2819" s="9" t="inlineStr">
        <is>
          <t>ZOEY</t>
        </is>
      </c>
      <c r="B2819" s="9" t="inlineStr">
        <is>
          <t>ZOEY 02/03/2026</t>
        </is>
      </c>
      <c r="C2819" s="9" t="inlineStr">
        <is>
          <t>2026-03-02</t>
        </is>
      </c>
      <c r="D2819" s="9" t="inlineStr">
        <is>
          <t>99781782370253</t>
        </is>
      </c>
      <c r="E2819" s="9" t="inlineStr">
        <is>
          <t>BOLSO GC BUCKET MARMONT</t>
        </is>
      </c>
      <c r="F2819" s="9" t="inlineStr">
        <is>
          <t>WHITE</t>
        </is>
      </c>
      <c r="G2819" s="9" t="n">
        <v>2</v>
      </c>
      <c r="H2819" s="21" t="n">
        <v>42</v>
      </c>
      <c r="I2819" s="21" t="n">
        <v>1103.63</v>
      </c>
      <c r="J2819" s="21" t="n">
        <v>3310.9</v>
      </c>
      <c r="K2819" s="21" t="n">
        <v>3862.72</v>
      </c>
      <c r="L2819" s="21" t="n">
        <v>4414.53</v>
      </c>
      <c r="M2819" s="21" t="n">
        <v>4453</v>
      </c>
    </row>
    <row r="2820">
      <c r="A2820" s="9" t="inlineStr">
        <is>
          <t>ZOEY</t>
        </is>
      </c>
      <c r="B2820" s="9" t="inlineStr">
        <is>
          <t>ZOEY 02/03/2026</t>
        </is>
      </c>
      <c r="C2820" s="9" t="inlineStr">
        <is>
          <t>2026-03-02</t>
        </is>
      </c>
      <c r="D2820" s="9" t="inlineStr">
        <is>
          <t>43728099701932</t>
        </is>
      </c>
      <c r="E2820" s="9" t="inlineStr">
        <is>
          <t>BOLSO JM WHITE</t>
        </is>
      </c>
      <c r="F2820" s="9" t="inlineStr">
        <is>
          <t>16cm de alto x 19.5cm de largo x 7cm de ancho 15cm de alto de correa</t>
        </is>
      </c>
      <c r="G2820" s="9" t="n">
        <v>2</v>
      </c>
      <c r="H2820" s="21" t="n">
        <v>56</v>
      </c>
      <c r="I2820" s="21" t="n">
        <v>1471.51</v>
      </c>
      <c r="J2820" s="21" t="n">
        <v>4414.53</v>
      </c>
      <c r="K2820" s="21" t="n">
        <v>5150.29</v>
      </c>
      <c r="L2820" s="21" t="n">
        <v>5886.04</v>
      </c>
      <c r="M2820" s="21" t="n">
        <v>5150.29</v>
      </c>
    </row>
    <row r="2821">
      <c r="A2821" s="9" t="inlineStr">
        <is>
          <t>ZOEY</t>
        </is>
      </c>
      <c r="B2821" s="9" t="inlineStr">
        <is>
          <t>ZOEY 02/03/2026</t>
        </is>
      </c>
      <c r="C2821" s="9" t="inlineStr">
        <is>
          <t>2026-03-02</t>
        </is>
      </c>
      <c r="D2821" s="9" t="inlineStr">
        <is>
          <t>66958009110540</t>
        </is>
      </c>
      <c r="E2821" s="9" t="inlineStr">
        <is>
          <t>BOLSO LADY D JOY BLACK</t>
        </is>
      </c>
      <c r="F2821" s="9" t="inlineStr">
        <is>
          <t>22cm de largo x 11.5cm dde alto x 6.8cm de ancho (REMATE)</t>
        </is>
      </c>
      <c r="G2821" s="9" t="n">
        <v>2</v>
      </c>
      <c r="H2821" s="21" t="n">
        <v>56</v>
      </c>
      <c r="I2821" s="21" t="n">
        <v>1471.51</v>
      </c>
      <c r="J2821" s="21" t="n">
        <v>4414.53</v>
      </c>
      <c r="K2821" s="21" t="n">
        <v>5150.29</v>
      </c>
      <c r="L2821" s="21" t="n">
        <v>5886.04</v>
      </c>
      <c r="M2821" s="21" t="n">
        <v>5019</v>
      </c>
    </row>
    <row r="2822">
      <c r="A2822" s="9" t="inlineStr">
        <is>
          <t>ZOEY</t>
        </is>
      </c>
      <c r="B2822" s="9" t="inlineStr">
        <is>
          <t>ZOEY 02/03/2026</t>
        </is>
      </c>
      <c r="C2822" s="9" t="inlineStr">
        <is>
          <t>2026-03-02</t>
        </is>
      </c>
      <c r="D2822" s="9" t="inlineStr">
        <is>
          <t>43124048199820</t>
        </is>
      </c>
      <c r="E2822" s="9" t="inlineStr">
        <is>
          <t>BOLSO LADY D JOY WHITE</t>
        </is>
      </c>
      <c r="F2822" s="9" t="inlineStr">
        <is>
          <t>10.5cm de alto x 16.4cm de largo x 5.5cm de ancho</t>
        </is>
      </c>
      <c r="G2822" s="9" t="n">
        <v>2</v>
      </c>
      <c r="H2822" s="21" t="n">
        <v>56</v>
      </c>
      <c r="I2822" s="21" t="n">
        <v>1471.51</v>
      </c>
      <c r="J2822" s="21" t="n">
        <v>4414.53</v>
      </c>
      <c r="K2822" s="21" t="n">
        <v>5150.29</v>
      </c>
      <c r="L2822" s="21" t="n">
        <v>5886.04</v>
      </c>
      <c r="M2822" s="21" t="n">
        <v>5150.29</v>
      </c>
    </row>
    <row r="2823">
      <c r="A2823" s="9" t="inlineStr">
        <is>
          <t>ZOEY</t>
        </is>
      </c>
      <c r="B2823" s="9" t="inlineStr">
        <is>
          <t>ZOEY 02/03/2026</t>
        </is>
      </c>
      <c r="C2823" s="9" t="inlineStr">
        <is>
          <t>2026-03-02</t>
        </is>
      </c>
      <c r="D2823" s="9" t="inlineStr">
        <is>
          <t>66581dfb2f7ce</t>
        </is>
      </c>
      <c r="E2823" s="9" t="inlineStr">
        <is>
          <t>BOLSO LADY D NUDE</t>
        </is>
      </c>
      <c r="F2823" s="9" t="inlineStr">
        <is>
          <t>17cm de largo x 20cm largo x 8cm de ancho</t>
        </is>
      </c>
      <c r="G2823" s="9" t="n">
        <v>2</v>
      </c>
      <c r="H2823" s="21" t="n">
        <v>56</v>
      </c>
      <c r="I2823" s="21" t="n">
        <v>1471.51</v>
      </c>
      <c r="J2823" s="21" t="n">
        <v>4414.53</v>
      </c>
      <c r="K2823" s="21" t="n">
        <v>5150.29</v>
      </c>
      <c r="L2823" s="21" t="n">
        <v>5886.04</v>
      </c>
      <c r="M2823" s="21" t="n">
        <v>5940</v>
      </c>
    </row>
    <row r="2824">
      <c r="A2824" s="9" t="inlineStr">
        <is>
          <t>ZOEY</t>
        </is>
      </c>
      <c r="B2824" s="9" t="inlineStr">
        <is>
          <t>ZOEY 02/03/2026</t>
        </is>
      </c>
      <c r="C2824" s="9" t="inlineStr">
        <is>
          <t>2026-03-02</t>
        </is>
      </c>
      <c r="D2824" s="9" t="inlineStr">
        <is>
          <t>654bdb2a8966e</t>
        </is>
      </c>
      <c r="E2824" s="9" t="inlineStr">
        <is>
          <t>BOLSO LADY D WHITE</t>
        </is>
      </c>
      <c r="F2824" s="9" t="inlineStr">
        <is>
          <t>23.5cm de largo x 20.5cm largo x 12.5cm de ancho</t>
        </is>
      </c>
      <c r="G2824" s="9" t="n">
        <v>2</v>
      </c>
      <c r="H2824" s="21" t="n">
        <v>56</v>
      </c>
      <c r="I2824" s="21" t="n">
        <v>1471.51</v>
      </c>
      <c r="J2824" s="21" t="n">
        <v>4414.53</v>
      </c>
      <c r="K2824" s="21" t="n">
        <v>5150.29</v>
      </c>
      <c r="L2824" s="21" t="n">
        <v>5886.04</v>
      </c>
      <c r="M2824" s="21" t="n">
        <v>5739</v>
      </c>
    </row>
    <row r="2825">
      <c r="A2825" s="9" t="inlineStr">
        <is>
          <t>ZOEY</t>
        </is>
      </c>
      <c r="B2825" s="9" t="inlineStr">
        <is>
          <t>ZOEY 02/03/2026</t>
        </is>
      </c>
      <c r="C2825" s="9" t="inlineStr">
        <is>
          <t>2026-03-02</t>
        </is>
      </c>
      <c r="D2825" s="9" t="inlineStr">
        <is>
          <t>93098782243181</t>
        </is>
      </c>
      <c r="E2825" s="9" t="inlineStr">
        <is>
          <t>BOLSO LV ALMA BB BLACK</t>
        </is>
      </c>
      <c r="F2825" s="9" t="inlineStr">
        <is>
          <t>BLACK</t>
        </is>
      </c>
      <c r="G2825" s="9" t="n">
        <v>2</v>
      </c>
      <c r="H2825" s="21" t="n">
        <v>47</v>
      </c>
      <c r="I2825" s="21" t="n">
        <v>1235.02</v>
      </c>
      <c r="J2825" s="21" t="n">
        <v>3705.05</v>
      </c>
      <c r="K2825" s="21" t="n">
        <v>4322.56</v>
      </c>
      <c r="L2825" s="21" t="n">
        <v>4940.07</v>
      </c>
      <c r="M2825" s="21" t="n">
        <v>4989</v>
      </c>
    </row>
    <row r="2826">
      <c r="A2826" s="9" t="inlineStr">
        <is>
          <t>ZOEY</t>
        </is>
      </c>
      <c r="B2826" s="9" t="inlineStr">
        <is>
          <t>ZOEY 02/03/2026</t>
        </is>
      </c>
      <c r="C2826" s="9" t="inlineStr">
        <is>
          <t>2026-03-02</t>
        </is>
      </c>
      <c r="D2826" s="9" t="inlineStr">
        <is>
          <t>93098782074253</t>
        </is>
      </c>
      <c r="E2826" s="9" t="inlineStr">
        <is>
          <t>BOLSO LV CHRISTOPHER MESSENGER</t>
        </is>
      </c>
      <c r="F2826" s="9" t="inlineStr">
        <is>
          <t>BLACK</t>
        </is>
      </c>
      <c r="G2826" s="9" t="n">
        <v>2</v>
      </c>
      <c r="H2826" s="21" t="n">
        <v>45</v>
      </c>
      <c r="I2826" s="21" t="n">
        <v>1182.46</v>
      </c>
      <c r="J2826" s="21" t="n">
        <v>3547.39</v>
      </c>
      <c r="K2826" s="21" t="n">
        <v>4138.62</v>
      </c>
      <c r="L2826" s="21" t="n">
        <v>4729.86</v>
      </c>
      <c r="M2826" s="21" t="n">
        <v>4779</v>
      </c>
    </row>
    <row r="2827">
      <c r="A2827" s="9" t="inlineStr">
        <is>
          <t>ZOEY</t>
        </is>
      </c>
      <c r="B2827" s="9" t="inlineStr">
        <is>
          <t>ZOEY 02/03/2026</t>
        </is>
      </c>
      <c r="C2827" s="9" t="inlineStr">
        <is>
          <t>2026-03-02</t>
        </is>
      </c>
      <c r="D2827" s="9" t="inlineStr">
        <is>
          <t>93098782381037</t>
        </is>
      </c>
      <c r="E2827" s="9" t="inlineStr">
        <is>
          <t>BOLSO LV LOW KEY HOBO</t>
        </is>
      </c>
      <c r="F2827" s="9" t="inlineStr">
        <is>
          <t>BLACK</t>
        </is>
      </c>
      <c r="G2827" s="9" t="n">
        <v>2</v>
      </c>
      <c r="H2827" s="21" t="n">
        <v>54</v>
      </c>
      <c r="I2827" s="21" t="n">
        <v>1418.96</v>
      </c>
      <c r="J2827" s="21" t="n">
        <v>4256.87</v>
      </c>
      <c r="K2827" s="21" t="n">
        <v>4966.35</v>
      </c>
      <c r="L2827" s="21" t="n">
        <v>5675.83</v>
      </c>
      <c r="M2827" s="21" t="n">
        <v>5729</v>
      </c>
    </row>
    <row r="2828">
      <c r="A2828" s="9" t="inlineStr">
        <is>
          <t>ZOEY</t>
        </is>
      </c>
      <c r="B2828" s="9" t="inlineStr">
        <is>
          <t>ZOEY 02/03/2026</t>
        </is>
      </c>
      <c r="C2828" s="9" t="inlineStr">
        <is>
          <t>2026-03-02</t>
        </is>
      </c>
      <c r="D2828" s="9" t="inlineStr">
        <is>
          <t>68802901471244</t>
        </is>
      </c>
      <c r="E2828" s="9" t="inlineStr">
        <is>
          <t>BOLSO LV MESSENGER</t>
        </is>
      </c>
      <c r="F2828" s="9" t="inlineStr">
        <is>
          <t>30cm de largo x 20cm de alto x 10 cm de ancho</t>
        </is>
      </c>
      <c r="G2828" s="9" t="n">
        <v>1</v>
      </c>
      <c r="H2828" s="21" t="n">
        <v>48</v>
      </c>
      <c r="I2828" s="21" t="n">
        <v>1261.29</v>
      </c>
      <c r="J2828" s="21" t="n">
        <v>3783.88</v>
      </c>
      <c r="K2828" s="21" t="n">
        <v>4414.53</v>
      </c>
      <c r="L2828" s="21" t="n">
        <v>5045.18</v>
      </c>
      <c r="M2828" s="21" t="n">
        <v>4499</v>
      </c>
    </row>
    <row r="2829">
      <c r="A2829" s="9" t="inlineStr">
        <is>
          <t>ZOEY</t>
        </is>
      </c>
      <c r="B2829" s="9" t="inlineStr">
        <is>
          <t>ZOEY 02/03/2026</t>
        </is>
      </c>
      <c r="C2829" s="9" t="inlineStr">
        <is>
          <t>2026-03-02</t>
        </is>
      </c>
      <c r="D2829" s="9" t="inlineStr">
        <is>
          <t>93098783094061</t>
        </is>
      </c>
      <c r="E2829" s="9" t="inlineStr">
        <is>
          <t>BOLSO LV POCHETTE FELICIE</t>
        </is>
      </c>
      <c r="F2829" s="9" t="inlineStr">
        <is>
          <t>BROWN</t>
        </is>
      </c>
      <c r="G2829" s="9" t="n">
        <v>2</v>
      </c>
      <c r="H2829" s="21" t="n">
        <v>21</v>
      </c>
      <c r="I2829" s="21" t="n">
        <v>551.8200000000001</v>
      </c>
      <c r="J2829" s="21" t="n">
        <v>1655.45</v>
      </c>
      <c r="K2829" s="21" t="n">
        <v>1931.36</v>
      </c>
      <c r="L2829" s="21" t="n">
        <v>2207.27</v>
      </c>
      <c r="M2829" s="21" t="n">
        <v>2500</v>
      </c>
    </row>
    <row r="2830">
      <c r="A2830" s="9" t="inlineStr">
        <is>
          <t>ZOEY</t>
        </is>
      </c>
      <c r="B2830" s="9" t="inlineStr">
        <is>
          <t>ZOEY 02/03/2026</t>
        </is>
      </c>
      <c r="C2830" s="9" t="inlineStr">
        <is>
          <t>2026-03-02</t>
        </is>
      </c>
      <c r="D2830" s="9" t="inlineStr">
        <is>
          <t>93098783161293</t>
        </is>
      </c>
      <c r="E2830" s="9" t="inlineStr">
        <is>
          <t>BOLSO LV POCHETTE HILLS</t>
        </is>
      </c>
      <c r="F2830" s="9" t="inlineStr">
        <is>
          <t>BROWN</t>
        </is>
      </c>
      <c r="G2830" s="9" t="n">
        <v>1</v>
      </c>
      <c r="H2830" s="21" t="n">
        <v>41</v>
      </c>
      <c r="I2830" s="21" t="n">
        <v>1077.36</v>
      </c>
      <c r="J2830" s="21" t="n">
        <v>3232.07</v>
      </c>
      <c r="K2830" s="21" t="n">
        <v>3770.75</v>
      </c>
      <c r="L2830" s="21" t="n">
        <v>4309.42</v>
      </c>
      <c r="M2830" s="21" t="n">
        <v>4349</v>
      </c>
    </row>
    <row r="2831">
      <c r="A2831" s="9" t="inlineStr">
        <is>
          <t>ZOEY</t>
        </is>
      </c>
      <c r="B2831" s="9" t="inlineStr">
        <is>
          <t>ZOEY 02/03/2026</t>
        </is>
      </c>
      <c r="C2831" s="9" t="inlineStr">
        <is>
          <t>2026-03-02</t>
        </is>
      </c>
      <c r="D2831" s="9" t="inlineStr">
        <is>
          <t>17872087535244</t>
        </is>
      </c>
      <c r="E2831" s="9" t="inlineStr">
        <is>
          <t>BOLSO LW ANAGRAM</t>
        </is>
      </c>
      <c r="F2831" s="9" t="inlineStr">
        <is>
          <t>50cm x 26cm x 15cm</t>
        </is>
      </c>
      <c r="G2831" s="9" t="n">
        <v>4</v>
      </c>
      <c r="H2831" s="21" t="n">
        <v>35</v>
      </c>
      <c r="I2831" s="21" t="n">
        <v>919.6900000000001</v>
      </c>
      <c r="J2831" s="21" t="n">
        <v>2759.08</v>
      </c>
      <c r="K2831" s="21" t="n">
        <v>3218.93</v>
      </c>
      <c r="L2831" s="21" t="n">
        <v>3678.78</v>
      </c>
      <c r="M2831" s="21" t="n">
        <v>3780</v>
      </c>
    </row>
    <row r="2832">
      <c r="A2832" s="9" t="inlineStr">
        <is>
          <t>ZOEY</t>
        </is>
      </c>
      <c r="B2832" s="9" t="inlineStr">
        <is>
          <t>ZOEY 02/03/2026</t>
        </is>
      </c>
      <c r="C2832" s="9" t="inlineStr">
        <is>
          <t>2026-03-02</t>
        </is>
      </c>
      <c r="D2832" s="9" t="inlineStr">
        <is>
          <t>82224431085741</t>
        </is>
      </c>
      <c r="E2832" s="9" t="inlineStr">
        <is>
          <t>BOLSO MM WANDER OFF WHITE</t>
        </is>
      </c>
      <c r="F2832" s="9" t="inlineStr">
        <is>
          <t>WHITE</t>
        </is>
      </c>
      <c r="G2832" s="9" t="n">
        <v>2</v>
      </c>
      <c r="H2832" s="21" t="n">
        <v>48</v>
      </c>
      <c r="I2832" s="21" t="n">
        <v>1261.29</v>
      </c>
      <c r="J2832" s="21" t="n">
        <v>3783.88</v>
      </c>
      <c r="K2832" s="21" t="n">
        <v>4414.53</v>
      </c>
      <c r="L2832" s="21" t="n">
        <v>5045.18</v>
      </c>
      <c r="M2832" s="21" t="n">
        <v>4414.53</v>
      </c>
    </row>
    <row r="2833">
      <c r="A2833" s="9" t="inlineStr">
        <is>
          <t>ZOEY</t>
        </is>
      </c>
      <c r="B2833" s="9" t="inlineStr">
        <is>
          <t>ZOEY 02/03/2026</t>
        </is>
      </c>
      <c r="C2833" s="9" t="inlineStr">
        <is>
          <t>2026-03-02</t>
        </is>
      </c>
      <c r="D2833" s="9" t="inlineStr">
        <is>
          <t>648cc614da168</t>
        </is>
      </c>
      <c r="E2833" s="9" t="inlineStr">
        <is>
          <t>BOLSO YSL BLACK</t>
        </is>
      </c>
      <c r="F2833" s="9" t="inlineStr">
        <is>
          <t>24cm x 15cm</t>
        </is>
      </c>
      <c r="G2833" s="9" t="n">
        <v>2</v>
      </c>
      <c r="H2833" s="21" t="n">
        <v>48</v>
      </c>
      <c r="I2833" s="21" t="n">
        <v>1261.29</v>
      </c>
      <c r="J2833" s="21" t="n">
        <v>3783.88</v>
      </c>
      <c r="K2833" s="21" t="n">
        <v>4414.53</v>
      </c>
      <c r="L2833" s="21" t="n">
        <v>5045.18</v>
      </c>
      <c r="M2833" s="21" t="n">
        <v>4332</v>
      </c>
    </row>
    <row r="2834">
      <c r="A2834" s="9" t="inlineStr">
        <is>
          <t>ZOEY</t>
        </is>
      </c>
      <c r="B2834" s="9" t="inlineStr">
        <is>
          <t>ZOEY 02/03/2026</t>
        </is>
      </c>
      <c r="C2834" s="9" t="inlineStr">
        <is>
          <t>2026-03-02</t>
        </is>
      </c>
      <c r="D2834" s="9" t="inlineStr">
        <is>
          <t>48915671144269</t>
        </is>
      </c>
      <c r="E2834" s="9" t="inlineStr">
        <is>
          <t>CAMISETA CD OBLIQUE BLACK</t>
        </is>
      </c>
      <c r="F2834" s="9" t="inlineStr">
        <is>
          <t>M</t>
        </is>
      </c>
      <c r="G2834" s="9" t="n">
        <v>1</v>
      </c>
      <c r="H2834" s="21" t="n">
        <v>27</v>
      </c>
      <c r="I2834" s="21" t="n">
        <v>709.48</v>
      </c>
      <c r="J2834" s="21" t="n">
        <v>2128.44</v>
      </c>
      <c r="K2834" s="21" t="n">
        <v>2483.17</v>
      </c>
      <c r="L2834" s="21" t="n">
        <v>2837.91</v>
      </c>
      <c r="M2834" s="21" t="n">
        <v>2769</v>
      </c>
    </row>
    <row r="2835">
      <c r="A2835" s="9" t="inlineStr">
        <is>
          <t>ZOEY</t>
        </is>
      </c>
      <c r="B2835" s="9" t="inlineStr">
        <is>
          <t>ZOEY 02/03/2026</t>
        </is>
      </c>
      <c r="C2835" s="9" t="inlineStr">
        <is>
          <t>2026-03-02</t>
        </is>
      </c>
      <c r="D2835" s="9" t="inlineStr">
        <is>
          <t>93098782175949</t>
        </is>
      </c>
      <c r="E2835" s="9" t="inlineStr">
        <is>
          <t>CANGURERA LV HIGH RISE PM</t>
        </is>
      </c>
      <c r="F2835" s="9" t="inlineStr">
        <is>
          <t>BLACK</t>
        </is>
      </c>
      <c r="G2835" s="9" t="n">
        <v>1</v>
      </c>
      <c r="H2835" s="21" t="n">
        <v>40</v>
      </c>
      <c r="I2835" s="21" t="n">
        <v>1051.08</v>
      </c>
      <c r="J2835" s="21" t="n">
        <v>3153.24</v>
      </c>
      <c r="K2835" s="21" t="n">
        <v>3678.78</v>
      </c>
      <c r="L2835" s="21" t="n">
        <v>4204.32</v>
      </c>
      <c r="M2835" s="21" t="n">
        <v>4249</v>
      </c>
    </row>
    <row r="2836">
      <c r="A2836" s="9" t="inlineStr">
        <is>
          <t>ZOEY</t>
        </is>
      </c>
      <c r="B2836" s="9" t="inlineStr">
        <is>
          <t>ZOEY 02/03/2026</t>
        </is>
      </c>
      <c r="C2836" s="9" t="inlineStr">
        <is>
          <t>2026-03-02</t>
        </is>
      </c>
      <c r="D2836" s="9" t="inlineStr">
        <is>
          <t>99781783183821</t>
        </is>
      </c>
      <c r="E2836" s="9" t="inlineStr">
        <is>
          <t>CARTERA C FLAP TRIOMPHIE</t>
        </is>
      </c>
      <c r="F2836" s="9" t="inlineStr">
        <is>
          <t>BROWN</t>
        </is>
      </c>
      <c r="G2836" s="9" t="n">
        <v>3</v>
      </c>
      <c r="H2836" s="21" t="n">
        <v>22</v>
      </c>
      <c r="I2836" s="21" t="n">
        <v>578.09</v>
      </c>
      <c r="J2836" s="21" t="n">
        <v>1734.28</v>
      </c>
      <c r="K2836" s="21" t="n">
        <v>2023.33</v>
      </c>
      <c r="L2836" s="21" t="n">
        <v>2312.37</v>
      </c>
      <c r="M2836" s="21" t="n">
        <v>2339</v>
      </c>
    </row>
    <row r="2837">
      <c r="A2837" s="9" t="inlineStr">
        <is>
          <t>ZOEY</t>
        </is>
      </c>
      <c r="B2837" s="9" t="inlineStr">
        <is>
          <t>ZOEY 02/03/2026</t>
        </is>
      </c>
      <c r="C2837" s="9" t="inlineStr">
        <is>
          <t>2026-03-02</t>
        </is>
      </c>
      <c r="D2837" s="9" t="inlineStr">
        <is>
          <t>94758097365260</t>
        </is>
      </c>
      <c r="E2837" s="9" t="inlineStr">
        <is>
          <t>CARTERA G SAINT-MARC GREY</t>
        </is>
      </c>
      <c r="F2837" s="9" t="inlineStr">
        <is>
          <t>11cm x 8cm</t>
        </is>
      </c>
      <c r="G2837" s="9" t="n">
        <v>3</v>
      </c>
      <c r="H2837" s="21" t="n">
        <v>15</v>
      </c>
      <c r="I2837" s="21" t="n">
        <v>394.15</v>
      </c>
      <c r="J2837" s="21" t="n">
        <v>1182.46</v>
      </c>
      <c r="K2837" s="21" t="n">
        <v>1379.54</v>
      </c>
      <c r="L2837" s="21" t="n">
        <v>1576.62</v>
      </c>
      <c r="M2837" s="21" t="n">
        <v>1599</v>
      </c>
    </row>
    <row r="2838">
      <c r="A2838" s="9" t="inlineStr">
        <is>
          <t>ZOEY</t>
        </is>
      </c>
      <c r="B2838" s="9" t="inlineStr">
        <is>
          <t>ZOEY 02/03/2026</t>
        </is>
      </c>
      <c r="C2838" s="9" t="inlineStr">
        <is>
          <t>2026-03-02</t>
        </is>
      </c>
      <c r="D2838" s="9" t="inlineStr">
        <is>
          <t>99781782263469</t>
        </is>
      </c>
      <c r="E2838" s="9" t="inlineStr">
        <is>
          <t>CARTERA GC ALARGADA</t>
        </is>
      </c>
      <c r="F2838" s="9" t="inlineStr">
        <is>
          <t>BLACK</t>
        </is>
      </c>
      <c r="G2838" s="9" t="n">
        <v>2</v>
      </c>
      <c r="H2838" s="21" t="n">
        <v>17</v>
      </c>
      <c r="I2838" s="21" t="n">
        <v>446.71</v>
      </c>
      <c r="J2838" s="21" t="n">
        <v>1340.13</v>
      </c>
      <c r="K2838" s="21" t="n">
        <v>1563.48</v>
      </c>
      <c r="L2838" s="21" t="n">
        <v>1786.83</v>
      </c>
      <c r="M2838" s="21" t="n">
        <v>1800</v>
      </c>
    </row>
    <row r="2839">
      <c r="A2839" s="9" t="inlineStr">
        <is>
          <t>ZOEY</t>
        </is>
      </c>
      <c r="B2839" s="9" t="inlineStr">
        <is>
          <t>ZOEY 02/03/2026</t>
        </is>
      </c>
      <c r="C2839" s="9" t="inlineStr">
        <is>
          <t>2026-03-02</t>
        </is>
      </c>
      <c r="D2839" s="9" t="inlineStr">
        <is>
          <t>15565825325196</t>
        </is>
      </c>
      <c r="E2839" s="9" t="inlineStr">
        <is>
          <t>CARTERA GC BI-FOLD</t>
        </is>
      </c>
      <c r="F2839" s="9" t="inlineStr">
        <is>
          <t>9.5cm x 10cm</t>
        </is>
      </c>
      <c r="G2839" s="9" t="n">
        <v>2</v>
      </c>
      <c r="H2839" s="21" t="n">
        <v>18</v>
      </c>
      <c r="I2839" s="21" t="n">
        <v>472.99</v>
      </c>
      <c r="J2839" s="21" t="n">
        <v>1418.96</v>
      </c>
      <c r="K2839" s="21" t="n">
        <v>1655.45</v>
      </c>
      <c r="L2839" s="21" t="n">
        <v>1891.94</v>
      </c>
      <c r="M2839" s="21" t="n">
        <v>1859</v>
      </c>
    </row>
    <row r="2840">
      <c r="A2840" s="9" t="inlineStr">
        <is>
          <t>ZOEY</t>
        </is>
      </c>
      <c r="B2840" s="9" t="inlineStr">
        <is>
          <t>ZOEY 02/03/2026</t>
        </is>
      </c>
      <c r="C2840" s="9" t="inlineStr">
        <is>
          <t>2026-03-02</t>
        </is>
      </c>
      <c r="D2840" s="9" t="inlineStr">
        <is>
          <t>99781781554989</t>
        </is>
      </c>
      <c r="E2840" s="9" t="inlineStr">
        <is>
          <t>CARTERA GC CADENA OPHIDIA</t>
        </is>
      </c>
      <c r="F2840" s="9" t="inlineStr">
        <is>
          <t>BROWN</t>
        </is>
      </c>
      <c r="G2840" s="9" t="n">
        <v>2</v>
      </c>
      <c r="H2840" s="21" t="n">
        <v>27</v>
      </c>
      <c r="I2840" s="21" t="n">
        <v>709.48</v>
      </c>
      <c r="J2840" s="21" t="n">
        <v>2128.44</v>
      </c>
      <c r="K2840" s="21" t="n">
        <v>2483.17</v>
      </c>
      <c r="L2840" s="21" t="n">
        <v>2837.91</v>
      </c>
      <c r="M2840" s="21" t="n">
        <v>2869</v>
      </c>
    </row>
    <row r="2841">
      <c r="A2841" s="9" t="inlineStr">
        <is>
          <t>ZOEY</t>
        </is>
      </c>
      <c r="B2841" s="9" t="inlineStr">
        <is>
          <t>ZOEY 02/03/2026</t>
        </is>
      </c>
      <c r="C2841" s="9" t="inlineStr">
        <is>
          <t>2026-03-02</t>
        </is>
      </c>
      <c r="D2841" s="9" t="inlineStr">
        <is>
          <t>99781781282669</t>
        </is>
      </c>
      <c r="E2841" s="9" t="inlineStr">
        <is>
          <t>CARTERA GC CONTINENTAL BICOLOR</t>
        </is>
      </c>
      <c r="F2841" s="9" t="inlineStr">
        <is>
          <t>BLACK</t>
        </is>
      </c>
      <c r="G2841" s="9" t="n">
        <v>2</v>
      </c>
      <c r="H2841" s="21" t="n">
        <v>27</v>
      </c>
      <c r="I2841" s="21" t="n">
        <v>709.48</v>
      </c>
      <c r="J2841" s="21" t="n">
        <v>2128.44</v>
      </c>
      <c r="K2841" s="21" t="n">
        <v>2483.17</v>
      </c>
      <c r="L2841" s="21" t="n">
        <v>2837.91</v>
      </c>
      <c r="M2841" s="21" t="n">
        <v>2869</v>
      </c>
    </row>
    <row r="2842">
      <c r="A2842" s="9" t="inlineStr">
        <is>
          <t>ZOEY</t>
        </is>
      </c>
      <c r="B2842" s="9" t="inlineStr">
        <is>
          <t>ZOEY 02/03/2026</t>
        </is>
      </c>
      <c r="C2842" s="9" t="inlineStr">
        <is>
          <t>2026-03-02</t>
        </is>
      </c>
      <c r="D2842" s="9" t="inlineStr">
        <is>
          <t>99781781725613</t>
        </is>
      </c>
      <c r="E2842" s="9" t="inlineStr">
        <is>
          <t>CARTERA GC LEATHER</t>
        </is>
      </c>
      <c r="F2842" s="9" t="inlineStr">
        <is>
          <t>BLACK</t>
        </is>
      </c>
      <c r="G2842" s="9" t="n">
        <v>2</v>
      </c>
      <c r="H2842" s="21" t="n">
        <v>19</v>
      </c>
      <c r="I2842" s="21" t="n">
        <v>499.26</v>
      </c>
      <c r="J2842" s="21" t="n">
        <v>1497.79</v>
      </c>
      <c r="K2842" s="21" t="n">
        <v>1747.42</v>
      </c>
      <c r="L2842" s="21" t="n">
        <v>1997.05</v>
      </c>
      <c r="M2842" s="21" t="n">
        <v>2020</v>
      </c>
    </row>
    <row r="2843">
      <c r="A2843" s="9" t="inlineStr">
        <is>
          <t>ZOEY</t>
        </is>
      </c>
      <c r="B2843" s="9" t="inlineStr">
        <is>
          <t>ZOEY 02/03/2026</t>
        </is>
      </c>
      <c r="C2843" s="9" t="inlineStr">
        <is>
          <t>2026-03-02</t>
        </is>
      </c>
      <c r="D2843" s="9" t="inlineStr">
        <is>
          <t>99781781418829</t>
        </is>
      </c>
      <c r="E2843" s="9" t="inlineStr">
        <is>
          <t>CARTERA GC PLEGABLE</t>
        </is>
      </c>
      <c r="F2843" s="9" t="inlineStr">
        <is>
          <t>BLACK</t>
        </is>
      </c>
      <c r="G2843" s="9" t="n">
        <v>2</v>
      </c>
      <c r="H2843" s="21" t="n">
        <v>19</v>
      </c>
      <c r="I2843" s="21" t="n">
        <v>499.26</v>
      </c>
      <c r="J2843" s="21" t="n">
        <v>1497.79</v>
      </c>
      <c r="K2843" s="21" t="n">
        <v>1747.42</v>
      </c>
      <c r="L2843" s="21" t="n">
        <v>1997.05</v>
      </c>
      <c r="M2843" s="21" t="n">
        <v>1999</v>
      </c>
    </row>
    <row r="2844">
      <c r="A2844" s="9" t="inlineStr">
        <is>
          <t>ZOEY</t>
        </is>
      </c>
      <c r="B2844" s="9" t="inlineStr">
        <is>
          <t>ZOEY 02/03/2026</t>
        </is>
      </c>
      <c r="C2844" s="9" t="inlineStr">
        <is>
          <t>2026-03-02</t>
        </is>
      </c>
      <c r="D2844" s="9" t="inlineStr">
        <is>
          <t>93098781770861</t>
        </is>
      </c>
      <c r="E2844" s="9" t="inlineStr">
        <is>
          <t>CARTERA LV EMPREINTE BLACK</t>
        </is>
      </c>
      <c r="F2844" s="9" t="inlineStr">
        <is>
          <t>BLACK</t>
        </is>
      </c>
      <c r="G2844" s="9" t="n">
        <v>3</v>
      </c>
      <c r="H2844" s="21" t="n">
        <v>17</v>
      </c>
      <c r="I2844" s="21" t="n">
        <v>446.71</v>
      </c>
      <c r="J2844" s="21" t="n">
        <v>1340.13</v>
      </c>
      <c r="K2844" s="21" t="n">
        <v>1563.48</v>
      </c>
      <c r="L2844" s="21" t="n">
        <v>1786.83</v>
      </c>
      <c r="M2844" s="21" t="n">
        <v>1810</v>
      </c>
    </row>
    <row r="2845">
      <c r="A2845" s="9" t="inlineStr">
        <is>
          <t>ZOEY</t>
        </is>
      </c>
      <c r="B2845" s="9" t="inlineStr">
        <is>
          <t>ZOEY 02/03/2026</t>
        </is>
      </c>
      <c r="C2845" s="9" t="inlineStr">
        <is>
          <t>2026-03-02</t>
        </is>
      </c>
      <c r="D2845" s="9" t="inlineStr">
        <is>
          <t>93098781907021</t>
        </is>
      </c>
      <c r="E2845" s="9" t="inlineStr">
        <is>
          <t>CARTERA LV GASTON MONOGRAM</t>
        </is>
      </c>
      <c r="F2845" s="9" t="inlineStr">
        <is>
          <t>BLACK</t>
        </is>
      </c>
      <c r="G2845" s="9" t="n">
        <v>2</v>
      </c>
      <c r="H2845" s="21" t="n">
        <v>45</v>
      </c>
      <c r="I2845" s="21" t="n">
        <v>1182.46</v>
      </c>
      <c r="J2845" s="21" t="n">
        <v>3547.39</v>
      </c>
      <c r="K2845" s="21" t="n">
        <v>4138.62</v>
      </c>
      <c r="L2845" s="21" t="n">
        <v>4729.86</v>
      </c>
      <c r="M2845" s="21" t="n">
        <v>4779</v>
      </c>
    </row>
    <row r="2846">
      <c r="A2846" s="9" t="inlineStr">
        <is>
          <t>ZOEY</t>
        </is>
      </c>
      <c r="B2846" s="9" t="inlineStr">
        <is>
          <t>ZOEY 02/03/2026</t>
        </is>
      </c>
      <c r="C2846" s="9" t="inlineStr">
        <is>
          <t>2026-03-02</t>
        </is>
      </c>
      <c r="D2846" s="9" t="inlineStr">
        <is>
          <t>93098781603629</t>
        </is>
      </c>
      <c r="E2846" s="9" t="inlineStr">
        <is>
          <t>CARTERA LV MULTIPLE MONOGRAM</t>
        </is>
      </c>
      <c r="F2846" s="9" t="inlineStr">
        <is>
          <t>BLACK</t>
        </is>
      </c>
      <c r="G2846" s="9" t="n">
        <v>3</v>
      </c>
      <c r="H2846" s="21" t="n">
        <v>17</v>
      </c>
      <c r="I2846" s="21" t="n">
        <v>446.71</v>
      </c>
      <c r="J2846" s="21" t="n">
        <v>1340.13</v>
      </c>
      <c r="K2846" s="21" t="n">
        <v>1563.48</v>
      </c>
      <c r="L2846" s="21" t="n">
        <v>1786.83</v>
      </c>
      <c r="M2846" s="21" t="n">
        <v>1699</v>
      </c>
    </row>
    <row r="2847">
      <c r="A2847" s="9" t="inlineStr">
        <is>
          <t>ZOEY</t>
        </is>
      </c>
      <c r="B2847" s="9" t="inlineStr">
        <is>
          <t>ZOEY 02/03/2026</t>
        </is>
      </c>
      <c r="C2847" s="9" t="inlineStr">
        <is>
          <t>2026-03-02</t>
        </is>
      </c>
      <c r="D2847" s="9" t="inlineStr">
        <is>
          <t>93098783399149</t>
        </is>
      </c>
      <c r="E2847" s="9" t="inlineStr">
        <is>
          <t>CARTERA LV ZIPPY CLIP</t>
        </is>
      </c>
      <c r="F2847" s="9" t="inlineStr">
        <is>
          <t>BROWN</t>
        </is>
      </c>
      <c r="G2847" s="9" t="n">
        <v>3</v>
      </c>
      <c r="H2847" s="21" t="n">
        <v>14</v>
      </c>
      <c r="I2847" s="21" t="n">
        <v>367.88</v>
      </c>
      <c r="J2847" s="21" t="n">
        <v>1103.63</v>
      </c>
      <c r="K2847" s="21" t="n">
        <v>1287.57</v>
      </c>
      <c r="L2847" s="21" t="n">
        <v>1471.51</v>
      </c>
      <c r="M2847" s="21" t="n">
        <v>1499</v>
      </c>
    </row>
    <row r="2848">
      <c r="A2848" s="9" t="inlineStr">
        <is>
          <t>ZOEY</t>
        </is>
      </c>
      <c r="B2848" s="9" t="inlineStr">
        <is>
          <t>ZOEY 02/03/2026</t>
        </is>
      </c>
      <c r="C2848" s="9" t="inlineStr">
        <is>
          <t>2026-03-02</t>
        </is>
      </c>
      <c r="D2848" s="9" t="inlineStr">
        <is>
          <t>23794532108653</t>
        </is>
      </c>
      <c r="E2848" s="9" t="inlineStr">
        <is>
          <t>CARTERA MM MATELASSE</t>
        </is>
      </c>
      <c r="F2848" s="9" t="inlineStr">
        <is>
          <t>BLACK</t>
        </is>
      </c>
      <c r="G2848" s="9" t="n">
        <v>2</v>
      </c>
      <c r="H2848" s="21" t="n">
        <v>22</v>
      </c>
      <c r="I2848" s="21" t="n">
        <v>578.09</v>
      </c>
      <c r="J2848" s="21" t="n">
        <v>1734.28</v>
      </c>
      <c r="K2848" s="21" t="n">
        <v>2023.33</v>
      </c>
      <c r="L2848" s="21" t="n">
        <v>2312.37</v>
      </c>
      <c r="M2848" s="21" t="n">
        <v>2339</v>
      </c>
    </row>
    <row r="2849">
      <c r="A2849" s="9" t="inlineStr">
        <is>
          <t>ZOEY</t>
        </is>
      </c>
      <c r="B2849" s="9" t="inlineStr">
        <is>
          <t>ZOEY 02/03/2026</t>
        </is>
      </c>
      <c r="C2849" s="9" t="inlineStr">
        <is>
          <t>2026-03-02</t>
        </is>
      </c>
      <c r="D2849" s="9" t="inlineStr">
        <is>
          <t>43794532275885</t>
        </is>
      </c>
      <c r="E2849" s="9" t="inlineStr">
        <is>
          <t>CARTERA MM NAPA BLACK</t>
        </is>
      </c>
      <c r="F2849" s="9" t="inlineStr">
        <is>
          <t>BLACK</t>
        </is>
      </c>
      <c r="G2849" s="9" t="n">
        <v>2</v>
      </c>
      <c r="H2849" s="21" t="n">
        <v>23</v>
      </c>
      <c r="I2849" s="21" t="n">
        <v>604.37</v>
      </c>
      <c r="J2849" s="21" t="n">
        <v>1813.11</v>
      </c>
      <c r="K2849" s="21" t="n">
        <v>2115.3</v>
      </c>
      <c r="L2849" s="21" t="n">
        <v>2417.48</v>
      </c>
      <c r="M2849" s="21" t="n">
        <v>2440</v>
      </c>
    </row>
    <row r="2850">
      <c r="A2850" s="9" t="inlineStr">
        <is>
          <t>ZOEY</t>
        </is>
      </c>
      <c r="B2850" s="9" t="inlineStr">
        <is>
          <t>ZOEY 02/03/2026</t>
        </is>
      </c>
      <c r="C2850" s="9" t="inlineStr">
        <is>
          <t>2026-03-02</t>
        </is>
      </c>
      <c r="D2850" s="9" t="inlineStr">
        <is>
          <t>13794532310349</t>
        </is>
      </c>
      <c r="E2850" s="9" t="inlineStr">
        <is>
          <t>CARTERA MM NAPA PINK</t>
        </is>
      </c>
      <c r="F2850" s="9" t="inlineStr">
        <is>
          <t>PINK</t>
        </is>
      </c>
      <c r="G2850" s="9" t="n">
        <v>2</v>
      </c>
      <c r="H2850" s="21" t="n">
        <v>23</v>
      </c>
      <c r="I2850" s="21" t="n">
        <v>604.37</v>
      </c>
      <c r="J2850" s="21" t="n">
        <v>1813.11</v>
      </c>
      <c r="K2850" s="21" t="n">
        <v>2115.3</v>
      </c>
      <c r="L2850" s="21" t="n">
        <v>2417.48</v>
      </c>
      <c r="M2850" s="21" t="n">
        <v>2440</v>
      </c>
    </row>
    <row r="2851">
      <c r="A2851" s="9" t="inlineStr">
        <is>
          <t>ZOEY</t>
        </is>
      </c>
      <c r="B2851" s="9" t="inlineStr">
        <is>
          <t>ZOEY 02/03/2026</t>
        </is>
      </c>
      <c r="C2851" s="9" t="inlineStr">
        <is>
          <t>2026-03-02</t>
        </is>
      </c>
      <c r="D2851" s="9" t="inlineStr">
        <is>
          <t>43794531982605</t>
        </is>
      </c>
      <c r="E2851" s="9" t="inlineStr">
        <is>
          <t>CARTERA PR LOGO TRIANGULAR</t>
        </is>
      </c>
      <c r="F2851" s="9" t="inlineStr">
        <is>
          <t>BLACK</t>
        </is>
      </c>
      <c r="G2851" s="9" t="n">
        <v>2</v>
      </c>
      <c r="H2851" s="21" t="n">
        <v>23</v>
      </c>
      <c r="I2851" s="21" t="n">
        <v>604.37</v>
      </c>
      <c r="J2851" s="21" t="n">
        <v>1813.11</v>
      </c>
      <c r="K2851" s="21" t="n">
        <v>2115.3</v>
      </c>
      <c r="L2851" s="21" t="n">
        <v>2417.48</v>
      </c>
      <c r="M2851" s="21" t="n">
        <v>2440</v>
      </c>
    </row>
    <row r="2852">
      <c r="A2852" s="9" t="inlineStr">
        <is>
          <t>ZOEY</t>
        </is>
      </c>
      <c r="B2852" s="9" t="inlineStr">
        <is>
          <t>ZOEY 02/03/2026</t>
        </is>
      </c>
      <c r="C2852" s="9" t="inlineStr">
        <is>
          <t>2026-03-02</t>
        </is>
      </c>
      <c r="D2852" s="9" t="inlineStr">
        <is>
          <t>93794531735053</t>
        </is>
      </c>
      <c r="E2852" s="9" t="inlineStr">
        <is>
          <t>CARTERA PR SAFFIANO</t>
        </is>
      </c>
      <c r="F2852" s="9" t="inlineStr">
        <is>
          <t>BLACK</t>
        </is>
      </c>
      <c r="G2852" s="9" t="n">
        <v>2</v>
      </c>
      <c r="H2852" s="21" t="n">
        <v>19</v>
      </c>
      <c r="I2852" s="21" t="n">
        <v>499.26</v>
      </c>
      <c r="J2852" s="21" t="n">
        <v>1497.79</v>
      </c>
      <c r="K2852" s="21" t="n">
        <v>1747.42</v>
      </c>
      <c r="L2852" s="21" t="n">
        <v>1997.05</v>
      </c>
      <c r="M2852" s="21" t="n">
        <v>1999</v>
      </c>
    </row>
    <row r="2853">
      <c r="A2853" s="9" t="inlineStr">
        <is>
          <t>ZOEY</t>
        </is>
      </c>
      <c r="B2853" s="9" t="inlineStr">
        <is>
          <t>ZOEY 02/03/2026</t>
        </is>
      </c>
      <c r="C2853" s="9" t="inlineStr">
        <is>
          <t>2026-03-02</t>
        </is>
      </c>
      <c r="D2853" s="9" t="inlineStr">
        <is>
          <t>13794531858861</t>
        </is>
      </c>
      <c r="E2853" s="9" t="inlineStr">
        <is>
          <t>CARTERA PR SAFFIANO DARKBLUE</t>
        </is>
      </c>
      <c r="F2853" s="9" t="inlineStr">
        <is>
          <t>BLUE</t>
        </is>
      </c>
      <c r="G2853" s="9" t="n">
        <v>2</v>
      </c>
      <c r="H2853" s="21" t="n">
        <v>19</v>
      </c>
      <c r="I2853" s="21" t="n">
        <v>499.26</v>
      </c>
      <c r="J2853" s="21" t="n">
        <v>1497.79</v>
      </c>
      <c r="K2853" s="21" t="n">
        <v>1747.42</v>
      </c>
      <c r="L2853" s="21" t="n">
        <v>1997.05</v>
      </c>
      <c r="M2853" s="21" t="n">
        <v>1999</v>
      </c>
    </row>
    <row r="2854">
      <c r="A2854" s="9" t="inlineStr">
        <is>
          <t>ZOEY</t>
        </is>
      </c>
      <c r="B2854" s="9" t="inlineStr">
        <is>
          <t>ZOEY 02/03/2026</t>
        </is>
      </c>
      <c r="C2854" s="9" t="inlineStr">
        <is>
          <t>2026-03-02</t>
        </is>
      </c>
      <c r="D2854" s="9" t="inlineStr">
        <is>
          <t>99781782880429</t>
        </is>
      </c>
      <c r="E2854" s="9" t="inlineStr">
        <is>
          <t>CINTO C HERITAGE</t>
        </is>
      </c>
      <c r="F2854" s="9" t="inlineStr">
        <is>
          <t>BLACK</t>
        </is>
      </c>
      <c r="G2854" s="9" t="n">
        <v>1</v>
      </c>
      <c r="H2854" s="21" t="n">
        <v>45</v>
      </c>
      <c r="I2854" s="21" t="n">
        <v>1182.46</v>
      </c>
      <c r="J2854" s="21" t="n">
        <v>3547.39</v>
      </c>
      <c r="K2854" s="21" t="n">
        <v>4138.62</v>
      </c>
      <c r="L2854" s="21" t="n">
        <v>4729.86</v>
      </c>
      <c r="M2854" s="21" t="n">
        <v>4779</v>
      </c>
    </row>
    <row r="2855">
      <c r="A2855" s="9" t="inlineStr">
        <is>
          <t>ZOEY</t>
        </is>
      </c>
      <c r="B2855" s="9" t="inlineStr">
        <is>
          <t>ZOEY 02/03/2026</t>
        </is>
      </c>
      <c r="C2855" s="9" t="inlineStr">
        <is>
          <t>2026-03-02</t>
        </is>
      </c>
      <c r="D2855" s="9" t="inlineStr">
        <is>
          <t>99781782675341</t>
        </is>
      </c>
      <c r="E2855" s="9" t="inlineStr">
        <is>
          <t>CINTO C TRIOMPHIE BUCKLE</t>
        </is>
      </c>
      <c r="F2855" s="9" t="inlineStr">
        <is>
          <t>BLACK</t>
        </is>
      </c>
      <c r="G2855" s="9" t="n">
        <v>1</v>
      </c>
      <c r="H2855" s="21" t="n">
        <v>45</v>
      </c>
      <c r="I2855" s="21" t="n">
        <v>1182.46</v>
      </c>
      <c r="J2855" s="21" t="n">
        <v>3547.39</v>
      </c>
      <c r="K2855" s="21" t="n">
        <v>4138.62</v>
      </c>
      <c r="L2855" s="21" t="n">
        <v>4729.86</v>
      </c>
      <c r="M2855" s="21" t="n">
        <v>4779</v>
      </c>
    </row>
    <row r="2856">
      <c r="A2856" s="9" t="inlineStr">
        <is>
          <t>ZOEY</t>
        </is>
      </c>
      <c r="B2856" s="9" t="inlineStr">
        <is>
          <t>ZOEY 02/03/2026</t>
        </is>
      </c>
      <c r="C2856" s="9" t="inlineStr">
        <is>
          <t>2026-03-02</t>
        </is>
      </c>
      <c r="D2856" s="9" t="inlineStr">
        <is>
          <t>99781782982125</t>
        </is>
      </c>
      <c r="E2856" s="9" t="inlineStr">
        <is>
          <t>CINTO C VIVIENNE 25</t>
        </is>
      </c>
      <c r="F2856" s="9" t="inlineStr">
        <is>
          <t>BROWN</t>
        </is>
      </c>
      <c r="G2856" s="9" t="n">
        <v>1</v>
      </c>
      <c r="H2856" s="21" t="n">
        <v>45</v>
      </c>
      <c r="I2856" s="21" t="n">
        <v>1182.46</v>
      </c>
      <c r="J2856" s="21" t="n">
        <v>3547.39</v>
      </c>
      <c r="K2856" s="21" t="n">
        <v>4138.62</v>
      </c>
      <c r="L2856" s="21" t="n">
        <v>4729.86</v>
      </c>
      <c r="M2856" s="21" t="n">
        <v>4609</v>
      </c>
    </row>
    <row r="2857">
      <c r="A2857" s="9" t="inlineStr">
        <is>
          <t>ZOEY</t>
        </is>
      </c>
      <c r="B2857" s="9" t="inlineStr">
        <is>
          <t>ZOEY 02/03/2026</t>
        </is>
      </c>
      <c r="C2857" s="9" t="inlineStr">
        <is>
          <t>2026-03-02</t>
        </is>
      </c>
      <c r="D2857" s="9" t="inlineStr">
        <is>
          <t>99781783009805</t>
        </is>
      </c>
      <c r="E2857" s="9" t="inlineStr">
        <is>
          <t>CINTO C VIVIENNE 25 BLACK</t>
        </is>
      </c>
      <c r="F2857" s="9" t="inlineStr">
        <is>
          <t>BLACK</t>
        </is>
      </c>
      <c r="G2857" s="9" t="n">
        <v>1</v>
      </c>
      <c r="H2857" s="21" t="n">
        <v>45</v>
      </c>
      <c r="I2857" s="21" t="n">
        <v>1182.46</v>
      </c>
      <c r="J2857" s="21" t="n">
        <v>3547.39</v>
      </c>
      <c r="K2857" s="21" t="n">
        <v>4138.62</v>
      </c>
      <c r="L2857" s="21" t="n">
        <v>4729.86</v>
      </c>
      <c r="M2857" s="21" t="n">
        <v>4609</v>
      </c>
    </row>
    <row r="2858">
      <c r="A2858" s="9" t="inlineStr">
        <is>
          <t>ZOEY</t>
        </is>
      </c>
      <c r="B2858" s="9" t="inlineStr">
        <is>
          <t>ZOEY 02/03/2026</t>
        </is>
      </c>
      <c r="C2858" s="9" t="inlineStr">
        <is>
          <t>2026-03-02</t>
        </is>
      </c>
      <c r="D2858" s="9" t="inlineStr">
        <is>
          <t>99781781012045</t>
        </is>
      </c>
      <c r="E2858" s="9" t="inlineStr">
        <is>
          <t>CINTO GC DELGADO MARMONT</t>
        </is>
      </c>
      <c r="F2858" s="9" t="inlineStr">
        <is>
          <t>BLACK</t>
        </is>
      </c>
      <c r="G2858" s="9" t="n">
        <v>1</v>
      </c>
      <c r="H2858" s="21" t="n">
        <v>45</v>
      </c>
      <c r="I2858" s="21" t="n">
        <v>1182.46</v>
      </c>
      <c r="J2858" s="21" t="n">
        <v>3547.39</v>
      </c>
      <c r="K2858" s="21" t="n">
        <v>4138.62</v>
      </c>
      <c r="L2858" s="21" t="n">
        <v>4729.86</v>
      </c>
      <c r="M2858" s="21" t="n">
        <v>4779</v>
      </c>
    </row>
    <row r="2859">
      <c r="A2859" s="9" t="inlineStr">
        <is>
          <t>ZOEY</t>
        </is>
      </c>
      <c r="B2859" s="9" t="inlineStr">
        <is>
          <t>ZOEY 02/03/2026</t>
        </is>
      </c>
      <c r="C2859" s="9" t="inlineStr">
        <is>
          <t>2026-03-02</t>
        </is>
      </c>
      <c r="D2859" s="9" t="inlineStr">
        <is>
          <t>99781781126317</t>
        </is>
      </c>
      <c r="E2859" s="9" t="inlineStr">
        <is>
          <t>CINTO GC REVERSIBLE HEBILLA</t>
        </is>
      </c>
      <c r="F2859" s="9" t="inlineStr">
        <is>
          <t>BLACK</t>
        </is>
      </c>
      <c r="G2859" s="9" t="n">
        <v>1</v>
      </c>
      <c r="H2859" s="21" t="n">
        <v>45</v>
      </c>
      <c r="I2859" s="21" t="n">
        <v>1182.46</v>
      </c>
      <c r="J2859" s="21" t="n">
        <v>3547.39</v>
      </c>
      <c r="K2859" s="21" t="n">
        <v>4138.62</v>
      </c>
      <c r="L2859" s="21" t="n">
        <v>4729.86</v>
      </c>
      <c r="M2859" s="21" t="n">
        <v>4779</v>
      </c>
    </row>
    <row r="2860">
      <c r="A2860" s="9" t="inlineStr">
        <is>
          <t>ZOEY</t>
        </is>
      </c>
      <c r="B2860" s="9" t="inlineStr">
        <is>
          <t>ZOEY 02/03/2026</t>
        </is>
      </c>
      <c r="C2860" s="9" t="inlineStr">
        <is>
          <t>2026-03-02</t>
        </is>
      </c>
      <c r="D2860" s="9" t="inlineStr">
        <is>
          <t>93098782959597</t>
        </is>
      </c>
      <c r="E2860" s="9" t="inlineStr">
        <is>
          <t>CINTO LV PONT NEUF BLACK</t>
        </is>
      </c>
      <c r="F2860" s="9" t="inlineStr">
        <is>
          <t>BLACK</t>
        </is>
      </c>
      <c r="G2860" s="9" t="n">
        <v>1</v>
      </c>
      <c r="H2860" s="21" t="n">
        <v>35</v>
      </c>
      <c r="I2860" s="21" t="n">
        <v>919.6900000000001</v>
      </c>
      <c r="J2860" s="21" t="n">
        <v>2759.08</v>
      </c>
      <c r="K2860" s="21" t="n">
        <v>3218.93</v>
      </c>
      <c r="L2860" s="21" t="n">
        <v>3678.78</v>
      </c>
      <c r="M2860" s="21" t="n">
        <v>3679</v>
      </c>
    </row>
    <row r="2861">
      <c r="A2861" s="9" t="inlineStr">
        <is>
          <t>ZOEY</t>
        </is>
      </c>
      <c r="B2861" s="9" t="inlineStr">
        <is>
          <t>ZOEY 02/03/2026</t>
        </is>
      </c>
      <c r="C2861" s="9" t="inlineStr">
        <is>
          <t>2026-03-02</t>
        </is>
      </c>
      <c r="D2861" s="9" t="inlineStr">
        <is>
          <t>93098782758445</t>
        </is>
      </c>
      <c r="E2861" s="9" t="inlineStr">
        <is>
          <t>CINTO LV REVERSIBLE INITIALES</t>
        </is>
      </c>
      <c r="F2861" s="9" t="inlineStr">
        <is>
          <t>BLACK</t>
        </is>
      </c>
      <c r="G2861" s="9" t="n">
        <v>1</v>
      </c>
      <c r="H2861" s="21" t="n">
        <v>35</v>
      </c>
      <c r="I2861" s="21" t="n">
        <v>919.6900000000001</v>
      </c>
      <c r="J2861" s="21" t="n">
        <v>2759.08</v>
      </c>
      <c r="K2861" s="21" t="n">
        <v>3218.93</v>
      </c>
      <c r="L2861" s="21" t="n">
        <v>3678.78</v>
      </c>
      <c r="M2861" s="21" t="n">
        <v>3720</v>
      </c>
    </row>
    <row r="2862">
      <c r="A2862" s="9" t="inlineStr">
        <is>
          <t>ZOEY</t>
        </is>
      </c>
      <c r="B2862" s="9" t="inlineStr">
        <is>
          <t>ZOEY 02/03/2026</t>
        </is>
      </c>
      <c r="C2862" s="9" t="inlineStr">
        <is>
          <t>2026-03-02</t>
        </is>
      </c>
      <c r="D2862" s="9" t="inlineStr">
        <is>
          <t>93098782555053</t>
        </is>
      </c>
      <c r="E2862" s="9" t="inlineStr">
        <is>
          <t>CINTO LV REVERSIBLE MINI</t>
        </is>
      </c>
      <c r="F2862" s="9" t="inlineStr">
        <is>
          <t>BLACK</t>
        </is>
      </c>
      <c r="G2862" s="9" t="n">
        <v>1</v>
      </c>
      <c r="H2862" s="21" t="n">
        <v>45</v>
      </c>
      <c r="I2862" s="21" t="n">
        <v>1182.46</v>
      </c>
      <c r="J2862" s="21" t="n">
        <v>3547.39</v>
      </c>
      <c r="K2862" s="21" t="n">
        <v>4138.62</v>
      </c>
      <c r="L2862" s="21" t="n">
        <v>4729.86</v>
      </c>
      <c r="M2862" s="21" t="n">
        <v>4138.62</v>
      </c>
    </row>
    <row r="2863">
      <c r="A2863" s="9" t="inlineStr">
        <is>
          <t>ZOEY</t>
        </is>
      </c>
      <c r="B2863" s="9" t="inlineStr">
        <is>
          <t>ZOEY 02/03/2026</t>
        </is>
      </c>
      <c r="C2863" s="9" t="inlineStr">
        <is>
          <t>2026-03-02</t>
        </is>
      </c>
      <c r="D2863" s="9" t="inlineStr">
        <is>
          <t>93098782656749</t>
        </is>
      </c>
      <c r="E2863" s="9" t="inlineStr">
        <is>
          <t>CINTO LV REVERSIBLE PRETTY</t>
        </is>
      </c>
      <c r="F2863" s="9" t="inlineStr">
        <is>
          <t>BLACK</t>
        </is>
      </c>
      <c r="G2863" s="9" t="n">
        <v>1</v>
      </c>
      <c r="H2863" s="21" t="n">
        <v>45</v>
      </c>
      <c r="I2863" s="21" t="n">
        <v>1182.46</v>
      </c>
      <c r="J2863" s="21" t="n">
        <v>3547.39</v>
      </c>
      <c r="K2863" s="21" t="n">
        <v>4138.62</v>
      </c>
      <c r="L2863" s="21" t="n">
        <v>4729.86</v>
      </c>
      <c r="M2863" s="21" t="n">
        <v>4138.62</v>
      </c>
    </row>
    <row r="2864">
      <c r="A2864" s="9" t="inlineStr">
        <is>
          <t>ZOEY</t>
        </is>
      </c>
      <c r="B2864" s="9" t="inlineStr">
        <is>
          <t>ZOEY 02/03/2026</t>
        </is>
      </c>
      <c r="C2864" s="9" t="inlineStr">
        <is>
          <t>2026-03-02</t>
        </is>
      </c>
      <c r="D2864" s="9" t="inlineStr">
        <is>
          <t>93098782860141</t>
        </is>
      </c>
      <c r="E2864" s="9" t="inlineStr">
        <is>
          <t>CINTO LV SKYLINE BLACK</t>
        </is>
      </c>
      <c r="F2864" s="9" t="inlineStr">
        <is>
          <t>BLACK</t>
        </is>
      </c>
      <c r="G2864" s="9" t="n">
        <v>1</v>
      </c>
      <c r="H2864" s="21" t="n">
        <v>35</v>
      </c>
      <c r="I2864" s="21" t="n">
        <v>919.6900000000001</v>
      </c>
      <c r="J2864" s="21" t="n">
        <v>2759.08</v>
      </c>
      <c r="K2864" s="21" t="n">
        <v>3218.93</v>
      </c>
      <c r="L2864" s="21" t="n">
        <v>3678.78</v>
      </c>
      <c r="M2864" s="21" t="n">
        <v>3679</v>
      </c>
    </row>
    <row r="2865">
      <c r="A2865" s="9" t="inlineStr">
        <is>
          <t>ZOEY</t>
        </is>
      </c>
      <c r="B2865" s="9" t="inlineStr">
        <is>
          <t>ZOEY 02/03/2026</t>
        </is>
      </c>
      <c r="C2865" s="9" t="inlineStr">
        <is>
          <t>2026-03-02</t>
        </is>
      </c>
      <c r="D2865" s="9" t="inlineStr">
        <is>
          <t>38563859802892</t>
        </is>
      </c>
      <c r="E2865" s="9" t="inlineStr">
        <is>
          <t>COLLAR CORAZ√ìN GOLD</t>
        </is>
      </c>
      <c r="F2865" s="9" t="inlineStr">
        <is>
          <t>44 cm / dije 2.5cm</t>
        </is>
      </c>
      <c r="G2865" s="9" t="n">
        <v>2</v>
      </c>
      <c r="H2865" s="21" t="n">
        <v>9</v>
      </c>
      <c r="I2865" s="21" t="n">
        <v>236.49</v>
      </c>
      <c r="J2865" s="21" t="n">
        <v>709.48</v>
      </c>
      <c r="K2865" s="21" t="n">
        <v>827.72</v>
      </c>
      <c r="L2865" s="21" t="n">
        <v>945.97</v>
      </c>
      <c r="M2865" s="21" t="n">
        <v>950</v>
      </c>
    </row>
    <row r="2866">
      <c r="A2866" s="9" t="inlineStr">
        <is>
          <t>ZOEY</t>
        </is>
      </c>
      <c r="B2866" s="9" t="inlineStr">
        <is>
          <t>ZOEY 02/03/2026</t>
        </is>
      </c>
      <c r="C2866" s="9" t="inlineStr">
        <is>
          <t>2026-03-02</t>
        </is>
      </c>
      <c r="D2866" s="9" t="inlineStr">
        <is>
          <t>46022281088705</t>
        </is>
      </c>
      <c r="E2866" s="9" t="inlineStr">
        <is>
          <t>COLLAR CORAZ√ìN SILVER</t>
        </is>
      </c>
      <c r="F2866" s="9" t="inlineStr">
        <is>
          <t>titanio 45cm / dije 1cm</t>
        </is>
      </c>
      <c r="G2866" s="9" t="n">
        <v>2</v>
      </c>
      <c r="H2866" s="21" t="n">
        <v>9</v>
      </c>
      <c r="I2866" s="21" t="n">
        <v>236.49</v>
      </c>
      <c r="J2866" s="21" t="n">
        <v>709.48</v>
      </c>
      <c r="K2866" s="21" t="n">
        <v>827.72</v>
      </c>
      <c r="L2866" s="21" t="n">
        <v>945.97</v>
      </c>
      <c r="M2866" s="21" t="n"/>
    </row>
    <row r="2867">
      <c r="A2867" s="9" t="inlineStr">
        <is>
          <t>ZOEY</t>
        </is>
      </c>
      <c r="B2867" s="9" t="inlineStr">
        <is>
          <t>ZOEY 02/03/2026</t>
        </is>
      </c>
      <c r="C2867" s="9" t="inlineStr">
        <is>
          <t>2026-03-02</t>
        </is>
      </c>
      <c r="D2867" s="9" t="inlineStr">
        <is>
          <t>12731906776716</t>
        </is>
      </c>
      <c r="E2867" s="9" t="inlineStr">
        <is>
          <t>COLLAR CORAZ√ìN SILVER</t>
        </is>
      </c>
      <c r="F2867" s="9" t="inlineStr">
        <is>
          <t>44 cm / dije 2.5cm</t>
        </is>
      </c>
      <c r="G2867" s="9" t="n">
        <v>2</v>
      </c>
      <c r="H2867" s="21" t="n">
        <v>9</v>
      </c>
      <c r="I2867" s="21" t="n">
        <v>236.49</v>
      </c>
      <c r="J2867" s="21" t="n">
        <v>709.48</v>
      </c>
      <c r="K2867" s="21" t="n">
        <v>827.72</v>
      </c>
      <c r="L2867" s="21" t="n">
        <v>945.97</v>
      </c>
      <c r="M2867" s="21" t="n">
        <v>950</v>
      </c>
    </row>
    <row r="2868">
      <c r="A2868" s="9" t="inlineStr">
        <is>
          <t>ZOEY</t>
        </is>
      </c>
      <c r="B2868" s="9" t="inlineStr">
        <is>
          <t>ZOEY 02/03/2026</t>
        </is>
      </c>
      <c r="C2868" s="9" t="inlineStr">
        <is>
          <t>2026-03-02</t>
        </is>
      </c>
      <c r="D2868" s="9" t="inlineStr">
        <is>
          <t>81420901016909</t>
        </is>
      </c>
      <c r="E2868" s="9" t="inlineStr">
        <is>
          <t>COLLAR DE CADENA GC SCRIPT GOLD</t>
        </is>
      </c>
      <c r="F2868" s="9" t="inlineStr">
        <is>
          <t>Default Title</t>
        </is>
      </c>
      <c r="G2868" s="9" t="n">
        <v>1</v>
      </c>
      <c r="H2868" s="21" t="n">
        <v>9</v>
      </c>
      <c r="I2868" s="21" t="n">
        <v>236.49</v>
      </c>
      <c r="J2868" s="21" t="n">
        <v>709.48</v>
      </c>
      <c r="K2868" s="21" t="n">
        <v>827.72</v>
      </c>
      <c r="L2868" s="21" t="n">
        <v>945.97</v>
      </c>
      <c r="M2868" s="21" t="n">
        <v>1199</v>
      </c>
    </row>
    <row r="2869">
      <c r="A2869" s="9" t="inlineStr">
        <is>
          <t>ZOEY</t>
        </is>
      </c>
      <c r="B2869" s="9" t="inlineStr">
        <is>
          <t>ZOEY 02/03/2026</t>
        </is>
      </c>
      <c r="C2869" s="9" t="inlineStr">
        <is>
          <t>2026-03-02</t>
        </is>
      </c>
      <c r="D2869" s="9" t="inlineStr">
        <is>
          <t>87084241011085</t>
        </is>
      </c>
      <c r="E2869" s="9" t="inlineStr">
        <is>
          <t>COLLAR F SILVER CON ZIRCONIA</t>
        </is>
      </c>
      <c r="F2869" s="9" t="inlineStr">
        <is>
          <t>Default Title</t>
        </is>
      </c>
      <c r="G2869" s="9" t="n">
        <v>1</v>
      </c>
      <c r="H2869" s="21" t="n">
        <v>9</v>
      </c>
      <c r="I2869" s="21" t="n">
        <v>236.49</v>
      </c>
      <c r="J2869" s="21" t="n">
        <v>709.48</v>
      </c>
      <c r="K2869" s="21" t="n">
        <v>827.72</v>
      </c>
      <c r="L2869" s="21" t="n">
        <v>945.97</v>
      </c>
      <c r="M2869" s="21" t="n">
        <v>928</v>
      </c>
    </row>
    <row r="2870">
      <c r="A2870" s="9" t="inlineStr">
        <is>
          <t>ZOEY</t>
        </is>
      </c>
      <c r="B2870" s="9" t="inlineStr">
        <is>
          <t>ZOEY 02/03/2026</t>
        </is>
      </c>
      <c r="C2870" s="9" t="inlineStr">
        <is>
          <t>2026-03-02</t>
        </is>
      </c>
      <c r="D2870" s="9" t="inlineStr">
        <is>
          <t>78326321018849</t>
        </is>
      </c>
      <c r="E2870" s="9" t="inlineStr">
        <is>
          <t>COLLAR LOVESTRUCK</t>
        </is>
      </c>
      <c r="F2870" s="9" t="inlineStr">
        <is>
          <t>43CM</t>
        </is>
      </c>
      <c r="G2870" s="9" t="n">
        <v>3</v>
      </c>
      <c r="H2870" s="21" t="n">
        <v>6.5</v>
      </c>
      <c r="I2870" s="21" t="n">
        <v>170.8</v>
      </c>
      <c r="J2870" s="21" t="n">
        <v>512.4</v>
      </c>
      <c r="K2870" s="21" t="n">
        <v>597.8</v>
      </c>
      <c r="L2870" s="21" t="n">
        <v>683.2</v>
      </c>
      <c r="M2870" s="21" t="n">
        <v>899</v>
      </c>
    </row>
    <row r="2871">
      <c r="A2871" s="9" t="inlineStr">
        <is>
          <t>ZOEY</t>
        </is>
      </c>
      <c r="B2871" s="9" t="inlineStr">
        <is>
          <t>ZOEY 02/03/2026</t>
        </is>
      </c>
      <c r="C2871" s="9" t="inlineStr">
        <is>
          <t>2026-03-02</t>
        </is>
      </c>
      <c r="D2871" s="9" t="inlineStr">
        <is>
          <t>99781783430157</t>
        </is>
      </c>
      <c r="E2871" s="9" t="inlineStr">
        <is>
          <t>COLLAR LV SAILOR SOO</t>
        </is>
      </c>
      <c r="F2871" s="9" t="inlineStr">
        <is>
          <t>SILVER</t>
        </is>
      </c>
      <c r="G2871" s="9" t="n">
        <v>2</v>
      </c>
      <c r="H2871" s="21" t="n">
        <v>14</v>
      </c>
      <c r="I2871" s="21" t="n">
        <v>367.88</v>
      </c>
      <c r="J2871" s="21" t="n">
        <v>1103.63</v>
      </c>
      <c r="K2871" s="21" t="n">
        <v>1287.57</v>
      </c>
      <c r="L2871" s="21" t="n">
        <v>1471.51</v>
      </c>
      <c r="M2871" s="21" t="n">
        <v>1299</v>
      </c>
    </row>
    <row r="2872">
      <c r="A2872" s="9" t="inlineStr">
        <is>
          <t>ZOEY</t>
        </is>
      </c>
      <c r="B2872" s="9" t="inlineStr">
        <is>
          <t>ZOEY 02/03/2026</t>
        </is>
      </c>
      <c r="C2872" s="9" t="inlineStr">
        <is>
          <t>2026-03-02</t>
        </is>
      </c>
      <c r="D2872" s="9" t="inlineStr">
        <is>
          <t>3382853668492</t>
        </is>
      </c>
      <c r="E2872" s="9" t="inlineStr">
        <is>
          <t>GORRA C BLACK</t>
        </is>
      </c>
      <c r="F2872" s="9" t="inlineStr">
        <is>
          <t>M (AJUSTABLE)</t>
        </is>
      </c>
      <c r="G2872" s="9" t="n">
        <v>3</v>
      </c>
      <c r="H2872" s="21" t="n">
        <v>18</v>
      </c>
      <c r="I2872" s="21" t="n">
        <v>472.99</v>
      </c>
      <c r="J2872" s="21" t="n">
        <v>1418.96</v>
      </c>
      <c r="K2872" s="21" t="n">
        <v>1655.45</v>
      </c>
      <c r="L2872" s="21" t="n">
        <v>1891.94</v>
      </c>
      <c r="M2872" s="21" t="n">
        <v>1859</v>
      </c>
    </row>
    <row r="2873">
      <c r="A2873" s="9" t="inlineStr">
        <is>
          <t>ZOEY</t>
        </is>
      </c>
      <c r="B2873" s="9" t="inlineStr">
        <is>
          <t>ZOEY 02/03/2026</t>
        </is>
      </c>
      <c r="C2873" s="9" t="inlineStr">
        <is>
          <t>2026-03-02</t>
        </is>
      </c>
      <c r="D2873" s="9" t="inlineStr">
        <is>
          <t>99781782742573</t>
        </is>
      </c>
      <c r="E2873" s="9" t="inlineStr">
        <is>
          <t>GORRA C DENIM LAVADO</t>
        </is>
      </c>
      <c r="F2873" s="9" t="inlineStr">
        <is>
          <t>BLUE</t>
        </is>
      </c>
      <c r="G2873" s="9" t="n">
        <v>2</v>
      </c>
      <c r="H2873" s="21" t="n">
        <v>17</v>
      </c>
      <c r="I2873" s="21" t="n">
        <v>446.71</v>
      </c>
      <c r="J2873" s="21" t="n">
        <v>1340.13</v>
      </c>
      <c r="K2873" s="21" t="n">
        <v>1563.48</v>
      </c>
      <c r="L2873" s="21" t="n">
        <v>1786.83</v>
      </c>
      <c r="M2873" s="21" t="n">
        <v>1699</v>
      </c>
    </row>
    <row r="2874">
      <c r="A2874" s="9" t="inlineStr">
        <is>
          <t>ZOEY</t>
        </is>
      </c>
      <c r="B2874" s="9" t="inlineStr">
        <is>
          <t>ZOEY 02/03/2026</t>
        </is>
      </c>
      <c r="C2874" s="9" t="inlineStr">
        <is>
          <t>2026-03-02</t>
        </is>
      </c>
      <c r="D2874" s="9" t="inlineStr">
        <is>
          <t>93098782449965</t>
        </is>
      </c>
      <c r="E2874" s="9" t="inlineStr">
        <is>
          <t>GORRA LV MY PARIS</t>
        </is>
      </c>
      <c r="F2874" s="9" t="inlineStr">
        <is>
          <t>BLACK</t>
        </is>
      </c>
      <c r="G2874" s="9" t="n">
        <v>2</v>
      </c>
      <c r="H2874" s="21" t="n">
        <v>20</v>
      </c>
      <c r="I2874" s="21" t="n">
        <v>525.54</v>
      </c>
      <c r="J2874" s="21" t="n">
        <v>1576.62</v>
      </c>
      <c r="K2874" s="21" t="n">
        <v>1839.39</v>
      </c>
      <c r="L2874" s="21" t="n">
        <v>2102.16</v>
      </c>
      <c r="M2874" s="21" t="n">
        <v>2125</v>
      </c>
    </row>
    <row r="2875">
      <c r="A2875" s="9" t="inlineStr">
        <is>
          <t>ZOEY</t>
        </is>
      </c>
      <c r="B2875" s="9" t="inlineStr">
        <is>
          <t>ZOEY 02/03/2026</t>
        </is>
      </c>
      <c r="C2875" s="9" t="inlineStr">
        <is>
          <t>2026-03-02</t>
        </is>
      </c>
      <c r="D2875" s="9" t="inlineStr">
        <is>
          <t>61050601014957</t>
        </is>
      </c>
      <c r="E2875" s="9" t="inlineStr">
        <is>
          <t>LEGGINGS LLM BLACK</t>
        </is>
      </c>
      <c r="F2875" s="9" t="inlineStr">
        <is>
          <t>Default Title</t>
        </is>
      </c>
      <c r="G2875" s="9" t="n">
        <v>1</v>
      </c>
      <c r="H2875" s="21" t="n">
        <v>25</v>
      </c>
      <c r="I2875" s="21" t="n">
        <v>656.92</v>
      </c>
      <c r="J2875" s="21" t="n">
        <v>1970.77</v>
      </c>
      <c r="K2875" s="21" t="n">
        <v>2299.24</v>
      </c>
      <c r="L2875" s="21" t="n">
        <v>2627.7</v>
      </c>
      <c r="M2875" s="21" t="n">
        <v>2660</v>
      </c>
    </row>
    <row r="2876">
      <c r="A2876" s="9" t="inlineStr">
        <is>
          <t>ZOEY</t>
        </is>
      </c>
      <c r="B2876" s="9" t="inlineStr">
        <is>
          <t>ZOEY 02/03/2026</t>
        </is>
      </c>
      <c r="C2876" s="9" t="inlineStr">
        <is>
          <t>2026-03-02</t>
        </is>
      </c>
      <c r="D2876" s="9" t="inlineStr">
        <is>
          <t>99781783219981</t>
        </is>
      </c>
      <c r="E2876" s="9" t="inlineStr">
        <is>
          <t>LENTES C TRIOMPHIE 01</t>
        </is>
      </c>
      <c r="F2876" s="9" t="inlineStr">
        <is>
          <t>BLACK</t>
        </is>
      </c>
      <c r="G2876" s="9" t="n">
        <v>2</v>
      </c>
      <c r="H2876" s="21" t="n">
        <v>32</v>
      </c>
      <c r="I2876" s="21" t="n">
        <v>840.86</v>
      </c>
      <c r="J2876" s="21" t="n">
        <v>2522.59</v>
      </c>
      <c r="K2876" s="21" t="n">
        <v>2943.02</v>
      </c>
      <c r="L2876" s="21" t="n">
        <v>3363.45</v>
      </c>
      <c r="M2876" s="21" t="n">
        <v>2943.02</v>
      </c>
    </row>
    <row r="2877">
      <c r="A2877" s="9" t="inlineStr">
        <is>
          <t>ZOEY</t>
        </is>
      </c>
      <c r="B2877" s="9" t="inlineStr">
        <is>
          <t>ZOEY 02/03/2026</t>
        </is>
      </c>
      <c r="C2877" s="9" t="inlineStr">
        <is>
          <t>2026-03-02</t>
        </is>
      </c>
      <c r="D2877" s="9" t="inlineStr">
        <is>
          <t>53794531101133</t>
        </is>
      </c>
      <c r="E2877" s="9" t="inlineStr">
        <is>
          <t>LENTES CD CANNAGE S2U</t>
        </is>
      </c>
      <c r="F2877" s="9" t="inlineStr"/>
      <c r="G2877" s="9" t="n">
        <v>2</v>
      </c>
      <c r="H2877" s="21" t="n">
        <v>32</v>
      </c>
      <c r="I2877" s="21" t="n">
        <v>840.86</v>
      </c>
      <c r="J2877" s="21" t="n">
        <v>2522.59</v>
      </c>
      <c r="K2877" s="21" t="n">
        <v>2943.02</v>
      </c>
      <c r="L2877" s="21" t="n">
        <v>3363.45</v>
      </c>
      <c r="M2877" s="21" t="n">
        <v>3500</v>
      </c>
    </row>
    <row r="2878">
      <c r="A2878" s="9" t="inlineStr">
        <is>
          <t>ZOEY</t>
        </is>
      </c>
      <c r="B2878" s="9" t="inlineStr">
        <is>
          <t>ZOEY 02/03/2026</t>
        </is>
      </c>
      <c r="C2878" s="9" t="inlineStr">
        <is>
          <t>2026-03-02</t>
        </is>
      </c>
      <c r="D2878" s="9" t="inlineStr">
        <is>
          <t>33794531202829</t>
        </is>
      </c>
      <c r="E2878" s="9" t="inlineStr">
        <is>
          <t>LENTES CD GLOW S1</t>
        </is>
      </c>
      <c r="F2878" s="9" t="inlineStr"/>
      <c r="G2878" s="9" t="n">
        <v>2</v>
      </c>
      <c r="H2878" s="21" t="n">
        <v>32</v>
      </c>
      <c r="I2878" s="21" t="n">
        <v>840.86</v>
      </c>
      <c r="J2878" s="21" t="n">
        <v>2522.59</v>
      </c>
      <c r="K2878" s="21" t="n">
        <v>2943.02</v>
      </c>
      <c r="L2878" s="21" t="n">
        <v>3363.45</v>
      </c>
      <c r="M2878" s="21" t="n">
        <v>3399</v>
      </c>
    </row>
    <row r="2879">
      <c r="A2879" s="9" t="inlineStr">
        <is>
          <t>ZOEY</t>
        </is>
      </c>
      <c r="B2879" s="9" t="inlineStr">
        <is>
          <t>ZOEY 02/03/2026</t>
        </is>
      </c>
      <c r="C2879" s="9" t="inlineStr">
        <is>
          <t>2026-03-02</t>
        </is>
      </c>
      <c r="D2879" s="9" t="inlineStr">
        <is>
          <t>93794531066669</t>
        </is>
      </c>
      <c r="E2879" s="9" t="inlineStr">
        <is>
          <t>LENTES CD M1U</t>
        </is>
      </c>
      <c r="F2879" s="9" t="inlineStr"/>
      <c r="G2879" s="9" t="n">
        <v>1</v>
      </c>
      <c r="H2879" s="21" t="n">
        <v>32</v>
      </c>
      <c r="I2879" s="21" t="n">
        <v>840.86</v>
      </c>
      <c r="J2879" s="21" t="n">
        <v>2522.59</v>
      </c>
      <c r="K2879" s="21" t="n">
        <v>2943.02</v>
      </c>
      <c r="L2879" s="21" t="n">
        <v>3363.45</v>
      </c>
      <c r="M2879" s="21" t="n">
        <v>3279</v>
      </c>
    </row>
    <row r="2880">
      <c r="A2880" s="9" t="inlineStr">
        <is>
          <t>ZOEY</t>
        </is>
      </c>
      <c r="B2880" s="9" t="inlineStr">
        <is>
          <t>ZOEY 02/03/2026</t>
        </is>
      </c>
      <c r="C2880" s="9" t="inlineStr">
        <is>
          <t>2026-03-02</t>
        </is>
      </c>
      <c r="D2880" s="9" t="inlineStr">
        <is>
          <t>43794531550861</t>
        </is>
      </c>
      <c r="E2880" s="9" t="inlineStr">
        <is>
          <t>LENTES CD PACIFIC R1</t>
        </is>
      </c>
      <c r="F2880" s="9" t="inlineStr"/>
      <c r="G2880" s="9" t="n">
        <v>2</v>
      </c>
      <c r="H2880" s="21" t="n">
        <v>32</v>
      </c>
      <c r="I2880" s="21" t="n">
        <v>840.86</v>
      </c>
      <c r="J2880" s="21" t="n">
        <v>2522.59</v>
      </c>
      <c r="K2880" s="21" t="n">
        <v>2943.02</v>
      </c>
      <c r="L2880" s="21" t="n">
        <v>3363.45</v>
      </c>
      <c r="M2880" s="21" t="n">
        <v>3199</v>
      </c>
    </row>
    <row r="2881">
      <c r="A2881" s="9" t="inlineStr">
        <is>
          <t>ZOEY</t>
        </is>
      </c>
      <c r="B2881" s="9" t="inlineStr">
        <is>
          <t>ZOEY 02/03/2026</t>
        </is>
      </c>
      <c r="C2881" s="9" t="inlineStr">
        <is>
          <t>2026-03-02</t>
        </is>
      </c>
      <c r="D2881" s="9" t="inlineStr">
        <is>
          <t>63794531345773</t>
        </is>
      </c>
      <c r="E2881" s="9" t="inlineStr">
        <is>
          <t>LENTES CD SIGNATURE B8U</t>
        </is>
      </c>
      <c r="F2881" s="9" t="inlineStr"/>
      <c r="G2881" s="9" t="n">
        <v>1</v>
      </c>
      <c r="H2881" s="21" t="n">
        <v>32</v>
      </c>
      <c r="I2881" s="21" t="n">
        <v>840.86</v>
      </c>
      <c r="J2881" s="21" t="n">
        <v>2522.59</v>
      </c>
      <c r="K2881" s="21" t="n">
        <v>2943.02</v>
      </c>
      <c r="L2881" s="21" t="n">
        <v>3363.45</v>
      </c>
      <c r="M2881" s="21" t="n">
        <v>3365</v>
      </c>
    </row>
    <row r="2882">
      <c r="A2882" s="9" t="inlineStr">
        <is>
          <t>ZOEY</t>
        </is>
      </c>
      <c r="B2882" s="9" t="inlineStr">
        <is>
          <t>ZOEY 02/03/2026</t>
        </is>
      </c>
      <c r="C2882" s="9" t="inlineStr">
        <is>
          <t>2026-03-02</t>
        </is>
      </c>
      <c r="D2882" s="9" t="inlineStr">
        <is>
          <t>53794531481933</t>
        </is>
      </c>
      <c r="E2882" s="9" t="inlineStr">
        <is>
          <t>LENTES CD TREASURE R1</t>
        </is>
      </c>
      <c r="F2882" s="9" t="inlineStr"/>
      <c r="G2882" s="9" t="n">
        <v>2</v>
      </c>
      <c r="H2882" s="21" t="n">
        <v>32</v>
      </c>
      <c r="I2882" s="21" t="n">
        <v>840.86</v>
      </c>
      <c r="J2882" s="21" t="n">
        <v>2522.59</v>
      </c>
      <c r="K2882" s="21" t="n">
        <v>2943.02</v>
      </c>
      <c r="L2882" s="21" t="n">
        <v>3363.45</v>
      </c>
      <c r="M2882" s="21" t="n">
        <v>3279</v>
      </c>
    </row>
    <row r="2883">
      <c r="A2883" s="9" t="inlineStr">
        <is>
          <t>ZOEY</t>
        </is>
      </c>
      <c r="B2883" s="9" t="inlineStr">
        <is>
          <t>ZOEY 02/03/2026</t>
        </is>
      </c>
      <c r="C2883" s="9" t="inlineStr">
        <is>
          <t>2026-03-02</t>
        </is>
      </c>
      <c r="D2883" s="9" t="inlineStr">
        <is>
          <t>93098781536397</t>
        </is>
      </c>
      <c r="E2883" s="9" t="inlineStr">
        <is>
          <t>LENTES LV ATTITUDE SOO</t>
        </is>
      </c>
      <c r="F2883" s="9" t="inlineStr">
        <is>
          <t>BROWN</t>
        </is>
      </c>
      <c r="G2883" s="9" t="n">
        <v>2</v>
      </c>
      <c r="H2883" s="21" t="n">
        <v>32</v>
      </c>
      <c r="I2883" s="21" t="n">
        <v>840.86</v>
      </c>
      <c r="J2883" s="21" t="n">
        <v>2522.59</v>
      </c>
      <c r="K2883" s="21" t="n">
        <v>2943.02</v>
      </c>
      <c r="L2883" s="21" t="n">
        <v>3363.45</v>
      </c>
      <c r="M2883" s="21" t="n">
        <v>3399</v>
      </c>
    </row>
    <row r="2884">
      <c r="A2884" s="9" t="inlineStr">
        <is>
          <t>ZOEY</t>
        </is>
      </c>
      <c r="B2884" s="9" t="inlineStr">
        <is>
          <t>ZOEY 02/03/2026</t>
        </is>
      </c>
      <c r="C2884" s="9" t="inlineStr">
        <is>
          <t>2026-03-02</t>
        </is>
      </c>
      <c r="D2884" s="9" t="inlineStr">
        <is>
          <t>93098781173101</t>
        </is>
      </c>
      <c r="E2884" s="9" t="inlineStr">
        <is>
          <t>LENTES LV ESCAPE SQUARE</t>
        </is>
      </c>
      <c r="F2884" s="9" t="inlineStr">
        <is>
          <t>BLACK</t>
        </is>
      </c>
      <c r="G2884" s="9" t="n">
        <v>2</v>
      </c>
      <c r="H2884" s="21" t="n">
        <v>32</v>
      </c>
      <c r="I2884" s="21" t="n">
        <v>840.86</v>
      </c>
      <c r="J2884" s="21" t="n">
        <v>2522.59</v>
      </c>
      <c r="K2884" s="21" t="n">
        <v>2943.02</v>
      </c>
      <c r="L2884" s="21" t="n">
        <v>3363.45</v>
      </c>
      <c r="M2884" s="21" t="n">
        <v>3369</v>
      </c>
    </row>
    <row r="2885">
      <c r="A2885" s="9" t="inlineStr">
        <is>
          <t>ZOEY</t>
        </is>
      </c>
      <c r="B2885" s="9" t="inlineStr">
        <is>
          <t>ZOEY 02/03/2026</t>
        </is>
      </c>
      <c r="C2885" s="9" t="inlineStr">
        <is>
          <t>2026-03-02</t>
        </is>
      </c>
      <c r="D2885" s="9" t="inlineStr">
        <is>
          <t>93098781301933</t>
        </is>
      </c>
      <c r="E2885" s="9" t="inlineStr">
        <is>
          <t>LENTES LV HIT SOO</t>
        </is>
      </c>
      <c r="F2885" s="9" t="inlineStr">
        <is>
          <t>BLACK</t>
        </is>
      </c>
      <c r="G2885" s="9" t="n">
        <v>2</v>
      </c>
      <c r="H2885" s="21" t="n">
        <v>32</v>
      </c>
      <c r="I2885" s="21" t="n">
        <v>840.86</v>
      </c>
      <c r="J2885" s="21" t="n">
        <v>2522.59</v>
      </c>
      <c r="K2885" s="21" t="n">
        <v>2943.02</v>
      </c>
      <c r="L2885" s="21" t="n">
        <v>3363.45</v>
      </c>
      <c r="M2885" s="21" t="n">
        <v>3399</v>
      </c>
    </row>
    <row r="2886">
      <c r="A2886" s="9" t="inlineStr">
        <is>
          <t>ZOEY</t>
        </is>
      </c>
      <c r="B2886" s="9" t="inlineStr">
        <is>
          <t>ZOEY 02/03/2026</t>
        </is>
      </c>
      <c r="C2886" s="9" t="inlineStr">
        <is>
          <t>2026-03-02</t>
        </is>
      </c>
      <c r="D2886" s="9" t="inlineStr">
        <is>
          <t>99781783326765</t>
        </is>
      </c>
      <c r="E2886" s="9" t="inlineStr">
        <is>
          <t>LENTES PANTHERE GOLD</t>
        </is>
      </c>
      <c r="F2886" s="9" t="inlineStr">
        <is>
          <t>GOLD</t>
        </is>
      </c>
      <c r="G2886" s="9" t="n">
        <v>2</v>
      </c>
      <c r="H2886" s="21" t="n">
        <v>32</v>
      </c>
      <c r="I2886" s="21" t="n">
        <v>840.86</v>
      </c>
      <c r="J2886" s="21" t="n">
        <v>2522.59</v>
      </c>
      <c r="K2886" s="21" t="n">
        <v>2943.02</v>
      </c>
      <c r="L2886" s="21" t="n">
        <v>3363.45</v>
      </c>
      <c r="M2886" s="21" t="n">
        <v>3365</v>
      </c>
    </row>
    <row r="2887">
      <c r="A2887" s="9" t="inlineStr">
        <is>
          <t>ZOEY</t>
        </is>
      </c>
      <c r="B2887" s="9" t="inlineStr">
        <is>
          <t>ZOEY 02/03/2026</t>
        </is>
      </c>
      <c r="C2887" s="9" t="inlineStr">
        <is>
          <t>2026-03-02</t>
        </is>
      </c>
      <c r="D2887" s="9" t="inlineStr">
        <is>
          <t>93098783231917</t>
        </is>
      </c>
      <c r="E2887" s="9" t="inlineStr">
        <is>
          <t>MONEDERO LV ROSALIE BLACK</t>
        </is>
      </c>
      <c r="F2887" s="9" t="inlineStr">
        <is>
          <t>BLACK</t>
        </is>
      </c>
      <c r="G2887" s="9" t="n">
        <v>3</v>
      </c>
      <c r="H2887" s="21" t="n">
        <v>17</v>
      </c>
      <c r="I2887" s="21" t="n">
        <v>446.71</v>
      </c>
      <c r="J2887" s="21" t="n">
        <v>1340.13</v>
      </c>
      <c r="K2887" s="21" t="n">
        <v>1563.48</v>
      </c>
      <c r="L2887" s="21" t="n">
        <v>1786.83</v>
      </c>
      <c r="M2887" s="21" t="n">
        <v>1810</v>
      </c>
    </row>
    <row r="2888">
      <c r="A2888" s="9" t="inlineStr">
        <is>
          <t>ZOEY</t>
        </is>
      </c>
      <c r="B2888" s="9" t="inlineStr">
        <is>
          <t>ZOEY 02/03/2026</t>
        </is>
      </c>
      <c r="C2888" s="9" t="inlineStr">
        <is>
          <t>2026-03-02</t>
        </is>
      </c>
      <c r="D2888" s="9" t="inlineStr">
        <is>
          <t>93098783400845</t>
        </is>
      </c>
      <c r="E2888" s="9" t="inlineStr">
        <is>
          <t>MONEDERO LV ZIPPY</t>
        </is>
      </c>
      <c r="F2888" s="9" t="inlineStr">
        <is>
          <t>BROWN</t>
        </is>
      </c>
      <c r="G2888" s="9" t="n">
        <v>3</v>
      </c>
      <c r="H2888" s="21" t="n">
        <v>14</v>
      </c>
      <c r="I2888" s="21" t="n">
        <v>367.88</v>
      </c>
      <c r="J2888" s="21" t="n">
        <v>1103.63</v>
      </c>
      <c r="K2888" s="21" t="n">
        <v>1287.57</v>
      </c>
      <c r="L2888" s="21" t="n">
        <v>1471.51</v>
      </c>
      <c r="M2888" s="21" t="n">
        <v>1475</v>
      </c>
    </row>
    <row r="2889">
      <c r="A2889" s="9" t="inlineStr">
        <is>
          <t>ZOEY</t>
        </is>
      </c>
      <c r="B2889" s="9" t="inlineStr">
        <is>
          <t>ZOEY 02/03/2026</t>
        </is>
      </c>
      <c r="C2889" s="9" t="inlineStr">
        <is>
          <t>2026-03-02</t>
        </is>
      </c>
      <c r="D2889" s="9" t="inlineStr">
        <is>
          <t>48321436441740</t>
        </is>
      </c>
      <c r="E2889" s="9" t="inlineStr">
        <is>
          <t>PERFUME CC No 5</t>
        </is>
      </c>
      <c r="F2889" s="9" t="inlineStr">
        <is>
          <t>100ml</t>
        </is>
      </c>
      <c r="G2889" s="9" t="n">
        <v>1</v>
      </c>
      <c r="H2889" s="21" t="n">
        <v>18</v>
      </c>
      <c r="I2889" s="21" t="n">
        <v>472.99</v>
      </c>
      <c r="J2889" s="21" t="n">
        <v>1418.96</v>
      </c>
      <c r="K2889" s="21" t="n">
        <v>1655.45</v>
      </c>
      <c r="L2889" s="21" t="n">
        <v>1891.94</v>
      </c>
      <c r="M2889" s="21" t="n">
        <v>1899</v>
      </c>
    </row>
    <row r="2890">
      <c r="A2890" s="9" t="inlineStr">
        <is>
          <t>ZOEY</t>
        </is>
      </c>
      <c r="B2890" s="9" t="inlineStr">
        <is>
          <t>ZOEY 02/03/2026</t>
        </is>
      </c>
      <c r="C2890" s="9" t="inlineStr">
        <is>
          <t>2026-03-02</t>
        </is>
      </c>
      <c r="D2890" s="9" t="inlineStr">
        <is>
          <t>15711173123085</t>
        </is>
      </c>
      <c r="E2890" s="9" t="inlineStr">
        <is>
          <t>PERFUME LAYTON DE MARLY 125ML</t>
        </is>
      </c>
      <c r="F2890" s="9" t="inlineStr">
        <is>
          <t>Default Title</t>
        </is>
      </c>
      <c r="G2890" s="9" t="n">
        <v>1</v>
      </c>
      <c r="H2890" s="21" t="n">
        <v>18</v>
      </c>
      <c r="I2890" s="21" t="n">
        <v>472.99</v>
      </c>
      <c r="J2890" s="21" t="n">
        <v>1418.96</v>
      </c>
      <c r="K2890" s="21" t="n">
        <v>1655.45</v>
      </c>
      <c r="L2890" s="21" t="n">
        <v>1891.94</v>
      </c>
      <c r="M2890" s="21" t="n">
        <v>1899</v>
      </c>
    </row>
    <row r="2891">
      <c r="A2891" s="9" t="inlineStr">
        <is>
          <t>ZOEY</t>
        </is>
      </c>
      <c r="B2891" s="9" t="inlineStr">
        <is>
          <t>ZOEY 02/03/2026</t>
        </is>
      </c>
      <c r="C2891" s="9" t="inlineStr">
        <is>
          <t>2026-03-02</t>
        </is>
      </c>
      <c r="D2891" s="9" t="inlineStr">
        <is>
          <t>77763961743628</t>
        </is>
      </c>
      <c r="E2891" s="9" t="inlineStr">
        <is>
          <t>PERFUME SANTAL 33</t>
        </is>
      </c>
      <c r="F2891" s="9" t="inlineStr">
        <is>
          <t>100ml</t>
        </is>
      </c>
      <c r="G2891" s="9" t="n">
        <v>10</v>
      </c>
      <c r="H2891" s="21" t="n">
        <v>18</v>
      </c>
      <c r="I2891" s="21" t="n">
        <v>472.99</v>
      </c>
      <c r="J2891" s="21" t="n">
        <v>1418.96</v>
      </c>
      <c r="K2891" s="21" t="n">
        <v>1655.45</v>
      </c>
      <c r="L2891" s="21" t="n">
        <v>1891.94</v>
      </c>
      <c r="M2891" s="21" t="n">
        <v>1859</v>
      </c>
    </row>
    <row r="2892">
      <c r="A2892" s="9" t="inlineStr">
        <is>
          <t>ZOEY</t>
        </is>
      </c>
      <c r="B2892" s="9" t="inlineStr">
        <is>
          <t>ZOEY 02/03/2026</t>
        </is>
      </c>
      <c r="C2892" s="9" t="inlineStr">
        <is>
          <t>2026-03-02</t>
        </is>
      </c>
      <c r="D2892" s="9" t="inlineStr">
        <is>
          <t>40495211254925</t>
        </is>
      </c>
      <c r="E2892" s="9" t="inlineStr">
        <is>
          <t>PERFUME V BORN IN ROMA THE GOLD DONNA</t>
        </is>
      </c>
      <c r="F2892" s="9" t="inlineStr">
        <is>
          <t>100 ml</t>
        </is>
      </c>
      <c r="G2892" s="9" t="n">
        <v>4</v>
      </c>
      <c r="H2892" s="21" t="n">
        <v>18</v>
      </c>
      <c r="I2892" s="21" t="n">
        <v>472.99</v>
      </c>
      <c r="J2892" s="21" t="n">
        <v>1418.96</v>
      </c>
      <c r="K2892" s="21" t="n">
        <v>1655.45</v>
      </c>
      <c r="L2892" s="21" t="n">
        <v>1891.94</v>
      </c>
      <c r="M2892" s="21" t="n">
        <v>1910</v>
      </c>
    </row>
    <row r="2893">
      <c r="A2893" s="9" t="inlineStr">
        <is>
          <t>ZOEY</t>
        </is>
      </c>
      <c r="B2893" s="9" t="inlineStr">
        <is>
          <t>ZOEY 02/03/2026</t>
        </is>
      </c>
      <c r="C2893" s="9" t="inlineStr">
        <is>
          <t>2026-03-02</t>
        </is>
      </c>
      <c r="D2893" s="9" t="inlineStr">
        <is>
          <t>93098781839789</t>
        </is>
      </c>
      <c r="E2893" s="9" t="inlineStr">
        <is>
          <t>PORTADOCUMENTOS LV VOYAGE</t>
        </is>
      </c>
      <c r="F2893" s="9" t="inlineStr">
        <is>
          <t>BLACK</t>
        </is>
      </c>
      <c r="G2893" s="9" t="n">
        <v>1</v>
      </c>
      <c r="H2893" s="21" t="n">
        <v>55</v>
      </c>
      <c r="I2893" s="21" t="n">
        <v>1445.23</v>
      </c>
      <c r="J2893" s="21" t="n">
        <v>4335.7</v>
      </c>
      <c r="K2893" s="21" t="n">
        <v>5058.32</v>
      </c>
      <c r="L2893" s="21" t="n">
        <v>5780.93</v>
      </c>
      <c r="M2893" s="21" t="n">
        <v>5839</v>
      </c>
    </row>
    <row r="2894">
      <c r="A2894" s="9" t="inlineStr">
        <is>
          <t>ZOEY</t>
        </is>
      </c>
      <c r="B2894" s="9" t="inlineStr">
        <is>
          <t>ZOEY 02/03/2026</t>
        </is>
      </c>
      <c r="C2894" s="9" t="inlineStr">
        <is>
          <t>2026-03-02</t>
        </is>
      </c>
      <c r="D2894" s="9" t="inlineStr">
        <is>
          <t>10473111097537</t>
        </is>
      </c>
      <c r="E2894" s="9" t="inlineStr">
        <is>
          <t>PULSERA DE CUENTAS ROSEGOLD</t>
        </is>
      </c>
      <c r="F2894" s="9" t="inlineStr">
        <is>
          <t>17cm</t>
        </is>
      </c>
      <c r="G2894" s="9" t="n">
        <v>2</v>
      </c>
      <c r="H2894" s="21" t="n">
        <v>6</v>
      </c>
      <c r="I2894" s="21" t="n">
        <v>157.66</v>
      </c>
      <c r="J2894" s="21" t="n">
        <v>472.99</v>
      </c>
      <c r="K2894" s="21" t="n">
        <v>551.8200000000001</v>
      </c>
      <c r="L2894" s="21" t="n">
        <v>630.65</v>
      </c>
      <c r="M2894" s="21" t="n">
        <v>899</v>
      </c>
    </row>
    <row r="2895">
      <c r="A2895" s="9" t="inlineStr">
        <is>
          <t>ZOEY</t>
        </is>
      </c>
      <c r="B2895" s="9" t="inlineStr">
        <is>
          <t>ZOEY 02/03/2026</t>
        </is>
      </c>
      <c r="C2895" s="9" t="inlineStr">
        <is>
          <t>2026-03-02</t>
        </is>
      </c>
      <c r="D2895" s="9" t="inlineStr">
        <is>
          <t>87401991025249</t>
        </is>
      </c>
      <c r="E2895" s="9" t="inlineStr">
        <is>
          <t>PULSERA LOVESTRUCK</t>
        </is>
      </c>
      <c r="F2895" s="9" t="inlineStr">
        <is>
          <t>18 cm</t>
        </is>
      </c>
      <c r="G2895" s="9" t="n">
        <v>4</v>
      </c>
      <c r="H2895" s="21" t="n">
        <v>6.5</v>
      </c>
      <c r="I2895" s="21" t="n">
        <v>170.8</v>
      </c>
      <c r="J2895" s="21" t="n">
        <v>512.4</v>
      </c>
      <c r="K2895" s="21" t="n">
        <v>597.8</v>
      </c>
      <c r="L2895" s="21" t="n">
        <v>683.2</v>
      </c>
      <c r="M2895" s="21" t="n">
        <v>850</v>
      </c>
    </row>
    <row r="2896">
      <c r="A2896" s="9" t="inlineStr">
        <is>
          <t>ZOEY</t>
        </is>
      </c>
      <c r="B2896" s="9" t="inlineStr">
        <is>
          <t>ZOEY 02/03/2026</t>
        </is>
      </c>
      <c r="C2896" s="9" t="inlineStr">
        <is>
          <t>2026-03-02</t>
        </is>
      </c>
      <c r="D2896" s="9" t="inlineStr">
        <is>
          <t>93098781469165</t>
        </is>
      </c>
      <c r="E2896" s="9" t="inlineStr">
        <is>
          <t>PULSERA LV CATCH IT BLACK</t>
        </is>
      </c>
      <c r="F2896" s="9" t="inlineStr">
        <is>
          <t>BLACK</t>
        </is>
      </c>
      <c r="G2896" s="9" t="n">
        <v>2</v>
      </c>
      <c r="H2896" s="21" t="n">
        <v>10</v>
      </c>
      <c r="I2896" s="21" t="n">
        <v>262.77</v>
      </c>
      <c r="J2896" s="21" t="n">
        <v>788.3099999999999</v>
      </c>
      <c r="K2896" s="21" t="n">
        <v>919.6900000000001</v>
      </c>
      <c r="L2896" s="21" t="n">
        <v>1051.08</v>
      </c>
      <c r="M2896" s="21" t="n">
        <v>1069</v>
      </c>
    </row>
    <row r="2897">
      <c r="A2897" s="9" t="inlineStr">
        <is>
          <t>ZOEY</t>
        </is>
      </c>
      <c r="B2897" s="9" t="inlineStr">
        <is>
          <t>ZOEY 02/03/2026</t>
        </is>
      </c>
      <c r="C2897" s="9" t="inlineStr">
        <is>
          <t>2026-03-02</t>
        </is>
      </c>
      <c r="D2897" s="9" t="inlineStr">
        <is>
          <t>93098781071405</t>
        </is>
      </c>
      <c r="E2897" s="9" t="inlineStr">
        <is>
          <t>PULSERA LV SAILOR SOO</t>
        </is>
      </c>
      <c r="F2897" s="9" t="inlineStr">
        <is>
          <t>SILVER</t>
        </is>
      </c>
      <c r="G2897" s="9" t="n">
        <v>2</v>
      </c>
      <c r="H2897" s="21" t="n">
        <v>9</v>
      </c>
      <c r="I2897" s="21" t="n">
        <v>236.49</v>
      </c>
      <c r="J2897" s="21" t="n">
        <v>709.48</v>
      </c>
      <c r="K2897" s="21" t="n">
        <v>827.72</v>
      </c>
      <c r="L2897" s="21" t="n">
        <v>945.97</v>
      </c>
      <c r="M2897" s="21" t="n">
        <v>899</v>
      </c>
    </row>
    <row r="2898">
      <c r="A2898" s="9" t="inlineStr">
        <is>
          <t>ZOEY</t>
        </is>
      </c>
      <c r="B2898" s="9" t="inlineStr">
        <is>
          <t>ZOEY 02/03/2026</t>
        </is>
      </c>
      <c r="C2898" s="9" t="inlineStr">
        <is>
          <t>2026-03-02</t>
        </is>
      </c>
      <c r="D2898" s="9" t="inlineStr">
        <is>
          <t>93098781240333</t>
        </is>
      </c>
      <c r="E2898" s="9" t="inlineStr">
        <is>
          <t>PULSERA LV SPIKE SOO</t>
        </is>
      </c>
      <c r="F2898" s="9" t="inlineStr">
        <is>
          <t>SILVER</t>
        </is>
      </c>
      <c r="G2898" s="9" t="n">
        <v>2</v>
      </c>
      <c r="H2898" s="21" t="n">
        <v>8</v>
      </c>
      <c r="I2898" s="21" t="n">
        <v>210.22</v>
      </c>
      <c r="J2898" s="21" t="n">
        <v>630.65</v>
      </c>
      <c r="K2898" s="21" t="n">
        <v>735.76</v>
      </c>
      <c r="L2898" s="21" t="n">
        <v>840.86</v>
      </c>
      <c r="M2898" s="21" t="n">
        <v>1190</v>
      </c>
    </row>
    <row r="2899">
      <c r="A2899" s="9" t="inlineStr">
        <is>
          <t>ZOEY</t>
        </is>
      </c>
      <c r="B2899" s="9" t="inlineStr">
        <is>
          <t>ZOEY 02/03/2026</t>
        </is>
      </c>
      <c r="C2899" s="9" t="inlineStr">
        <is>
          <t>2026-03-02</t>
        </is>
      </c>
      <c r="D2899" s="9" t="inlineStr">
        <is>
          <t>17360611474253</t>
        </is>
      </c>
      <c r="E2899" s="9" t="inlineStr">
        <is>
          <t>RELOJ LADY DATEJUST GOLD RX</t>
        </is>
      </c>
      <c r="F2899" s="9" t="inlineStr">
        <is>
          <t>RELOJ SIN CAJA</t>
        </is>
      </c>
      <c r="G2899" s="9" t="n">
        <v>2</v>
      </c>
      <c r="H2899" s="21" t="n">
        <v>48</v>
      </c>
      <c r="I2899" s="21" t="n">
        <v>1261.29</v>
      </c>
      <c r="J2899" s="21" t="n">
        <v>3783.88</v>
      </c>
      <c r="K2899" s="21" t="n">
        <v>4414.53</v>
      </c>
      <c r="L2899" s="21" t="n">
        <v>5045.18</v>
      </c>
      <c r="M2899" s="21" t="n">
        <v>5045</v>
      </c>
    </row>
    <row r="2900">
      <c r="A2900" s="9" t="inlineStr">
        <is>
          <t>ZOEY</t>
        </is>
      </c>
      <c r="B2900" s="9" t="inlineStr">
        <is>
          <t>ZOEY 02/03/2026</t>
        </is>
      </c>
      <c r="C2900" s="9" t="inlineStr">
        <is>
          <t>2026-03-02</t>
        </is>
      </c>
      <c r="D2900" s="9" t="inlineStr">
        <is>
          <t>53890267165196</t>
        </is>
      </c>
      <c r="E2900" s="9" t="inlineStr">
        <is>
          <t>RELOJ PANTHERE GOLD</t>
        </is>
      </c>
      <c r="F2900" s="9" t="inlineStr">
        <is>
          <t>RELOJ SIN CAJA</t>
        </is>
      </c>
      <c r="G2900" s="9" t="n">
        <v>3</v>
      </c>
      <c r="H2900" s="21" t="n">
        <v>60</v>
      </c>
      <c r="I2900" s="21" t="n">
        <v>1576.62</v>
      </c>
      <c r="J2900" s="21" t="n">
        <v>4729.86</v>
      </c>
      <c r="K2900" s="21" t="n">
        <v>5518.16</v>
      </c>
      <c r="L2900" s="21" t="n">
        <v>6306.47</v>
      </c>
      <c r="M2900" s="21" t="n">
        <v>5379</v>
      </c>
    </row>
    <row r="2901">
      <c r="A2901" s="9" t="inlineStr">
        <is>
          <t>ZOEY</t>
        </is>
      </c>
      <c r="B2901" s="9" t="inlineStr">
        <is>
          <t>ZOEY 02/03/2026</t>
        </is>
      </c>
      <c r="C2901" s="9" t="inlineStr">
        <is>
          <t>2026-03-02</t>
        </is>
      </c>
      <c r="D2901" s="9" t="inlineStr">
        <is>
          <t>10427542282892</t>
        </is>
      </c>
      <c r="E2901" s="9" t="inlineStr">
        <is>
          <t>RELOJ SANTOS SILVER</t>
        </is>
      </c>
      <c r="F2901" s="9" t="inlineStr">
        <is>
          <t>34mm Mujer Con Caja</t>
        </is>
      </c>
      <c r="G2901" s="9" t="n">
        <v>1</v>
      </c>
      <c r="H2901" s="21" t="n">
        <v>68</v>
      </c>
      <c r="I2901" s="21" t="n">
        <v>1786.83</v>
      </c>
      <c r="J2901" s="21" t="n">
        <v>5360.5</v>
      </c>
      <c r="K2901" s="21" t="n">
        <v>6253.92</v>
      </c>
      <c r="L2901" s="21" t="n">
        <v>7147.34</v>
      </c>
      <c r="M2901" s="21" t="n">
        <v>6699</v>
      </c>
    </row>
    <row r="2902">
      <c r="A2902" s="9" t="inlineStr">
        <is>
          <t>ZOEY</t>
        </is>
      </c>
      <c r="B2902" s="9" t="inlineStr">
        <is>
          <t>ZOEY 02/03/2026</t>
        </is>
      </c>
      <c r="C2902" s="9" t="inlineStr">
        <is>
          <t>2026-03-02</t>
        </is>
      </c>
      <c r="D2902" s="9" t="inlineStr">
        <is>
          <t>42283701061581</t>
        </is>
      </c>
      <c r="E2902" s="9" t="inlineStr">
        <is>
          <t>RELOJ TANK CR BLACK GOLD</t>
        </is>
      </c>
      <c r="F2902" s="9" t="inlineStr">
        <is>
          <t>Default Title</t>
        </is>
      </c>
      <c r="G2902" s="9" t="n">
        <v>2</v>
      </c>
      <c r="H2902" s="21" t="n">
        <v>35</v>
      </c>
      <c r="I2902" s="21" t="n">
        <v>919.6900000000001</v>
      </c>
      <c r="J2902" s="21" t="n">
        <v>2759.08</v>
      </c>
      <c r="K2902" s="21" t="n">
        <v>3218.93</v>
      </c>
      <c r="L2902" s="21" t="n">
        <v>3678.78</v>
      </c>
      <c r="M2902" s="21" t="n">
        <v>3500</v>
      </c>
    </row>
    <row r="2903">
      <c r="A2903" s="9" t="inlineStr">
        <is>
          <t>ZOEY</t>
        </is>
      </c>
      <c r="B2903" s="9" t="inlineStr">
        <is>
          <t>ZOEY 02/03/2026</t>
        </is>
      </c>
      <c r="C2903" s="9" t="inlineStr">
        <is>
          <t>2026-03-02</t>
        </is>
      </c>
      <c r="D2903" s="9" t="inlineStr">
        <is>
          <t>16498231076513</t>
        </is>
      </c>
      <c r="E2903" s="9" t="inlineStr">
        <is>
          <t>SET DE COLLAR Y PULSERA CORAZ√ìN CON ZIRCONIA. Titanio</t>
        </is>
      </c>
      <c r="F2903" s="9" t="inlineStr">
        <is>
          <t>Default Title</t>
        </is>
      </c>
      <c r="G2903" s="9" t="n">
        <v>2</v>
      </c>
      <c r="H2903" s="21" t="n">
        <v>9</v>
      </c>
      <c r="I2903" s="21" t="n">
        <v>236.49</v>
      </c>
      <c r="J2903" s="21" t="n">
        <v>709.48</v>
      </c>
      <c r="K2903" s="21" t="n">
        <v>827.72</v>
      </c>
      <c r="L2903" s="21" t="n">
        <v>945.97</v>
      </c>
      <c r="M2903" s="21" t="n">
        <v>1299</v>
      </c>
    </row>
    <row r="2904">
      <c r="A2904" s="9" t="inlineStr">
        <is>
          <t>ZOEY</t>
        </is>
      </c>
      <c r="B2904" s="9" t="inlineStr">
        <is>
          <t>ZOEY 02/03/2026</t>
        </is>
      </c>
      <c r="C2904" s="9" t="inlineStr">
        <is>
          <t>2026-03-02</t>
        </is>
      </c>
      <c r="D2904" s="9" t="inlineStr">
        <is>
          <t>99781781861773</t>
        </is>
      </c>
      <c r="E2904" s="9" t="inlineStr">
        <is>
          <t>TARJETERO GC EBANO</t>
        </is>
      </c>
      <c r="F2904" s="9" t="inlineStr">
        <is>
          <t>BROWN</t>
        </is>
      </c>
      <c r="G2904" s="9" t="n">
        <v>1</v>
      </c>
      <c r="H2904" s="21" t="n">
        <v>14</v>
      </c>
      <c r="I2904" s="21" t="n">
        <v>367.88</v>
      </c>
      <c r="J2904" s="21" t="n">
        <v>1103.63</v>
      </c>
      <c r="K2904" s="21" t="n">
        <v>1287.57</v>
      </c>
      <c r="L2904" s="21" t="n">
        <v>1471.51</v>
      </c>
      <c r="M2904" s="21" t="n">
        <v>2350</v>
      </c>
    </row>
    <row r="2905">
      <c r="A2905" s="9" t="inlineStr">
        <is>
          <t>ZOEY</t>
        </is>
      </c>
      <c r="B2905" s="9" t="inlineStr">
        <is>
          <t>ZOEY 02/03/2026</t>
        </is>
      </c>
      <c r="C2905" s="9" t="inlineStr">
        <is>
          <t>2026-03-02</t>
        </is>
      </c>
      <c r="D2905" s="9" t="inlineStr">
        <is>
          <t>99781782139949</t>
        </is>
      </c>
      <c r="E2905" s="9" t="inlineStr">
        <is>
          <t>TARJETERO GC EMBLEM</t>
        </is>
      </c>
      <c r="F2905" s="9" t="inlineStr">
        <is>
          <t>BLACK</t>
        </is>
      </c>
      <c r="G2905" s="9" t="n">
        <v>3</v>
      </c>
      <c r="H2905" s="21" t="n">
        <v>14</v>
      </c>
      <c r="I2905" s="21" t="n">
        <v>367.88</v>
      </c>
      <c r="J2905" s="21" t="n">
        <v>1103.63</v>
      </c>
      <c r="K2905" s="21" t="n">
        <v>1287.57</v>
      </c>
      <c r="L2905" s="21" t="n">
        <v>1471.51</v>
      </c>
      <c r="M2905" s="21" t="n">
        <v>1399</v>
      </c>
    </row>
    <row r="2906">
      <c r="A2906" s="9" t="inlineStr">
        <is>
          <t>ZOEY</t>
        </is>
      </c>
      <c r="B2906" s="9" t="inlineStr">
        <is>
          <t>ZOEY 02/03/2026</t>
        </is>
      </c>
      <c r="C2906" s="9" t="inlineStr">
        <is>
          <t>2026-03-02</t>
        </is>
      </c>
      <c r="D2906" s="9" t="inlineStr">
        <is>
          <t>99781781623917</t>
        </is>
      </c>
      <c r="E2906" s="9" t="inlineStr">
        <is>
          <t>TARJETERO GC LEATHER LOGO SILVER</t>
        </is>
      </c>
      <c r="F2906" s="9" t="inlineStr">
        <is>
          <t>BLACK</t>
        </is>
      </c>
      <c r="G2906" s="9" t="n">
        <v>2</v>
      </c>
      <c r="H2906" s="21" t="n">
        <v>19</v>
      </c>
      <c r="I2906" s="21" t="n">
        <v>499.26</v>
      </c>
      <c r="J2906" s="21" t="n">
        <v>1497.79</v>
      </c>
      <c r="K2906" s="21" t="n">
        <v>1747.42</v>
      </c>
      <c r="L2906" s="21" t="n">
        <v>1997.05</v>
      </c>
      <c r="M2906" s="21" t="n">
        <v>1999</v>
      </c>
    </row>
    <row r="2907">
      <c r="A2907" s="9" t="inlineStr">
        <is>
          <t>ZOEY</t>
        </is>
      </c>
      <c r="B2907" s="9" t="inlineStr">
        <is>
          <t>ZOEY 02/03/2026</t>
        </is>
      </c>
      <c r="C2907" s="9" t="inlineStr">
        <is>
          <t>2026-03-02</t>
        </is>
      </c>
      <c r="D2907" s="9" t="inlineStr">
        <is>
          <t>99781781384365</t>
        </is>
      </c>
      <c r="E2907" s="9" t="inlineStr">
        <is>
          <t>TARJETERO GC MARMONT</t>
        </is>
      </c>
      <c r="F2907" s="9" t="inlineStr">
        <is>
          <t>BLACK</t>
        </is>
      </c>
      <c r="G2907" s="9" t="n">
        <v>2</v>
      </c>
      <c r="H2907" s="21" t="n">
        <v>14</v>
      </c>
      <c r="I2907" s="21" t="n">
        <v>367.88</v>
      </c>
      <c r="J2907" s="21" t="n">
        <v>1103.63</v>
      </c>
      <c r="K2907" s="21" t="n">
        <v>1287.57</v>
      </c>
      <c r="L2907" s="21" t="n">
        <v>1471.51</v>
      </c>
      <c r="M2907" s="21" t="n">
        <v>1399</v>
      </c>
    </row>
    <row r="2908">
      <c r="A2908" s="9" t="inlineStr">
        <is>
          <t>ZOEY</t>
        </is>
      </c>
      <c r="B2908" s="9" t="inlineStr">
        <is>
          <t>ZOEY 02/03/2026</t>
        </is>
      </c>
      <c r="C2908" s="9" t="inlineStr">
        <is>
          <t>2026-03-02</t>
        </is>
      </c>
      <c r="D2908" s="9" t="inlineStr">
        <is>
          <t>99781781934093</t>
        </is>
      </c>
      <c r="E2908" s="9" t="inlineStr">
        <is>
          <t>TARJETERO GC OPHIDIA SUPREME</t>
        </is>
      </c>
      <c r="F2908" s="9" t="inlineStr">
        <is>
          <t>BROWN</t>
        </is>
      </c>
      <c r="G2908" s="9" t="n">
        <v>2</v>
      </c>
      <c r="H2908" s="21" t="n">
        <v>14</v>
      </c>
      <c r="I2908" s="21" t="n">
        <v>367.88</v>
      </c>
      <c r="J2908" s="21" t="n">
        <v>1103.63</v>
      </c>
      <c r="K2908" s="21" t="n">
        <v>1287.57</v>
      </c>
      <c r="L2908" s="21" t="n">
        <v>1471.51</v>
      </c>
      <c r="M2908" s="21" t="n">
        <v>1475</v>
      </c>
    </row>
    <row r="2909">
      <c r="A2909" s="9" t="inlineStr">
        <is>
          <t>ZOEY</t>
        </is>
      </c>
      <c r="B2909" s="9" t="inlineStr">
        <is>
          <t>ZOEY 02/03/2026</t>
        </is>
      </c>
      <c r="C2909" s="9" t="inlineStr">
        <is>
          <t>2026-03-02</t>
        </is>
      </c>
      <c r="D2909" s="9" t="inlineStr">
        <is>
          <t>99781782096237</t>
        </is>
      </c>
      <c r="E2909" s="9" t="inlineStr">
        <is>
          <t>TARJETERO GC SUPREME</t>
        </is>
      </c>
      <c r="F2909" s="9" t="inlineStr">
        <is>
          <t>BROWN</t>
        </is>
      </c>
      <c r="G2909" s="9" t="n">
        <v>2</v>
      </c>
      <c r="H2909" s="21" t="n">
        <v>16</v>
      </c>
      <c r="I2909" s="21" t="n">
        <v>420.43</v>
      </c>
      <c r="J2909" s="21" t="n">
        <v>1261.29</v>
      </c>
      <c r="K2909" s="21" t="n">
        <v>1471.51</v>
      </c>
      <c r="L2909" s="21" t="n">
        <v>1681.73</v>
      </c>
      <c r="M2909" s="21" t="n">
        <v>1685</v>
      </c>
    </row>
    <row r="2910">
      <c r="A2910" s="9" t="inlineStr">
        <is>
          <t>ZOEY</t>
        </is>
      </c>
      <c r="B2910" s="9" t="inlineStr">
        <is>
          <t>ZOEY 02/03/2026</t>
        </is>
      </c>
      <c r="C2910" s="9" t="inlineStr">
        <is>
          <t>2026-03-02</t>
        </is>
      </c>
      <c r="D2910" s="9" t="inlineStr">
        <is>
          <t>33794532055533</t>
        </is>
      </c>
      <c r="E2910" s="9" t="inlineStr">
        <is>
          <t>TARJETERO MM NAPA</t>
        </is>
      </c>
      <c r="F2910" s="9" t="inlineStr">
        <is>
          <t>BLACK</t>
        </is>
      </c>
      <c r="G2910" s="9" t="n">
        <v>2</v>
      </c>
      <c r="H2910" s="21" t="n">
        <v>15</v>
      </c>
      <c r="I2910" s="21" t="n">
        <v>394.15</v>
      </c>
      <c r="J2910" s="21" t="n">
        <v>1182.46</v>
      </c>
      <c r="K2910" s="21" t="n">
        <v>1379.54</v>
      </c>
      <c r="L2910" s="21" t="n">
        <v>1576.62</v>
      </c>
      <c r="M2910" s="21" t="n">
        <v>1599</v>
      </c>
    </row>
    <row r="2911">
      <c r="A2911" s="9" t="inlineStr">
        <is>
          <t>ZOEY</t>
        </is>
      </c>
      <c r="B2911" s="9" t="inlineStr">
        <is>
          <t>ZOEY 02/03/2026</t>
        </is>
      </c>
      <c r="C2911" s="9" t="inlineStr">
        <is>
          <t>2026-03-02</t>
        </is>
      </c>
      <c r="D2911" s="9" t="inlineStr">
        <is>
          <t>66f1ed2e521fd</t>
        </is>
      </c>
      <c r="E2911" s="9" t="inlineStr">
        <is>
          <t>TARJETERO YSL SILVER</t>
        </is>
      </c>
      <c r="F2911" s="9" t="inlineStr">
        <is>
          <t>8cm x 10.5cm</t>
        </is>
      </c>
      <c r="G2911" s="9" t="n">
        <v>3</v>
      </c>
      <c r="H2911" s="21" t="n">
        <v>13</v>
      </c>
      <c r="I2911" s="21" t="n">
        <v>341.6</v>
      </c>
      <c r="J2911" s="21" t="n">
        <v>1024.8</v>
      </c>
      <c r="K2911" s="21" t="n">
        <v>1195.6</v>
      </c>
      <c r="L2911" s="21" t="n">
        <v>1366.4</v>
      </c>
      <c r="M2911" s="21" t="n">
        <v>1399</v>
      </c>
    </row>
    <row r="2912">
      <c r="A2912" s="9" t="inlineStr">
        <is>
          <t>ZOEY</t>
        </is>
      </c>
      <c r="B2912" s="9" t="inlineStr">
        <is>
          <t>ZOEY 02/03/2026</t>
        </is>
      </c>
      <c r="C2912" s="9" t="inlineStr">
        <is>
          <t>2026-03-02</t>
        </is>
      </c>
      <c r="D2912" s="9" t="inlineStr">
        <is>
          <t>71556651035341</t>
        </is>
      </c>
      <c r="E2912" s="9" t="inlineStr">
        <is>
          <t>TRAJE DE BAÑO CD</t>
        </is>
      </c>
      <c r="F2912" s="9" t="inlineStr">
        <is>
          <t>L</t>
        </is>
      </c>
      <c r="G2912" s="9" t="n">
        <v>2</v>
      </c>
      <c r="H2912" s="21" t="n">
        <v>25</v>
      </c>
      <c r="I2912" s="21" t="n">
        <v>656.92</v>
      </c>
      <c r="J2912" s="21" t="n">
        <v>1970.77</v>
      </c>
      <c r="K2912" s="21" t="n">
        <v>2299.24</v>
      </c>
      <c r="L2912" s="21" t="n">
        <v>2627.7</v>
      </c>
      <c r="M2912" s="21" t="n">
        <v>2659</v>
      </c>
    </row>
    <row r="2913">
      <c r="A2913" s="9" t="inlineStr">
        <is>
          <t>ZOEY</t>
        </is>
      </c>
      <c r="B2913" s="9" t="inlineStr">
        <is>
          <t>ZOEY 02/03/2026</t>
        </is>
      </c>
      <c r="C2913" s="9" t="inlineStr">
        <is>
          <t>2026-03-02</t>
        </is>
      </c>
      <c r="D2913" s="9" t="inlineStr">
        <is>
          <t>70693391064173</t>
        </is>
      </c>
      <c r="E2913" s="9" t="inlineStr">
        <is>
          <t>TRAJE DE BAÑO COMPLETO DG</t>
        </is>
      </c>
      <c r="F2913" s="9" t="inlineStr">
        <is>
          <t>L</t>
        </is>
      </c>
      <c r="G2913" s="9" t="n">
        <v>1</v>
      </c>
      <c r="H2913" s="21" t="n">
        <v>25</v>
      </c>
      <c r="I2913" s="21" t="n">
        <v>656.92</v>
      </c>
      <c r="J2913" s="21" t="n">
        <v>1970.77</v>
      </c>
      <c r="K2913" s="21" t="n">
        <v>2299.24</v>
      </c>
      <c r="L2913" s="21" t="n">
        <v>2627.7</v>
      </c>
      <c r="M2913" s="21" t="n">
        <v>2659</v>
      </c>
    </row>
    <row r="2914">
      <c r="A2914" s="9" t="inlineStr">
        <is>
          <t>ZOEY</t>
        </is>
      </c>
      <c r="B2914" s="9" t="inlineStr">
        <is>
          <t>ZOEY 02/03/2026</t>
        </is>
      </c>
      <c r="C2914" s="9" t="inlineStr">
        <is>
          <t>2026-03-02</t>
        </is>
      </c>
      <c r="D2914" s="9" t="inlineStr">
        <is>
          <t>77590343248780</t>
        </is>
      </c>
      <c r="E2914" s="9" t="inlineStr">
        <is>
          <t>TRAJE DE BAÑO COMPLETO PR</t>
        </is>
      </c>
      <c r="F2914" s="9" t="inlineStr">
        <is>
          <t>M</t>
        </is>
      </c>
      <c r="G2914" s="9" t="n">
        <v>3</v>
      </c>
      <c r="H2914" s="21" t="n">
        <v>25</v>
      </c>
      <c r="I2914" s="21" t="n">
        <v>656.92</v>
      </c>
      <c r="J2914" s="21" t="n">
        <v>1970.77</v>
      </c>
      <c r="K2914" s="21" t="n">
        <v>2299.24</v>
      </c>
      <c r="L2914" s="21" t="n">
        <v>2627.7</v>
      </c>
      <c r="M2914" s="21" t="n">
        <v>2500</v>
      </c>
    </row>
    <row r="2915">
      <c r="A2915" s="9" t="inlineStr">
        <is>
          <t>ZOEY</t>
        </is>
      </c>
      <c r="B2915" s="9" t="inlineStr">
        <is>
          <t>ZOEY 02/03/2026</t>
        </is>
      </c>
      <c r="C2915" s="9" t="inlineStr">
        <is>
          <t>2026-03-02</t>
        </is>
      </c>
      <c r="D2915" s="9" t="inlineStr">
        <is>
          <t>69428801043277</t>
        </is>
      </c>
      <c r="E2915" s="9" t="inlineStr">
        <is>
          <t>TRAJE DE BAÑO F</t>
        </is>
      </c>
      <c r="F2915" s="9" t="inlineStr">
        <is>
          <t>L</t>
        </is>
      </c>
      <c r="G2915" s="9" t="n">
        <v>2</v>
      </c>
      <c r="H2915" s="21" t="n">
        <v>25</v>
      </c>
      <c r="I2915" s="21" t="n">
        <v>656.92</v>
      </c>
      <c r="J2915" s="21" t="n">
        <v>1970.77</v>
      </c>
      <c r="K2915" s="21" t="n">
        <v>2299.24</v>
      </c>
      <c r="L2915" s="21" t="n">
        <v>2627.7</v>
      </c>
      <c r="M2915" s="21" t="n">
        <v>2659</v>
      </c>
    </row>
    <row r="2916">
      <c r="A2916" s="9" t="inlineStr">
        <is>
          <t>ZOEY</t>
        </is>
      </c>
      <c r="B2916" s="9" t="inlineStr">
        <is>
          <t>ZOEY 02/03/2026</t>
        </is>
      </c>
      <c r="C2916" s="9" t="inlineStr">
        <is>
          <t>2026-03-02</t>
        </is>
      </c>
      <c r="D2916" s="9" t="inlineStr">
        <is>
          <t>72002489673612</t>
        </is>
      </c>
      <c r="E2916" s="9" t="inlineStr">
        <is>
          <t>ZAPATILLAS CL KATE</t>
        </is>
      </c>
      <c r="F2916" s="9" t="inlineStr">
        <is>
          <t>25cm=39</t>
        </is>
      </c>
      <c r="G2916" s="9" t="n">
        <v>2</v>
      </c>
      <c r="H2916" s="21" t="n">
        <v>48</v>
      </c>
      <c r="I2916" s="21" t="n">
        <v>1261.29</v>
      </c>
      <c r="J2916" s="21" t="n">
        <v>3783.88</v>
      </c>
      <c r="K2916" s="21" t="n">
        <v>4414.53</v>
      </c>
      <c r="L2916" s="21" t="n">
        <v>5045.18</v>
      </c>
      <c r="M2916" s="21" t="n">
        <v>4675</v>
      </c>
    </row>
    <row r="2917">
      <c r="A2917" s="9" t="inlineStr">
        <is>
          <t>ZOEY</t>
        </is>
      </c>
      <c r="B2917" s="9" t="inlineStr">
        <is>
          <t>ZOEY 02/03/2026</t>
        </is>
      </c>
      <c r="C2917" s="9" t="inlineStr">
        <is>
          <t>2026-03-02</t>
        </is>
      </c>
      <c r="D2917" s="9" t="inlineStr">
        <is>
          <t>72002489640844</t>
        </is>
      </c>
      <c r="E2917" s="9" t="inlineStr">
        <is>
          <t>ZAPATILLAS CL KATE</t>
        </is>
      </c>
      <c r="F2917" s="9" t="inlineStr">
        <is>
          <t>24cm=38</t>
        </is>
      </c>
      <c r="G2917" s="9" t="n">
        <v>1</v>
      </c>
      <c r="H2917" s="21" t="n">
        <v>48</v>
      </c>
      <c r="I2917" s="21" t="n">
        <v>1261.29</v>
      </c>
      <c r="J2917" s="21" t="n">
        <v>3783.88</v>
      </c>
      <c r="K2917" s="21" t="n">
        <v>4414.53</v>
      </c>
      <c r="L2917" s="21" t="n">
        <v>5045.18</v>
      </c>
      <c r="M2917" s="21" t="n">
        <v>4675</v>
      </c>
    </row>
    <row r="2918">
      <c r="A2918" s="9" t="inlineStr">
        <is>
          <t>ZOEY</t>
        </is>
      </c>
      <c r="B2918" s="9" t="inlineStr">
        <is>
          <t>ZOEY 02/03/2026</t>
        </is>
      </c>
      <c r="C2918" s="9" t="inlineStr">
        <is>
          <t>2026-03-02</t>
        </is>
      </c>
      <c r="D2918" s="9" t="inlineStr">
        <is>
          <t>72002489425036</t>
        </is>
      </c>
      <c r="E2918" s="9" t="inlineStr">
        <is>
          <t>ZAPATILLAS YSL OPYUM BLACK</t>
        </is>
      </c>
      <c r="F2918" s="9" t="inlineStr">
        <is>
          <t>23cm=36</t>
        </is>
      </c>
      <c r="G2918" s="9" t="n">
        <v>1</v>
      </c>
      <c r="H2918" s="21" t="n">
        <v>65</v>
      </c>
      <c r="I2918" s="21" t="n">
        <v>1708</v>
      </c>
      <c r="J2918" s="21" t="n">
        <v>5124.01</v>
      </c>
      <c r="K2918" s="21" t="n">
        <v>5978.01</v>
      </c>
      <c r="L2918" s="21" t="n">
        <v>6832.01</v>
      </c>
      <c r="M2918" s="21" t="n">
        <v>6339</v>
      </c>
    </row>
    <row r="2919">
      <c r="A2919" s="9" t="inlineStr">
        <is>
          <t>HAIFENG</t>
        </is>
      </c>
      <c r="B2919" s="9" t="inlineStr">
        <is>
          <t>HAIFENG 11/03/2026</t>
        </is>
      </c>
      <c r="C2919" s="9" t="inlineStr">
        <is>
          <t>2026-03-11</t>
        </is>
      </c>
      <c r="D2919" s="9" t="inlineStr">
        <is>
          <t>21605771301805</t>
        </is>
      </c>
      <c r="E2919" s="9" t="inlineStr">
        <is>
          <t>ANILLO BACK SOON T ROSE GOLD</t>
        </is>
      </c>
      <c r="F2919" s="9" t="inlineStr">
        <is>
          <t>6</t>
        </is>
      </c>
      <c r="G2919" s="9" t="n">
        <v>1</v>
      </c>
      <c r="H2919" s="21" t="n">
        <v>3</v>
      </c>
      <c r="I2919" s="21" t="n">
        <v>63.91</v>
      </c>
      <c r="J2919" s="21" t="n">
        <v>191.74</v>
      </c>
      <c r="K2919" s="21" t="n">
        <v>223.69</v>
      </c>
      <c r="L2919" s="21" t="n">
        <v>255.65</v>
      </c>
      <c r="M2919" s="21" t="n">
        <v>400</v>
      </c>
    </row>
    <row r="2920">
      <c r="A2920" s="9" t="inlineStr">
        <is>
          <t>HAIFENG</t>
        </is>
      </c>
      <c r="B2920" s="9" t="inlineStr">
        <is>
          <t>HAIFENG 11/03/2026</t>
        </is>
      </c>
      <c r="C2920" s="9" t="inlineStr">
        <is>
          <t>2026-03-11</t>
        </is>
      </c>
      <c r="D2920" s="9" t="inlineStr">
        <is>
          <t>10956321024557</t>
        </is>
      </c>
      <c r="E2920" s="9" t="inlineStr">
        <is>
          <t>ANILLO BV BUMPS GOLD ZIRCONIAS</t>
        </is>
      </c>
      <c r="F2920" s="9" t="inlineStr">
        <is>
          <t>6</t>
        </is>
      </c>
      <c r="G2920" s="9" t="n">
        <v>2</v>
      </c>
      <c r="H2920" s="21" t="n">
        <v>11</v>
      </c>
      <c r="I2920" s="21" t="n">
        <v>234.34</v>
      </c>
      <c r="J2920" s="21" t="n">
        <v>703.03</v>
      </c>
      <c r="K2920" s="21" t="n">
        <v>820.2</v>
      </c>
      <c r="L2920" s="21" t="n">
        <v>937.37</v>
      </c>
      <c r="M2920" s="21" t="n">
        <v>999</v>
      </c>
    </row>
    <row r="2921">
      <c r="A2921" s="9" t="inlineStr">
        <is>
          <t>HAIFENG</t>
        </is>
      </c>
      <c r="B2921" s="9" t="inlineStr">
        <is>
          <t>HAIFENG 11/03/2026</t>
        </is>
      </c>
      <c r="C2921" s="9" t="inlineStr">
        <is>
          <t>2026-03-11</t>
        </is>
      </c>
      <c r="D2921" s="9" t="inlineStr">
        <is>
          <t>94122711058030</t>
        </is>
      </c>
      <c r="E2921" s="9" t="inlineStr">
        <is>
          <t>ANILLO BV ZERO 1 SILVER</t>
        </is>
      </c>
      <c r="F2921" s="9" t="inlineStr">
        <is>
          <t>8</t>
        </is>
      </c>
      <c r="G2921" s="9" t="n">
        <v>3</v>
      </c>
      <c r="H2921" s="21" t="n">
        <v>6</v>
      </c>
      <c r="I2921" s="21" t="n">
        <v>127.82</v>
      </c>
      <c r="J2921" s="21" t="n">
        <v>383.47</v>
      </c>
      <c r="K2921" s="21" t="n">
        <v>447.38</v>
      </c>
      <c r="L2921" s="21" t="n">
        <v>511.29</v>
      </c>
      <c r="M2921" s="21" t="n">
        <v>500</v>
      </c>
    </row>
    <row r="2922">
      <c r="A2922" s="9" t="inlineStr">
        <is>
          <t>HAIFENG</t>
        </is>
      </c>
      <c r="B2922" s="9" t="inlineStr">
        <is>
          <t>HAIFENG 11/03/2026</t>
        </is>
      </c>
      <c r="C2922" s="9" t="inlineStr">
        <is>
          <t>2026-03-11</t>
        </is>
      </c>
      <c r="D2922" s="9" t="inlineStr">
        <is>
          <t>94122711058029</t>
        </is>
      </c>
      <c r="E2922" s="9" t="inlineStr">
        <is>
          <t>ANILLO BV ZERO 1 SILVER</t>
        </is>
      </c>
      <c r="F2922" s="9" t="inlineStr">
        <is>
          <t>7</t>
        </is>
      </c>
      <c r="G2922" s="9" t="n">
        <v>1</v>
      </c>
      <c r="H2922" s="21" t="n">
        <v>6</v>
      </c>
      <c r="I2922" s="21" t="n">
        <v>127.82</v>
      </c>
      <c r="J2922" s="21" t="n">
        <v>383.47</v>
      </c>
      <c r="K2922" s="21" t="n">
        <v>447.38</v>
      </c>
      <c r="L2922" s="21" t="n">
        <v>511.29</v>
      </c>
      <c r="M2922" s="21" t="n">
        <v>500</v>
      </c>
    </row>
    <row r="2923">
      <c r="A2923" s="9" t="inlineStr">
        <is>
          <t>HAIFENG</t>
        </is>
      </c>
      <c r="B2923" s="9" t="inlineStr">
        <is>
          <t>HAIFENG 11/03/2026</t>
        </is>
      </c>
      <c r="C2923" s="9" t="inlineStr">
        <is>
          <t>2026-03-11</t>
        </is>
      </c>
      <c r="D2923" s="9" t="inlineStr">
        <is>
          <t>66176e6009ab0</t>
        </is>
      </c>
      <c r="E2923" s="9" t="inlineStr">
        <is>
          <t>ANILLO CLASH GOLD</t>
        </is>
      </c>
      <c r="F2923" s="9" t="inlineStr">
        <is>
          <t>7</t>
        </is>
      </c>
      <c r="G2923" s="9" t="n">
        <v>5</v>
      </c>
      <c r="H2923" s="21" t="n">
        <v>10</v>
      </c>
      <c r="I2923" s="21" t="n">
        <v>213.04</v>
      </c>
      <c r="J2923" s="21" t="n">
        <v>639.12</v>
      </c>
      <c r="K2923" s="21" t="n">
        <v>745.64</v>
      </c>
      <c r="L2923" s="21" t="n">
        <v>852.16</v>
      </c>
      <c r="M2923" s="21" t="n">
        <v>850</v>
      </c>
    </row>
    <row r="2924">
      <c r="A2924" s="9" t="inlineStr">
        <is>
          <t>HAIFENG</t>
        </is>
      </c>
      <c r="B2924" s="9" t="inlineStr">
        <is>
          <t>HAIFENG 11/03/2026</t>
        </is>
      </c>
      <c r="C2924" s="9" t="inlineStr">
        <is>
          <t>2026-03-11</t>
        </is>
      </c>
      <c r="D2924" s="9" t="inlineStr">
        <is>
          <t>66176e609b95a</t>
        </is>
      </c>
      <c r="E2924" s="9" t="inlineStr">
        <is>
          <t>ANILLO CLASH GOLD</t>
        </is>
      </c>
      <c r="F2924" s="9" t="inlineStr">
        <is>
          <t>8</t>
        </is>
      </c>
      <c r="G2924" s="9" t="n">
        <v>2</v>
      </c>
      <c r="H2924" s="21" t="n">
        <v>10</v>
      </c>
      <c r="I2924" s="21" t="n">
        <v>213.04</v>
      </c>
      <c r="J2924" s="21" t="n">
        <v>639.12</v>
      </c>
      <c r="K2924" s="21" t="n">
        <v>745.64</v>
      </c>
      <c r="L2924" s="21" t="n">
        <v>852.16</v>
      </c>
      <c r="M2924" s="21" t="n">
        <v>850</v>
      </c>
    </row>
    <row r="2925">
      <c r="A2925" s="9" t="inlineStr">
        <is>
          <t>HAIFENG</t>
        </is>
      </c>
      <c r="B2925" s="9" t="inlineStr">
        <is>
          <t>HAIFENG 11/03/2026</t>
        </is>
      </c>
      <c r="C2925" s="9" t="inlineStr">
        <is>
          <t>2026-03-11</t>
        </is>
      </c>
      <c r="D2925" s="9" t="inlineStr">
        <is>
          <t>63ebd3f721f2e</t>
        </is>
      </c>
      <c r="E2925" s="9" t="inlineStr">
        <is>
          <t>ANILLO CLASH SILVER</t>
        </is>
      </c>
      <c r="F2925" s="9" t="inlineStr">
        <is>
          <t>11</t>
        </is>
      </c>
      <c r="G2925" s="9" t="n">
        <v>2</v>
      </c>
      <c r="H2925" s="21" t="n">
        <v>10</v>
      </c>
      <c r="I2925" s="21" t="n">
        <v>213.04</v>
      </c>
      <c r="J2925" s="21" t="n">
        <v>639.12</v>
      </c>
      <c r="K2925" s="21" t="n">
        <v>745.64</v>
      </c>
      <c r="L2925" s="21" t="n">
        <v>852.16</v>
      </c>
      <c r="M2925" s="21" t="n">
        <v>850</v>
      </c>
    </row>
    <row r="2926">
      <c r="A2926" s="9" t="inlineStr">
        <is>
          <t>HAIFENG</t>
        </is>
      </c>
      <c r="B2926" s="9" t="inlineStr">
        <is>
          <t>HAIFENG 11/03/2026</t>
        </is>
      </c>
      <c r="C2926" s="9" t="inlineStr">
        <is>
          <t>2026-03-11</t>
        </is>
      </c>
      <c r="D2926" s="9" t="inlineStr">
        <is>
          <t>66176cdb9f129</t>
        </is>
      </c>
      <c r="E2926" s="9" t="inlineStr">
        <is>
          <t>ANILLO CLAVO GOLD</t>
        </is>
      </c>
      <c r="F2926" s="9" t="inlineStr">
        <is>
          <t>6 HIGH QUALITY</t>
        </is>
      </c>
      <c r="G2926" s="9" t="n">
        <v>2</v>
      </c>
      <c r="H2926" s="21" t="n">
        <v>2.5</v>
      </c>
      <c r="I2926" s="21" t="n">
        <v>53.26</v>
      </c>
      <c r="J2926" s="21" t="n">
        <v>159.78</v>
      </c>
      <c r="K2926" s="21" t="n">
        <v>186.41</v>
      </c>
      <c r="L2926" s="21" t="n">
        <v>213.04</v>
      </c>
      <c r="M2926" s="21" t="n">
        <v>400</v>
      </c>
    </row>
    <row r="2927">
      <c r="A2927" s="9" t="inlineStr">
        <is>
          <t>HAIFENG</t>
        </is>
      </c>
      <c r="B2927" s="9" t="inlineStr">
        <is>
          <t>HAIFENG 11/03/2026</t>
        </is>
      </c>
      <c r="C2927" s="9" t="inlineStr">
        <is>
          <t>2026-03-11</t>
        </is>
      </c>
      <c r="D2927" s="9" t="inlineStr">
        <is>
          <t>66176cdce18ea</t>
        </is>
      </c>
      <c r="E2927" s="9" t="inlineStr">
        <is>
          <t>ANILLO CLAVO GOLD</t>
        </is>
      </c>
      <c r="F2927" s="9" t="inlineStr">
        <is>
          <t>8 HIGH QUALITY</t>
        </is>
      </c>
      <c r="G2927" s="9" t="n">
        <v>5</v>
      </c>
      <c r="H2927" s="21" t="n">
        <v>2.5</v>
      </c>
      <c r="I2927" s="21" t="n">
        <v>53.26</v>
      </c>
      <c r="J2927" s="21" t="n">
        <v>159.78</v>
      </c>
      <c r="K2927" s="21" t="n">
        <v>186.41</v>
      </c>
      <c r="L2927" s="21" t="n">
        <v>213.04</v>
      </c>
      <c r="M2927" s="21" t="n">
        <v>400</v>
      </c>
    </row>
    <row r="2928">
      <c r="A2928" s="9" t="inlineStr">
        <is>
          <t>HAIFENG</t>
        </is>
      </c>
      <c r="B2928" s="9" t="inlineStr">
        <is>
          <t>HAIFENG 11/03/2026</t>
        </is>
      </c>
      <c r="C2928" s="9" t="inlineStr">
        <is>
          <t>2026-03-11</t>
        </is>
      </c>
      <c r="D2928" s="9" t="inlineStr">
        <is>
          <t>66176ce3090a4</t>
        </is>
      </c>
      <c r="E2928" s="9" t="inlineStr">
        <is>
          <t>ANILLO CLAVO ROSE GOLD</t>
        </is>
      </c>
      <c r="F2928" s="9" t="inlineStr">
        <is>
          <t>9 HIGH QUALITY</t>
        </is>
      </c>
      <c r="G2928" s="9" t="n">
        <v>2</v>
      </c>
      <c r="H2928" s="21" t="n">
        <v>2.5</v>
      </c>
      <c r="I2928" s="21" t="n">
        <v>53.26</v>
      </c>
      <c r="J2928" s="21" t="n">
        <v>159.78</v>
      </c>
      <c r="K2928" s="21" t="n">
        <v>186.41</v>
      </c>
      <c r="L2928" s="21" t="n">
        <v>213.04</v>
      </c>
      <c r="M2928" s="21" t="n">
        <v>400</v>
      </c>
    </row>
    <row r="2929">
      <c r="A2929" s="9" t="inlineStr">
        <is>
          <t>HAIFENG</t>
        </is>
      </c>
      <c r="B2929" s="9" t="inlineStr">
        <is>
          <t>HAIFENG 11/03/2026</t>
        </is>
      </c>
      <c r="C2929" s="9" t="inlineStr">
        <is>
          <t>2026-03-11</t>
        </is>
      </c>
      <c r="D2929" s="9" t="inlineStr">
        <is>
          <t>66176ce26bdb9</t>
        </is>
      </c>
      <c r="E2929" s="9" t="inlineStr">
        <is>
          <t>ANILLO CLAVO ROSE GOLD</t>
        </is>
      </c>
      <c r="F2929" s="9" t="inlineStr">
        <is>
          <t>8 HIGH QUALITY</t>
        </is>
      </c>
      <c r="G2929" s="9" t="n">
        <v>1</v>
      </c>
      <c r="H2929" s="21" t="n">
        <v>2.5</v>
      </c>
      <c r="I2929" s="21" t="n">
        <v>53.26</v>
      </c>
      <c r="J2929" s="21" t="n">
        <v>159.78</v>
      </c>
      <c r="K2929" s="21" t="n">
        <v>186.41</v>
      </c>
      <c r="L2929" s="21" t="n">
        <v>213.04</v>
      </c>
      <c r="M2929" s="21" t="n">
        <v>400</v>
      </c>
    </row>
    <row r="2930">
      <c r="A2930" s="9" t="inlineStr">
        <is>
          <t>HAIFENG</t>
        </is>
      </c>
      <c r="B2930" s="9" t="inlineStr">
        <is>
          <t>HAIFENG 11/03/2026</t>
        </is>
      </c>
      <c r="C2930" s="9" t="inlineStr">
        <is>
          <t>2026-03-11</t>
        </is>
      </c>
      <c r="D2930" s="9" t="inlineStr">
        <is>
          <t>66176ce532532</t>
        </is>
      </c>
      <c r="E2930" s="9" t="inlineStr">
        <is>
          <t>ANILLO CLAVO SILVER CON ZIRCONIA</t>
        </is>
      </c>
      <c r="F2930" s="9" t="inlineStr">
        <is>
          <t>5</t>
        </is>
      </c>
      <c r="G2930" s="9" t="n">
        <v>2</v>
      </c>
      <c r="H2930" s="21" t="n">
        <v>2.5</v>
      </c>
      <c r="I2930" s="21" t="n">
        <v>53.26</v>
      </c>
      <c r="J2930" s="21" t="n">
        <v>159.78</v>
      </c>
      <c r="K2930" s="21" t="n">
        <v>186.41</v>
      </c>
      <c r="L2930" s="21" t="n">
        <v>213.04</v>
      </c>
      <c r="M2930" s="21" t="n">
        <v>450</v>
      </c>
    </row>
    <row r="2931">
      <c r="A2931" s="9" t="inlineStr">
        <is>
          <t>HAIFENG</t>
        </is>
      </c>
      <c r="B2931" s="9" t="inlineStr">
        <is>
          <t>HAIFENG 11/03/2026</t>
        </is>
      </c>
      <c r="C2931" s="9" t="inlineStr">
        <is>
          <t>2026-03-11</t>
        </is>
      </c>
      <c r="D2931" s="9" t="inlineStr">
        <is>
          <t>66176ce5b696e</t>
        </is>
      </c>
      <c r="E2931" s="9" t="inlineStr">
        <is>
          <t>ANILLO CLAVO SILVER CON ZIRCONIA</t>
        </is>
      </c>
      <c r="F2931" s="9" t="inlineStr">
        <is>
          <t>6</t>
        </is>
      </c>
      <c r="G2931" s="9" t="n">
        <v>3</v>
      </c>
      <c r="H2931" s="21" t="n">
        <v>2.5</v>
      </c>
      <c r="I2931" s="21" t="n">
        <v>53.26</v>
      </c>
      <c r="J2931" s="21" t="n">
        <v>159.78</v>
      </c>
      <c r="K2931" s="21" t="n">
        <v>186.41</v>
      </c>
      <c r="L2931" s="21" t="n">
        <v>213.04</v>
      </c>
      <c r="M2931" s="21" t="n">
        <v>292</v>
      </c>
    </row>
    <row r="2932">
      <c r="A2932" s="9" t="inlineStr">
        <is>
          <t>HAIFENG</t>
        </is>
      </c>
      <c r="B2932" s="9" t="inlineStr">
        <is>
          <t>HAIFENG 11/03/2026</t>
        </is>
      </c>
      <c r="C2932" s="9" t="inlineStr">
        <is>
          <t>2026-03-11</t>
        </is>
      </c>
      <c r="D2932" s="9" t="inlineStr">
        <is>
          <t>66176ce6d29ca</t>
        </is>
      </c>
      <c r="E2932" s="9" t="inlineStr">
        <is>
          <t>ANILLO CLAVO SILVER CON ZIRCONIA</t>
        </is>
      </c>
      <c r="F2932" s="9" t="inlineStr">
        <is>
          <t>8</t>
        </is>
      </c>
      <c r="G2932" s="9" t="n">
        <v>2</v>
      </c>
      <c r="H2932" s="21" t="n">
        <v>2.5</v>
      </c>
      <c r="I2932" s="21" t="n">
        <v>53.26</v>
      </c>
      <c r="J2932" s="21" t="n">
        <v>159.78</v>
      </c>
      <c r="K2932" s="21" t="n">
        <v>186.41</v>
      </c>
      <c r="L2932" s="21" t="n">
        <v>213.04</v>
      </c>
      <c r="M2932" s="21" t="n">
        <v>292</v>
      </c>
    </row>
    <row r="2933">
      <c r="A2933" s="9" t="inlineStr">
        <is>
          <t>HAIFENG</t>
        </is>
      </c>
      <c r="B2933" s="9" t="inlineStr">
        <is>
          <t>HAIFENG 11/03/2026</t>
        </is>
      </c>
      <c r="C2933" s="9" t="inlineStr">
        <is>
          <t>2026-03-11</t>
        </is>
      </c>
      <c r="D2933" s="9" t="inlineStr">
        <is>
          <t>66176ce64d96f</t>
        </is>
      </c>
      <c r="E2933" s="9" t="inlineStr">
        <is>
          <t>ANILLO CLAVO SILVER CON ZIRCONIA</t>
        </is>
      </c>
      <c r="F2933" s="9" t="inlineStr">
        <is>
          <t>7</t>
        </is>
      </c>
      <c r="G2933" s="9" t="n">
        <v>10</v>
      </c>
      <c r="H2933" s="21" t="n">
        <v>2.5</v>
      </c>
      <c r="I2933" s="21" t="n">
        <v>53.26</v>
      </c>
      <c r="J2933" s="21" t="n">
        <v>159.78</v>
      </c>
      <c r="K2933" s="21" t="n">
        <v>186.41</v>
      </c>
      <c r="L2933" s="21" t="n">
        <v>213.04</v>
      </c>
      <c r="M2933" s="21" t="n">
        <v>450</v>
      </c>
    </row>
    <row r="2934">
      <c r="A2934" s="9" t="inlineStr">
        <is>
          <t>HAIFENG</t>
        </is>
      </c>
      <c r="B2934" s="9" t="inlineStr">
        <is>
          <t>HAIFENG 11/03/2026</t>
        </is>
      </c>
      <c r="C2934" s="9" t="inlineStr">
        <is>
          <t>2026-03-11</t>
        </is>
      </c>
      <c r="D2934" s="9" t="inlineStr">
        <is>
          <t>66176cdb6225d</t>
        </is>
      </c>
      <c r="E2934" s="9" t="inlineStr">
        <is>
          <t>ANILLO CLAVO ZIRCONIA GOLD</t>
        </is>
      </c>
      <c r="F2934" s="9" t="inlineStr">
        <is>
          <t>6</t>
        </is>
      </c>
      <c r="G2934" s="9" t="n">
        <v>2</v>
      </c>
      <c r="H2934" s="21" t="n">
        <v>2.5</v>
      </c>
      <c r="I2934" s="21" t="n">
        <v>53.26</v>
      </c>
      <c r="J2934" s="21" t="n">
        <v>159.78</v>
      </c>
      <c r="K2934" s="21" t="n">
        <v>186.41</v>
      </c>
      <c r="L2934" s="21" t="n">
        <v>213.04</v>
      </c>
      <c r="M2934" s="21" t="n">
        <v>450</v>
      </c>
    </row>
    <row r="2935">
      <c r="A2935" s="9" t="inlineStr">
        <is>
          <t>HAIFENG</t>
        </is>
      </c>
      <c r="B2935" s="9" t="inlineStr">
        <is>
          <t>HAIFENG 11/03/2026</t>
        </is>
      </c>
      <c r="C2935" s="9" t="inlineStr">
        <is>
          <t>2026-03-11</t>
        </is>
      </c>
      <c r="D2935" s="9" t="inlineStr">
        <is>
          <t>66176cdbe0e8a</t>
        </is>
      </c>
      <c r="E2935" s="9" t="inlineStr">
        <is>
          <t>ANILLO CLAVO ZIRCONIA GOLD</t>
        </is>
      </c>
      <c r="F2935" s="9" t="inlineStr">
        <is>
          <t>7</t>
        </is>
      </c>
      <c r="G2935" s="9" t="n">
        <v>3</v>
      </c>
      <c r="H2935" s="21" t="n">
        <v>2.5</v>
      </c>
      <c r="I2935" s="21" t="n">
        <v>53.26</v>
      </c>
      <c r="J2935" s="21" t="n">
        <v>159.78</v>
      </c>
      <c r="K2935" s="21" t="n">
        <v>186.41</v>
      </c>
      <c r="L2935" s="21" t="n">
        <v>213.04</v>
      </c>
      <c r="M2935" s="21" t="n">
        <v>450</v>
      </c>
    </row>
    <row r="2936">
      <c r="A2936" s="9" t="inlineStr">
        <is>
          <t>HAIFENG</t>
        </is>
      </c>
      <c r="B2936" s="9" t="inlineStr">
        <is>
          <t>HAIFENG 11/03/2026</t>
        </is>
      </c>
      <c r="C2936" s="9" t="inlineStr">
        <is>
          <t>2026-03-11</t>
        </is>
      </c>
      <c r="D2936" s="9" t="inlineStr">
        <is>
          <t>66176cdd1243a</t>
        </is>
      </c>
      <c r="E2936" s="9" t="inlineStr">
        <is>
          <t>ANILLO CLAVO ZIRCONIA GOLD</t>
        </is>
      </c>
      <c r="F2936" s="9" t="inlineStr">
        <is>
          <t>9</t>
        </is>
      </c>
      <c r="G2936" s="9" t="n">
        <v>2</v>
      </c>
      <c r="H2936" s="21" t="n">
        <v>2.5</v>
      </c>
      <c r="I2936" s="21" t="n">
        <v>53.26</v>
      </c>
      <c r="J2936" s="21" t="n">
        <v>159.78</v>
      </c>
      <c r="K2936" s="21" t="n">
        <v>186.41</v>
      </c>
      <c r="L2936" s="21" t="n">
        <v>213.04</v>
      </c>
      <c r="M2936" s="21" t="n">
        <v>450</v>
      </c>
    </row>
    <row r="2937">
      <c r="A2937" s="9" t="inlineStr">
        <is>
          <t>HAIFENG</t>
        </is>
      </c>
      <c r="B2937" s="9" t="inlineStr">
        <is>
          <t>HAIFENG 11/03/2026</t>
        </is>
      </c>
      <c r="C2937" s="9" t="inlineStr">
        <is>
          <t>2026-03-11</t>
        </is>
      </c>
      <c r="D2937" s="9" t="inlineStr">
        <is>
          <t>66176cdc74210</t>
        </is>
      </c>
      <c r="E2937" s="9" t="inlineStr">
        <is>
          <t>ANILLO CLAVO ZIRCONIA GOLD</t>
        </is>
      </c>
      <c r="F2937" s="9" t="inlineStr">
        <is>
          <t>8</t>
        </is>
      </c>
      <c r="G2937" s="9" t="n">
        <v>2</v>
      </c>
      <c r="H2937" s="21" t="n">
        <v>2.5</v>
      </c>
      <c r="I2937" s="21" t="n">
        <v>53.26</v>
      </c>
      <c r="J2937" s="21" t="n">
        <v>159.78</v>
      </c>
      <c r="K2937" s="21" t="n">
        <v>186.41</v>
      </c>
      <c r="L2937" s="21" t="n">
        <v>213.04</v>
      </c>
      <c r="M2937" s="21" t="n">
        <v>450</v>
      </c>
    </row>
    <row r="2938">
      <c r="A2938" s="9" t="inlineStr">
        <is>
          <t>HAIFENG</t>
        </is>
      </c>
      <c r="B2938" s="9" t="inlineStr">
        <is>
          <t>HAIFENG 11/03/2026</t>
        </is>
      </c>
      <c r="C2938" s="9" t="inlineStr">
        <is>
          <t>2026-03-11</t>
        </is>
      </c>
      <c r="D2938" s="9" t="inlineStr">
        <is>
          <t>66176cdacbf36</t>
        </is>
      </c>
      <c r="E2938" s="9" t="inlineStr">
        <is>
          <t>ANILLO CLAVO ZIRCONIA GOLD</t>
        </is>
      </c>
      <c r="F2938" s="9" t="inlineStr">
        <is>
          <t>5</t>
        </is>
      </c>
      <c r="G2938" s="9" t="n">
        <v>3</v>
      </c>
      <c r="H2938" s="21" t="n">
        <v>2.5</v>
      </c>
      <c r="I2938" s="21" t="n">
        <v>53.26</v>
      </c>
      <c r="J2938" s="21" t="n">
        <v>159.78</v>
      </c>
      <c r="K2938" s="21" t="n">
        <v>186.41</v>
      </c>
      <c r="L2938" s="21" t="n">
        <v>213.04</v>
      </c>
      <c r="M2938" s="21" t="n">
        <v>450</v>
      </c>
    </row>
    <row r="2939">
      <c r="A2939" s="9" t="inlineStr">
        <is>
          <t>HAIFENG</t>
        </is>
      </c>
      <c r="B2939" s="9" t="inlineStr">
        <is>
          <t>HAIFENG 11/03/2026</t>
        </is>
      </c>
      <c r="C2939" s="9" t="inlineStr">
        <is>
          <t>2026-03-11</t>
        </is>
      </c>
      <c r="D2939" s="9" t="inlineStr">
        <is>
          <t>66176cdf23c82</t>
        </is>
      </c>
      <c r="E2939" s="9" t="inlineStr">
        <is>
          <t>ANILLO CLAVO ZIRCONIA ROSE GOLD</t>
        </is>
      </c>
      <c r="F2939" s="9" t="inlineStr">
        <is>
          <t>7</t>
        </is>
      </c>
      <c r="G2939" s="9" t="n">
        <v>2</v>
      </c>
      <c r="H2939" s="21" t="n">
        <v>2.5</v>
      </c>
      <c r="I2939" s="21" t="n">
        <v>53.26</v>
      </c>
      <c r="J2939" s="21" t="n">
        <v>159.78</v>
      </c>
      <c r="K2939" s="21" t="n">
        <v>186.41</v>
      </c>
      <c r="L2939" s="21" t="n">
        <v>213.04</v>
      </c>
      <c r="M2939" s="21" t="n">
        <v>450</v>
      </c>
    </row>
    <row r="2940">
      <c r="A2940" s="9" t="inlineStr">
        <is>
          <t>HAIFENG</t>
        </is>
      </c>
      <c r="B2940" s="9" t="inlineStr">
        <is>
          <t>HAIFENG 11/03/2026</t>
        </is>
      </c>
      <c r="C2940" s="9" t="inlineStr">
        <is>
          <t>2026-03-11</t>
        </is>
      </c>
      <c r="D2940" s="9" t="inlineStr">
        <is>
          <t>66176cdfac886</t>
        </is>
      </c>
      <c r="E2940" s="9" t="inlineStr">
        <is>
          <t>ANILLO CLAVO ZIRCONIA ROSE GOLD</t>
        </is>
      </c>
      <c r="F2940" s="9" t="inlineStr">
        <is>
          <t>8</t>
        </is>
      </c>
      <c r="G2940" s="9" t="n">
        <v>1</v>
      </c>
      <c r="H2940" s="21" t="n">
        <v>2.5</v>
      </c>
      <c r="I2940" s="21" t="n">
        <v>53.26</v>
      </c>
      <c r="J2940" s="21" t="n">
        <v>159.78</v>
      </c>
      <c r="K2940" s="21" t="n">
        <v>186.41</v>
      </c>
      <c r="L2940" s="21" t="n">
        <v>213.04</v>
      </c>
      <c r="M2940" s="21" t="n">
        <v>450</v>
      </c>
    </row>
    <row r="2941">
      <c r="A2941" s="9" t="inlineStr">
        <is>
          <t>HAIFENG</t>
        </is>
      </c>
      <c r="B2941" s="9" t="inlineStr">
        <is>
          <t>HAIFENG 11/03/2026</t>
        </is>
      </c>
      <c r="C2941" s="9" t="inlineStr">
        <is>
          <t>2026-03-11</t>
        </is>
      </c>
      <c r="D2941" s="9" t="inlineStr">
        <is>
          <t>66176cde9bf02</t>
        </is>
      </c>
      <c r="E2941" s="9" t="inlineStr">
        <is>
          <t>ANILLO CLAVO ZIRCONIA ROSE GOLD</t>
        </is>
      </c>
      <c r="F2941" s="9" t="inlineStr">
        <is>
          <t>6</t>
        </is>
      </c>
      <c r="G2941" s="9" t="n">
        <v>2</v>
      </c>
      <c r="H2941" s="21" t="n">
        <v>2.5</v>
      </c>
      <c r="I2941" s="21" t="n">
        <v>53.26</v>
      </c>
      <c r="J2941" s="21" t="n">
        <v>159.78</v>
      </c>
      <c r="K2941" s="21" t="n">
        <v>186.41</v>
      </c>
      <c r="L2941" s="21" t="n">
        <v>213.04</v>
      </c>
      <c r="M2941" s="21" t="n">
        <v>450</v>
      </c>
    </row>
    <row r="2942">
      <c r="A2942" s="9" t="inlineStr">
        <is>
          <t>HAIFENG</t>
        </is>
      </c>
      <c r="B2942" s="9" t="inlineStr">
        <is>
          <t>HAIFENG 11/03/2026</t>
        </is>
      </c>
      <c r="C2942" s="9" t="inlineStr">
        <is>
          <t>2026-03-11</t>
        </is>
      </c>
      <c r="D2942" s="9" t="inlineStr">
        <is>
          <t>63e0b72c4613b</t>
        </is>
      </c>
      <c r="E2942" s="9" t="inlineStr">
        <is>
          <t>ANILLO COCO GOLD</t>
        </is>
      </c>
      <c r="F2942" s="9" t="inlineStr">
        <is>
          <t>7</t>
        </is>
      </c>
      <c r="G2942" s="9" t="n">
        <v>2</v>
      </c>
      <c r="H2942" s="21" t="n">
        <v>1.8</v>
      </c>
      <c r="I2942" s="21" t="n">
        <v>38.35</v>
      </c>
      <c r="J2942" s="21" t="n">
        <v>115.04</v>
      </c>
      <c r="K2942" s="21" t="n">
        <v>134.21</v>
      </c>
      <c r="L2942" s="21" t="n">
        <v>153.39</v>
      </c>
      <c r="M2942" s="21" t="n">
        <v>400</v>
      </c>
    </row>
    <row r="2943">
      <c r="A2943" s="9" t="inlineStr">
        <is>
          <t>HAIFENG</t>
        </is>
      </c>
      <c r="B2943" s="9" t="inlineStr">
        <is>
          <t>HAIFENG 11/03/2026</t>
        </is>
      </c>
      <c r="C2943" s="9" t="inlineStr">
        <is>
          <t>2026-03-11</t>
        </is>
      </c>
      <c r="D2943" s="9" t="inlineStr">
        <is>
          <t>63e0b72e8ae97</t>
        </is>
      </c>
      <c r="E2943" s="9" t="inlineStr">
        <is>
          <t>ANILLO COCO GOLD</t>
        </is>
      </c>
      <c r="F2943" s="9" t="inlineStr">
        <is>
          <t>9</t>
        </is>
      </c>
      <c r="G2943" s="9" t="n">
        <v>1</v>
      </c>
      <c r="H2943" s="21" t="n">
        <v>1.8</v>
      </c>
      <c r="I2943" s="21" t="n">
        <v>38.35</v>
      </c>
      <c r="J2943" s="21" t="n">
        <v>115.04</v>
      </c>
      <c r="K2943" s="21" t="n">
        <v>134.21</v>
      </c>
      <c r="L2943" s="21" t="n">
        <v>153.39</v>
      </c>
      <c r="M2943" s="21" t="n">
        <v>400</v>
      </c>
    </row>
    <row r="2944">
      <c r="A2944" s="9" t="inlineStr">
        <is>
          <t>HAIFENG</t>
        </is>
      </c>
      <c r="B2944" s="9" t="inlineStr">
        <is>
          <t>HAIFENG 11/03/2026</t>
        </is>
      </c>
      <c r="C2944" s="9" t="inlineStr">
        <is>
          <t>2026-03-11</t>
        </is>
      </c>
      <c r="D2944" s="9" t="inlineStr">
        <is>
          <t>63e0b72d92a68</t>
        </is>
      </c>
      <c r="E2944" s="9" t="inlineStr">
        <is>
          <t>ANILLO COCO ROSE GOLD</t>
        </is>
      </c>
      <c r="F2944" s="9" t="inlineStr">
        <is>
          <t>5</t>
        </is>
      </c>
      <c r="G2944" s="9" t="n">
        <v>5</v>
      </c>
      <c r="H2944" s="21" t="n">
        <v>1.8</v>
      </c>
      <c r="I2944" s="21" t="n">
        <v>38.35</v>
      </c>
      <c r="J2944" s="21" t="n">
        <v>115.04</v>
      </c>
      <c r="K2944" s="21" t="n">
        <v>134.21</v>
      </c>
      <c r="L2944" s="21" t="n">
        <v>153.39</v>
      </c>
      <c r="M2944" s="21" t="n">
        <v>400</v>
      </c>
    </row>
    <row r="2945">
      <c r="A2945" s="9" t="inlineStr">
        <is>
          <t>HAIFENG</t>
        </is>
      </c>
      <c r="B2945" s="9" t="inlineStr">
        <is>
          <t>HAIFENG 11/03/2026</t>
        </is>
      </c>
      <c r="C2945" s="9" t="inlineStr">
        <is>
          <t>2026-03-11</t>
        </is>
      </c>
      <c r="D2945" s="9" t="inlineStr">
        <is>
          <t>63e0b7337fc65</t>
        </is>
      </c>
      <c r="E2945" s="9" t="inlineStr">
        <is>
          <t>ANILLO COCO SILVER</t>
        </is>
      </c>
      <c r="F2945" s="9" t="inlineStr">
        <is>
          <t>9</t>
        </is>
      </c>
      <c r="G2945" s="9" t="n">
        <v>4</v>
      </c>
      <c r="H2945" s="21" t="n">
        <v>1.8</v>
      </c>
      <c r="I2945" s="21" t="n">
        <v>38.35</v>
      </c>
      <c r="J2945" s="21" t="n">
        <v>115.04</v>
      </c>
      <c r="K2945" s="21" t="n">
        <v>134.21</v>
      </c>
      <c r="L2945" s="21" t="n">
        <v>153.39</v>
      </c>
      <c r="M2945" s="21" t="n">
        <v>400</v>
      </c>
    </row>
    <row r="2946">
      <c r="A2946" s="9" t="inlineStr">
        <is>
          <t>HAIFENG</t>
        </is>
      </c>
      <c r="B2946" s="9" t="inlineStr">
        <is>
          <t>HAIFENG 11/03/2026</t>
        </is>
      </c>
      <c r="C2946" s="9" t="inlineStr">
        <is>
          <t>2026-03-11</t>
        </is>
      </c>
      <c r="D2946" s="9" t="inlineStr">
        <is>
          <t>63e0b7329703a</t>
        </is>
      </c>
      <c r="E2946" s="9" t="inlineStr">
        <is>
          <t>ANILLO COCO SILVER</t>
        </is>
      </c>
      <c r="F2946" s="9" t="inlineStr">
        <is>
          <t>8</t>
        </is>
      </c>
      <c r="G2946" s="9" t="n">
        <v>5</v>
      </c>
      <c r="H2946" s="21" t="n">
        <v>1.8</v>
      </c>
      <c r="I2946" s="21" t="n">
        <v>38.35</v>
      </c>
      <c r="J2946" s="21" t="n">
        <v>115.04</v>
      </c>
      <c r="K2946" s="21" t="n">
        <v>134.21</v>
      </c>
      <c r="L2946" s="21" t="n">
        <v>153.39</v>
      </c>
      <c r="M2946" s="21" t="n">
        <v>400</v>
      </c>
    </row>
    <row r="2947">
      <c r="A2947" s="9" t="inlineStr">
        <is>
          <t>HAIFENG</t>
        </is>
      </c>
      <c r="B2947" s="9" t="inlineStr">
        <is>
          <t>HAIFENG 11/03/2026</t>
        </is>
      </c>
      <c r="C2947" s="9" t="inlineStr">
        <is>
          <t>2026-03-11</t>
        </is>
      </c>
      <c r="D2947" s="9" t="inlineStr">
        <is>
          <t>15711171284237</t>
        </is>
      </c>
      <c r="E2947" s="9" t="inlineStr">
        <is>
          <t>ANILLO DOBLE T GOLD</t>
        </is>
      </c>
      <c r="F2947" s="9" t="inlineStr">
        <is>
          <t>8</t>
        </is>
      </c>
      <c r="G2947" s="9" t="n">
        <v>1</v>
      </c>
      <c r="H2947" s="21" t="n">
        <v>5</v>
      </c>
      <c r="I2947" s="21" t="n">
        <v>106.52</v>
      </c>
      <c r="J2947" s="21" t="n">
        <v>319.56</v>
      </c>
      <c r="K2947" s="21" t="n">
        <v>372.82</v>
      </c>
      <c r="L2947" s="21" t="n">
        <v>426.08</v>
      </c>
      <c r="M2947" s="21" t="n">
        <v>480</v>
      </c>
    </row>
    <row r="2948">
      <c r="A2948" s="9" t="inlineStr">
        <is>
          <t>HAIFENG</t>
        </is>
      </c>
      <c r="B2948" s="9" t="inlineStr">
        <is>
          <t>HAIFENG 11/03/2026</t>
        </is>
      </c>
      <c r="C2948" s="9" t="inlineStr">
        <is>
          <t>2026-03-11</t>
        </is>
      </c>
      <c r="D2948" s="9" t="inlineStr">
        <is>
          <t>15711171361197</t>
        </is>
      </c>
      <c r="E2948" s="9" t="inlineStr">
        <is>
          <t>ANILLO DOBLE T ROSE GOLD</t>
        </is>
      </c>
      <c r="F2948" s="9" t="inlineStr">
        <is>
          <t>6</t>
        </is>
      </c>
      <c r="G2948" s="9" t="n">
        <v>2</v>
      </c>
      <c r="H2948" s="21" t="n">
        <v>5</v>
      </c>
      <c r="I2948" s="21" t="n">
        <v>106.52</v>
      </c>
      <c r="J2948" s="21" t="n">
        <v>319.56</v>
      </c>
      <c r="K2948" s="21" t="n">
        <v>372.82</v>
      </c>
      <c r="L2948" s="21" t="n">
        <v>426.08</v>
      </c>
      <c r="M2948" s="21" t="n">
        <v>312</v>
      </c>
    </row>
    <row r="2949">
      <c r="A2949" s="9" t="inlineStr">
        <is>
          <t>HAIFENG</t>
        </is>
      </c>
      <c r="B2949" s="9" t="inlineStr">
        <is>
          <t>HAIFENG 11/03/2026</t>
        </is>
      </c>
      <c r="C2949" s="9" t="inlineStr">
        <is>
          <t>2026-03-11</t>
        </is>
      </c>
      <c r="D2949" s="9" t="inlineStr">
        <is>
          <t>56481463199244</t>
        </is>
      </c>
      <c r="E2949" s="9" t="inlineStr">
        <is>
          <t>ANILLO ESLABÓN GOLD</t>
        </is>
      </c>
      <c r="F2949" s="9" t="inlineStr">
        <is>
          <t>6</t>
        </is>
      </c>
      <c r="G2949" s="9" t="n">
        <v>4</v>
      </c>
      <c r="H2949" s="21" t="n">
        <v>6</v>
      </c>
      <c r="I2949" s="21" t="n">
        <v>127.82</v>
      </c>
      <c r="J2949" s="21" t="n">
        <v>383.47</v>
      </c>
      <c r="K2949" s="21" t="n">
        <v>447.38</v>
      </c>
      <c r="L2949" s="21" t="n">
        <v>511.29</v>
      </c>
      <c r="M2949" s="21" t="n">
        <v>520</v>
      </c>
    </row>
    <row r="2950">
      <c r="A2950" s="9" t="inlineStr">
        <is>
          <t>HAIFENG</t>
        </is>
      </c>
      <c r="B2950" s="9" t="inlineStr">
        <is>
          <t>HAIFENG 11/03/2026</t>
        </is>
      </c>
      <c r="C2950" s="9" t="inlineStr">
        <is>
          <t>2026-03-11</t>
        </is>
      </c>
      <c r="D2950" s="9" t="inlineStr">
        <is>
          <t>12314362703117</t>
        </is>
      </c>
      <c r="E2950" s="9" t="inlineStr">
        <is>
          <t>ANILLO F GOLD ZIRCONIAS</t>
        </is>
      </c>
      <c r="F2950" s="9" t="inlineStr">
        <is>
          <t>6</t>
        </is>
      </c>
      <c r="G2950" s="9" t="n">
        <v>2</v>
      </c>
      <c r="H2950" s="21" t="n">
        <v>7</v>
      </c>
      <c r="I2950" s="21" t="n">
        <v>149.13</v>
      </c>
      <c r="J2950" s="21" t="n">
        <v>447.38</v>
      </c>
      <c r="K2950" s="21" t="n">
        <v>521.95</v>
      </c>
      <c r="L2950" s="21" t="n">
        <v>596.51</v>
      </c>
      <c r="M2950" s="21" t="n">
        <v>576.8</v>
      </c>
    </row>
    <row r="2951">
      <c r="A2951" s="9" t="inlineStr">
        <is>
          <t>HAIFENG</t>
        </is>
      </c>
      <c r="B2951" s="9" t="inlineStr">
        <is>
          <t>HAIFENG 11/03/2026</t>
        </is>
      </c>
      <c r="C2951" s="9" t="inlineStr">
        <is>
          <t>2026-03-11</t>
        </is>
      </c>
      <c r="D2951" s="9" t="inlineStr">
        <is>
          <t>89205551037229</t>
        </is>
      </c>
      <c r="E2951" s="9" t="inlineStr">
        <is>
          <t>ANILLO KNOT SILVER ANCHO</t>
        </is>
      </c>
      <c r="F2951" s="9" t="inlineStr">
        <is>
          <t>6</t>
        </is>
      </c>
      <c r="G2951" s="9" t="n">
        <v>1</v>
      </c>
      <c r="H2951" s="21" t="n">
        <v>5</v>
      </c>
      <c r="I2951" s="21" t="n">
        <v>106.52</v>
      </c>
      <c r="J2951" s="21" t="n">
        <v>319.56</v>
      </c>
      <c r="K2951" s="21" t="n">
        <v>372.82</v>
      </c>
      <c r="L2951" s="21" t="n">
        <v>426.08</v>
      </c>
      <c r="M2951" s="21" t="n">
        <v>450</v>
      </c>
    </row>
    <row r="2952">
      <c r="A2952" s="9" t="inlineStr">
        <is>
          <t>HAIFENG</t>
        </is>
      </c>
      <c r="B2952" s="9" t="inlineStr">
        <is>
          <t>HAIFENG 11/03/2026</t>
        </is>
      </c>
      <c r="C2952" s="9" t="inlineStr">
        <is>
          <t>2026-03-11</t>
        </is>
      </c>
      <c r="D2952" s="9" t="inlineStr">
        <is>
          <t>89205551202765</t>
        </is>
      </c>
      <c r="E2952" s="9" t="inlineStr">
        <is>
          <t>ANILLO KNOT SILVER ANCHO</t>
        </is>
      </c>
      <c r="F2952" s="9" t="inlineStr">
        <is>
          <t>8</t>
        </is>
      </c>
      <c r="G2952" s="9" t="n">
        <v>1</v>
      </c>
      <c r="H2952" s="21" t="n">
        <v>5</v>
      </c>
      <c r="I2952" s="21" t="n">
        <v>106.52</v>
      </c>
      <c r="J2952" s="21" t="n">
        <v>319.56</v>
      </c>
      <c r="K2952" s="21" t="n">
        <v>372.82</v>
      </c>
      <c r="L2952" s="21" t="n">
        <v>426.08</v>
      </c>
      <c r="M2952" s="21" t="n">
        <v>450</v>
      </c>
    </row>
    <row r="2953">
      <c r="A2953" s="9" t="inlineStr">
        <is>
          <t>HAIFENG</t>
        </is>
      </c>
      <c r="B2953" s="9" t="inlineStr">
        <is>
          <t>HAIFENG 11/03/2026</t>
        </is>
      </c>
      <c r="C2953" s="9" t="inlineStr">
        <is>
          <t>2026-03-11</t>
        </is>
      </c>
      <c r="D2953" s="9" t="inlineStr">
        <is>
          <t>71036864415628</t>
        </is>
      </c>
      <c r="E2953" s="9" t="inlineStr">
        <is>
          <t>ANILLO LOCK GOLD</t>
        </is>
      </c>
      <c r="F2953" s="9" t="inlineStr">
        <is>
          <t>6</t>
        </is>
      </c>
      <c r="G2953" s="9" t="n">
        <v>3</v>
      </c>
      <c r="H2953" s="21" t="n">
        <v>5</v>
      </c>
      <c r="I2953" s="21" t="n">
        <v>106.52</v>
      </c>
      <c r="J2953" s="21" t="n">
        <v>319.56</v>
      </c>
      <c r="K2953" s="21" t="n">
        <v>372.82</v>
      </c>
      <c r="L2953" s="21" t="n">
        <v>426.08</v>
      </c>
      <c r="M2953" s="21" t="n">
        <v>455</v>
      </c>
    </row>
    <row r="2954">
      <c r="A2954" s="9" t="inlineStr">
        <is>
          <t>HAIFENG</t>
        </is>
      </c>
      <c r="B2954" s="9" t="inlineStr">
        <is>
          <t>HAIFENG 11/03/2026</t>
        </is>
      </c>
      <c r="C2954" s="9" t="inlineStr">
        <is>
          <t>2026-03-11</t>
        </is>
      </c>
      <c r="D2954" s="9" t="inlineStr">
        <is>
          <t>71036876283404</t>
        </is>
      </c>
      <c r="E2954" s="9" t="inlineStr">
        <is>
          <t>ANILLO LOCK SILVER</t>
        </is>
      </c>
      <c r="F2954" s="9" t="inlineStr">
        <is>
          <t>8</t>
        </is>
      </c>
      <c r="G2954" s="9" t="n">
        <v>1</v>
      </c>
      <c r="H2954" s="21" t="n">
        <v>5</v>
      </c>
      <c r="I2954" s="21" t="n">
        <v>106.52</v>
      </c>
      <c r="J2954" s="21" t="n">
        <v>319.56</v>
      </c>
      <c r="K2954" s="21" t="n">
        <v>372.82</v>
      </c>
      <c r="L2954" s="21" t="n">
        <v>426.08</v>
      </c>
      <c r="M2954" s="21" t="n">
        <v>454</v>
      </c>
    </row>
    <row r="2955">
      <c r="A2955" s="9" t="inlineStr">
        <is>
          <t>HAIFENG</t>
        </is>
      </c>
      <c r="B2955" s="9" t="inlineStr">
        <is>
          <t>HAIFENG 11/03/2026</t>
        </is>
      </c>
      <c r="C2955" s="9" t="inlineStr">
        <is>
          <t>2026-03-11</t>
        </is>
      </c>
      <c r="D2955" s="9" t="inlineStr">
        <is>
          <t>82224433964333</t>
        </is>
      </c>
      <c r="E2955" s="9" t="inlineStr">
        <is>
          <t>ANILLO LOVE CON ZIRCONIA GOLD</t>
        </is>
      </c>
      <c r="F2955" s="9" t="inlineStr">
        <is>
          <t>10</t>
        </is>
      </c>
      <c r="G2955" s="9" t="n">
        <v>2</v>
      </c>
      <c r="H2955" s="21" t="n">
        <v>1.8</v>
      </c>
      <c r="I2955" s="21" t="n">
        <v>38.35</v>
      </c>
      <c r="J2955" s="21" t="n">
        <v>115.04</v>
      </c>
      <c r="K2955" s="21" t="n">
        <v>134.21</v>
      </c>
      <c r="L2955" s="21" t="n">
        <v>153.39</v>
      </c>
      <c r="M2955" s="21" t="n">
        <v>450</v>
      </c>
    </row>
    <row r="2956">
      <c r="A2956" s="9" t="inlineStr">
        <is>
          <t>HAIFENG</t>
        </is>
      </c>
      <c r="B2956" s="9" t="inlineStr">
        <is>
          <t>HAIFENG 11/03/2026</t>
        </is>
      </c>
      <c r="C2956" s="9" t="inlineStr">
        <is>
          <t>2026-03-11</t>
        </is>
      </c>
      <c r="D2956" s="9" t="inlineStr">
        <is>
          <t>82224433831565</t>
        </is>
      </c>
      <c r="E2956" s="9" t="inlineStr">
        <is>
          <t>ANILLO LOVE CON ZIRCONIA GOLD</t>
        </is>
      </c>
      <c r="F2956" s="9" t="inlineStr">
        <is>
          <t>9</t>
        </is>
      </c>
      <c r="G2956" s="9" t="n">
        <v>2</v>
      </c>
      <c r="H2956" s="21" t="n">
        <v>1.8</v>
      </c>
      <c r="I2956" s="21" t="n">
        <v>38.35</v>
      </c>
      <c r="J2956" s="21" t="n">
        <v>115.04</v>
      </c>
      <c r="K2956" s="21" t="n">
        <v>134.21</v>
      </c>
      <c r="L2956" s="21" t="n">
        <v>153.39</v>
      </c>
      <c r="M2956" s="21" t="n">
        <v>450</v>
      </c>
    </row>
    <row r="2957">
      <c r="A2957" s="9" t="inlineStr">
        <is>
          <t>HAIFENG</t>
        </is>
      </c>
      <c r="B2957" s="9" t="inlineStr">
        <is>
          <t>HAIFENG 11/03/2026</t>
        </is>
      </c>
      <c r="C2957" s="9" t="inlineStr">
        <is>
          <t>2026-03-11</t>
        </is>
      </c>
      <c r="D2957" s="9" t="inlineStr">
        <is>
          <t>59436481162637</t>
        </is>
      </c>
      <c r="E2957" s="9" t="inlineStr">
        <is>
          <t>ANILLO LOVE CON ZIRCONIA SILVER</t>
        </is>
      </c>
      <c r="F2957" s="9" t="inlineStr">
        <is>
          <t>6</t>
        </is>
      </c>
      <c r="G2957" s="9" t="n">
        <v>2</v>
      </c>
      <c r="H2957" s="21" t="n">
        <v>1.8</v>
      </c>
      <c r="I2957" s="21" t="n">
        <v>38.35</v>
      </c>
      <c r="J2957" s="21" t="n">
        <v>115.04</v>
      </c>
      <c r="K2957" s="21" t="n">
        <v>134.21</v>
      </c>
      <c r="L2957" s="21" t="n">
        <v>153.39</v>
      </c>
      <c r="M2957" s="21" t="n">
        <v>450</v>
      </c>
    </row>
    <row r="2958">
      <c r="A2958" s="9" t="inlineStr">
        <is>
          <t>HAIFENG</t>
        </is>
      </c>
      <c r="B2958" s="9" t="inlineStr">
        <is>
          <t>HAIFENG 11/03/2026</t>
        </is>
      </c>
      <c r="C2958" s="9" t="inlineStr">
        <is>
          <t>2026-03-11</t>
        </is>
      </c>
      <c r="D2958" s="9" t="inlineStr">
        <is>
          <t>66176a39da1f0</t>
        </is>
      </c>
      <c r="E2958" s="9" t="inlineStr">
        <is>
          <t>ANILLO LOVE GOLD</t>
        </is>
      </c>
      <c r="F2958" s="9" t="inlineStr">
        <is>
          <t>6</t>
        </is>
      </c>
      <c r="G2958" s="9" t="n">
        <v>5</v>
      </c>
      <c r="H2958" s="21" t="n">
        <v>1.8</v>
      </c>
      <c r="I2958" s="21" t="n">
        <v>38.35</v>
      </c>
      <c r="J2958" s="21" t="n">
        <v>115.04</v>
      </c>
      <c r="K2958" s="21" t="n">
        <v>134.21</v>
      </c>
      <c r="L2958" s="21" t="n">
        <v>153.39</v>
      </c>
      <c r="M2958" s="21" t="n">
        <v>400</v>
      </c>
    </row>
    <row r="2959">
      <c r="A2959" s="9" t="inlineStr">
        <is>
          <t>HAIFENG</t>
        </is>
      </c>
      <c r="B2959" s="9" t="inlineStr">
        <is>
          <t>HAIFENG 11/03/2026</t>
        </is>
      </c>
      <c r="C2959" s="9" t="inlineStr">
        <is>
          <t>2026-03-11</t>
        </is>
      </c>
      <c r="D2959" s="9" t="inlineStr">
        <is>
          <t>66593bc27f55c</t>
        </is>
      </c>
      <c r="E2959" s="9" t="inlineStr">
        <is>
          <t>ANILLO LOVE MZ GOLD</t>
        </is>
      </c>
      <c r="F2959" s="9" t="inlineStr">
        <is>
          <t>6</t>
        </is>
      </c>
      <c r="G2959" s="9" t="n">
        <v>6</v>
      </c>
      <c r="H2959" s="21" t="n">
        <v>5.8</v>
      </c>
      <c r="I2959" s="21" t="n">
        <v>123.56</v>
      </c>
      <c r="J2959" s="21" t="n">
        <v>370.69</v>
      </c>
      <c r="K2959" s="21" t="n">
        <v>432.47</v>
      </c>
      <c r="L2959" s="21" t="n">
        <v>494.25</v>
      </c>
      <c r="M2959" s="21" t="n">
        <v>550</v>
      </c>
    </row>
    <row r="2960">
      <c r="A2960" s="9" t="inlineStr">
        <is>
          <t>HAIFENG</t>
        </is>
      </c>
      <c r="B2960" s="9" t="inlineStr">
        <is>
          <t>HAIFENG 11/03/2026</t>
        </is>
      </c>
      <c r="C2960" s="9" t="inlineStr">
        <is>
          <t>2026-03-11</t>
        </is>
      </c>
      <c r="D2960" s="9" t="inlineStr">
        <is>
          <t>66593bc296789</t>
        </is>
      </c>
      <c r="E2960" s="9" t="inlineStr">
        <is>
          <t>ANILLO LOVE MZ SILVER</t>
        </is>
      </c>
      <c r="F2960" s="9" t="inlineStr">
        <is>
          <t>6</t>
        </is>
      </c>
      <c r="G2960" s="9" t="n">
        <v>4</v>
      </c>
      <c r="H2960" s="21" t="n">
        <v>5.8</v>
      </c>
      <c r="I2960" s="21" t="n">
        <v>123.56</v>
      </c>
      <c r="J2960" s="21" t="n">
        <v>370.69</v>
      </c>
      <c r="K2960" s="21" t="n">
        <v>432.47</v>
      </c>
      <c r="L2960" s="21" t="n">
        <v>494.25</v>
      </c>
      <c r="M2960" s="21" t="n">
        <v>550</v>
      </c>
    </row>
    <row r="2961">
      <c r="A2961" s="9" t="inlineStr">
        <is>
          <t>HAIFENG</t>
        </is>
      </c>
      <c r="B2961" s="9" t="inlineStr">
        <is>
          <t>HAIFENG 11/03/2026</t>
        </is>
      </c>
      <c r="C2961" s="9" t="inlineStr">
        <is>
          <t>2026-03-11</t>
        </is>
      </c>
      <c r="D2961" s="9" t="inlineStr">
        <is>
          <t>67762863713709</t>
        </is>
      </c>
      <c r="E2961" s="9" t="inlineStr">
        <is>
          <t>ANILLO LOVE ROSE GOLD ANCHO</t>
        </is>
      </c>
      <c r="F2961" s="9" t="inlineStr">
        <is>
          <t>5</t>
        </is>
      </c>
      <c r="G2961" s="9" t="n">
        <v>1</v>
      </c>
      <c r="H2961" s="21" t="n">
        <v>1.8</v>
      </c>
      <c r="I2961" s="21" t="n">
        <v>38.35</v>
      </c>
      <c r="J2961" s="21" t="n">
        <v>115.04</v>
      </c>
      <c r="K2961" s="21" t="n">
        <v>134.21</v>
      </c>
      <c r="L2961" s="21" t="n">
        <v>153.39</v>
      </c>
      <c r="M2961" s="21" t="n">
        <v>400</v>
      </c>
    </row>
    <row r="2962">
      <c r="A2962" s="9" t="inlineStr">
        <is>
          <t>HAIFENG</t>
        </is>
      </c>
      <c r="B2962" s="9" t="inlineStr">
        <is>
          <t>HAIFENG 11/03/2026</t>
        </is>
      </c>
      <c r="C2962" s="9" t="inlineStr">
        <is>
          <t>2026-03-11</t>
        </is>
      </c>
      <c r="D2962" s="9" t="inlineStr">
        <is>
          <t>2653036169356</t>
        </is>
      </c>
      <c r="E2962" s="9" t="inlineStr">
        <is>
          <t>ANILLO LOVE SILVER ANCHO</t>
        </is>
      </c>
      <c r="F2962" s="9" t="inlineStr">
        <is>
          <t>8</t>
        </is>
      </c>
      <c r="G2962" s="9" t="n">
        <v>2</v>
      </c>
      <c r="H2962" s="21" t="n">
        <v>1.8</v>
      </c>
      <c r="I2962" s="21" t="n">
        <v>38.35</v>
      </c>
      <c r="J2962" s="21" t="n">
        <v>115.04</v>
      </c>
      <c r="K2962" s="21" t="n">
        <v>134.21</v>
      </c>
      <c r="L2962" s="21" t="n">
        <v>153.39</v>
      </c>
      <c r="M2962" s="21" t="n">
        <v>400</v>
      </c>
    </row>
    <row r="2963">
      <c r="A2963" s="9" t="inlineStr">
        <is>
          <t>HAIFENG</t>
        </is>
      </c>
      <c r="B2963" s="9" t="inlineStr">
        <is>
          <t>HAIFENG 11/03/2026</t>
        </is>
      </c>
      <c r="C2963" s="9" t="inlineStr">
        <is>
          <t>2026-03-11</t>
        </is>
      </c>
      <c r="D2963" s="9" t="inlineStr">
        <is>
          <t>2653026103820</t>
        </is>
      </c>
      <c r="E2963" s="9" t="inlineStr">
        <is>
          <t>ANILLO LOVE SILVER ANCHO</t>
        </is>
      </c>
      <c r="F2963" s="9" t="inlineStr">
        <is>
          <t>6</t>
        </is>
      </c>
      <c r="G2963" s="9" t="n">
        <v>3</v>
      </c>
      <c r="H2963" s="21" t="n">
        <v>1.8</v>
      </c>
      <c r="I2963" s="21" t="n">
        <v>38.35</v>
      </c>
      <c r="J2963" s="21" t="n">
        <v>115.04</v>
      </c>
      <c r="K2963" s="21" t="n">
        <v>134.21</v>
      </c>
      <c r="L2963" s="21" t="n">
        <v>153.39</v>
      </c>
      <c r="M2963" s="21" t="n">
        <v>400</v>
      </c>
    </row>
    <row r="2964">
      <c r="A2964" s="9" t="inlineStr">
        <is>
          <t>HAIFENG</t>
        </is>
      </c>
      <c r="B2964" s="9" t="inlineStr">
        <is>
          <t>HAIFENG 11/03/2026</t>
        </is>
      </c>
      <c r="C2964" s="9" t="inlineStr">
        <is>
          <t>2026-03-11</t>
        </is>
      </c>
      <c r="D2964" s="9" t="inlineStr">
        <is>
          <t>2653026136588</t>
        </is>
      </c>
      <c r="E2964" s="9" t="inlineStr">
        <is>
          <t>ANILLO LOVE SILVER ANCHO</t>
        </is>
      </c>
      <c r="F2964" s="9" t="inlineStr">
        <is>
          <t>7</t>
        </is>
      </c>
      <c r="G2964" s="9" t="n">
        <v>1</v>
      </c>
      <c r="H2964" s="21" t="n">
        <v>1.8</v>
      </c>
      <c r="I2964" s="21" t="n">
        <v>38.35</v>
      </c>
      <c r="J2964" s="21" t="n">
        <v>115.04</v>
      </c>
      <c r="K2964" s="21" t="n">
        <v>134.21</v>
      </c>
      <c r="L2964" s="21" t="n">
        <v>153.39</v>
      </c>
      <c r="M2964" s="21" t="n">
        <v>400</v>
      </c>
    </row>
    <row r="2965">
      <c r="A2965" s="9" t="inlineStr">
        <is>
          <t>HAIFENG</t>
        </is>
      </c>
      <c r="B2965" s="9" t="inlineStr">
        <is>
          <t>HAIFENG 11/03/2026</t>
        </is>
      </c>
      <c r="C2965" s="9" t="inlineStr">
        <is>
          <t>2026-03-11</t>
        </is>
      </c>
      <c r="D2965" s="9" t="inlineStr">
        <is>
          <t>2653036267660</t>
        </is>
      </c>
      <c r="E2965" s="9" t="inlineStr">
        <is>
          <t>ANILLO LOVE SILVER ANCHO</t>
        </is>
      </c>
      <c r="F2965" s="9" t="inlineStr">
        <is>
          <t>11</t>
        </is>
      </c>
      <c r="G2965" s="9" t="n">
        <v>1</v>
      </c>
      <c r="H2965" s="21" t="n">
        <v>1.8</v>
      </c>
      <c r="I2965" s="21" t="n">
        <v>38.35</v>
      </c>
      <c r="J2965" s="21" t="n">
        <v>115.04</v>
      </c>
      <c r="K2965" s="21" t="n">
        <v>134.21</v>
      </c>
      <c r="L2965" s="21" t="n">
        <v>153.39</v>
      </c>
      <c r="M2965" s="21" t="n">
        <v>400</v>
      </c>
    </row>
    <row r="2966">
      <c r="A2966" s="9" t="inlineStr">
        <is>
          <t>HAIFENG</t>
        </is>
      </c>
      <c r="B2966" s="9" t="inlineStr">
        <is>
          <t>HAIFENG 11/03/2026</t>
        </is>
      </c>
      <c r="C2966" s="9" t="inlineStr">
        <is>
          <t>2026-03-11</t>
        </is>
      </c>
      <c r="D2966" s="9" t="inlineStr">
        <is>
          <t>21206411184717</t>
        </is>
      </c>
      <c r="E2966" s="9" t="inlineStr">
        <is>
          <t>ANILLO LOVE UNLIMITED ROSEGOLD</t>
        </is>
      </c>
      <c r="F2966" s="9" t="inlineStr">
        <is>
          <t>7</t>
        </is>
      </c>
      <c r="G2966" s="9" t="n">
        <v>2</v>
      </c>
      <c r="H2966" s="21" t="n">
        <v>5</v>
      </c>
      <c r="I2966" s="21" t="n">
        <v>106.52</v>
      </c>
      <c r="J2966" s="21" t="n">
        <v>319.56</v>
      </c>
      <c r="K2966" s="21" t="n">
        <v>372.82</v>
      </c>
      <c r="L2966" s="21" t="n">
        <v>426.08</v>
      </c>
      <c r="M2966" s="21" t="n">
        <v>550</v>
      </c>
    </row>
    <row r="2967">
      <c r="A2967" s="9" t="inlineStr">
        <is>
          <t>HAIFENG</t>
        </is>
      </c>
      <c r="B2967" s="9" t="inlineStr">
        <is>
          <t>HAIFENG 11/03/2026</t>
        </is>
      </c>
      <c r="C2967" s="9" t="inlineStr">
        <is>
          <t>2026-03-11</t>
        </is>
      </c>
      <c r="D2967" s="9" t="inlineStr">
        <is>
          <t>21206411051949</t>
        </is>
      </c>
      <c r="E2967" s="9" t="inlineStr">
        <is>
          <t>ANILLO LOVE UNLIMITED ROSEGOLD</t>
        </is>
      </c>
      <c r="F2967" s="9" t="inlineStr">
        <is>
          <t>6</t>
        </is>
      </c>
      <c r="G2967" s="9" t="n">
        <v>2</v>
      </c>
      <c r="H2967" s="21" t="n">
        <v>5</v>
      </c>
      <c r="I2967" s="21" t="n">
        <v>106.52</v>
      </c>
      <c r="J2967" s="21" t="n">
        <v>319.56</v>
      </c>
      <c r="K2967" s="21" t="n">
        <v>372.82</v>
      </c>
      <c r="L2967" s="21" t="n">
        <v>426.08</v>
      </c>
      <c r="M2967" s="21" t="n">
        <v>550</v>
      </c>
    </row>
    <row r="2968">
      <c r="A2968" s="9" t="inlineStr">
        <is>
          <t>HAIFENG</t>
        </is>
      </c>
      <c r="B2968" s="9" t="inlineStr">
        <is>
          <t>HAIFENG 11/03/2026</t>
        </is>
      </c>
      <c r="C2968" s="9" t="inlineStr">
        <is>
          <t>2026-03-11</t>
        </is>
      </c>
      <c r="D2968" s="9" t="inlineStr">
        <is>
          <t>21206421781325</t>
        </is>
      </c>
      <c r="E2968" s="9" t="inlineStr">
        <is>
          <t>ANILLO LOVE UNLIMITED SILVER</t>
        </is>
      </c>
      <c r="F2968" s="9" t="inlineStr">
        <is>
          <t>8</t>
        </is>
      </c>
      <c r="G2968" s="9" t="n">
        <v>4</v>
      </c>
      <c r="H2968" s="21" t="n">
        <v>5</v>
      </c>
      <c r="I2968" s="21" t="n">
        <v>106.52</v>
      </c>
      <c r="J2968" s="21" t="n">
        <v>319.56</v>
      </c>
      <c r="K2968" s="21" t="n">
        <v>372.82</v>
      </c>
      <c r="L2968" s="21" t="n">
        <v>426.08</v>
      </c>
      <c r="M2968" s="21" t="n">
        <v>550</v>
      </c>
    </row>
    <row r="2969">
      <c r="A2969" s="9" t="inlineStr">
        <is>
          <t>HAIFENG</t>
        </is>
      </c>
      <c r="B2969" s="9" t="inlineStr">
        <is>
          <t>HAIFENG 11/03/2026</t>
        </is>
      </c>
      <c r="C2969" s="9" t="inlineStr">
        <is>
          <t>2026-03-11</t>
        </is>
      </c>
      <c r="D2969" s="9" t="inlineStr">
        <is>
          <t>71078751481933</t>
        </is>
      </c>
      <c r="E2969" s="9" t="inlineStr">
        <is>
          <t>ANILLO LV GRABADO SILVER</t>
        </is>
      </c>
      <c r="F2969" s="9" t="inlineStr">
        <is>
          <t>8</t>
        </is>
      </c>
      <c r="G2969" s="9" t="n">
        <v>2</v>
      </c>
      <c r="H2969" s="21" t="n">
        <v>6.99</v>
      </c>
      <c r="I2969" s="21" t="n">
        <v>148.91</v>
      </c>
      <c r="J2969" s="21" t="n">
        <v>446.74</v>
      </c>
      <c r="K2969" s="21" t="n">
        <v>521.2</v>
      </c>
      <c r="L2969" s="21" t="n">
        <v>595.66</v>
      </c>
      <c r="M2969" s="21" t="n">
        <v>599</v>
      </c>
    </row>
    <row r="2970">
      <c r="A2970" s="9" t="inlineStr">
        <is>
          <t>HAIFENG</t>
        </is>
      </c>
      <c r="B2970" s="9" t="inlineStr">
        <is>
          <t>HAIFENG 11/03/2026</t>
        </is>
      </c>
      <c r="C2970" s="9" t="inlineStr">
        <is>
          <t>2026-03-11</t>
        </is>
      </c>
      <c r="D2970" s="9" t="inlineStr">
        <is>
          <t>43047225917580</t>
        </is>
      </c>
      <c r="E2970" s="9" t="inlineStr">
        <is>
          <t>ANILLO ONE T GOLD</t>
        </is>
      </c>
      <c r="F2970" s="9" t="inlineStr">
        <is>
          <t>7</t>
        </is>
      </c>
      <c r="G2970" s="9" t="n">
        <v>2</v>
      </c>
      <c r="H2970" s="21" t="n">
        <v>4</v>
      </c>
      <c r="I2970" s="21" t="n">
        <v>85.22</v>
      </c>
      <c r="J2970" s="21" t="n">
        <v>255.65</v>
      </c>
      <c r="K2970" s="21" t="n">
        <v>298.25</v>
      </c>
      <c r="L2970" s="21" t="n">
        <v>340.86</v>
      </c>
      <c r="M2970" s="21" t="n">
        <v>499</v>
      </c>
    </row>
    <row r="2971">
      <c r="A2971" s="9" t="inlineStr">
        <is>
          <t>HAIFENG</t>
        </is>
      </c>
      <c r="B2971" s="9" t="inlineStr">
        <is>
          <t>HAIFENG 11/03/2026</t>
        </is>
      </c>
      <c r="C2971" s="9" t="inlineStr">
        <is>
          <t>2026-03-11</t>
        </is>
      </c>
      <c r="D2971" s="9" t="inlineStr">
        <is>
          <t>43047227392140</t>
        </is>
      </c>
      <c r="E2971" s="9" t="inlineStr">
        <is>
          <t>ANILLO ONE T ROSE GOLD CON ZIRCONIA</t>
        </is>
      </c>
      <c r="F2971" s="9" t="inlineStr">
        <is>
          <t>7 HIGH QUALITY</t>
        </is>
      </c>
      <c r="G2971" s="9" t="n">
        <v>2</v>
      </c>
      <c r="H2971" s="21" t="n">
        <v>5</v>
      </c>
      <c r="I2971" s="21" t="n">
        <v>106.52</v>
      </c>
      <c r="J2971" s="21" t="n">
        <v>319.56</v>
      </c>
      <c r="K2971" s="21" t="n">
        <v>372.82</v>
      </c>
      <c r="L2971" s="21" t="n">
        <v>426.08</v>
      </c>
      <c r="M2971" s="21" t="n">
        <v>599</v>
      </c>
    </row>
    <row r="2972">
      <c r="A2972" s="9" t="inlineStr">
        <is>
          <t>HAIFENG</t>
        </is>
      </c>
      <c r="B2972" s="9" t="inlineStr">
        <is>
          <t>HAIFENG 11/03/2026</t>
        </is>
      </c>
      <c r="C2972" s="9" t="inlineStr">
        <is>
          <t>2026-03-11</t>
        </is>
      </c>
      <c r="D2972" s="9" t="inlineStr">
        <is>
          <t>56481484311564</t>
        </is>
      </c>
      <c r="E2972" s="9" t="inlineStr">
        <is>
          <t>ANILLO SIXTEEN STONE GOLD/RED</t>
        </is>
      </c>
      <c r="F2972" s="9" t="inlineStr">
        <is>
          <t>8</t>
        </is>
      </c>
      <c r="G2972" s="9" t="n">
        <v>2</v>
      </c>
      <c r="H2972" s="21" t="n">
        <v>6</v>
      </c>
      <c r="I2972" s="21" t="n">
        <v>127.82</v>
      </c>
      <c r="J2972" s="21" t="n">
        <v>383.47</v>
      </c>
      <c r="K2972" s="21" t="n">
        <v>447.38</v>
      </c>
      <c r="L2972" s="21" t="n">
        <v>511.29</v>
      </c>
      <c r="M2972" s="21" t="n">
        <v>550</v>
      </c>
    </row>
    <row r="2973">
      <c r="A2973" s="9" t="inlineStr">
        <is>
          <t>HAIFENG</t>
        </is>
      </c>
      <c r="B2973" s="9" t="inlineStr">
        <is>
          <t>HAIFENG 11/03/2026</t>
        </is>
      </c>
      <c r="C2973" s="9" t="inlineStr">
        <is>
          <t>2026-03-11</t>
        </is>
      </c>
      <c r="D2973" s="9" t="inlineStr">
        <is>
          <t>43728116060268</t>
        </is>
      </c>
      <c r="E2973" s="9" t="inlineStr">
        <is>
          <t>ANILLO SIXTEEN STONE SILVER</t>
        </is>
      </c>
      <c r="F2973" s="9" t="inlineStr">
        <is>
          <t>REGULAR 7</t>
        </is>
      </c>
      <c r="G2973" s="9" t="n">
        <v>2</v>
      </c>
      <c r="H2973" s="21" t="n">
        <v>6</v>
      </c>
      <c r="I2973" s="21" t="n">
        <v>127.82</v>
      </c>
      <c r="J2973" s="21" t="n">
        <v>383.47</v>
      </c>
      <c r="K2973" s="21" t="n">
        <v>447.38</v>
      </c>
      <c r="L2973" s="21" t="n">
        <v>511.29</v>
      </c>
      <c r="M2973" s="21" t="n">
        <v>700</v>
      </c>
    </row>
    <row r="2974">
      <c r="A2974" s="9" t="inlineStr">
        <is>
          <t>HAIFENG</t>
        </is>
      </c>
      <c r="B2974" s="9" t="inlineStr">
        <is>
          <t>HAIFENG 11/03/2026</t>
        </is>
      </c>
      <c r="C2974" s="9" t="inlineStr">
        <is>
          <t>2026-03-11</t>
        </is>
      </c>
      <c r="D2974" s="9" t="inlineStr">
        <is>
          <t>43728116293036</t>
        </is>
      </c>
      <c r="E2974" s="9" t="inlineStr">
        <is>
          <t>ANILLO SIXTEEN STONE SILVER</t>
        </is>
      </c>
      <c r="F2974" s="9" t="inlineStr">
        <is>
          <t>REGULAR 8</t>
        </is>
      </c>
      <c r="G2974" s="9" t="n">
        <v>2</v>
      </c>
      <c r="H2974" s="21" t="n">
        <v>6</v>
      </c>
      <c r="I2974" s="21" t="n">
        <v>127.82</v>
      </c>
      <c r="J2974" s="21" t="n">
        <v>383.47</v>
      </c>
      <c r="K2974" s="21" t="n">
        <v>447.38</v>
      </c>
      <c r="L2974" s="21" t="n">
        <v>511.29</v>
      </c>
      <c r="M2974" s="21" t="n">
        <v>742</v>
      </c>
    </row>
    <row r="2975">
      <c r="A2975" s="9" t="inlineStr">
        <is>
          <t>HAIFENG</t>
        </is>
      </c>
      <c r="B2975" s="9" t="inlineStr">
        <is>
          <t>HAIFENG 11/03/2026</t>
        </is>
      </c>
      <c r="C2975" s="9" t="inlineStr">
        <is>
          <t>2026-03-11</t>
        </is>
      </c>
      <c r="D2975" s="9" t="inlineStr">
        <is>
          <t>22214572663341</t>
        </is>
      </c>
      <c r="E2975" s="9" t="inlineStr">
        <is>
          <t>ANILLO SIXTEEN STONE SILVER</t>
        </is>
      </c>
      <c r="F2975" s="9" t="inlineStr">
        <is>
          <t>REGULAR 6</t>
        </is>
      </c>
      <c r="G2975" s="9" t="n">
        <v>2</v>
      </c>
      <c r="H2975" s="21" t="n">
        <v>6</v>
      </c>
      <c r="I2975" s="21" t="n">
        <v>127.82</v>
      </c>
      <c r="J2975" s="21" t="n">
        <v>383.47</v>
      </c>
      <c r="K2975" s="21" t="n">
        <v>447.38</v>
      </c>
      <c r="L2975" s="21" t="n">
        <v>511.29</v>
      </c>
      <c r="M2975" s="21" t="n">
        <v>500</v>
      </c>
    </row>
    <row r="2976">
      <c r="A2976" s="9" t="inlineStr">
        <is>
          <t>HAIFENG</t>
        </is>
      </c>
      <c r="B2976" s="9" t="inlineStr">
        <is>
          <t>HAIFENG 11/03/2026</t>
        </is>
      </c>
      <c r="C2976" s="9" t="inlineStr">
        <is>
          <t>2026-03-11</t>
        </is>
      </c>
      <c r="D2976" s="9" t="inlineStr">
        <is>
          <t>668eecd4df850</t>
        </is>
      </c>
      <c r="E2976" s="9" t="inlineStr">
        <is>
          <t>ANILLO T GOLD</t>
        </is>
      </c>
      <c r="F2976" s="9" t="inlineStr">
        <is>
          <t>7</t>
        </is>
      </c>
      <c r="G2976" s="9" t="n">
        <v>5</v>
      </c>
      <c r="H2976" s="21" t="n">
        <v>5</v>
      </c>
      <c r="I2976" s="21" t="n">
        <v>106.52</v>
      </c>
      <c r="J2976" s="21" t="n">
        <v>319.56</v>
      </c>
      <c r="K2976" s="21" t="n">
        <v>372.82</v>
      </c>
      <c r="L2976" s="21" t="n">
        <v>426.08</v>
      </c>
      <c r="M2976" s="21" t="n">
        <v>450</v>
      </c>
    </row>
    <row r="2977">
      <c r="A2977" s="9" t="inlineStr">
        <is>
          <t>HAIFENG</t>
        </is>
      </c>
      <c r="B2977" s="9" t="inlineStr">
        <is>
          <t>HAIFENG 11/03/2026</t>
        </is>
      </c>
      <c r="C2977" s="9" t="inlineStr">
        <is>
          <t>2026-03-11</t>
        </is>
      </c>
      <c r="D2977" s="9" t="inlineStr">
        <is>
          <t>668eecd0c3f2e</t>
        </is>
      </c>
      <c r="E2977" s="9" t="inlineStr">
        <is>
          <t>ANILLO T ROSE GOLD</t>
        </is>
      </c>
      <c r="F2977" s="9" t="inlineStr">
        <is>
          <t>7</t>
        </is>
      </c>
      <c r="G2977" s="9" t="n">
        <v>2</v>
      </c>
      <c r="H2977" s="21" t="n">
        <v>5</v>
      </c>
      <c r="I2977" s="21" t="n">
        <v>106.52</v>
      </c>
      <c r="J2977" s="21" t="n">
        <v>319.56</v>
      </c>
      <c r="K2977" s="21" t="n">
        <v>372.82</v>
      </c>
      <c r="L2977" s="21" t="n">
        <v>426.08</v>
      </c>
      <c r="M2977" s="21" t="n">
        <v>450</v>
      </c>
    </row>
    <row r="2978">
      <c r="A2978" s="9" t="inlineStr">
        <is>
          <t>HAIFENG</t>
        </is>
      </c>
      <c r="B2978" s="9" t="inlineStr">
        <is>
          <t>HAIFENG 11/03/2026</t>
        </is>
      </c>
      <c r="C2978" s="9" t="inlineStr">
        <is>
          <t>2026-03-11</t>
        </is>
      </c>
      <c r="D2978" s="9" t="inlineStr">
        <is>
          <t>67201532907277</t>
        </is>
      </c>
      <c r="E2978" s="9" t="inlineStr">
        <is>
          <t>ANILLO T1 T GOLD</t>
        </is>
      </c>
      <c r="F2978" s="9" t="inlineStr">
        <is>
          <t>7</t>
        </is>
      </c>
      <c r="G2978" s="9" t="n">
        <v>2</v>
      </c>
      <c r="H2978" s="21" t="n">
        <v>5.5</v>
      </c>
      <c r="I2978" s="21" t="n">
        <v>117.17</v>
      </c>
      <c r="J2978" s="21" t="n">
        <v>351.51</v>
      </c>
      <c r="K2978" s="21" t="n">
        <v>410.1</v>
      </c>
      <c r="L2978" s="21" t="n">
        <v>468.69</v>
      </c>
      <c r="M2978" s="21" t="n">
        <v>460</v>
      </c>
    </row>
    <row r="2979">
      <c r="A2979" s="9" t="inlineStr">
        <is>
          <t>HAIFENG</t>
        </is>
      </c>
      <c r="B2979" s="9" t="inlineStr">
        <is>
          <t>HAIFENG 11/03/2026</t>
        </is>
      </c>
      <c r="C2979" s="9" t="inlineStr">
        <is>
          <t>2026-03-11</t>
        </is>
      </c>
      <c r="D2979" s="9" t="inlineStr">
        <is>
          <t>67201533040045</t>
        </is>
      </c>
      <c r="E2979" s="9" t="inlineStr">
        <is>
          <t>ANILLO T1 T GOLD</t>
        </is>
      </c>
      <c r="F2979" s="9" t="inlineStr">
        <is>
          <t>8</t>
        </is>
      </c>
      <c r="G2979" s="9" t="n">
        <v>2</v>
      </c>
      <c r="H2979" s="21" t="n">
        <v>5.5</v>
      </c>
      <c r="I2979" s="21" t="n">
        <v>117.17</v>
      </c>
      <c r="J2979" s="21" t="n">
        <v>351.51</v>
      </c>
      <c r="K2979" s="21" t="n">
        <v>410.1</v>
      </c>
      <c r="L2979" s="21" t="n">
        <v>468.69</v>
      </c>
      <c r="M2979" s="21" t="n">
        <v>460</v>
      </c>
    </row>
    <row r="2980">
      <c r="A2980" s="9" t="inlineStr">
        <is>
          <t>HAIFENG</t>
        </is>
      </c>
      <c r="B2980" s="9" t="inlineStr">
        <is>
          <t>HAIFENG 11/03/2026</t>
        </is>
      </c>
      <c r="C2980" s="9" t="inlineStr">
        <is>
          <t>2026-03-11</t>
        </is>
      </c>
      <c r="D2980" s="9" t="inlineStr">
        <is>
          <t>15857686786700</t>
        </is>
      </c>
      <c r="E2980" s="9" t="inlineStr">
        <is>
          <t>ANILLO TRES AROS</t>
        </is>
      </c>
      <c r="F2980" s="9" t="inlineStr">
        <is>
          <t>9</t>
        </is>
      </c>
      <c r="G2980" s="9" t="n">
        <v>2</v>
      </c>
      <c r="H2980" s="21" t="n">
        <v>4.7</v>
      </c>
      <c r="I2980" s="21" t="n">
        <v>100.13</v>
      </c>
      <c r="J2980" s="21" t="n">
        <v>300.38</v>
      </c>
      <c r="K2980" s="21" t="n">
        <v>350.45</v>
      </c>
      <c r="L2980" s="21" t="n">
        <v>400.51</v>
      </c>
      <c r="M2980" s="21" t="n">
        <v>650</v>
      </c>
    </row>
    <row r="2981">
      <c r="A2981" s="9" t="inlineStr">
        <is>
          <t>HAIFENG</t>
        </is>
      </c>
      <c r="B2981" s="9" t="inlineStr">
        <is>
          <t>HAIFENG 11/03/2026</t>
        </is>
      </c>
      <c r="C2981" s="9" t="inlineStr">
        <is>
          <t>2026-03-11</t>
        </is>
      </c>
      <c r="D2981" s="9" t="inlineStr">
        <is>
          <t>99824591015117</t>
        </is>
      </c>
      <c r="E2981" s="9" t="inlineStr">
        <is>
          <t>ANILLO TRES AROS CON ZIRCONIA</t>
        </is>
      </c>
      <c r="F2981" s="9" t="inlineStr">
        <is>
          <t>5</t>
        </is>
      </c>
      <c r="G2981" s="9" t="n">
        <v>1</v>
      </c>
      <c r="H2981" s="21" t="n">
        <v>10</v>
      </c>
      <c r="I2981" s="21" t="n">
        <v>213.04</v>
      </c>
      <c r="J2981" s="21" t="n">
        <v>639.12</v>
      </c>
      <c r="K2981" s="21" t="n">
        <v>745.64</v>
      </c>
      <c r="L2981" s="21" t="n">
        <v>852.16</v>
      </c>
      <c r="M2981" s="21" t="n">
        <v>850</v>
      </c>
    </row>
    <row r="2982">
      <c r="A2982" s="9" t="inlineStr">
        <is>
          <t>HAIFENG</t>
        </is>
      </c>
      <c r="B2982" s="9" t="inlineStr">
        <is>
          <t>HAIFENG 11/03/2026</t>
        </is>
      </c>
      <c r="C2982" s="9" t="inlineStr">
        <is>
          <t>2026-03-11</t>
        </is>
      </c>
      <c r="D2982" s="9" t="inlineStr">
        <is>
          <t>56481488619660</t>
        </is>
      </c>
      <c r="E2982" s="9" t="inlineStr">
        <is>
          <t>ANILLO TRES AROS CON ZIRCONIA</t>
        </is>
      </c>
      <c r="F2982" s="9" t="inlineStr">
        <is>
          <t>8</t>
        </is>
      </c>
      <c r="G2982" s="9" t="n">
        <v>1</v>
      </c>
      <c r="H2982" s="21" t="n">
        <v>10</v>
      </c>
      <c r="I2982" s="21" t="n">
        <v>213.04</v>
      </c>
      <c r="J2982" s="21" t="n">
        <v>639.12</v>
      </c>
      <c r="K2982" s="21" t="n">
        <v>745.64</v>
      </c>
      <c r="L2982" s="21" t="n">
        <v>852.16</v>
      </c>
      <c r="M2982" s="21" t="n">
        <v>850</v>
      </c>
    </row>
    <row r="2983">
      <c r="A2983" s="9" t="inlineStr">
        <is>
          <t>HAIFENG</t>
        </is>
      </c>
      <c r="B2983" s="9" t="inlineStr">
        <is>
          <t>HAIFENG 11/03/2026</t>
        </is>
      </c>
      <c r="C2983" s="9" t="inlineStr">
        <is>
          <t>2026-03-11</t>
        </is>
      </c>
      <c r="D2983" s="9" t="inlineStr">
        <is>
          <t>56481485030668</t>
        </is>
      </c>
      <c r="E2983" s="9" t="inlineStr">
        <is>
          <t>ANILLO TRES AROS SILVER/BLACK</t>
        </is>
      </c>
      <c r="F2983" s="9" t="inlineStr">
        <is>
          <t>8</t>
        </is>
      </c>
      <c r="G2983" s="9" t="n">
        <v>4</v>
      </c>
      <c r="H2983" s="21" t="n">
        <v>5</v>
      </c>
      <c r="I2983" s="21" t="n">
        <v>106.52</v>
      </c>
      <c r="J2983" s="21" t="n">
        <v>319.56</v>
      </c>
      <c r="K2983" s="21" t="n">
        <v>372.82</v>
      </c>
      <c r="L2983" s="21" t="n">
        <v>426.08</v>
      </c>
      <c r="M2983" s="21" t="n">
        <v>639</v>
      </c>
    </row>
    <row r="2984">
      <c r="A2984" s="9" t="inlineStr">
        <is>
          <t>HAIFENG</t>
        </is>
      </c>
      <c r="B2984" s="9" t="inlineStr">
        <is>
          <t>HAIFENG 11/03/2026</t>
        </is>
      </c>
      <c r="C2984" s="9" t="inlineStr">
        <is>
          <t>2026-03-11</t>
        </is>
      </c>
      <c r="D2984" s="9" t="inlineStr">
        <is>
          <t>86347032724109</t>
        </is>
      </c>
      <c r="E2984" s="9" t="inlineStr">
        <is>
          <t>ANILLO TWO-ROW GOLD</t>
        </is>
      </c>
      <c r="F2984" s="9" t="inlineStr">
        <is>
          <t>7</t>
        </is>
      </c>
      <c r="G2984" s="9" t="n">
        <v>2</v>
      </c>
      <c r="H2984" s="21" t="n">
        <v>5.5</v>
      </c>
      <c r="I2984" s="21" t="n">
        <v>117.17</v>
      </c>
      <c r="J2984" s="21" t="n">
        <v>351.51</v>
      </c>
      <c r="K2984" s="21" t="n">
        <v>410.1</v>
      </c>
      <c r="L2984" s="21" t="n">
        <v>468.69</v>
      </c>
      <c r="M2984" s="21" t="n">
        <v>580</v>
      </c>
    </row>
    <row r="2985">
      <c r="A2985" s="9" t="inlineStr">
        <is>
          <t>HAIFENG</t>
        </is>
      </c>
      <c r="B2985" s="9" t="inlineStr">
        <is>
          <t>HAIFENG 11/03/2026</t>
        </is>
      </c>
      <c r="C2985" s="9" t="inlineStr">
        <is>
          <t>2026-03-11</t>
        </is>
      </c>
      <c r="D2985" s="9" t="inlineStr">
        <is>
          <t>51078752492301</t>
        </is>
      </c>
      <c r="E2985" s="9" t="inlineStr">
        <is>
          <t>ARETES C GOLD</t>
        </is>
      </c>
      <c r="F2985" s="9" t="inlineStr">
        <is>
          <t>Default Title</t>
        </is>
      </c>
      <c r="G2985" s="9" t="n">
        <v>7</v>
      </c>
      <c r="H2985" s="21" t="n">
        <v>5.99</v>
      </c>
      <c r="I2985" s="21" t="n">
        <v>127.61</v>
      </c>
      <c r="J2985" s="21" t="n">
        <v>382.83</v>
      </c>
      <c r="K2985" s="21" t="n">
        <v>446.64</v>
      </c>
      <c r="L2985" s="21" t="n">
        <v>510.44</v>
      </c>
      <c r="M2985" s="21" t="n">
        <v>575</v>
      </c>
    </row>
    <row r="2986">
      <c r="A2986" s="9" t="inlineStr">
        <is>
          <t>HAIFENG</t>
        </is>
      </c>
      <c r="B2986" s="9" t="inlineStr">
        <is>
          <t>HAIFENG 11/03/2026</t>
        </is>
      </c>
      <c r="C2986" s="9" t="inlineStr">
        <is>
          <t>2026-03-11</t>
        </is>
      </c>
      <c r="D2986" s="9" t="inlineStr">
        <is>
          <t>31078752039597</t>
        </is>
      </c>
      <c r="E2986" s="9" t="inlineStr">
        <is>
          <t>ARETES C SILVER ZIRCONIAS</t>
        </is>
      </c>
      <c r="F2986" s="9" t="inlineStr">
        <is>
          <t>Default Title</t>
        </is>
      </c>
      <c r="G2986" s="9" t="n">
        <v>1</v>
      </c>
      <c r="H2986" s="21" t="n">
        <v>5.99</v>
      </c>
      <c r="I2986" s="21" t="n">
        <v>127.61</v>
      </c>
      <c r="J2986" s="21" t="n">
        <v>382.83</v>
      </c>
      <c r="K2986" s="21" t="n">
        <v>446.64</v>
      </c>
      <c r="L2986" s="21" t="n">
        <v>510.44</v>
      </c>
      <c r="M2986" s="21" t="n">
        <v>575</v>
      </c>
    </row>
    <row r="2987">
      <c r="A2987" s="9" t="inlineStr">
        <is>
          <t>HAIFENG</t>
        </is>
      </c>
      <c r="B2987" s="9" t="inlineStr">
        <is>
          <t>HAIFENG 11/03/2026</t>
        </is>
      </c>
      <c r="C2987" s="9" t="inlineStr">
        <is>
          <t>2026-03-11</t>
        </is>
      </c>
      <c r="D2987" s="9" t="inlineStr">
        <is>
          <t>66075801971917</t>
        </is>
      </c>
      <c r="E2987" s="9" t="inlineStr">
        <is>
          <t>ARETES CD PETIT GOLD</t>
        </is>
      </c>
      <c r="F2987" s="9" t="inlineStr">
        <is>
          <t>Default Title</t>
        </is>
      </c>
      <c r="G2987" s="9" t="n">
        <v>5</v>
      </c>
      <c r="H2987" s="21" t="n">
        <v>3.8</v>
      </c>
      <c r="I2987" s="21" t="n">
        <v>80.95</v>
      </c>
      <c r="J2987" s="21" t="n">
        <v>242.86</v>
      </c>
      <c r="K2987" s="21" t="n">
        <v>283.34</v>
      </c>
      <c r="L2987" s="21" t="n">
        <v>323.82</v>
      </c>
      <c r="M2987" s="21" t="n">
        <v>350</v>
      </c>
    </row>
    <row r="2988">
      <c r="A2988" s="9" t="inlineStr">
        <is>
          <t>HAIFENG</t>
        </is>
      </c>
      <c r="B2988" s="9" t="inlineStr">
        <is>
          <t>HAIFENG 11/03/2026</t>
        </is>
      </c>
      <c r="C2988" s="9" t="inlineStr">
        <is>
          <t>2026-03-11</t>
        </is>
      </c>
      <c r="D2988" s="9" t="inlineStr">
        <is>
          <t>64085741359693</t>
        </is>
      </c>
      <c r="E2988" s="9" t="inlineStr">
        <is>
          <t>ARETES CLASH ROSE GOLD C</t>
        </is>
      </c>
      <c r="F2988" s="9" t="inlineStr">
        <is>
          <t>Default Title</t>
        </is>
      </c>
      <c r="G2988" s="9" t="n">
        <v>2</v>
      </c>
      <c r="H2988" s="21" t="n">
        <v>9</v>
      </c>
      <c r="I2988" s="21" t="n">
        <v>191.74</v>
      </c>
      <c r="J2988" s="21" t="n">
        <v>575.21</v>
      </c>
      <c r="K2988" s="21" t="n">
        <v>671.0700000000001</v>
      </c>
      <c r="L2988" s="21" t="n">
        <v>766.9400000000001</v>
      </c>
      <c r="M2988" s="21" t="n">
        <v>742</v>
      </c>
    </row>
    <row r="2989">
      <c r="A2989" s="9" t="inlineStr">
        <is>
          <t>HAIFENG</t>
        </is>
      </c>
      <c r="B2989" s="9" t="inlineStr">
        <is>
          <t>HAIFENG 11/03/2026</t>
        </is>
      </c>
      <c r="C2989" s="9" t="inlineStr">
        <is>
          <t>2026-03-11</t>
        </is>
      </c>
      <c r="D2989" s="9" t="inlineStr">
        <is>
          <t>665bd4a63435b</t>
        </is>
      </c>
      <c r="E2989" s="9" t="inlineStr">
        <is>
          <t>ARETES CLAVO GOLD</t>
        </is>
      </c>
      <c r="F2989" s="9" t="inlineStr">
        <is>
          <t>Default Title</t>
        </is>
      </c>
      <c r="G2989" s="9" t="n">
        <v>6</v>
      </c>
      <c r="H2989" s="21" t="n">
        <v>2.99</v>
      </c>
      <c r="I2989" s="21" t="n">
        <v>63.7</v>
      </c>
      <c r="J2989" s="21" t="n">
        <v>191.1</v>
      </c>
      <c r="K2989" s="21" t="n">
        <v>222.95</v>
      </c>
      <c r="L2989" s="21" t="n">
        <v>254.79</v>
      </c>
      <c r="M2989" s="21" t="n">
        <v>400</v>
      </c>
    </row>
    <row r="2990">
      <c r="A2990" s="9" t="inlineStr">
        <is>
          <t>HAIFENG</t>
        </is>
      </c>
      <c r="B2990" s="9" t="inlineStr">
        <is>
          <t>HAIFENG 11/03/2026</t>
        </is>
      </c>
      <c r="C2990" s="9" t="inlineStr">
        <is>
          <t>2026-03-11</t>
        </is>
      </c>
      <c r="D2990" s="9" t="inlineStr">
        <is>
          <t>43047218282636</t>
        </is>
      </c>
      <c r="E2990" s="9" t="inlineStr">
        <is>
          <t>ARETES CORAZÓN TURQUESA</t>
        </is>
      </c>
      <c r="F2990" s="9" t="inlineStr">
        <is>
          <t>Regular</t>
        </is>
      </c>
      <c r="G2990" s="9" t="n">
        <v>5</v>
      </c>
      <c r="H2990" s="21" t="n">
        <v>6</v>
      </c>
      <c r="I2990" s="21" t="n">
        <v>127.82</v>
      </c>
      <c r="J2990" s="21" t="n">
        <v>383.47</v>
      </c>
      <c r="K2990" s="21" t="n">
        <v>447.38</v>
      </c>
      <c r="L2990" s="21" t="n">
        <v>511.29</v>
      </c>
      <c r="M2990" s="21" t="n">
        <v>618</v>
      </c>
    </row>
    <row r="2991">
      <c r="A2991" s="9" t="inlineStr">
        <is>
          <t>HAIFENG</t>
        </is>
      </c>
      <c r="B2991" s="9" t="inlineStr">
        <is>
          <t>HAIFENG 11/03/2026</t>
        </is>
      </c>
      <c r="C2991" s="9" t="inlineStr">
        <is>
          <t>2026-03-11</t>
        </is>
      </c>
      <c r="D2991" s="9" t="inlineStr">
        <is>
          <t>12314362492941</t>
        </is>
      </c>
      <c r="E2991" s="9" t="inlineStr">
        <is>
          <t>ARETES F GOLD</t>
        </is>
      </c>
      <c r="F2991" s="9" t="inlineStr">
        <is>
          <t>Default Title</t>
        </is>
      </c>
      <c r="G2991" s="9" t="n">
        <v>2</v>
      </c>
      <c r="H2991" s="21" t="n">
        <v>6</v>
      </c>
      <c r="I2991" s="21" t="n">
        <v>127.82</v>
      </c>
      <c r="J2991" s="21" t="n">
        <v>383.47</v>
      </c>
      <c r="K2991" s="21" t="n">
        <v>447.38</v>
      </c>
      <c r="L2991" s="21" t="n">
        <v>511.29</v>
      </c>
      <c r="M2991" s="21" t="n">
        <v>499</v>
      </c>
    </row>
    <row r="2992">
      <c r="A2992" s="9" t="inlineStr">
        <is>
          <t>HAIFENG</t>
        </is>
      </c>
      <c r="B2992" s="9" t="inlineStr">
        <is>
          <t>HAIFENG 11/03/2026</t>
        </is>
      </c>
      <c r="C2992" s="9" t="inlineStr">
        <is>
          <t>2026-03-11</t>
        </is>
      </c>
      <c r="D2992" s="9" t="inlineStr">
        <is>
          <t>67201531515469</t>
        </is>
      </c>
      <c r="E2992" s="9" t="inlineStr">
        <is>
          <t>ARETES LOGO H SILVER</t>
        </is>
      </c>
      <c r="F2992" s="9" t="inlineStr">
        <is>
          <t>Default Title</t>
        </is>
      </c>
      <c r="G2992" s="9" t="n">
        <v>2</v>
      </c>
      <c r="H2992" s="21" t="n">
        <v>5</v>
      </c>
      <c r="I2992" s="21" t="n">
        <v>106.52</v>
      </c>
      <c r="J2992" s="21" t="n">
        <v>319.56</v>
      </c>
      <c r="K2992" s="21" t="n">
        <v>372.82</v>
      </c>
      <c r="L2992" s="21" t="n">
        <v>426.08</v>
      </c>
      <c r="M2992" s="21" t="n">
        <v>480</v>
      </c>
    </row>
    <row r="2993">
      <c r="A2993" s="9" t="inlineStr">
        <is>
          <t>HAIFENG</t>
        </is>
      </c>
      <c r="B2993" s="9" t="inlineStr">
        <is>
          <t>HAIFENG 11/03/2026</t>
        </is>
      </c>
      <c r="C2993" s="9" t="inlineStr">
        <is>
          <t>2026-03-11</t>
        </is>
      </c>
      <c r="D2993" s="9" t="inlineStr">
        <is>
          <t>67201534966797</t>
        </is>
      </c>
      <c r="E2993" s="9" t="inlineStr">
        <is>
          <t>ARETES LOVING HEART</t>
        </is>
      </c>
      <c r="F2993" s="9" t="inlineStr">
        <is>
          <t>dorado</t>
        </is>
      </c>
      <c r="G2993" s="9" t="n">
        <v>5</v>
      </c>
      <c r="H2993" s="21" t="n">
        <v>6</v>
      </c>
      <c r="I2993" s="21" t="n">
        <v>127.82</v>
      </c>
      <c r="J2993" s="21" t="n">
        <v>383.47</v>
      </c>
      <c r="K2993" s="21" t="n">
        <v>447.38</v>
      </c>
      <c r="L2993" s="21" t="n">
        <v>511.29</v>
      </c>
      <c r="M2993" s="21" t="n">
        <v>499</v>
      </c>
    </row>
    <row r="2994">
      <c r="A2994" s="9" t="inlineStr">
        <is>
          <t>HAIFENG</t>
        </is>
      </c>
      <c r="B2994" s="9" t="inlineStr">
        <is>
          <t>HAIFENG 11/03/2026</t>
        </is>
      </c>
      <c r="C2994" s="9" t="inlineStr">
        <is>
          <t>2026-03-11</t>
        </is>
      </c>
      <c r="D2994" s="9" t="inlineStr">
        <is>
          <t>74011331080589</t>
        </is>
      </c>
      <c r="E2994" s="9" t="inlineStr">
        <is>
          <t>ARETES MM GOLD</t>
        </is>
      </c>
      <c r="F2994" s="9" t="inlineStr">
        <is>
          <t>Default Title</t>
        </is>
      </c>
      <c r="G2994" s="9" t="n">
        <v>6</v>
      </c>
      <c r="H2994" s="21" t="n">
        <v>7</v>
      </c>
      <c r="I2994" s="21" t="n">
        <v>149.13</v>
      </c>
      <c r="J2994" s="21" t="n">
        <v>447.38</v>
      </c>
      <c r="K2994" s="21" t="n">
        <v>521.95</v>
      </c>
      <c r="L2994" s="21" t="n">
        <v>596.51</v>
      </c>
      <c r="M2994" s="21" t="n">
        <v>599</v>
      </c>
    </row>
    <row r="2995">
      <c r="A2995" s="9" t="inlineStr">
        <is>
          <t>HAIFENG</t>
        </is>
      </c>
      <c r="B2995" s="9" t="inlineStr">
        <is>
          <t>HAIFENG 11/03/2026</t>
        </is>
      </c>
      <c r="C2995" s="9" t="inlineStr">
        <is>
          <t>2026-03-11</t>
        </is>
      </c>
      <c r="D2995" s="9" t="inlineStr">
        <is>
          <t>36568531067821</t>
        </is>
      </c>
      <c r="E2995" s="9" t="inlineStr">
        <is>
          <t>ARETES MM SILVER</t>
        </is>
      </c>
      <c r="F2995" s="9" t="inlineStr">
        <is>
          <t>Default Title</t>
        </is>
      </c>
      <c r="G2995" s="9" t="n">
        <v>10</v>
      </c>
      <c r="H2995" s="21" t="n">
        <v>7</v>
      </c>
      <c r="I2995" s="21" t="n">
        <v>149.13</v>
      </c>
      <c r="J2995" s="21" t="n">
        <v>447.38</v>
      </c>
      <c r="K2995" s="21" t="n">
        <v>521.95</v>
      </c>
      <c r="L2995" s="21" t="n">
        <v>596.51</v>
      </c>
      <c r="M2995" s="21" t="n">
        <v>599</v>
      </c>
    </row>
    <row r="2996">
      <c r="A2996" s="9" t="inlineStr">
        <is>
          <t>HAIFENG</t>
        </is>
      </c>
      <c r="B2996" s="9" t="inlineStr">
        <is>
          <t>HAIFENG 11/03/2026</t>
        </is>
      </c>
      <c r="C2996" s="9" t="inlineStr">
        <is>
          <t>2026-03-11</t>
        </is>
      </c>
      <c r="D2996" s="9" t="inlineStr">
        <is>
          <t>15118061083949</t>
        </is>
      </c>
      <c r="E2996" s="9" t="inlineStr">
        <is>
          <t>ARETES T CORAZÓN CON FLECHA</t>
        </is>
      </c>
      <c r="F2996" s="9" t="inlineStr">
        <is>
          <t>Default Title</t>
        </is>
      </c>
      <c r="G2996" s="9" t="n">
        <v>6</v>
      </c>
      <c r="H2996" s="21" t="n">
        <v>5</v>
      </c>
      <c r="I2996" s="21" t="n">
        <v>106.52</v>
      </c>
      <c r="J2996" s="21" t="n">
        <v>319.56</v>
      </c>
      <c r="K2996" s="21" t="n">
        <v>372.82</v>
      </c>
      <c r="L2996" s="21" t="n">
        <v>426.08</v>
      </c>
      <c r="M2996" s="21" t="n">
        <v>450</v>
      </c>
    </row>
    <row r="2997">
      <c r="A2997" s="9" t="inlineStr">
        <is>
          <t>HAIFENG</t>
        </is>
      </c>
      <c r="B2997" s="9" t="inlineStr">
        <is>
          <t>HAIFENG 11/03/2026</t>
        </is>
      </c>
      <c r="C2997" s="9" t="inlineStr">
        <is>
          <t>2026-03-11</t>
        </is>
      </c>
      <c r="D2997" s="9" t="inlineStr">
        <is>
          <t>45043621046701</t>
        </is>
      </c>
      <c r="E2997" s="9" t="inlineStr">
        <is>
          <t>ARETES T GOLD CON ZIRCONIA</t>
        </is>
      </c>
      <c r="F2997" s="9" t="inlineStr">
        <is>
          <t>Default Title</t>
        </is>
      </c>
      <c r="G2997" s="9" t="n">
        <v>3</v>
      </c>
      <c r="H2997" s="21" t="n">
        <v>10</v>
      </c>
      <c r="I2997" s="21" t="n">
        <v>213.04</v>
      </c>
      <c r="J2997" s="21" t="n">
        <v>639.12</v>
      </c>
      <c r="K2997" s="21" t="n">
        <v>745.64</v>
      </c>
      <c r="L2997" s="21" t="n">
        <v>852.16</v>
      </c>
      <c r="M2997" s="21" t="n">
        <v>749</v>
      </c>
    </row>
    <row r="2998">
      <c r="A2998" s="9" t="inlineStr">
        <is>
          <t>HAIFENG</t>
        </is>
      </c>
      <c r="B2998" s="9" t="inlineStr">
        <is>
          <t>HAIFENG 11/03/2026</t>
        </is>
      </c>
      <c r="C2998" s="9" t="inlineStr">
        <is>
          <t>2026-03-11</t>
        </is>
      </c>
      <c r="D2998" s="9" t="inlineStr">
        <is>
          <t>89790741264077</t>
        </is>
      </c>
      <c r="E2998" s="9" t="inlineStr">
        <is>
          <t>ARETES T ROSEGOLD CON ZIRCONIA</t>
        </is>
      </c>
      <c r="F2998" s="9" t="inlineStr">
        <is>
          <t>Default Title</t>
        </is>
      </c>
      <c r="G2998" s="9" t="n">
        <v>2</v>
      </c>
      <c r="H2998" s="21" t="n">
        <v>10</v>
      </c>
      <c r="I2998" s="21" t="n">
        <v>213.04</v>
      </c>
      <c r="J2998" s="21" t="n">
        <v>639.12</v>
      </c>
      <c r="K2998" s="21" t="n">
        <v>745.64</v>
      </c>
      <c r="L2998" s="21" t="n">
        <v>852.16</v>
      </c>
      <c r="M2998" s="21" t="n">
        <v>830</v>
      </c>
    </row>
    <row r="2999">
      <c r="A2999" s="9" t="inlineStr">
        <is>
          <t>HAIFENG</t>
        </is>
      </c>
      <c r="B2999" s="9" t="inlineStr">
        <is>
          <t>HAIFENG 11/03/2026</t>
        </is>
      </c>
      <c r="C2999" s="9" t="inlineStr">
        <is>
          <t>2026-03-11</t>
        </is>
      </c>
      <c r="D2999" s="9" t="inlineStr">
        <is>
          <t>661784a190a7f</t>
        </is>
      </c>
      <c r="E2999" s="9" t="inlineStr">
        <is>
          <t>ARETES TREBOL GOLD-RED</t>
        </is>
      </c>
      <c r="F2999" s="9" t="inlineStr">
        <is>
          <t>HIGH QUALITY</t>
        </is>
      </c>
      <c r="G2999" s="9" t="n">
        <v>3</v>
      </c>
      <c r="H2999" s="21" t="n">
        <v>8</v>
      </c>
      <c r="I2999" s="21" t="n">
        <v>170.43</v>
      </c>
      <c r="J2999" s="21" t="n">
        <v>511.29</v>
      </c>
      <c r="K2999" s="21" t="n">
        <v>596.51</v>
      </c>
      <c r="L2999" s="21" t="n">
        <v>681.72</v>
      </c>
      <c r="M2999" s="21" t="n">
        <v>832</v>
      </c>
    </row>
    <row r="3000">
      <c r="A3000" s="9" t="inlineStr">
        <is>
          <t>HAIFENG</t>
        </is>
      </c>
      <c r="B3000" s="9" t="inlineStr">
        <is>
          <t>HAIFENG 11/03/2026</t>
        </is>
      </c>
      <c r="C3000" s="9" t="inlineStr">
        <is>
          <t>2026-03-11</t>
        </is>
      </c>
      <c r="D3000" s="9" t="inlineStr">
        <is>
          <t>6617849b95942</t>
        </is>
      </c>
      <c r="E3000" s="9" t="inlineStr">
        <is>
          <t>ARETES TREBOL SILVER BLACK</t>
        </is>
      </c>
      <c r="F3000" s="9" t="inlineStr">
        <is>
          <t>Default Title</t>
        </is>
      </c>
      <c r="G3000" s="9" t="n">
        <v>4</v>
      </c>
      <c r="H3000" s="21" t="n">
        <v>8</v>
      </c>
      <c r="I3000" s="21" t="n">
        <v>170.43</v>
      </c>
      <c r="J3000" s="21" t="n">
        <v>511.29</v>
      </c>
      <c r="K3000" s="21" t="n">
        <v>596.51</v>
      </c>
      <c r="L3000" s="21" t="n">
        <v>681.72</v>
      </c>
      <c r="M3000" s="21" t="n">
        <v>832</v>
      </c>
    </row>
    <row r="3001">
      <c r="A3001" s="9" t="inlineStr">
        <is>
          <t>HAIFENG</t>
        </is>
      </c>
      <c r="B3001" s="9" t="inlineStr">
        <is>
          <t>HAIFENG 11/03/2026</t>
        </is>
      </c>
      <c r="C3001" s="9" t="inlineStr">
        <is>
          <t>2026-03-11</t>
        </is>
      </c>
      <c r="D3001" s="9" t="inlineStr">
        <is>
          <t>665bb7808142d</t>
        </is>
      </c>
      <c r="E3001" s="9" t="inlineStr">
        <is>
          <t>ARETES TRES AROS</t>
        </is>
      </c>
      <c r="F3001" s="9" t="inlineStr">
        <is>
          <t>Default Title</t>
        </is>
      </c>
      <c r="G3001" s="9" t="n">
        <v>9</v>
      </c>
      <c r="H3001" s="21" t="n">
        <v>7.9</v>
      </c>
      <c r="I3001" s="21" t="n">
        <v>168.3</v>
      </c>
      <c r="J3001" s="21" t="n">
        <v>504.9</v>
      </c>
      <c r="K3001" s="21" t="n">
        <v>589.05</v>
      </c>
      <c r="L3001" s="21" t="n">
        <v>673.2</v>
      </c>
      <c r="M3001" s="21" t="n">
        <v>651</v>
      </c>
    </row>
    <row r="3002">
      <c r="A3002" s="9" t="inlineStr">
        <is>
          <t>HAIFENG</t>
        </is>
      </c>
      <c r="B3002" s="9" t="inlineStr">
        <is>
          <t>HAIFENG 11/03/2026</t>
        </is>
      </c>
      <c r="C3002" s="9" t="inlineStr">
        <is>
          <t>2026-03-11</t>
        </is>
      </c>
      <c r="D3002" s="9" t="inlineStr">
        <is>
          <t>86347033785069</t>
        </is>
      </c>
      <c r="E3002" s="9" t="inlineStr">
        <is>
          <t>ARRACADAS KNOT ROSEGOLD ZIRCONIAS</t>
        </is>
      </c>
      <c r="F3002" s="9" t="inlineStr">
        <is>
          <t>Default Title</t>
        </is>
      </c>
      <c r="G3002" s="9" t="n">
        <v>2</v>
      </c>
      <c r="H3002" s="21" t="n">
        <v>8</v>
      </c>
      <c r="I3002" s="21" t="n">
        <v>170.43</v>
      </c>
      <c r="J3002" s="21" t="n">
        <v>511.29</v>
      </c>
      <c r="K3002" s="21" t="n">
        <v>596.51</v>
      </c>
      <c r="L3002" s="21" t="n">
        <v>681.72</v>
      </c>
      <c r="M3002" s="21" t="n">
        <v>670</v>
      </c>
    </row>
    <row r="3003">
      <c r="A3003" s="9" t="inlineStr">
        <is>
          <t>HAIFENG</t>
        </is>
      </c>
      <c r="B3003" s="9" t="inlineStr">
        <is>
          <t>HAIFENG 11/03/2026</t>
        </is>
      </c>
      <c r="C3003" s="9" t="inlineStr">
        <is>
          <t>2026-03-11</t>
        </is>
      </c>
      <c r="D3003" s="9" t="inlineStr">
        <is>
          <t>67201531837869</t>
        </is>
      </c>
      <c r="E3003" s="9" t="inlineStr">
        <is>
          <t>BRAZALETE KELLY CLIC H ROSE GOLD</t>
        </is>
      </c>
      <c r="F3003" s="9" t="inlineStr">
        <is>
          <t>HIGH QUALITY</t>
        </is>
      </c>
      <c r="G3003" s="9" t="n">
        <v>3</v>
      </c>
      <c r="H3003" s="21" t="n">
        <v>10</v>
      </c>
      <c r="I3003" s="21" t="n">
        <v>213.04</v>
      </c>
      <c r="J3003" s="21" t="n">
        <v>639.12</v>
      </c>
      <c r="K3003" s="21" t="n">
        <v>745.64</v>
      </c>
      <c r="L3003" s="21" t="n">
        <v>852.16</v>
      </c>
      <c r="M3003" s="21" t="n">
        <v>824</v>
      </c>
    </row>
    <row r="3004">
      <c r="A3004" s="9" t="inlineStr">
        <is>
          <t>HAIFENG</t>
        </is>
      </c>
      <c r="B3004" s="9" t="inlineStr">
        <is>
          <t>HAIFENG 11/03/2026</t>
        </is>
      </c>
      <c r="C3004" s="9" t="inlineStr">
        <is>
          <t>2026-03-11</t>
        </is>
      </c>
      <c r="D3004" s="9" t="inlineStr">
        <is>
          <t>86347033456237</t>
        </is>
      </c>
      <c r="E3004" s="9" t="inlineStr">
        <is>
          <t>BRAZALETE TITAN GOLD ZIRCONIAS</t>
        </is>
      </c>
      <c r="F3004" s="9" t="inlineStr">
        <is>
          <t>Default Title</t>
        </is>
      </c>
      <c r="G3004" s="9" t="n">
        <v>2</v>
      </c>
      <c r="H3004" s="21" t="n">
        <v>10</v>
      </c>
      <c r="I3004" s="21" t="n">
        <v>213.04</v>
      </c>
      <c r="J3004" s="21" t="n">
        <v>639.12</v>
      </c>
      <c r="K3004" s="21" t="n">
        <v>745.64</v>
      </c>
      <c r="L3004" s="21" t="n">
        <v>852.16</v>
      </c>
      <c r="M3004" s="21" t="n">
        <v>824</v>
      </c>
    </row>
    <row r="3005">
      <c r="A3005" s="9" t="inlineStr">
        <is>
          <t>HAIFENG</t>
        </is>
      </c>
      <c r="B3005" s="9" t="inlineStr">
        <is>
          <t>HAIFENG 11/03/2026</t>
        </is>
      </c>
      <c r="C3005" s="9" t="inlineStr">
        <is>
          <t>2026-03-11</t>
        </is>
      </c>
      <c r="D3005" s="9" t="inlineStr">
        <is>
          <t>56481484584844</t>
        </is>
      </c>
      <c r="E3005" s="9" t="inlineStr">
        <is>
          <t>COLLAR BEAN GOLD</t>
        </is>
      </c>
      <c r="F3005" s="9" t="inlineStr">
        <is>
          <t>41cm con 5cm de extensión</t>
        </is>
      </c>
      <c r="G3005" s="9" t="n">
        <v>8</v>
      </c>
      <c r="H3005" s="21" t="n">
        <v>6</v>
      </c>
      <c r="I3005" s="21" t="n">
        <v>127.82</v>
      </c>
      <c r="J3005" s="21" t="n">
        <v>383.47</v>
      </c>
      <c r="K3005" s="21" t="n">
        <v>447.38</v>
      </c>
      <c r="L3005" s="21" t="n">
        <v>511.29</v>
      </c>
      <c r="M3005" s="21" t="n">
        <v>520</v>
      </c>
    </row>
    <row r="3006">
      <c r="A3006" s="9" t="inlineStr">
        <is>
          <t>HAIFENG</t>
        </is>
      </c>
      <c r="B3006" s="9" t="inlineStr">
        <is>
          <t>HAIFENG 11/03/2026</t>
        </is>
      </c>
      <c r="C3006" s="9" t="inlineStr">
        <is>
          <t>2026-03-11</t>
        </is>
      </c>
      <c r="D3006" s="9" t="inlineStr">
        <is>
          <t>33801891077645</t>
        </is>
      </c>
      <c r="E3006" s="9" t="inlineStr">
        <is>
          <t>COLLAR BV SILVER SERPIENTE</t>
        </is>
      </c>
      <c r="F3006" s="9" t="inlineStr">
        <is>
          <t>Default Title</t>
        </is>
      </c>
      <c r="G3006" s="9" t="n">
        <v>3</v>
      </c>
      <c r="H3006" s="21" t="n">
        <v>7</v>
      </c>
      <c r="I3006" s="21" t="n">
        <v>149.13</v>
      </c>
      <c r="J3006" s="21" t="n">
        <v>447.38</v>
      </c>
      <c r="K3006" s="21" t="n">
        <v>521.95</v>
      </c>
      <c r="L3006" s="21" t="n">
        <v>596.51</v>
      </c>
      <c r="M3006" s="21" t="n">
        <v>576.8</v>
      </c>
    </row>
    <row r="3007">
      <c r="A3007" s="9" t="inlineStr">
        <is>
          <t>HAIFENG</t>
        </is>
      </c>
      <c r="B3007" s="9" t="inlineStr">
        <is>
          <t>HAIFENG 11/03/2026</t>
        </is>
      </c>
      <c r="C3007" s="9" t="inlineStr">
        <is>
          <t>2026-03-11</t>
        </is>
      </c>
      <c r="D3007" s="9" t="inlineStr">
        <is>
          <t>43728082327916</t>
        </is>
      </c>
      <c r="E3007" s="9" t="inlineStr">
        <is>
          <t>COLLAR C D’AMOUR GOLD</t>
        </is>
      </c>
      <c r="F3007" s="9" t="inlineStr">
        <is>
          <t>44cm con 5cm de extensión</t>
        </is>
      </c>
      <c r="G3007" s="9" t="n">
        <v>3</v>
      </c>
      <c r="H3007" s="21" t="n">
        <v>2.99</v>
      </c>
      <c r="I3007" s="21" t="n">
        <v>63.7</v>
      </c>
      <c r="J3007" s="21" t="n">
        <v>191.1</v>
      </c>
      <c r="K3007" s="21" t="n">
        <v>222.95</v>
      </c>
      <c r="L3007" s="21" t="n">
        <v>254.79</v>
      </c>
      <c r="M3007" s="21" t="n">
        <v>525</v>
      </c>
    </row>
    <row r="3008">
      <c r="A3008" s="9" t="inlineStr">
        <is>
          <t>HAIFENG</t>
        </is>
      </c>
      <c r="B3008" s="9" t="inlineStr">
        <is>
          <t>HAIFENG 11/03/2026</t>
        </is>
      </c>
      <c r="C3008" s="9" t="inlineStr">
        <is>
          <t>2026-03-11</t>
        </is>
      </c>
      <c r="D3008" s="9" t="inlineStr">
        <is>
          <t>86347032494669</t>
        </is>
      </c>
      <c r="E3008" s="9" t="inlineStr">
        <is>
          <t>COLLAR CD PETIT LUCKY GOLD</t>
        </is>
      </c>
      <c r="F3008" s="9" t="inlineStr">
        <is>
          <t>Default Title</t>
        </is>
      </c>
      <c r="G3008" s="9" t="n">
        <v>4</v>
      </c>
      <c r="H3008" s="21" t="n">
        <v>12</v>
      </c>
      <c r="I3008" s="21" t="n">
        <v>255.65</v>
      </c>
      <c r="J3008" s="21" t="n">
        <v>766.9400000000001</v>
      </c>
      <c r="K3008" s="21" t="n">
        <v>894.76</v>
      </c>
      <c r="L3008" s="21" t="n">
        <v>1022.59</v>
      </c>
      <c r="M3008" s="21" t="n">
        <v>999</v>
      </c>
    </row>
    <row r="3009">
      <c r="A3009" s="9" t="inlineStr">
        <is>
          <t>HAIFENG</t>
        </is>
      </c>
      <c r="B3009" s="9" t="inlineStr">
        <is>
          <t>HAIFENG 11/03/2026</t>
        </is>
      </c>
      <c r="C3009" s="9" t="inlineStr">
        <is>
          <t>2026-03-11</t>
        </is>
      </c>
      <c r="D3009" s="9" t="inlineStr">
        <is>
          <t>43016717566092</t>
        </is>
      </c>
      <c r="E3009" s="9" t="inlineStr">
        <is>
          <t>COLLAR CLASH ROSEGOLD</t>
        </is>
      </c>
      <c r="F3009" s="9" t="inlineStr">
        <is>
          <t>50cm</t>
        </is>
      </c>
      <c r="G3009" s="9" t="n">
        <v>1</v>
      </c>
      <c r="H3009" s="21" t="n">
        <v>8</v>
      </c>
      <c r="I3009" s="21" t="n">
        <v>170.43</v>
      </c>
      <c r="J3009" s="21" t="n">
        <v>511.29</v>
      </c>
      <c r="K3009" s="21" t="n">
        <v>596.51</v>
      </c>
      <c r="L3009" s="21" t="n">
        <v>681.72</v>
      </c>
      <c r="M3009" s="21" t="n">
        <v>700</v>
      </c>
    </row>
    <row r="3010">
      <c r="A3010" s="9" t="inlineStr">
        <is>
          <t>HAIFENG</t>
        </is>
      </c>
      <c r="B3010" s="9" t="inlineStr">
        <is>
          <t>HAIFENG 11/03/2026</t>
        </is>
      </c>
      <c r="C3010" s="9" t="inlineStr">
        <is>
          <t>2026-03-11</t>
        </is>
      </c>
      <c r="D3010" s="9" t="inlineStr">
        <is>
          <t>16048621033133</t>
        </is>
      </c>
      <c r="E3010" s="9" t="inlineStr">
        <is>
          <t>COLLAR MSS MOVE ROSEGOLD LISO</t>
        </is>
      </c>
      <c r="F3010" s="9" t="inlineStr">
        <is>
          <t>Default Title</t>
        </is>
      </c>
      <c r="G3010" s="9" t="n">
        <v>2</v>
      </c>
      <c r="H3010" s="21" t="n">
        <v>8</v>
      </c>
      <c r="I3010" s="21" t="n">
        <v>170.43</v>
      </c>
      <c r="J3010" s="21" t="n">
        <v>511.29</v>
      </c>
      <c r="K3010" s="21" t="n">
        <v>596.51</v>
      </c>
      <c r="L3010" s="21" t="n">
        <v>681.72</v>
      </c>
      <c r="M3010" s="21" t="n">
        <v>659.2</v>
      </c>
    </row>
    <row r="3011">
      <c r="A3011" s="9" t="inlineStr">
        <is>
          <t>HAIFENG</t>
        </is>
      </c>
      <c r="B3011" s="9" t="inlineStr">
        <is>
          <t>HAIFENG 11/03/2026</t>
        </is>
      </c>
      <c r="C3011" s="9" t="inlineStr">
        <is>
          <t>2026-03-11</t>
        </is>
      </c>
      <c r="D3011" s="9" t="inlineStr">
        <is>
          <t>50869451078413</t>
        </is>
      </c>
      <c r="E3011" s="9" t="inlineStr">
        <is>
          <t>COLLAR MSS ROSEGOLD CON ZIRCONIA</t>
        </is>
      </c>
      <c r="F3011" s="9" t="inlineStr">
        <is>
          <t>Default Title</t>
        </is>
      </c>
      <c r="G3011" s="9" t="n">
        <v>3</v>
      </c>
      <c r="H3011" s="21" t="n">
        <v>8</v>
      </c>
      <c r="I3011" s="21" t="n">
        <v>170.43</v>
      </c>
      <c r="J3011" s="21" t="n">
        <v>511.29</v>
      </c>
      <c r="K3011" s="21" t="n">
        <v>596.51</v>
      </c>
      <c r="L3011" s="21" t="n">
        <v>681.72</v>
      </c>
      <c r="M3011" s="21" t="n">
        <v>660</v>
      </c>
    </row>
    <row r="3012">
      <c r="A3012" s="9" t="inlineStr">
        <is>
          <t>HAIFENG</t>
        </is>
      </c>
      <c r="B3012" s="9" t="inlineStr">
        <is>
          <t>HAIFENG 11/03/2026</t>
        </is>
      </c>
      <c r="C3012" s="9" t="inlineStr">
        <is>
          <t>2026-03-11</t>
        </is>
      </c>
      <c r="D3012" s="9" t="inlineStr">
        <is>
          <t>63e0bf8dbe95e</t>
        </is>
      </c>
      <c r="E3012" s="9" t="inlineStr">
        <is>
          <t>COLLAR SMILE DORADO</t>
        </is>
      </c>
      <c r="F3012" s="9" t="inlineStr">
        <is>
          <t>MEDIUM</t>
        </is>
      </c>
      <c r="G3012" s="9" t="n">
        <v>15</v>
      </c>
      <c r="H3012" s="21" t="n">
        <v>3.4</v>
      </c>
      <c r="I3012" s="21" t="n">
        <v>72.43000000000001</v>
      </c>
      <c r="J3012" s="21" t="n">
        <v>217.3</v>
      </c>
      <c r="K3012" s="21" t="n">
        <v>253.52</v>
      </c>
      <c r="L3012" s="21" t="n">
        <v>289.73</v>
      </c>
      <c r="M3012" s="21" t="n">
        <v>460</v>
      </c>
    </row>
    <row r="3013">
      <c r="A3013" s="9" t="inlineStr">
        <is>
          <t>HAIFENG</t>
        </is>
      </c>
      <c r="B3013" s="9" t="inlineStr">
        <is>
          <t>HAIFENG 11/03/2026</t>
        </is>
      </c>
      <c r="C3013" s="9" t="inlineStr">
        <is>
          <t>2026-03-11</t>
        </is>
      </c>
      <c r="D3013" s="9" t="inlineStr">
        <is>
          <t>668eee443df70</t>
        </is>
      </c>
      <c r="E3013" s="9" t="inlineStr">
        <is>
          <t>COLLAR SMILE SILVER</t>
        </is>
      </c>
      <c r="F3013" s="9" t="inlineStr">
        <is>
          <t>Cadena ajustable de 40.6 a 45.7 cm</t>
        </is>
      </c>
      <c r="G3013" s="9" t="n">
        <v>8</v>
      </c>
      <c r="H3013" s="21" t="n">
        <v>3.8</v>
      </c>
      <c r="I3013" s="21" t="n">
        <v>80.95</v>
      </c>
      <c r="J3013" s="21" t="n">
        <v>242.86</v>
      </c>
      <c r="K3013" s="21" t="n">
        <v>283.34</v>
      </c>
      <c r="L3013" s="21" t="n">
        <v>323.82</v>
      </c>
      <c r="M3013" s="21" t="n">
        <v>460</v>
      </c>
    </row>
    <row r="3014">
      <c r="A3014" s="9" t="inlineStr">
        <is>
          <t>HAIFENG</t>
        </is>
      </c>
      <c r="B3014" s="9" t="inlineStr">
        <is>
          <t>HAIFENG 11/03/2026</t>
        </is>
      </c>
      <c r="C3014" s="9" t="inlineStr">
        <is>
          <t>2026-03-11</t>
        </is>
      </c>
      <c r="D3014" s="9" t="inlineStr">
        <is>
          <t>665bbe801cd41</t>
        </is>
      </c>
      <c r="E3014" s="9" t="inlineStr">
        <is>
          <t>COLLAR TREBOL ROSEGOLD-RED</t>
        </is>
      </c>
      <c r="F3014" s="9" t="inlineStr">
        <is>
          <t>High Quality 45cm y dije 15mm</t>
        </is>
      </c>
      <c r="G3014" s="9" t="n">
        <v>5</v>
      </c>
      <c r="H3014" s="21" t="n">
        <v>4</v>
      </c>
      <c r="I3014" s="21" t="n">
        <v>85.22</v>
      </c>
      <c r="J3014" s="21" t="n">
        <v>255.65</v>
      </c>
      <c r="K3014" s="21" t="n">
        <v>298.25</v>
      </c>
      <c r="L3014" s="21" t="n">
        <v>340.86</v>
      </c>
      <c r="M3014" s="21" t="n">
        <v>899</v>
      </c>
    </row>
    <row r="3015">
      <c r="A3015" s="9" t="inlineStr">
        <is>
          <t>HAIFENG</t>
        </is>
      </c>
      <c r="B3015" s="9" t="inlineStr">
        <is>
          <t>HAIFENG 11/03/2026</t>
        </is>
      </c>
      <c r="C3015" s="9" t="inlineStr">
        <is>
          <t>2026-03-11</t>
        </is>
      </c>
      <c r="D3015" s="9" t="inlineStr">
        <is>
          <t>665bbe8b6904f</t>
        </is>
      </c>
      <c r="E3015" s="9" t="inlineStr">
        <is>
          <t>COLLAR TRES AROS</t>
        </is>
      </c>
      <c r="F3015" s="9" t="inlineStr">
        <is>
          <t>45cm</t>
        </is>
      </c>
      <c r="G3015" s="9" t="n">
        <v>2</v>
      </c>
      <c r="H3015" s="21" t="n">
        <v>7</v>
      </c>
      <c r="I3015" s="21" t="n">
        <v>149.13</v>
      </c>
      <c r="J3015" s="21" t="n">
        <v>447.38</v>
      </c>
      <c r="K3015" s="21" t="n">
        <v>521.95</v>
      </c>
      <c r="L3015" s="21" t="n">
        <v>596.51</v>
      </c>
      <c r="M3015" s="21" t="n">
        <v>580</v>
      </c>
    </row>
    <row r="3016">
      <c r="A3016" s="9" t="inlineStr">
        <is>
          <t>HAIFENG</t>
        </is>
      </c>
      <c r="B3016" s="9" t="inlineStr">
        <is>
          <t>HAIFENG 11/03/2026</t>
        </is>
      </c>
      <c r="C3016" s="9" t="inlineStr">
        <is>
          <t>2026-03-11</t>
        </is>
      </c>
      <c r="D3016" s="9" t="inlineStr">
        <is>
          <t>31078753113261</t>
        </is>
      </c>
      <c r="E3016" s="9" t="inlineStr">
        <is>
          <t>PULSERA BV.ZERO GAPS GOLD</t>
        </is>
      </c>
      <c r="F3016" s="9" t="inlineStr">
        <is>
          <t>Default Title</t>
        </is>
      </c>
      <c r="G3016" s="9" t="n">
        <v>2</v>
      </c>
      <c r="H3016" s="21" t="n">
        <v>8.5</v>
      </c>
      <c r="I3016" s="21" t="n">
        <v>181.08</v>
      </c>
      <c r="J3016" s="21" t="n">
        <v>543.25</v>
      </c>
      <c r="K3016" s="21" t="n">
        <v>633.79</v>
      </c>
      <c r="L3016" s="21" t="n">
        <v>724.33</v>
      </c>
      <c r="M3016" s="21" t="n">
        <v>720</v>
      </c>
    </row>
    <row r="3017">
      <c r="A3017" s="9" t="inlineStr">
        <is>
          <t>HAIFENG</t>
        </is>
      </c>
      <c r="B3017" s="9" t="inlineStr">
        <is>
          <t>HAIFENG 11/03/2026</t>
        </is>
      </c>
      <c r="C3017" s="9" t="inlineStr">
        <is>
          <t>2026-03-11</t>
        </is>
      </c>
      <c r="D3017" s="9" t="inlineStr">
        <is>
          <t>91078753349421</t>
        </is>
      </c>
      <c r="E3017" s="9" t="inlineStr">
        <is>
          <t>PULSERA BV.ZERO GAPS ROSEGOLD</t>
        </is>
      </c>
      <c r="F3017" s="9" t="inlineStr">
        <is>
          <t>Default Title</t>
        </is>
      </c>
      <c r="G3017" s="9" t="n">
        <v>1</v>
      </c>
      <c r="H3017" s="21" t="n">
        <v>8.5</v>
      </c>
      <c r="I3017" s="21" t="n">
        <v>181.08</v>
      </c>
      <c r="J3017" s="21" t="n">
        <v>543.25</v>
      </c>
      <c r="K3017" s="21" t="n">
        <v>633.79</v>
      </c>
      <c r="L3017" s="21" t="n">
        <v>724.33</v>
      </c>
      <c r="M3017" s="21" t="n">
        <v>700.4</v>
      </c>
    </row>
    <row r="3018">
      <c r="A3018" s="9" t="inlineStr">
        <is>
          <t>HAIFENG</t>
        </is>
      </c>
      <c r="B3018" s="9" t="inlineStr">
        <is>
          <t>HAIFENG 11/03/2026</t>
        </is>
      </c>
      <c r="C3018" s="9" t="inlineStr">
        <is>
          <t>2026-03-11</t>
        </is>
      </c>
      <c r="D3018" s="9" t="inlineStr">
        <is>
          <t>31078752766317</t>
        </is>
      </c>
      <c r="E3018" s="9" t="inlineStr">
        <is>
          <t>PULSERA C LOGO GOLD</t>
        </is>
      </c>
      <c r="F3018" s="9" t="inlineStr">
        <is>
          <t>Dije 7mm 16cm de largo con 2cm de extensión</t>
        </is>
      </c>
      <c r="G3018" s="9" t="n">
        <v>1</v>
      </c>
      <c r="H3018" s="21" t="n">
        <v>7.9</v>
      </c>
      <c r="I3018" s="21" t="n">
        <v>168.3</v>
      </c>
      <c r="J3018" s="21" t="n">
        <v>504.9</v>
      </c>
      <c r="K3018" s="21" t="n">
        <v>589.05</v>
      </c>
      <c r="L3018" s="21" t="n">
        <v>673.2</v>
      </c>
      <c r="M3018" s="21" t="n">
        <v>660</v>
      </c>
    </row>
    <row r="3019">
      <c r="A3019" s="9" t="inlineStr">
        <is>
          <t>HAIFENG</t>
        </is>
      </c>
      <c r="B3019" s="9" t="inlineStr">
        <is>
          <t>HAIFENG 11/03/2026</t>
        </is>
      </c>
      <c r="C3019" s="9" t="inlineStr">
        <is>
          <t>2026-03-11</t>
        </is>
      </c>
      <c r="D3019" s="9" t="inlineStr">
        <is>
          <t>71078752697389</t>
        </is>
      </c>
      <c r="E3019" s="9" t="inlineStr">
        <is>
          <t>PULSERA C LOGO SILVER</t>
        </is>
      </c>
      <c r="F3019" s="9" t="inlineStr">
        <is>
          <t>Default Title</t>
        </is>
      </c>
      <c r="G3019" s="9" t="n">
        <v>1</v>
      </c>
      <c r="H3019" s="21" t="n">
        <v>7.9</v>
      </c>
      <c r="I3019" s="21" t="n">
        <v>168.3</v>
      </c>
      <c r="J3019" s="21" t="n">
        <v>504.9</v>
      </c>
      <c r="K3019" s="21" t="n">
        <v>589.05</v>
      </c>
      <c r="L3019" s="21" t="n">
        <v>673.2</v>
      </c>
      <c r="M3019" s="21" t="n">
        <v>658.38</v>
      </c>
    </row>
    <row r="3020">
      <c r="A3020" s="9" t="inlineStr">
        <is>
          <t>HAIFENG</t>
        </is>
      </c>
      <c r="B3020" s="9" t="inlineStr">
        <is>
          <t>HAIFENG 11/03/2026</t>
        </is>
      </c>
      <c r="C3020" s="9" t="inlineStr">
        <is>
          <t>2026-03-11</t>
        </is>
      </c>
      <c r="D3020" s="9" t="inlineStr">
        <is>
          <t>63e0c23442e74</t>
        </is>
      </c>
      <c r="E3020" s="9" t="inlineStr">
        <is>
          <t>PULSERA CLIC H GOLD BLACK</t>
        </is>
      </c>
      <c r="F3020" s="9" t="inlineStr">
        <is>
          <t>16.8 cm</t>
        </is>
      </c>
      <c r="G3020" s="9" t="n">
        <v>2</v>
      </c>
      <c r="H3020" s="21" t="n">
        <v>5</v>
      </c>
      <c r="I3020" s="21" t="n">
        <v>106.52</v>
      </c>
      <c r="J3020" s="21" t="n">
        <v>319.56</v>
      </c>
      <c r="K3020" s="21" t="n">
        <v>372.82</v>
      </c>
      <c r="L3020" s="21" t="n">
        <v>426.08</v>
      </c>
      <c r="M3020" s="21" t="n">
        <v>569</v>
      </c>
    </row>
    <row r="3021">
      <c r="A3021" s="9" t="inlineStr">
        <is>
          <t>HAIFENG</t>
        </is>
      </c>
      <c r="B3021" s="9" t="inlineStr">
        <is>
          <t>HAIFENG 11/03/2026</t>
        </is>
      </c>
      <c r="C3021" s="9" t="inlineStr">
        <is>
          <t>2026-03-11</t>
        </is>
      </c>
      <c r="D3021" s="9" t="inlineStr">
        <is>
          <t>63ebde48917bc</t>
        </is>
      </c>
      <c r="E3021" s="9" t="inlineStr">
        <is>
          <t>PULSERA CLIC H GOLD BLUE</t>
        </is>
      </c>
      <c r="F3021" s="9" t="inlineStr">
        <is>
          <t>16.8 cm</t>
        </is>
      </c>
      <c r="G3021" s="9" t="n">
        <v>2</v>
      </c>
      <c r="H3021" s="21" t="n">
        <v>5</v>
      </c>
      <c r="I3021" s="21" t="n">
        <v>106.52</v>
      </c>
      <c r="J3021" s="21" t="n">
        <v>319.56</v>
      </c>
      <c r="K3021" s="21" t="n">
        <v>372.82</v>
      </c>
      <c r="L3021" s="21" t="n">
        <v>426.08</v>
      </c>
      <c r="M3021" s="21" t="n">
        <v>550</v>
      </c>
    </row>
    <row r="3022">
      <c r="A3022" s="9" t="inlineStr">
        <is>
          <t>HAIFENG</t>
        </is>
      </c>
      <c r="B3022" s="9" t="inlineStr">
        <is>
          <t>HAIFENG 11/03/2026</t>
        </is>
      </c>
      <c r="C3022" s="9" t="inlineStr">
        <is>
          <t>2026-03-11</t>
        </is>
      </c>
      <c r="D3022" s="9" t="inlineStr">
        <is>
          <t>63e0c23142764</t>
        </is>
      </c>
      <c r="E3022" s="9" t="inlineStr">
        <is>
          <t>PULSERA CLIC H GOLD PINK</t>
        </is>
      </c>
      <c r="F3022" s="9" t="inlineStr">
        <is>
          <t>16.8 cm</t>
        </is>
      </c>
      <c r="G3022" s="9" t="n">
        <v>5</v>
      </c>
      <c r="H3022" s="21" t="n">
        <v>5</v>
      </c>
      <c r="I3022" s="21" t="n">
        <v>106.52</v>
      </c>
      <c r="J3022" s="21" t="n">
        <v>319.56</v>
      </c>
      <c r="K3022" s="21" t="n">
        <v>372.82</v>
      </c>
      <c r="L3022" s="21" t="n">
        <v>426.08</v>
      </c>
      <c r="M3022" s="21" t="n">
        <v>550</v>
      </c>
    </row>
    <row r="3023">
      <c r="A3023" s="9" t="inlineStr">
        <is>
          <t>HAIFENG</t>
        </is>
      </c>
      <c r="B3023" s="9" t="inlineStr">
        <is>
          <t>HAIFENG 11/03/2026</t>
        </is>
      </c>
      <c r="C3023" s="9" t="inlineStr">
        <is>
          <t>2026-03-11</t>
        </is>
      </c>
      <c r="D3023" s="9" t="inlineStr">
        <is>
          <t>63ebddddb879a</t>
        </is>
      </c>
      <c r="E3023" s="9" t="inlineStr">
        <is>
          <t>PULSERA CLIC H GOLD WHITE</t>
        </is>
      </c>
      <c r="F3023" s="9" t="inlineStr">
        <is>
          <t>16.8 cm</t>
        </is>
      </c>
      <c r="G3023" s="9" t="n">
        <v>7</v>
      </c>
      <c r="H3023" s="21" t="n">
        <v>5</v>
      </c>
      <c r="I3023" s="21" t="n">
        <v>106.52</v>
      </c>
      <c r="J3023" s="21" t="n">
        <v>319.56</v>
      </c>
      <c r="K3023" s="21" t="n">
        <v>372.82</v>
      </c>
      <c r="L3023" s="21" t="n">
        <v>426.08</v>
      </c>
      <c r="M3023" s="21" t="n">
        <v>569</v>
      </c>
    </row>
    <row r="3024">
      <c r="A3024" s="9" t="inlineStr">
        <is>
          <t>HAIFENG</t>
        </is>
      </c>
      <c r="B3024" s="9" t="inlineStr">
        <is>
          <t>HAIFENG 11/03/2026</t>
        </is>
      </c>
      <c r="C3024" s="9" t="inlineStr">
        <is>
          <t>2026-03-11</t>
        </is>
      </c>
      <c r="D3024" s="9" t="inlineStr">
        <is>
          <t>63ebdf168b8f4</t>
        </is>
      </c>
      <c r="E3024" s="9" t="inlineStr">
        <is>
          <t>PULSERA CON INSIGNIA DE MOÑO SILVER</t>
        </is>
      </c>
      <c r="F3024" s="9" t="inlineStr">
        <is>
          <t>16 cm</t>
        </is>
      </c>
      <c r="G3024" s="9" t="n">
        <v>2</v>
      </c>
      <c r="H3024" s="21" t="n">
        <v>5</v>
      </c>
      <c r="I3024" s="21" t="n">
        <v>106.52</v>
      </c>
      <c r="J3024" s="21" t="n">
        <v>319.56</v>
      </c>
      <c r="K3024" s="21" t="n">
        <v>372.82</v>
      </c>
      <c r="L3024" s="21" t="n">
        <v>426.08</v>
      </c>
      <c r="M3024" s="21" t="n">
        <v>525</v>
      </c>
    </row>
    <row r="3025">
      <c r="A3025" s="9" t="inlineStr">
        <is>
          <t>HAIFENG</t>
        </is>
      </c>
      <c r="B3025" s="9" t="inlineStr">
        <is>
          <t>HAIFENG 11/03/2026</t>
        </is>
      </c>
      <c r="C3025" s="9" t="inlineStr">
        <is>
          <t>2026-03-11</t>
        </is>
      </c>
      <c r="D3025" s="9" t="inlineStr">
        <is>
          <t>43047224508556</t>
        </is>
      </c>
      <c r="E3025" s="9" t="inlineStr">
        <is>
          <t>PULSERA DE CUENTAS CON INSIGNIA DE CORAZÓN PINK</t>
        </is>
      </c>
      <c r="F3025" s="9" t="inlineStr">
        <is>
          <t>16 cm</t>
        </is>
      </c>
      <c r="G3025" s="9" t="n">
        <v>12</v>
      </c>
      <c r="H3025" s="21" t="n">
        <v>5</v>
      </c>
      <c r="I3025" s="21" t="n">
        <v>106.52</v>
      </c>
      <c r="J3025" s="21" t="n">
        <v>319.56</v>
      </c>
      <c r="K3025" s="21" t="n">
        <v>372.82</v>
      </c>
      <c r="L3025" s="21" t="n">
        <v>426.08</v>
      </c>
      <c r="M3025" s="21" t="n">
        <v>550</v>
      </c>
    </row>
    <row r="3026">
      <c r="A3026" s="9" t="inlineStr">
        <is>
          <t>HAIFENG</t>
        </is>
      </c>
      <c r="B3026" s="9" t="inlineStr">
        <is>
          <t>HAIFENG 11/03/2026</t>
        </is>
      </c>
      <c r="C3026" s="9" t="inlineStr">
        <is>
          <t>2026-03-11</t>
        </is>
      </c>
      <c r="D3026" s="9" t="inlineStr">
        <is>
          <t>668eee52c5906</t>
        </is>
      </c>
      <c r="E3026" s="9" t="inlineStr">
        <is>
          <t>PULSERA DE CUENTAS CON INSIGNIA DE CORAZÓN RED</t>
        </is>
      </c>
      <c r="F3026" s="9" t="inlineStr">
        <is>
          <t>18 cm</t>
        </is>
      </c>
      <c r="G3026" s="9" t="n">
        <v>3</v>
      </c>
      <c r="H3026" s="21" t="n">
        <v>5</v>
      </c>
      <c r="I3026" s="21" t="n">
        <v>106.52</v>
      </c>
      <c r="J3026" s="21" t="n">
        <v>319.56</v>
      </c>
      <c r="K3026" s="21" t="n">
        <v>372.82</v>
      </c>
      <c r="L3026" s="21" t="n">
        <v>426.08</v>
      </c>
      <c r="M3026" s="21" t="n">
        <v>550</v>
      </c>
    </row>
    <row r="3027">
      <c r="A3027" s="9" t="inlineStr">
        <is>
          <t>HAIFENG</t>
        </is>
      </c>
      <c r="B3027" s="9" t="inlineStr">
        <is>
          <t>HAIFENG 11/03/2026</t>
        </is>
      </c>
      <c r="C3027" s="9" t="inlineStr">
        <is>
          <t>2026-03-11</t>
        </is>
      </c>
      <c r="D3027" s="9" t="inlineStr">
        <is>
          <t>6617748fe62cc</t>
        </is>
      </c>
      <c r="E3027" s="9" t="inlineStr">
        <is>
          <t>PULSERA DE TELA TRES AROS BLACK</t>
        </is>
      </c>
      <c r="F3027" s="9" t="inlineStr">
        <is>
          <t>AJUSTABLE</t>
        </is>
      </c>
      <c r="G3027" s="9" t="n">
        <v>6</v>
      </c>
      <c r="H3027" s="21" t="n">
        <v>4.7</v>
      </c>
      <c r="I3027" s="21" t="n">
        <v>100.13</v>
      </c>
      <c r="J3027" s="21" t="n">
        <v>300.38</v>
      </c>
      <c r="K3027" s="21" t="n">
        <v>350.45</v>
      </c>
      <c r="L3027" s="21" t="n">
        <v>400.51</v>
      </c>
      <c r="M3027" s="21" t="n">
        <v>399</v>
      </c>
    </row>
    <row r="3028">
      <c r="A3028" s="9" t="inlineStr">
        <is>
          <t>HAIFENG</t>
        </is>
      </c>
      <c r="B3028" s="9" t="inlineStr">
        <is>
          <t>HAIFENG 11/03/2026</t>
        </is>
      </c>
      <c r="C3028" s="9" t="inlineStr">
        <is>
          <t>2026-03-11</t>
        </is>
      </c>
      <c r="D3028" s="9" t="inlineStr">
        <is>
          <t>18652671095713</t>
        </is>
      </c>
      <c r="E3028" s="9" t="inlineStr">
        <is>
          <t>PULSERA DE TELA TRES AROS GREY</t>
        </is>
      </c>
      <c r="F3028" s="9" t="inlineStr">
        <is>
          <t>Default Title</t>
        </is>
      </c>
      <c r="G3028" s="9" t="n">
        <v>2</v>
      </c>
      <c r="H3028" s="21" t="n">
        <v>4.7</v>
      </c>
      <c r="I3028" s="21" t="n">
        <v>100.13</v>
      </c>
      <c r="J3028" s="21" t="n">
        <v>300.38</v>
      </c>
      <c r="K3028" s="21" t="n">
        <v>350.45</v>
      </c>
      <c r="L3028" s="21" t="n">
        <v>400.51</v>
      </c>
      <c r="M3028" s="21" t="n">
        <v>399</v>
      </c>
    </row>
    <row r="3029">
      <c r="A3029" s="9" t="inlineStr">
        <is>
          <t>HAIFENG</t>
        </is>
      </c>
      <c r="B3029" s="9" t="inlineStr">
        <is>
          <t>HAIFENG 11/03/2026</t>
        </is>
      </c>
      <c r="C3029" s="9" t="inlineStr">
        <is>
          <t>2026-03-11</t>
        </is>
      </c>
      <c r="D3029" s="9" t="inlineStr">
        <is>
          <t>79274691076205</t>
        </is>
      </c>
      <c r="E3029" s="9" t="inlineStr">
        <is>
          <t>PULSERA LOVE DELGADA GOLD</t>
        </is>
      </c>
      <c r="F3029" s="9" t="inlineStr">
        <is>
          <t>16cm</t>
        </is>
      </c>
      <c r="G3029" s="9" t="n">
        <v>4</v>
      </c>
      <c r="H3029" s="21" t="n">
        <v>5</v>
      </c>
      <c r="I3029" s="21" t="n">
        <v>106.52</v>
      </c>
      <c r="J3029" s="21" t="n">
        <v>319.56</v>
      </c>
      <c r="K3029" s="21" t="n">
        <v>372.82</v>
      </c>
      <c r="L3029" s="21" t="n">
        <v>426.08</v>
      </c>
      <c r="M3029" s="21" t="n">
        <v>499</v>
      </c>
    </row>
    <row r="3030">
      <c r="A3030" s="9" t="inlineStr">
        <is>
          <t>HAIFENG</t>
        </is>
      </c>
      <c r="B3030" s="9" t="inlineStr">
        <is>
          <t>HAIFENG 11/03/2026</t>
        </is>
      </c>
      <c r="C3030" s="9" t="inlineStr">
        <is>
          <t>2026-03-11</t>
        </is>
      </c>
      <c r="D3030" s="9" t="inlineStr">
        <is>
          <t>79274691374509</t>
        </is>
      </c>
      <c r="E3030" s="9" t="inlineStr">
        <is>
          <t>PULSERA LOVE DELGADA GOLD</t>
        </is>
      </c>
      <c r="F3030" s="9" t="inlineStr">
        <is>
          <t>19cm</t>
        </is>
      </c>
      <c r="G3030" s="9" t="n">
        <v>3</v>
      </c>
      <c r="H3030" s="21" t="n">
        <v>5</v>
      </c>
      <c r="I3030" s="21" t="n">
        <v>106.52</v>
      </c>
      <c r="J3030" s="21" t="n">
        <v>319.56</v>
      </c>
      <c r="K3030" s="21" t="n">
        <v>372.82</v>
      </c>
      <c r="L3030" s="21" t="n">
        <v>426.08</v>
      </c>
      <c r="M3030" s="21" t="n">
        <v>499</v>
      </c>
    </row>
    <row r="3031">
      <c r="A3031" s="9" t="inlineStr">
        <is>
          <t>HAIFENG</t>
        </is>
      </c>
      <c r="B3031" s="9" t="inlineStr">
        <is>
          <t>HAIFENG 11/03/2026</t>
        </is>
      </c>
      <c r="C3031" s="9" t="inlineStr">
        <is>
          <t>2026-03-11</t>
        </is>
      </c>
      <c r="D3031" s="9" t="inlineStr">
        <is>
          <t>63ebdf9b7c339</t>
        </is>
      </c>
      <c r="E3031" s="9" t="inlineStr">
        <is>
          <t>PULSERA LOVE DELGADA GOLD CON MICRO ZIRCONIAS</t>
        </is>
      </c>
      <c r="F3031" s="9" t="inlineStr">
        <is>
          <t>20 cm</t>
        </is>
      </c>
      <c r="G3031" s="9" t="n">
        <v>1</v>
      </c>
      <c r="H3031" s="21" t="n">
        <v>13</v>
      </c>
      <c r="I3031" s="21" t="n">
        <v>276.95</v>
      </c>
      <c r="J3031" s="21" t="n">
        <v>830.85</v>
      </c>
      <c r="K3031" s="21" t="n">
        <v>969.33</v>
      </c>
      <c r="L3031" s="21" t="n">
        <v>1107.8</v>
      </c>
      <c r="M3031" s="21" t="n">
        <v>1099</v>
      </c>
    </row>
    <row r="3032">
      <c r="A3032" s="9" t="inlineStr">
        <is>
          <t>HAIFENG</t>
        </is>
      </c>
      <c r="B3032" s="9" t="inlineStr">
        <is>
          <t>HAIFENG 11/03/2026</t>
        </is>
      </c>
      <c r="C3032" s="9" t="inlineStr">
        <is>
          <t>2026-03-11</t>
        </is>
      </c>
      <c r="D3032" s="9" t="inlineStr">
        <is>
          <t>63e0c58da8cda</t>
        </is>
      </c>
      <c r="E3032" s="9" t="inlineStr">
        <is>
          <t>PULSERA LOVE DELGADA ROSE GOLD</t>
        </is>
      </c>
      <c r="F3032" s="9" t="inlineStr">
        <is>
          <t>17cm</t>
        </is>
      </c>
      <c r="G3032" s="9" t="n">
        <v>5</v>
      </c>
      <c r="H3032" s="21" t="n">
        <v>5</v>
      </c>
      <c r="I3032" s="21" t="n">
        <v>106.52</v>
      </c>
      <c r="J3032" s="21" t="n">
        <v>319.56</v>
      </c>
      <c r="K3032" s="21" t="n">
        <v>372.82</v>
      </c>
      <c r="L3032" s="21" t="n">
        <v>426.08</v>
      </c>
      <c r="M3032" s="21" t="n">
        <v>499</v>
      </c>
    </row>
    <row r="3033">
      <c r="A3033" s="9" t="inlineStr">
        <is>
          <t>HAIFENG</t>
        </is>
      </c>
      <c r="B3033" s="9" t="inlineStr">
        <is>
          <t>HAIFENG 11/03/2026</t>
        </is>
      </c>
      <c r="C3033" s="9" t="inlineStr">
        <is>
          <t>2026-03-11</t>
        </is>
      </c>
      <c r="D3033" s="9" t="inlineStr">
        <is>
          <t>63e0c58ca26ac</t>
        </is>
      </c>
      <c r="E3033" s="9" t="inlineStr">
        <is>
          <t>PULSERA LOVE DELGADA ROSE GOLD</t>
        </is>
      </c>
      <c r="F3033" s="9" t="inlineStr">
        <is>
          <t>16 cm</t>
        </is>
      </c>
      <c r="G3033" s="9" t="n">
        <v>2</v>
      </c>
      <c r="H3033" s="21" t="n">
        <v>5</v>
      </c>
      <c r="I3033" s="21" t="n">
        <v>106.52</v>
      </c>
      <c r="J3033" s="21" t="n">
        <v>319.56</v>
      </c>
      <c r="K3033" s="21" t="n">
        <v>372.82</v>
      </c>
      <c r="L3033" s="21" t="n">
        <v>426.08</v>
      </c>
      <c r="M3033" s="21" t="n">
        <v>499</v>
      </c>
    </row>
    <row r="3034">
      <c r="A3034" s="9" t="inlineStr">
        <is>
          <t>HAIFENG</t>
        </is>
      </c>
      <c r="B3034" s="9" t="inlineStr">
        <is>
          <t>HAIFENG 11/03/2026</t>
        </is>
      </c>
      <c r="C3034" s="9" t="inlineStr">
        <is>
          <t>2026-03-11</t>
        </is>
      </c>
      <c r="D3034" s="9" t="inlineStr">
        <is>
          <t>77724991007277</t>
        </is>
      </c>
      <c r="E3034" s="9" t="inlineStr">
        <is>
          <t>PULSERA LOVE DELGADA SILVER</t>
        </is>
      </c>
      <c r="F3034" s="9" t="inlineStr">
        <is>
          <t>16cm</t>
        </is>
      </c>
      <c r="G3034" s="9" t="n">
        <v>5</v>
      </c>
      <c r="H3034" s="21" t="n">
        <v>5</v>
      </c>
      <c r="I3034" s="21" t="n">
        <v>106.52</v>
      </c>
      <c r="J3034" s="21" t="n">
        <v>319.56</v>
      </c>
      <c r="K3034" s="21" t="n">
        <v>372.82</v>
      </c>
      <c r="L3034" s="21" t="n">
        <v>426.08</v>
      </c>
      <c r="M3034" s="21" t="n">
        <v>499</v>
      </c>
    </row>
    <row r="3035">
      <c r="A3035" s="9" t="inlineStr">
        <is>
          <t>HAIFENG</t>
        </is>
      </c>
      <c r="B3035" s="9" t="inlineStr">
        <is>
          <t>HAIFENG 11/03/2026</t>
        </is>
      </c>
      <c r="C3035" s="9" t="inlineStr">
        <is>
          <t>2026-03-11</t>
        </is>
      </c>
      <c r="D3035" s="9" t="inlineStr">
        <is>
          <t>77724991305581</t>
        </is>
      </c>
      <c r="E3035" s="9" t="inlineStr">
        <is>
          <t>PULSERA LOVE DELGADA SILVER</t>
        </is>
      </c>
      <c r="F3035" s="9" t="inlineStr">
        <is>
          <t>19cm</t>
        </is>
      </c>
      <c r="G3035" s="9" t="n">
        <v>5</v>
      </c>
      <c r="H3035" s="21" t="n">
        <v>5</v>
      </c>
      <c r="I3035" s="21" t="n">
        <v>106.52</v>
      </c>
      <c r="J3035" s="21" t="n">
        <v>319.56</v>
      </c>
      <c r="K3035" s="21" t="n">
        <v>372.82</v>
      </c>
      <c r="L3035" s="21" t="n">
        <v>426.08</v>
      </c>
      <c r="M3035" s="21" t="n">
        <v>499</v>
      </c>
    </row>
    <row r="3036">
      <c r="A3036" s="9" t="inlineStr">
        <is>
          <t>HAIFENG</t>
        </is>
      </c>
      <c r="B3036" s="9" t="inlineStr">
        <is>
          <t>HAIFENG 11/03/2026</t>
        </is>
      </c>
      <c r="C3036" s="9" t="inlineStr">
        <is>
          <t>2026-03-11</t>
        </is>
      </c>
      <c r="D3036" s="9" t="inlineStr">
        <is>
          <t>63ebdf2503ebb</t>
        </is>
      </c>
      <c r="E3036" s="9" t="inlineStr">
        <is>
          <t>PULSERA LOVE DELGADA SILVER CON MICRO ZIRCONIAS</t>
        </is>
      </c>
      <c r="F3036" s="9" t="inlineStr">
        <is>
          <t>18 cm</t>
        </is>
      </c>
      <c r="G3036" s="9" t="n">
        <v>3</v>
      </c>
      <c r="H3036" s="21" t="n">
        <v>13</v>
      </c>
      <c r="I3036" s="21" t="n">
        <v>276.95</v>
      </c>
      <c r="J3036" s="21" t="n">
        <v>830.85</v>
      </c>
      <c r="K3036" s="21" t="n">
        <v>969.33</v>
      </c>
      <c r="L3036" s="21" t="n">
        <v>1107.8</v>
      </c>
      <c r="M3036" s="21" t="n">
        <v>1099</v>
      </c>
    </row>
    <row r="3037">
      <c r="A3037" s="9" t="inlineStr">
        <is>
          <t>HAIFENG</t>
        </is>
      </c>
      <c r="B3037" s="9" t="inlineStr">
        <is>
          <t>HAIFENG 11/03/2026</t>
        </is>
      </c>
      <c r="C3037" s="9" t="inlineStr">
        <is>
          <t>2026-03-11</t>
        </is>
      </c>
      <c r="D3037" s="9" t="inlineStr">
        <is>
          <t>43728090981324</t>
        </is>
      </c>
      <c r="E3037" s="9" t="inlineStr">
        <is>
          <t>PULSERA LOVE SILVER</t>
        </is>
      </c>
      <c r="F3037" s="9" t="inlineStr">
        <is>
          <t>18cm</t>
        </is>
      </c>
      <c r="G3037" s="9" t="n">
        <v>3</v>
      </c>
      <c r="H3037" s="21" t="n">
        <v>4.5</v>
      </c>
      <c r="I3037" s="21" t="n">
        <v>95.87</v>
      </c>
      <c r="J3037" s="21" t="n">
        <v>287.6</v>
      </c>
      <c r="K3037" s="21" t="n">
        <v>335.54</v>
      </c>
      <c r="L3037" s="21" t="n">
        <v>383.47</v>
      </c>
      <c r="M3037" s="21" t="n">
        <v>499</v>
      </c>
    </row>
    <row r="3038">
      <c r="A3038" s="9" t="inlineStr">
        <is>
          <t>HAIFENG</t>
        </is>
      </c>
      <c r="B3038" s="9" t="inlineStr">
        <is>
          <t>HAIFENG 11/03/2026</t>
        </is>
      </c>
      <c r="C3038" s="9" t="inlineStr">
        <is>
          <t>2026-03-11</t>
        </is>
      </c>
      <c r="D3038" s="9" t="inlineStr">
        <is>
          <t>43728090715788</t>
        </is>
      </c>
      <c r="E3038" s="9" t="inlineStr">
        <is>
          <t>PULSERA LOVE SILVER</t>
        </is>
      </c>
      <c r="F3038" s="9" t="inlineStr">
        <is>
          <t>16cm</t>
        </is>
      </c>
      <c r="G3038" s="9" t="n">
        <v>2</v>
      </c>
      <c r="H3038" s="21" t="n">
        <v>4.5</v>
      </c>
      <c r="I3038" s="21" t="n">
        <v>95.87</v>
      </c>
      <c r="J3038" s="21" t="n">
        <v>287.6</v>
      </c>
      <c r="K3038" s="21" t="n">
        <v>335.54</v>
      </c>
      <c r="L3038" s="21" t="n">
        <v>383.47</v>
      </c>
      <c r="M3038" s="21" t="n">
        <v>499</v>
      </c>
    </row>
    <row r="3039">
      <c r="A3039" s="9" t="inlineStr">
        <is>
          <t>HAIFENG</t>
        </is>
      </c>
      <c r="B3039" s="9" t="inlineStr">
        <is>
          <t>HAIFENG 11/03/2026</t>
        </is>
      </c>
      <c r="C3039" s="9" t="inlineStr">
        <is>
          <t>2026-03-11</t>
        </is>
      </c>
      <c r="D3039" s="9" t="inlineStr">
        <is>
          <t>43728090848556</t>
        </is>
      </c>
      <c r="E3039" s="9" t="inlineStr">
        <is>
          <t>PULSERA LOVE SILVER</t>
        </is>
      </c>
      <c r="F3039" s="9" t="inlineStr">
        <is>
          <t>17cm</t>
        </is>
      </c>
      <c r="G3039" s="9" t="n">
        <v>4</v>
      </c>
      <c r="H3039" s="21" t="n">
        <v>4.5</v>
      </c>
      <c r="I3039" s="21" t="n">
        <v>95.87</v>
      </c>
      <c r="J3039" s="21" t="n">
        <v>287.6</v>
      </c>
      <c r="K3039" s="21" t="n">
        <v>335.54</v>
      </c>
      <c r="L3039" s="21" t="n">
        <v>383.47</v>
      </c>
      <c r="M3039" s="21" t="n">
        <v>499</v>
      </c>
    </row>
    <row r="3040">
      <c r="A3040" s="9" t="inlineStr">
        <is>
          <t>HAIFENG</t>
        </is>
      </c>
      <c r="B3040" s="9" t="inlineStr">
        <is>
          <t>HAIFENG 11/03/2026</t>
        </is>
      </c>
      <c r="C3040" s="9" t="inlineStr">
        <is>
          <t>2026-03-11</t>
        </is>
      </c>
      <c r="D3040" s="9" t="inlineStr">
        <is>
          <t>88621311058381</t>
        </is>
      </c>
      <c r="E3040" s="9" t="inlineStr">
        <is>
          <t>PULSERA LOVE UNLIMITED GOLD</t>
        </is>
      </c>
      <c r="F3040" s="9" t="inlineStr">
        <is>
          <t>17</t>
        </is>
      </c>
      <c r="G3040" s="9" t="n">
        <v>14</v>
      </c>
      <c r="H3040" s="21" t="n">
        <v>20</v>
      </c>
      <c r="I3040" s="21" t="n">
        <v>426.08</v>
      </c>
      <c r="J3040" s="21" t="n">
        <v>1278.23</v>
      </c>
      <c r="K3040" s="21" t="n">
        <v>1491.27</v>
      </c>
      <c r="L3040" s="21" t="n">
        <v>1704.31</v>
      </c>
      <c r="M3040" s="21" t="n">
        <v>1399</v>
      </c>
    </row>
    <row r="3041">
      <c r="A3041" s="9" t="inlineStr">
        <is>
          <t>HAIFENG</t>
        </is>
      </c>
      <c r="B3041" s="9" t="inlineStr">
        <is>
          <t>HAIFENG 11/03/2026</t>
        </is>
      </c>
      <c r="C3041" s="9" t="inlineStr">
        <is>
          <t>2026-03-11</t>
        </is>
      </c>
      <c r="D3041" s="9" t="inlineStr">
        <is>
          <t>73379601029069</t>
        </is>
      </c>
      <c r="E3041" s="9" t="inlineStr">
        <is>
          <t>PULSERA LOVE UNLIMITED GOLD</t>
        </is>
      </c>
      <c r="F3041" s="9" t="inlineStr">
        <is>
          <t>19</t>
        </is>
      </c>
      <c r="G3041" s="9" t="n">
        <v>10</v>
      </c>
      <c r="H3041" s="21" t="n">
        <v>20</v>
      </c>
      <c r="I3041" s="21" t="n">
        <v>426.08</v>
      </c>
      <c r="J3041" s="21" t="n">
        <v>1278.23</v>
      </c>
      <c r="K3041" s="21" t="n">
        <v>1491.27</v>
      </c>
      <c r="L3041" s="21" t="n">
        <v>1704.31</v>
      </c>
      <c r="M3041" s="21" t="n">
        <v>1399</v>
      </c>
    </row>
    <row r="3042">
      <c r="A3042" s="9" t="inlineStr">
        <is>
          <t>HAIFENG</t>
        </is>
      </c>
      <c r="B3042" s="9" t="inlineStr">
        <is>
          <t>HAIFENG 11/03/2026</t>
        </is>
      </c>
      <c r="C3042" s="9" t="inlineStr">
        <is>
          <t>2026-03-11</t>
        </is>
      </c>
      <c r="D3042" s="9" t="inlineStr">
        <is>
          <t>74289381073037</t>
        </is>
      </c>
      <c r="E3042" s="9" t="inlineStr">
        <is>
          <t>PULSERA LOVE UNLIMITED ROSEGOLD</t>
        </is>
      </c>
      <c r="F3042" s="9" t="inlineStr">
        <is>
          <t>17</t>
        </is>
      </c>
      <c r="G3042" s="9" t="n">
        <v>10</v>
      </c>
      <c r="H3042" s="21" t="n">
        <v>20</v>
      </c>
      <c r="I3042" s="21" t="n">
        <v>426.08</v>
      </c>
      <c r="J3042" s="21" t="n">
        <v>1278.23</v>
      </c>
      <c r="K3042" s="21" t="n">
        <v>1491.27</v>
      </c>
      <c r="L3042" s="21" t="n">
        <v>1704.31</v>
      </c>
      <c r="M3042" s="21" t="n">
        <v>1399</v>
      </c>
    </row>
    <row r="3043">
      <c r="A3043" s="9" t="inlineStr">
        <is>
          <t>HAIFENG</t>
        </is>
      </c>
      <c r="B3043" s="9" t="inlineStr">
        <is>
          <t>HAIFENG 11/03/2026</t>
        </is>
      </c>
      <c r="C3043" s="9" t="inlineStr">
        <is>
          <t>2026-03-11</t>
        </is>
      </c>
      <c r="D3043" s="9" t="inlineStr">
        <is>
          <t>74289381105805</t>
        </is>
      </c>
      <c r="E3043" s="9" t="inlineStr">
        <is>
          <t>PULSERA LOVE UNLIMITED ROSEGOLD</t>
        </is>
      </c>
      <c r="F3043" s="9" t="inlineStr">
        <is>
          <t>19</t>
        </is>
      </c>
      <c r="G3043" s="9" t="n">
        <v>3</v>
      </c>
      <c r="H3043" s="21" t="n">
        <v>20</v>
      </c>
      <c r="I3043" s="21" t="n">
        <v>426.08</v>
      </c>
      <c r="J3043" s="21" t="n">
        <v>1278.23</v>
      </c>
      <c r="K3043" s="21" t="n">
        <v>1491.27</v>
      </c>
      <c r="L3043" s="21" t="n">
        <v>1704.31</v>
      </c>
      <c r="M3043" s="21" t="n">
        <v>1399</v>
      </c>
    </row>
    <row r="3044">
      <c r="A3044" s="9" t="inlineStr">
        <is>
          <t>HAIFENG</t>
        </is>
      </c>
      <c r="B3044" s="9" t="inlineStr">
        <is>
          <t>HAIFENG 11/03/2026</t>
        </is>
      </c>
      <c r="C3044" s="9" t="inlineStr">
        <is>
          <t>2026-03-11</t>
        </is>
      </c>
      <c r="D3044" s="9" t="inlineStr">
        <is>
          <t>70975141082189</t>
        </is>
      </c>
      <c r="E3044" s="9" t="inlineStr">
        <is>
          <t>PULSERA LOVE UNLIMITED SILVER</t>
        </is>
      </c>
      <c r="F3044" s="9" t="inlineStr">
        <is>
          <t>17</t>
        </is>
      </c>
      <c r="G3044" s="9" t="n">
        <v>6</v>
      </c>
      <c r="H3044" s="21" t="n">
        <v>20</v>
      </c>
      <c r="I3044" s="21" t="n">
        <v>426.08</v>
      </c>
      <c r="J3044" s="21" t="n">
        <v>1278.23</v>
      </c>
      <c r="K3044" s="21" t="n">
        <v>1491.27</v>
      </c>
      <c r="L3044" s="21" t="n">
        <v>1704.31</v>
      </c>
      <c r="M3044" s="21" t="n">
        <v>1399</v>
      </c>
    </row>
    <row r="3045">
      <c r="A3045" s="9" t="inlineStr">
        <is>
          <t>HAIFENG</t>
        </is>
      </c>
      <c r="B3045" s="9" t="inlineStr">
        <is>
          <t>HAIFENG 11/03/2026</t>
        </is>
      </c>
      <c r="C3045" s="9" t="inlineStr">
        <is>
          <t>2026-03-11</t>
        </is>
      </c>
      <c r="D3045" s="9" t="inlineStr">
        <is>
          <t>70975151114957</t>
        </is>
      </c>
      <c r="E3045" s="9" t="inlineStr">
        <is>
          <t>PULSERA LOVE UNLIMITED SILVER</t>
        </is>
      </c>
      <c r="F3045" s="9" t="inlineStr">
        <is>
          <t>19</t>
        </is>
      </c>
      <c r="G3045" s="9" t="n">
        <v>10</v>
      </c>
      <c r="H3045" s="21" t="n">
        <v>20</v>
      </c>
      <c r="I3045" s="21" t="n">
        <v>426.08</v>
      </c>
      <c r="J3045" s="21" t="n">
        <v>1278.23</v>
      </c>
      <c r="K3045" s="21" t="n">
        <v>1491.27</v>
      </c>
      <c r="L3045" s="21" t="n">
        <v>1704.31</v>
      </c>
      <c r="M3045" s="21" t="n">
        <v>1399</v>
      </c>
    </row>
    <row r="3046">
      <c r="A3046" s="9" t="inlineStr">
        <is>
          <t>HAIFENG</t>
        </is>
      </c>
      <c r="B3046" s="9" t="inlineStr">
        <is>
          <t>HAIFENG 11/03/2026</t>
        </is>
      </c>
      <c r="C3046" s="9" t="inlineStr">
        <is>
          <t>2026-03-11</t>
        </is>
      </c>
      <c r="D3046" s="9" t="inlineStr">
        <is>
          <t>81078751264237</t>
        </is>
      </c>
      <c r="E3046" s="9" t="inlineStr">
        <is>
          <t>PULSERA LV BLOSSOM ROSEGOLD ZIRCONIAS</t>
        </is>
      </c>
      <c r="F3046" s="9" t="inlineStr">
        <is>
          <t>Default Title</t>
        </is>
      </c>
      <c r="G3046" s="9" t="n">
        <v>1</v>
      </c>
      <c r="H3046" s="21" t="n">
        <v>7</v>
      </c>
      <c r="I3046" s="21" t="n">
        <v>149.13</v>
      </c>
      <c r="J3046" s="21" t="n">
        <v>447.38</v>
      </c>
      <c r="K3046" s="21" t="n">
        <v>521.95</v>
      </c>
      <c r="L3046" s="21" t="n">
        <v>596.51</v>
      </c>
      <c r="M3046" s="21" t="n">
        <v>599</v>
      </c>
    </row>
    <row r="3047">
      <c r="A3047" s="9" t="inlineStr">
        <is>
          <t>HAIFENG</t>
        </is>
      </c>
      <c r="B3047" s="9" t="inlineStr">
        <is>
          <t>HAIFENG 11/03/2026</t>
        </is>
      </c>
      <c r="C3047" s="9" t="inlineStr">
        <is>
          <t>2026-03-11</t>
        </is>
      </c>
      <c r="D3047" s="9" t="inlineStr">
        <is>
          <t>56481494507404</t>
        </is>
      </c>
      <c r="E3047" s="9" t="inlineStr">
        <is>
          <t>PULSERA PASADOR FULL HEART</t>
        </is>
      </c>
      <c r="F3047" s="9" t="inlineStr">
        <is>
          <t>17cm</t>
        </is>
      </c>
      <c r="G3047" s="9" t="n">
        <v>7</v>
      </c>
      <c r="H3047" s="21" t="n">
        <v>10</v>
      </c>
      <c r="I3047" s="21" t="n">
        <v>213.04</v>
      </c>
      <c r="J3047" s="21" t="n">
        <v>639.12</v>
      </c>
      <c r="K3047" s="21" t="n">
        <v>745.64</v>
      </c>
      <c r="L3047" s="21" t="n">
        <v>852.16</v>
      </c>
      <c r="M3047" s="21" t="n">
        <v>850</v>
      </c>
    </row>
    <row r="3048">
      <c r="A3048" s="9" t="inlineStr">
        <is>
          <t>HAIFENG</t>
        </is>
      </c>
      <c r="B3048" s="9" t="inlineStr">
        <is>
          <t>HAIFENG 11/03/2026</t>
        </is>
      </c>
      <c r="C3048" s="9" t="inlineStr">
        <is>
          <t>2026-03-11</t>
        </is>
      </c>
      <c r="D3048" s="9" t="inlineStr">
        <is>
          <t>82014675304844</t>
        </is>
      </c>
      <c r="E3048" s="9" t="inlineStr">
        <is>
          <t>PULSERA SMILE ROSEGOLD</t>
        </is>
      </c>
      <c r="F3048" s="9" t="inlineStr">
        <is>
          <t>16cm con extensión de 3cm</t>
        </is>
      </c>
      <c r="G3048" s="9" t="n">
        <v>3</v>
      </c>
      <c r="H3048" s="21" t="n">
        <v>7.5</v>
      </c>
      <c r="I3048" s="21" t="n">
        <v>159.78</v>
      </c>
      <c r="J3048" s="21" t="n">
        <v>479.34</v>
      </c>
      <c r="K3048" s="21" t="n">
        <v>559.23</v>
      </c>
      <c r="L3048" s="21" t="n">
        <v>639.12</v>
      </c>
      <c r="M3048" s="21" t="n">
        <v>650</v>
      </c>
    </row>
    <row r="3049">
      <c r="A3049" s="9" t="inlineStr">
        <is>
          <t>HAIFENG</t>
        </is>
      </c>
      <c r="B3049" s="9" t="inlineStr">
        <is>
          <t>HAIFENG 11/03/2026</t>
        </is>
      </c>
      <c r="C3049" s="9" t="inlineStr">
        <is>
          <t>2026-03-11</t>
        </is>
      </c>
      <c r="D3049" s="9" t="inlineStr">
        <is>
          <t>82014675495692</t>
        </is>
      </c>
      <c r="E3049" s="9" t="inlineStr">
        <is>
          <t>PULSERA SMILE SILVER</t>
        </is>
      </c>
      <c r="F3049" s="9" t="inlineStr">
        <is>
          <t>16cm con extensión de 5cm</t>
        </is>
      </c>
      <c r="G3049" s="9" t="n">
        <v>3</v>
      </c>
      <c r="H3049" s="21" t="n">
        <v>7.5</v>
      </c>
      <c r="I3049" s="21" t="n">
        <v>159.78</v>
      </c>
      <c r="J3049" s="21" t="n">
        <v>479.34</v>
      </c>
      <c r="K3049" s="21" t="n">
        <v>559.23</v>
      </c>
      <c r="L3049" s="21" t="n">
        <v>639.12</v>
      </c>
      <c r="M3049" s="21" t="n">
        <v>650</v>
      </c>
    </row>
    <row r="3050">
      <c r="A3050" s="9" t="inlineStr">
        <is>
          <t>HAIFENG</t>
        </is>
      </c>
      <c r="B3050" s="9" t="inlineStr">
        <is>
          <t>HAIFENG 11/03/2026</t>
        </is>
      </c>
      <c r="C3050" s="9" t="inlineStr">
        <is>
          <t>2026-03-11</t>
        </is>
      </c>
      <c r="D3050" s="9" t="inlineStr">
        <is>
          <t>668eeccf75387</t>
        </is>
      </c>
      <c r="E3050" s="9" t="inlineStr">
        <is>
          <t>PULSERA T DORADA ZIRCONIA</t>
        </is>
      </c>
      <c r="F3050" s="9" t="inlineStr">
        <is>
          <t>16 cm</t>
        </is>
      </c>
      <c r="G3050" s="9" t="n">
        <v>2</v>
      </c>
      <c r="H3050" s="21" t="n">
        <v>5</v>
      </c>
      <c r="I3050" s="21" t="n">
        <v>106.52</v>
      </c>
      <c r="J3050" s="21" t="n">
        <v>319.56</v>
      </c>
      <c r="K3050" s="21" t="n">
        <v>372.82</v>
      </c>
      <c r="L3050" s="21" t="n">
        <v>426.08</v>
      </c>
      <c r="M3050" s="21" t="n">
        <v>499</v>
      </c>
    </row>
    <row r="3051">
      <c r="A3051" s="9" t="inlineStr">
        <is>
          <t>HAIFENG</t>
        </is>
      </c>
      <c r="B3051" s="9" t="inlineStr">
        <is>
          <t>HAIFENG 11/03/2026</t>
        </is>
      </c>
      <c r="C3051" s="9" t="inlineStr">
        <is>
          <t>2026-03-11</t>
        </is>
      </c>
      <c r="D3051" s="9" t="inlineStr">
        <is>
          <t>6617744e4fde3</t>
        </is>
      </c>
      <c r="E3051" s="9" t="inlineStr">
        <is>
          <t>PULSERA TRÉBOL GOLD WHITE VF</t>
        </is>
      </c>
      <c r="F3051" s="9" t="inlineStr">
        <is>
          <t>18cm</t>
        </is>
      </c>
      <c r="G3051" s="9" t="n">
        <v>6</v>
      </c>
      <c r="H3051" s="21" t="n">
        <v>7</v>
      </c>
      <c r="I3051" s="21" t="n">
        <v>149.13</v>
      </c>
      <c r="J3051" s="21" t="n">
        <v>447.38</v>
      </c>
      <c r="K3051" s="21" t="n">
        <v>521.95</v>
      </c>
      <c r="L3051" s="21" t="n">
        <v>596.51</v>
      </c>
      <c r="M3051" s="21" t="n">
        <v>1286</v>
      </c>
    </row>
    <row r="3052">
      <c r="A3052" s="9" t="inlineStr">
        <is>
          <t>HAIFENG</t>
        </is>
      </c>
      <c r="B3052" s="9" t="inlineStr">
        <is>
          <t>HAIFENG 11/03/2026</t>
        </is>
      </c>
      <c r="C3052" s="9" t="inlineStr">
        <is>
          <t>2026-03-11</t>
        </is>
      </c>
      <c r="D3052" s="9" t="inlineStr">
        <is>
          <t>6617745150ec8</t>
        </is>
      </c>
      <c r="E3052" s="9" t="inlineStr">
        <is>
          <t>PULSERA TRÉBOL SILVER BLACK VF</t>
        </is>
      </c>
      <c r="F3052" s="9" t="inlineStr">
        <is>
          <t>20cm</t>
        </is>
      </c>
      <c r="G3052" s="9" t="n">
        <v>3</v>
      </c>
      <c r="H3052" s="21" t="n">
        <v>7</v>
      </c>
      <c r="I3052" s="21" t="n">
        <v>149.13</v>
      </c>
      <c r="J3052" s="21" t="n">
        <v>447.38</v>
      </c>
      <c r="K3052" s="21" t="n">
        <v>521.95</v>
      </c>
      <c r="L3052" s="21" t="n">
        <v>596.51</v>
      </c>
      <c r="M3052" s="21" t="n">
        <v>599</v>
      </c>
    </row>
    <row r="3053">
      <c r="A3053" s="9" t="inlineStr">
        <is>
          <t>CYNTHIA</t>
        </is>
      </c>
      <c r="B3053" s="9" t="inlineStr">
        <is>
          <t>CYNTHIA 19/03/2026</t>
        </is>
      </c>
      <c r="C3053" s="9" t="inlineStr">
        <is>
          <t>2026-03-19</t>
        </is>
      </c>
      <c r="D3053" s="9" t="inlineStr">
        <is>
          <t>43047206256780</t>
        </is>
      </c>
      <c r="E3053" s="9" t="inlineStr">
        <is>
          <t>ANILLO LOCK GOLD-SILVER CON ZIRCONIAS</t>
        </is>
      </c>
      <c r="F3053" s="9" t="inlineStr">
        <is>
          <t>6</t>
        </is>
      </c>
      <c r="G3053" s="9" t="n">
        <v>2</v>
      </c>
      <c r="H3053" s="21" t="n">
        <v>12.8</v>
      </c>
      <c r="I3053" s="21" t="n">
        <v>343.77</v>
      </c>
      <c r="J3053" s="21" t="n">
        <v>1031.32</v>
      </c>
      <c r="K3053" s="21" t="n">
        <v>1203.21</v>
      </c>
      <c r="L3053" s="21" t="n">
        <v>1375.1</v>
      </c>
      <c r="M3053" s="21" t="n">
        <v>1189</v>
      </c>
    </row>
    <row r="3054">
      <c r="A3054" s="9" t="inlineStr">
        <is>
          <t>CYNTHIA</t>
        </is>
      </c>
      <c r="B3054" s="9" t="inlineStr">
        <is>
          <t>CYNTHIA 19/03/2026</t>
        </is>
      </c>
      <c r="C3054" s="9" t="inlineStr">
        <is>
          <t>2026-03-19</t>
        </is>
      </c>
      <c r="D3054" s="9" t="inlineStr">
        <is>
          <t>39252671264941</t>
        </is>
      </c>
      <c r="E3054" s="9" t="inlineStr">
        <is>
          <t>ANILLO LV LETTER GOLD</t>
        </is>
      </c>
      <c r="F3054" s="9" t="inlineStr">
        <is>
          <t>7</t>
        </is>
      </c>
      <c r="G3054" s="9" t="n">
        <v>2</v>
      </c>
      <c r="H3054" s="21" t="n">
        <v>5.28</v>
      </c>
      <c r="I3054" s="21" t="n">
        <v>141.81</v>
      </c>
      <c r="J3054" s="21" t="n">
        <v>425.42</v>
      </c>
      <c r="K3054" s="21" t="n">
        <v>496.33</v>
      </c>
      <c r="L3054" s="21" t="n">
        <v>567.23</v>
      </c>
      <c r="M3054" s="21" t="n">
        <v>499</v>
      </c>
    </row>
    <row r="3055">
      <c r="A3055" s="9" t="inlineStr">
        <is>
          <t>CYNTHIA</t>
        </is>
      </c>
      <c r="B3055" s="9" t="inlineStr">
        <is>
          <t>CYNTHIA 19/03/2026</t>
        </is>
      </c>
      <c r="C3055" s="9" t="inlineStr">
        <is>
          <t>2026-03-19</t>
        </is>
      </c>
      <c r="D3055" s="9" t="inlineStr">
        <is>
          <t>39252671397709</t>
        </is>
      </c>
      <c r="E3055" s="9" t="inlineStr">
        <is>
          <t>ANILLO LV LETTER GOLD</t>
        </is>
      </c>
      <c r="F3055" s="9" t="inlineStr">
        <is>
          <t>8</t>
        </is>
      </c>
      <c r="G3055" s="9" t="n">
        <v>1</v>
      </c>
      <c r="H3055" s="21" t="n">
        <v>5.28</v>
      </c>
      <c r="I3055" s="21" t="n">
        <v>141.81</v>
      </c>
      <c r="J3055" s="21" t="n">
        <v>425.42</v>
      </c>
      <c r="K3055" s="21" t="n">
        <v>496.33</v>
      </c>
      <c r="L3055" s="21" t="n">
        <v>567.23</v>
      </c>
      <c r="M3055" s="21" t="n">
        <v>499</v>
      </c>
    </row>
    <row r="3056">
      <c r="A3056" s="9" t="inlineStr">
        <is>
          <t>CYNTHIA</t>
        </is>
      </c>
      <c r="B3056" s="9" t="inlineStr">
        <is>
          <t>CYNTHIA 19/03/2026</t>
        </is>
      </c>
      <c r="C3056" s="9" t="inlineStr">
        <is>
          <t>2026-03-19</t>
        </is>
      </c>
      <c r="D3056" s="9" t="inlineStr">
        <is>
          <t>43728112129132</t>
        </is>
      </c>
      <c r="E3056" s="9" t="inlineStr">
        <is>
          <t>ANILLO P SHINNY FLOWER</t>
        </is>
      </c>
      <c r="F3056" s="9" t="inlineStr">
        <is>
          <t>6</t>
        </is>
      </c>
      <c r="G3056" s="9" t="n">
        <v>4</v>
      </c>
      <c r="H3056" s="21" t="n">
        <v>2.6</v>
      </c>
      <c r="I3056" s="21" t="n">
        <v>69.83</v>
      </c>
      <c r="J3056" s="21" t="n">
        <v>209.49</v>
      </c>
      <c r="K3056" s="21" t="n">
        <v>244.4</v>
      </c>
      <c r="L3056" s="21" t="n">
        <v>279.32</v>
      </c>
      <c r="M3056" s="21" t="n">
        <v>520</v>
      </c>
    </row>
    <row r="3057">
      <c r="A3057" s="9" t="inlineStr">
        <is>
          <t>CYNTHIA</t>
        </is>
      </c>
      <c r="B3057" s="9" t="inlineStr">
        <is>
          <t>CYNTHIA 19/03/2026</t>
        </is>
      </c>
      <c r="C3057" s="9" t="inlineStr">
        <is>
          <t>2026-03-19</t>
        </is>
      </c>
      <c r="D3057" s="9" t="inlineStr">
        <is>
          <t>43078594789516</t>
        </is>
      </c>
      <c r="E3057" s="9" t="inlineStr">
        <is>
          <t>ANILLO P SHINNY FLOWER</t>
        </is>
      </c>
      <c r="F3057" s="9" t="inlineStr">
        <is>
          <t>8</t>
        </is>
      </c>
      <c r="G3057" s="9" t="n">
        <v>2</v>
      </c>
      <c r="H3057" s="21" t="n">
        <v>2.6</v>
      </c>
      <c r="I3057" s="21" t="n">
        <v>69.83</v>
      </c>
      <c r="J3057" s="21" t="n">
        <v>209.49</v>
      </c>
      <c r="K3057" s="21" t="n">
        <v>244.4</v>
      </c>
      <c r="L3057" s="21" t="n">
        <v>279.32</v>
      </c>
      <c r="M3057" s="21" t="n">
        <v>520</v>
      </c>
    </row>
    <row r="3058">
      <c r="A3058" s="9" t="inlineStr">
        <is>
          <t>CYNTHIA</t>
        </is>
      </c>
      <c r="B3058" s="9" t="inlineStr">
        <is>
          <t>CYNTHIA 19/03/2026</t>
        </is>
      </c>
      <c r="C3058" s="9" t="inlineStr">
        <is>
          <t>2026-03-19</t>
        </is>
      </c>
      <c r="D3058" s="9" t="inlineStr">
        <is>
          <t>43071835930764</t>
        </is>
      </c>
      <c r="E3058" s="9" t="inlineStr">
        <is>
          <t>ANILLO P STARS</t>
        </is>
      </c>
      <c r="F3058" s="9" t="inlineStr">
        <is>
          <t>7</t>
        </is>
      </c>
      <c r="G3058" s="9" t="n">
        <v>1</v>
      </c>
      <c r="H3058" s="21" t="n">
        <v>1.7</v>
      </c>
      <c r="I3058" s="21" t="n">
        <v>45.66</v>
      </c>
      <c r="J3058" s="21" t="n">
        <v>136.97</v>
      </c>
      <c r="K3058" s="21" t="n">
        <v>159.8</v>
      </c>
      <c r="L3058" s="21" t="n">
        <v>182.63</v>
      </c>
      <c r="M3058" s="21" t="n">
        <v>250</v>
      </c>
    </row>
    <row r="3059">
      <c r="A3059" s="9" t="inlineStr">
        <is>
          <t>CYNTHIA</t>
        </is>
      </c>
      <c r="B3059" s="9" t="inlineStr">
        <is>
          <t>CYNTHIA 19/03/2026</t>
        </is>
      </c>
      <c r="C3059" s="9" t="inlineStr">
        <is>
          <t>2026-03-19</t>
        </is>
      </c>
      <c r="D3059" s="9" t="inlineStr">
        <is>
          <t>43728112856684</t>
        </is>
      </c>
      <c r="E3059" s="9" t="inlineStr">
        <is>
          <t>ANILLO P STARS</t>
        </is>
      </c>
      <c r="F3059" s="9" t="inlineStr">
        <is>
          <t>6</t>
        </is>
      </c>
      <c r="G3059" s="9" t="n">
        <v>1</v>
      </c>
      <c r="H3059" s="21" t="n">
        <v>1.7</v>
      </c>
      <c r="I3059" s="21" t="n">
        <v>45.66</v>
      </c>
      <c r="J3059" s="21" t="n">
        <v>136.97</v>
      </c>
      <c r="K3059" s="21" t="n">
        <v>159.8</v>
      </c>
      <c r="L3059" s="21" t="n">
        <v>182.63</v>
      </c>
      <c r="M3059" s="21" t="n">
        <v>250</v>
      </c>
    </row>
    <row r="3060">
      <c r="A3060" s="9" t="inlineStr">
        <is>
          <t>CYNTHIA</t>
        </is>
      </c>
      <c r="B3060" s="9" t="inlineStr">
        <is>
          <t>CYNTHIA 19/03/2026</t>
        </is>
      </c>
      <c r="C3060" s="9" t="inlineStr">
        <is>
          <t>2026-03-19</t>
        </is>
      </c>
      <c r="D3060" s="9" t="inlineStr">
        <is>
          <t>43728071182284</t>
        </is>
      </c>
      <c r="E3060" s="9" t="inlineStr">
        <is>
          <t>ANILLO SERPENTI LISO SILVER</t>
        </is>
      </c>
      <c r="F3060" s="9" t="inlineStr">
        <is>
          <t>AJUSTABLE</t>
        </is>
      </c>
      <c r="G3060" s="9" t="n">
        <v>3</v>
      </c>
      <c r="H3060" s="21" t="n">
        <v>6.8</v>
      </c>
      <c r="I3060" s="21" t="n">
        <v>182.63</v>
      </c>
      <c r="J3060" s="21" t="n">
        <v>547.89</v>
      </c>
      <c r="K3060" s="21" t="n">
        <v>639.21</v>
      </c>
      <c r="L3060" s="21" t="n">
        <v>730.52</v>
      </c>
      <c r="M3060" s="21" t="n">
        <v>729</v>
      </c>
    </row>
    <row r="3061">
      <c r="A3061" s="9" t="inlineStr">
        <is>
          <t>CYNTHIA</t>
        </is>
      </c>
      <c r="B3061" s="9" t="inlineStr">
        <is>
          <t>CYNTHIA 19/03/2026</t>
        </is>
      </c>
      <c r="C3061" s="9" t="inlineStr">
        <is>
          <t>2026-03-19</t>
        </is>
      </c>
      <c r="D3061" s="9" t="inlineStr">
        <is>
          <t>34876761335341</t>
        </is>
      </c>
      <c r="E3061" s="9" t="inlineStr">
        <is>
          <t>ANILLO T LOVESTRUCK SILVER-ROSE GOLD</t>
        </is>
      </c>
      <c r="F3061" s="9" t="inlineStr">
        <is>
          <t>6</t>
        </is>
      </c>
      <c r="G3061" s="9" t="n">
        <v>4</v>
      </c>
      <c r="H3061" s="21" t="n">
        <v>8.800000000000001</v>
      </c>
      <c r="I3061" s="21" t="n">
        <v>236.35</v>
      </c>
      <c r="J3061" s="21" t="n">
        <v>709.04</v>
      </c>
      <c r="K3061" s="21" t="n">
        <v>827.21</v>
      </c>
      <c r="L3061" s="21" t="n">
        <v>945.38</v>
      </c>
      <c r="M3061" s="21" t="n">
        <v>915</v>
      </c>
    </row>
    <row r="3062">
      <c r="A3062" s="9" t="inlineStr">
        <is>
          <t>CYNTHIA</t>
        </is>
      </c>
      <c r="B3062" s="9" t="inlineStr">
        <is>
          <t>CYNTHIA 19/03/2026</t>
        </is>
      </c>
      <c r="C3062" s="9" t="inlineStr">
        <is>
          <t>2026-03-19</t>
        </is>
      </c>
      <c r="D3062" s="9" t="inlineStr">
        <is>
          <t>41889241279949</t>
        </is>
      </c>
      <c r="E3062" s="9" t="inlineStr">
        <is>
          <t>ANILLO T V SILVER</t>
        </is>
      </c>
      <c r="F3062" s="9" t="inlineStr">
        <is>
          <t>7</t>
        </is>
      </c>
      <c r="G3062" s="9" t="n">
        <v>2</v>
      </c>
      <c r="H3062" s="21" t="n">
        <v>9.800000000000001</v>
      </c>
      <c r="I3062" s="21" t="n">
        <v>263.2</v>
      </c>
      <c r="J3062" s="21" t="n">
        <v>789.61</v>
      </c>
      <c r="K3062" s="21" t="n">
        <v>921.21</v>
      </c>
      <c r="L3062" s="21" t="n">
        <v>1052.81</v>
      </c>
      <c r="M3062" s="21" t="n">
        <v>925</v>
      </c>
    </row>
    <row r="3063">
      <c r="A3063" s="9" t="inlineStr">
        <is>
          <t>CYNTHIA</t>
        </is>
      </c>
      <c r="B3063" s="9" t="inlineStr">
        <is>
          <t>CYNTHIA 19/03/2026</t>
        </is>
      </c>
      <c r="C3063" s="9" t="inlineStr">
        <is>
          <t>2026-03-19</t>
        </is>
      </c>
      <c r="D3063" s="9" t="inlineStr">
        <is>
          <t>41889241312717</t>
        </is>
      </c>
      <c r="E3063" s="9" t="inlineStr">
        <is>
          <t>ANILLO T V SILVER</t>
        </is>
      </c>
      <c r="F3063" s="9" t="inlineStr">
        <is>
          <t>8</t>
        </is>
      </c>
      <c r="G3063" s="9" t="n">
        <v>2</v>
      </c>
      <c r="H3063" s="21" t="n">
        <v>9.800000000000001</v>
      </c>
      <c r="I3063" s="21" t="n">
        <v>263.2</v>
      </c>
      <c r="J3063" s="21" t="n">
        <v>789.61</v>
      </c>
      <c r="K3063" s="21" t="n">
        <v>921.21</v>
      </c>
      <c r="L3063" s="21" t="n">
        <v>1052.81</v>
      </c>
      <c r="M3063" s="21" t="n">
        <v>925</v>
      </c>
    </row>
    <row r="3064">
      <c r="A3064" s="9" t="inlineStr">
        <is>
          <t>CYNTHIA</t>
        </is>
      </c>
      <c r="B3064" s="9" t="inlineStr">
        <is>
          <t>CYNTHIA 19/03/2026</t>
        </is>
      </c>
      <c r="C3064" s="9" t="inlineStr">
        <is>
          <t>2026-03-19</t>
        </is>
      </c>
      <c r="D3064" s="9" t="inlineStr">
        <is>
          <t>41889241445485</t>
        </is>
      </c>
      <c r="E3064" s="9" t="inlineStr">
        <is>
          <t>ANILLO T V SILVER</t>
        </is>
      </c>
      <c r="F3064" s="9" t="inlineStr">
        <is>
          <t>9</t>
        </is>
      </c>
      <c r="G3064" s="9" t="n">
        <v>2</v>
      </c>
      <c r="H3064" s="21" t="n">
        <v>9.800000000000001</v>
      </c>
      <c r="I3064" s="21" t="n">
        <v>263.2</v>
      </c>
      <c r="J3064" s="21" t="n">
        <v>789.61</v>
      </c>
      <c r="K3064" s="21" t="n">
        <v>921.21</v>
      </c>
      <c r="L3064" s="21" t="n">
        <v>1052.81</v>
      </c>
      <c r="M3064" s="21" t="n">
        <v>925</v>
      </c>
    </row>
    <row r="3065">
      <c r="A3065" s="9" t="inlineStr">
        <is>
          <t>CYNTHIA</t>
        </is>
      </c>
      <c r="B3065" s="9" t="inlineStr">
        <is>
          <t>CYNTHIA 19/03/2026</t>
        </is>
      </c>
      <c r="C3065" s="9" t="inlineStr">
        <is>
          <t>2026-03-19</t>
        </is>
      </c>
      <c r="D3065" s="9" t="inlineStr">
        <is>
          <t>15711172030349</t>
        </is>
      </c>
      <c r="E3065" s="9" t="inlineStr">
        <is>
          <t>ARETES BEAN GOLD T</t>
        </is>
      </c>
      <c r="F3065" s="9" t="inlineStr">
        <is>
          <t>Default Title</t>
        </is>
      </c>
      <c r="G3065" s="9" t="n">
        <v>2</v>
      </c>
      <c r="H3065" s="21" t="n">
        <v>8</v>
      </c>
      <c r="I3065" s="21" t="n">
        <v>214.86</v>
      </c>
      <c r="J3065" s="21" t="n">
        <v>644.58</v>
      </c>
      <c r="K3065" s="21" t="n">
        <v>752.01</v>
      </c>
      <c r="L3065" s="21" t="n">
        <v>859.4400000000001</v>
      </c>
      <c r="M3065" s="21" t="n">
        <v>935</v>
      </c>
    </row>
    <row r="3066">
      <c r="A3066" s="9" t="inlineStr">
        <is>
          <t>CYNTHIA</t>
        </is>
      </c>
      <c r="B3066" s="9" t="inlineStr">
        <is>
          <t>CYNTHIA 19/03/2026</t>
        </is>
      </c>
      <c r="C3066" s="9" t="inlineStr">
        <is>
          <t>2026-03-19</t>
        </is>
      </c>
      <c r="D3066" s="9" t="inlineStr">
        <is>
          <t>64e78d3c1c538</t>
        </is>
      </c>
      <c r="E3066" s="9" t="inlineStr">
        <is>
          <t>ARETES BLOSSOM STAR SILVER</t>
        </is>
      </c>
      <c r="F3066" s="9" t="inlineStr">
        <is>
          <t>Default Title</t>
        </is>
      </c>
      <c r="G3066" s="9" t="n">
        <v>2</v>
      </c>
      <c r="H3066" s="21" t="n">
        <v>6.8</v>
      </c>
      <c r="I3066" s="21" t="n">
        <v>182.63</v>
      </c>
      <c r="J3066" s="21" t="n">
        <v>547.89</v>
      </c>
      <c r="K3066" s="21" t="n">
        <v>639.21</v>
      </c>
      <c r="L3066" s="21" t="n">
        <v>730.52</v>
      </c>
      <c r="M3066" s="21" t="n">
        <v>709</v>
      </c>
    </row>
    <row r="3067">
      <c r="A3067" s="9" t="inlineStr">
        <is>
          <t>CYNTHIA</t>
        </is>
      </c>
      <c r="B3067" s="9" t="inlineStr">
        <is>
          <t>CYNTHIA 19/03/2026</t>
        </is>
      </c>
      <c r="C3067" s="9" t="inlineStr">
        <is>
          <t>2026-03-19</t>
        </is>
      </c>
      <c r="D3067" s="9" t="inlineStr">
        <is>
          <t>63ebd72976d60</t>
        </is>
      </c>
      <c r="E3067" s="9" t="inlineStr">
        <is>
          <t>ARETES CC ROSE GOLD</t>
        </is>
      </c>
      <c r="F3067" s="9" t="inlineStr">
        <is>
          <t>Default Title</t>
        </is>
      </c>
      <c r="G3067" s="9" t="n">
        <v>10</v>
      </c>
      <c r="H3067" s="21" t="n">
        <v>2</v>
      </c>
      <c r="I3067" s="21" t="n">
        <v>53.71</v>
      </c>
      <c r="J3067" s="21" t="n">
        <v>161.14</v>
      </c>
      <c r="K3067" s="21" t="n">
        <v>188</v>
      </c>
      <c r="L3067" s="21" t="n">
        <v>214.86</v>
      </c>
      <c r="M3067" s="21" t="n">
        <v>220</v>
      </c>
    </row>
    <row r="3068">
      <c r="A3068" s="9" t="inlineStr">
        <is>
          <t>CYNTHIA</t>
        </is>
      </c>
      <c r="B3068" s="9" t="inlineStr">
        <is>
          <t>CYNTHIA 19/03/2026</t>
        </is>
      </c>
      <c r="C3068" s="9" t="inlineStr">
        <is>
          <t>2026-03-19</t>
        </is>
      </c>
      <c r="D3068" s="9" t="inlineStr">
        <is>
          <t>63e0bb0816c62</t>
        </is>
      </c>
      <c r="E3068" s="9" t="inlineStr">
        <is>
          <t>ARETES CC SILVER</t>
        </is>
      </c>
      <c r="F3068" s="9" t="inlineStr">
        <is>
          <t>Default Title</t>
        </is>
      </c>
      <c r="G3068" s="9" t="n">
        <v>2</v>
      </c>
      <c r="H3068" s="21" t="n">
        <v>2</v>
      </c>
      <c r="I3068" s="21" t="n">
        <v>53.71</v>
      </c>
      <c r="J3068" s="21" t="n">
        <v>161.14</v>
      </c>
      <c r="K3068" s="21" t="n">
        <v>188</v>
      </c>
      <c r="L3068" s="21" t="n">
        <v>214.86</v>
      </c>
      <c r="M3068" s="21" t="n">
        <v>220</v>
      </c>
    </row>
    <row r="3069">
      <c r="A3069" s="9" t="inlineStr">
        <is>
          <t>CYNTHIA</t>
        </is>
      </c>
      <c r="B3069" s="9" t="inlineStr">
        <is>
          <t>CYNTHIA 19/03/2026</t>
        </is>
      </c>
      <c r="C3069" s="9" t="inlineStr">
        <is>
          <t>2026-03-19</t>
        </is>
      </c>
      <c r="D3069" s="9" t="inlineStr">
        <is>
          <t>8275727247244</t>
        </is>
      </c>
      <c r="E3069" s="9" t="inlineStr">
        <is>
          <t>ARETES CD COLGANTES</t>
        </is>
      </c>
      <c r="F3069" s="9" t="inlineStr">
        <is>
          <t>Default Title</t>
        </is>
      </c>
      <c r="G3069" s="9" t="n">
        <v>2</v>
      </c>
      <c r="H3069" s="21" t="n">
        <v>8.800000000000001</v>
      </c>
      <c r="I3069" s="21" t="n">
        <v>236.35</v>
      </c>
      <c r="J3069" s="21" t="n">
        <v>709.04</v>
      </c>
      <c r="K3069" s="21" t="n">
        <v>827.21</v>
      </c>
      <c r="L3069" s="21" t="n">
        <v>945.38</v>
      </c>
      <c r="M3069" s="21" t="n">
        <v>935</v>
      </c>
    </row>
    <row r="3070">
      <c r="A3070" s="9" t="inlineStr">
        <is>
          <t>CYNTHIA</t>
        </is>
      </c>
      <c r="B3070" s="9" t="inlineStr">
        <is>
          <t>CYNTHIA 19/03/2026</t>
        </is>
      </c>
      <c r="C3070" s="9" t="inlineStr">
        <is>
          <t>2026-03-19</t>
        </is>
      </c>
      <c r="D3070" s="9" t="inlineStr">
        <is>
          <t>64e78e725d8db</t>
        </is>
      </c>
      <c r="E3070" s="9" t="inlineStr">
        <is>
          <t>ARETES CD CON PERLA GOLD DR</t>
        </is>
      </c>
      <c r="F3070" s="9" t="inlineStr">
        <is>
          <t>Default Title</t>
        </is>
      </c>
      <c r="G3070" s="9" t="n">
        <v>5</v>
      </c>
      <c r="H3070" s="21" t="n">
        <v>6.08</v>
      </c>
      <c r="I3070" s="21" t="n">
        <v>163.29</v>
      </c>
      <c r="J3070" s="21" t="n">
        <v>489.88</v>
      </c>
      <c r="K3070" s="21" t="n">
        <v>571.53</v>
      </c>
      <c r="L3070" s="21" t="n">
        <v>653.17</v>
      </c>
      <c r="M3070" s="21" t="n">
        <v>650</v>
      </c>
    </row>
    <row r="3071">
      <c r="A3071" s="9" t="inlineStr">
        <is>
          <t>CYNTHIA</t>
        </is>
      </c>
      <c r="B3071" s="9" t="inlineStr">
        <is>
          <t>CYNTHIA 19/03/2026</t>
        </is>
      </c>
      <c r="C3071" s="9" t="inlineStr">
        <is>
          <t>2026-03-19</t>
        </is>
      </c>
      <c r="D3071" s="9" t="inlineStr">
        <is>
          <t>665bb4e678422</t>
        </is>
      </c>
      <c r="E3071" s="9" t="inlineStr">
        <is>
          <t>ARETES CD GOLD</t>
        </is>
      </c>
      <c r="F3071" s="9" t="inlineStr">
        <is>
          <t>Default Title</t>
        </is>
      </c>
      <c r="G3071" s="9" t="n">
        <v>10</v>
      </c>
      <c r="H3071" s="21" t="n">
        <v>7</v>
      </c>
      <c r="I3071" s="21" t="n">
        <v>188</v>
      </c>
      <c r="J3071" s="21" t="n">
        <v>564.01</v>
      </c>
      <c r="K3071" s="21" t="n">
        <v>658.01</v>
      </c>
      <c r="L3071" s="21" t="n">
        <v>752.01</v>
      </c>
      <c r="M3071" s="21" t="n">
        <v>745</v>
      </c>
    </row>
    <row r="3072">
      <c r="A3072" s="9" t="inlineStr">
        <is>
          <t>CYNTHIA</t>
        </is>
      </c>
      <c r="B3072" s="9" t="inlineStr">
        <is>
          <t>CYNTHIA 19/03/2026</t>
        </is>
      </c>
      <c r="C3072" s="9" t="inlineStr">
        <is>
          <t>2026-03-19</t>
        </is>
      </c>
      <c r="D3072" s="9" t="inlineStr">
        <is>
          <t>677c26b6bfd93</t>
        </is>
      </c>
      <c r="E3072" s="9" t="inlineStr">
        <is>
          <t>ARETES CD SILVER</t>
        </is>
      </c>
      <c r="F3072" s="9" t="inlineStr">
        <is>
          <t>Default Title</t>
        </is>
      </c>
      <c r="G3072" s="9" t="n">
        <v>2</v>
      </c>
      <c r="H3072" s="21" t="n">
        <v>7</v>
      </c>
      <c r="I3072" s="21" t="n">
        <v>188</v>
      </c>
      <c r="J3072" s="21" t="n">
        <v>564.01</v>
      </c>
      <c r="K3072" s="21" t="n">
        <v>658.01</v>
      </c>
      <c r="L3072" s="21" t="n">
        <v>752.01</v>
      </c>
      <c r="M3072" s="21" t="n">
        <v>745</v>
      </c>
    </row>
    <row r="3073">
      <c r="A3073" s="9" t="inlineStr">
        <is>
          <t>CYNTHIA</t>
        </is>
      </c>
      <c r="B3073" s="9" t="inlineStr">
        <is>
          <t>CYNTHIA 19/03/2026</t>
        </is>
      </c>
      <c r="C3073" s="9" t="inlineStr">
        <is>
          <t>2026-03-19</t>
        </is>
      </c>
      <c r="D3073" s="9" t="inlineStr">
        <is>
          <t>43047217758348</t>
        </is>
      </c>
      <c r="E3073" s="9" t="inlineStr">
        <is>
          <t>ARETES CORAZÓN GRABADO GOLD</t>
        </is>
      </c>
      <c r="F3073" s="9" t="inlineStr">
        <is>
          <t>Default Title</t>
        </is>
      </c>
      <c r="G3073" s="9" t="n">
        <v>2</v>
      </c>
      <c r="H3073" s="21" t="n">
        <v>5.88</v>
      </c>
      <c r="I3073" s="21" t="n">
        <v>157.92</v>
      </c>
      <c r="J3073" s="21" t="n">
        <v>473.76</v>
      </c>
      <c r="K3073" s="21" t="n">
        <v>552.73</v>
      </c>
      <c r="L3073" s="21" t="n">
        <v>631.6900000000001</v>
      </c>
      <c r="M3073" s="21" t="n">
        <v>550</v>
      </c>
    </row>
    <row r="3074">
      <c r="A3074" s="9" t="inlineStr">
        <is>
          <t>CYNTHIA</t>
        </is>
      </c>
      <c r="B3074" s="9" t="inlineStr">
        <is>
          <t>CYNTHIA 19/03/2026</t>
        </is>
      </c>
      <c r="C3074" s="9" t="inlineStr">
        <is>
          <t>2026-03-19</t>
        </is>
      </c>
      <c r="D3074" s="9" t="inlineStr">
        <is>
          <t>43047196360844</t>
        </is>
      </c>
      <c r="E3074" s="9" t="inlineStr">
        <is>
          <t>ARETES CORAZÓN GRABADO SILVER</t>
        </is>
      </c>
      <c r="F3074" s="9" t="inlineStr">
        <is>
          <t>Default Title</t>
        </is>
      </c>
      <c r="G3074" s="9" t="n">
        <v>8</v>
      </c>
      <c r="H3074" s="21" t="n">
        <v>5.88</v>
      </c>
      <c r="I3074" s="21" t="n">
        <v>157.92</v>
      </c>
      <c r="J3074" s="21" t="n">
        <v>473.76</v>
      </c>
      <c r="K3074" s="21" t="n">
        <v>552.73</v>
      </c>
      <c r="L3074" s="21" t="n">
        <v>631.6900000000001</v>
      </c>
      <c r="M3074" s="21" t="n">
        <v>550</v>
      </c>
    </row>
    <row r="3075">
      <c r="A3075" s="9" t="inlineStr">
        <is>
          <t>CYNTHIA</t>
        </is>
      </c>
      <c r="B3075" s="9" t="inlineStr">
        <is>
          <t>CYNTHIA 19/03/2026</t>
        </is>
      </c>
      <c r="C3075" s="9" t="inlineStr">
        <is>
          <t>2026-03-19</t>
        </is>
      </c>
      <c r="D3075" s="9" t="inlineStr">
        <is>
          <t>63e0bd172995f-1</t>
        </is>
      </c>
      <c r="E3075" s="9" t="inlineStr">
        <is>
          <t>ARETES LV GOLD</t>
        </is>
      </c>
      <c r="F3075" s="9" t="inlineStr">
        <is>
          <t>Regular</t>
        </is>
      </c>
      <c r="G3075" s="9" t="n">
        <v>4</v>
      </c>
      <c r="H3075" s="21" t="n">
        <v>5.18</v>
      </c>
      <c r="I3075" s="21" t="n">
        <v>139.12</v>
      </c>
      <c r="J3075" s="21" t="n">
        <v>417.36</v>
      </c>
      <c r="K3075" s="21" t="n">
        <v>486.92</v>
      </c>
      <c r="L3075" s="21" t="n">
        <v>556.49</v>
      </c>
      <c r="M3075" s="21" t="n">
        <v>559</v>
      </c>
    </row>
    <row r="3076">
      <c r="A3076" s="9" t="inlineStr">
        <is>
          <t>CYNTHIA</t>
        </is>
      </c>
      <c r="B3076" s="9" t="inlineStr">
        <is>
          <t>CYNTHIA 19/03/2026</t>
        </is>
      </c>
      <c r="C3076" s="9" t="inlineStr">
        <is>
          <t>2026-03-19</t>
        </is>
      </c>
      <c r="D3076" s="9" t="inlineStr">
        <is>
          <t>64e78e740ecaf-1</t>
        </is>
      </c>
      <c r="E3076" s="9" t="inlineStr">
        <is>
          <t>ARETES LV LOGO GOLD</t>
        </is>
      </c>
      <c r="F3076" s="9" t="inlineStr">
        <is>
          <t>Stainless steel</t>
        </is>
      </c>
      <c r="G3076" s="9" t="n">
        <v>2</v>
      </c>
      <c r="H3076" s="21" t="n">
        <v>6.8</v>
      </c>
      <c r="I3076" s="21" t="n">
        <v>182.63</v>
      </c>
      <c r="J3076" s="21" t="n">
        <v>547.89</v>
      </c>
      <c r="K3076" s="21" t="n">
        <v>639.21</v>
      </c>
      <c r="L3076" s="21" t="n">
        <v>730.52</v>
      </c>
      <c r="M3076" s="21" t="n">
        <v>722</v>
      </c>
    </row>
    <row r="3077">
      <c r="A3077" s="9" t="inlineStr">
        <is>
          <t>CYNTHIA</t>
        </is>
      </c>
      <c r="B3077" s="9" t="inlineStr">
        <is>
          <t>CYNTHIA 19/03/2026</t>
        </is>
      </c>
      <c r="C3077" s="9" t="inlineStr">
        <is>
          <t>2026-03-19</t>
        </is>
      </c>
      <c r="D3077" s="9" t="inlineStr">
        <is>
          <t>43728113631628</t>
        </is>
      </c>
      <c r="E3077" s="9" t="inlineStr">
        <is>
          <t>ARETES LV LOGO ROUND GOLD</t>
        </is>
      </c>
      <c r="F3077" s="9" t="inlineStr">
        <is>
          <t>Regular</t>
        </is>
      </c>
      <c r="G3077" s="9" t="n">
        <v>2</v>
      </c>
      <c r="H3077" s="21" t="n">
        <v>3.8</v>
      </c>
      <c r="I3077" s="21" t="n">
        <v>102.06</v>
      </c>
      <c r="J3077" s="21" t="n">
        <v>306.17</v>
      </c>
      <c r="K3077" s="21" t="n">
        <v>357.2</v>
      </c>
      <c r="L3077" s="21" t="n">
        <v>408.23</v>
      </c>
      <c r="M3077" s="21" t="n">
        <v>499</v>
      </c>
    </row>
    <row r="3078">
      <c r="A3078" s="9" t="inlineStr">
        <is>
          <t>CYNTHIA</t>
        </is>
      </c>
      <c r="B3078" s="9" t="inlineStr">
        <is>
          <t>CYNTHIA 19/03/2026</t>
        </is>
      </c>
      <c r="C3078" s="9" t="inlineStr">
        <is>
          <t>2026-03-19</t>
        </is>
      </c>
      <c r="D3078" s="9" t="inlineStr">
        <is>
          <t>38332091841901</t>
        </is>
      </c>
      <c r="E3078" s="9" t="inlineStr">
        <is>
          <t>ARETES LW ANAGRAM GOLD</t>
        </is>
      </c>
      <c r="F3078" s="9" t="inlineStr">
        <is>
          <t>Default Title</t>
        </is>
      </c>
      <c r="G3078" s="9" t="n">
        <v>30</v>
      </c>
      <c r="H3078" s="21" t="n">
        <v>4</v>
      </c>
      <c r="I3078" s="21" t="n">
        <v>107.43</v>
      </c>
      <c r="J3078" s="21" t="n">
        <v>322.29</v>
      </c>
      <c r="K3078" s="21" t="n">
        <v>376</v>
      </c>
      <c r="L3078" s="21" t="n">
        <v>429.72</v>
      </c>
      <c r="M3078" s="21" t="n">
        <v>450</v>
      </c>
    </row>
    <row r="3079">
      <c r="A3079" s="9" t="inlineStr">
        <is>
          <t>CYNTHIA</t>
        </is>
      </c>
      <c r="B3079" s="9" t="inlineStr">
        <is>
          <t>CYNTHIA 19/03/2026</t>
        </is>
      </c>
      <c r="C3079" s="9" t="inlineStr">
        <is>
          <t>2026-03-19</t>
        </is>
      </c>
      <c r="D3079" s="9" t="inlineStr">
        <is>
          <t>665bd4b01f958</t>
        </is>
      </c>
      <c r="E3079" s="9" t="inlineStr">
        <is>
          <t>ARETES PR SILVER</t>
        </is>
      </c>
      <c r="F3079" s="9" t="inlineStr">
        <is>
          <t>Default Title</t>
        </is>
      </c>
      <c r="G3079" s="9" t="n">
        <v>2</v>
      </c>
      <c r="H3079" s="21" t="n">
        <v>6.8</v>
      </c>
      <c r="I3079" s="21" t="n">
        <v>182.63</v>
      </c>
      <c r="J3079" s="21" t="n">
        <v>547.89</v>
      </c>
      <c r="K3079" s="21" t="n">
        <v>639.21</v>
      </c>
      <c r="L3079" s="21" t="n">
        <v>730.52</v>
      </c>
      <c r="M3079" s="21" t="n">
        <v>750</v>
      </c>
    </row>
    <row r="3080">
      <c r="A3080" s="9" t="inlineStr">
        <is>
          <t>CYNTHIA</t>
        </is>
      </c>
      <c r="B3080" s="9" t="inlineStr">
        <is>
          <t>CYNTHIA 19/03/2026</t>
        </is>
      </c>
      <c r="C3080" s="9" t="inlineStr">
        <is>
          <t>2026-03-19</t>
        </is>
      </c>
      <c r="D3080" s="9" t="inlineStr">
        <is>
          <t>63e0bd204f826</t>
        </is>
      </c>
      <c r="E3080" s="9" t="inlineStr">
        <is>
          <t>ARETES T-SMILE GOLD</t>
        </is>
      </c>
      <c r="F3080" s="9" t="inlineStr">
        <is>
          <t>Default Title</t>
        </is>
      </c>
      <c r="G3080" s="9" t="n">
        <v>4</v>
      </c>
      <c r="H3080" s="21" t="n">
        <v>3.88</v>
      </c>
      <c r="I3080" s="21" t="n">
        <v>104.21</v>
      </c>
      <c r="J3080" s="21" t="n">
        <v>312.62</v>
      </c>
      <c r="K3080" s="21" t="n">
        <v>364.72</v>
      </c>
      <c r="L3080" s="21" t="n">
        <v>416.83</v>
      </c>
      <c r="M3080" s="21" t="n">
        <v>573</v>
      </c>
    </row>
    <row r="3081">
      <c r="A3081" s="9" t="inlineStr">
        <is>
          <t>CYNTHIA</t>
        </is>
      </c>
      <c r="B3081" s="9" t="inlineStr">
        <is>
          <t>CYNTHIA 19/03/2026</t>
        </is>
      </c>
      <c r="C3081" s="9" t="inlineStr">
        <is>
          <t>2026-03-19</t>
        </is>
      </c>
      <c r="D3081" s="9" t="inlineStr">
        <is>
          <t>641b376c85b37</t>
        </is>
      </c>
      <c r="E3081" s="9" t="inlineStr">
        <is>
          <t>ARETES T-SMILE ROSE GOLD CON ZIRCONIA</t>
        </is>
      </c>
      <c r="F3081" s="9" t="inlineStr">
        <is>
          <t>Default Title</t>
        </is>
      </c>
      <c r="G3081" s="9" t="n">
        <v>1</v>
      </c>
      <c r="H3081" s="21" t="n">
        <v>6.8</v>
      </c>
      <c r="I3081" s="21" t="n">
        <v>182.63</v>
      </c>
      <c r="J3081" s="21" t="n">
        <v>547.89</v>
      </c>
      <c r="K3081" s="21" t="n">
        <v>639.21</v>
      </c>
      <c r="L3081" s="21" t="n">
        <v>730.52</v>
      </c>
      <c r="M3081" s="21" t="n">
        <v>735</v>
      </c>
    </row>
    <row r="3082">
      <c r="A3082" s="9" t="inlineStr">
        <is>
          <t>CYNTHIA</t>
        </is>
      </c>
      <c r="B3082" s="9" t="inlineStr">
        <is>
          <t>CYNTHIA 19/03/2026</t>
        </is>
      </c>
      <c r="C3082" s="9" t="inlineStr">
        <is>
          <t>2026-03-19</t>
        </is>
      </c>
      <c r="D3082" s="9" t="inlineStr">
        <is>
          <t>63ebd921017f7</t>
        </is>
      </c>
      <c r="E3082" s="9" t="inlineStr">
        <is>
          <t>ARETES T-SMILE SILVER CON ZIRCONIA</t>
        </is>
      </c>
      <c r="F3082" s="9" t="inlineStr">
        <is>
          <t>Default Title</t>
        </is>
      </c>
      <c r="G3082" s="9" t="n">
        <v>3</v>
      </c>
      <c r="H3082" s="21" t="n">
        <v>6.8</v>
      </c>
      <c r="I3082" s="21" t="n">
        <v>182.63</v>
      </c>
      <c r="J3082" s="21" t="n">
        <v>547.89</v>
      </c>
      <c r="K3082" s="21" t="n">
        <v>639.21</v>
      </c>
      <c r="L3082" s="21" t="n">
        <v>730.52</v>
      </c>
      <c r="M3082" s="21" t="n">
        <v>722</v>
      </c>
    </row>
    <row r="3083">
      <c r="A3083" s="9" t="inlineStr">
        <is>
          <t>CYNTHIA</t>
        </is>
      </c>
      <c r="B3083" s="9" t="inlineStr">
        <is>
          <t>CYNTHIA 19/03/2026</t>
        </is>
      </c>
      <c r="C3083" s="9" t="inlineStr">
        <is>
          <t>2026-03-19</t>
        </is>
      </c>
      <c r="D3083" s="9" t="inlineStr">
        <is>
          <t>43071749587084</t>
        </is>
      </c>
      <c r="E3083" s="9" t="inlineStr">
        <is>
          <t>ARETES V CON PERLA</t>
        </is>
      </c>
      <c r="F3083" s="9" t="inlineStr">
        <is>
          <t>Regular</t>
        </is>
      </c>
      <c r="G3083" s="9" t="n">
        <v>2</v>
      </c>
      <c r="H3083" s="21" t="n">
        <v>8.800000000000001</v>
      </c>
      <c r="I3083" s="21" t="n">
        <v>236.35</v>
      </c>
      <c r="J3083" s="21" t="n">
        <v>709.04</v>
      </c>
      <c r="K3083" s="21" t="n">
        <v>827.21</v>
      </c>
      <c r="L3083" s="21" t="n">
        <v>945.38</v>
      </c>
      <c r="M3083" s="21" t="n">
        <v>915</v>
      </c>
    </row>
    <row r="3084">
      <c r="A3084" s="9" t="inlineStr">
        <is>
          <t>CYNTHIA</t>
        </is>
      </c>
      <c r="B3084" s="9" t="inlineStr">
        <is>
          <t>CYNTHIA 19/03/2026</t>
        </is>
      </c>
      <c r="C3084" s="9" t="inlineStr">
        <is>
          <t>2026-03-19</t>
        </is>
      </c>
      <c r="D3084" s="9" t="inlineStr">
        <is>
          <t>665bd4b033012</t>
        </is>
      </c>
      <c r="E3084" s="9" t="inlineStr">
        <is>
          <t>ARETES YSL SILVER</t>
        </is>
      </c>
      <c r="F3084" s="9" t="inlineStr">
        <is>
          <t>Default Title</t>
        </is>
      </c>
      <c r="G3084" s="9" t="n">
        <v>1</v>
      </c>
      <c r="H3084" s="21" t="n">
        <v>4.6</v>
      </c>
      <c r="I3084" s="21" t="n">
        <v>123.54</v>
      </c>
      <c r="J3084" s="21" t="n">
        <v>370.63</v>
      </c>
      <c r="K3084" s="21" t="n">
        <v>432.4</v>
      </c>
      <c r="L3084" s="21" t="n">
        <v>494.18</v>
      </c>
      <c r="M3084" s="21" t="n">
        <v>499</v>
      </c>
    </row>
    <row r="3085">
      <c r="A3085" s="9" t="inlineStr">
        <is>
          <t>CYNTHIA</t>
        </is>
      </c>
      <c r="B3085" s="9" t="inlineStr">
        <is>
          <t>CYNTHIA 19/03/2026</t>
        </is>
      </c>
      <c r="C3085" s="9" t="inlineStr">
        <is>
          <t>2026-03-19</t>
        </is>
      </c>
      <c r="D3085" s="9" t="inlineStr">
        <is>
          <t>39252672178381</t>
        </is>
      </c>
      <c r="E3085" s="9" t="inlineStr">
        <is>
          <t>ARRACADAS BLOSSOM GOLD ZIRCONIAS</t>
        </is>
      </c>
      <c r="F3085" s="9" t="inlineStr">
        <is>
          <t>Default Title</t>
        </is>
      </c>
      <c r="G3085" s="9" t="n">
        <v>2</v>
      </c>
      <c r="H3085" s="21" t="n">
        <v>9.800000000000001</v>
      </c>
      <c r="I3085" s="21" t="n">
        <v>263.2</v>
      </c>
      <c r="J3085" s="21" t="n">
        <v>789.61</v>
      </c>
      <c r="K3085" s="21" t="n">
        <v>921.21</v>
      </c>
      <c r="L3085" s="21" t="n">
        <v>1052.81</v>
      </c>
      <c r="M3085" s="21" t="n">
        <v>925</v>
      </c>
    </row>
    <row r="3086">
      <c r="A3086" s="9" t="inlineStr">
        <is>
          <t>CYNTHIA</t>
        </is>
      </c>
      <c r="B3086" s="9" t="inlineStr">
        <is>
          <t>CYNTHIA 19/03/2026</t>
        </is>
      </c>
      <c r="C3086" s="9" t="inlineStr">
        <is>
          <t>2026-03-19</t>
        </is>
      </c>
      <c r="D3086" s="9" t="inlineStr">
        <is>
          <t>43728071088236</t>
        </is>
      </c>
      <c r="E3086" s="9" t="inlineStr">
        <is>
          <t>ARRACADAS BV SERPENTI</t>
        </is>
      </c>
      <c r="F3086" s="9" t="inlineStr">
        <is>
          <t>Default Title</t>
        </is>
      </c>
      <c r="G3086" s="9" t="n">
        <v>2</v>
      </c>
      <c r="H3086" s="21" t="n">
        <v>8.800000000000001</v>
      </c>
      <c r="I3086" s="21" t="n">
        <v>236.35</v>
      </c>
      <c r="J3086" s="21" t="n">
        <v>709.04</v>
      </c>
      <c r="K3086" s="21" t="n">
        <v>827.21</v>
      </c>
      <c r="L3086" s="21" t="n">
        <v>945.38</v>
      </c>
      <c r="M3086" s="21" t="n">
        <v>915</v>
      </c>
    </row>
    <row r="3087">
      <c r="A3087" s="9" t="inlineStr">
        <is>
          <t>CYNTHIA</t>
        </is>
      </c>
      <c r="B3087" s="9" t="inlineStr">
        <is>
          <t>CYNTHIA 19/03/2026</t>
        </is>
      </c>
      <c r="C3087" s="9" t="inlineStr">
        <is>
          <t>2026-03-19</t>
        </is>
      </c>
      <c r="D3087" s="9" t="inlineStr">
        <is>
          <t>43897301164429</t>
        </is>
      </c>
      <c r="E3087" s="9" t="inlineStr">
        <is>
          <t>BOLSA CC Nº25 BABY BLUE</t>
        </is>
      </c>
      <c r="F3087" s="9" t="inlineStr">
        <is>
          <t>Default Title</t>
        </is>
      </c>
      <c r="G3087" s="9" t="n">
        <v>5</v>
      </c>
      <c r="H3087" s="21" t="n">
        <v>65</v>
      </c>
      <c r="I3087" s="21" t="n">
        <v>1745.73</v>
      </c>
      <c r="J3087" s="21" t="n">
        <v>5237.2</v>
      </c>
      <c r="K3087" s="21" t="n">
        <v>6110.06</v>
      </c>
      <c r="L3087" s="21" t="n">
        <v>6982.93</v>
      </c>
      <c r="M3087" s="21" t="n">
        <v>5999</v>
      </c>
    </row>
    <row r="3088">
      <c r="A3088" s="9" t="inlineStr">
        <is>
          <t>CYNTHIA</t>
        </is>
      </c>
      <c r="B3088" s="9" t="inlineStr">
        <is>
          <t>CYNTHIA 19/03/2026</t>
        </is>
      </c>
      <c r="C3088" s="9" t="inlineStr">
        <is>
          <t>2026-03-19</t>
        </is>
      </c>
      <c r="D3088" s="9" t="inlineStr">
        <is>
          <t>438973010904</t>
        </is>
      </c>
      <c r="E3088" s="9" t="inlineStr">
        <is>
          <t>BOLSA CC Nº25 YELLOW</t>
        </is>
      </c>
      <c r="F3088" s="9" t="inlineStr"/>
      <c r="G3088" s="9" t="n">
        <v>4</v>
      </c>
      <c r="H3088" s="21" t="n">
        <v>65</v>
      </c>
      <c r="I3088" s="21" t="n">
        <v>1745.73</v>
      </c>
      <c r="J3088" s="21" t="n">
        <v>5237.2</v>
      </c>
      <c r="K3088" s="21" t="n">
        <v>6110.06</v>
      </c>
      <c r="L3088" s="21" t="n">
        <v>6982.93</v>
      </c>
      <c r="M3088" s="21" t="n">
        <v>6989</v>
      </c>
    </row>
    <row r="3089">
      <c r="A3089" s="9" t="inlineStr">
        <is>
          <t>CYNTHIA</t>
        </is>
      </c>
      <c r="B3089" s="9" t="inlineStr">
        <is>
          <t>CYNTHIA 19/03/2026</t>
        </is>
      </c>
      <c r="C3089" s="9" t="inlineStr">
        <is>
          <t>2026-03-19</t>
        </is>
      </c>
      <c r="D3089" s="9" t="inlineStr">
        <is>
          <t>66581e33ea15d</t>
        </is>
      </c>
      <c r="E3089" s="9" t="inlineStr">
        <is>
          <t>BOLSA G GREEN</t>
        </is>
      </c>
      <c r="F3089" s="9" t="inlineStr">
        <is>
          <t>34cm largo x 27cm ancho</t>
        </is>
      </c>
      <c r="G3089" s="9" t="n">
        <v>5</v>
      </c>
      <c r="H3089" s="21" t="n">
        <v>40</v>
      </c>
      <c r="I3089" s="21" t="n">
        <v>1074.3</v>
      </c>
      <c r="J3089" s="21" t="n">
        <v>3222.89</v>
      </c>
      <c r="K3089" s="21" t="n">
        <v>3760.04</v>
      </c>
      <c r="L3089" s="21" t="n">
        <v>4297.19</v>
      </c>
      <c r="M3089" s="21" t="n">
        <v>4250</v>
      </c>
    </row>
    <row r="3090">
      <c r="A3090" s="9" t="inlineStr">
        <is>
          <t>CYNTHIA</t>
        </is>
      </c>
      <c r="B3090" s="9" t="inlineStr">
        <is>
          <t>CYNTHIA 19/03/2026</t>
        </is>
      </c>
      <c r="C3090" s="9" t="inlineStr">
        <is>
          <t>2026-03-19</t>
        </is>
      </c>
      <c r="D3090" s="9" t="inlineStr">
        <is>
          <t>43728071845836</t>
        </is>
      </c>
      <c r="E3090" s="9" t="inlineStr">
        <is>
          <t>BOLSO C AVA TRIOMPHE BROWN</t>
        </is>
      </c>
      <c r="F3090" s="9" t="inlineStr">
        <is>
          <t>22cm de largo x 12cm de alto x 6cm de ancho</t>
        </is>
      </c>
      <c r="G3090" s="9" t="n">
        <v>3</v>
      </c>
      <c r="H3090" s="21" t="n">
        <v>46</v>
      </c>
      <c r="I3090" s="21" t="n">
        <v>1235.44</v>
      </c>
      <c r="J3090" s="21" t="n">
        <v>3706.32</v>
      </c>
      <c r="K3090" s="21" t="n">
        <v>4324.04</v>
      </c>
      <c r="L3090" s="21" t="n">
        <v>4941.76</v>
      </c>
      <c r="M3090" s="21" t="n">
        <v>4325</v>
      </c>
    </row>
    <row r="3091">
      <c r="A3091" s="9" t="inlineStr">
        <is>
          <t>CYNTHIA</t>
        </is>
      </c>
      <c r="B3091" s="9" t="inlineStr">
        <is>
          <t>CYNTHIA 19/03/2026</t>
        </is>
      </c>
      <c r="C3091" s="9" t="inlineStr">
        <is>
          <t>2026-03-19</t>
        </is>
      </c>
      <c r="D3091" s="9" t="inlineStr">
        <is>
          <t>654bdc4810167</t>
        </is>
      </c>
      <c r="E3091" s="9" t="inlineStr">
        <is>
          <t>BOLSO CC BLACK SILVER</t>
        </is>
      </c>
      <c r="F3091" s="9" t="inlineStr">
        <is>
          <t>16cm de alto x 25cm de largo x 7cm de ancho</t>
        </is>
      </c>
      <c r="G3091" s="9" t="n">
        <v>3</v>
      </c>
      <c r="H3091" s="21" t="n">
        <v>54</v>
      </c>
      <c r="I3091" s="21" t="n">
        <v>1450.3</v>
      </c>
      <c r="J3091" s="21" t="n">
        <v>4350.9</v>
      </c>
      <c r="K3091" s="21" t="n">
        <v>5076.05</v>
      </c>
      <c r="L3091" s="21" t="n">
        <v>5801.2</v>
      </c>
      <c r="M3091" s="21" t="n">
        <v>5730</v>
      </c>
    </row>
    <row r="3092">
      <c r="A3092" s="9" t="inlineStr">
        <is>
          <t>CYNTHIA</t>
        </is>
      </c>
      <c r="B3092" s="9" t="inlineStr">
        <is>
          <t>CYNTHIA 19/03/2026</t>
        </is>
      </c>
      <c r="C3092" s="9" t="inlineStr">
        <is>
          <t>2026-03-19</t>
        </is>
      </c>
      <c r="D3092" s="9" t="inlineStr">
        <is>
          <t>98269351344877</t>
        </is>
      </c>
      <c r="E3092" s="9" t="inlineStr">
        <is>
          <t>BOLSO CC MINI KELLY BURDEOS</t>
        </is>
      </c>
      <c r="F3092" s="9" t="inlineStr">
        <is>
          <t>Default Title</t>
        </is>
      </c>
      <c r="G3092" s="9" t="n">
        <v>2</v>
      </c>
      <c r="H3092" s="21" t="n">
        <v>53</v>
      </c>
      <c r="I3092" s="21" t="n">
        <v>1423.44</v>
      </c>
      <c r="J3092" s="21" t="n">
        <v>4270.33</v>
      </c>
      <c r="K3092" s="21" t="n">
        <v>4982.05</v>
      </c>
      <c r="L3092" s="21" t="n">
        <v>5693.77</v>
      </c>
      <c r="M3092" s="21" t="n">
        <v>5629</v>
      </c>
    </row>
    <row r="3093">
      <c r="A3093" s="9" t="inlineStr">
        <is>
          <t>CYNTHIA</t>
        </is>
      </c>
      <c r="B3093" s="9" t="inlineStr">
        <is>
          <t>CYNTHIA 19/03/2026</t>
        </is>
      </c>
      <c r="C3093" s="9" t="inlineStr">
        <is>
          <t>2026-03-19</t>
        </is>
      </c>
      <c r="D3093" s="9" t="inlineStr">
        <is>
          <t>98043701458157</t>
        </is>
      </c>
      <c r="E3093" s="9" t="inlineStr">
        <is>
          <t>BOLSO CD HOBO DIORSTAR</t>
        </is>
      </c>
      <c r="F3093" s="9" t="inlineStr">
        <is>
          <t>Default Title</t>
        </is>
      </c>
      <c r="G3093" s="9" t="n">
        <v>1</v>
      </c>
      <c r="H3093" s="21" t="n">
        <v>67</v>
      </c>
      <c r="I3093" s="21" t="n">
        <v>1799.45</v>
      </c>
      <c r="J3093" s="21" t="n">
        <v>5398.34</v>
      </c>
      <c r="K3093" s="21" t="n">
        <v>6298.06</v>
      </c>
      <c r="L3093" s="21" t="n">
        <v>7197.79</v>
      </c>
      <c r="M3093" s="21" t="n">
        <v>6500</v>
      </c>
    </row>
    <row r="3094">
      <c r="A3094" s="9" t="inlineStr">
        <is>
          <t>CYNTHIA</t>
        </is>
      </c>
      <c r="B3094" s="9" t="inlineStr">
        <is>
          <t>CYNTHIA 19/03/2026</t>
        </is>
      </c>
      <c r="C3094" s="9" t="inlineStr">
        <is>
          <t>2026-03-19</t>
        </is>
      </c>
      <c r="D3094" s="9" t="inlineStr">
        <is>
          <t>13863311065325</t>
        </is>
      </c>
      <c r="E3094" s="9" t="inlineStr">
        <is>
          <t>BOLSO CD MESSENGER SADDLE BLACK</t>
        </is>
      </c>
      <c r="F3094" s="9" t="inlineStr">
        <is>
          <t>Default Title</t>
        </is>
      </c>
      <c r="G3094" s="9" t="n">
        <v>2</v>
      </c>
      <c r="H3094" s="21" t="n">
        <v>49</v>
      </c>
      <c r="I3094" s="21" t="n">
        <v>1316.01</v>
      </c>
      <c r="J3094" s="21" t="n">
        <v>3948.04</v>
      </c>
      <c r="K3094" s="21" t="n">
        <v>4606.05</v>
      </c>
      <c r="L3094" s="21" t="n">
        <v>5264.05</v>
      </c>
      <c r="M3094" s="21" t="n">
        <v>4700</v>
      </c>
    </row>
    <row r="3095">
      <c r="A3095" s="9" t="inlineStr">
        <is>
          <t>CYNTHIA</t>
        </is>
      </c>
      <c r="B3095" s="9" t="inlineStr">
        <is>
          <t>CYNTHIA 19/03/2026</t>
        </is>
      </c>
      <c r="C3095" s="9" t="inlineStr">
        <is>
          <t>2026-03-19</t>
        </is>
      </c>
      <c r="D3095" s="9" t="inlineStr">
        <is>
          <t>62809482933772</t>
        </is>
      </c>
      <c r="E3095" s="9" t="inlineStr">
        <is>
          <t>BOLSO CD MESSENGER SADDLE BLUE</t>
        </is>
      </c>
      <c r="F3095" s="9" t="inlineStr">
        <is>
          <t>20cm de largo x 14cm de alto x 5cm de ancho</t>
        </is>
      </c>
      <c r="G3095" s="9" t="n">
        <v>2</v>
      </c>
      <c r="H3095" s="21" t="n">
        <v>50</v>
      </c>
      <c r="I3095" s="21" t="n">
        <v>1342.87</v>
      </c>
      <c r="J3095" s="21" t="n">
        <v>4028.61</v>
      </c>
      <c r="K3095" s="21" t="n">
        <v>4700.05</v>
      </c>
      <c r="L3095" s="21" t="n">
        <v>5371.48</v>
      </c>
      <c r="M3095" s="21" t="n">
        <v>4700</v>
      </c>
    </row>
    <row r="3096">
      <c r="A3096" s="9" t="inlineStr">
        <is>
          <t>CYNTHIA</t>
        </is>
      </c>
      <c r="B3096" s="9" t="inlineStr">
        <is>
          <t>CYNTHIA 19/03/2026</t>
        </is>
      </c>
      <c r="C3096" s="9" t="inlineStr">
        <is>
          <t>2026-03-19</t>
        </is>
      </c>
      <c r="D3096" s="9" t="inlineStr">
        <is>
          <t>19976221521036</t>
        </is>
      </c>
      <c r="E3096" s="9" t="inlineStr">
        <is>
          <t>BOLSO DE VIAJE BLACK PÉGASE LV</t>
        </is>
      </c>
      <c r="F3096" s="9" t="inlineStr">
        <is>
          <t>HIGH QUALITY</t>
        </is>
      </c>
      <c r="G3096" s="9" t="n">
        <v>2</v>
      </c>
      <c r="H3096" s="21" t="n">
        <v>54</v>
      </c>
      <c r="I3096" s="21" t="n">
        <v>1450.3</v>
      </c>
      <c r="J3096" s="21" t="n">
        <v>4350.9</v>
      </c>
      <c r="K3096" s="21" t="n">
        <v>5076.05</v>
      </c>
      <c r="L3096" s="21" t="n">
        <v>5801.2</v>
      </c>
      <c r="M3096" s="21" t="n">
        <v>5609</v>
      </c>
    </row>
    <row r="3097">
      <c r="A3097" s="9" t="inlineStr">
        <is>
          <t>CYNTHIA</t>
        </is>
      </c>
      <c r="B3097" s="9" t="inlineStr">
        <is>
          <t>CYNTHIA 19/03/2026</t>
        </is>
      </c>
      <c r="C3097" s="9" t="inlineStr">
        <is>
          <t>2026-03-19</t>
        </is>
      </c>
      <c r="D3097" s="9" t="inlineStr">
        <is>
          <t>43026605146252</t>
        </is>
      </c>
      <c r="E3097" s="9" t="inlineStr">
        <is>
          <t>BOLSO G BLACK</t>
        </is>
      </c>
      <c r="F3097" s="9" t="inlineStr">
        <is>
          <t>Default Title</t>
        </is>
      </c>
      <c r="G3097" s="9" t="n">
        <v>2</v>
      </c>
      <c r="H3097" s="21" t="n">
        <v>49</v>
      </c>
      <c r="I3097" s="21" t="n">
        <v>1316.01</v>
      </c>
      <c r="J3097" s="21" t="n">
        <v>3948.04</v>
      </c>
      <c r="K3097" s="21" t="n">
        <v>4606.05</v>
      </c>
      <c r="L3097" s="21" t="n">
        <v>5264.05</v>
      </c>
      <c r="M3097" s="21" t="n">
        <v>5200</v>
      </c>
    </row>
    <row r="3098">
      <c r="A3098" s="9" t="inlineStr">
        <is>
          <t>CYNTHIA</t>
        </is>
      </c>
      <c r="B3098" s="9" t="inlineStr">
        <is>
          <t>CYNTHIA 19/03/2026</t>
        </is>
      </c>
      <c r="C3098" s="9" t="inlineStr">
        <is>
          <t>2026-03-19</t>
        </is>
      </c>
      <c r="D3098" s="9" t="inlineStr">
        <is>
          <t>6701d2610aff8</t>
        </is>
      </c>
      <c r="E3098" s="9" t="inlineStr">
        <is>
          <t>BOLSO G BROWN</t>
        </is>
      </c>
      <c r="F3098" s="9" t="inlineStr">
        <is>
          <t>54cm de largo x 29.8cm de alto</t>
        </is>
      </c>
      <c r="G3098" s="9" t="n">
        <v>3</v>
      </c>
      <c r="H3098" s="21" t="n">
        <v>49</v>
      </c>
      <c r="I3098" s="21" t="n">
        <v>1316.01</v>
      </c>
      <c r="J3098" s="21" t="n">
        <v>3948.04</v>
      </c>
      <c r="K3098" s="21" t="n">
        <v>4606.05</v>
      </c>
      <c r="L3098" s="21" t="n">
        <v>5264.05</v>
      </c>
      <c r="M3098" s="21" t="n">
        <v>5200</v>
      </c>
    </row>
    <row r="3099">
      <c r="A3099" s="9" t="inlineStr">
        <is>
          <t>CYNTHIA</t>
        </is>
      </c>
      <c r="B3099" s="9" t="inlineStr">
        <is>
          <t>CYNTHIA 19/03/2026</t>
        </is>
      </c>
      <c r="C3099" s="9" t="inlineStr">
        <is>
          <t>2026-03-19</t>
        </is>
      </c>
      <c r="D3099" s="9" t="inlineStr">
        <is>
          <t>6701d26e72186</t>
        </is>
      </c>
      <c r="E3099" s="9" t="inlineStr">
        <is>
          <t>BOLSO H BIRKIN 30 WHITE</t>
        </is>
      </c>
      <c r="F3099" s="9" t="inlineStr">
        <is>
          <t>20.5cm de alto x 25cm de largo x 13cm ancho</t>
        </is>
      </c>
      <c r="G3099" s="9" t="n">
        <v>2</v>
      </c>
      <c r="H3099" s="21" t="n">
        <v>65</v>
      </c>
      <c r="I3099" s="21" t="n">
        <v>1745.73</v>
      </c>
      <c r="J3099" s="21" t="n">
        <v>5237.2</v>
      </c>
      <c r="K3099" s="21" t="n">
        <v>6110.06</v>
      </c>
      <c r="L3099" s="21" t="n">
        <v>6982.93</v>
      </c>
      <c r="M3099" s="21" t="n">
        <v>6115</v>
      </c>
    </row>
    <row r="3100">
      <c r="A3100" s="9" t="inlineStr">
        <is>
          <t>CYNTHIA</t>
        </is>
      </c>
      <c r="B3100" s="9" t="inlineStr">
        <is>
          <t>CYNTHIA 19/03/2026</t>
        </is>
      </c>
      <c r="C3100" s="9" t="inlineStr">
        <is>
          <t>2026-03-19</t>
        </is>
      </c>
      <c r="D3100" s="9" t="inlineStr">
        <is>
          <t>34313011061229</t>
        </is>
      </c>
      <c r="E3100" s="9" t="inlineStr">
        <is>
          <t>BOLSO PR HANDBAG BROWN</t>
        </is>
      </c>
      <c r="F3100" s="9" t="inlineStr">
        <is>
          <t>BIG</t>
        </is>
      </c>
      <c r="G3100" s="9" t="n">
        <v>2</v>
      </c>
      <c r="H3100" s="21" t="n">
        <v>50</v>
      </c>
      <c r="I3100" s="21" t="n">
        <v>1342.87</v>
      </c>
      <c r="J3100" s="21" t="n">
        <v>4028.61</v>
      </c>
      <c r="K3100" s="21" t="n">
        <v>4700.05</v>
      </c>
      <c r="L3100" s="21" t="n">
        <v>5371.48</v>
      </c>
      <c r="M3100" s="21" t="n">
        <v>5099</v>
      </c>
    </row>
    <row r="3101">
      <c r="A3101" s="9" t="inlineStr">
        <is>
          <t>CYNTHIA</t>
        </is>
      </c>
      <c r="B3101" s="9" t="inlineStr">
        <is>
          <t>CYNTHIA 19/03/2026</t>
        </is>
      </c>
      <c r="C3101" s="9" t="inlineStr">
        <is>
          <t>2026-03-19</t>
        </is>
      </c>
      <c r="D3101" s="9" t="inlineStr">
        <is>
          <t>90820181028909</t>
        </is>
      </c>
      <c r="E3101" s="9" t="inlineStr">
        <is>
          <t>BOLSO SADDLE CD JACQUARD BLUE</t>
        </is>
      </c>
      <c r="F3101" s="9" t="inlineStr">
        <is>
          <t>24cm de largo x 15 cm de alto</t>
        </is>
      </c>
      <c r="G3101" s="9" t="n">
        <v>2</v>
      </c>
      <c r="H3101" s="21" t="n">
        <v>42</v>
      </c>
      <c r="I3101" s="21" t="n">
        <v>1128.01</v>
      </c>
      <c r="J3101" s="21" t="n">
        <v>3384.03</v>
      </c>
      <c r="K3101" s="21" t="n">
        <v>3948.04</v>
      </c>
      <c r="L3101" s="21" t="n">
        <v>4512.05</v>
      </c>
      <c r="M3101" s="21" t="n">
        <v>6690</v>
      </c>
    </row>
    <row r="3102">
      <c r="A3102" s="9" t="inlineStr">
        <is>
          <t>CYNTHIA</t>
        </is>
      </c>
      <c r="B3102" s="9" t="inlineStr">
        <is>
          <t>CYNTHIA 19/03/2026</t>
        </is>
      </c>
      <c r="C3102" s="9" t="inlineStr">
        <is>
          <t>2026-03-19</t>
        </is>
      </c>
      <c r="D3102" s="9" t="inlineStr">
        <is>
          <t>668eeefb6a924</t>
        </is>
      </c>
      <c r="E3102" s="9" t="inlineStr">
        <is>
          <t>BOLSO YSL KATE</t>
        </is>
      </c>
      <c r="F3102" s="9" t="inlineStr">
        <is>
          <t>27cm de largo x 18 cm de alto</t>
        </is>
      </c>
      <c r="G3102" s="9" t="n">
        <v>6</v>
      </c>
      <c r="H3102" s="21" t="n">
        <v>34</v>
      </c>
      <c r="I3102" s="21" t="n">
        <v>913.15</v>
      </c>
      <c r="J3102" s="21" t="n">
        <v>2739.46</v>
      </c>
      <c r="K3102" s="21" t="n">
        <v>3196.03</v>
      </c>
      <c r="L3102" s="21" t="n">
        <v>3652.61</v>
      </c>
      <c r="M3102" s="21" t="n">
        <v>3620</v>
      </c>
    </row>
    <row r="3103">
      <c r="A3103" s="9" t="inlineStr">
        <is>
          <t>CYNTHIA</t>
        </is>
      </c>
      <c r="B3103" s="9" t="inlineStr">
        <is>
          <t>CYNTHIA 19/03/2026</t>
        </is>
      </c>
      <c r="C3103" s="9" t="inlineStr">
        <is>
          <t>2026-03-19</t>
        </is>
      </c>
      <c r="D3103" s="9" t="inlineStr">
        <is>
          <t>35245867974284</t>
        </is>
      </c>
      <c r="E3103" s="9" t="inlineStr">
        <is>
          <t>BOLSO YSL SHOPER ICARE</t>
        </is>
      </c>
      <c r="F3103" s="9" t="inlineStr">
        <is>
          <t>51cm x 58cm</t>
        </is>
      </c>
      <c r="G3103" s="9" t="n">
        <v>9</v>
      </c>
      <c r="H3103" s="21" t="n">
        <v>55</v>
      </c>
      <c r="I3103" s="21" t="n">
        <v>1477.16</v>
      </c>
      <c r="J3103" s="21" t="n">
        <v>4431.47</v>
      </c>
      <c r="K3103" s="21" t="n">
        <v>5170.05</v>
      </c>
      <c r="L3103" s="21" t="n">
        <v>5908.63</v>
      </c>
      <c r="M3103" s="21" t="n">
        <v>5840</v>
      </c>
    </row>
    <row r="3104">
      <c r="A3104" s="9" t="inlineStr">
        <is>
          <t>CYNTHIA</t>
        </is>
      </c>
      <c r="B3104" s="9" t="inlineStr">
        <is>
          <t>CYNTHIA 19/03/2026</t>
        </is>
      </c>
      <c r="C3104" s="9" t="inlineStr">
        <is>
          <t>2026-03-19</t>
        </is>
      </c>
      <c r="D3104" s="9" t="inlineStr">
        <is>
          <t>39252671973293</t>
        </is>
      </c>
      <c r="E3104" s="9" t="inlineStr">
        <is>
          <t>BRAZALETE BLOSSOM ROSEGOLD ZIRCONIA</t>
        </is>
      </c>
      <c r="F3104" s="9" t="inlineStr">
        <is>
          <t>Default Title</t>
        </is>
      </c>
      <c r="G3104" s="9" t="n">
        <v>2</v>
      </c>
      <c r="H3104" s="21" t="n">
        <v>8.800000000000001</v>
      </c>
      <c r="I3104" s="21" t="n">
        <v>236.35</v>
      </c>
      <c r="J3104" s="21" t="n">
        <v>709.04</v>
      </c>
      <c r="K3104" s="21" t="n">
        <v>827.21</v>
      </c>
      <c r="L3104" s="21" t="n">
        <v>945.38</v>
      </c>
      <c r="M3104" s="21" t="n">
        <v>950</v>
      </c>
    </row>
    <row r="3105">
      <c r="A3105" s="9" t="inlineStr">
        <is>
          <t>CYNTHIA</t>
        </is>
      </c>
      <c r="B3105" s="9" t="inlineStr">
        <is>
          <t>CYNTHIA 19/03/2026</t>
        </is>
      </c>
      <c r="C3105" s="9" t="inlineStr">
        <is>
          <t>2026-03-19</t>
        </is>
      </c>
      <c r="D3105" s="9" t="inlineStr">
        <is>
          <t>41889241578253</t>
        </is>
      </c>
      <c r="E3105" s="9" t="inlineStr">
        <is>
          <t>BRAZALETE CD ZIRCONIAS GOLD-BLACK</t>
        </is>
      </c>
      <c r="F3105" s="9" t="inlineStr">
        <is>
          <t>High quality</t>
        </is>
      </c>
      <c r="G3105" s="9" t="n">
        <v>2</v>
      </c>
      <c r="H3105" s="21" t="n">
        <v>10.8</v>
      </c>
      <c r="I3105" s="21" t="n">
        <v>290.06</v>
      </c>
      <c r="J3105" s="21" t="n">
        <v>870.1799999999999</v>
      </c>
      <c r="K3105" s="21" t="n">
        <v>1015.21</v>
      </c>
      <c r="L3105" s="21" t="n">
        <v>1160.24</v>
      </c>
      <c r="M3105" s="21" t="n">
        <v>1020</v>
      </c>
    </row>
    <row r="3106">
      <c r="A3106" s="9" t="inlineStr">
        <is>
          <t>CYNTHIA</t>
        </is>
      </c>
      <c r="B3106" s="9" t="inlineStr">
        <is>
          <t>CYNTHIA 19/03/2026</t>
        </is>
      </c>
      <c r="C3106" s="9" t="inlineStr">
        <is>
          <t>2026-03-19</t>
        </is>
      </c>
      <c r="D3106" s="9" t="inlineStr">
        <is>
          <t>66f1ed264fc77</t>
        </is>
      </c>
      <c r="E3106" s="9" t="inlineStr">
        <is>
          <t>CARTERA G VICTORIE GREEN</t>
        </is>
      </c>
      <c r="F3106" s="9" t="inlineStr">
        <is>
          <t>12cm de largo x 9.5cm de alto</t>
        </is>
      </c>
      <c r="G3106" s="9" t="n">
        <v>3</v>
      </c>
      <c r="H3106" s="21" t="n">
        <v>20</v>
      </c>
      <c r="I3106" s="21" t="n">
        <v>537.15</v>
      </c>
      <c r="J3106" s="21" t="n">
        <v>1611.44</v>
      </c>
      <c r="K3106" s="21" t="n">
        <v>1880.02</v>
      </c>
      <c r="L3106" s="21" t="n">
        <v>2148.59</v>
      </c>
      <c r="M3106" s="21" t="n">
        <v>2199</v>
      </c>
    </row>
    <row r="3107">
      <c r="A3107" s="9" t="inlineStr">
        <is>
          <t>CYNTHIA</t>
        </is>
      </c>
      <c r="B3107" s="9" t="inlineStr">
        <is>
          <t>CYNTHIA 19/03/2026</t>
        </is>
      </c>
      <c r="C3107" s="9" t="inlineStr">
        <is>
          <t>2026-03-19</t>
        </is>
      </c>
      <c r="D3107" s="9" t="inlineStr">
        <is>
          <t>41353991048077</t>
        </is>
      </c>
      <c r="E3107" s="9" t="inlineStr">
        <is>
          <t>CINTO C TRIOMPHE BLACK</t>
        </is>
      </c>
      <c r="F3107" s="9" t="inlineStr">
        <is>
          <t>Default Title</t>
        </is>
      </c>
      <c r="G3107" s="9" t="n">
        <v>20</v>
      </c>
      <c r="H3107" s="21" t="n">
        <v>8</v>
      </c>
      <c r="I3107" s="21" t="n">
        <v>214.86</v>
      </c>
      <c r="J3107" s="21" t="n">
        <v>644.58</v>
      </c>
      <c r="K3107" s="21" t="n">
        <v>752.01</v>
      </c>
      <c r="L3107" s="21" t="n">
        <v>859.4400000000001</v>
      </c>
      <c r="M3107" s="21" t="n">
        <v>999</v>
      </c>
    </row>
    <row r="3108">
      <c r="A3108" s="9" t="inlineStr">
        <is>
          <t>CYNTHIA</t>
        </is>
      </c>
      <c r="B3108" s="9" t="inlineStr">
        <is>
          <t>CYNTHIA 19/03/2026</t>
        </is>
      </c>
      <c r="C3108" s="9" t="inlineStr">
        <is>
          <t>2026-03-19</t>
        </is>
      </c>
      <c r="D3108" s="9" t="inlineStr">
        <is>
          <t>98269341086957</t>
        </is>
      </c>
      <c r="E3108" s="9" t="inlineStr">
        <is>
          <t>CINTO C TRIOMPHE BROWN</t>
        </is>
      </c>
      <c r="F3108" s="9" t="inlineStr">
        <is>
          <t>Default Title</t>
        </is>
      </c>
      <c r="G3108" s="9" t="n">
        <v>24</v>
      </c>
      <c r="H3108" s="21" t="n">
        <v>8</v>
      </c>
      <c r="I3108" s="21" t="n">
        <v>214.86</v>
      </c>
      <c r="J3108" s="21" t="n">
        <v>644.58</v>
      </c>
      <c r="K3108" s="21" t="n">
        <v>752.01</v>
      </c>
      <c r="L3108" s="21" t="n">
        <v>859.4400000000001</v>
      </c>
      <c r="M3108" s="21" t="n">
        <v>999</v>
      </c>
    </row>
    <row r="3109">
      <c r="A3109" s="9" t="inlineStr">
        <is>
          <t>CYNTHIA</t>
        </is>
      </c>
      <c r="B3109" s="9" t="inlineStr">
        <is>
          <t>CYNTHIA 19/03/2026</t>
        </is>
      </c>
      <c r="C3109" s="9" t="inlineStr">
        <is>
          <t>2026-03-19</t>
        </is>
      </c>
      <c r="D3109" s="9" t="inlineStr">
        <is>
          <t>41353991156557</t>
        </is>
      </c>
      <c r="E3109" s="9" t="inlineStr">
        <is>
          <t>CINTO C TRIOMPHE BURDEOS</t>
        </is>
      </c>
      <c r="F3109" s="9" t="inlineStr">
        <is>
          <t>Default Title</t>
        </is>
      </c>
      <c r="G3109" s="9" t="n">
        <v>10</v>
      </c>
      <c r="H3109" s="21" t="n">
        <v>8</v>
      </c>
      <c r="I3109" s="21" t="n">
        <v>214.86</v>
      </c>
      <c r="J3109" s="21" t="n">
        <v>644.58</v>
      </c>
      <c r="K3109" s="21" t="n">
        <v>752.01</v>
      </c>
      <c r="L3109" s="21" t="n">
        <v>859.4400000000001</v>
      </c>
      <c r="M3109" s="21" t="n">
        <v>999</v>
      </c>
    </row>
    <row r="3110">
      <c r="A3110" s="9" t="inlineStr">
        <is>
          <t>CYNTHIA</t>
        </is>
      </c>
      <c r="B3110" s="9" t="inlineStr">
        <is>
          <t>CYNTHIA 19/03/2026</t>
        </is>
      </c>
      <c r="C3110" s="9" t="inlineStr">
        <is>
          <t>2026-03-19</t>
        </is>
      </c>
      <c r="D3110" s="9" t="inlineStr">
        <is>
          <t>43728071667212</t>
        </is>
      </c>
      <c r="E3110" s="9" t="inlineStr">
        <is>
          <t>CINTO H KELLY BLACK</t>
        </is>
      </c>
      <c r="F3110" s="9" t="inlineStr">
        <is>
          <t>AJUSTABLE</t>
        </is>
      </c>
      <c r="G3110" s="9" t="n">
        <v>8</v>
      </c>
      <c r="H3110" s="21" t="n">
        <v>6.5</v>
      </c>
      <c r="I3110" s="21" t="n">
        <v>174.57</v>
      </c>
      <c r="J3110" s="21" t="n">
        <v>523.72</v>
      </c>
      <c r="K3110" s="21" t="n">
        <v>611.01</v>
      </c>
      <c r="L3110" s="21" t="n">
        <v>698.29</v>
      </c>
      <c r="M3110" s="21" t="n">
        <v>899</v>
      </c>
    </row>
    <row r="3111">
      <c r="A3111" s="9" t="inlineStr">
        <is>
          <t>CYNTHIA</t>
        </is>
      </c>
      <c r="B3111" s="9" t="inlineStr">
        <is>
          <t>CYNTHIA 19/03/2026</t>
        </is>
      </c>
      <c r="C3111" s="9" t="inlineStr">
        <is>
          <t>2026-03-19</t>
        </is>
      </c>
      <c r="D3111" s="9" t="inlineStr">
        <is>
          <t>43728071764972</t>
        </is>
      </c>
      <c r="E3111" s="9" t="inlineStr">
        <is>
          <t>CINTO H KELLY BROWN</t>
        </is>
      </c>
      <c r="F3111" s="9" t="inlineStr">
        <is>
          <t>AJUSTABLE</t>
        </is>
      </c>
      <c r="G3111" s="9" t="n">
        <v>3</v>
      </c>
      <c r="H3111" s="21" t="n">
        <v>6.5</v>
      </c>
      <c r="I3111" s="21" t="n">
        <v>174.57</v>
      </c>
      <c r="J3111" s="21" t="n">
        <v>523.72</v>
      </c>
      <c r="K3111" s="21" t="n">
        <v>611.01</v>
      </c>
      <c r="L3111" s="21" t="n">
        <v>698.29</v>
      </c>
      <c r="M3111" s="21" t="n">
        <v>899</v>
      </c>
    </row>
    <row r="3112">
      <c r="A3112" s="9" t="inlineStr">
        <is>
          <t>CYNTHIA</t>
        </is>
      </c>
      <c r="B3112" s="9" t="inlineStr">
        <is>
          <t>CYNTHIA 19/03/2026</t>
        </is>
      </c>
      <c r="C3112" s="9" t="inlineStr">
        <is>
          <t>2026-03-19</t>
        </is>
      </c>
      <c r="D3112" s="9" t="inlineStr">
        <is>
          <t>34876761146797</t>
        </is>
      </c>
      <c r="E3112" s="9" t="inlineStr">
        <is>
          <t>COLLAR DE CUENTAS PINK T</t>
        </is>
      </c>
      <c r="F3112" s="9" t="inlineStr">
        <is>
          <t>Default Title</t>
        </is>
      </c>
      <c r="G3112" s="9" t="n">
        <v>2</v>
      </c>
      <c r="H3112" s="21" t="n">
        <v>9.800000000000001</v>
      </c>
      <c r="I3112" s="21" t="n">
        <v>263.2</v>
      </c>
      <c r="J3112" s="21" t="n">
        <v>789.61</v>
      </c>
      <c r="K3112" s="21" t="n">
        <v>921.21</v>
      </c>
      <c r="L3112" s="21" t="n">
        <v>1052.81</v>
      </c>
      <c r="M3112" s="21" t="n">
        <v>1040</v>
      </c>
    </row>
    <row r="3113">
      <c r="A3113" s="9" t="inlineStr">
        <is>
          <t>CYNTHIA</t>
        </is>
      </c>
      <c r="B3113" s="9" t="inlineStr">
        <is>
          <t>CYNTHIA 19/03/2026</t>
        </is>
      </c>
      <c r="C3113" s="9" t="inlineStr">
        <is>
          <t>2026-03-19</t>
        </is>
      </c>
      <c r="D3113" s="9" t="inlineStr">
        <is>
          <t>668eee3eadc59</t>
        </is>
      </c>
      <c r="E3113" s="9" t="inlineStr">
        <is>
          <t>COLLAR DOBLE PLACA CORAZÓN ROSA-PLATA</t>
        </is>
      </c>
      <c r="F3113" s="9" t="inlineStr">
        <is>
          <t>Copper</t>
        </is>
      </c>
      <c r="G3113" s="9" t="n">
        <v>6</v>
      </c>
      <c r="H3113" s="21" t="n">
        <v>8.800000000000001</v>
      </c>
      <c r="I3113" s="21" t="n">
        <v>236.35</v>
      </c>
      <c r="J3113" s="21" t="n">
        <v>709.04</v>
      </c>
      <c r="K3113" s="21" t="n">
        <v>827.21</v>
      </c>
      <c r="L3113" s="21" t="n">
        <v>945.38</v>
      </c>
      <c r="M3113" s="21" t="n">
        <v>950</v>
      </c>
    </row>
    <row r="3114">
      <c r="A3114" s="9" t="inlineStr">
        <is>
          <t>CYNTHIA</t>
        </is>
      </c>
      <c r="B3114" s="9" t="inlineStr">
        <is>
          <t>CYNTHIA 19/03/2026</t>
        </is>
      </c>
      <c r="C3114" s="9" t="inlineStr">
        <is>
          <t>2026-03-19</t>
        </is>
      </c>
      <c r="D3114" s="9" t="inlineStr">
        <is>
          <t>43728085170668</t>
        </is>
      </c>
      <c r="E3114" s="9" t="inlineStr">
        <is>
          <t>COLLAR ESLABON DOBLE CADENA GOLD</t>
        </is>
      </c>
      <c r="F3114" s="9" t="inlineStr">
        <is>
          <t>47cm HIGH QUALITY</t>
        </is>
      </c>
      <c r="G3114" s="9" t="n">
        <v>3</v>
      </c>
      <c r="H3114" s="21" t="n">
        <v>10.8</v>
      </c>
      <c r="I3114" s="21" t="n">
        <v>290.06</v>
      </c>
      <c r="J3114" s="21" t="n">
        <v>870.1799999999999</v>
      </c>
      <c r="K3114" s="21" t="n">
        <v>1015.21</v>
      </c>
      <c r="L3114" s="21" t="n">
        <v>1160.24</v>
      </c>
      <c r="M3114" s="21" t="n">
        <v>1149</v>
      </c>
    </row>
    <row r="3115">
      <c r="A3115" s="9" t="inlineStr">
        <is>
          <t>CYNTHIA</t>
        </is>
      </c>
      <c r="B3115" s="9" t="inlineStr">
        <is>
          <t>CYNTHIA 19/03/2026</t>
        </is>
      </c>
      <c r="C3115" s="9" t="inlineStr">
        <is>
          <t>2026-03-19</t>
        </is>
      </c>
      <c r="D3115" s="9" t="inlineStr">
        <is>
          <t>668eee4037675</t>
        </is>
      </c>
      <c r="E3115" s="9" t="inlineStr">
        <is>
          <t>COLLAR ESLABONES GOLD</t>
        </is>
      </c>
      <c r="F3115" s="9" t="inlineStr">
        <is>
          <t>46cm</t>
        </is>
      </c>
      <c r="G3115" s="9" t="n">
        <v>3</v>
      </c>
      <c r="H3115" s="21" t="n">
        <v>13.8</v>
      </c>
      <c r="I3115" s="21" t="n">
        <v>370.63</v>
      </c>
      <c r="J3115" s="21" t="n">
        <v>1111.9</v>
      </c>
      <c r="K3115" s="21" t="n">
        <v>1297.21</v>
      </c>
      <c r="L3115" s="21" t="n">
        <v>1482.53</v>
      </c>
      <c r="M3115" s="21" t="n">
        <v>1499</v>
      </c>
    </row>
    <row r="3116">
      <c r="A3116" s="9" t="inlineStr">
        <is>
          <t>CYNTHIA</t>
        </is>
      </c>
      <c r="B3116" s="9" t="inlineStr">
        <is>
          <t>CYNTHIA 19/03/2026</t>
        </is>
      </c>
      <c r="C3116" s="9" t="inlineStr">
        <is>
          <t>2026-03-19</t>
        </is>
      </c>
      <c r="D3116" s="9" t="inlineStr">
        <is>
          <t>668eee3870a7d</t>
        </is>
      </c>
      <c r="E3116" s="9" t="inlineStr">
        <is>
          <t>COLLAR ESLABONES SILVER</t>
        </is>
      </c>
      <c r="F3116" s="9" t="inlineStr">
        <is>
          <t>47.5 cm</t>
        </is>
      </c>
      <c r="G3116" s="9" t="n">
        <v>3</v>
      </c>
      <c r="H3116" s="21" t="n">
        <v>13.8</v>
      </c>
      <c r="I3116" s="21" t="n">
        <v>370.63</v>
      </c>
      <c r="J3116" s="21" t="n">
        <v>1111.9</v>
      </c>
      <c r="K3116" s="21" t="n">
        <v>1297.21</v>
      </c>
      <c r="L3116" s="21" t="n">
        <v>1482.53</v>
      </c>
      <c r="M3116" s="21" t="n">
        <v>1499</v>
      </c>
    </row>
    <row r="3117">
      <c r="A3117" s="9" t="inlineStr">
        <is>
          <t>CYNTHIA</t>
        </is>
      </c>
      <c r="B3117" s="9" t="inlineStr">
        <is>
          <t>CYNTHIA 19/03/2026</t>
        </is>
      </c>
      <c r="C3117" s="9" t="inlineStr">
        <is>
          <t>2026-03-19</t>
        </is>
      </c>
      <c r="D3117" s="9" t="inlineStr">
        <is>
          <t>43047222083724</t>
        </is>
      </c>
      <c r="E3117" s="9" t="inlineStr">
        <is>
          <t>COLLAR SMILE ROSE GOLD CON ZIRCONIA</t>
        </is>
      </c>
      <c r="F3117" s="9" t="inlineStr">
        <is>
          <t>Ajustable</t>
        </is>
      </c>
      <c r="G3117" s="9" t="n">
        <v>4</v>
      </c>
      <c r="H3117" s="21" t="n">
        <v>13.8</v>
      </c>
      <c r="I3117" s="21" t="n">
        <v>370.63</v>
      </c>
      <c r="J3117" s="21" t="n">
        <v>1111.9</v>
      </c>
      <c r="K3117" s="21" t="n">
        <v>1297.21</v>
      </c>
      <c r="L3117" s="21" t="n">
        <v>1482.53</v>
      </c>
      <c r="M3117" s="21" t="n">
        <v>1485</v>
      </c>
    </row>
    <row r="3118">
      <c r="A3118" s="9" t="inlineStr">
        <is>
          <t>CYNTHIA</t>
        </is>
      </c>
      <c r="B3118" s="9" t="inlineStr">
        <is>
          <t>CYNTHIA 19/03/2026</t>
        </is>
      </c>
      <c r="C3118" s="9" t="inlineStr">
        <is>
          <t>2026-03-19</t>
        </is>
      </c>
      <c r="D3118" s="9" t="inlineStr">
        <is>
          <t>3382860722828</t>
        </is>
      </c>
      <c r="E3118" s="9" t="inlineStr">
        <is>
          <t>GORRA C LOGO BLACK</t>
        </is>
      </c>
      <c r="F3118" s="9" t="inlineStr">
        <is>
          <t>AJUSTABLE</t>
        </is>
      </c>
      <c r="G3118" s="9" t="n">
        <v>8</v>
      </c>
      <c r="H3118" s="21" t="n">
        <v>8.300000000000001</v>
      </c>
      <c r="I3118" s="21" t="n">
        <v>222.92</v>
      </c>
      <c r="J3118" s="21" t="n">
        <v>668.75</v>
      </c>
      <c r="K3118" s="21" t="n">
        <v>780.21</v>
      </c>
      <c r="L3118" s="21" t="n">
        <v>891.67</v>
      </c>
      <c r="M3118" s="21" t="n">
        <v>899</v>
      </c>
    </row>
    <row r="3119">
      <c r="A3119" s="9" t="inlineStr">
        <is>
          <t>CYNTHIA</t>
        </is>
      </c>
      <c r="B3119" s="9" t="inlineStr">
        <is>
          <t>CYNTHIA 19/03/2026</t>
        </is>
      </c>
      <c r="C3119" s="9" t="inlineStr">
        <is>
          <t>2026-03-19</t>
        </is>
      </c>
      <c r="D3119" s="9" t="inlineStr">
        <is>
          <t>665bc0b8d1cab-2</t>
        </is>
      </c>
      <c r="E3119" s="9" t="inlineStr">
        <is>
          <t>LENTES C GOLD SLIM BLACK</t>
        </is>
      </c>
      <c r="F3119" s="9" t="inlineStr">
        <is>
          <t>REGULAR</t>
        </is>
      </c>
      <c r="G3119" s="9" t="n">
        <v>2</v>
      </c>
      <c r="H3119" s="21" t="n">
        <v>8.5</v>
      </c>
      <c r="I3119" s="21" t="n">
        <v>228.29</v>
      </c>
      <c r="J3119" s="21" t="n">
        <v>684.86</v>
      </c>
      <c r="K3119" s="21" t="n">
        <v>799.01</v>
      </c>
      <c r="L3119" s="21" t="n">
        <v>913.15</v>
      </c>
      <c r="M3119" s="21" t="n">
        <v>950</v>
      </c>
    </row>
    <row r="3120">
      <c r="A3120" s="9" t="inlineStr">
        <is>
          <t>CYNTHIA</t>
        </is>
      </c>
      <c r="B3120" s="9" t="inlineStr">
        <is>
          <t>CYNTHIA 19/03/2026</t>
        </is>
      </c>
      <c r="C3120" s="9" t="inlineStr">
        <is>
          <t>2026-03-19</t>
        </is>
      </c>
      <c r="D3120" s="9" t="inlineStr">
        <is>
          <t>66581907ee9cb-1</t>
        </is>
      </c>
      <c r="E3120" s="9" t="inlineStr">
        <is>
          <t>LENTES C OVAL BROWN</t>
        </is>
      </c>
      <c r="F3120" s="9" t="inlineStr">
        <is>
          <t>REGULAR</t>
        </is>
      </c>
      <c r="G3120" s="9" t="n">
        <v>4</v>
      </c>
      <c r="H3120" s="21" t="n">
        <v>29.5</v>
      </c>
      <c r="I3120" s="21" t="n">
        <v>792.29</v>
      </c>
      <c r="J3120" s="21" t="n">
        <v>2376.88</v>
      </c>
      <c r="K3120" s="21" t="n">
        <v>2773.03</v>
      </c>
      <c r="L3120" s="21" t="n">
        <v>3169.18</v>
      </c>
      <c r="M3120" s="21" t="n">
        <v>2779</v>
      </c>
    </row>
    <row r="3121">
      <c r="A3121" s="9" t="inlineStr">
        <is>
          <t>CYNTHIA</t>
        </is>
      </c>
      <c r="B3121" s="9" t="inlineStr">
        <is>
          <t>CYNTHIA 19/03/2026</t>
        </is>
      </c>
      <c r="C3121" s="9" t="inlineStr">
        <is>
          <t>2026-03-19</t>
        </is>
      </c>
      <c r="D3121" s="9" t="inlineStr">
        <is>
          <t>11915813184811</t>
        </is>
      </c>
      <c r="E3121" s="9" t="inlineStr">
        <is>
          <t>LENTES DE SOL MM BROWN</t>
        </is>
      </c>
      <c r="F3121" s="9" t="inlineStr">
        <is>
          <t>Default Title</t>
        </is>
      </c>
      <c r="G3121" s="9" t="n">
        <v>2</v>
      </c>
      <c r="H3121" s="21" t="n">
        <v>29</v>
      </c>
      <c r="I3121" s="21" t="n">
        <v>778.87</v>
      </c>
      <c r="J3121" s="21" t="n">
        <v>2336.6</v>
      </c>
      <c r="K3121" s="21" t="n">
        <v>2726.03</v>
      </c>
      <c r="L3121" s="21" t="n">
        <v>3115.46</v>
      </c>
      <c r="M3121" s="21" t="n">
        <v>2730</v>
      </c>
    </row>
    <row r="3122">
      <c r="A3122" s="9" t="inlineStr">
        <is>
          <t>CYNTHIA</t>
        </is>
      </c>
      <c r="B3122" s="9" t="inlineStr">
        <is>
          <t>CYNTHIA 19/03/2026</t>
        </is>
      </c>
      <c r="C3122" s="9" t="inlineStr">
        <is>
          <t>2026-03-19</t>
        </is>
      </c>
      <c r="D3122" s="9" t="inlineStr">
        <is>
          <t>11915826071979</t>
        </is>
      </c>
      <c r="E3122" s="9" t="inlineStr">
        <is>
          <t>LENTES LV EVIDENCE</t>
        </is>
      </c>
      <c r="F3122" s="9" t="inlineStr">
        <is>
          <t>HIGH QUALITY</t>
        </is>
      </c>
      <c r="G3122" s="9" t="n">
        <v>5</v>
      </c>
      <c r="H3122" s="21" t="n">
        <v>9</v>
      </c>
      <c r="I3122" s="21" t="n">
        <v>241.72</v>
      </c>
      <c r="J3122" s="21" t="n">
        <v>725.15</v>
      </c>
      <c r="K3122" s="21" t="n">
        <v>846.01</v>
      </c>
      <c r="L3122" s="21" t="n">
        <v>966.87</v>
      </c>
      <c r="M3122" s="21" t="n">
        <v>955</v>
      </c>
    </row>
    <row r="3123">
      <c r="A3123" s="9" t="inlineStr">
        <is>
          <t>CYNTHIA</t>
        </is>
      </c>
      <c r="B3123" s="9" t="inlineStr">
        <is>
          <t>CYNTHIA 19/03/2026</t>
        </is>
      </c>
      <c r="C3123" s="9" t="inlineStr">
        <is>
          <t>2026-03-19</t>
        </is>
      </c>
      <c r="D3123" s="9" t="inlineStr">
        <is>
          <t>64e78dfc1baee</t>
        </is>
      </c>
      <c r="E3123" s="9" t="inlineStr">
        <is>
          <t>LENTES PR MEN</t>
        </is>
      </c>
      <c r="F3123" s="9" t="inlineStr">
        <is>
          <t>Default Title</t>
        </is>
      </c>
      <c r="G3123" s="9" t="n">
        <v>2</v>
      </c>
      <c r="H3123" s="21" t="n">
        <v>11.5</v>
      </c>
      <c r="I3123" s="21" t="n">
        <v>308.86</v>
      </c>
      <c r="J3123" s="21" t="n">
        <v>926.58</v>
      </c>
      <c r="K3123" s="21" t="n">
        <v>1081.01</v>
      </c>
      <c r="L3123" s="21" t="n">
        <v>1235.44</v>
      </c>
      <c r="M3123" s="21" t="n">
        <v>1239</v>
      </c>
    </row>
    <row r="3124">
      <c r="A3124" s="9" t="inlineStr">
        <is>
          <t>CYNTHIA</t>
        </is>
      </c>
      <c r="B3124" s="9" t="inlineStr">
        <is>
          <t>CYNTHIA 19/03/2026</t>
        </is>
      </c>
      <c r="C3124" s="9" t="inlineStr">
        <is>
          <t>2026-03-19</t>
        </is>
      </c>
      <c r="D3124" s="9" t="inlineStr">
        <is>
          <t>6701d26f13b86</t>
        </is>
      </c>
      <c r="E3124" s="9" t="inlineStr">
        <is>
          <t>LENTES PR OVAL BLACK</t>
        </is>
      </c>
      <c r="F3124" s="9" t="inlineStr">
        <is>
          <t>HIGH QUALITY</t>
        </is>
      </c>
      <c r="G3124" s="9" t="n">
        <v>2</v>
      </c>
      <c r="H3124" s="21" t="n">
        <v>28</v>
      </c>
      <c r="I3124" s="21" t="n">
        <v>752.01</v>
      </c>
      <c r="J3124" s="21" t="n">
        <v>2256.02</v>
      </c>
      <c r="K3124" s="21" t="n">
        <v>2632.03</v>
      </c>
      <c r="L3124" s="21" t="n">
        <v>3008.03</v>
      </c>
      <c r="M3124" s="21" t="n">
        <v>2635</v>
      </c>
    </row>
    <row r="3125">
      <c r="A3125" s="9" t="inlineStr">
        <is>
          <t>CYNTHIA</t>
        </is>
      </c>
      <c r="B3125" s="9" t="inlineStr">
        <is>
          <t>CYNTHIA 19/03/2026</t>
        </is>
      </c>
      <c r="C3125" s="9" t="inlineStr">
        <is>
          <t>2026-03-19</t>
        </is>
      </c>
      <c r="D3125" s="9" t="inlineStr">
        <is>
          <t>43026599575692</t>
        </is>
      </c>
      <c r="E3125" s="9" t="inlineStr">
        <is>
          <t>LENTES YSL</t>
        </is>
      </c>
      <c r="F3125" s="9" t="inlineStr">
        <is>
          <t>Regular</t>
        </is>
      </c>
      <c r="G3125" s="9" t="n">
        <v>10</v>
      </c>
      <c r="H3125" s="21" t="n">
        <v>8</v>
      </c>
      <c r="I3125" s="21" t="n">
        <v>214.86</v>
      </c>
      <c r="J3125" s="21" t="n">
        <v>644.58</v>
      </c>
      <c r="K3125" s="21" t="n">
        <v>752.01</v>
      </c>
      <c r="L3125" s="21" t="n">
        <v>859.4400000000001</v>
      </c>
      <c r="M3125" s="21" t="n">
        <v>860</v>
      </c>
    </row>
    <row r="3126">
      <c r="A3126" s="9" t="inlineStr">
        <is>
          <t>CYNTHIA</t>
        </is>
      </c>
      <c r="B3126" s="9" t="inlineStr">
        <is>
          <t>CYNTHIA 19/03/2026</t>
        </is>
      </c>
      <c r="C3126" s="9" t="inlineStr">
        <is>
          <t>2026-03-19</t>
        </is>
      </c>
      <c r="D3126" s="9" t="inlineStr">
        <is>
          <t>43026586435724</t>
        </is>
      </c>
      <c r="E3126" s="9" t="inlineStr">
        <is>
          <t>LENTES YSL SQUARE</t>
        </is>
      </c>
      <c r="F3126" s="9" t="inlineStr">
        <is>
          <t>HIGH QUALITY</t>
        </is>
      </c>
      <c r="G3126" s="9" t="n">
        <v>3</v>
      </c>
      <c r="H3126" s="21" t="n">
        <v>8</v>
      </c>
      <c r="I3126" s="21" t="n">
        <v>214.86</v>
      </c>
      <c r="J3126" s="21" t="n">
        <v>644.58</v>
      </c>
      <c r="K3126" s="21" t="n">
        <v>752.01</v>
      </c>
      <c r="L3126" s="21" t="n">
        <v>859.4400000000001</v>
      </c>
      <c r="M3126" s="21" t="n">
        <v>850</v>
      </c>
    </row>
    <row r="3127">
      <c r="A3127" s="9" t="inlineStr">
        <is>
          <t>CYNTHIA</t>
        </is>
      </c>
      <c r="B3127" s="9" t="inlineStr">
        <is>
          <t>CYNTHIA 19/03/2026</t>
        </is>
      </c>
      <c r="C3127" s="9" t="inlineStr">
        <is>
          <t>2026-03-19</t>
        </is>
      </c>
      <c r="D3127" s="9" t="inlineStr">
        <is>
          <t>71036870763532</t>
        </is>
      </c>
      <c r="E3127" s="9" t="inlineStr">
        <is>
          <t>PULSERA CC COMETE</t>
        </is>
      </c>
      <c r="F3127" s="9" t="inlineStr">
        <is>
          <t>16cm</t>
        </is>
      </c>
      <c r="G3127" s="9" t="n">
        <v>3</v>
      </c>
      <c r="H3127" s="21" t="n">
        <v>9.800000000000001</v>
      </c>
      <c r="I3127" s="21" t="n">
        <v>263.2</v>
      </c>
      <c r="J3127" s="21" t="n">
        <v>789.61</v>
      </c>
      <c r="K3127" s="21" t="n">
        <v>921.21</v>
      </c>
      <c r="L3127" s="21" t="n">
        <v>1052.81</v>
      </c>
      <c r="M3127" s="21" t="n">
        <v>1049</v>
      </c>
    </row>
    <row r="3128">
      <c r="A3128" s="9" t="inlineStr">
        <is>
          <t>CYNTHIA</t>
        </is>
      </c>
      <c r="B3128" s="9" t="inlineStr">
        <is>
          <t>CYNTHIA 19/03/2026</t>
        </is>
      </c>
      <c r="C3128" s="9" t="inlineStr">
        <is>
          <t>2026-03-19</t>
        </is>
      </c>
      <c r="D3128" s="9" t="inlineStr">
        <is>
          <t>98043701041197</t>
        </is>
      </c>
      <c r="E3128" s="9" t="inlineStr">
        <is>
          <t>PULSERA DE TENNIS ESSENTIAL GOLD</t>
        </is>
      </c>
      <c r="F3128" s="9" t="inlineStr">
        <is>
          <t>16.5</t>
        </is>
      </c>
      <c r="G3128" s="9" t="n">
        <v>10</v>
      </c>
      <c r="H3128" s="21" t="n">
        <v>4.98</v>
      </c>
      <c r="I3128" s="21" t="n">
        <v>133.75</v>
      </c>
      <c r="J3128" s="21" t="n">
        <v>401.25</v>
      </c>
      <c r="K3128" s="21" t="n">
        <v>468.12</v>
      </c>
      <c r="L3128" s="21" t="n">
        <v>535</v>
      </c>
      <c r="M3128" s="21" t="n">
        <v>450</v>
      </c>
    </row>
    <row r="3129">
      <c r="A3129" s="9" t="inlineStr">
        <is>
          <t>CYNTHIA</t>
        </is>
      </c>
      <c r="B3129" s="9" t="inlineStr">
        <is>
          <t>CYNTHIA 19/03/2026</t>
        </is>
      </c>
      <c r="C3129" s="9" t="inlineStr">
        <is>
          <t>2026-03-19</t>
        </is>
      </c>
      <c r="D3129" s="9" t="inlineStr">
        <is>
          <t>98043701173965</t>
        </is>
      </c>
      <c r="E3129" s="9" t="inlineStr">
        <is>
          <t>PULSERA DE TENNIS ESSENTIAL GOLD</t>
        </is>
      </c>
      <c r="F3129" s="9" t="inlineStr">
        <is>
          <t>17.5</t>
        </is>
      </c>
      <c r="G3129" s="9" t="n">
        <v>10</v>
      </c>
      <c r="H3129" s="21" t="n">
        <v>4.98</v>
      </c>
      <c r="I3129" s="21" t="n">
        <v>133.75</v>
      </c>
      <c r="J3129" s="21" t="n">
        <v>401.25</v>
      </c>
      <c r="K3129" s="21" t="n">
        <v>468.12</v>
      </c>
      <c r="L3129" s="21" t="n">
        <v>535</v>
      </c>
      <c r="M3129" s="21" t="n">
        <v>450</v>
      </c>
    </row>
    <row r="3130">
      <c r="A3130" s="9" t="inlineStr">
        <is>
          <t>CYNTHIA</t>
        </is>
      </c>
      <c r="B3130" s="9" t="inlineStr">
        <is>
          <t>CYNTHIA 19/03/2026</t>
        </is>
      </c>
      <c r="C3130" s="9" t="inlineStr">
        <is>
          <t>2026-03-19</t>
        </is>
      </c>
      <c r="D3130" s="9" t="inlineStr">
        <is>
          <t>98043701215213</t>
        </is>
      </c>
      <c r="E3130" s="9" t="inlineStr">
        <is>
          <t>PULSERA DE TENNIS ESSENTIAL SILVER</t>
        </is>
      </c>
      <c r="F3130" s="9" t="inlineStr">
        <is>
          <t>16.5</t>
        </is>
      </c>
      <c r="G3130" s="9" t="n">
        <v>10</v>
      </c>
      <c r="H3130" s="21" t="n">
        <v>4.9</v>
      </c>
      <c r="I3130" s="21" t="n">
        <v>131.6</v>
      </c>
      <c r="J3130" s="21" t="n">
        <v>394.8</v>
      </c>
      <c r="K3130" s="21" t="n">
        <v>460.6</v>
      </c>
      <c r="L3130" s="21" t="n">
        <v>526.41</v>
      </c>
      <c r="M3130" s="21" t="n">
        <v>540</v>
      </c>
    </row>
    <row r="3131">
      <c r="A3131" s="9" t="inlineStr">
        <is>
          <t>CYNTHIA</t>
        </is>
      </c>
      <c r="B3131" s="9" t="inlineStr">
        <is>
          <t>CYNTHIA 19/03/2026</t>
        </is>
      </c>
      <c r="C3131" s="9" t="inlineStr">
        <is>
          <t>2026-03-19</t>
        </is>
      </c>
      <c r="D3131" s="9" t="inlineStr">
        <is>
          <t>98043701347981</t>
        </is>
      </c>
      <c r="E3131" s="9" t="inlineStr">
        <is>
          <t>PULSERA DE TENNIS ESSENTIAL SILVER</t>
        </is>
      </c>
      <c r="F3131" s="9" t="inlineStr">
        <is>
          <t>17.5</t>
        </is>
      </c>
      <c r="G3131" s="9" t="n">
        <v>10</v>
      </c>
      <c r="H3131" s="21" t="n">
        <v>4.98</v>
      </c>
      <c r="I3131" s="21" t="n">
        <v>133.75</v>
      </c>
      <c r="J3131" s="21" t="n">
        <v>401.25</v>
      </c>
      <c r="K3131" s="21" t="n">
        <v>468.12</v>
      </c>
      <c r="L3131" s="21" t="n">
        <v>535</v>
      </c>
      <c r="M3131" s="21" t="n">
        <v>540</v>
      </c>
    </row>
    <row r="3132">
      <c r="A3132" s="9" t="inlineStr">
        <is>
          <t>CYNTHIA</t>
        </is>
      </c>
      <c r="B3132" s="9" t="inlineStr">
        <is>
          <t>CYNTHIA 19/03/2026</t>
        </is>
      </c>
      <c r="C3132" s="9" t="inlineStr">
        <is>
          <t>2026-03-19</t>
        </is>
      </c>
      <c r="D3132" s="9" t="inlineStr">
        <is>
          <t>668eee41bab7a</t>
        </is>
      </c>
      <c r="E3132" s="9" t="inlineStr">
        <is>
          <t>PULSERA ESLABONES GOLD</t>
        </is>
      </c>
      <c r="F3132" s="9" t="inlineStr">
        <is>
          <t>High Quality 17.5cm</t>
        </is>
      </c>
      <c r="G3132" s="9" t="n">
        <v>6</v>
      </c>
      <c r="H3132" s="21" t="n">
        <v>13.8</v>
      </c>
      <c r="I3132" s="21" t="n">
        <v>370.63</v>
      </c>
      <c r="J3132" s="21" t="n">
        <v>1111.9</v>
      </c>
      <c r="K3132" s="21" t="n">
        <v>1297.21</v>
      </c>
      <c r="L3132" s="21" t="n">
        <v>1482.53</v>
      </c>
      <c r="M3132" s="21" t="n">
        <v>1469</v>
      </c>
    </row>
    <row r="3133">
      <c r="A3133" s="9" t="inlineStr">
        <is>
          <t>CYNTHIA</t>
        </is>
      </c>
      <c r="B3133" s="9" t="inlineStr">
        <is>
          <t>CYNTHIA 19/03/2026</t>
        </is>
      </c>
      <c r="C3133" s="9" t="inlineStr">
        <is>
          <t>2026-03-19</t>
        </is>
      </c>
      <c r="D3133" s="9" t="inlineStr">
        <is>
          <t>668eee4272e66</t>
        </is>
      </c>
      <c r="E3133" s="9" t="inlineStr">
        <is>
          <t>PULSERA ESLABONES GOLD</t>
        </is>
      </c>
      <c r="F3133" s="9" t="inlineStr">
        <is>
          <t>High Quality 20.5cm</t>
        </is>
      </c>
      <c r="G3133" s="9" t="n">
        <v>2</v>
      </c>
      <c r="H3133" s="21" t="n">
        <v>15.8</v>
      </c>
      <c r="I3133" s="21" t="n">
        <v>424.35</v>
      </c>
      <c r="J3133" s="21" t="n">
        <v>1273.04</v>
      </c>
      <c r="K3133" s="21" t="n">
        <v>1485.22</v>
      </c>
      <c r="L3133" s="21" t="n">
        <v>1697.39</v>
      </c>
      <c r="M3133" s="21" t="n">
        <v>1469</v>
      </c>
    </row>
    <row r="3134">
      <c r="A3134" s="9" t="inlineStr">
        <is>
          <t>CYNTHIA</t>
        </is>
      </c>
      <c r="B3134" s="9" t="inlineStr">
        <is>
          <t>CYNTHIA 19/03/2026</t>
        </is>
      </c>
      <c r="C3134" s="9" t="inlineStr">
        <is>
          <t>2026-03-19</t>
        </is>
      </c>
      <c r="D3134" s="9" t="inlineStr">
        <is>
          <t>668eee4e0326c</t>
        </is>
      </c>
      <c r="E3134" s="9" t="inlineStr">
        <is>
          <t>PULSERA ESLABONES SILVER</t>
        </is>
      </c>
      <c r="F3134" s="9" t="inlineStr">
        <is>
          <t>High Quality 17.5 cm</t>
        </is>
      </c>
      <c r="G3134" s="9" t="n">
        <v>5</v>
      </c>
      <c r="H3134" s="21" t="n">
        <v>13.8</v>
      </c>
      <c r="I3134" s="21" t="n">
        <v>370.63</v>
      </c>
      <c r="J3134" s="21" t="n">
        <v>1111.9</v>
      </c>
      <c r="K3134" s="21" t="n">
        <v>1297.21</v>
      </c>
      <c r="L3134" s="21" t="n">
        <v>1482.53</v>
      </c>
      <c r="M3134" s="21" t="n">
        <v>1469</v>
      </c>
    </row>
    <row r="3135">
      <c r="A3135" s="9" t="inlineStr">
        <is>
          <t>CYNTHIA</t>
        </is>
      </c>
      <c r="B3135" s="9" t="inlineStr">
        <is>
          <t>CYNTHIA 19/03/2026</t>
        </is>
      </c>
      <c r="C3135" s="9" t="inlineStr">
        <is>
          <t>2026-03-19</t>
        </is>
      </c>
      <c r="D3135" s="9" t="inlineStr">
        <is>
          <t>668eee4ea136d</t>
        </is>
      </c>
      <c r="E3135" s="9" t="inlineStr">
        <is>
          <t>PULSERA ESLABONES SILVER</t>
        </is>
      </c>
      <c r="F3135" s="9" t="inlineStr">
        <is>
          <t>High Quality 20.5cm</t>
        </is>
      </c>
      <c r="G3135" s="9" t="n">
        <v>5</v>
      </c>
      <c r="H3135" s="21" t="n">
        <v>15.8</v>
      </c>
      <c r="I3135" s="21" t="n">
        <v>424.35</v>
      </c>
      <c r="J3135" s="21" t="n">
        <v>1273.04</v>
      </c>
      <c r="K3135" s="21" t="n">
        <v>1485.22</v>
      </c>
      <c r="L3135" s="21" t="n">
        <v>1697.39</v>
      </c>
      <c r="M3135" s="21" t="n">
        <v>1469</v>
      </c>
    </row>
    <row r="3136">
      <c r="A3136" s="9" t="inlineStr">
        <is>
          <t>CYNTHIA</t>
        </is>
      </c>
      <c r="B3136" s="9" t="inlineStr">
        <is>
          <t>CYNTHIA 19/03/2026</t>
        </is>
      </c>
      <c r="C3136" s="9" t="inlineStr">
        <is>
          <t>2026-03-19</t>
        </is>
      </c>
      <c r="D3136" s="9" t="inlineStr">
        <is>
          <t>71036872883724</t>
        </is>
      </c>
      <c r="E3136" s="9" t="inlineStr">
        <is>
          <t>PULSERA GC INTERLOCKING</t>
        </is>
      </c>
      <c r="F3136" s="9" t="inlineStr">
        <is>
          <t>20cm</t>
        </is>
      </c>
      <c r="G3136" s="9" t="n">
        <v>2</v>
      </c>
      <c r="H3136" s="21" t="n">
        <v>12.8</v>
      </c>
      <c r="I3136" s="21" t="n">
        <v>343.77</v>
      </c>
      <c r="J3136" s="21" t="n">
        <v>1031.32</v>
      </c>
      <c r="K3136" s="21" t="n">
        <v>1203.21</v>
      </c>
      <c r="L3136" s="21" t="n">
        <v>1375.1</v>
      </c>
      <c r="M3136" s="21" t="n">
        <v>1205</v>
      </c>
    </row>
    <row r="3137">
      <c r="A3137" s="9" t="inlineStr">
        <is>
          <t>CYNTHIA</t>
        </is>
      </c>
      <c r="B3137" s="9" t="inlineStr">
        <is>
          <t>CYNTHIA 19/03/2026</t>
        </is>
      </c>
      <c r="C3137" s="9" t="inlineStr">
        <is>
          <t>2026-03-19</t>
        </is>
      </c>
      <c r="D3137" s="9" t="inlineStr">
        <is>
          <t>82932047388428</t>
        </is>
      </c>
      <c r="E3137" s="9" t="inlineStr">
        <is>
          <t>PULSERA GC LOGO</t>
        </is>
      </c>
      <c r="F3137" s="9" t="inlineStr">
        <is>
          <t>20cm</t>
        </is>
      </c>
      <c r="G3137" s="9" t="n">
        <v>2</v>
      </c>
      <c r="H3137" s="21" t="n">
        <v>12.8</v>
      </c>
      <c r="I3137" s="21" t="n">
        <v>343.77</v>
      </c>
      <c r="J3137" s="21" t="n">
        <v>1031.32</v>
      </c>
      <c r="K3137" s="21" t="n">
        <v>1203.21</v>
      </c>
      <c r="L3137" s="21" t="n">
        <v>1375.1</v>
      </c>
      <c r="M3137" s="21" t="n">
        <v>1205</v>
      </c>
    </row>
    <row r="3138">
      <c r="A3138" s="9" t="inlineStr">
        <is>
          <t>CYNTHIA</t>
        </is>
      </c>
      <c r="B3138" s="9" t="inlineStr">
        <is>
          <t>CYNTHIA 19/03/2026</t>
        </is>
      </c>
      <c r="C3138" s="9" t="inlineStr">
        <is>
          <t>2026-03-19</t>
        </is>
      </c>
      <c r="D3138" s="9" t="inlineStr">
        <is>
          <t>43047213301900</t>
        </is>
      </c>
      <c r="E3138" s="9" t="inlineStr">
        <is>
          <t>PULSERA KNOT GOLD</t>
        </is>
      </c>
      <c r="F3138" s="9" t="inlineStr">
        <is>
          <t>17cm</t>
        </is>
      </c>
      <c r="G3138" s="9" t="n">
        <v>2</v>
      </c>
      <c r="H3138" s="21" t="n">
        <v>16</v>
      </c>
      <c r="I3138" s="21" t="n">
        <v>429.72</v>
      </c>
      <c r="J3138" s="21" t="n">
        <v>1289.16</v>
      </c>
      <c r="K3138" s="21" t="n">
        <v>1504.02</v>
      </c>
      <c r="L3138" s="21" t="n">
        <v>1718.87</v>
      </c>
      <c r="M3138" s="21" t="n">
        <v>1699</v>
      </c>
    </row>
    <row r="3139">
      <c r="A3139" s="9" t="inlineStr">
        <is>
          <t>CYNTHIA</t>
        </is>
      </c>
      <c r="B3139" s="9" t="inlineStr">
        <is>
          <t>CYNTHIA 19/03/2026</t>
        </is>
      </c>
      <c r="C3139" s="9" t="inlineStr">
        <is>
          <t>2026-03-19</t>
        </is>
      </c>
      <c r="D3139" s="9" t="inlineStr">
        <is>
          <t>43047248920716</t>
        </is>
      </c>
      <c r="E3139" s="9" t="inlineStr">
        <is>
          <t>PULSERA KNOT ROSE GOLD</t>
        </is>
      </c>
      <c r="F3139" s="9" t="inlineStr">
        <is>
          <t>16cm</t>
        </is>
      </c>
      <c r="G3139" s="9" t="n">
        <v>2</v>
      </c>
      <c r="H3139" s="21" t="n">
        <v>16</v>
      </c>
      <c r="I3139" s="21" t="n">
        <v>429.72</v>
      </c>
      <c r="J3139" s="21" t="n">
        <v>1289.16</v>
      </c>
      <c r="K3139" s="21" t="n">
        <v>1504.02</v>
      </c>
      <c r="L3139" s="21" t="n">
        <v>1718.87</v>
      </c>
      <c r="M3139" s="21" t="n">
        <v>1720</v>
      </c>
    </row>
    <row r="3140">
      <c r="A3140" s="9" t="inlineStr">
        <is>
          <t>CYNTHIA</t>
        </is>
      </c>
      <c r="B3140" s="9" t="inlineStr">
        <is>
          <t>CYNTHIA 19/03/2026</t>
        </is>
      </c>
      <c r="C3140" s="9" t="inlineStr">
        <is>
          <t>2026-03-19</t>
        </is>
      </c>
      <c r="D3140" s="9" t="inlineStr">
        <is>
          <t>43047215333516</t>
        </is>
      </c>
      <c r="E3140" s="9" t="inlineStr">
        <is>
          <t>PULSERA LOCK ROSEGOLD-SILVER</t>
        </is>
      </c>
      <c r="F3140" s="9" t="inlineStr">
        <is>
          <t>17.5cm</t>
        </is>
      </c>
      <c r="G3140" s="9" t="n">
        <v>2</v>
      </c>
      <c r="H3140" s="21" t="n">
        <v>16.5</v>
      </c>
      <c r="I3140" s="21" t="n">
        <v>443.15</v>
      </c>
      <c r="J3140" s="21" t="n">
        <v>1329.44</v>
      </c>
      <c r="K3140" s="21" t="n">
        <v>1551.02</v>
      </c>
      <c r="L3140" s="21" t="n">
        <v>1772.59</v>
      </c>
      <c r="M3140" s="21" t="n">
        <v>1775</v>
      </c>
    </row>
    <row r="3141">
      <c r="A3141" s="9" t="inlineStr">
        <is>
          <t>CYNTHIA</t>
        </is>
      </c>
      <c r="B3141" s="9" t="inlineStr">
        <is>
          <t>CYNTHIA 19/03/2026</t>
        </is>
      </c>
      <c r="C3141" s="9" t="inlineStr">
        <is>
          <t>2026-03-19</t>
        </is>
      </c>
      <c r="D3141" s="9" t="inlineStr">
        <is>
          <t>6701d2626ff26</t>
        </is>
      </c>
      <c r="E3141" s="9" t="inlineStr">
        <is>
          <t>PULSERA P DIAMOND</t>
        </is>
      </c>
      <c r="F3141" s="9" t="inlineStr">
        <is>
          <t>16cm</t>
        </is>
      </c>
      <c r="G3141" s="9" t="n">
        <v>5</v>
      </c>
      <c r="H3141" s="21" t="n">
        <v>6</v>
      </c>
      <c r="I3141" s="21" t="n">
        <v>161.14</v>
      </c>
      <c r="J3141" s="21" t="n">
        <v>483.43</v>
      </c>
      <c r="K3141" s="21" t="n">
        <v>564.01</v>
      </c>
      <c r="L3141" s="21" t="n">
        <v>644.58</v>
      </c>
      <c r="M3141" s="21" t="n">
        <v>750</v>
      </c>
    </row>
    <row r="3142">
      <c r="A3142" s="9" t="inlineStr">
        <is>
          <t>CYNTHIA</t>
        </is>
      </c>
      <c r="B3142" s="9" t="inlineStr">
        <is>
          <t>CYNTHIA 19/03/2026</t>
        </is>
      </c>
      <c r="C3142" s="9" t="inlineStr">
        <is>
          <t>2026-03-19</t>
        </is>
      </c>
      <c r="D3142" s="9" t="inlineStr">
        <is>
          <t>668eee4d3cd9f</t>
        </is>
      </c>
      <c r="E3142" s="9" t="inlineStr">
        <is>
          <t>PULSERA T ANGOSTA GOLD</t>
        </is>
      </c>
      <c r="F3142" s="9" t="inlineStr">
        <is>
          <t>HIGH QUALITY</t>
        </is>
      </c>
      <c r="G3142" s="9" t="n">
        <v>4</v>
      </c>
      <c r="H3142" s="21" t="n">
        <v>14</v>
      </c>
      <c r="I3142" s="21" t="n">
        <v>376</v>
      </c>
      <c r="J3142" s="21" t="n">
        <v>1128.01</v>
      </c>
      <c r="K3142" s="21" t="n">
        <v>1316.01</v>
      </c>
      <c r="L3142" s="21" t="n">
        <v>1504.02</v>
      </c>
      <c r="M3142" s="21" t="n">
        <v>1505</v>
      </c>
    </row>
    <row r="3143">
      <c r="A3143" s="9" t="inlineStr">
        <is>
          <t>CYNTHIA</t>
        </is>
      </c>
      <c r="B3143" s="9" t="inlineStr">
        <is>
          <t>CYNTHIA 19/03/2026</t>
        </is>
      </c>
      <c r="C3143" s="9" t="inlineStr">
        <is>
          <t>2026-03-19</t>
        </is>
      </c>
      <c r="D3143" s="9" t="inlineStr">
        <is>
          <t>668eecb8df0eb</t>
        </is>
      </c>
      <c r="E3143" s="9" t="inlineStr">
        <is>
          <t>PULSERA T GOLD</t>
        </is>
      </c>
      <c r="F3143" s="9" t="inlineStr">
        <is>
          <t>16 cm</t>
        </is>
      </c>
      <c r="G3143" s="9" t="n">
        <v>5</v>
      </c>
      <c r="H3143" s="21" t="n">
        <v>9.5</v>
      </c>
      <c r="I3143" s="21" t="n">
        <v>255.15</v>
      </c>
      <c r="J3143" s="21" t="n">
        <v>765.4400000000001</v>
      </c>
      <c r="K3143" s="21" t="n">
        <v>893.01</v>
      </c>
      <c r="L3143" s="21" t="n">
        <v>1020.58</v>
      </c>
      <c r="M3143" s="21" t="n">
        <v>885</v>
      </c>
    </row>
    <row r="3144">
      <c r="A3144" s="9" t="inlineStr">
        <is>
          <t>CYNTHIA</t>
        </is>
      </c>
      <c r="B3144" s="9" t="inlineStr">
        <is>
          <t>CYNTHIA 19/03/2026</t>
        </is>
      </c>
      <c r="C3144" s="9" t="inlineStr">
        <is>
          <t>2026-03-19</t>
        </is>
      </c>
      <c r="D3144" s="9" t="inlineStr">
        <is>
          <t>668eeccb35ffc</t>
        </is>
      </c>
      <c r="E3144" s="9" t="inlineStr">
        <is>
          <t>PULSERA T PLATA</t>
        </is>
      </c>
      <c r="F3144" s="9" t="inlineStr">
        <is>
          <t>16 cm</t>
        </is>
      </c>
      <c r="G3144" s="9" t="n">
        <v>4</v>
      </c>
      <c r="H3144" s="21" t="n">
        <v>9.5</v>
      </c>
      <c r="I3144" s="21" t="n">
        <v>255.15</v>
      </c>
      <c r="J3144" s="21" t="n">
        <v>765.4400000000001</v>
      </c>
      <c r="K3144" s="21" t="n">
        <v>893.01</v>
      </c>
      <c r="L3144" s="21" t="n">
        <v>1020.58</v>
      </c>
      <c r="M3144" s="21" t="n">
        <v>885</v>
      </c>
    </row>
    <row r="3145">
      <c r="A3145" s="9" t="inlineStr">
        <is>
          <t>CYNTHIA</t>
        </is>
      </c>
      <c r="B3145" s="9" t="inlineStr">
        <is>
          <t>CYNTHIA 19/03/2026</t>
        </is>
      </c>
      <c r="C3145" s="9" t="inlineStr">
        <is>
          <t>2026-03-19</t>
        </is>
      </c>
      <c r="D3145" s="9" t="inlineStr">
        <is>
          <t>668eecc4d784e</t>
        </is>
      </c>
      <c r="E3145" s="9" t="inlineStr">
        <is>
          <t>PULSERA T ROSE GOLD</t>
        </is>
      </c>
      <c r="F3145" s="9" t="inlineStr">
        <is>
          <t>16 cm</t>
        </is>
      </c>
      <c r="G3145" s="9" t="n">
        <v>4</v>
      </c>
      <c r="H3145" s="21" t="n">
        <v>9.5</v>
      </c>
      <c r="I3145" s="21" t="n">
        <v>255.15</v>
      </c>
      <c r="J3145" s="21" t="n">
        <v>765.4400000000001</v>
      </c>
      <c r="K3145" s="21" t="n">
        <v>893.01</v>
      </c>
      <c r="L3145" s="21" t="n">
        <v>1020.58</v>
      </c>
      <c r="M3145" s="21" t="n">
        <v>885</v>
      </c>
    </row>
    <row r="3146">
      <c r="A3146" s="9" t="inlineStr">
        <is>
          <t>CYNTHIA</t>
        </is>
      </c>
      <c r="B3146" s="9" t="inlineStr">
        <is>
          <t>CYNTHIA 19/03/2026</t>
        </is>
      </c>
      <c r="C3146" s="9" t="inlineStr">
        <is>
          <t>2026-03-19</t>
        </is>
      </c>
      <c r="D3146" s="9" t="inlineStr">
        <is>
          <t>43047196098700</t>
        </is>
      </c>
      <c r="E3146" s="9" t="inlineStr">
        <is>
          <t>PULSERA TRUE GOLD</t>
        </is>
      </c>
      <c r="F3146" s="9" t="inlineStr">
        <is>
          <t>20cm</t>
        </is>
      </c>
      <c r="G3146" s="9" t="n">
        <v>2</v>
      </c>
      <c r="H3146" s="21" t="n">
        <v>25.8</v>
      </c>
      <c r="I3146" s="21" t="n">
        <v>692.92</v>
      </c>
      <c r="J3146" s="21" t="n">
        <v>2078.76</v>
      </c>
      <c r="K3146" s="21" t="n">
        <v>2425.22</v>
      </c>
      <c r="L3146" s="21" t="n">
        <v>2771.69</v>
      </c>
      <c r="M3146" s="21" t="n">
        <v>2399</v>
      </c>
    </row>
    <row r="3147">
      <c r="A3147" s="9" t="inlineStr">
        <is>
          <t>CYNTHIA</t>
        </is>
      </c>
      <c r="B3147" s="9" t="inlineStr">
        <is>
          <t>CYNTHIA 19/03/2026</t>
        </is>
      </c>
      <c r="C3147" s="9" t="inlineStr">
        <is>
          <t>2026-03-19</t>
        </is>
      </c>
      <c r="D3147" s="9" t="inlineStr">
        <is>
          <t>71628204927116</t>
        </is>
      </c>
      <c r="E3147" s="9" t="inlineStr">
        <is>
          <t>SANDALIAS H BLACK</t>
        </is>
      </c>
      <c r="F3147" s="9" t="inlineStr">
        <is>
          <t>37 (23 cm)</t>
        </is>
      </c>
      <c r="G3147" s="9" t="n">
        <v>1</v>
      </c>
      <c r="H3147" s="21" t="n">
        <v>34</v>
      </c>
      <c r="I3147" s="21" t="n">
        <v>913.15</v>
      </c>
      <c r="J3147" s="21" t="n">
        <v>2739.46</v>
      </c>
      <c r="K3147" s="21" t="n">
        <v>3196.03</v>
      </c>
      <c r="L3147" s="21" t="n">
        <v>3652.61</v>
      </c>
      <c r="M3147" s="21" t="n">
        <v>3649</v>
      </c>
    </row>
    <row r="3148">
      <c r="A3148" s="9" t="inlineStr">
        <is>
          <t>CYNTHIA</t>
        </is>
      </c>
      <c r="B3148" s="9" t="inlineStr">
        <is>
          <t>CYNTHIA 19/03/2026</t>
        </is>
      </c>
      <c r="C3148" s="9" t="inlineStr">
        <is>
          <t>2026-03-19</t>
        </is>
      </c>
      <c r="D3148" s="9" t="inlineStr">
        <is>
          <t>6701d25f548f5</t>
        </is>
      </c>
      <c r="E3148" s="9" t="inlineStr">
        <is>
          <t>SANDALIAS H BLUE</t>
        </is>
      </c>
      <c r="F3148" s="9" t="inlineStr">
        <is>
          <t>38 (24cm)</t>
        </is>
      </c>
      <c r="G3148" s="9" t="n">
        <v>3</v>
      </c>
      <c r="H3148" s="21" t="n">
        <v>30</v>
      </c>
      <c r="I3148" s="21" t="n">
        <v>805.72</v>
      </c>
      <c r="J3148" s="21" t="n">
        <v>2417.17</v>
      </c>
      <c r="K3148" s="21" t="n">
        <v>2820.03</v>
      </c>
      <c r="L3148" s="21" t="n">
        <v>3222.89</v>
      </c>
      <c r="M3148" s="21" t="n">
        <v>3189</v>
      </c>
    </row>
    <row r="3149">
      <c r="A3149" s="9" t="inlineStr">
        <is>
          <t>CYNTHIA</t>
        </is>
      </c>
      <c r="B3149" s="9" t="inlineStr">
        <is>
          <t>CYNTHIA 19/03/2026</t>
        </is>
      </c>
      <c r="C3149" s="9" t="inlineStr">
        <is>
          <t>2026-03-19</t>
        </is>
      </c>
      <c r="D3149" s="9" t="inlineStr">
        <is>
          <t>71628205648012</t>
        </is>
      </c>
      <c r="E3149" s="9" t="inlineStr">
        <is>
          <t>SANDALIAS H BROWN</t>
        </is>
      </c>
      <c r="F3149" s="9" t="inlineStr">
        <is>
          <t>38 (24cm)</t>
        </is>
      </c>
      <c r="G3149" s="9" t="n">
        <v>1</v>
      </c>
      <c r="H3149" s="21" t="n">
        <v>30</v>
      </c>
      <c r="I3149" s="21" t="n">
        <v>805.72</v>
      </c>
      <c r="J3149" s="21" t="n">
        <v>2417.17</v>
      </c>
      <c r="K3149" s="21" t="n">
        <v>2820.03</v>
      </c>
      <c r="L3149" s="21" t="n">
        <v>3222.89</v>
      </c>
      <c r="M3149" s="21" t="n">
        <v>3189</v>
      </c>
    </row>
    <row r="3150">
      <c r="A3150" s="9" t="inlineStr">
        <is>
          <t>CYNTHIA</t>
        </is>
      </c>
      <c r="B3150" s="9" t="inlineStr">
        <is>
          <t>CYNTHIA 19/03/2026</t>
        </is>
      </c>
      <c r="C3150" s="9" t="inlineStr">
        <is>
          <t>2026-03-19</t>
        </is>
      </c>
      <c r="D3150" s="9" t="inlineStr">
        <is>
          <t>6701d25e998f7</t>
        </is>
      </c>
      <c r="E3150" s="9" t="inlineStr">
        <is>
          <t>SANDALIAS H BROWN</t>
        </is>
      </c>
      <c r="F3150" s="9" t="inlineStr">
        <is>
          <t>40 (25cm)</t>
        </is>
      </c>
      <c r="G3150" s="9" t="n">
        <v>2</v>
      </c>
      <c r="H3150" s="21" t="n">
        <v>30</v>
      </c>
      <c r="I3150" s="21" t="n">
        <v>805.72</v>
      </c>
      <c r="J3150" s="21" t="n">
        <v>2417.17</v>
      </c>
      <c r="K3150" s="21" t="n">
        <v>2820.03</v>
      </c>
      <c r="L3150" s="21" t="n">
        <v>3222.89</v>
      </c>
      <c r="M3150" s="21" t="n">
        <v>3189</v>
      </c>
    </row>
    <row r="3151">
      <c r="A3151" s="9" t="inlineStr">
        <is>
          <t>CYNTHIA</t>
        </is>
      </c>
      <c r="B3151" s="9" t="inlineStr">
        <is>
          <t>CYNTHIA 19/03/2026</t>
        </is>
      </c>
      <c r="C3151" s="9" t="inlineStr">
        <is>
          <t>2026-03-19</t>
        </is>
      </c>
      <c r="D3151" s="9" t="inlineStr">
        <is>
          <t>82224431124141</t>
        </is>
      </c>
      <c r="E3151" s="9" t="inlineStr">
        <is>
          <t>SANDALIAS H WHITE</t>
        </is>
      </c>
      <c r="F3151" s="9" t="inlineStr">
        <is>
          <t>40 (25 cm)</t>
        </is>
      </c>
      <c r="G3151" s="9" t="n">
        <v>1</v>
      </c>
      <c r="H3151" s="21" t="n">
        <v>30</v>
      </c>
      <c r="I3151" s="21" t="n">
        <v>805.72</v>
      </c>
      <c r="J3151" s="21" t="n">
        <v>2417.17</v>
      </c>
      <c r="K3151" s="21" t="n">
        <v>2820.03</v>
      </c>
      <c r="L3151" s="21" t="n">
        <v>3222.89</v>
      </c>
      <c r="M3151" s="21" t="n">
        <v>3189</v>
      </c>
    </row>
    <row r="3152">
      <c r="A3152" s="9" t="inlineStr">
        <is>
          <t>CYNTHIA</t>
        </is>
      </c>
      <c r="B3152" s="9" t="inlineStr">
        <is>
          <t>CYNTHIA 19/03/2026</t>
        </is>
      </c>
      <c r="C3152" s="9" t="inlineStr">
        <is>
          <t>2026-03-19</t>
        </is>
      </c>
      <c r="D3152" s="9" t="inlineStr">
        <is>
          <t>6701d26146e52</t>
        </is>
      </c>
      <c r="E3152" s="9" t="inlineStr">
        <is>
          <t>SANDALIAS H WHITE</t>
        </is>
      </c>
      <c r="F3152" s="9" t="inlineStr">
        <is>
          <t>38 (24cm)</t>
        </is>
      </c>
      <c r="G3152" s="9" t="n">
        <v>2</v>
      </c>
      <c r="H3152" s="21" t="n">
        <v>30</v>
      </c>
      <c r="I3152" s="21" t="n">
        <v>805.72</v>
      </c>
      <c r="J3152" s="21" t="n">
        <v>2417.17</v>
      </c>
      <c r="K3152" s="21" t="n">
        <v>2820.03</v>
      </c>
      <c r="L3152" s="21" t="n">
        <v>3222.89</v>
      </c>
      <c r="M3152" s="21" t="n">
        <v>3189</v>
      </c>
    </row>
    <row r="3153">
      <c r="A3153" s="9" t="inlineStr">
        <is>
          <t>CYNTHIA</t>
        </is>
      </c>
      <c r="B3153" s="9" t="inlineStr">
        <is>
          <t>CYNTHIA 19/03/2026</t>
        </is>
      </c>
      <c r="C3153" s="9" t="inlineStr">
        <is>
          <t>2026-03-19</t>
        </is>
      </c>
      <c r="D3153" s="9" t="inlineStr">
        <is>
          <t>6701d26083b55</t>
        </is>
      </c>
      <c r="E3153" s="9" t="inlineStr">
        <is>
          <t>SANDALIAS H WHITE</t>
        </is>
      </c>
      <c r="F3153" s="9" t="inlineStr">
        <is>
          <t>37 (23 cm)</t>
        </is>
      </c>
      <c r="G3153" s="9" t="n">
        <v>1</v>
      </c>
      <c r="H3153" s="21" t="n">
        <v>30</v>
      </c>
      <c r="I3153" s="21" t="n">
        <v>805.72</v>
      </c>
      <c r="J3153" s="21" t="n">
        <v>2417.17</v>
      </c>
      <c r="K3153" s="21" t="n">
        <v>2820.03</v>
      </c>
      <c r="L3153" s="21" t="n">
        <v>3222.89</v>
      </c>
      <c r="M3153" s="21" t="n">
        <v>3189</v>
      </c>
    </row>
    <row r="3154">
      <c r="A3154" s="9" t="inlineStr">
        <is>
          <t>CYNTHIA</t>
        </is>
      </c>
      <c r="B3154" s="9" t="inlineStr">
        <is>
          <t>CYNTHIA 19/03/2026</t>
        </is>
      </c>
      <c r="C3154" s="9" t="inlineStr">
        <is>
          <t>2026-03-19</t>
        </is>
      </c>
      <c r="D3154" s="9" t="inlineStr">
        <is>
          <t>81712806121228</t>
        </is>
      </c>
      <c r="E3154" s="9" t="inlineStr">
        <is>
          <t>SANDALIAS MM</t>
        </is>
      </c>
      <c r="F3154" s="9" t="inlineStr">
        <is>
          <t>38/ 24cm</t>
        </is>
      </c>
      <c r="G3154" s="9" t="n">
        <v>2</v>
      </c>
      <c r="H3154" s="21" t="n">
        <v>28</v>
      </c>
      <c r="I3154" s="21" t="n">
        <v>752.01</v>
      </c>
      <c r="J3154" s="21" t="n">
        <v>2256.02</v>
      </c>
      <c r="K3154" s="21" t="n">
        <v>2632.03</v>
      </c>
      <c r="L3154" s="21" t="n">
        <v>3008.03</v>
      </c>
      <c r="M3154" s="21" t="n">
        <v>2999</v>
      </c>
    </row>
    <row r="3155">
      <c r="A3155" s="9" t="inlineStr">
        <is>
          <t>CYNTHIA</t>
        </is>
      </c>
      <c r="B3155" s="9" t="inlineStr">
        <is>
          <t>CYNTHIA 19/03/2026</t>
        </is>
      </c>
      <c r="C3155" s="9" t="inlineStr">
        <is>
          <t>2026-03-19</t>
        </is>
      </c>
      <c r="D3155" s="9" t="inlineStr">
        <is>
          <t>81712806088460</t>
        </is>
      </c>
      <c r="E3155" s="9" t="inlineStr">
        <is>
          <t>SANDALIAS MM</t>
        </is>
      </c>
      <c r="F3155" s="9" t="inlineStr">
        <is>
          <t>37/ 23cm</t>
        </is>
      </c>
      <c r="G3155" s="9" t="n">
        <v>2</v>
      </c>
      <c r="H3155" s="21" t="n">
        <v>28</v>
      </c>
      <c r="I3155" s="21" t="n">
        <v>752.01</v>
      </c>
      <c r="J3155" s="21" t="n">
        <v>2256.02</v>
      </c>
      <c r="K3155" s="21" t="n">
        <v>2632.03</v>
      </c>
      <c r="L3155" s="21" t="n">
        <v>3008.03</v>
      </c>
      <c r="M3155" s="21" t="n">
        <v>2999</v>
      </c>
    </row>
    <row r="3156">
      <c r="A3156" s="9" t="inlineStr">
        <is>
          <t>CYNTHIA</t>
        </is>
      </c>
      <c r="B3156" s="9" t="inlineStr">
        <is>
          <t>CYNTHIA 19/03/2026</t>
        </is>
      </c>
      <c r="C3156" s="9" t="inlineStr">
        <is>
          <t>2026-03-19</t>
        </is>
      </c>
      <c r="D3156" s="9" t="inlineStr">
        <is>
          <t>81712806153996</t>
        </is>
      </c>
      <c r="E3156" s="9" t="inlineStr">
        <is>
          <t>SANDALIAS MM</t>
        </is>
      </c>
      <c r="F3156" s="9" t="inlineStr">
        <is>
          <t>40/ 25cm</t>
        </is>
      </c>
      <c r="G3156" s="9" t="n">
        <v>2</v>
      </c>
      <c r="H3156" s="21" t="n">
        <v>28</v>
      </c>
      <c r="I3156" s="21" t="n">
        <v>752.01</v>
      </c>
      <c r="J3156" s="21" t="n">
        <v>2256.02</v>
      </c>
      <c r="K3156" s="21" t="n">
        <v>2632.03</v>
      </c>
      <c r="L3156" s="21" t="n">
        <v>3008.03</v>
      </c>
      <c r="M3156" s="21" t="n">
        <v>2999</v>
      </c>
    </row>
    <row r="3157">
      <c r="A3157" s="9" t="inlineStr">
        <is>
          <t>CYNTHIA</t>
        </is>
      </c>
      <c r="B3157" s="9" t="inlineStr">
        <is>
          <t>CYNTHIA 19/03/2026</t>
        </is>
      </c>
      <c r="C3157" s="9" t="inlineStr">
        <is>
          <t>2026-03-19</t>
        </is>
      </c>
      <c r="D3157" s="9" t="inlineStr">
        <is>
          <t>98269351593261</t>
        </is>
      </c>
      <c r="E3157" s="9" t="inlineStr">
        <is>
          <t>SUETER PR BLACK CON PLACA DEL LOGO</t>
        </is>
      </c>
      <c r="F3157" s="9" t="inlineStr">
        <is>
          <t>m</t>
        </is>
      </c>
      <c r="G3157" s="9" t="n">
        <v>2</v>
      </c>
      <c r="H3157" s="21" t="n">
        <v>22.8</v>
      </c>
      <c r="I3157" s="21" t="n">
        <v>612.35</v>
      </c>
      <c r="J3157" s="21" t="n">
        <v>1837.05</v>
      </c>
      <c r="K3157" s="21" t="n">
        <v>2143.22</v>
      </c>
      <c r="L3157" s="21" t="n">
        <v>2449.4</v>
      </c>
      <c r="M3157" s="21" t="n">
        <v>2499</v>
      </c>
    </row>
    <row r="3158">
      <c r="A3158" s="9" t="inlineStr">
        <is>
          <t>CYNTHIA</t>
        </is>
      </c>
      <c r="B3158" s="9" t="inlineStr">
        <is>
          <t>CYNTHIA 19/03/2026</t>
        </is>
      </c>
      <c r="C3158" s="9" t="inlineStr">
        <is>
          <t>2026-03-19</t>
        </is>
      </c>
      <c r="D3158" s="9" t="inlineStr">
        <is>
          <t>66f1ed306f6b4</t>
        </is>
      </c>
      <c r="E3158" s="9" t="inlineStr">
        <is>
          <t>TARJETERO G GREEN</t>
        </is>
      </c>
      <c r="F3158" s="9" t="inlineStr">
        <is>
          <t>10.5cm de largo x 7.6cm de alto</t>
        </is>
      </c>
      <c r="G3158" s="9" t="n">
        <v>5</v>
      </c>
      <c r="H3158" s="21" t="n">
        <v>26</v>
      </c>
      <c r="I3158" s="21" t="n">
        <v>698.29</v>
      </c>
      <c r="J3158" s="21" t="n">
        <v>2094.88</v>
      </c>
      <c r="K3158" s="21" t="n">
        <v>2444.02</v>
      </c>
      <c r="L3158" s="21" t="n">
        <v>2793.17</v>
      </c>
      <c r="M3158" s="21" t="n">
        <v>2445</v>
      </c>
    </row>
    <row r="3159">
      <c r="A3159" s="9" t="inlineStr">
        <is>
          <t>CYNTHIA</t>
        </is>
      </c>
      <c r="B3159" s="9" t="inlineStr">
        <is>
          <t>CYNTHIA 19/03/2026</t>
        </is>
      </c>
      <c r="C3159" s="9" t="inlineStr">
        <is>
          <t>2026-03-19</t>
        </is>
      </c>
      <c r="D3159" s="9" t="inlineStr">
        <is>
          <t>75333231061005</t>
        </is>
      </c>
      <c r="E3159" s="9" t="inlineStr">
        <is>
          <t>TARJETERO YSL BURGUNDY</t>
        </is>
      </c>
      <c r="F3159" s="9" t="inlineStr">
        <is>
          <t>Default Title</t>
        </is>
      </c>
      <c r="G3159" s="9" t="n">
        <v>2</v>
      </c>
      <c r="H3159" s="21" t="n">
        <v>20</v>
      </c>
      <c r="I3159" s="21" t="n">
        <v>537.15</v>
      </c>
      <c r="J3159" s="21" t="n">
        <v>1611.44</v>
      </c>
      <c r="K3159" s="21" t="n">
        <v>1880.02</v>
      </c>
      <c r="L3159" s="21" t="n">
        <v>2148.59</v>
      </c>
      <c r="M3159" s="21" t="n">
        <v>2150</v>
      </c>
    </row>
    <row r="3160">
      <c r="A3160" s="9" t="inlineStr">
        <is>
          <t>CYNTHIA</t>
        </is>
      </c>
      <c r="B3160" s="9" t="inlineStr">
        <is>
          <t>CYNTHIA 19/03/2026</t>
        </is>
      </c>
      <c r="C3160" s="9" t="inlineStr">
        <is>
          <t>2026-03-19</t>
        </is>
      </c>
      <c r="D3160" s="9" t="inlineStr">
        <is>
          <t>11915825730987</t>
        </is>
      </c>
      <c r="E3160" s="9" t="inlineStr">
        <is>
          <t>TRAJE DE BAÑO C</t>
        </is>
      </c>
      <c r="F3160" s="9" t="inlineStr">
        <is>
          <t>M</t>
        </is>
      </c>
      <c r="G3160" s="9" t="n">
        <v>1</v>
      </c>
      <c r="H3160" s="21" t="n">
        <v>32</v>
      </c>
      <c r="I3160" s="21" t="n">
        <v>859.4400000000001</v>
      </c>
      <c r="J3160" s="21" t="n">
        <v>2578.31</v>
      </c>
      <c r="K3160" s="21" t="n">
        <v>3008.03</v>
      </c>
      <c r="L3160" s="21" t="n">
        <v>3437.75</v>
      </c>
      <c r="M3160" s="21" t="n"/>
    </row>
    <row r="3161">
      <c r="A3161" s="9" t="inlineStr">
        <is>
          <t>CYNTHIA</t>
        </is>
      </c>
      <c r="B3161" s="9" t="inlineStr">
        <is>
          <t>CYNTHIA 19/03/2026</t>
        </is>
      </c>
      <c r="C3161" s="9" t="inlineStr">
        <is>
          <t>2026-03-19</t>
        </is>
      </c>
      <c r="D3161" s="9" t="inlineStr">
        <is>
          <t>83342111044589</t>
        </is>
      </c>
      <c r="E3161" s="9" t="inlineStr">
        <is>
          <t>TRAJE DE BAÑO DG BLACK</t>
        </is>
      </c>
      <c r="F3161" s="9" t="inlineStr">
        <is>
          <t>m</t>
        </is>
      </c>
      <c r="G3161" s="9" t="n">
        <v>1</v>
      </c>
      <c r="H3161" s="21" t="n">
        <v>10.8</v>
      </c>
      <c r="I3161" s="21" t="n">
        <v>290.06</v>
      </c>
      <c r="J3161" s="21" t="n">
        <v>870.1799999999999</v>
      </c>
      <c r="K3161" s="21" t="n">
        <v>1015.21</v>
      </c>
      <c r="L3161" s="21" t="n">
        <v>1160.24</v>
      </c>
      <c r="M3161" s="21" t="n">
        <v>1199</v>
      </c>
    </row>
    <row r="3162">
      <c r="A3162" s="9" t="inlineStr">
        <is>
          <t>CYNTHIA</t>
        </is>
      </c>
      <c r="B3162" s="9" t="inlineStr">
        <is>
          <t>CYNTHIA 19/03/2026</t>
        </is>
      </c>
      <c r="C3162" s="9" t="inlineStr">
        <is>
          <t>2026-03-19</t>
        </is>
      </c>
      <c r="D3162" s="9" t="inlineStr">
        <is>
          <t>43026767806604</t>
        </is>
      </c>
      <c r="E3162" s="9" t="inlineStr">
        <is>
          <t>TRAJE DE BAÑO GC</t>
        </is>
      </c>
      <c r="F3162" s="9" t="inlineStr">
        <is>
          <t>M</t>
        </is>
      </c>
      <c r="G3162" s="9" t="n">
        <v>3</v>
      </c>
      <c r="H3162" s="21" t="n">
        <v>10.8</v>
      </c>
      <c r="I3162" s="21" t="n">
        <v>290.06</v>
      </c>
      <c r="J3162" s="21" t="n">
        <v>870.1799999999999</v>
      </c>
      <c r="K3162" s="21" t="n">
        <v>1015.21</v>
      </c>
      <c r="L3162" s="21" t="n">
        <v>1160.24</v>
      </c>
      <c r="M3162" s="21" t="n">
        <v>1129</v>
      </c>
    </row>
    <row r="3163">
      <c r="A3163" s="9" t="inlineStr">
        <is>
          <t>CYNTHIA</t>
        </is>
      </c>
      <c r="B3163" s="9" t="inlineStr">
        <is>
          <t>CYNTHIA 19/03/2026</t>
        </is>
      </c>
      <c r="C3163" s="9" t="inlineStr">
        <is>
          <t>2026-03-19</t>
        </is>
      </c>
      <c r="D3163" s="9" t="inlineStr">
        <is>
          <t>43026762793100</t>
        </is>
      </c>
      <c r="E3163" s="9" t="inlineStr">
        <is>
          <t>TRAJE DE BAÑO PR BLACK</t>
        </is>
      </c>
      <c r="F3163" s="9" t="inlineStr">
        <is>
          <t>M</t>
        </is>
      </c>
      <c r="G3163" s="9" t="n">
        <v>3</v>
      </c>
      <c r="H3163" s="21" t="n">
        <v>10.8</v>
      </c>
      <c r="I3163" s="21" t="n">
        <v>290.06</v>
      </c>
      <c r="J3163" s="21" t="n">
        <v>870.1799999999999</v>
      </c>
      <c r="K3163" s="21" t="n">
        <v>1015.21</v>
      </c>
      <c r="L3163" s="21" t="n">
        <v>1160.24</v>
      </c>
      <c r="M3163" s="21" t="n">
        <v>1199</v>
      </c>
    </row>
    <row r="3164">
      <c r="A3164" s="9" t="inlineStr">
        <is>
          <t>CYNTHIA</t>
        </is>
      </c>
      <c r="B3164" s="9" t="inlineStr">
        <is>
          <t>CYNTHIA 19/03/2026</t>
        </is>
      </c>
      <c r="C3164" s="9" t="inlineStr">
        <is>
          <t>2026-03-19</t>
        </is>
      </c>
      <c r="D3164" s="9" t="inlineStr">
        <is>
          <t>11915828105387</t>
        </is>
      </c>
      <c r="E3164" s="9" t="inlineStr">
        <is>
          <t>TRAJE DE BAÑO V</t>
        </is>
      </c>
      <c r="F3164" s="9" t="inlineStr">
        <is>
          <t>M</t>
        </is>
      </c>
      <c r="G3164" s="9" t="n">
        <v>2</v>
      </c>
      <c r="H3164" s="21" t="n">
        <v>10.8</v>
      </c>
      <c r="I3164" s="21" t="n">
        <v>290.06</v>
      </c>
      <c r="J3164" s="21" t="n">
        <v>870.1799999999999</v>
      </c>
      <c r="K3164" s="21" t="n">
        <v>1015.21</v>
      </c>
      <c r="L3164" s="21" t="n">
        <v>1160.24</v>
      </c>
      <c r="M3164" s="21" t="n">
        <v>1149</v>
      </c>
    </row>
    <row r="3165">
      <c r="A3165" s="9" t="inlineStr">
        <is>
          <t>ZOEY</t>
        </is>
      </c>
      <c r="B3165" s="9" t="inlineStr">
        <is>
          <t>ZOEY 19/03/2026</t>
        </is>
      </c>
      <c r="C3165" s="9" t="inlineStr">
        <is>
          <t>2026-03-19</t>
        </is>
      </c>
      <c r="D3165" s="9" t="inlineStr">
        <is>
          <t>72142921022125</t>
        </is>
      </c>
      <c r="E3165" s="9" t="inlineStr">
        <is>
          <t>ANILLO CD GOLD WHITE CON ZIRCONIA</t>
        </is>
      </c>
      <c r="F3165" s="9" t="inlineStr">
        <is>
          <t>6</t>
        </is>
      </c>
      <c r="G3165" s="9" t="n">
        <v>1</v>
      </c>
      <c r="H3165" s="21" t="n">
        <v>9</v>
      </c>
      <c r="I3165" s="21" t="n">
        <v>232.04</v>
      </c>
      <c r="J3165" s="21" t="n">
        <v>696.12</v>
      </c>
      <c r="K3165" s="21" t="n">
        <v>812.13</v>
      </c>
      <c r="L3165" s="21" t="n">
        <v>928.15</v>
      </c>
      <c r="M3165" s="21" t="n">
        <v>975</v>
      </c>
    </row>
    <row r="3166">
      <c r="A3166" s="9" t="inlineStr">
        <is>
          <t>ZOEY</t>
        </is>
      </c>
      <c r="B3166" s="9" t="inlineStr">
        <is>
          <t>ZOEY 19/03/2026</t>
        </is>
      </c>
      <c r="C3166" s="9" t="inlineStr">
        <is>
          <t>2026-03-19</t>
        </is>
      </c>
      <c r="D3166" s="9" t="inlineStr">
        <is>
          <t>77275241042893</t>
        </is>
      </c>
      <c r="E3166" s="9" t="inlineStr">
        <is>
          <t>ARETES MM HEART GOLD WHITE</t>
        </is>
      </c>
      <c r="F3166" s="9" t="inlineStr">
        <is>
          <t>2cm</t>
        </is>
      </c>
      <c r="G3166" s="9" t="n">
        <v>5</v>
      </c>
      <c r="H3166" s="21" t="n">
        <v>8</v>
      </c>
      <c r="I3166" s="21" t="n">
        <v>206.26</v>
      </c>
      <c r="J3166" s="21" t="n">
        <v>618.77</v>
      </c>
      <c r="K3166" s="21" t="n">
        <v>721.9</v>
      </c>
      <c r="L3166" s="21" t="n">
        <v>825.03</v>
      </c>
      <c r="M3166" s="21" t="n">
        <v>850</v>
      </c>
    </row>
    <row r="3167">
      <c r="A3167" s="9" t="inlineStr">
        <is>
          <t>ZOEY</t>
        </is>
      </c>
      <c r="B3167" s="9" t="inlineStr">
        <is>
          <t>ZOEY 19/03/2026</t>
        </is>
      </c>
      <c r="C3167" s="9" t="inlineStr">
        <is>
          <t>2026-03-19</t>
        </is>
      </c>
      <c r="D3167" s="9" t="inlineStr">
        <is>
          <t>76327071018669</t>
        </is>
      </c>
      <c r="E3167" s="9" t="inlineStr">
        <is>
          <t>ARRACADAS SERPENTI VIPPER GOLD CON ZIRCONIA</t>
        </is>
      </c>
      <c r="F3167" s="9" t="inlineStr">
        <is>
          <t>Default Title</t>
        </is>
      </c>
      <c r="G3167" s="9" t="n">
        <v>5</v>
      </c>
      <c r="H3167" s="21" t="n">
        <v>9</v>
      </c>
      <c r="I3167" s="21" t="n">
        <v>232.04</v>
      </c>
      <c r="J3167" s="21" t="n">
        <v>696.12</v>
      </c>
      <c r="K3167" s="21" t="n">
        <v>812.13</v>
      </c>
      <c r="L3167" s="21" t="n">
        <v>928.15</v>
      </c>
      <c r="M3167" s="21" t="n">
        <v>876</v>
      </c>
    </row>
    <row r="3168">
      <c r="A3168" s="9" t="inlineStr">
        <is>
          <t>ZOEY</t>
        </is>
      </c>
      <c r="B3168" s="9" t="inlineStr">
        <is>
          <t>ZOEY 19/03/2026</t>
        </is>
      </c>
      <c r="C3168" s="9" t="inlineStr">
        <is>
          <t>2026-03-19</t>
        </is>
      </c>
      <c r="D3168" s="9" t="inlineStr">
        <is>
          <t>73626631067117</t>
        </is>
      </c>
      <c r="E3168" s="9" t="inlineStr">
        <is>
          <t>BOLSA DE MANO G GREEN</t>
        </is>
      </c>
      <c r="F3168" s="9" t="inlineStr">
        <is>
          <t>Default Title</t>
        </is>
      </c>
      <c r="G3168" s="9" t="n">
        <v>3</v>
      </c>
      <c r="H3168" s="21" t="n">
        <v>35</v>
      </c>
      <c r="I3168" s="21" t="n">
        <v>902.37</v>
      </c>
      <c r="J3168" s="21" t="n">
        <v>2707.12</v>
      </c>
      <c r="K3168" s="21" t="n">
        <v>3158.3</v>
      </c>
      <c r="L3168" s="21" t="n">
        <v>3609.49</v>
      </c>
      <c r="M3168" s="21" t="n">
        <v>3399</v>
      </c>
    </row>
    <row r="3169">
      <c r="A3169" s="9" t="inlineStr">
        <is>
          <t>ZOEY</t>
        </is>
      </c>
      <c r="B3169" s="9" t="inlineStr">
        <is>
          <t>ZOEY 19/03/2026</t>
        </is>
      </c>
      <c r="C3169" s="9" t="inlineStr">
        <is>
          <t>2026-03-19</t>
        </is>
      </c>
      <c r="D3169" s="9" t="inlineStr">
        <is>
          <t>66ec817ce19fe</t>
        </is>
      </c>
      <c r="E3169" s="9" t="inlineStr">
        <is>
          <t>BOLSO B BLACK LISO</t>
        </is>
      </c>
      <c r="F3169" s="9" t="inlineStr">
        <is>
          <t>HIGH QUALITY 23cm de largo x 14.5cm de alto x 10cm de ancho</t>
        </is>
      </c>
      <c r="G3169" s="9" t="n">
        <v>1</v>
      </c>
      <c r="H3169" s="21" t="n">
        <v>45</v>
      </c>
      <c r="I3169" s="21" t="n">
        <v>1160.19</v>
      </c>
      <c r="J3169" s="21" t="n">
        <v>3480.58</v>
      </c>
      <c r="K3169" s="21" t="n">
        <v>4060.67</v>
      </c>
      <c r="L3169" s="21" t="n">
        <v>4640.77</v>
      </c>
      <c r="M3169" s="21" t="n">
        <v>4060</v>
      </c>
    </row>
    <row r="3170">
      <c r="A3170" s="9" t="inlineStr">
        <is>
          <t>ZOEY</t>
        </is>
      </c>
      <c r="B3170" s="9" t="inlineStr">
        <is>
          <t>ZOEY 19/03/2026</t>
        </is>
      </c>
      <c r="C3170" s="9" t="inlineStr">
        <is>
          <t>2026-03-19</t>
        </is>
      </c>
      <c r="D3170" s="9" t="inlineStr">
        <is>
          <t>43728083210732</t>
        </is>
      </c>
      <c r="E3170" s="9" t="inlineStr">
        <is>
          <t>BOLSO CC 22</t>
        </is>
      </c>
      <c r="F3170" s="9" t="inlineStr">
        <is>
          <t>19cm de alto x 23.5cm de ancho</t>
        </is>
      </c>
      <c r="G3170" s="9" t="n">
        <v>5</v>
      </c>
      <c r="H3170" s="21" t="n">
        <v>50</v>
      </c>
      <c r="I3170" s="21" t="n">
        <v>1289.1</v>
      </c>
      <c r="J3170" s="21" t="n">
        <v>3867.31</v>
      </c>
      <c r="K3170" s="21" t="n">
        <v>4511.86</v>
      </c>
      <c r="L3170" s="21" t="n">
        <v>5156.41</v>
      </c>
      <c r="M3170" s="21" t="n">
        <v>4519</v>
      </c>
    </row>
    <row r="3171">
      <c r="A3171" s="9" t="inlineStr">
        <is>
          <t>ZOEY</t>
        </is>
      </c>
      <c r="B3171" s="9" t="inlineStr">
        <is>
          <t>ZOEY 19/03/2026</t>
        </is>
      </c>
      <c r="C3171" s="9" t="inlineStr">
        <is>
          <t>2026-03-19</t>
        </is>
      </c>
      <c r="D3171" s="9" t="inlineStr">
        <is>
          <t>17760786033676</t>
        </is>
      </c>
      <c r="E3171" s="9" t="inlineStr">
        <is>
          <t>BOLSO CC 22 SILVER</t>
        </is>
      </c>
      <c r="F3171" s="9" t="inlineStr">
        <is>
          <t>19cm de alto x 23.5cm de ancho</t>
        </is>
      </c>
      <c r="G3171" s="9" t="n">
        <v>2</v>
      </c>
      <c r="H3171" s="21" t="n">
        <v>50</v>
      </c>
      <c r="I3171" s="21" t="n">
        <v>1289.1</v>
      </c>
      <c r="J3171" s="21" t="n">
        <v>3867.31</v>
      </c>
      <c r="K3171" s="21" t="n">
        <v>4511.86</v>
      </c>
      <c r="L3171" s="21" t="n">
        <v>5156.41</v>
      </c>
      <c r="M3171" s="21" t="n">
        <v>4519</v>
      </c>
    </row>
    <row r="3172">
      <c r="A3172" s="9" t="inlineStr">
        <is>
          <t>ZOEY</t>
        </is>
      </c>
      <c r="B3172" s="9" t="inlineStr">
        <is>
          <t>ZOEY 19/03/2026</t>
        </is>
      </c>
      <c r="C3172" s="9" t="inlineStr">
        <is>
          <t>2026-03-19</t>
        </is>
      </c>
      <c r="D3172" s="9" t="inlineStr">
        <is>
          <t>64571791072897</t>
        </is>
      </c>
      <c r="E3172" s="9" t="inlineStr">
        <is>
          <t>BOLSO CC BLACK</t>
        </is>
      </c>
      <c r="F3172" s="9" t="inlineStr">
        <is>
          <t>25cm de largo x 17cm de alto x 6cm de ancho</t>
        </is>
      </c>
      <c r="G3172" s="9" t="n">
        <v>2</v>
      </c>
      <c r="H3172" s="21" t="n">
        <v>48</v>
      </c>
      <c r="I3172" s="21" t="n">
        <v>1237.54</v>
      </c>
      <c r="J3172" s="21" t="n">
        <v>3712.62</v>
      </c>
      <c r="K3172" s="21" t="n">
        <v>4331.38</v>
      </c>
      <c r="L3172" s="21" t="n">
        <v>4950.15</v>
      </c>
      <c r="M3172" s="21" t="n">
        <v>5089</v>
      </c>
    </row>
    <row r="3173">
      <c r="A3173" s="9" t="inlineStr">
        <is>
          <t>ZOEY</t>
        </is>
      </c>
      <c r="B3173" s="9" t="inlineStr">
        <is>
          <t>ZOEY 19/03/2026</t>
        </is>
      </c>
      <c r="C3173" s="9" t="inlineStr">
        <is>
          <t>2026-03-19</t>
        </is>
      </c>
      <c r="D3173" s="9" t="inlineStr">
        <is>
          <t>69521938776076</t>
        </is>
      </c>
      <c r="E3173" s="9" t="inlineStr">
        <is>
          <t>BOLSO CD CARO</t>
        </is>
      </c>
      <c r="F3173" s="9" t="inlineStr">
        <is>
          <t>18.5cm x 12cm x 6cm</t>
        </is>
      </c>
      <c r="G3173" s="9" t="n">
        <v>1</v>
      </c>
      <c r="H3173" s="21" t="n">
        <v>58</v>
      </c>
      <c r="I3173" s="21" t="n">
        <v>1495.36</v>
      </c>
      <c r="J3173" s="21" t="n">
        <v>4486.08</v>
      </c>
      <c r="K3173" s="21" t="n">
        <v>5233.76</v>
      </c>
      <c r="L3173" s="21" t="n">
        <v>5981.44</v>
      </c>
      <c r="M3173" s="21" t="n">
        <v>5239</v>
      </c>
    </row>
    <row r="3174">
      <c r="A3174" s="9" t="inlineStr">
        <is>
          <t>ZOEY</t>
        </is>
      </c>
      <c r="B3174" s="9" t="inlineStr">
        <is>
          <t>ZOEY 19/03/2026</t>
        </is>
      </c>
      <c r="C3174" s="9" t="inlineStr">
        <is>
          <t>2026-03-19</t>
        </is>
      </c>
      <c r="D3174" s="9" t="inlineStr">
        <is>
          <t>17416232396428</t>
        </is>
      </c>
      <c r="E3174" s="9" t="inlineStr">
        <is>
          <t>BOLSO CD TOTE</t>
        </is>
      </c>
      <c r="F3174" s="9" t="inlineStr">
        <is>
          <t>36.5cm x 28cm x 10cm</t>
        </is>
      </c>
      <c r="G3174" s="9" t="n">
        <v>2</v>
      </c>
      <c r="H3174" s="21" t="n">
        <v>45</v>
      </c>
      <c r="I3174" s="21" t="n">
        <v>1160.19</v>
      </c>
      <c r="J3174" s="21" t="n">
        <v>3480.58</v>
      </c>
      <c r="K3174" s="21" t="n">
        <v>4060.67</v>
      </c>
      <c r="L3174" s="21" t="n">
        <v>4640.77</v>
      </c>
      <c r="M3174" s="21" t="n">
        <v>4069</v>
      </c>
    </row>
    <row r="3175">
      <c r="A3175" s="9" t="inlineStr">
        <is>
          <t>ZOEY</t>
        </is>
      </c>
      <c r="B3175" s="9" t="inlineStr">
        <is>
          <t>ZOEY 19/03/2026</t>
        </is>
      </c>
      <c r="C3175" s="9" t="inlineStr">
        <is>
          <t>2026-03-19</t>
        </is>
      </c>
      <c r="D3175" s="9" t="inlineStr">
        <is>
          <t>43728083774252</t>
        </is>
      </c>
      <c r="E3175" s="9" t="inlineStr">
        <is>
          <t>BOLSO DE VIAJE  LV KEEPALL 45</t>
        </is>
      </c>
      <c r="F3175" s="9" t="inlineStr">
        <is>
          <t>44cm de largo x 25cm de alto x 20cm de ancho</t>
        </is>
      </c>
      <c r="G3175" s="9" t="n">
        <v>2</v>
      </c>
      <c r="H3175" s="21" t="n">
        <v>60</v>
      </c>
      <c r="I3175" s="21" t="n">
        <v>1546.92</v>
      </c>
      <c r="J3175" s="21" t="n">
        <v>4640.77</v>
      </c>
      <c r="K3175" s="21" t="n">
        <v>5414.23</v>
      </c>
      <c r="L3175" s="21" t="n">
        <v>6187.69</v>
      </c>
      <c r="M3175" s="21" t="n">
        <v>5419</v>
      </c>
    </row>
    <row r="3176">
      <c r="A3176" s="9" t="inlineStr">
        <is>
          <t>ZOEY</t>
        </is>
      </c>
      <c r="B3176" s="9" t="inlineStr">
        <is>
          <t>ZOEY 19/03/2026</t>
        </is>
      </c>
      <c r="C3176" s="9" t="inlineStr">
        <is>
          <t>2026-03-19</t>
        </is>
      </c>
      <c r="D3176" s="9" t="inlineStr">
        <is>
          <t>43728136587308</t>
        </is>
      </c>
      <c r="E3176" s="9" t="inlineStr">
        <is>
          <t>BOLSO DE VIAJE LV BLACK</t>
        </is>
      </c>
      <c r="F3176" s="9" t="inlineStr">
        <is>
          <t>HIGH QUALITY</t>
        </is>
      </c>
      <c r="G3176" s="9" t="n">
        <v>1</v>
      </c>
      <c r="H3176" s="21" t="n">
        <v>55</v>
      </c>
      <c r="I3176" s="21" t="n">
        <v>1418.01</v>
      </c>
      <c r="J3176" s="21" t="n">
        <v>4254.04</v>
      </c>
      <c r="K3176" s="21" t="n">
        <v>4963.04</v>
      </c>
      <c r="L3176" s="21" t="n">
        <v>5672.05</v>
      </c>
      <c r="M3176" s="21" t="n">
        <v>5679</v>
      </c>
    </row>
    <row r="3177">
      <c r="A3177" s="9" t="inlineStr">
        <is>
          <t>ZOEY</t>
        </is>
      </c>
      <c r="B3177" s="9" t="inlineStr">
        <is>
          <t>ZOEY 19/03/2026</t>
        </is>
      </c>
      <c r="C3177" s="9" t="inlineStr">
        <is>
          <t>2026-03-19</t>
        </is>
      </c>
      <c r="D3177" s="9" t="inlineStr">
        <is>
          <t>43728086795884</t>
        </is>
      </c>
      <c r="E3177" s="9" t="inlineStr">
        <is>
          <t>BOLSO GC CHERRY</t>
        </is>
      </c>
      <c r="F3177" s="9" t="inlineStr">
        <is>
          <t>25cm de largo x 16cm de alto x 7.5cm de ancho</t>
        </is>
      </c>
      <c r="G3177" s="9" t="n">
        <v>2</v>
      </c>
      <c r="H3177" s="21" t="n">
        <v>56</v>
      </c>
      <c r="I3177" s="21" t="n">
        <v>1443.79</v>
      </c>
      <c r="J3177" s="21" t="n">
        <v>4331.38</v>
      </c>
      <c r="K3177" s="21" t="n">
        <v>5053.28</v>
      </c>
      <c r="L3177" s="21" t="n">
        <v>5775.18</v>
      </c>
      <c r="M3177" s="21" t="n">
        <v>5775</v>
      </c>
    </row>
    <row r="3178">
      <c r="A3178" s="9" t="inlineStr">
        <is>
          <t>ZOEY</t>
        </is>
      </c>
      <c r="B3178" s="9" t="inlineStr">
        <is>
          <t>ZOEY 19/03/2026</t>
        </is>
      </c>
      <c r="C3178" s="9" t="inlineStr">
        <is>
          <t>2026-03-19</t>
        </is>
      </c>
      <c r="D3178" s="9" t="inlineStr">
        <is>
          <t>6701d27d41def</t>
        </is>
      </c>
      <c r="E3178" s="9" t="inlineStr">
        <is>
          <t>BOLSO GC NUDE</t>
        </is>
      </c>
      <c r="F3178" s="9" t="inlineStr">
        <is>
          <t>14.5cm de alto x 25.2cm de largo x 6.7cm de ancho</t>
        </is>
      </c>
      <c r="G3178" s="9" t="n">
        <v>2</v>
      </c>
      <c r="H3178" s="21" t="n">
        <v>56</v>
      </c>
      <c r="I3178" s="21" t="n">
        <v>1443.79</v>
      </c>
      <c r="J3178" s="21" t="n">
        <v>4331.38</v>
      </c>
      <c r="K3178" s="21" t="n">
        <v>5053.28</v>
      </c>
      <c r="L3178" s="21" t="n">
        <v>5775.18</v>
      </c>
      <c r="M3178" s="21" t="n">
        <v>5775</v>
      </c>
    </row>
    <row r="3179">
      <c r="A3179" s="9" t="inlineStr">
        <is>
          <t>ZOEY</t>
        </is>
      </c>
      <c r="B3179" s="9" t="inlineStr">
        <is>
          <t>ZOEY 19/03/2026</t>
        </is>
      </c>
      <c r="C3179" s="9" t="inlineStr">
        <is>
          <t>2026-03-19</t>
        </is>
      </c>
      <c r="D3179" s="9" t="inlineStr">
        <is>
          <t>66df5ec1b9bcc</t>
        </is>
      </c>
      <c r="E3179" s="9" t="inlineStr">
        <is>
          <t>BOLSO LADY D CHAROL DUSTY PINK</t>
        </is>
      </c>
      <c r="F3179" s="9" t="inlineStr">
        <is>
          <t>23.5cm de largo x 21cm de alto x 12cm de ancho</t>
        </is>
      </c>
      <c r="G3179" s="9" t="n">
        <v>1</v>
      </c>
      <c r="H3179" s="21" t="n">
        <v>56</v>
      </c>
      <c r="I3179" s="21" t="n">
        <v>1443.79</v>
      </c>
      <c r="J3179" s="21" t="n">
        <v>4331.38</v>
      </c>
      <c r="K3179" s="21" t="n">
        <v>5053.28</v>
      </c>
      <c r="L3179" s="21" t="n">
        <v>5775.18</v>
      </c>
      <c r="M3179" s="21" t="n">
        <v>5775</v>
      </c>
    </row>
    <row r="3180">
      <c r="A3180" s="9" t="inlineStr">
        <is>
          <t>ZOEY</t>
        </is>
      </c>
      <c r="B3180" s="9" t="inlineStr">
        <is>
          <t>ZOEY 19/03/2026</t>
        </is>
      </c>
      <c r="C3180" s="9" t="inlineStr">
        <is>
          <t>2026-03-19</t>
        </is>
      </c>
      <c r="D3180" s="9" t="inlineStr">
        <is>
          <t>43728088191436</t>
        </is>
      </c>
      <c r="E3180" s="9" t="inlineStr">
        <is>
          <t>BOLSO LADY D CHAROL RED</t>
        </is>
      </c>
      <c r="F3180" s="9" t="inlineStr">
        <is>
          <t>23.5cm de largo x 21cm de alto x 12cm de ancho</t>
        </is>
      </c>
      <c r="G3180" s="9" t="n">
        <v>2</v>
      </c>
      <c r="H3180" s="21" t="n">
        <v>56</v>
      </c>
      <c r="I3180" s="21" t="n">
        <v>1443.79</v>
      </c>
      <c r="J3180" s="21" t="n">
        <v>4331.38</v>
      </c>
      <c r="K3180" s="21" t="n">
        <v>5053.28</v>
      </c>
      <c r="L3180" s="21" t="n">
        <v>5775.18</v>
      </c>
      <c r="M3180" s="21" t="n">
        <v>5775</v>
      </c>
    </row>
    <row r="3181">
      <c r="A3181" s="9" t="inlineStr">
        <is>
          <t>ZOEY</t>
        </is>
      </c>
      <c r="B3181" s="9" t="inlineStr">
        <is>
          <t>ZOEY 19/03/2026</t>
        </is>
      </c>
      <c r="C3181" s="9" t="inlineStr">
        <is>
          <t>2026-03-19</t>
        </is>
      </c>
      <c r="D3181" s="9" t="inlineStr">
        <is>
          <t>6701d24d46b00</t>
        </is>
      </c>
      <c r="E3181" s="9" t="inlineStr">
        <is>
          <t>BOLSO LV CAPUCINES</t>
        </is>
      </c>
      <c r="F3181" s="9" t="inlineStr">
        <is>
          <t>26.5cm de largo x 18cm de alto x 9cm de ancho</t>
        </is>
      </c>
      <c r="G3181" s="9" t="n">
        <v>1</v>
      </c>
      <c r="H3181" s="21" t="n">
        <v>58</v>
      </c>
      <c r="I3181" s="21" t="n">
        <v>1495.36</v>
      </c>
      <c r="J3181" s="21" t="n">
        <v>4486.08</v>
      </c>
      <c r="K3181" s="21" t="n">
        <v>5233.76</v>
      </c>
      <c r="L3181" s="21" t="n">
        <v>5981.44</v>
      </c>
      <c r="M3181" s="21" t="n">
        <v>5199</v>
      </c>
    </row>
    <row r="3182">
      <c r="A3182" s="9" t="inlineStr">
        <is>
          <t>ZOEY</t>
        </is>
      </c>
      <c r="B3182" s="9" t="inlineStr">
        <is>
          <t>ZOEY 19/03/2026</t>
        </is>
      </c>
      <c r="C3182" s="9" t="inlineStr">
        <is>
          <t>2026-03-19</t>
        </is>
      </c>
      <c r="D3182" s="9" t="inlineStr">
        <is>
          <t>6701d25048325</t>
        </is>
      </c>
      <c r="E3182" s="9" t="inlineStr">
        <is>
          <t>BOLSO LV LOOP</t>
        </is>
      </c>
      <c r="F3182" s="9" t="inlineStr">
        <is>
          <t>23.5cm de largo x 21cm de alto x 6cm de ancho</t>
        </is>
      </c>
      <c r="G3182" s="9" t="n">
        <v>8</v>
      </c>
      <c r="H3182" s="21" t="n">
        <v>45</v>
      </c>
      <c r="I3182" s="21" t="n">
        <v>1160.19</v>
      </c>
      <c r="J3182" s="21" t="n">
        <v>3480.58</v>
      </c>
      <c r="K3182" s="21" t="n">
        <v>4060.67</v>
      </c>
      <c r="L3182" s="21" t="n">
        <v>4640.77</v>
      </c>
      <c r="M3182" s="21" t="n">
        <v>4060</v>
      </c>
    </row>
    <row r="3183">
      <c r="A3183" s="9" t="inlineStr">
        <is>
          <t>ZOEY</t>
        </is>
      </c>
      <c r="B3183" s="9" t="inlineStr">
        <is>
          <t>ZOEY 19/03/2026</t>
        </is>
      </c>
      <c r="C3183" s="9" t="inlineStr">
        <is>
          <t>2026-03-19</t>
        </is>
      </c>
      <c r="D3183" s="9" t="inlineStr">
        <is>
          <t>89631571079533</t>
        </is>
      </c>
      <c r="E3183" s="9" t="inlineStr">
        <is>
          <t>BOLSO LV TOTE PILLOW BLACK</t>
        </is>
      </c>
      <c r="F3183" s="9" t="inlineStr">
        <is>
          <t>Default Title</t>
        </is>
      </c>
      <c r="G3183" s="9" t="n">
        <v>1</v>
      </c>
      <c r="H3183" s="21" t="n">
        <v>48</v>
      </c>
      <c r="I3183" s="21" t="n">
        <v>1237.54</v>
      </c>
      <c r="J3183" s="21" t="n">
        <v>3712.62</v>
      </c>
      <c r="K3183" s="21" t="n">
        <v>4331.38</v>
      </c>
      <c r="L3183" s="21" t="n">
        <v>4950.15</v>
      </c>
      <c r="M3183" s="21" t="n">
        <v>5090</v>
      </c>
    </row>
    <row r="3184">
      <c r="A3184" s="9" t="inlineStr">
        <is>
          <t>ZOEY</t>
        </is>
      </c>
      <c r="B3184" s="9" t="inlineStr">
        <is>
          <t>ZOEY 19/03/2026</t>
        </is>
      </c>
      <c r="C3184" s="9" t="inlineStr">
        <is>
          <t>2026-03-19</t>
        </is>
      </c>
      <c r="D3184" s="9" t="inlineStr">
        <is>
          <t>17872087535244</t>
        </is>
      </c>
      <c r="E3184" s="9" t="inlineStr">
        <is>
          <t>BOLSO LW ANAGRAM</t>
        </is>
      </c>
      <c r="F3184" s="9" t="inlineStr">
        <is>
          <t>50cm x 26cm x 15cm</t>
        </is>
      </c>
      <c r="G3184" s="9" t="n">
        <v>4</v>
      </c>
      <c r="H3184" s="21" t="n">
        <v>35</v>
      </c>
      <c r="I3184" s="21" t="n">
        <v>902.37</v>
      </c>
      <c r="J3184" s="21" t="n">
        <v>2707.12</v>
      </c>
      <c r="K3184" s="21" t="n">
        <v>3158.3</v>
      </c>
      <c r="L3184" s="21" t="n">
        <v>3609.49</v>
      </c>
      <c r="M3184" s="21" t="n">
        <v>3780</v>
      </c>
    </row>
    <row r="3185">
      <c r="A3185" s="9" t="inlineStr">
        <is>
          <t>ZOEY</t>
        </is>
      </c>
      <c r="B3185" s="9" t="inlineStr">
        <is>
          <t>ZOEY 19/03/2026</t>
        </is>
      </c>
      <c r="C3185" s="9" t="inlineStr">
        <is>
          <t>2026-03-19</t>
        </is>
      </c>
      <c r="D3185" s="9" t="inlineStr">
        <is>
          <t>43728083875724</t>
        </is>
      </c>
      <c r="E3185" s="9" t="inlineStr">
        <is>
          <t>BOLSO MISS D BLACK</t>
        </is>
      </c>
      <c r="F3185" s="9" t="inlineStr">
        <is>
          <t>21.6cm de largo x 12cm de alto x 6.7cm de ancho (REMATE)</t>
        </is>
      </c>
      <c r="G3185" s="9" t="n">
        <v>1</v>
      </c>
      <c r="H3185" s="21" t="n">
        <v>58</v>
      </c>
      <c r="I3185" s="21" t="n">
        <v>1495.36</v>
      </c>
      <c r="J3185" s="21" t="n">
        <v>4486.08</v>
      </c>
      <c r="K3185" s="21" t="n">
        <v>5233.76</v>
      </c>
      <c r="L3185" s="21" t="n">
        <v>5981.44</v>
      </c>
      <c r="M3185" s="21" t="n">
        <v>5239</v>
      </c>
    </row>
    <row r="3186">
      <c r="A3186" s="9" t="inlineStr">
        <is>
          <t>ZOEY</t>
        </is>
      </c>
      <c r="B3186" s="9" t="inlineStr">
        <is>
          <t>ZOEY 19/03/2026</t>
        </is>
      </c>
      <c r="C3186" s="9" t="inlineStr">
        <is>
          <t>2026-03-19</t>
        </is>
      </c>
      <c r="D3186" s="9" t="inlineStr">
        <is>
          <t>6701d2533c12e</t>
        </is>
      </c>
      <c r="E3186" s="9" t="inlineStr">
        <is>
          <t>BOLSO PR BLACK RE-EDITION 2000</t>
        </is>
      </c>
      <c r="F3186" s="9" t="inlineStr">
        <is>
          <t>21cm de largo x 15cm de alto x 6cm de ancho</t>
        </is>
      </c>
      <c r="G3186" s="9" t="n">
        <v>3</v>
      </c>
      <c r="H3186" s="21" t="n">
        <v>39</v>
      </c>
      <c r="I3186" s="21" t="n">
        <v>1005.5</v>
      </c>
      <c r="J3186" s="21" t="n">
        <v>3016.5</v>
      </c>
      <c r="K3186" s="21" t="n">
        <v>3519.25</v>
      </c>
      <c r="L3186" s="21" t="n">
        <v>4022</v>
      </c>
      <c r="M3186" s="21" t="n">
        <v>4139</v>
      </c>
    </row>
    <row r="3187">
      <c r="A3187" s="9" t="inlineStr">
        <is>
          <t>ZOEY</t>
        </is>
      </c>
      <c r="B3187" s="9" t="inlineStr">
        <is>
          <t>ZOEY 19/03/2026</t>
        </is>
      </c>
      <c r="C3187" s="9" t="inlineStr">
        <is>
          <t>2026-03-19</t>
        </is>
      </c>
      <c r="D3187" s="9" t="inlineStr">
        <is>
          <t>648cc614da168</t>
        </is>
      </c>
      <c r="E3187" s="9" t="inlineStr">
        <is>
          <t>BOLSO YSL BLACK</t>
        </is>
      </c>
      <c r="F3187" s="9" t="inlineStr">
        <is>
          <t>24cm x 15cm</t>
        </is>
      </c>
      <c r="G3187" s="9" t="n">
        <v>5</v>
      </c>
      <c r="H3187" s="21" t="n">
        <v>48</v>
      </c>
      <c r="I3187" s="21" t="n">
        <v>1237.54</v>
      </c>
      <c r="J3187" s="21" t="n">
        <v>3712.62</v>
      </c>
      <c r="K3187" s="21" t="n">
        <v>4331.38</v>
      </c>
      <c r="L3187" s="21" t="n">
        <v>4950.15</v>
      </c>
      <c r="M3187" s="21" t="n">
        <v>4332</v>
      </c>
    </row>
    <row r="3188">
      <c r="A3188" s="9" t="inlineStr">
        <is>
          <t>ZOEY</t>
        </is>
      </c>
      <c r="B3188" s="9" t="inlineStr">
        <is>
          <t>ZOEY 19/03/2026</t>
        </is>
      </c>
      <c r="C3188" s="9" t="inlineStr">
        <is>
          <t>2026-03-19</t>
        </is>
      </c>
      <c r="D3188" s="9" t="inlineStr">
        <is>
          <t>87893051058957</t>
        </is>
      </c>
      <c r="E3188" s="9" t="inlineStr">
        <is>
          <t>BOLSO YSL NUDE</t>
        </is>
      </c>
      <c r="F3188" s="9" t="inlineStr">
        <is>
          <t>Default Title</t>
        </is>
      </c>
      <c r="G3188" s="9" t="n">
        <v>2</v>
      </c>
      <c r="H3188" s="21" t="n">
        <v>52</v>
      </c>
      <c r="I3188" s="21" t="n">
        <v>1340.67</v>
      </c>
      <c r="J3188" s="21" t="n">
        <v>4022</v>
      </c>
      <c r="K3188" s="21" t="n">
        <v>4692.33</v>
      </c>
      <c r="L3188" s="21" t="n">
        <v>5362.67</v>
      </c>
      <c r="M3188" s="21" t="n">
        <v>4699</v>
      </c>
    </row>
    <row r="3189">
      <c r="A3189" s="9" t="inlineStr">
        <is>
          <t>ZOEY</t>
        </is>
      </c>
      <c r="B3189" s="9" t="inlineStr">
        <is>
          <t>ZOEY 19/03/2026</t>
        </is>
      </c>
      <c r="C3189" s="9" t="inlineStr">
        <is>
          <t>2026-03-19</t>
        </is>
      </c>
      <c r="D3189" s="9" t="inlineStr">
        <is>
          <t>80380861033869</t>
        </is>
      </c>
      <c r="E3189" s="9" t="inlineStr">
        <is>
          <t>BRAZALETE GC BLONDIE CRISTAL BANGLE GOLD</t>
        </is>
      </c>
      <c r="F3189" s="9" t="inlineStr">
        <is>
          <t>Default Title</t>
        </is>
      </c>
      <c r="G3189" s="9" t="n">
        <v>3</v>
      </c>
      <c r="H3189" s="21" t="n">
        <v>12</v>
      </c>
      <c r="I3189" s="21" t="n">
        <v>309.38</v>
      </c>
      <c r="J3189" s="21" t="n">
        <v>928.15</v>
      </c>
      <c r="K3189" s="21" t="n">
        <v>1082.85</v>
      </c>
      <c r="L3189" s="21" t="n">
        <v>1237.54</v>
      </c>
      <c r="M3189" s="21" t="n">
        <v>1239</v>
      </c>
    </row>
    <row r="3190">
      <c r="A3190" s="9" t="inlineStr">
        <is>
          <t>ZOEY</t>
        </is>
      </c>
      <c r="B3190" s="9" t="inlineStr">
        <is>
          <t>ZOEY 19/03/2026</t>
        </is>
      </c>
      <c r="C3190" s="9" t="inlineStr">
        <is>
          <t>2026-03-19</t>
        </is>
      </c>
      <c r="D3190" s="9" t="inlineStr">
        <is>
          <t>679bf19779a29</t>
        </is>
      </c>
      <c r="E3190" s="9" t="inlineStr">
        <is>
          <t>CALCETÍN A BLACK</t>
        </is>
      </c>
      <c r="F3190" s="9" t="inlineStr">
        <is>
          <t>Default Title</t>
        </is>
      </c>
      <c r="G3190" s="9" t="n">
        <v>11</v>
      </c>
      <c r="H3190" s="21" t="n">
        <v>5</v>
      </c>
      <c r="I3190" s="21" t="n">
        <v>128.91</v>
      </c>
      <c r="J3190" s="21" t="n">
        <v>386.73</v>
      </c>
      <c r="K3190" s="21" t="n">
        <v>451.19</v>
      </c>
      <c r="L3190" s="21" t="n">
        <v>515.64</v>
      </c>
      <c r="M3190" s="21" t="n">
        <v>499</v>
      </c>
    </row>
    <row r="3191">
      <c r="A3191" s="9" t="inlineStr">
        <is>
          <t>ZOEY</t>
        </is>
      </c>
      <c r="B3191" s="9" t="inlineStr">
        <is>
          <t>ZOEY 19/03/2026</t>
        </is>
      </c>
      <c r="C3191" s="9" t="inlineStr">
        <is>
          <t>2026-03-19</t>
        </is>
      </c>
      <c r="D3191" s="9" t="inlineStr">
        <is>
          <t>679bf1982d8ea</t>
        </is>
      </c>
      <c r="E3191" s="9" t="inlineStr">
        <is>
          <t>CALCETÍN A WHITE</t>
        </is>
      </c>
      <c r="F3191" s="9" t="inlineStr">
        <is>
          <t>Default Title</t>
        </is>
      </c>
      <c r="G3191" s="9" t="n">
        <v>3</v>
      </c>
      <c r="H3191" s="21" t="n">
        <v>5</v>
      </c>
      <c r="I3191" s="21" t="n">
        <v>128.91</v>
      </c>
      <c r="J3191" s="21" t="n">
        <v>386.73</v>
      </c>
      <c r="K3191" s="21" t="n">
        <v>451.19</v>
      </c>
      <c r="L3191" s="21" t="n">
        <v>515.64</v>
      </c>
      <c r="M3191" s="21" t="n">
        <v>499</v>
      </c>
    </row>
    <row r="3192">
      <c r="A3192" s="9" t="inlineStr">
        <is>
          <t>ZOEY</t>
        </is>
      </c>
      <c r="B3192" s="9" t="inlineStr">
        <is>
          <t>ZOEY 19/03/2026</t>
        </is>
      </c>
      <c r="C3192" s="9" t="inlineStr">
        <is>
          <t>2026-03-19</t>
        </is>
      </c>
      <c r="D3192" s="9" t="inlineStr">
        <is>
          <t>94758097365260</t>
        </is>
      </c>
      <c r="E3192" s="9" t="inlineStr">
        <is>
          <t>CARTERA G SAINT-MARC GREY</t>
        </is>
      </c>
      <c r="F3192" s="9" t="inlineStr">
        <is>
          <t>11cm x 8cm</t>
        </is>
      </c>
      <c r="G3192" s="9" t="n">
        <v>7</v>
      </c>
      <c r="H3192" s="21" t="n">
        <v>15</v>
      </c>
      <c r="I3192" s="21" t="n">
        <v>386.73</v>
      </c>
      <c r="J3192" s="21" t="n">
        <v>1160.19</v>
      </c>
      <c r="K3192" s="21" t="n">
        <v>1353.56</v>
      </c>
      <c r="L3192" s="21" t="n">
        <v>1546.92</v>
      </c>
      <c r="M3192" s="21" t="n">
        <v>1599</v>
      </c>
    </row>
    <row r="3193">
      <c r="A3193" s="9" t="inlineStr">
        <is>
          <t>ZOEY</t>
        </is>
      </c>
      <c r="B3193" s="9" t="inlineStr">
        <is>
          <t>ZOEY 19/03/2026</t>
        </is>
      </c>
      <c r="C3193" s="9" t="inlineStr">
        <is>
          <t>2026-03-19</t>
        </is>
      </c>
      <c r="D3193" s="9" t="inlineStr">
        <is>
          <t>15565825325196</t>
        </is>
      </c>
      <c r="E3193" s="9" t="inlineStr">
        <is>
          <t>CARTERA GC BI-FOLD</t>
        </is>
      </c>
      <c r="F3193" s="9" t="inlineStr">
        <is>
          <t>9.5cm x 10cm</t>
        </is>
      </c>
      <c r="G3193" s="9" t="n">
        <v>2</v>
      </c>
      <c r="H3193" s="21" t="n">
        <v>18</v>
      </c>
      <c r="I3193" s="21" t="n">
        <v>464.08</v>
      </c>
      <c r="J3193" s="21" t="n">
        <v>1392.23</v>
      </c>
      <c r="K3193" s="21" t="n">
        <v>1624.27</v>
      </c>
      <c r="L3193" s="21" t="n">
        <v>1856.31</v>
      </c>
      <c r="M3193" s="21" t="n">
        <v>1859</v>
      </c>
    </row>
    <row r="3194">
      <c r="A3194" s="9" t="inlineStr">
        <is>
          <t>ZOEY</t>
        </is>
      </c>
      <c r="B3194" s="9" t="inlineStr">
        <is>
          <t>ZOEY 19/03/2026</t>
        </is>
      </c>
      <c r="C3194" s="9" t="inlineStr">
        <is>
          <t>2026-03-19</t>
        </is>
      </c>
      <c r="D3194" s="9" t="inlineStr">
        <is>
          <t>63264441047757</t>
        </is>
      </c>
      <c r="E3194" s="9" t="inlineStr">
        <is>
          <t>COLLAR CD GOLD CON PERLAS</t>
        </is>
      </c>
      <c r="F3194" s="9" t="inlineStr">
        <is>
          <t>Default Title</t>
        </is>
      </c>
      <c r="G3194" s="9" t="n">
        <v>4</v>
      </c>
      <c r="H3194" s="21" t="n">
        <v>9</v>
      </c>
      <c r="I3194" s="21" t="n">
        <v>232.04</v>
      </c>
      <c r="J3194" s="21" t="n">
        <v>696.12</v>
      </c>
      <c r="K3194" s="21" t="n">
        <v>812.13</v>
      </c>
      <c r="L3194" s="21" t="n">
        <v>928.15</v>
      </c>
      <c r="M3194" s="21" t="n">
        <v>959</v>
      </c>
    </row>
    <row r="3195">
      <c r="A3195" s="9" t="inlineStr">
        <is>
          <t>ZOEY</t>
        </is>
      </c>
      <c r="B3195" s="9" t="inlineStr">
        <is>
          <t>ZOEY 19/03/2026</t>
        </is>
      </c>
      <c r="C3195" s="9" t="inlineStr">
        <is>
          <t>2026-03-19</t>
        </is>
      </c>
      <c r="D3195" s="9" t="inlineStr">
        <is>
          <t>43047194886284</t>
        </is>
      </c>
      <c r="E3195" s="9" t="inlineStr">
        <is>
          <t>COLLAR CORAZÓN GOLD</t>
        </is>
      </c>
      <c r="F3195" s="9" t="inlineStr">
        <is>
          <t>40cm con 6.5cm de extensión.</t>
        </is>
      </c>
      <c r="G3195" s="9" t="n">
        <v>12</v>
      </c>
      <c r="H3195" s="21" t="n">
        <v>9</v>
      </c>
      <c r="I3195" s="21" t="n">
        <v>232.04</v>
      </c>
      <c r="J3195" s="21" t="n">
        <v>696.12</v>
      </c>
      <c r="K3195" s="21" t="n">
        <v>812.13</v>
      </c>
      <c r="L3195" s="21" t="n">
        <v>928.15</v>
      </c>
      <c r="M3195" s="21" t="n">
        <v>975</v>
      </c>
    </row>
    <row r="3196">
      <c r="A3196" s="9" t="inlineStr">
        <is>
          <t>ZOEY</t>
        </is>
      </c>
      <c r="B3196" s="9" t="inlineStr">
        <is>
          <t>ZOEY 19/03/2026</t>
        </is>
      </c>
      <c r="C3196" s="9" t="inlineStr">
        <is>
          <t>2026-03-19</t>
        </is>
      </c>
      <c r="D3196" s="9" t="inlineStr">
        <is>
          <t>87084241011085</t>
        </is>
      </c>
      <c r="E3196" s="9" t="inlineStr">
        <is>
          <t>COLLAR F SILVER CON ZIRCONIA</t>
        </is>
      </c>
      <c r="F3196" s="9" t="inlineStr">
        <is>
          <t>Default Title</t>
        </is>
      </c>
      <c r="G3196" s="9" t="n">
        <v>4</v>
      </c>
      <c r="H3196" s="21" t="n">
        <v>9</v>
      </c>
      <c r="I3196" s="21" t="n">
        <v>232.04</v>
      </c>
      <c r="J3196" s="21" t="n">
        <v>696.12</v>
      </c>
      <c r="K3196" s="21" t="n">
        <v>812.13</v>
      </c>
      <c r="L3196" s="21" t="n">
        <v>928.15</v>
      </c>
      <c r="M3196" s="21" t="n">
        <v>928</v>
      </c>
    </row>
    <row r="3197">
      <c r="A3197" s="9" t="inlineStr">
        <is>
          <t>ZOEY</t>
        </is>
      </c>
      <c r="B3197" s="9" t="inlineStr">
        <is>
          <t>ZOEY 19/03/2026</t>
        </is>
      </c>
      <c r="C3197" s="9" t="inlineStr">
        <is>
          <t>2026-03-19</t>
        </is>
      </c>
      <c r="D3197" s="9" t="inlineStr">
        <is>
          <t>78326321018849</t>
        </is>
      </c>
      <c r="E3197" s="9" t="inlineStr">
        <is>
          <t>COLLAR LOVESTRUCK</t>
        </is>
      </c>
      <c r="F3197" s="9" t="inlineStr">
        <is>
          <t>43CM</t>
        </is>
      </c>
      <c r="G3197" s="9" t="n">
        <v>2</v>
      </c>
      <c r="H3197" s="21" t="n">
        <v>8</v>
      </c>
      <c r="I3197" s="21" t="n">
        <v>206.26</v>
      </c>
      <c r="J3197" s="21" t="n">
        <v>618.77</v>
      </c>
      <c r="K3197" s="21" t="n">
        <v>721.9</v>
      </c>
      <c r="L3197" s="21" t="n">
        <v>825.03</v>
      </c>
      <c r="M3197" s="21" t="n">
        <v>899</v>
      </c>
    </row>
    <row r="3198">
      <c r="A3198" s="9" t="inlineStr">
        <is>
          <t>ZOEY</t>
        </is>
      </c>
      <c r="B3198" s="9" t="inlineStr">
        <is>
          <t>ZOEY 19/03/2026</t>
        </is>
      </c>
      <c r="C3198" s="9" t="inlineStr">
        <is>
          <t>2026-03-19</t>
        </is>
      </c>
      <c r="D3198" s="9" t="inlineStr">
        <is>
          <t>3382853668492</t>
        </is>
      </c>
      <c r="E3198" s="9" t="inlineStr">
        <is>
          <t>GORRA C BLACK</t>
        </is>
      </c>
      <c r="F3198" s="9" t="inlineStr">
        <is>
          <t>M (AJUSTABLE)</t>
        </is>
      </c>
      <c r="G3198" s="9" t="n">
        <v>12</v>
      </c>
      <c r="H3198" s="21" t="n">
        <v>18</v>
      </c>
      <c r="I3198" s="21" t="n">
        <v>464.08</v>
      </c>
      <c r="J3198" s="21" t="n">
        <v>1392.23</v>
      </c>
      <c r="K3198" s="21" t="n">
        <v>1624.27</v>
      </c>
      <c r="L3198" s="21" t="n">
        <v>1856.31</v>
      </c>
      <c r="M3198" s="21" t="n">
        <v>1859</v>
      </c>
    </row>
    <row r="3199">
      <c r="A3199" s="9" t="inlineStr">
        <is>
          <t>ZOEY</t>
        </is>
      </c>
      <c r="B3199" s="9" t="inlineStr">
        <is>
          <t>ZOEY 19/03/2026</t>
        </is>
      </c>
      <c r="C3199" s="9" t="inlineStr">
        <is>
          <t>2026-03-19</t>
        </is>
      </c>
      <c r="D3199" s="9" t="inlineStr">
        <is>
          <t>77763960600332</t>
        </is>
      </c>
      <c r="E3199" s="9" t="inlineStr">
        <is>
          <t>PERFUME BACCARAT</t>
        </is>
      </c>
      <c r="F3199" s="9" t="inlineStr">
        <is>
          <t>70ml</t>
        </is>
      </c>
      <c r="G3199" s="9" t="n">
        <v>8</v>
      </c>
      <c r="H3199" s="21" t="n">
        <v>18</v>
      </c>
      <c r="I3199" s="21" t="n">
        <v>464.08</v>
      </c>
      <c r="J3199" s="21" t="n">
        <v>1392.23</v>
      </c>
      <c r="K3199" s="21" t="n">
        <v>1624.27</v>
      </c>
      <c r="L3199" s="21" t="n">
        <v>1856.31</v>
      </c>
      <c r="M3199" s="21" t="n">
        <v>1845</v>
      </c>
    </row>
    <row r="3200">
      <c r="A3200" s="9" t="inlineStr">
        <is>
          <t>ZOEY</t>
        </is>
      </c>
      <c r="B3200" s="9" t="inlineStr">
        <is>
          <t>ZOEY 19/03/2026</t>
        </is>
      </c>
      <c r="C3200" s="9" t="inlineStr">
        <is>
          <t>2026-03-19</t>
        </is>
      </c>
      <c r="D3200" s="9" t="inlineStr">
        <is>
          <t>77763961743628</t>
        </is>
      </c>
      <c r="E3200" s="9" t="inlineStr">
        <is>
          <t>PERFUME SANTAL 33</t>
        </is>
      </c>
      <c r="F3200" s="9" t="inlineStr">
        <is>
          <t>100ml</t>
        </is>
      </c>
      <c r="G3200" s="9" t="n">
        <v>5</v>
      </c>
      <c r="H3200" s="21" t="n">
        <v>18</v>
      </c>
      <c r="I3200" s="21" t="n">
        <v>464.08</v>
      </c>
      <c r="J3200" s="21" t="n">
        <v>1392.23</v>
      </c>
      <c r="K3200" s="21" t="n">
        <v>1624.27</v>
      </c>
      <c r="L3200" s="21" t="n">
        <v>1856.31</v>
      </c>
      <c r="M3200" s="21" t="n">
        <v>1859</v>
      </c>
    </row>
    <row r="3201">
      <c r="A3201" s="9" t="inlineStr">
        <is>
          <t>ZOEY</t>
        </is>
      </c>
      <c r="B3201" s="9" t="inlineStr">
        <is>
          <t>ZOEY 19/03/2026</t>
        </is>
      </c>
      <c r="C3201" s="9" t="inlineStr">
        <is>
          <t>2026-03-19</t>
        </is>
      </c>
      <c r="D3201" s="9" t="inlineStr">
        <is>
          <t>15711173551373</t>
        </is>
      </c>
      <c r="E3201" s="9" t="inlineStr">
        <is>
          <t>PERFUME TF COSTA AZZURRA 100ML</t>
        </is>
      </c>
      <c r="F3201" s="9" t="inlineStr">
        <is>
          <t>Default Title</t>
        </is>
      </c>
      <c r="G3201" s="9" t="n">
        <v>5</v>
      </c>
      <c r="H3201" s="21" t="n">
        <v>18</v>
      </c>
      <c r="I3201" s="21" t="n">
        <v>464.08</v>
      </c>
      <c r="J3201" s="21" t="n">
        <v>1392.23</v>
      </c>
      <c r="K3201" s="21" t="n">
        <v>1624.27</v>
      </c>
      <c r="L3201" s="21" t="n">
        <v>1856.31</v>
      </c>
      <c r="M3201" s="21" t="n">
        <v>1859</v>
      </c>
    </row>
    <row r="3202">
      <c r="A3202" s="9" t="inlineStr">
        <is>
          <t>ZOEY</t>
        </is>
      </c>
      <c r="B3202" s="9" t="inlineStr">
        <is>
          <t>ZOEY 19/03/2026</t>
        </is>
      </c>
      <c r="C3202" s="9" t="inlineStr">
        <is>
          <t>2026-03-19</t>
        </is>
      </c>
      <c r="D3202" s="9" t="inlineStr">
        <is>
          <t>48321439631756</t>
        </is>
      </c>
      <c r="E3202" s="9" t="inlineStr">
        <is>
          <t>PERFUME TF LOST CHERRY</t>
        </is>
      </c>
      <c r="F3202" s="9" t="inlineStr">
        <is>
          <t>100ml</t>
        </is>
      </c>
      <c r="G3202" s="9" t="n">
        <v>4</v>
      </c>
      <c r="H3202" s="21" t="n">
        <v>18</v>
      </c>
      <c r="I3202" s="21" t="n">
        <v>464.08</v>
      </c>
      <c r="J3202" s="21" t="n">
        <v>1392.23</v>
      </c>
      <c r="K3202" s="21" t="n">
        <v>1624.27</v>
      </c>
      <c r="L3202" s="21" t="n">
        <v>1856.31</v>
      </c>
      <c r="M3202" s="21" t="n">
        <v>1910</v>
      </c>
    </row>
    <row r="3203">
      <c r="A3203" s="9" t="inlineStr">
        <is>
          <t>ZOEY</t>
        </is>
      </c>
      <c r="B3203" s="9" t="inlineStr">
        <is>
          <t>ZOEY 19/03/2026</t>
        </is>
      </c>
      <c r="C3203" s="9" t="inlineStr">
        <is>
          <t>2026-03-19</t>
        </is>
      </c>
      <c r="D3203" s="9" t="inlineStr">
        <is>
          <t>15711173666157</t>
        </is>
      </c>
      <c r="E3203" s="9" t="inlineStr">
        <is>
          <t>PERFUME, DELINA EXCLUSIF EAU DE PARFUM, 75 ML</t>
        </is>
      </c>
      <c r="F3203" s="9" t="inlineStr">
        <is>
          <t>Default Title</t>
        </is>
      </c>
      <c r="G3203" s="9" t="n">
        <v>3</v>
      </c>
      <c r="H3203" s="21" t="n">
        <v>18</v>
      </c>
      <c r="I3203" s="21" t="n">
        <v>464.08</v>
      </c>
      <c r="J3203" s="21" t="n">
        <v>1392.23</v>
      </c>
      <c r="K3203" s="21" t="n">
        <v>1624.27</v>
      </c>
      <c r="L3203" s="21" t="n">
        <v>1856.31</v>
      </c>
      <c r="M3203" s="21" t="n">
        <v>1910</v>
      </c>
    </row>
    <row r="3204">
      <c r="A3204" s="9" t="inlineStr">
        <is>
          <t>ZOEY</t>
        </is>
      </c>
      <c r="B3204" s="9" t="inlineStr">
        <is>
          <t>ZOEY 19/03/2026</t>
        </is>
      </c>
      <c r="C3204" s="9" t="inlineStr">
        <is>
          <t>2026-03-19</t>
        </is>
      </c>
      <c r="D3204" s="9" t="inlineStr">
        <is>
          <t>62328733504652</t>
        </is>
      </c>
      <c r="E3204" s="9" t="inlineStr">
        <is>
          <t>PULSERA CD PETIT</t>
        </is>
      </c>
      <c r="F3204" s="9" t="inlineStr">
        <is>
          <t>16cm con 5cm de extensión</t>
        </is>
      </c>
      <c r="G3204" s="9" t="n">
        <v>1</v>
      </c>
      <c r="H3204" s="21" t="n">
        <v>7</v>
      </c>
      <c r="I3204" s="21" t="n">
        <v>180.47</v>
      </c>
      <c r="J3204" s="21" t="n">
        <v>541.42</v>
      </c>
      <c r="K3204" s="21" t="n">
        <v>631.66</v>
      </c>
      <c r="L3204" s="21" t="n">
        <v>721.9</v>
      </c>
      <c r="M3204" s="21" t="n">
        <v>760</v>
      </c>
    </row>
    <row r="3205">
      <c r="A3205" s="9" t="inlineStr">
        <is>
          <t>ZOEY</t>
        </is>
      </c>
      <c r="B3205" s="9" t="inlineStr">
        <is>
          <t>ZOEY 19/03/2026</t>
        </is>
      </c>
      <c r="C3205" s="9" t="inlineStr">
        <is>
          <t>2026-03-19</t>
        </is>
      </c>
      <c r="D3205" s="9" t="inlineStr">
        <is>
          <t>87401991025249</t>
        </is>
      </c>
      <c r="E3205" s="9" t="inlineStr">
        <is>
          <t>PULSERA LOVESTRUCK</t>
        </is>
      </c>
      <c r="F3205" s="9" t="inlineStr">
        <is>
          <t>18 cm</t>
        </is>
      </c>
      <c r="G3205" s="9" t="n">
        <v>5</v>
      </c>
      <c r="H3205" s="21" t="n">
        <v>9</v>
      </c>
      <c r="I3205" s="21" t="n">
        <v>232.04</v>
      </c>
      <c r="J3205" s="21" t="n">
        <v>696.12</v>
      </c>
      <c r="K3205" s="21" t="n">
        <v>812.13</v>
      </c>
      <c r="L3205" s="21" t="n">
        <v>928.15</v>
      </c>
      <c r="M3205" s="21" t="n">
        <v>850</v>
      </c>
    </row>
    <row r="3206">
      <c r="A3206" s="9" t="inlineStr">
        <is>
          <t>ZOEY</t>
        </is>
      </c>
      <c r="B3206" s="9" t="inlineStr">
        <is>
          <t>ZOEY 19/03/2026</t>
        </is>
      </c>
      <c r="C3206" s="9" t="inlineStr">
        <is>
          <t>2026-03-19</t>
        </is>
      </c>
      <c r="D3206" s="9" t="inlineStr">
        <is>
          <t>65332801087437</t>
        </is>
      </c>
      <c r="E3206" s="9" t="inlineStr">
        <is>
          <t>RELOJ PANTHERE GOLD ZIRCONIA</t>
        </is>
      </c>
      <c r="F3206" s="9" t="inlineStr">
        <is>
          <t>Default Title</t>
        </is>
      </c>
      <c r="G3206" s="9" t="n">
        <v>3</v>
      </c>
      <c r="H3206" s="21" t="n">
        <v>60</v>
      </c>
      <c r="I3206" s="21" t="n">
        <v>1546.92</v>
      </c>
      <c r="J3206" s="21" t="n">
        <v>4640.77</v>
      </c>
      <c r="K3206" s="21" t="n">
        <v>5414.23</v>
      </c>
      <c r="L3206" s="21" t="n">
        <v>6187.69</v>
      </c>
      <c r="M3206" s="21" t="n">
        <v>6369</v>
      </c>
    </row>
    <row r="3207">
      <c r="A3207" s="9" t="inlineStr">
        <is>
          <t>ZOEY</t>
        </is>
      </c>
      <c r="B3207" s="9" t="inlineStr">
        <is>
          <t>ZOEY 19/03/2026</t>
        </is>
      </c>
      <c r="C3207" s="9" t="inlineStr">
        <is>
          <t>2026-03-19</t>
        </is>
      </c>
      <c r="D3207" s="9" t="inlineStr">
        <is>
          <t>42283701061581</t>
        </is>
      </c>
      <c r="E3207" s="9" t="inlineStr">
        <is>
          <t>RELOJ TANK CR BLACK GOLD</t>
        </is>
      </c>
      <c r="F3207" s="9" t="inlineStr">
        <is>
          <t>Default Title</t>
        </is>
      </c>
      <c r="G3207" s="9" t="n">
        <v>4</v>
      </c>
      <c r="H3207" s="21" t="n">
        <v>35</v>
      </c>
      <c r="I3207" s="21" t="n">
        <v>902.37</v>
      </c>
      <c r="J3207" s="21" t="n">
        <v>2707.12</v>
      </c>
      <c r="K3207" s="21" t="n">
        <v>3158.3</v>
      </c>
      <c r="L3207" s="21" t="n">
        <v>3609.49</v>
      </c>
      <c r="M3207" s="21" t="n">
        <v>3500</v>
      </c>
    </row>
    <row r="3208">
      <c r="A3208" s="9" t="inlineStr">
        <is>
          <t>ZOEY</t>
        </is>
      </c>
      <c r="B3208" s="9" t="inlineStr">
        <is>
          <t>ZOEY 19/03/2026</t>
        </is>
      </c>
      <c r="C3208" s="9" t="inlineStr">
        <is>
          <t>2026-03-19</t>
        </is>
      </c>
      <c r="D3208" s="9" t="inlineStr">
        <is>
          <t>42834310237836</t>
        </is>
      </c>
      <c r="E3208" s="9" t="inlineStr">
        <is>
          <t>SANDALIAS CD MULE</t>
        </is>
      </c>
      <c r="F3208" s="9" t="inlineStr">
        <is>
          <t>25cm=39</t>
        </is>
      </c>
      <c r="G3208" s="9" t="n">
        <v>3</v>
      </c>
      <c r="H3208" s="21" t="n">
        <v>35</v>
      </c>
      <c r="I3208" s="21" t="n">
        <v>902.37</v>
      </c>
      <c r="J3208" s="21" t="n">
        <v>2707.12</v>
      </c>
      <c r="K3208" s="21" t="n">
        <v>3158.3</v>
      </c>
      <c r="L3208" s="21" t="n">
        <v>3609.49</v>
      </c>
      <c r="M3208" s="21" t="n">
        <v>3719</v>
      </c>
    </row>
    <row r="3209">
      <c r="A3209" s="9" t="inlineStr">
        <is>
          <t>ZOEY</t>
        </is>
      </c>
      <c r="B3209" s="9" t="inlineStr">
        <is>
          <t>ZOEY 19/03/2026</t>
        </is>
      </c>
      <c r="C3209" s="9" t="inlineStr">
        <is>
          <t>2026-03-19</t>
        </is>
      </c>
      <c r="D3209" s="9" t="inlineStr">
        <is>
          <t>57465711014125</t>
        </is>
      </c>
      <c r="E3209" s="9" t="inlineStr">
        <is>
          <t>SET DEPORTIVO LLM CON ESCOTE V PINK</t>
        </is>
      </c>
      <c r="F3209" s="9" t="inlineStr">
        <is>
          <t>S</t>
        </is>
      </c>
      <c r="G3209" s="9" t="n">
        <v>1</v>
      </c>
      <c r="H3209" s="21" t="n">
        <v>25</v>
      </c>
      <c r="I3209" s="21" t="n">
        <v>644.55</v>
      </c>
      <c r="J3209" s="21" t="n">
        <v>1933.65</v>
      </c>
      <c r="K3209" s="21" t="n">
        <v>2255.93</v>
      </c>
      <c r="L3209" s="21" t="n">
        <v>2578.2</v>
      </c>
      <c r="M3209" s="21" t="n">
        <v>2579</v>
      </c>
    </row>
    <row r="3210">
      <c r="A3210" s="9" t="inlineStr">
        <is>
          <t>ZOEY</t>
        </is>
      </c>
      <c r="B3210" s="9" t="inlineStr">
        <is>
          <t>ZOEY 19/03/2026</t>
        </is>
      </c>
      <c r="C3210" s="9" t="inlineStr">
        <is>
          <t>2026-03-19</t>
        </is>
      </c>
      <c r="D3210" s="9" t="inlineStr">
        <is>
          <t>6737d91d66417</t>
        </is>
      </c>
      <c r="E3210" s="9" t="inlineStr">
        <is>
          <t>TARJETERO CD SADDLE</t>
        </is>
      </c>
      <c r="F3210" s="9" t="inlineStr">
        <is>
          <t>11cm de largo x 8cm de Alto</t>
        </is>
      </c>
      <c r="G3210" s="9" t="n">
        <v>10</v>
      </c>
      <c r="H3210" s="21" t="n">
        <v>18</v>
      </c>
      <c r="I3210" s="21" t="n">
        <v>464.08</v>
      </c>
      <c r="J3210" s="21" t="n">
        <v>1392.23</v>
      </c>
      <c r="K3210" s="21" t="n">
        <v>1624.27</v>
      </c>
      <c r="L3210" s="21" t="n">
        <v>1856.31</v>
      </c>
      <c r="M3210" s="21" t="n">
        <v>1859</v>
      </c>
    </row>
    <row r="3211">
      <c r="A3211" s="9" t="inlineStr">
        <is>
          <t>ZOEY</t>
        </is>
      </c>
      <c r="B3211" s="9" t="inlineStr">
        <is>
          <t>ZOEY 19/03/2026</t>
        </is>
      </c>
      <c r="C3211" s="9" t="inlineStr">
        <is>
          <t>2026-03-19</t>
        </is>
      </c>
      <c r="D3211" s="9" t="inlineStr">
        <is>
          <t>43728117034540</t>
        </is>
      </c>
      <c r="E3211" s="9" t="inlineStr">
        <is>
          <t>TARJETERO YSL GOLD</t>
        </is>
      </c>
      <c r="F3211" s="9" t="inlineStr">
        <is>
          <t>HIGH QUALITY</t>
        </is>
      </c>
      <c r="G3211" s="9" t="n">
        <v>8</v>
      </c>
      <c r="H3211" s="21" t="n">
        <v>13</v>
      </c>
      <c r="I3211" s="21" t="n">
        <v>335.17</v>
      </c>
      <c r="J3211" s="21" t="n">
        <v>1005.5</v>
      </c>
      <c r="K3211" s="21" t="n">
        <v>1173.08</v>
      </c>
      <c r="L3211" s="21" t="n">
        <v>1340.67</v>
      </c>
      <c r="M3211" s="21" t="n">
        <v>1399</v>
      </c>
    </row>
    <row r="3212">
      <c r="A3212" s="9" t="inlineStr">
        <is>
          <t>ZOEY</t>
        </is>
      </c>
      <c r="B3212" s="9" t="inlineStr">
        <is>
          <t>ZOEY 19/03/2026</t>
        </is>
      </c>
      <c r="C3212" s="9" t="inlineStr">
        <is>
          <t>2026-03-19</t>
        </is>
      </c>
      <c r="D3212" s="9" t="inlineStr">
        <is>
          <t>10065591106765</t>
        </is>
      </c>
      <c r="E3212" s="9" t="inlineStr">
        <is>
          <t>TRAJE DE BAÑO C TRIOMPHE ALL BLACK</t>
        </is>
      </c>
      <c r="F3212" s="9" t="inlineStr">
        <is>
          <t>M</t>
        </is>
      </c>
      <c r="G3212" s="9" t="n">
        <v>2</v>
      </c>
      <c r="H3212" s="21" t="n">
        <v>25</v>
      </c>
      <c r="I3212" s="21" t="n">
        <v>644.55</v>
      </c>
      <c r="J3212" s="21" t="n">
        <v>1933.65</v>
      </c>
      <c r="K3212" s="21" t="n">
        <v>2255.93</v>
      </c>
      <c r="L3212" s="21" t="n">
        <v>2578.2</v>
      </c>
      <c r="M3212" s="21" t="n">
        <v>2579</v>
      </c>
    </row>
    <row r="3213">
      <c r="A3213" s="9" t="inlineStr">
        <is>
          <t>ZOEY</t>
        </is>
      </c>
      <c r="B3213" s="9" t="inlineStr">
        <is>
          <t>ZOEY 19/03/2026</t>
        </is>
      </c>
      <c r="C3213" s="9" t="inlineStr">
        <is>
          <t>2026-03-19</t>
        </is>
      </c>
      <c r="D3213" s="9" t="inlineStr">
        <is>
          <t>71556651035341</t>
        </is>
      </c>
      <c r="E3213" s="9" t="inlineStr">
        <is>
          <t>TRAJE DE BAÑO CD</t>
        </is>
      </c>
      <c r="F3213" s="9" t="inlineStr">
        <is>
          <t>L</t>
        </is>
      </c>
      <c r="G3213" s="9" t="n">
        <v>2</v>
      </c>
      <c r="H3213" s="21" t="n">
        <v>25</v>
      </c>
      <c r="I3213" s="21" t="n">
        <v>644.55</v>
      </c>
      <c r="J3213" s="21" t="n">
        <v>1933.65</v>
      </c>
      <c r="K3213" s="21" t="n">
        <v>2255.93</v>
      </c>
      <c r="L3213" s="21" t="n">
        <v>2578.2</v>
      </c>
      <c r="M3213" s="21" t="n">
        <v>2659</v>
      </c>
    </row>
    <row r="3214">
      <c r="A3214" s="9" t="inlineStr">
        <is>
          <t>ZOEY</t>
        </is>
      </c>
      <c r="B3214" s="9" t="inlineStr">
        <is>
          <t>ZOEY 19/03/2026</t>
        </is>
      </c>
      <c r="C3214" s="9" t="inlineStr">
        <is>
          <t>2026-03-19</t>
        </is>
      </c>
      <c r="D3214" s="9" t="inlineStr">
        <is>
          <t>10065591348557</t>
        </is>
      </c>
      <c r="E3214" s="9" t="inlineStr">
        <is>
          <t>TRAJE DE BAÑO COMPLETO CD</t>
        </is>
      </c>
      <c r="F3214" s="9" t="inlineStr">
        <is>
          <t>M</t>
        </is>
      </c>
      <c r="G3214" s="9" t="n">
        <v>2</v>
      </c>
      <c r="H3214" s="21" t="n">
        <v>25</v>
      </c>
      <c r="I3214" s="21" t="n">
        <v>644.55</v>
      </c>
      <c r="J3214" s="21" t="n">
        <v>1933.65</v>
      </c>
      <c r="K3214" s="21" t="n">
        <v>2255.93</v>
      </c>
      <c r="L3214" s="21" t="n">
        <v>2578.2</v>
      </c>
      <c r="M3214" s="21" t="n">
        <v>2579</v>
      </c>
    </row>
    <row r="3215">
      <c r="A3215" s="9" t="inlineStr">
        <is>
          <t>ZOEY</t>
        </is>
      </c>
      <c r="B3215" s="9" t="inlineStr">
        <is>
          <t>ZOEY 19/03/2026</t>
        </is>
      </c>
      <c r="C3215" s="9" t="inlineStr">
        <is>
          <t>2026-03-19</t>
        </is>
      </c>
      <c r="D3215" s="9" t="inlineStr">
        <is>
          <t>10065591041229</t>
        </is>
      </c>
      <c r="E3215" s="9" t="inlineStr">
        <is>
          <t>TRAJE DE BAÑO COMPLETO TRIOMPHE</t>
        </is>
      </c>
      <c r="F3215" s="9" t="inlineStr">
        <is>
          <t>M</t>
        </is>
      </c>
      <c r="G3215" s="9" t="n">
        <v>2</v>
      </c>
      <c r="H3215" s="21" t="n">
        <v>25</v>
      </c>
      <c r="I3215" s="21" t="n">
        <v>644.55</v>
      </c>
      <c r="J3215" s="21" t="n">
        <v>1933.65</v>
      </c>
      <c r="K3215" s="21" t="n">
        <v>2255.93</v>
      </c>
      <c r="L3215" s="21" t="n">
        <v>2578.2</v>
      </c>
      <c r="M3215" s="21" t="n">
        <v>2499</v>
      </c>
    </row>
    <row r="3216">
      <c r="A3216" s="9" t="inlineStr">
        <is>
          <t>ZOEY</t>
        </is>
      </c>
      <c r="B3216" s="9" t="inlineStr">
        <is>
          <t>ZOEY 19/03/2026</t>
        </is>
      </c>
      <c r="C3216" s="9" t="inlineStr">
        <is>
          <t>2026-03-19</t>
        </is>
      </c>
      <c r="D3216" s="9" t="inlineStr">
        <is>
          <t>10065591251949</t>
        </is>
      </c>
      <c r="E3216" s="9" t="inlineStr">
        <is>
          <t>TRAJE DE BAÑO GC PINK</t>
        </is>
      </c>
      <c r="F3216" s="9" t="inlineStr">
        <is>
          <t>M</t>
        </is>
      </c>
      <c r="G3216" s="9" t="n">
        <v>2</v>
      </c>
      <c r="H3216" s="21" t="n">
        <v>25</v>
      </c>
      <c r="I3216" s="21" t="n">
        <v>644.55</v>
      </c>
      <c r="J3216" s="21" t="n">
        <v>1933.65</v>
      </c>
      <c r="K3216" s="21" t="n">
        <v>2255.93</v>
      </c>
      <c r="L3216" s="21" t="n">
        <v>2578.2</v>
      </c>
      <c r="M3216" s="21" t="n">
        <v>2579</v>
      </c>
    </row>
    <row r="3217">
      <c r="A3217" s="9" t="inlineStr">
        <is>
          <t>ZOEY</t>
        </is>
      </c>
      <c r="B3217" s="9" t="inlineStr">
        <is>
          <t>ZOEY 19/03/2026</t>
        </is>
      </c>
      <c r="C3217" s="9" t="inlineStr">
        <is>
          <t>2026-03-19</t>
        </is>
      </c>
      <c r="D3217" s="9" t="inlineStr">
        <is>
          <t>72002489673612</t>
        </is>
      </c>
      <c r="E3217" s="9" t="inlineStr">
        <is>
          <t>ZAPATILLAS CL KATE</t>
        </is>
      </c>
      <c r="F3217" s="9" t="inlineStr">
        <is>
          <t>25cm=39</t>
        </is>
      </c>
      <c r="G3217" s="9" t="n">
        <v>1</v>
      </c>
      <c r="H3217" s="21" t="n">
        <v>48</v>
      </c>
      <c r="I3217" s="21" t="n">
        <v>1237.54</v>
      </c>
      <c r="J3217" s="21" t="n">
        <v>3712.62</v>
      </c>
      <c r="K3217" s="21" t="n">
        <v>4331.38</v>
      </c>
      <c r="L3217" s="21" t="n">
        <v>4950.15</v>
      </c>
      <c r="M3217" s="21" t="n">
        <v>4675</v>
      </c>
    </row>
    <row r="3218">
      <c r="A3218" s="9" t="inlineStr">
        <is>
          <t>ZOEY</t>
        </is>
      </c>
      <c r="B3218" s="9" t="inlineStr">
        <is>
          <t>ZOEY 19/03/2026</t>
        </is>
      </c>
      <c r="C3218" s="9" t="inlineStr">
        <is>
          <t>2026-03-19</t>
        </is>
      </c>
      <c r="D3218" s="9" t="inlineStr">
        <is>
          <t>6748bba425e93</t>
        </is>
      </c>
      <c r="E3218" s="9" t="inlineStr">
        <is>
          <t>ZAPATILLAS YSL OPYUM BLACK</t>
        </is>
      </c>
      <c r="F3218" s="9" t="inlineStr">
        <is>
          <t>25cm=39</t>
        </is>
      </c>
      <c r="G3218" s="9" t="n">
        <v>1</v>
      </c>
      <c r="H3218" s="21" t="n">
        <v>65</v>
      </c>
      <c r="I3218" s="21" t="n">
        <v>1675.83</v>
      </c>
      <c r="J3218" s="21" t="n">
        <v>5027.5</v>
      </c>
      <c r="K3218" s="21" t="n">
        <v>5865.42</v>
      </c>
      <c r="L3218" s="21" t="n">
        <v>6703.33</v>
      </c>
      <c r="M3218" s="21" t="n">
        <v>6339</v>
      </c>
    </row>
    <row r="3219">
      <c r="A3219" s="9" t="inlineStr">
        <is>
          <t>ZOEY</t>
        </is>
      </c>
      <c r="B3219" s="9" t="inlineStr">
        <is>
          <t>ZOEY 19/03/2026</t>
        </is>
      </c>
      <c r="C3219" s="9" t="inlineStr">
        <is>
          <t>2026-03-19</t>
        </is>
      </c>
      <c r="D3219" s="9" t="inlineStr">
        <is>
          <t>6748bba38eb40</t>
        </is>
      </c>
      <c r="E3219" s="9" t="inlineStr">
        <is>
          <t>ZAPATILLAS YSL OPYUM BLACK</t>
        </is>
      </c>
      <c r="F3219" s="9" t="inlineStr">
        <is>
          <t>24cm=38</t>
        </is>
      </c>
      <c r="G3219" s="9" t="n">
        <v>2</v>
      </c>
      <c r="H3219" s="21" t="n">
        <v>65</v>
      </c>
      <c r="I3219" s="21" t="n">
        <v>1675.83</v>
      </c>
      <c r="J3219" s="21" t="n">
        <v>5027.5</v>
      </c>
      <c r="K3219" s="21" t="n">
        <v>5865.42</v>
      </c>
      <c r="L3219" s="21" t="n">
        <v>6703.33</v>
      </c>
      <c r="M3219" s="21" t="n">
        <v>6339</v>
      </c>
    </row>
    <row r="3220">
      <c r="A3220" s="9" t="inlineStr">
        <is>
          <t>NANCY</t>
        </is>
      </c>
      <c r="B3220" s="9" t="inlineStr">
        <is>
          <t>NANCY 01/04/2026</t>
        </is>
      </c>
      <c r="C3220" s="9" t="inlineStr">
        <is>
          <t>2026-04-01</t>
        </is>
      </c>
      <c r="D3220" s="9" t="inlineStr">
        <is>
          <t>42981628018828</t>
        </is>
      </c>
      <c r="E3220" s="9" t="inlineStr">
        <is>
          <t>ANILLO BLOSSOM STAR ROSEGOLD</t>
        </is>
      </c>
      <c r="F3220" s="9" t="inlineStr">
        <is>
          <t>Regular</t>
        </is>
      </c>
      <c r="G3220" s="9" t="n">
        <v>3</v>
      </c>
      <c r="H3220" s="21" t="n">
        <v>2.3</v>
      </c>
      <c r="I3220" s="21" t="n">
        <v>55.06</v>
      </c>
      <c r="J3220" s="21" t="n">
        <v>165.19</v>
      </c>
      <c r="K3220" s="21" t="n">
        <v>192.72</v>
      </c>
      <c r="L3220" s="21" t="n">
        <v>220.25</v>
      </c>
      <c r="M3220" s="21" t="n">
        <v>479</v>
      </c>
    </row>
    <row r="3221">
      <c r="A3221" s="9" t="inlineStr">
        <is>
          <t>NANCY</t>
        </is>
      </c>
      <c r="B3221" s="9" t="inlineStr">
        <is>
          <t>NANCY 01/04/2026</t>
        </is>
      </c>
      <c r="C3221" s="9" t="inlineStr">
        <is>
          <t>2026-04-01</t>
        </is>
      </c>
      <c r="D3221" s="9" t="inlineStr">
        <is>
          <t>80464311068525</t>
        </is>
      </c>
      <c r="E3221" s="9" t="inlineStr">
        <is>
          <t>ANILLO CD EVOLUTION</t>
        </is>
      </c>
      <c r="F3221" s="9" t="inlineStr">
        <is>
          <t>6</t>
        </is>
      </c>
      <c r="G3221" s="9" t="n">
        <v>2</v>
      </c>
      <c r="H3221" s="21" t="n">
        <v>2.8</v>
      </c>
      <c r="I3221" s="21" t="n">
        <v>67.03</v>
      </c>
      <c r="J3221" s="21" t="n">
        <v>201.1</v>
      </c>
      <c r="K3221" s="21" t="n">
        <v>234.62</v>
      </c>
      <c r="L3221" s="21" t="n">
        <v>268.13</v>
      </c>
      <c r="M3221" s="21" t="n">
        <v>480</v>
      </c>
    </row>
    <row r="3222">
      <c r="A3222" s="9" t="inlineStr">
        <is>
          <t>NANCY</t>
        </is>
      </c>
      <c r="B3222" s="9" t="inlineStr">
        <is>
          <t>NANCY 01/04/2026</t>
        </is>
      </c>
      <c r="C3222" s="9" t="inlineStr">
        <is>
          <t>2026-04-01</t>
        </is>
      </c>
      <c r="D3222" s="9" t="inlineStr">
        <is>
          <t>56481462591116</t>
        </is>
      </c>
      <c r="E3222" s="9" t="inlineStr">
        <is>
          <t>ANILLO ECROU SILVER</t>
        </is>
      </c>
      <c r="F3222" s="9" t="inlineStr">
        <is>
          <t>7</t>
        </is>
      </c>
      <c r="G3222" s="9" t="n">
        <v>2</v>
      </c>
      <c r="H3222" s="21" t="n">
        <v>3.29</v>
      </c>
      <c r="I3222" s="21" t="n">
        <v>78.76000000000001</v>
      </c>
      <c r="J3222" s="21" t="n">
        <v>236.29</v>
      </c>
      <c r="K3222" s="21" t="n">
        <v>275.67</v>
      </c>
      <c r="L3222" s="21" t="n">
        <v>315.06</v>
      </c>
      <c r="M3222" s="21" t="n">
        <v>560</v>
      </c>
    </row>
    <row r="3223">
      <c r="A3223" s="9" t="inlineStr">
        <is>
          <t>NANCY</t>
        </is>
      </c>
      <c r="B3223" s="9" t="inlineStr">
        <is>
          <t>NANCY 01/04/2026</t>
        </is>
      </c>
      <c r="C3223" s="9" t="inlineStr">
        <is>
          <t>2026-04-01</t>
        </is>
      </c>
      <c r="D3223" s="9" t="inlineStr">
        <is>
          <t>56481462623884</t>
        </is>
      </c>
      <c r="E3223" s="9" t="inlineStr">
        <is>
          <t>ANILLO ECROU SILVER</t>
        </is>
      </c>
      <c r="F3223" s="9" t="inlineStr">
        <is>
          <t>8</t>
        </is>
      </c>
      <c r="G3223" s="9" t="n">
        <v>1</v>
      </c>
      <c r="H3223" s="21" t="n">
        <v>3.29</v>
      </c>
      <c r="I3223" s="21" t="n">
        <v>78.76000000000001</v>
      </c>
      <c r="J3223" s="21" t="n">
        <v>236.29</v>
      </c>
      <c r="K3223" s="21" t="n">
        <v>275.67</v>
      </c>
      <c r="L3223" s="21" t="n">
        <v>315.06</v>
      </c>
      <c r="M3223" s="21" t="n">
        <v>560</v>
      </c>
    </row>
    <row r="3224">
      <c r="A3224" s="9" t="inlineStr">
        <is>
          <t>NANCY</t>
        </is>
      </c>
      <c r="B3224" s="9" t="inlineStr">
        <is>
          <t>NANCY 01/04/2026</t>
        </is>
      </c>
      <c r="C3224" s="9" t="inlineStr">
        <is>
          <t>2026-04-01</t>
        </is>
      </c>
      <c r="D3224" s="9" t="inlineStr">
        <is>
          <t>66593a9c168cf</t>
        </is>
      </c>
      <c r="E3224" s="9" t="inlineStr">
        <is>
          <t>ANILLO KNOT GOLD</t>
        </is>
      </c>
      <c r="F3224" s="9" t="inlineStr">
        <is>
          <t>6</t>
        </is>
      </c>
      <c r="G3224" s="9" t="n">
        <v>1</v>
      </c>
      <c r="H3224" s="21" t="n">
        <v>5.59</v>
      </c>
      <c r="I3224" s="21" t="n">
        <v>133.83</v>
      </c>
      <c r="J3224" s="21" t="n">
        <v>401.48</v>
      </c>
      <c r="K3224" s="21" t="n">
        <v>468.4</v>
      </c>
      <c r="L3224" s="21" t="n">
        <v>535.3099999999999</v>
      </c>
      <c r="M3224" s="21" t="n">
        <v>480</v>
      </c>
    </row>
    <row r="3225">
      <c r="A3225" s="9" t="inlineStr">
        <is>
          <t>NANCY</t>
        </is>
      </c>
      <c r="B3225" s="9" t="inlineStr">
        <is>
          <t>NANCY 01/04/2026</t>
        </is>
      </c>
      <c r="C3225" s="9" t="inlineStr">
        <is>
          <t>2026-04-01</t>
        </is>
      </c>
      <c r="D3225" s="9" t="inlineStr">
        <is>
          <t>66593a9cc1aaa</t>
        </is>
      </c>
      <c r="E3225" s="9" t="inlineStr">
        <is>
          <t>ANILLO KNOT GOLD</t>
        </is>
      </c>
      <c r="F3225" s="9" t="inlineStr">
        <is>
          <t>7</t>
        </is>
      </c>
      <c r="G3225" s="9" t="n">
        <v>1</v>
      </c>
      <c r="H3225" s="21" t="n">
        <v>5.59</v>
      </c>
      <c r="I3225" s="21" t="n">
        <v>133.83</v>
      </c>
      <c r="J3225" s="21" t="n">
        <v>401.48</v>
      </c>
      <c r="K3225" s="21" t="n">
        <v>468.4</v>
      </c>
      <c r="L3225" s="21" t="n">
        <v>535.3099999999999</v>
      </c>
      <c r="M3225" s="21" t="n">
        <v>480</v>
      </c>
    </row>
    <row r="3226">
      <c r="A3226" s="9" t="inlineStr">
        <is>
          <t>NANCY</t>
        </is>
      </c>
      <c r="B3226" s="9" t="inlineStr">
        <is>
          <t>NANCY 01/04/2026</t>
        </is>
      </c>
      <c r="C3226" s="9" t="inlineStr">
        <is>
          <t>2026-04-01</t>
        </is>
      </c>
      <c r="D3226" s="9" t="inlineStr">
        <is>
          <t>42981806637196</t>
        </is>
      </c>
      <c r="E3226" s="9" t="inlineStr">
        <is>
          <t>ANILLO PANTHERE SILVER</t>
        </is>
      </c>
      <c r="F3226" s="9" t="inlineStr">
        <is>
          <t>Default Title</t>
        </is>
      </c>
      <c r="G3226" s="9" t="n">
        <v>1</v>
      </c>
      <c r="H3226" s="21" t="n">
        <v>5.59</v>
      </c>
      <c r="I3226" s="21" t="n">
        <v>133.83</v>
      </c>
      <c r="J3226" s="21" t="n">
        <v>401.48</v>
      </c>
      <c r="K3226" s="21" t="n">
        <v>468.4</v>
      </c>
      <c r="L3226" s="21" t="n">
        <v>535.3099999999999</v>
      </c>
      <c r="M3226" s="21" t="n">
        <v>499</v>
      </c>
    </row>
    <row r="3227">
      <c r="A3227" s="9" t="inlineStr">
        <is>
          <t>NANCY</t>
        </is>
      </c>
      <c r="B3227" s="9" t="inlineStr">
        <is>
          <t>NANCY 01/04/2026</t>
        </is>
      </c>
      <c r="C3227" s="9" t="inlineStr">
        <is>
          <t>2026-04-01</t>
        </is>
      </c>
      <c r="D3227" s="9" t="inlineStr">
        <is>
          <t>66593bd77de70</t>
        </is>
      </c>
      <c r="E3227" s="9" t="inlineStr">
        <is>
          <t>ANILLO PERLEE GOLD</t>
        </is>
      </c>
      <c r="F3227" s="9" t="inlineStr">
        <is>
          <t>7</t>
        </is>
      </c>
      <c r="G3227" s="9" t="n">
        <v>2</v>
      </c>
      <c r="H3227" s="21" t="n">
        <v>5.59</v>
      </c>
      <c r="I3227" s="21" t="n">
        <v>133.83</v>
      </c>
      <c r="J3227" s="21" t="n">
        <v>401.48</v>
      </c>
      <c r="K3227" s="21" t="n">
        <v>468.4</v>
      </c>
      <c r="L3227" s="21" t="n">
        <v>535.3099999999999</v>
      </c>
      <c r="M3227" s="21" t="n">
        <v>499</v>
      </c>
    </row>
    <row r="3228">
      <c r="A3228" s="9" t="inlineStr">
        <is>
          <t>NANCY</t>
        </is>
      </c>
      <c r="B3228" s="9" t="inlineStr">
        <is>
          <t>NANCY 01/04/2026</t>
        </is>
      </c>
      <c r="C3228" s="9" t="inlineStr">
        <is>
          <t>2026-04-01</t>
        </is>
      </c>
      <c r="D3228" s="9" t="inlineStr">
        <is>
          <t>66593be14e8c5</t>
        </is>
      </c>
      <c r="E3228" s="9" t="inlineStr">
        <is>
          <t>ANILLO PERLEE SILVER</t>
        </is>
      </c>
      <c r="F3228" s="9" t="inlineStr">
        <is>
          <t>6</t>
        </is>
      </c>
      <c r="G3228" s="9" t="n">
        <v>1</v>
      </c>
      <c r="H3228" s="21" t="n">
        <v>5.59</v>
      </c>
      <c r="I3228" s="21" t="n">
        <v>133.83</v>
      </c>
      <c r="J3228" s="21" t="n">
        <v>401.48</v>
      </c>
      <c r="K3228" s="21" t="n">
        <v>468.4</v>
      </c>
      <c r="L3228" s="21" t="n">
        <v>535.3099999999999</v>
      </c>
      <c r="M3228" s="21" t="n">
        <v>499</v>
      </c>
    </row>
    <row r="3229">
      <c r="A3229" s="9" t="inlineStr">
        <is>
          <t>NANCY</t>
        </is>
      </c>
      <c r="B3229" s="9" t="inlineStr">
        <is>
          <t>NANCY 01/04/2026</t>
        </is>
      </c>
      <c r="C3229" s="9" t="inlineStr">
        <is>
          <t>2026-04-01</t>
        </is>
      </c>
      <c r="D3229" s="9" t="inlineStr">
        <is>
          <t>665bb4c1438b1</t>
        </is>
      </c>
      <c r="E3229" s="9" t="inlineStr">
        <is>
          <t>ANILLO TREBOL GOLD GREEN</t>
        </is>
      </c>
      <c r="F3229" s="9" t="inlineStr">
        <is>
          <t>7</t>
        </is>
      </c>
      <c r="G3229" s="9" t="n">
        <v>2</v>
      </c>
      <c r="H3229" s="21" t="n">
        <v>5.59</v>
      </c>
      <c r="I3229" s="21" t="n">
        <v>133.83</v>
      </c>
      <c r="J3229" s="21" t="n">
        <v>401.48</v>
      </c>
      <c r="K3229" s="21" t="n">
        <v>468.4</v>
      </c>
      <c r="L3229" s="21" t="n">
        <v>535.3099999999999</v>
      </c>
      <c r="M3229" s="21" t="n">
        <v>499</v>
      </c>
    </row>
    <row r="3230">
      <c r="A3230" s="9" t="inlineStr">
        <is>
          <t>NANCY</t>
        </is>
      </c>
      <c r="B3230" s="9" t="inlineStr">
        <is>
          <t>NANCY 01/04/2026</t>
        </is>
      </c>
      <c r="C3230" s="9" t="inlineStr">
        <is>
          <t>2026-04-01</t>
        </is>
      </c>
      <c r="D3230" s="9" t="inlineStr">
        <is>
          <t>646f84c300fa5</t>
        </is>
      </c>
      <c r="E3230" s="9" t="inlineStr">
        <is>
          <t>ARETES BV GOLD-BLACK</t>
        </is>
      </c>
      <c r="F3230" s="9" t="inlineStr">
        <is>
          <t>0.7cm</t>
        </is>
      </c>
      <c r="G3230" s="9" t="n">
        <v>1</v>
      </c>
      <c r="H3230" s="21" t="n">
        <v>3.69</v>
      </c>
      <c r="I3230" s="21" t="n">
        <v>88.34</v>
      </c>
      <c r="J3230" s="21" t="n">
        <v>265.02</v>
      </c>
      <c r="K3230" s="21" t="n">
        <v>309.19</v>
      </c>
      <c r="L3230" s="21" t="n">
        <v>353.36</v>
      </c>
      <c r="M3230" s="21" t="n">
        <v>450</v>
      </c>
    </row>
    <row r="3231">
      <c r="A3231" s="9" t="inlineStr">
        <is>
          <t>NANCY</t>
        </is>
      </c>
      <c r="B3231" s="9" t="inlineStr">
        <is>
          <t>NANCY 01/04/2026</t>
        </is>
      </c>
      <c r="C3231" s="9" t="inlineStr">
        <is>
          <t>2026-04-01</t>
        </is>
      </c>
      <c r="D3231" s="9" t="inlineStr">
        <is>
          <t>64e78ca71edc7</t>
        </is>
      </c>
      <c r="E3231" s="9" t="inlineStr">
        <is>
          <t>ARETES BV SILVER- WHITE</t>
        </is>
      </c>
      <c r="F3231" s="9" t="inlineStr">
        <is>
          <t>Regular</t>
        </is>
      </c>
      <c r="G3231" s="9" t="n">
        <v>1</v>
      </c>
      <c r="H3231" s="21" t="n">
        <v>3.69</v>
      </c>
      <c r="I3231" s="21" t="n">
        <v>88.34</v>
      </c>
      <c r="J3231" s="21" t="n">
        <v>265.02</v>
      </c>
      <c r="K3231" s="21" t="n">
        <v>309.19</v>
      </c>
      <c r="L3231" s="21" t="n">
        <v>353.36</v>
      </c>
      <c r="M3231" s="21" t="n">
        <v>450</v>
      </c>
    </row>
    <row r="3232">
      <c r="A3232" s="9" t="inlineStr">
        <is>
          <t>NANCY</t>
        </is>
      </c>
      <c r="B3232" s="9" t="inlineStr">
        <is>
          <t>NANCY 01/04/2026</t>
        </is>
      </c>
      <c r="C3232" s="9" t="inlineStr">
        <is>
          <t>2026-04-01</t>
        </is>
      </c>
      <c r="D3232" s="9" t="inlineStr">
        <is>
          <t>22974392232621</t>
        </is>
      </c>
      <c r="E3232" s="9" t="inlineStr">
        <is>
          <t>ARETES CC RESIN PEARL SILVER</t>
        </is>
      </c>
      <c r="F3232" s="9" t="inlineStr">
        <is>
          <t>Default Title</t>
        </is>
      </c>
      <c r="G3232" s="9" t="n">
        <v>2</v>
      </c>
      <c r="H3232" s="21" t="n">
        <v>2.99</v>
      </c>
      <c r="I3232" s="21" t="n">
        <v>71.58</v>
      </c>
      <c r="J3232" s="21" t="n">
        <v>214.75</v>
      </c>
      <c r="K3232" s="21" t="n">
        <v>250.54</v>
      </c>
      <c r="L3232" s="21" t="n">
        <v>286.33</v>
      </c>
      <c r="M3232" s="21" t="n">
        <v>499</v>
      </c>
    </row>
    <row r="3233">
      <c r="A3233" s="9" t="inlineStr">
        <is>
          <t>NANCY</t>
        </is>
      </c>
      <c r="B3233" s="9" t="inlineStr">
        <is>
          <t>NANCY 01/04/2026</t>
        </is>
      </c>
      <c r="C3233" s="9" t="inlineStr">
        <is>
          <t>2026-04-01</t>
        </is>
      </c>
      <c r="D3233" s="9" t="inlineStr">
        <is>
          <t>42981640208524</t>
        </is>
      </c>
      <c r="E3233" s="9" t="inlineStr">
        <is>
          <t>ARETES CD GOLD CON PERLA COLGANTE</t>
        </is>
      </c>
      <c r="F3233" s="9" t="inlineStr">
        <is>
          <t>Default Title</t>
        </is>
      </c>
      <c r="G3233" s="9" t="n">
        <v>10</v>
      </c>
      <c r="H3233" s="21" t="n">
        <v>5.59</v>
      </c>
      <c r="I3233" s="21" t="n">
        <v>133.83</v>
      </c>
      <c r="J3233" s="21" t="n">
        <v>401.48</v>
      </c>
      <c r="K3233" s="21" t="n">
        <v>468.4</v>
      </c>
      <c r="L3233" s="21" t="n">
        <v>535.3099999999999</v>
      </c>
      <c r="M3233" s="21" t="n">
        <v>466</v>
      </c>
    </row>
    <row r="3234">
      <c r="A3234" s="9" t="inlineStr">
        <is>
          <t>NANCY</t>
        </is>
      </c>
      <c r="B3234" s="9" t="inlineStr">
        <is>
          <t>NANCY 01/04/2026</t>
        </is>
      </c>
      <c r="C3234" s="9" t="inlineStr">
        <is>
          <t>2026-04-01</t>
        </is>
      </c>
      <c r="D3234" s="9" t="inlineStr">
        <is>
          <t>668eee447fb3d</t>
        </is>
      </c>
      <c r="E3234" s="9" t="inlineStr">
        <is>
          <t>ARETES DE ESLABONES GOLD MZ</t>
        </is>
      </c>
      <c r="F3234" s="9" t="inlineStr">
        <is>
          <t>High Quality</t>
        </is>
      </c>
      <c r="G3234" s="9" t="n">
        <v>2</v>
      </c>
      <c r="H3234" s="21" t="n">
        <v>5.79</v>
      </c>
      <c r="I3234" s="21" t="n">
        <v>138.62</v>
      </c>
      <c r="J3234" s="21" t="n">
        <v>415.85</v>
      </c>
      <c r="K3234" s="21" t="n">
        <v>485.15</v>
      </c>
      <c r="L3234" s="21" t="n">
        <v>554.46</v>
      </c>
      <c r="M3234" s="21" t="n">
        <v>699</v>
      </c>
    </row>
    <row r="3235">
      <c r="A3235" s="9" t="inlineStr">
        <is>
          <t>NANCY</t>
        </is>
      </c>
      <c r="B3235" s="9" t="inlineStr">
        <is>
          <t>NANCY 01/04/2026</t>
        </is>
      </c>
      <c r="C3235" s="9" t="inlineStr">
        <is>
          <t>2026-04-01</t>
        </is>
      </c>
      <c r="D3235" s="9" t="inlineStr">
        <is>
          <t>43047216775308</t>
        </is>
      </c>
      <c r="E3235" s="9" t="inlineStr">
        <is>
          <t>ARETES ESLABON LISO  GOLD</t>
        </is>
      </c>
      <c r="F3235" s="9" t="inlineStr">
        <is>
          <t>Default Title</t>
        </is>
      </c>
      <c r="G3235" s="9" t="n">
        <v>2</v>
      </c>
      <c r="H3235" s="21" t="n">
        <v>5.79</v>
      </c>
      <c r="I3235" s="21" t="n">
        <v>138.62</v>
      </c>
      <c r="J3235" s="21" t="n">
        <v>415.85</v>
      </c>
      <c r="K3235" s="21" t="n">
        <v>485.15</v>
      </c>
      <c r="L3235" s="21" t="n">
        <v>554.46</v>
      </c>
      <c r="M3235" s="21" t="n">
        <v>650</v>
      </c>
    </row>
    <row r="3236">
      <c r="A3236" s="9" t="inlineStr">
        <is>
          <t>NANCY</t>
        </is>
      </c>
      <c r="B3236" s="9" t="inlineStr">
        <is>
          <t>NANCY 01/04/2026</t>
        </is>
      </c>
      <c r="C3236" s="9" t="inlineStr">
        <is>
          <t>2026-04-01</t>
        </is>
      </c>
      <c r="D3236" s="9" t="inlineStr">
        <is>
          <t>42981553012876</t>
        </is>
      </c>
      <c r="E3236" s="9" t="inlineStr">
        <is>
          <t>ARETES ESSENTIAL LV GOLD</t>
        </is>
      </c>
      <c r="F3236" s="9" t="inlineStr">
        <is>
          <t>Default Title</t>
        </is>
      </c>
      <c r="G3236" s="9" t="n">
        <v>2</v>
      </c>
      <c r="H3236" s="21" t="n">
        <v>5.59</v>
      </c>
      <c r="I3236" s="21" t="n">
        <v>133.83</v>
      </c>
      <c r="J3236" s="21" t="n">
        <v>401.48</v>
      </c>
      <c r="K3236" s="21" t="n">
        <v>468.4</v>
      </c>
      <c r="L3236" s="21" t="n">
        <v>535.3099999999999</v>
      </c>
      <c r="M3236" s="21" t="n">
        <v>499</v>
      </c>
    </row>
    <row r="3237">
      <c r="A3237" s="9" t="inlineStr">
        <is>
          <t>NANCY</t>
        </is>
      </c>
      <c r="B3237" s="9" t="inlineStr">
        <is>
          <t>NANCY 01/04/2026</t>
        </is>
      </c>
      <c r="C3237" s="9" t="inlineStr">
        <is>
          <t>2026-04-01</t>
        </is>
      </c>
      <c r="D3237" s="9" t="inlineStr">
        <is>
          <t>42981569396876</t>
        </is>
      </c>
      <c r="E3237" s="9" t="inlineStr">
        <is>
          <t>ARETES ESSENTIAL LV SILVER</t>
        </is>
      </c>
      <c r="F3237" s="9" t="inlineStr">
        <is>
          <t>Default Title</t>
        </is>
      </c>
      <c r="G3237" s="9" t="n">
        <v>5</v>
      </c>
      <c r="H3237" s="21" t="n">
        <v>5.59</v>
      </c>
      <c r="I3237" s="21" t="n">
        <v>133.83</v>
      </c>
      <c r="J3237" s="21" t="n">
        <v>401.48</v>
      </c>
      <c r="K3237" s="21" t="n">
        <v>468.4</v>
      </c>
      <c r="L3237" s="21" t="n">
        <v>535.3099999999999</v>
      </c>
      <c r="M3237" s="21" t="n">
        <v>499</v>
      </c>
    </row>
    <row r="3238">
      <c r="A3238" s="9" t="inlineStr">
        <is>
          <t>NANCY</t>
        </is>
      </c>
      <c r="B3238" s="9" t="inlineStr">
        <is>
          <t>NANCY 01/04/2026</t>
        </is>
      </c>
      <c r="C3238" s="9" t="inlineStr">
        <is>
          <t>2026-04-01</t>
        </is>
      </c>
      <c r="D3238" s="9" t="inlineStr">
        <is>
          <t>42981998657676</t>
        </is>
      </c>
      <c r="E3238" s="9" t="inlineStr">
        <is>
          <t>ARETES FR GOLD</t>
        </is>
      </c>
      <c r="F3238" s="9" t="inlineStr">
        <is>
          <t>Regular</t>
        </is>
      </c>
      <c r="G3238" s="9" t="n">
        <v>19</v>
      </c>
      <c r="H3238" s="21" t="n">
        <v>5.59</v>
      </c>
      <c r="I3238" s="21" t="n">
        <v>133.83</v>
      </c>
      <c r="J3238" s="21" t="n">
        <v>401.48</v>
      </c>
      <c r="K3238" s="21" t="n">
        <v>468.4</v>
      </c>
      <c r="L3238" s="21" t="n">
        <v>535.3099999999999</v>
      </c>
      <c r="M3238" s="21" t="n">
        <v>499</v>
      </c>
    </row>
    <row r="3239">
      <c r="A3239" s="9" t="inlineStr">
        <is>
          <t>NANCY</t>
        </is>
      </c>
      <c r="B3239" s="9" t="inlineStr">
        <is>
          <t>NANCY 01/04/2026</t>
        </is>
      </c>
      <c r="C3239" s="9" t="inlineStr">
        <is>
          <t>2026-04-01</t>
        </is>
      </c>
      <c r="D3239" s="9" t="inlineStr">
        <is>
          <t>42982006882444</t>
        </is>
      </c>
      <c r="E3239" s="9" t="inlineStr">
        <is>
          <t>ARETES FR GOLD CON PERLA</t>
        </is>
      </c>
      <c r="F3239" s="9" t="inlineStr">
        <is>
          <t>Default Title</t>
        </is>
      </c>
      <c r="G3239" s="9" t="n">
        <v>6</v>
      </c>
      <c r="H3239" s="21" t="n">
        <v>5.59</v>
      </c>
      <c r="I3239" s="21" t="n">
        <v>133.83</v>
      </c>
      <c r="J3239" s="21" t="n">
        <v>401.48</v>
      </c>
      <c r="K3239" s="21" t="n">
        <v>468.4</v>
      </c>
      <c r="L3239" s="21" t="n">
        <v>535.3099999999999</v>
      </c>
      <c r="M3239" s="21" t="n">
        <v>499</v>
      </c>
    </row>
    <row r="3240">
      <c r="A3240" s="9" t="inlineStr">
        <is>
          <t>NANCY</t>
        </is>
      </c>
      <c r="B3240" s="9" t="inlineStr">
        <is>
          <t>NANCY 01/04/2026</t>
        </is>
      </c>
      <c r="C3240" s="9" t="inlineStr">
        <is>
          <t>2026-04-01</t>
        </is>
      </c>
      <c r="D3240" s="9" t="inlineStr">
        <is>
          <t>665bd22d2f1c6</t>
        </is>
      </c>
      <c r="E3240" s="9" t="inlineStr">
        <is>
          <t>ARETES FR GOLD CON ZIRCONIA</t>
        </is>
      </c>
      <c r="F3240" s="9" t="inlineStr">
        <is>
          <t>Regular</t>
        </is>
      </c>
      <c r="G3240" s="9" t="n">
        <v>12</v>
      </c>
      <c r="H3240" s="21" t="n">
        <v>5.59</v>
      </c>
      <c r="I3240" s="21" t="n">
        <v>133.83</v>
      </c>
      <c r="J3240" s="21" t="n">
        <v>401.48</v>
      </c>
      <c r="K3240" s="21" t="n">
        <v>468.4</v>
      </c>
      <c r="L3240" s="21" t="n">
        <v>535.3099999999999</v>
      </c>
      <c r="M3240" s="21" t="n">
        <v>550</v>
      </c>
    </row>
    <row r="3241">
      <c r="A3241" s="9" t="inlineStr">
        <is>
          <t>NANCY</t>
        </is>
      </c>
      <c r="B3241" s="9" t="inlineStr">
        <is>
          <t>NANCY 01/04/2026</t>
        </is>
      </c>
      <c r="C3241" s="9" t="inlineStr">
        <is>
          <t>2026-04-01</t>
        </is>
      </c>
      <c r="D3241" s="9" t="inlineStr">
        <is>
          <t>665bb5192cc3b</t>
        </is>
      </c>
      <c r="E3241" s="9" t="inlineStr">
        <is>
          <t>ARETES LOCK GOLD</t>
        </is>
      </c>
      <c r="F3241" s="9" t="inlineStr">
        <is>
          <t>Default Title</t>
        </is>
      </c>
      <c r="G3241" s="9" t="n">
        <v>1</v>
      </c>
      <c r="H3241" s="21" t="n">
        <v>7.59</v>
      </c>
      <c r="I3241" s="21" t="n">
        <v>181.71</v>
      </c>
      <c r="J3241" s="21" t="n">
        <v>545.13</v>
      </c>
      <c r="K3241" s="21" t="n">
        <v>635.98</v>
      </c>
      <c r="L3241" s="21" t="n">
        <v>726.83</v>
      </c>
      <c r="M3241" s="21" t="n">
        <v>749</v>
      </c>
    </row>
    <row r="3242">
      <c r="A3242" s="9" t="inlineStr">
        <is>
          <t>NANCY</t>
        </is>
      </c>
      <c r="B3242" s="9" t="inlineStr">
        <is>
          <t>NANCY 01/04/2026</t>
        </is>
      </c>
      <c r="C3242" s="9" t="inlineStr">
        <is>
          <t>2026-04-01</t>
        </is>
      </c>
      <c r="D3242" s="9" t="inlineStr">
        <is>
          <t>22974391600461</t>
        </is>
      </c>
      <c r="E3242" s="9" t="inlineStr">
        <is>
          <t>ARETES LV LADY GOLD</t>
        </is>
      </c>
      <c r="F3242" s="9" t="inlineStr">
        <is>
          <t>Default Title</t>
        </is>
      </c>
      <c r="G3242" s="9" t="n">
        <v>2</v>
      </c>
      <c r="H3242" s="21" t="n">
        <v>6.89</v>
      </c>
      <c r="I3242" s="21" t="n">
        <v>164.95</v>
      </c>
      <c r="J3242" s="21" t="n">
        <v>494.85</v>
      </c>
      <c r="K3242" s="21" t="n">
        <v>577.33</v>
      </c>
      <c r="L3242" s="21" t="n">
        <v>659.8</v>
      </c>
      <c r="M3242" s="21" t="n">
        <v>599</v>
      </c>
    </row>
    <row r="3243">
      <c r="A3243" s="9" t="inlineStr">
        <is>
          <t>NANCY</t>
        </is>
      </c>
      <c r="B3243" s="9" t="inlineStr">
        <is>
          <t>NANCY 01/04/2026</t>
        </is>
      </c>
      <c r="C3243" s="9" t="inlineStr">
        <is>
          <t>2026-04-01</t>
        </is>
      </c>
      <c r="D3243" s="9" t="inlineStr">
        <is>
          <t>648cc5b33a8a2</t>
        </is>
      </c>
      <c r="E3243" s="9" t="inlineStr">
        <is>
          <t>ARETES SQUARE V GOLD</t>
        </is>
      </c>
      <c r="F3243" s="9" t="inlineStr">
        <is>
          <t>Small 4cm</t>
        </is>
      </c>
      <c r="G3243" s="9" t="n">
        <v>1</v>
      </c>
      <c r="H3243" s="21" t="n">
        <v>6.59</v>
      </c>
      <c r="I3243" s="21" t="n">
        <v>157.77</v>
      </c>
      <c r="J3243" s="21" t="n">
        <v>473.3</v>
      </c>
      <c r="K3243" s="21" t="n">
        <v>552.1900000000001</v>
      </c>
      <c r="L3243" s="21" t="n">
        <v>631.0700000000001</v>
      </c>
      <c r="M3243" s="21" t="n">
        <v>550</v>
      </c>
    </row>
    <row r="3244">
      <c r="A3244" s="9" t="inlineStr">
        <is>
          <t>NANCY</t>
        </is>
      </c>
      <c r="B3244" s="9" t="inlineStr">
        <is>
          <t>NANCY 01/04/2026</t>
        </is>
      </c>
      <c r="C3244" s="9" t="inlineStr">
        <is>
          <t>2026-04-01</t>
        </is>
      </c>
      <c r="D3244" s="9" t="inlineStr">
        <is>
          <t>64e78c9c19fe7</t>
        </is>
      </c>
      <c r="E3244" s="9" t="inlineStr">
        <is>
          <t>ARETES V CON PERLA COLGANTE</t>
        </is>
      </c>
      <c r="F3244" s="9" t="inlineStr">
        <is>
          <t>Regular</t>
        </is>
      </c>
      <c r="G3244" s="9" t="n">
        <v>2</v>
      </c>
      <c r="H3244" s="21" t="n">
        <v>6.89</v>
      </c>
      <c r="I3244" s="21" t="n">
        <v>164.95</v>
      </c>
      <c r="J3244" s="21" t="n">
        <v>494.85</v>
      </c>
      <c r="K3244" s="21" t="n">
        <v>577.33</v>
      </c>
      <c r="L3244" s="21" t="n">
        <v>659.8</v>
      </c>
      <c r="M3244" s="21" t="n">
        <v>599</v>
      </c>
    </row>
    <row r="3245">
      <c r="A3245" s="9" t="inlineStr">
        <is>
          <t>NANCY</t>
        </is>
      </c>
      <c r="B3245" s="9" t="inlineStr">
        <is>
          <t>NANCY 01/04/2026</t>
        </is>
      </c>
      <c r="C3245" s="9" t="inlineStr">
        <is>
          <t>2026-04-01</t>
        </is>
      </c>
      <c r="D3245" s="9" t="inlineStr">
        <is>
          <t>654bdb2332905</t>
        </is>
      </c>
      <c r="E3245" s="9" t="inlineStr">
        <is>
          <t>ARETES V GOLD</t>
        </is>
      </c>
      <c r="F3245" s="9" t="inlineStr">
        <is>
          <t>Regular</t>
        </is>
      </c>
      <c r="G3245" s="9" t="n">
        <v>11</v>
      </c>
      <c r="H3245" s="21" t="n">
        <v>5.59</v>
      </c>
      <c r="I3245" s="21" t="n">
        <v>133.83</v>
      </c>
      <c r="J3245" s="21" t="n">
        <v>401.48</v>
      </c>
      <c r="K3245" s="21" t="n">
        <v>468.4</v>
      </c>
      <c r="L3245" s="21" t="n">
        <v>535.3099999999999</v>
      </c>
      <c r="M3245" s="21" t="n">
        <v>550</v>
      </c>
    </row>
    <row r="3246">
      <c r="A3246" s="9" t="inlineStr">
        <is>
          <t>NANCY</t>
        </is>
      </c>
      <c r="B3246" s="9" t="inlineStr">
        <is>
          <t>NANCY 01/04/2026</t>
        </is>
      </c>
      <c r="C3246" s="9" t="inlineStr">
        <is>
          <t>2026-04-01</t>
        </is>
      </c>
      <c r="D3246" s="9" t="inlineStr">
        <is>
          <t>22974393035949</t>
        </is>
      </c>
      <c r="E3246" s="9" t="inlineStr">
        <is>
          <t>ARETES V MEDUSA GOLD</t>
        </is>
      </c>
      <c r="F3246" s="9" t="inlineStr">
        <is>
          <t>Default Title</t>
        </is>
      </c>
      <c r="G3246" s="9" t="n">
        <v>2</v>
      </c>
      <c r="H3246" s="21" t="n">
        <v>5.58</v>
      </c>
      <c r="I3246" s="21" t="n">
        <v>133.59</v>
      </c>
      <c r="J3246" s="21" t="n">
        <v>400.76</v>
      </c>
      <c r="K3246" s="21" t="n">
        <v>467.56</v>
      </c>
      <c r="L3246" s="21" t="n">
        <v>534.35</v>
      </c>
      <c r="M3246" s="21" t="n">
        <v>499</v>
      </c>
    </row>
    <row r="3247">
      <c r="A3247" s="9" t="inlineStr">
        <is>
          <t>NANCY</t>
        </is>
      </c>
      <c r="B3247" s="9" t="inlineStr">
        <is>
          <t>NANCY 01/04/2026</t>
        </is>
      </c>
      <c r="C3247" s="9" t="inlineStr">
        <is>
          <t>2026-04-01</t>
        </is>
      </c>
      <c r="D3247" s="9" t="inlineStr">
        <is>
          <t>42981986795660</t>
        </is>
      </c>
      <c r="E3247" s="9" t="inlineStr">
        <is>
          <t>ARETES V ROUND GOLD</t>
        </is>
      </c>
      <c r="F3247" s="9" t="inlineStr">
        <is>
          <t>Regular</t>
        </is>
      </c>
      <c r="G3247" s="9" t="n">
        <v>2</v>
      </c>
      <c r="H3247" s="21" t="n">
        <v>6.29</v>
      </c>
      <c r="I3247" s="21" t="n">
        <v>150.59</v>
      </c>
      <c r="J3247" s="21" t="n">
        <v>451.76</v>
      </c>
      <c r="K3247" s="21" t="n">
        <v>527.05</v>
      </c>
      <c r="L3247" s="21" t="n">
        <v>602.34</v>
      </c>
      <c r="M3247" s="21" t="n">
        <v>550</v>
      </c>
    </row>
    <row r="3248">
      <c r="A3248" s="9" t="inlineStr">
        <is>
          <t>NANCY</t>
        </is>
      </c>
      <c r="B3248" s="9" t="inlineStr">
        <is>
          <t>NANCY 01/04/2026</t>
        </is>
      </c>
      <c r="C3248" s="9" t="inlineStr">
        <is>
          <t>2026-04-01</t>
        </is>
      </c>
      <c r="D3248" s="9" t="inlineStr">
        <is>
          <t>665bb78f1ae43</t>
        </is>
      </c>
      <c r="E3248" s="9" t="inlineStr">
        <is>
          <t>ARETES YSL GOLD CON ZIRCONIA</t>
        </is>
      </c>
      <c r="F3248" s="9" t="inlineStr">
        <is>
          <t>Regular</t>
        </is>
      </c>
      <c r="G3248" s="9" t="n">
        <v>3</v>
      </c>
      <c r="H3248" s="21" t="n">
        <v>6.99</v>
      </c>
      <c r="I3248" s="21" t="n">
        <v>167.34</v>
      </c>
      <c r="J3248" s="21" t="n">
        <v>502.03</v>
      </c>
      <c r="K3248" s="21" t="n">
        <v>585.7</v>
      </c>
      <c r="L3248" s="21" t="n">
        <v>669.38</v>
      </c>
      <c r="M3248" s="21" t="n">
        <v>650</v>
      </c>
    </row>
    <row r="3249">
      <c r="A3249" s="9" t="inlineStr">
        <is>
          <t>NANCY</t>
        </is>
      </c>
      <c r="B3249" s="9" t="inlineStr">
        <is>
          <t>NANCY 01/04/2026</t>
        </is>
      </c>
      <c r="C3249" s="9" t="inlineStr">
        <is>
          <t>2026-04-01</t>
        </is>
      </c>
      <c r="D3249" s="9" t="inlineStr">
        <is>
          <t>22974392766477</t>
        </is>
      </c>
      <c r="E3249" s="9" t="inlineStr">
        <is>
          <t>ARRACADAS CD NEW LOOK GOLD</t>
        </is>
      </c>
      <c r="F3249" s="9" t="inlineStr">
        <is>
          <t>HIGH QUALITY</t>
        </is>
      </c>
      <c r="G3249" s="9" t="n">
        <v>2</v>
      </c>
      <c r="H3249" s="21" t="n">
        <v>6.29</v>
      </c>
      <c r="I3249" s="21" t="n">
        <v>150.59</v>
      </c>
      <c r="J3249" s="21" t="n">
        <v>451.76</v>
      </c>
      <c r="K3249" s="21" t="n">
        <v>527.05</v>
      </c>
      <c r="L3249" s="21" t="n">
        <v>602.34</v>
      </c>
      <c r="M3249" s="21" t="n">
        <v>550</v>
      </c>
    </row>
    <row r="3250">
      <c r="A3250" s="9" t="inlineStr">
        <is>
          <t>NANCY</t>
        </is>
      </c>
      <c r="B3250" s="9" t="inlineStr">
        <is>
          <t>NANCY 01/04/2026</t>
        </is>
      </c>
      <c r="C3250" s="9" t="inlineStr">
        <is>
          <t>2026-04-01</t>
        </is>
      </c>
      <c r="D3250" s="9" t="inlineStr">
        <is>
          <t>22974392487981</t>
        </is>
      </c>
      <c r="E3250" s="9" t="inlineStr">
        <is>
          <t>ARRACADAS GG BLONDIE GOLD</t>
        </is>
      </c>
      <c r="F3250" s="9" t="inlineStr">
        <is>
          <t>Default Title</t>
        </is>
      </c>
      <c r="G3250" s="9" t="n">
        <v>2</v>
      </c>
      <c r="H3250" s="21" t="n">
        <v>5.59</v>
      </c>
      <c r="I3250" s="21" t="n">
        <v>133.83</v>
      </c>
      <c r="J3250" s="21" t="n">
        <v>401.48</v>
      </c>
      <c r="K3250" s="21" t="n">
        <v>468.4</v>
      </c>
      <c r="L3250" s="21" t="n">
        <v>535.3099999999999</v>
      </c>
      <c r="M3250" s="21" t="n">
        <v>499</v>
      </c>
    </row>
    <row r="3251">
      <c r="A3251" s="9" t="inlineStr">
        <is>
          <t>NANCY</t>
        </is>
      </c>
      <c r="B3251" s="9" t="inlineStr">
        <is>
          <t>NANCY 01/04/2026</t>
        </is>
      </c>
      <c r="C3251" s="9" t="inlineStr">
        <is>
          <t>2026-04-01</t>
        </is>
      </c>
      <c r="D3251" s="9" t="inlineStr">
        <is>
          <t>665bb79776b6f-1</t>
        </is>
      </c>
      <c r="E3251" s="9" t="inlineStr">
        <is>
          <t>ARRACADAS NANOGRAMA LV</t>
        </is>
      </c>
      <c r="F3251" s="9" t="inlineStr">
        <is>
          <t>Regular</t>
        </is>
      </c>
      <c r="G3251" s="9" t="n">
        <v>2</v>
      </c>
      <c r="H3251" s="21" t="n">
        <v>5.59</v>
      </c>
      <c r="I3251" s="21" t="n">
        <v>133.83</v>
      </c>
      <c r="J3251" s="21" t="n">
        <v>401.48</v>
      </c>
      <c r="K3251" s="21" t="n">
        <v>468.4</v>
      </c>
      <c r="L3251" s="21" t="n">
        <v>535.3099999999999</v>
      </c>
      <c r="M3251" s="21" t="n">
        <v>480</v>
      </c>
    </row>
    <row r="3252">
      <c r="A3252" s="9" t="inlineStr">
        <is>
          <t>NANCY</t>
        </is>
      </c>
      <c r="B3252" s="9" t="inlineStr">
        <is>
          <t>NANCY 01/04/2026</t>
        </is>
      </c>
      <c r="C3252" s="9" t="inlineStr">
        <is>
          <t>2026-04-01</t>
        </is>
      </c>
      <c r="D3252" s="9" t="inlineStr">
        <is>
          <t>22974392136013</t>
        </is>
      </c>
      <c r="E3252" s="9" t="inlineStr">
        <is>
          <t>BRAZALETE CC WHITE LOGOS</t>
        </is>
      </c>
      <c r="F3252" s="9" t="inlineStr">
        <is>
          <t>Default Title</t>
        </is>
      </c>
      <c r="G3252" s="9" t="n">
        <v>2</v>
      </c>
      <c r="H3252" s="21" t="n">
        <v>7.29</v>
      </c>
      <c r="I3252" s="21" t="n">
        <v>174.53</v>
      </c>
      <c r="J3252" s="21" t="n">
        <v>523.58</v>
      </c>
      <c r="K3252" s="21" t="n">
        <v>610.84</v>
      </c>
      <c r="L3252" s="21" t="n">
        <v>698.11</v>
      </c>
      <c r="M3252" s="21" t="n">
        <v>650</v>
      </c>
    </row>
    <row r="3253">
      <c r="A3253" s="9" t="inlineStr">
        <is>
          <t>NANCY</t>
        </is>
      </c>
      <c r="B3253" s="9" t="inlineStr">
        <is>
          <t>NANCY 01/04/2026</t>
        </is>
      </c>
      <c r="C3253" s="9" t="inlineStr">
        <is>
          <t>2026-04-01</t>
        </is>
      </c>
      <c r="D3253" s="9" t="inlineStr">
        <is>
          <t>22974392600397</t>
        </is>
      </c>
      <c r="E3253" s="9" t="inlineStr">
        <is>
          <t>BRAZALETE CD PETIT MULTI GOLD</t>
        </is>
      </c>
      <c r="F3253" s="9" t="inlineStr">
        <is>
          <t>Default Title</t>
        </is>
      </c>
      <c r="G3253" s="9" t="n">
        <v>2</v>
      </c>
      <c r="H3253" s="21" t="n">
        <v>7.79</v>
      </c>
      <c r="I3253" s="21" t="n">
        <v>186.5</v>
      </c>
      <c r="J3253" s="21" t="n">
        <v>559.49</v>
      </c>
      <c r="K3253" s="21" t="n">
        <v>652.74</v>
      </c>
      <c r="L3253" s="21" t="n">
        <v>745.99</v>
      </c>
      <c r="M3253" s="21" t="n">
        <v>650</v>
      </c>
    </row>
    <row r="3254">
      <c r="A3254" s="9" t="inlineStr">
        <is>
          <t>NANCY</t>
        </is>
      </c>
      <c r="B3254" s="9" t="inlineStr">
        <is>
          <t>NANCY 01/04/2026</t>
        </is>
      </c>
      <c r="C3254" s="9" t="inlineStr">
        <is>
          <t>2026-04-01</t>
        </is>
      </c>
      <c r="D3254" s="9" t="inlineStr">
        <is>
          <t>22974392394765</t>
        </is>
      </c>
      <c r="E3254" s="9" t="inlineStr">
        <is>
          <t>BRAZALETE GG HORSEBIT GOLD</t>
        </is>
      </c>
      <c r="F3254" s="9" t="inlineStr">
        <is>
          <t>Default Title</t>
        </is>
      </c>
      <c r="G3254" s="9" t="n">
        <v>2</v>
      </c>
      <c r="H3254" s="21" t="n">
        <v>5.59</v>
      </c>
      <c r="I3254" s="21" t="n">
        <v>133.83</v>
      </c>
      <c r="J3254" s="21" t="n">
        <v>401.48</v>
      </c>
      <c r="K3254" s="21" t="n">
        <v>468.4</v>
      </c>
      <c r="L3254" s="21" t="n">
        <v>535.3099999999999</v>
      </c>
      <c r="M3254" s="21" t="n">
        <v>599</v>
      </c>
    </row>
    <row r="3255">
      <c r="A3255" s="9" t="inlineStr">
        <is>
          <t>NANCY</t>
        </is>
      </c>
      <c r="B3255" s="9" t="inlineStr">
        <is>
          <t>NANCY 01/04/2026</t>
        </is>
      </c>
      <c r="C3255" s="9" t="inlineStr">
        <is>
          <t>2026-04-01</t>
        </is>
      </c>
      <c r="D3255" s="9" t="inlineStr">
        <is>
          <t>22974391456973</t>
        </is>
      </c>
      <c r="E3255" s="9" t="inlineStr">
        <is>
          <t>BRAZALETE LV EMPREINTE SILVER</t>
        </is>
      </c>
      <c r="F3255" s="9" t="inlineStr">
        <is>
          <t>Default Title</t>
        </is>
      </c>
      <c r="G3255" s="9" t="n">
        <v>2</v>
      </c>
      <c r="H3255" s="21" t="n">
        <v>5.99</v>
      </c>
      <c r="I3255" s="21" t="n">
        <v>143.4</v>
      </c>
      <c r="J3255" s="21" t="n">
        <v>430.21</v>
      </c>
      <c r="K3255" s="21" t="n">
        <v>501.91</v>
      </c>
      <c r="L3255" s="21" t="n">
        <v>573.61</v>
      </c>
      <c r="M3255" s="21" t="n">
        <v>499</v>
      </c>
    </row>
    <row r="3256">
      <c r="A3256" s="9" t="inlineStr">
        <is>
          <t>NANCY</t>
        </is>
      </c>
      <c r="B3256" s="9" t="inlineStr">
        <is>
          <t>NANCY 01/04/2026</t>
        </is>
      </c>
      <c r="C3256" s="9" t="inlineStr">
        <is>
          <t>2026-04-01</t>
        </is>
      </c>
      <c r="D3256" s="9" t="inlineStr">
        <is>
          <t>22974393293549</t>
        </is>
      </c>
      <c r="E3256" s="9" t="inlineStr">
        <is>
          <t>BRAZALETE V B.ZERO1 ALL GOLD</t>
        </is>
      </c>
      <c r="F3256" s="9" t="inlineStr">
        <is>
          <t>Default Title</t>
        </is>
      </c>
      <c r="G3256" s="9" t="n">
        <v>3</v>
      </c>
      <c r="H3256" s="21" t="n">
        <v>5.59</v>
      </c>
      <c r="I3256" s="21" t="n">
        <v>133.83</v>
      </c>
      <c r="J3256" s="21" t="n">
        <v>401.48</v>
      </c>
      <c r="K3256" s="21" t="n">
        <v>468.4</v>
      </c>
      <c r="L3256" s="21" t="n">
        <v>535.3099999999999</v>
      </c>
      <c r="M3256" s="21" t="n">
        <v>499</v>
      </c>
    </row>
    <row r="3257">
      <c r="A3257" s="9" t="inlineStr">
        <is>
          <t>NANCY</t>
        </is>
      </c>
      <c r="B3257" s="9" t="inlineStr">
        <is>
          <t>NANCY 01/04/2026</t>
        </is>
      </c>
      <c r="C3257" s="9" t="inlineStr">
        <is>
          <t>2026-04-01</t>
        </is>
      </c>
      <c r="D3257" s="9" t="inlineStr">
        <is>
          <t>22974393134797</t>
        </is>
      </c>
      <c r="E3257" s="9" t="inlineStr">
        <is>
          <t>BRAZALETE V B.ZERO1 ROSE GOLD</t>
        </is>
      </c>
      <c r="F3257" s="9" t="inlineStr">
        <is>
          <t>Default Title</t>
        </is>
      </c>
      <c r="G3257" s="9" t="n">
        <v>3</v>
      </c>
      <c r="H3257" s="21" t="n">
        <v>5.99</v>
      </c>
      <c r="I3257" s="21" t="n">
        <v>143.4</v>
      </c>
      <c r="J3257" s="21" t="n">
        <v>430.21</v>
      </c>
      <c r="K3257" s="21" t="n">
        <v>501.91</v>
      </c>
      <c r="L3257" s="21" t="n">
        <v>573.61</v>
      </c>
      <c r="M3257" s="21" t="n">
        <v>499</v>
      </c>
    </row>
    <row r="3258">
      <c r="A3258" s="9" t="inlineStr">
        <is>
          <t>NANCY</t>
        </is>
      </c>
      <c r="B3258" s="9" t="inlineStr">
        <is>
          <t>NANCY 01/04/2026</t>
        </is>
      </c>
      <c r="C3258" s="9" t="inlineStr">
        <is>
          <t>2026-04-01</t>
        </is>
      </c>
      <c r="D3258" s="9" t="inlineStr">
        <is>
          <t>6674596a63af2</t>
        </is>
      </c>
      <c r="E3258" s="9" t="inlineStr">
        <is>
          <t>COLLAR 20 TRÉBOLES GOLD BLACK</t>
        </is>
      </c>
      <c r="F3258" s="9" t="inlineStr">
        <is>
          <t>Default Title</t>
        </is>
      </c>
      <c r="G3258" s="9" t="n">
        <v>2</v>
      </c>
      <c r="H3258" s="21" t="n">
        <v>35.59</v>
      </c>
      <c r="I3258" s="21" t="n">
        <v>852.04</v>
      </c>
      <c r="J3258" s="21" t="n">
        <v>2556.13</v>
      </c>
      <c r="K3258" s="21" t="n">
        <v>2982.15</v>
      </c>
      <c r="L3258" s="21" t="n">
        <v>3408.17</v>
      </c>
      <c r="M3258" s="21" t="n">
        <v>2999</v>
      </c>
    </row>
    <row r="3259">
      <c r="A3259" s="9" t="inlineStr">
        <is>
          <t>NANCY</t>
        </is>
      </c>
      <c r="B3259" s="9" t="inlineStr">
        <is>
          <t>NANCY 01/04/2026</t>
        </is>
      </c>
      <c r="C3259" s="9" t="inlineStr">
        <is>
          <t>2026-04-01</t>
        </is>
      </c>
      <c r="D3259" s="9" t="inlineStr">
        <is>
          <t>66b5a7ced89a8</t>
        </is>
      </c>
      <c r="E3259" s="9" t="inlineStr">
        <is>
          <t>COLLAR 20 TRÉBOLES SILVER BLACK</t>
        </is>
      </c>
      <c r="F3259" s="9" t="inlineStr">
        <is>
          <t>Default Title</t>
        </is>
      </c>
      <c r="G3259" s="9" t="n">
        <v>1</v>
      </c>
      <c r="H3259" s="21" t="n">
        <v>35.59</v>
      </c>
      <c r="I3259" s="21" t="n">
        <v>852.04</v>
      </c>
      <c r="J3259" s="21" t="n">
        <v>2556.13</v>
      </c>
      <c r="K3259" s="21" t="n">
        <v>2982.15</v>
      </c>
      <c r="L3259" s="21" t="n">
        <v>3408.17</v>
      </c>
      <c r="M3259" s="21" t="n">
        <v>2999</v>
      </c>
    </row>
    <row r="3260">
      <c r="A3260" s="9" t="inlineStr">
        <is>
          <t>NANCY</t>
        </is>
      </c>
      <c r="B3260" s="9" t="inlineStr">
        <is>
          <t>NANCY 01/04/2026</t>
        </is>
      </c>
      <c r="C3260" s="9" t="inlineStr">
        <is>
          <t>2026-04-01</t>
        </is>
      </c>
      <c r="D3260" s="9" t="inlineStr">
        <is>
          <t>22974391930381</t>
        </is>
      </c>
      <c r="E3260" s="9" t="inlineStr">
        <is>
          <t>COLLAR CC CAMELIA ROSE GOLD</t>
        </is>
      </c>
      <c r="F3260" s="9" t="inlineStr">
        <is>
          <t>Default Title</t>
        </is>
      </c>
      <c r="G3260" s="9" t="n">
        <v>2</v>
      </c>
      <c r="H3260" s="21" t="n">
        <v>8.49</v>
      </c>
      <c r="I3260" s="21" t="n">
        <v>203.25</v>
      </c>
      <c r="J3260" s="21" t="n">
        <v>609.76</v>
      </c>
      <c r="K3260" s="21" t="n">
        <v>711.39</v>
      </c>
      <c r="L3260" s="21" t="n">
        <v>813.02</v>
      </c>
      <c r="M3260" s="21" t="n">
        <v>750</v>
      </c>
    </row>
    <row r="3261">
      <c r="A3261" s="9" t="inlineStr">
        <is>
          <t>NANCY</t>
        </is>
      </c>
      <c r="B3261" s="9" t="inlineStr">
        <is>
          <t>NANCY 01/04/2026</t>
        </is>
      </c>
      <c r="C3261" s="9" t="inlineStr">
        <is>
          <t>2026-04-01</t>
        </is>
      </c>
      <c r="D3261" s="9" t="inlineStr">
        <is>
          <t>66177be17fc51</t>
        </is>
      </c>
      <c r="E3261" s="9" t="inlineStr">
        <is>
          <t>COLLAR CLAVO ROUND GOLD</t>
        </is>
      </c>
      <c r="F3261" s="9" t="inlineStr">
        <is>
          <t>Regular</t>
        </is>
      </c>
      <c r="G3261" s="9" t="n">
        <v>8</v>
      </c>
      <c r="H3261" s="21" t="n">
        <v>7.59</v>
      </c>
      <c r="I3261" s="21" t="n">
        <v>181.71</v>
      </c>
      <c r="J3261" s="21" t="n">
        <v>545.13</v>
      </c>
      <c r="K3261" s="21" t="n">
        <v>635.98</v>
      </c>
      <c r="L3261" s="21" t="n">
        <v>726.83</v>
      </c>
      <c r="M3261" s="21" t="n">
        <v>650</v>
      </c>
    </row>
    <row r="3262">
      <c r="A3262" s="9" t="inlineStr">
        <is>
          <t>NANCY</t>
        </is>
      </c>
      <c r="B3262" s="9" t="inlineStr">
        <is>
          <t>NANCY 01/04/2026</t>
        </is>
      </c>
      <c r="C3262" s="9" t="inlineStr">
        <is>
          <t>2026-04-01</t>
        </is>
      </c>
      <c r="D3262" s="9" t="inlineStr">
        <is>
          <t>66177be046ec0-1</t>
        </is>
      </c>
      <c r="E3262" s="9" t="inlineStr">
        <is>
          <t>COLLAR CLAVO ROUND ROSEGOLD</t>
        </is>
      </c>
      <c r="F3262" s="9" t="inlineStr">
        <is>
          <t>Regular</t>
        </is>
      </c>
      <c r="G3262" s="9" t="n">
        <v>4</v>
      </c>
      <c r="H3262" s="21" t="n">
        <v>7.59</v>
      </c>
      <c r="I3262" s="21" t="n">
        <v>181.71</v>
      </c>
      <c r="J3262" s="21" t="n">
        <v>545.13</v>
      </c>
      <c r="K3262" s="21" t="n">
        <v>635.98</v>
      </c>
      <c r="L3262" s="21" t="n">
        <v>726.83</v>
      </c>
      <c r="M3262" s="21" t="n">
        <v>650</v>
      </c>
    </row>
    <row r="3263">
      <c r="A3263" s="9" t="inlineStr">
        <is>
          <t>NANCY</t>
        </is>
      </c>
      <c r="B3263" s="9" t="inlineStr">
        <is>
          <t>NANCY 01/04/2026</t>
        </is>
      </c>
      <c r="C3263" s="9" t="inlineStr">
        <is>
          <t>2026-04-01</t>
        </is>
      </c>
      <c r="D3263" s="9" t="inlineStr">
        <is>
          <t>43047205240972</t>
        </is>
      </c>
      <c r="E3263" s="9" t="inlineStr">
        <is>
          <t>COLLAR KNOT GOLD</t>
        </is>
      </c>
      <c r="F3263" s="9" t="inlineStr">
        <is>
          <t>Tamaño del dije: 4.5cm  40cm con extensión de 4cm</t>
        </is>
      </c>
      <c r="G3263" s="9" t="n">
        <v>5</v>
      </c>
      <c r="H3263" s="21" t="n">
        <v>5.59</v>
      </c>
      <c r="I3263" s="21" t="n">
        <v>133.83</v>
      </c>
      <c r="J3263" s="21" t="n">
        <v>401.48</v>
      </c>
      <c r="K3263" s="21" t="n">
        <v>468.4</v>
      </c>
      <c r="L3263" s="21" t="n">
        <v>535.3099999999999</v>
      </c>
      <c r="M3263" s="21" t="n">
        <v>550</v>
      </c>
    </row>
    <row r="3264">
      <c r="A3264" s="9" t="inlineStr">
        <is>
          <t>NANCY</t>
        </is>
      </c>
      <c r="B3264" s="9" t="inlineStr">
        <is>
          <t>NANCY 01/04/2026</t>
        </is>
      </c>
      <c r="C3264" s="9" t="inlineStr">
        <is>
          <t>2026-04-01</t>
        </is>
      </c>
      <c r="D3264" s="9" t="inlineStr">
        <is>
          <t>43047205109900</t>
        </is>
      </c>
      <c r="E3264" s="9" t="inlineStr">
        <is>
          <t>COLLAR KNOT ROSEGOLD</t>
        </is>
      </c>
      <c r="F3264" s="9" t="inlineStr">
        <is>
          <t>Tamaño del dije: 4.5cm  40cm con extensión de 4cm</t>
        </is>
      </c>
      <c r="G3264" s="9" t="n">
        <v>2</v>
      </c>
      <c r="H3264" s="21" t="n">
        <v>5.59</v>
      </c>
      <c r="I3264" s="21" t="n">
        <v>133.83</v>
      </c>
      <c r="J3264" s="21" t="n">
        <v>401.48</v>
      </c>
      <c r="K3264" s="21" t="n">
        <v>468.4</v>
      </c>
      <c r="L3264" s="21" t="n">
        <v>535.3099999999999</v>
      </c>
      <c r="M3264" s="21" t="n">
        <v>520</v>
      </c>
    </row>
    <row r="3265">
      <c r="A3265" s="9" t="inlineStr">
        <is>
          <t>NANCY</t>
        </is>
      </c>
      <c r="B3265" s="9" t="inlineStr">
        <is>
          <t>NANCY 01/04/2026</t>
        </is>
      </c>
      <c r="C3265" s="9" t="inlineStr">
        <is>
          <t>2026-04-01</t>
        </is>
      </c>
      <c r="D3265" s="9" t="inlineStr">
        <is>
          <t>42981825511564</t>
        </is>
      </c>
      <c r="E3265" s="9" t="inlineStr">
        <is>
          <t>COLLAR LOCK CON ZIRCONIAS GOLD SILVER</t>
        </is>
      </c>
      <c r="F3265" s="9" t="inlineStr">
        <is>
          <t>Default Title</t>
        </is>
      </c>
      <c r="G3265" s="9" t="n">
        <v>7</v>
      </c>
      <c r="H3265" s="21" t="n">
        <v>5.59</v>
      </c>
      <c r="I3265" s="21" t="n">
        <v>133.83</v>
      </c>
      <c r="J3265" s="21" t="n">
        <v>401.48</v>
      </c>
      <c r="K3265" s="21" t="n">
        <v>468.4</v>
      </c>
      <c r="L3265" s="21" t="n">
        <v>535.3099999999999</v>
      </c>
      <c r="M3265" s="21" t="n">
        <v>750</v>
      </c>
    </row>
    <row r="3266">
      <c r="A3266" s="9" t="inlineStr">
        <is>
          <t>NANCY</t>
        </is>
      </c>
      <c r="B3266" s="9" t="inlineStr">
        <is>
          <t>NANCY 01/04/2026</t>
        </is>
      </c>
      <c r="C3266" s="9" t="inlineStr">
        <is>
          <t>2026-04-01</t>
        </is>
      </c>
      <c r="D3266" s="9" t="inlineStr">
        <is>
          <t>64e78d44e18fa</t>
        </is>
      </c>
      <c r="E3266" s="9" t="inlineStr">
        <is>
          <t>COLLAR LV CON ZIRCONIA GOLD</t>
        </is>
      </c>
      <c r="F3266" s="9" t="inlineStr">
        <is>
          <t>42cm</t>
        </is>
      </c>
      <c r="G3266" s="9" t="n">
        <v>2</v>
      </c>
      <c r="H3266" s="21" t="n">
        <v>6.89</v>
      </c>
      <c r="I3266" s="21" t="n">
        <v>164.95</v>
      </c>
      <c r="J3266" s="21" t="n">
        <v>494.85</v>
      </c>
      <c r="K3266" s="21" t="n">
        <v>577.33</v>
      </c>
      <c r="L3266" s="21" t="n">
        <v>659.8</v>
      </c>
      <c r="M3266" s="21" t="n">
        <v>575</v>
      </c>
    </row>
    <row r="3267">
      <c r="A3267" s="9" t="inlineStr">
        <is>
          <t>NANCY</t>
        </is>
      </c>
      <c r="B3267" s="9" t="inlineStr">
        <is>
          <t>NANCY 01/04/2026</t>
        </is>
      </c>
      <c r="C3267" s="9" t="inlineStr">
        <is>
          <t>2026-04-01</t>
        </is>
      </c>
      <c r="D3267" s="9" t="inlineStr">
        <is>
          <t>64e78caf2dfa6</t>
        </is>
      </c>
      <c r="E3267" s="9" t="inlineStr">
        <is>
          <t>COLLAR LV FLOWER GOLD</t>
        </is>
      </c>
      <c r="F3267" s="9" t="inlineStr">
        <is>
          <t>Default Title</t>
        </is>
      </c>
      <c r="G3267" s="9" t="n">
        <v>4</v>
      </c>
      <c r="H3267" s="21" t="n">
        <v>7.29</v>
      </c>
      <c r="I3267" s="21" t="n">
        <v>174.53</v>
      </c>
      <c r="J3267" s="21" t="n">
        <v>523.58</v>
      </c>
      <c r="K3267" s="21" t="n">
        <v>610.84</v>
      </c>
      <c r="L3267" s="21" t="n">
        <v>698.11</v>
      </c>
      <c r="M3267" s="21" t="n">
        <v>650</v>
      </c>
    </row>
    <row r="3268">
      <c r="A3268" s="9" t="inlineStr">
        <is>
          <t>NANCY</t>
        </is>
      </c>
      <c r="B3268" s="9" t="inlineStr">
        <is>
          <t>NANCY 01/04/2026</t>
        </is>
      </c>
      <c r="C3268" s="9" t="inlineStr">
        <is>
          <t>2026-04-01</t>
        </is>
      </c>
      <c r="D3268" s="9" t="inlineStr">
        <is>
          <t>64e78caeba151</t>
        </is>
      </c>
      <c r="E3268" s="9" t="inlineStr">
        <is>
          <t>COLLAR LV FLOWER ROSE-GOLD</t>
        </is>
      </c>
      <c r="F3268" s="9" t="inlineStr">
        <is>
          <t>Default Title</t>
        </is>
      </c>
      <c r="G3268" s="9" t="n">
        <v>1</v>
      </c>
      <c r="H3268" s="21" t="n">
        <v>7.29</v>
      </c>
      <c r="I3268" s="21" t="n">
        <v>174.53</v>
      </c>
      <c r="J3268" s="21" t="n">
        <v>523.58</v>
      </c>
      <c r="K3268" s="21" t="n">
        <v>610.84</v>
      </c>
      <c r="L3268" s="21" t="n">
        <v>698.11</v>
      </c>
      <c r="M3268" s="21" t="n">
        <v>650</v>
      </c>
    </row>
    <row r="3269">
      <c r="A3269" s="9" t="inlineStr">
        <is>
          <t>NANCY</t>
        </is>
      </c>
      <c r="B3269" s="9" t="inlineStr">
        <is>
          <t>NANCY 01/04/2026</t>
        </is>
      </c>
      <c r="C3269" s="9" t="inlineStr">
        <is>
          <t>2026-04-01</t>
        </is>
      </c>
      <c r="D3269" s="9" t="inlineStr">
        <is>
          <t>64e78caddd20d</t>
        </is>
      </c>
      <c r="E3269" s="9" t="inlineStr">
        <is>
          <t>COLLAR LV FLOWER SILVER</t>
        </is>
      </c>
      <c r="F3269" s="9" t="inlineStr">
        <is>
          <t>Default Title</t>
        </is>
      </c>
      <c r="G3269" s="9" t="n">
        <v>1</v>
      </c>
      <c r="H3269" s="21" t="n">
        <v>7.29</v>
      </c>
      <c r="I3269" s="21" t="n">
        <v>174.53</v>
      </c>
      <c r="J3269" s="21" t="n">
        <v>523.58</v>
      </c>
      <c r="K3269" s="21" t="n">
        <v>610.84</v>
      </c>
      <c r="L3269" s="21" t="n">
        <v>698.11</v>
      </c>
      <c r="M3269" s="21" t="n">
        <v>650</v>
      </c>
    </row>
    <row r="3270">
      <c r="A3270" s="9" t="inlineStr">
        <is>
          <t>NANCY</t>
        </is>
      </c>
      <c r="B3270" s="9" t="inlineStr">
        <is>
          <t>NANCY 01/04/2026</t>
        </is>
      </c>
      <c r="C3270" s="9" t="inlineStr">
        <is>
          <t>2026-04-01</t>
        </is>
      </c>
      <c r="D3270" s="9" t="inlineStr">
        <is>
          <t>22974391120269</t>
        </is>
      </c>
      <c r="E3270" s="9" t="inlineStr">
        <is>
          <t>COLLAR LV GO-SOO GOLD</t>
        </is>
      </c>
      <c r="F3270" s="9" t="inlineStr">
        <is>
          <t>Default Title</t>
        </is>
      </c>
      <c r="G3270" s="9" t="n">
        <v>2</v>
      </c>
      <c r="H3270" s="21" t="n">
        <v>5.59</v>
      </c>
      <c r="I3270" s="21" t="n">
        <v>133.83</v>
      </c>
      <c r="J3270" s="21" t="n">
        <v>401.48</v>
      </c>
      <c r="K3270" s="21" t="n">
        <v>468.4</v>
      </c>
      <c r="L3270" s="21" t="n">
        <v>535.3099999999999</v>
      </c>
      <c r="M3270" s="21" t="n">
        <v>599</v>
      </c>
    </row>
    <row r="3271">
      <c r="A3271" s="9" t="inlineStr">
        <is>
          <t>NANCY</t>
        </is>
      </c>
      <c r="B3271" s="9" t="inlineStr">
        <is>
          <t>NANCY 01/04/2026</t>
        </is>
      </c>
      <c r="C3271" s="9" t="inlineStr">
        <is>
          <t>2026-04-01</t>
        </is>
      </c>
      <c r="D3271" s="9" t="inlineStr">
        <is>
          <t>22974391279021</t>
        </is>
      </c>
      <c r="E3271" s="9" t="inlineStr">
        <is>
          <t>COLLAR LV ICONIC LOUISA SILVER</t>
        </is>
      </c>
      <c r="F3271" s="9" t="inlineStr">
        <is>
          <t>Default Title</t>
        </is>
      </c>
      <c r="G3271" s="9" t="n">
        <v>2</v>
      </c>
      <c r="H3271" s="21" t="n">
        <v>7.99</v>
      </c>
      <c r="I3271" s="21" t="n">
        <v>191.28</v>
      </c>
      <c r="J3271" s="21" t="n">
        <v>573.85</v>
      </c>
      <c r="K3271" s="21" t="n">
        <v>669.5</v>
      </c>
      <c r="L3271" s="21" t="n">
        <v>765.14</v>
      </c>
      <c r="M3271" s="21" t="n">
        <v>699</v>
      </c>
    </row>
    <row r="3272">
      <c r="A3272" s="9" t="inlineStr">
        <is>
          <t>NANCY</t>
        </is>
      </c>
      <c r="B3272" s="9" t="inlineStr">
        <is>
          <t>NANCY 01/04/2026</t>
        </is>
      </c>
      <c r="C3272" s="9" t="inlineStr">
        <is>
          <t>2026-04-01</t>
        </is>
      </c>
      <c r="D3272" s="9" t="inlineStr">
        <is>
          <t>22974391090893</t>
        </is>
      </c>
      <c r="E3272" s="9" t="inlineStr">
        <is>
          <t>COLLAR LV LADY GOLD</t>
        </is>
      </c>
      <c r="F3272" s="9" t="inlineStr">
        <is>
          <t>Default Title</t>
        </is>
      </c>
      <c r="G3272" s="9" t="n">
        <v>2</v>
      </c>
      <c r="H3272" s="21" t="n">
        <v>9.99</v>
      </c>
      <c r="I3272" s="21" t="n">
        <v>239.17</v>
      </c>
      <c r="J3272" s="21" t="n">
        <v>717.5</v>
      </c>
      <c r="K3272" s="21" t="n">
        <v>837.08</v>
      </c>
      <c r="L3272" s="21" t="n">
        <v>956.66</v>
      </c>
      <c r="M3272" s="21" t="n">
        <v>850</v>
      </c>
    </row>
    <row r="3273">
      <c r="A3273" s="9" t="inlineStr">
        <is>
          <t>NANCY</t>
        </is>
      </c>
      <c r="B3273" s="9" t="inlineStr">
        <is>
          <t>NANCY 01/04/2026</t>
        </is>
      </c>
      <c r="C3273" s="9" t="inlineStr">
        <is>
          <t>2026-04-01</t>
        </is>
      </c>
      <c r="D3273" s="9" t="inlineStr">
        <is>
          <t>56481497298188</t>
        </is>
      </c>
      <c r="E3273" s="9" t="inlineStr">
        <is>
          <t>COLLAR LV OMBRE</t>
        </is>
      </c>
      <c r="F3273" s="9" t="inlineStr">
        <is>
          <t>39cm con extensión de 5cm</t>
        </is>
      </c>
      <c r="G3273" s="9" t="n">
        <v>1</v>
      </c>
      <c r="H3273" s="21" t="n">
        <v>6.59</v>
      </c>
      <c r="I3273" s="21" t="n">
        <v>157.77</v>
      </c>
      <c r="J3273" s="21" t="n">
        <v>473.3</v>
      </c>
      <c r="K3273" s="21" t="n">
        <v>552.1900000000001</v>
      </c>
      <c r="L3273" s="21" t="n">
        <v>631.0700000000001</v>
      </c>
      <c r="M3273" s="21" t="n">
        <v>550</v>
      </c>
    </row>
    <row r="3274">
      <c r="A3274" s="9" t="inlineStr">
        <is>
          <t>NANCY</t>
        </is>
      </c>
      <c r="B3274" s="9" t="inlineStr">
        <is>
          <t>NANCY 01/04/2026</t>
        </is>
      </c>
      <c r="C3274" s="9" t="inlineStr">
        <is>
          <t>2026-04-01</t>
        </is>
      </c>
      <c r="D3274" s="9" t="inlineStr">
        <is>
          <t>42981966872716</t>
        </is>
      </c>
      <c r="E3274" s="9" t="inlineStr">
        <is>
          <t>COLLAR POP H GOLD BLACK</t>
        </is>
      </c>
      <c r="F3274" s="9" t="inlineStr">
        <is>
          <t>MEDIUM QUALITY</t>
        </is>
      </c>
      <c r="G3274" s="9" t="n">
        <v>1</v>
      </c>
      <c r="H3274" s="21" t="n">
        <v>3.99</v>
      </c>
      <c r="I3274" s="21" t="n">
        <v>95.52</v>
      </c>
      <c r="J3274" s="21" t="n">
        <v>286.57</v>
      </c>
      <c r="K3274" s="21" t="n">
        <v>334.33</v>
      </c>
      <c r="L3274" s="21" t="n">
        <v>382.09</v>
      </c>
      <c r="M3274" s="21" t="n">
        <v>499</v>
      </c>
    </row>
    <row r="3275">
      <c r="A3275" s="9" t="inlineStr">
        <is>
          <t>NANCY</t>
        </is>
      </c>
      <c r="B3275" s="9" t="inlineStr">
        <is>
          <t>NANCY 01/04/2026</t>
        </is>
      </c>
      <c r="C3275" s="9" t="inlineStr">
        <is>
          <t>2026-04-01</t>
        </is>
      </c>
      <c r="D3275" s="9" t="inlineStr">
        <is>
          <t>42981964578956</t>
        </is>
      </c>
      <c r="E3275" s="9" t="inlineStr">
        <is>
          <t>COLLAR POP H SILVER BLACK</t>
        </is>
      </c>
      <c r="F3275" s="9" t="inlineStr">
        <is>
          <t>MEDIUM QUALITY</t>
        </is>
      </c>
      <c r="G3275" s="9" t="n">
        <v>3</v>
      </c>
      <c r="H3275" s="21" t="n">
        <v>3.99</v>
      </c>
      <c r="I3275" s="21" t="n">
        <v>95.52</v>
      </c>
      <c r="J3275" s="21" t="n">
        <v>286.57</v>
      </c>
      <c r="K3275" s="21" t="n">
        <v>334.33</v>
      </c>
      <c r="L3275" s="21" t="n">
        <v>382.09</v>
      </c>
      <c r="M3275" s="21" t="n">
        <v>499</v>
      </c>
    </row>
    <row r="3276">
      <c r="A3276" s="9" t="inlineStr">
        <is>
          <t>NANCY</t>
        </is>
      </c>
      <c r="B3276" s="9" t="inlineStr">
        <is>
          <t>NANCY 01/04/2026</t>
        </is>
      </c>
      <c r="C3276" s="9" t="inlineStr">
        <is>
          <t>2026-04-01</t>
        </is>
      </c>
      <c r="D3276" s="9" t="inlineStr">
        <is>
          <t>648cc5ff73cd7</t>
        </is>
      </c>
      <c r="E3276" s="9" t="inlineStr">
        <is>
          <t>COLLAR YSL GOLD</t>
        </is>
      </c>
      <c r="F3276" s="9" t="inlineStr">
        <is>
          <t>20cm HIGH QUALITY</t>
        </is>
      </c>
      <c r="G3276" s="9" t="n">
        <v>5</v>
      </c>
      <c r="H3276" s="21" t="n">
        <v>6.29</v>
      </c>
      <c r="I3276" s="21" t="n">
        <v>150.59</v>
      </c>
      <c r="J3276" s="21" t="n">
        <v>451.76</v>
      </c>
      <c r="K3276" s="21" t="n">
        <v>527.05</v>
      </c>
      <c r="L3276" s="21" t="n">
        <v>602.34</v>
      </c>
      <c r="M3276" s="21" t="n">
        <v>550</v>
      </c>
    </row>
    <row r="3277">
      <c r="A3277" s="9" t="inlineStr">
        <is>
          <t>NANCY</t>
        </is>
      </c>
      <c r="B3277" s="9" t="inlineStr">
        <is>
          <t>NANCY 01/04/2026</t>
        </is>
      </c>
      <c r="C3277" s="9" t="inlineStr">
        <is>
          <t>2026-04-01</t>
        </is>
      </c>
      <c r="D3277" s="9" t="inlineStr">
        <is>
          <t>22974392517357</t>
        </is>
      </c>
      <c r="E3277" s="9" t="inlineStr">
        <is>
          <t>GARGANTILLA CD BLACK</t>
        </is>
      </c>
      <c r="F3277" s="9" t="inlineStr">
        <is>
          <t>Default Title</t>
        </is>
      </c>
      <c r="G3277" s="9" t="n">
        <v>2</v>
      </c>
      <c r="H3277" s="21" t="n">
        <v>5.59</v>
      </c>
      <c r="I3277" s="21" t="n">
        <v>133.83</v>
      </c>
      <c r="J3277" s="21" t="n">
        <v>401.48</v>
      </c>
      <c r="K3277" s="21" t="n">
        <v>468.4</v>
      </c>
      <c r="L3277" s="21" t="n">
        <v>535.3099999999999</v>
      </c>
      <c r="M3277" s="21" t="n">
        <v>499</v>
      </c>
    </row>
    <row r="3278">
      <c r="A3278" s="9" t="inlineStr">
        <is>
          <t>NANCY</t>
        </is>
      </c>
      <c r="B3278" s="9" t="inlineStr">
        <is>
          <t>NANCY 01/04/2026</t>
        </is>
      </c>
      <c r="C3278" s="9" t="inlineStr">
        <is>
          <t>2026-04-01</t>
        </is>
      </c>
      <c r="D3278" s="9" t="inlineStr">
        <is>
          <t>63ebdc0092a53</t>
        </is>
      </c>
      <c r="E3278" s="9" t="inlineStr">
        <is>
          <t>GARGANTILLA TRÉBOL GOLD</t>
        </is>
      </c>
      <c r="F3278" s="9" t="inlineStr">
        <is>
          <t>47cm</t>
        </is>
      </c>
      <c r="G3278" s="9" t="n">
        <v>2</v>
      </c>
      <c r="H3278" s="21" t="n">
        <v>16.59</v>
      </c>
      <c r="I3278" s="21" t="n">
        <v>397.17</v>
      </c>
      <c r="J3278" s="21" t="n">
        <v>1191.52</v>
      </c>
      <c r="K3278" s="21" t="n">
        <v>1390.11</v>
      </c>
      <c r="L3278" s="21" t="n">
        <v>1588.69</v>
      </c>
      <c r="M3278" s="21" t="n">
        <v>1850</v>
      </c>
    </row>
    <row r="3279">
      <c r="A3279" s="9" t="inlineStr">
        <is>
          <t>NANCY</t>
        </is>
      </c>
      <c r="B3279" s="9" t="inlineStr">
        <is>
          <t>NANCY 01/04/2026</t>
        </is>
      </c>
      <c r="C3279" s="9" t="inlineStr">
        <is>
          <t>2026-04-01</t>
        </is>
      </c>
      <c r="D3279" s="9" t="inlineStr">
        <is>
          <t>22974392089133</t>
        </is>
      </c>
      <c r="E3279" s="9" t="inlineStr">
        <is>
          <t>PULSERA CC COMETE GEODE SILVER</t>
        </is>
      </c>
      <c r="F3279" s="9" t="inlineStr">
        <is>
          <t>Default Title</t>
        </is>
      </c>
      <c r="G3279" s="9" t="n">
        <v>2</v>
      </c>
      <c r="H3279" s="21" t="n">
        <v>6.29</v>
      </c>
      <c r="I3279" s="21" t="n">
        <v>150.59</v>
      </c>
      <c r="J3279" s="21" t="n">
        <v>451.76</v>
      </c>
      <c r="K3279" s="21" t="n">
        <v>527.05</v>
      </c>
      <c r="L3279" s="21" t="n">
        <v>602.34</v>
      </c>
      <c r="M3279" s="21" t="n">
        <v>550</v>
      </c>
    </row>
    <row r="3280">
      <c r="A3280" s="9" t="inlineStr">
        <is>
          <t>NANCY</t>
        </is>
      </c>
      <c r="B3280" s="9" t="inlineStr">
        <is>
          <t>NANCY 01/04/2026</t>
        </is>
      </c>
      <c r="C3280" s="9" t="inlineStr">
        <is>
          <t>2026-04-01</t>
        </is>
      </c>
      <c r="D3280" s="9" t="inlineStr">
        <is>
          <t>29857041083437</t>
        </is>
      </c>
      <c r="E3280" s="9" t="inlineStr">
        <is>
          <t>PULSERA CHROMES</t>
        </is>
      </c>
      <c r="F3280" s="9" t="inlineStr">
        <is>
          <t>Default Title</t>
        </is>
      </c>
      <c r="G3280" s="9" t="n">
        <v>4</v>
      </c>
      <c r="H3280" s="21" t="n">
        <v>6.59</v>
      </c>
      <c r="I3280" s="21" t="n">
        <v>157.77</v>
      </c>
      <c r="J3280" s="21" t="n">
        <v>473.3</v>
      </c>
      <c r="K3280" s="21" t="n">
        <v>552.1900000000001</v>
      </c>
      <c r="L3280" s="21" t="n">
        <v>631.0700000000001</v>
      </c>
      <c r="M3280" s="21" t="n">
        <v>550</v>
      </c>
    </row>
    <row r="3281">
      <c r="A3281" s="9" t="inlineStr">
        <is>
          <t>NANCY</t>
        </is>
      </c>
      <c r="B3281" s="9" t="inlineStr">
        <is>
          <t>NANCY 01/04/2026</t>
        </is>
      </c>
      <c r="C3281" s="9" t="inlineStr">
        <is>
          <t>2026-04-01</t>
        </is>
      </c>
      <c r="D3281" s="9" t="inlineStr">
        <is>
          <t>63e0c0ed991c0</t>
        </is>
      </c>
      <c r="E3281" s="9" t="inlineStr">
        <is>
          <t>PULSERA CLAVO GOLD</t>
        </is>
      </c>
      <c r="F3281" s="9" t="inlineStr">
        <is>
          <t>17 cm</t>
        </is>
      </c>
      <c r="G3281" s="9" t="n">
        <v>8</v>
      </c>
      <c r="H3281" s="21" t="n">
        <v>2.99</v>
      </c>
      <c r="I3281" s="21" t="n">
        <v>71.58</v>
      </c>
      <c r="J3281" s="21" t="n">
        <v>214.75</v>
      </c>
      <c r="K3281" s="21" t="n">
        <v>250.54</v>
      </c>
      <c r="L3281" s="21" t="n">
        <v>286.33</v>
      </c>
      <c r="M3281" s="21" t="n">
        <v>450</v>
      </c>
    </row>
    <row r="3282">
      <c r="A3282" s="9" t="inlineStr">
        <is>
          <t>NANCY</t>
        </is>
      </c>
      <c r="B3282" s="9" t="inlineStr">
        <is>
          <t>NANCY 01/04/2026</t>
        </is>
      </c>
      <c r="C3282" s="9" t="inlineStr">
        <is>
          <t>2026-04-01</t>
        </is>
      </c>
      <c r="D3282" s="9" t="inlineStr">
        <is>
          <t>63e0c0ee76103</t>
        </is>
      </c>
      <c r="E3282" s="9" t="inlineStr">
        <is>
          <t>PULSERA CLAVO GOLD</t>
        </is>
      </c>
      <c r="F3282" s="9" t="inlineStr">
        <is>
          <t>19 cm</t>
        </is>
      </c>
      <c r="G3282" s="9" t="n">
        <v>6</v>
      </c>
      <c r="H3282" s="21" t="n">
        <v>2.99</v>
      </c>
      <c r="I3282" s="21" t="n">
        <v>71.58</v>
      </c>
      <c r="J3282" s="21" t="n">
        <v>214.75</v>
      </c>
      <c r="K3282" s="21" t="n">
        <v>250.54</v>
      </c>
      <c r="L3282" s="21" t="n">
        <v>286.33</v>
      </c>
      <c r="M3282" s="21" t="n">
        <v>450</v>
      </c>
    </row>
    <row r="3283">
      <c r="A3283" s="9" t="inlineStr">
        <is>
          <t>NANCY</t>
        </is>
      </c>
      <c r="B3283" s="9" t="inlineStr">
        <is>
          <t>NANCY 01/04/2026</t>
        </is>
      </c>
      <c r="C3283" s="9" t="inlineStr">
        <is>
          <t>2026-04-01</t>
        </is>
      </c>
      <c r="D3283" s="9" t="inlineStr">
        <is>
          <t>63e0c0e97703d</t>
        </is>
      </c>
      <c r="E3283" s="9" t="inlineStr">
        <is>
          <t>PULSERA CLAVO GOLD DELGADA</t>
        </is>
      </c>
      <c r="F3283" s="9" t="inlineStr">
        <is>
          <t>16cm</t>
        </is>
      </c>
      <c r="G3283" s="9" t="n">
        <v>4</v>
      </c>
      <c r="H3283" s="21" t="n">
        <v>2.99</v>
      </c>
      <c r="I3283" s="21" t="n">
        <v>71.58</v>
      </c>
      <c r="J3283" s="21" t="n">
        <v>214.75</v>
      </c>
      <c r="K3283" s="21" t="n">
        <v>250.54</v>
      </c>
      <c r="L3283" s="21" t="n">
        <v>286.33</v>
      </c>
      <c r="M3283" s="21" t="n">
        <v>550</v>
      </c>
    </row>
    <row r="3284">
      <c r="A3284" s="9" t="inlineStr">
        <is>
          <t>NANCY</t>
        </is>
      </c>
      <c r="B3284" s="9" t="inlineStr">
        <is>
          <t>NANCY 01/04/2026</t>
        </is>
      </c>
      <c r="C3284" s="9" t="inlineStr">
        <is>
          <t>2026-04-01</t>
        </is>
      </c>
      <c r="D3284" s="9" t="inlineStr">
        <is>
          <t>63e0c0e97703d</t>
        </is>
      </c>
      <c r="E3284" s="9" t="inlineStr">
        <is>
          <t>PULSERA CLAVO GOLD DELGADA</t>
        </is>
      </c>
      <c r="F3284" s="9" t="inlineStr">
        <is>
          <t>16cm</t>
        </is>
      </c>
      <c r="G3284" s="9" t="n">
        <v>5</v>
      </c>
      <c r="H3284" s="21" t="n">
        <v>1.5</v>
      </c>
      <c r="I3284" s="21" t="n">
        <v>35.91</v>
      </c>
      <c r="J3284" s="21" t="n">
        <v>107.73</v>
      </c>
      <c r="K3284" s="21" t="n">
        <v>125.69</v>
      </c>
      <c r="L3284" s="21" t="n">
        <v>143.64</v>
      </c>
      <c r="M3284" s="21" t="n">
        <v>550</v>
      </c>
    </row>
    <row r="3285">
      <c r="A3285" s="9" t="inlineStr">
        <is>
          <t>NANCY</t>
        </is>
      </c>
      <c r="B3285" s="9" t="inlineStr">
        <is>
          <t>NANCY 01/04/2026</t>
        </is>
      </c>
      <c r="C3285" s="9" t="inlineStr">
        <is>
          <t>2026-04-01</t>
        </is>
      </c>
      <c r="D3285" s="9" t="inlineStr">
        <is>
          <t>82224432971117</t>
        </is>
      </c>
      <c r="E3285" s="9" t="inlineStr">
        <is>
          <t>PULSERA CLAVO JUST UN CLOU ZIRCONIA ROSEGOLD</t>
        </is>
      </c>
      <c r="F3285" s="9" t="inlineStr">
        <is>
          <t>17 cm</t>
        </is>
      </c>
      <c r="G3285" s="9" t="n">
        <v>2</v>
      </c>
      <c r="H3285" s="21" t="n">
        <v>3.99</v>
      </c>
      <c r="I3285" s="21" t="n">
        <v>95.52</v>
      </c>
      <c r="J3285" s="21" t="n">
        <v>286.57</v>
      </c>
      <c r="K3285" s="21" t="n">
        <v>334.33</v>
      </c>
      <c r="L3285" s="21" t="n">
        <v>382.09</v>
      </c>
      <c r="M3285" s="21" t="n">
        <v>430</v>
      </c>
    </row>
    <row r="3286">
      <c r="A3286" s="9" t="inlineStr">
        <is>
          <t>NANCY</t>
        </is>
      </c>
      <c r="B3286" s="9" t="inlineStr">
        <is>
          <t>NANCY 01/04/2026</t>
        </is>
      </c>
      <c r="C3286" s="9" t="inlineStr">
        <is>
          <t>2026-04-01</t>
        </is>
      </c>
      <c r="D3286" s="9" t="inlineStr">
        <is>
          <t>22974391301613</t>
        </is>
      </c>
      <c r="E3286" s="9" t="inlineStr">
        <is>
          <t>PULSERA LV ICONIC LOUISA SILVER</t>
        </is>
      </c>
      <c r="F3286" s="9" t="inlineStr">
        <is>
          <t>Default Title</t>
        </is>
      </c>
      <c r="G3286" s="9" t="n">
        <v>2</v>
      </c>
      <c r="H3286" s="21" t="n">
        <v>7.59</v>
      </c>
      <c r="I3286" s="21" t="n">
        <v>181.71</v>
      </c>
      <c r="J3286" s="21" t="n">
        <v>545.13</v>
      </c>
      <c r="K3286" s="21" t="n">
        <v>635.98</v>
      </c>
      <c r="L3286" s="21" t="n">
        <v>726.83</v>
      </c>
      <c r="M3286" s="21" t="n">
        <v>650</v>
      </c>
    </row>
    <row r="3287">
      <c r="A3287" s="9" t="inlineStr">
        <is>
          <t>NANCY</t>
        </is>
      </c>
      <c r="B3287" s="9" t="inlineStr">
        <is>
          <t>NANCY 01/04/2026</t>
        </is>
      </c>
      <c r="C3287" s="9" t="inlineStr">
        <is>
          <t>2026-04-01</t>
        </is>
      </c>
      <c r="D3287" s="9" t="inlineStr">
        <is>
          <t>64e78e7d211b8</t>
        </is>
      </c>
      <c r="E3287" s="9" t="inlineStr">
        <is>
          <t>PULSERA ONE TRÉBOL GOLD</t>
        </is>
      </c>
      <c r="F3287" s="9" t="inlineStr">
        <is>
          <t>17cm Con extension 2.5m</t>
        </is>
      </c>
      <c r="G3287" s="9" t="n">
        <v>4</v>
      </c>
      <c r="H3287" s="21" t="n">
        <v>5.59</v>
      </c>
      <c r="I3287" s="21" t="n">
        <v>133.83</v>
      </c>
      <c r="J3287" s="21" t="n">
        <v>401.48</v>
      </c>
      <c r="K3287" s="21" t="n">
        <v>468.4</v>
      </c>
      <c r="L3287" s="21" t="n">
        <v>535.3099999999999</v>
      </c>
      <c r="M3287" s="21" t="n">
        <v>780</v>
      </c>
    </row>
    <row r="3288">
      <c r="A3288" s="9" t="inlineStr">
        <is>
          <t>NANCY</t>
        </is>
      </c>
      <c r="B3288" s="9" t="inlineStr">
        <is>
          <t>NANCY 01/04/2026</t>
        </is>
      </c>
      <c r="C3288" s="9" t="inlineStr">
        <is>
          <t>2026-04-01</t>
        </is>
      </c>
      <c r="D3288" s="9" t="inlineStr">
        <is>
          <t>6701d185b1594</t>
        </is>
      </c>
      <c r="E3288" s="9" t="inlineStr">
        <is>
          <t>PULSERA ONE TRÉBOL GOLD GREEN</t>
        </is>
      </c>
      <c r="F3288" s="9" t="inlineStr">
        <is>
          <t>17cm con extensión de 3cm</t>
        </is>
      </c>
      <c r="G3288" s="9" t="n">
        <v>3</v>
      </c>
      <c r="H3288" s="21" t="n">
        <v>5.59</v>
      </c>
      <c r="I3288" s="21" t="n">
        <v>133.83</v>
      </c>
      <c r="J3288" s="21" t="n">
        <v>401.48</v>
      </c>
      <c r="K3288" s="21" t="n">
        <v>468.4</v>
      </c>
      <c r="L3288" s="21" t="n">
        <v>535.3099999999999</v>
      </c>
      <c r="M3288" s="21" t="n">
        <v>599</v>
      </c>
    </row>
    <row r="3289">
      <c r="A3289" s="9" t="inlineStr">
        <is>
          <t>NANCY</t>
        </is>
      </c>
      <c r="B3289" s="9" t="inlineStr">
        <is>
          <t>NANCY 01/04/2026</t>
        </is>
      </c>
      <c r="C3289" s="9" t="inlineStr">
        <is>
          <t>2026-04-01</t>
        </is>
      </c>
      <c r="D3289" s="9" t="inlineStr">
        <is>
          <t>6701d185cad9a</t>
        </is>
      </c>
      <c r="E3289" s="9" t="inlineStr">
        <is>
          <t>PULSERA ONE TRÉBOL ROSEGOLD RED</t>
        </is>
      </c>
      <c r="F3289" s="9" t="inlineStr">
        <is>
          <t>Talla 17 con extensión de 3cm</t>
        </is>
      </c>
      <c r="G3289" s="9" t="n">
        <v>2</v>
      </c>
      <c r="H3289" s="21" t="n">
        <v>5.59</v>
      </c>
      <c r="I3289" s="21" t="n">
        <v>133.83</v>
      </c>
      <c r="J3289" s="21" t="n">
        <v>401.48</v>
      </c>
      <c r="K3289" s="21" t="n">
        <v>468.4</v>
      </c>
      <c r="L3289" s="21" t="n">
        <v>535.3099999999999</v>
      </c>
      <c r="M3289" s="21" t="n">
        <v>599</v>
      </c>
    </row>
    <row r="3290">
      <c r="A3290" s="9" t="inlineStr">
        <is>
          <t>NANCY</t>
        </is>
      </c>
      <c r="B3290" s="9" t="inlineStr">
        <is>
          <t>NANCY 01/04/2026</t>
        </is>
      </c>
      <c r="C3290" s="9" t="inlineStr">
        <is>
          <t>2026-04-01</t>
        </is>
      </c>
      <c r="D3290" s="9" t="inlineStr">
        <is>
          <t>665bce4e1ec6b</t>
        </is>
      </c>
      <c r="E3290" s="9" t="inlineStr">
        <is>
          <t>PULSERA PERLEÉ GOLD</t>
        </is>
      </c>
      <c r="F3290" s="9" t="inlineStr">
        <is>
          <t>16cm</t>
        </is>
      </c>
      <c r="G3290" s="9" t="n">
        <v>1</v>
      </c>
      <c r="H3290" s="21" t="n">
        <v>10.99</v>
      </c>
      <c r="I3290" s="21" t="n">
        <v>263.11</v>
      </c>
      <c r="J3290" s="21" t="n">
        <v>789.3200000000001</v>
      </c>
      <c r="K3290" s="21" t="n">
        <v>920.87</v>
      </c>
      <c r="L3290" s="21" t="n">
        <v>1052.42</v>
      </c>
      <c r="M3290" s="21" t="n">
        <v>950</v>
      </c>
    </row>
    <row r="3291">
      <c r="A3291" s="9" t="inlineStr">
        <is>
          <t>HAIFENG</t>
        </is>
      </c>
      <c r="B3291" s="9" t="inlineStr">
        <is>
          <t>HAIFENG 16/04/2026</t>
        </is>
      </c>
      <c r="C3291" s="9" t="inlineStr">
        <is>
          <t>2026-04-16</t>
        </is>
      </c>
      <c r="D3291" s="9" t="inlineStr">
        <is>
          <t>66075801273229</t>
        </is>
      </c>
      <c r="E3291" s="9" t="inlineStr">
        <is>
          <t>ANILLO ALLIANCE SILVER C</t>
        </is>
      </c>
      <c r="F3291" s="9" t="inlineStr">
        <is>
          <t>9</t>
        </is>
      </c>
      <c r="G3291" s="9" t="n">
        <v>2</v>
      </c>
      <c r="H3291" s="21" t="n">
        <v>2</v>
      </c>
      <c r="I3291" s="21" t="n">
        <v>42.06</v>
      </c>
      <c r="J3291" s="21" t="n">
        <v>126.19</v>
      </c>
      <c r="K3291" s="21" t="n">
        <v>147.22</v>
      </c>
      <c r="L3291" s="21" t="n">
        <v>168.25</v>
      </c>
      <c r="M3291" s="21" t="n">
        <v>400</v>
      </c>
    </row>
    <row r="3292">
      <c r="A3292" s="9" t="inlineStr">
        <is>
          <t>HAIFENG</t>
        </is>
      </c>
      <c r="B3292" s="9" t="inlineStr">
        <is>
          <t>HAIFENG 16/04/2026</t>
        </is>
      </c>
      <c r="C3292" s="9" t="inlineStr">
        <is>
          <t>2026-04-16</t>
        </is>
      </c>
      <c r="D3292" s="9" t="inlineStr">
        <is>
          <t>67201533670189</t>
        </is>
      </c>
      <c r="E3292" s="9" t="inlineStr">
        <is>
          <t>ANILLO ANCHO TRUE T GOLD</t>
        </is>
      </c>
      <c r="F3292" s="9" t="inlineStr">
        <is>
          <t>8</t>
        </is>
      </c>
      <c r="G3292" s="9" t="n">
        <v>2</v>
      </c>
      <c r="H3292" s="21" t="n">
        <v>7</v>
      </c>
      <c r="I3292" s="21" t="n">
        <v>147.22</v>
      </c>
      <c r="J3292" s="21" t="n">
        <v>441.66</v>
      </c>
      <c r="K3292" s="21" t="n">
        <v>515.27</v>
      </c>
      <c r="L3292" s="21" t="n">
        <v>588.88</v>
      </c>
      <c r="M3292" s="21" t="n">
        <v>389</v>
      </c>
    </row>
    <row r="3293">
      <c r="A3293" s="9" t="inlineStr">
        <is>
          <t>HAIFENG</t>
        </is>
      </c>
      <c r="B3293" s="9" t="inlineStr">
        <is>
          <t>HAIFENG 16/04/2026</t>
        </is>
      </c>
      <c r="C3293" s="9" t="inlineStr">
        <is>
          <t>2026-04-16</t>
        </is>
      </c>
      <c r="D3293" s="9" t="inlineStr">
        <is>
          <t>21605761269037</t>
        </is>
      </c>
      <c r="E3293" s="9" t="inlineStr">
        <is>
          <t>ANILLO BACK SOON T ROSE GOLD</t>
        </is>
      </c>
      <c r="F3293" s="9" t="inlineStr">
        <is>
          <t>5</t>
        </is>
      </c>
      <c r="G3293" s="9" t="n">
        <v>2</v>
      </c>
      <c r="H3293" s="21" t="n">
        <v>3</v>
      </c>
      <c r="I3293" s="21" t="n">
        <v>63.09</v>
      </c>
      <c r="J3293" s="21" t="n">
        <v>189.28</v>
      </c>
      <c r="K3293" s="21" t="n">
        <v>220.83</v>
      </c>
      <c r="L3293" s="21" t="n">
        <v>252.38</v>
      </c>
      <c r="M3293" s="21" t="n">
        <v>400</v>
      </c>
    </row>
    <row r="3294">
      <c r="A3294" s="9" t="inlineStr">
        <is>
          <t>HAIFENG</t>
        </is>
      </c>
      <c r="B3294" s="9" t="inlineStr">
        <is>
          <t>HAIFENG 16/04/2026</t>
        </is>
      </c>
      <c r="C3294" s="9" t="inlineStr">
        <is>
          <t>2026-04-16</t>
        </is>
      </c>
      <c r="D3294" s="9" t="inlineStr">
        <is>
          <t>21605774316461</t>
        </is>
      </c>
      <c r="E3294" s="9" t="inlineStr">
        <is>
          <t>ANILLO BACK SOON T SILVER</t>
        </is>
      </c>
      <c r="F3294" s="9" t="inlineStr">
        <is>
          <t>7</t>
        </is>
      </c>
      <c r="G3294" s="9" t="n">
        <v>3</v>
      </c>
      <c r="H3294" s="21" t="n">
        <v>3</v>
      </c>
      <c r="I3294" s="21" t="n">
        <v>63.09</v>
      </c>
      <c r="J3294" s="21" t="n">
        <v>189.28</v>
      </c>
      <c r="K3294" s="21" t="n">
        <v>220.83</v>
      </c>
      <c r="L3294" s="21" t="n">
        <v>252.38</v>
      </c>
      <c r="M3294" s="21" t="n">
        <v>450</v>
      </c>
    </row>
    <row r="3295">
      <c r="A3295" s="9" t="inlineStr">
        <is>
          <t>HAIFENG</t>
        </is>
      </c>
      <c r="B3295" s="9" t="inlineStr">
        <is>
          <t>HAIFENG 16/04/2026</t>
        </is>
      </c>
      <c r="C3295" s="9" t="inlineStr">
        <is>
          <t>2026-04-16</t>
        </is>
      </c>
      <c r="D3295" s="9" t="inlineStr">
        <is>
          <t>21605774349229</t>
        </is>
      </c>
      <c r="E3295" s="9" t="inlineStr">
        <is>
          <t>ANILLO BACK SOON T SILVER</t>
        </is>
      </c>
      <c r="F3295" s="9" t="inlineStr">
        <is>
          <t>8</t>
        </is>
      </c>
      <c r="G3295" s="9" t="n">
        <v>1</v>
      </c>
      <c r="H3295" s="21" t="n">
        <v>3</v>
      </c>
      <c r="I3295" s="21" t="n">
        <v>63.09</v>
      </c>
      <c r="J3295" s="21" t="n">
        <v>189.28</v>
      </c>
      <c r="K3295" s="21" t="n">
        <v>220.83</v>
      </c>
      <c r="L3295" s="21" t="n">
        <v>252.38</v>
      </c>
      <c r="M3295" s="21" t="n">
        <v>450</v>
      </c>
    </row>
    <row r="3296">
      <c r="A3296" s="9" t="inlineStr">
        <is>
          <t>HAIFENG</t>
        </is>
      </c>
      <c r="B3296" s="9" t="inlineStr">
        <is>
          <t>HAIFENG 16/04/2026</t>
        </is>
      </c>
      <c r="C3296" s="9" t="inlineStr">
        <is>
          <t>2026-04-16</t>
        </is>
      </c>
      <c r="D3296" s="9" t="inlineStr">
        <is>
          <t>67201533776845</t>
        </is>
      </c>
      <c r="E3296" s="9" t="inlineStr">
        <is>
          <t>ANILLO BEAN CON ZIRCONIA GOLD</t>
        </is>
      </c>
      <c r="F3296" s="9" t="inlineStr">
        <is>
          <t>6</t>
        </is>
      </c>
      <c r="G3296" s="9" t="n">
        <v>2</v>
      </c>
      <c r="H3296" s="21" t="n">
        <v>5</v>
      </c>
      <c r="I3296" s="21" t="n">
        <v>105.16</v>
      </c>
      <c r="J3296" s="21" t="n">
        <v>315.47</v>
      </c>
      <c r="K3296" s="21" t="n">
        <v>368.05</v>
      </c>
      <c r="L3296" s="21" t="n">
        <v>420.63</v>
      </c>
      <c r="M3296" s="21" t="n">
        <v>450</v>
      </c>
    </row>
    <row r="3297">
      <c r="A3297" s="9" t="inlineStr">
        <is>
          <t>HAIFENG</t>
        </is>
      </c>
      <c r="B3297" s="9" t="inlineStr">
        <is>
          <t>HAIFENG 16/04/2026</t>
        </is>
      </c>
      <c r="C3297" s="9" t="inlineStr">
        <is>
          <t>2026-04-16</t>
        </is>
      </c>
      <c r="D3297" s="9" t="inlineStr">
        <is>
          <t>10956321324077</t>
        </is>
      </c>
      <c r="E3297" s="9" t="inlineStr">
        <is>
          <t>ANILLO BV BUMPS SILVER ZIRCONIAS</t>
        </is>
      </c>
      <c r="F3297" s="9" t="inlineStr">
        <is>
          <t>7</t>
        </is>
      </c>
      <c r="G3297" s="9" t="n">
        <v>1</v>
      </c>
      <c r="H3297" s="21" t="n">
        <v>10</v>
      </c>
      <c r="I3297" s="21" t="n">
        <v>210.31</v>
      </c>
      <c r="J3297" s="21" t="n">
        <v>630.9400000000001</v>
      </c>
      <c r="K3297" s="21" t="n">
        <v>736.1</v>
      </c>
      <c r="L3297" s="21" t="n">
        <v>841.26</v>
      </c>
      <c r="M3297" s="21" t="n">
        <v>850</v>
      </c>
    </row>
    <row r="3298">
      <c r="A3298" s="9" t="inlineStr">
        <is>
          <t>HAIFENG</t>
        </is>
      </c>
      <c r="B3298" s="9" t="inlineStr">
        <is>
          <t>HAIFENG 16/04/2026</t>
        </is>
      </c>
      <c r="C3298" s="9" t="inlineStr">
        <is>
          <t>2026-04-16</t>
        </is>
      </c>
      <c r="D3298" s="9" t="inlineStr">
        <is>
          <t>16117871577997</t>
        </is>
      </c>
      <c r="E3298" s="9" t="inlineStr">
        <is>
          <t>ANILLO BV ZERO 1 BLACK-ROSEGOLD</t>
        </is>
      </c>
      <c r="F3298" s="9" t="inlineStr">
        <is>
          <t>7</t>
        </is>
      </c>
      <c r="G3298" s="9" t="n">
        <v>1</v>
      </c>
      <c r="H3298" s="21" t="n">
        <v>7</v>
      </c>
      <c r="I3298" s="21" t="n">
        <v>147.22</v>
      </c>
      <c r="J3298" s="21" t="n">
        <v>441.66</v>
      </c>
      <c r="K3298" s="21" t="n">
        <v>515.27</v>
      </c>
      <c r="L3298" s="21" t="n">
        <v>588.88</v>
      </c>
      <c r="M3298" s="21" t="n">
        <v>580</v>
      </c>
    </row>
    <row r="3299">
      <c r="A3299" s="9" t="inlineStr">
        <is>
          <t>HAIFENG</t>
        </is>
      </c>
      <c r="B3299" s="9" t="inlineStr">
        <is>
          <t>HAIFENG 16/04/2026</t>
        </is>
      </c>
      <c r="C3299" s="9" t="inlineStr">
        <is>
          <t>2026-04-16</t>
        </is>
      </c>
      <c r="D3299" s="9" t="inlineStr">
        <is>
          <t>94122711058031</t>
        </is>
      </c>
      <c r="E3299" s="9" t="inlineStr">
        <is>
          <t>ANILLO BV ZERO 1 SILVER</t>
        </is>
      </c>
      <c r="F3299" s="9" t="inlineStr">
        <is>
          <t>9</t>
        </is>
      </c>
      <c r="G3299" s="9" t="n">
        <v>1</v>
      </c>
      <c r="H3299" s="21" t="n">
        <v>6</v>
      </c>
      <c r="I3299" s="21" t="n">
        <v>126.19</v>
      </c>
      <c r="J3299" s="21" t="n">
        <v>378.57</v>
      </c>
      <c r="K3299" s="21" t="n">
        <v>441.66</v>
      </c>
      <c r="L3299" s="21" t="n">
        <v>504.76</v>
      </c>
      <c r="M3299" s="21" t="n">
        <v>500</v>
      </c>
    </row>
    <row r="3300">
      <c r="A3300" s="9" t="inlineStr">
        <is>
          <t>HAIFENG</t>
        </is>
      </c>
      <c r="B3300" s="9" t="inlineStr">
        <is>
          <t>HAIFENG 16/04/2026</t>
        </is>
      </c>
      <c r="C3300" s="9" t="inlineStr">
        <is>
          <t>2026-04-16</t>
        </is>
      </c>
      <c r="D3300" s="9" t="inlineStr">
        <is>
          <t>86347032550093</t>
        </is>
      </c>
      <c r="E3300" s="9" t="inlineStr">
        <is>
          <t>ANILLO CD DIAMOND ZIRCONIAS</t>
        </is>
      </c>
      <c r="F3300" s="9" t="inlineStr">
        <is>
          <t>7</t>
        </is>
      </c>
      <c r="G3300" s="9" t="n">
        <v>2</v>
      </c>
      <c r="H3300" s="21" t="n">
        <v>4.9</v>
      </c>
      <c r="I3300" s="21" t="n">
        <v>103.05</v>
      </c>
      <c r="J3300" s="21" t="n">
        <v>309.16</v>
      </c>
      <c r="K3300" s="21" t="n">
        <v>360.69</v>
      </c>
      <c r="L3300" s="21" t="n">
        <v>412.22</v>
      </c>
      <c r="M3300" s="21" t="n">
        <v>499</v>
      </c>
    </row>
    <row r="3301">
      <c r="A3301" s="9" t="inlineStr">
        <is>
          <t>HAIFENG</t>
        </is>
      </c>
      <c r="B3301" s="9" t="inlineStr">
        <is>
          <t>HAIFENG 16/04/2026</t>
        </is>
      </c>
      <c r="C3301" s="9" t="inlineStr">
        <is>
          <t>2026-04-16</t>
        </is>
      </c>
      <c r="D3301" s="9" t="inlineStr">
        <is>
          <t>66176e5f7392c</t>
        </is>
      </c>
      <c r="E3301" s="9" t="inlineStr">
        <is>
          <t>ANILLO CLASH GOLD</t>
        </is>
      </c>
      <c r="F3301" s="9" t="inlineStr">
        <is>
          <t>6</t>
        </is>
      </c>
      <c r="G3301" s="9" t="n">
        <v>2</v>
      </c>
      <c r="H3301" s="21" t="n">
        <v>10</v>
      </c>
      <c r="I3301" s="21" t="n">
        <v>210.31</v>
      </c>
      <c r="J3301" s="21" t="n">
        <v>630.9400000000001</v>
      </c>
      <c r="K3301" s="21" t="n">
        <v>736.1</v>
      </c>
      <c r="L3301" s="21" t="n">
        <v>841.26</v>
      </c>
      <c r="M3301" s="21" t="n">
        <v>850</v>
      </c>
    </row>
    <row r="3302">
      <c r="A3302" s="9" t="inlineStr">
        <is>
          <t>HAIFENG</t>
        </is>
      </c>
      <c r="B3302" s="9" t="inlineStr">
        <is>
          <t>HAIFENG 16/04/2026</t>
        </is>
      </c>
      <c r="C3302" s="9" t="inlineStr">
        <is>
          <t>2026-04-16</t>
        </is>
      </c>
      <c r="D3302" s="9" t="inlineStr">
        <is>
          <t>66176e6140134</t>
        </is>
      </c>
      <c r="E3302" s="9" t="inlineStr">
        <is>
          <t>ANILLO CLASH GOLD</t>
        </is>
      </c>
      <c r="F3302" s="9" t="inlineStr">
        <is>
          <t>9</t>
        </is>
      </c>
      <c r="G3302" s="9" t="n">
        <v>1</v>
      </c>
      <c r="H3302" s="21" t="n">
        <v>10</v>
      </c>
      <c r="I3302" s="21" t="n">
        <v>210.31</v>
      </c>
      <c r="J3302" s="21" t="n">
        <v>630.9400000000001</v>
      </c>
      <c r="K3302" s="21" t="n">
        <v>736.1</v>
      </c>
      <c r="L3302" s="21" t="n">
        <v>841.26</v>
      </c>
      <c r="M3302" s="21" t="n">
        <v>850</v>
      </c>
    </row>
    <row r="3303">
      <c r="A3303" s="9" t="inlineStr">
        <is>
          <t>HAIFENG</t>
        </is>
      </c>
      <c r="B3303" s="9" t="inlineStr">
        <is>
          <t>HAIFENG 16/04/2026</t>
        </is>
      </c>
      <c r="C3303" s="9" t="inlineStr">
        <is>
          <t>2026-04-16</t>
        </is>
      </c>
      <c r="D3303" s="9" t="inlineStr">
        <is>
          <t>66176e602b0bf</t>
        </is>
      </c>
      <c r="E3303" s="9" t="inlineStr">
        <is>
          <t>ANILLO CLASH ROSEGOLD</t>
        </is>
      </c>
      <c r="F3303" s="9" t="inlineStr">
        <is>
          <t>7</t>
        </is>
      </c>
      <c r="G3303" s="9" t="n">
        <v>1</v>
      </c>
      <c r="H3303" s="21" t="n">
        <v>10</v>
      </c>
      <c r="I3303" s="21" t="n">
        <v>210.31</v>
      </c>
      <c r="J3303" s="21" t="n">
        <v>630.9400000000001</v>
      </c>
      <c r="K3303" s="21" t="n">
        <v>736.1</v>
      </c>
      <c r="L3303" s="21" t="n">
        <v>841.26</v>
      </c>
      <c r="M3303" s="21" t="n">
        <v>850</v>
      </c>
    </row>
    <row r="3304">
      <c r="A3304" s="9" t="inlineStr">
        <is>
          <t>HAIFENG</t>
        </is>
      </c>
      <c r="B3304" s="9" t="inlineStr">
        <is>
          <t>HAIFENG 16/04/2026</t>
        </is>
      </c>
      <c r="C3304" s="9" t="inlineStr">
        <is>
          <t>2026-04-16</t>
        </is>
      </c>
      <c r="D3304" s="9" t="inlineStr">
        <is>
          <t>66176e5ee773d</t>
        </is>
      </c>
      <c r="E3304" s="9" t="inlineStr">
        <is>
          <t>ANILLO CLASH ROSEGOLD</t>
        </is>
      </c>
      <c r="F3304" s="9" t="inlineStr">
        <is>
          <t>5</t>
        </is>
      </c>
      <c r="G3304" s="9" t="n">
        <v>2</v>
      </c>
      <c r="H3304" s="21" t="n">
        <v>10</v>
      </c>
      <c r="I3304" s="21" t="n">
        <v>210.31</v>
      </c>
      <c r="J3304" s="21" t="n">
        <v>630.9400000000001</v>
      </c>
      <c r="K3304" s="21" t="n">
        <v>736.1</v>
      </c>
      <c r="L3304" s="21" t="n">
        <v>841.26</v>
      </c>
      <c r="M3304" s="21" t="n">
        <v>850</v>
      </c>
    </row>
    <row r="3305">
      <c r="A3305" s="9" t="inlineStr">
        <is>
          <t>HAIFENG</t>
        </is>
      </c>
      <c r="B3305" s="9" t="inlineStr">
        <is>
          <t>HAIFENG 16/04/2026</t>
        </is>
      </c>
      <c r="C3305" s="9" t="inlineStr">
        <is>
          <t>2026-04-16</t>
        </is>
      </c>
      <c r="D3305" s="9" t="inlineStr">
        <is>
          <t>63ebd3f42d4db</t>
        </is>
      </c>
      <c r="E3305" s="9" t="inlineStr">
        <is>
          <t>ANILLO CLASH SILVER</t>
        </is>
      </c>
      <c r="F3305" s="9" t="inlineStr">
        <is>
          <t>8</t>
        </is>
      </c>
      <c r="G3305" s="9" t="n">
        <v>4</v>
      </c>
      <c r="H3305" s="21" t="n">
        <v>10</v>
      </c>
      <c r="I3305" s="21" t="n">
        <v>210.31</v>
      </c>
      <c r="J3305" s="21" t="n">
        <v>630.9400000000001</v>
      </c>
      <c r="K3305" s="21" t="n">
        <v>736.1</v>
      </c>
      <c r="L3305" s="21" t="n">
        <v>841.26</v>
      </c>
      <c r="M3305" s="21" t="n">
        <v>850</v>
      </c>
    </row>
    <row r="3306">
      <c r="A3306" s="9" t="inlineStr">
        <is>
          <t>HAIFENG</t>
        </is>
      </c>
      <c r="B3306" s="9" t="inlineStr">
        <is>
          <t>HAIFENG 16/04/2026</t>
        </is>
      </c>
      <c r="C3306" s="9" t="inlineStr">
        <is>
          <t>2026-04-16</t>
        </is>
      </c>
      <c r="D3306" s="9" t="inlineStr">
        <is>
          <t>63ebd3f32bfc9</t>
        </is>
      </c>
      <c r="E3306" s="9" t="inlineStr">
        <is>
          <t>ANILLO CLASH SILVER</t>
        </is>
      </c>
      <c r="F3306" s="9" t="inlineStr">
        <is>
          <t>7</t>
        </is>
      </c>
      <c r="G3306" s="9" t="n">
        <v>2</v>
      </c>
      <c r="H3306" s="21" t="n">
        <v>10</v>
      </c>
      <c r="I3306" s="21" t="n">
        <v>210.31</v>
      </c>
      <c r="J3306" s="21" t="n">
        <v>630.9400000000001</v>
      </c>
      <c r="K3306" s="21" t="n">
        <v>736.1</v>
      </c>
      <c r="L3306" s="21" t="n">
        <v>841.26</v>
      </c>
      <c r="M3306" s="21" t="n">
        <v>850</v>
      </c>
    </row>
    <row r="3307">
      <c r="A3307" s="9" t="inlineStr">
        <is>
          <t>HAIFENG</t>
        </is>
      </c>
      <c r="B3307" s="9" t="inlineStr">
        <is>
          <t>HAIFENG 16/04/2026</t>
        </is>
      </c>
      <c r="C3307" s="9" t="inlineStr">
        <is>
          <t>2026-04-16</t>
        </is>
      </c>
      <c r="D3307" s="9" t="inlineStr">
        <is>
          <t>66176cdae92c1</t>
        </is>
      </c>
      <c r="E3307" s="9" t="inlineStr">
        <is>
          <t>ANILLO CLAVO GOLD (WITHOUT ZIRCONIAS)</t>
        </is>
      </c>
      <c r="F3307" s="9" t="inlineStr">
        <is>
          <t>5 HIGH QUALITY</t>
        </is>
      </c>
      <c r="G3307" s="9" t="n">
        <v>4</v>
      </c>
      <c r="H3307" s="21" t="n">
        <v>2.5</v>
      </c>
      <c r="I3307" s="21" t="n">
        <v>52.58</v>
      </c>
      <c r="J3307" s="21" t="n">
        <v>157.74</v>
      </c>
      <c r="K3307" s="21" t="n">
        <v>184.03</v>
      </c>
      <c r="L3307" s="21" t="n">
        <v>210.31</v>
      </c>
      <c r="M3307" s="21" t="n">
        <v>400</v>
      </c>
    </row>
    <row r="3308">
      <c r="A3308" s="9" t="inlineStr">
        <is>
          <t>HAIFENG</t>
        </is>
      </c>
      <c r="B3308" s="9" t="inlineStr">
        <is>
          <t>HAIFENG 16/04/2026</t>
        </is>
      </c>
      <c r="C3308" s="9" t="inlineStr">
        <is>
          <t>2026-04-16</t>
        </is>
      </c>
      <c r="D3308" s="9" t="inlineStr">
        <is>
          <t>66176cdc59c57</t>
        </is>
      </c>
      <c r="E3308" s="9" t="inlineStr">
        <is>
          <t>ANILLO CLAVO GOLD (WITHOUT ZIRCONIAS)</t>
        </is>
      </c>
      <c r="F3308" s="9" t="inlineStr">
        <is>
          <t>7 HIGH QUALITY</t>
        </is>
      </c>
      <c r="G3308" s="9" t="n">
        <v>11</v>
      </c>
      <c r="H3308" s="21" t="n">
        <v>2.5</v>
      </c>
      <c r="I3308" s="21" t="n">
        <v>52.58</v>
      </c>
      <c r="J3308" s="21" t="n">
        <v>157.74</v>
      </c>
      <c r="K3308" s="21" t="n">
        <v>184.03</v>
      </c>
      <c r="L3308" s="21" t="n">
        <v>210.31</v>
      </c>
      <c r="M3308" s="21" t="n">
        <v>400</v>
      </c>
    </row>
    <row r="3309">
      <c r="A3309" s="9" t="inlineStr">
        <is>
          <t>HAIFENG</t>
        </is>
      </c>
      <c r="B3309" s="9" t="inlineStr">
        <is>
          <t>HAIFENG 16/04/2026</t>
        </is>
      </c>
      <c r="C3309" s="9" t="inlineStr">
        <is>
          <t>2026-04-16</t>
        </is>
      </c>
      <c r="D3309" s="9" t="inlineStr">
        <is>
          <t>66176cde28afb</t>
        </is>
      </c>
      <c r="E3309" s="9" t="inlineStr">
        <is>
          <t>ANILLO CLAVO GOLD (WITHOUT ZIRCONIAS)</t>
        </is>
      </c>
      <c r="F3309" s="9" t="inlineStr">
        <is>
          <t>10</t>
        </is>
      </c>
      <c r="G3309" s="9" t="n">
        <v>1</v>
      </c>
      <c r="H3309" s="21" t="n">
        <v>2.5</v>
      </c>
      <c r="I3309" s="21" t="n">
        <v>52.58</v>
      </c>
      <c r="J3309" s="21" t="n">
        <v>157.74</v>
      </c>
      <c r="K3309" s="21" t="n">
        <v>184.03</v>
      </c>
      <c r="L3309" s="21" t="n">
        <v>210.31</v>
      </c>
      <c r="M3309" s="21" t="n">
        <v>400</v>
      </c>
    </row>
    <row r="3310">
      <c r="A3310" s="9" t="inlineStr">
        <is>
          <t>HAIFENG</t>
        </is>
      </c>
      <c r="B3310" s="9" t="inlineStr">
        <is>
          <t>HAIFENG 16/04/2026</t>
        </is>
      </c>
      <c r="C3310" s="9" t="inlineStr">
        <is>
          <t>2026-04-16</t>
        </is>
      </c>
      <c r="D3310" s="9" t="inlineStr">
        <is>
          <t>66176ce151d29</t>
        </is>
      </c>
      <c r="E3310" s="9" t="inlineStr">
        <is>
          <t>ANILLO CLAVO ROSE GOLD (WITHOUT ZIRCONIAS)</t>
        </is>
      </c>
      <c r="F3310" s="9" t="inlineStr">
        <is>
          <t>6 HIGH QUALITY</t>
        </is>
      </c>
      <c r="G3310" s="9" t="n">
        <v>3</v>
      </c>
      <c r="H3310" s="21" t="n">
        <v>2.5</v>
      </c>
      <c r="I3310" s="21" t="n">
        <v>52.58</v>
      </c>
      <c r="J3310" s="21" t="n">
        <v>157.74</v>
      </c>
      <c r="K3310" s="21" t="n">
        <v>184.03</v>
      </c>
      <c r="L3310" s="21" t="n">
        <v>210.31</v>
      </c>
      <c r="M3310" s="21" t="n">
        <v>400</v>
      </c>
    </row>
    <row r="3311">
      <c r="A3311" s="9" t="inlineStr">
        <is>
          <t>HAIFENG</t>
        </is>
      </c>
      <c r="B3311" s="9" t="inlineStr">
        <is>
          <t>HAIFENG 16/04/2026</t>
        </is>
      </c>
      <c r="C3311" s="9" t="inlineStr">
        <is>
          <t>2026-04-16</t>
        </is>
      </c>
      <c r="D3311" s="9" t="inlineStr">
        <is>
          <t>66176ce0abf98</t>
        </is>
      </c>
      <c r="E3311" s="9" t="inlineStr">
        <is>
          <t>ANILLO CLAVO ROSE GOLD (WITHOUT ZIRCONIAS)</t>
        </is>
      </c>
      <c r="F3311" s="9" t="inlineStr">
        <is>
          <t>5 HIGH QUALITY</t>
        </is>
      </c>
      <c r="G3311" s="9" t="n">
        <v>3</v>
      </c>
      <c r="H3311" s="21" t="n">
        <v>2.5</v>
      </c>
      <c r="I3311" s="21" t="n">
        <v>52.58</v>
      </c>
      <c r="J3311" s="21" t="n">
        <v>157.74</v>
      </c>
      <c r="K3311" s="21" t="n">
        <v>184.03</v>
      </c>
      <c r="L3311" s="21" t="n">
        <v>210.31</v>
      </c>
      <c r="M3311" s="21" t="n">
        <v>400</v>
      </c>
    </row>
    <row r="3312">
      <c r="A3312" s="9" t="inlineStr">
        <is>
          <t>HAIFENG</t>
        </is>
      </c>
      <c r="B3312" s="9" t="inlineStr">
        <is>
          <t>HAIFENG 16/04/2026</t>
        </is>
      </c>
      <c r="C3312" s="9" t="inlineStr">
        <is>
          <t>2026-04-16</t>
        </is>
      </c>
      <c r="D3312" s="9" t="inlineStr">
        <is>
          <t>66176cdaf1735</t>
        </is>
      </c>
      <c r="E3312" s="9" t="inlineStr">
        <is>
          <t>ANILLO CLAVO SILVER (WITHOUT ZIRCONIAS)</t>
        </is>
      </c>
      <c r="F3312" s="9" t="inlineStr">
        <is>
          <t>5 HIGH QUALITY</t>
        </is>
      </c>
      <c r="G3312" s="9" t="n">
        <v>3</v>
      </c>
      <c r="H3312" s="21" t="n">
        <v>2.5</v>
      </c>
      <c r="I3312" s="21" t="n">
        <v>52.58</v>
      </c>
      <c r="J3312" s="21" t="n">
        <v>157.74</v>
      </c>
      <c r="K3312" s="21" t="n">
        <v>184.03</v>
      </c>
      <c r="L3312" s="21" t="n">
        <v>210.31</v>
      </c>
      <c r="M3312" s="21" t="n">
        <v>400</v>
      </c>
    </row>
    <row r="3313">
      <c r="A3313" s="9" t="inlineStr">
        <is>
          <t>HAIFENG</t>
        </is>
      </c>
      <c r="B3313" s="9" t="inlineStr">
        <is>
          <t>HAIFENG 16/04/2026</t>
        </is>
      </c>
      <c r="C3313" s="9" t="inlineStr">
        <is>
          <t>2026-04-16</t>
        </is>
      </c>
      <c r="D3313" s="9" t="inlineStr">
        <is>
          <t>66176cdc142e2</t>
        </is>
      </c>
      <c r="E3313" s="9" t="inlineStr">
        <is>
          <t>ANILLO CLAVO SILVER (WITHOUT ZIRCONIAS)</t>
        </is>
      </c>
      <c r="F3313" s="9" t="inlineStr">
        <is>
          <t>7 HIGH QUALITY</t>
        </is>
      </c>
      <c r="G3313" s="9" t="n">
        <v>5</v>
      </c>
      <c r="H3313" s="21" t="n">
        <v>2.5</v>
      </c>
      <c r="I3313" s="21" t="n">
        <v>52.58</v>
      </c>
      <c r="J3313" s="21" t="n">
        <v>157.74</v>
      </c>
      <c r="K3313" s="21" t="n">
        <v>184.03</v>
      </c>
      <c r="L3313" s="21" t="n">
        <v>210.31</v>
      </c>
      <c r="M3313" s="21" t="n">
        <v>400</v>
      </c>
    </row>
    <row r="3314">
      <c r="A3314" s="9" t="inlineStr">
        <is>
          <t>HAIFENG</t>
        </is>
      </c>
      <c r="B3314" s="9" t="inlineStr">
        <is>
          <t>HAIFENG 16/04/2026</t>
        </is>
      </c>
      <c r="C3314" s="9" t="inlineStr">
        <is>
          <t>2026-04-16</t>
        </is>
      </c>
      <c r="D3314" s="9" t="inlineStr">
        <is>
          <t>66176cdb7d238</t>
        </is>
      </c>
      <c r="E3314" s="9" t="inlineStr">
        <is>
          <t>ANILLO CLAVO SILVER (WITHOUT ZIRCONIAS)</t>
        </is>
      </c>
      <c r="F3314" s="9" t="inlineStr">
        <is>
          <t>6 HIGH QUALITY</t>
        </is>
      </c>
      <c r="G3314" s="9" t="n">
        <v>4</v>
      </c>
      <c r="H3314" s="21" t="n">
        <v>2.5</v>
      </c>
      <c r="I3314" s="21" t="n">
        <v>52.58</v>
      </c>
      <c r="J3314" s="21" t="n">
        <v>157.74</v>
      </c>
      <c r="K3314" s="21" t="n">
        <v>184.03</v>
      </c>
      <c r="L3314" s="21" t="n">
        <v>210.31</v>
      </c>
      <c r="M3314" s="21" t="n">
        <v>400</v>
      </c>
    </row>
    <row r="3315">
      <c r="A3315" s="9" t="inlineStr">
        <is>
          <t>HAIFENG</t>
        </is>
      </c>
      <c r="B3315" s="9" t="inlineStr">
        <is>
          <t>HAIFENG 16/04/2026</t>
        </is>
      </c>
      <c r="C3315" s="9" t="inlineStr">
        <is>
          <t>2026-04-16</t>
        </is>
      </c>
      <c r="D3315" s="9" t="inlineStr">
        <is>
          <t>81836201247181</t>
        </is>
      </c>
      <c r="E3315" s="9" t="inlineStr">
        <is>
          <t>ANILLO CLAVO SILVER (WITHOUT ZIRCONIAS)</t>
        </is>
      </c>
      <c r="F3315" s="9" t="inlineStr">
        <is>
          <t>10 HIGH QUALITY</t>
        </is>
      </c>
      <c r="G3315" s="9" t="n">
        <v>6</v>
      </c>
      <c r="H3315" s="21" t="n">
        <v>2.5</v>
      </c>
      <c r="I3315" s="21" t="n">
        <v>52.58</v>
      </c>
      <c r="J3315" s="21" t="n">
        <v>157.74</v>
      </c>
      <c r="K3315" s="21" t="n">
        <v>184.03</v>
      </c>
      <c r="L3315" s="21" t="n">
        <v>210.31</v>
      </c>
      <c r="M3315" s="21" t="n">
        <v>400</v>
      </c>
    </row>
    <row r="3316">
      <c r="A3316" s="9" t="inlineStr">
        <is>
          <t>HAIFENG</t>
        </is>
      </c>
      <c r="B3316" s="9" t="inlineStr">
        <is>
          <t>HAIFENG 16/04/2026</t>
        </is>
      </c>
      <c r="C3316" s="9" t="inlineStr">
        <is>
          <t>2026-04-16</t>
        </is>
      </c>
      <c r="D3316" s="9" t="inlineStr">
        <is>
          <t>39129741001261</t>
        </is>
      </c>
      <c r="E3316" s="9" t="inlineStr">
        <is>
          <t>ANILLO CLAVO SPIRAL SILVER CON ZIRCONIA</t>
        </is>
      </c>
      <c r="F3316" s="9" t="inlineStr">
        <is>
          <t>8</t>
        </is>
      </c>
      <c r="G3316" s="9" t="n">
        <v>1</v>
      </c>
      <c r="H3316" s="21" t="n">
        <v>7.5</v>
      </c>
      <c r="I3316" s="21" t="n">
        <v>157.74</v>
      </c>
      <c r="J3316" s="21" t="n">
        <v>473.21</v>
      </c>
      <c r="K3316" s="21" t="n">
        <v>552.08</v>
      </c>
      <c r="L3316" s="21" t="n">
        <v>630.9400000000001</v>
      </c>
      <c r="M3316" s="21" t="n">
        <v>650</v>
      </c>
    </row>
    <row r="3317">
      <c r="A3317" s="9" t="inlineStr">
        <is>
          <t>HAIFENG</t>
        </is>
      </c>
      <c r="B3317" s="9" t="inlineStr">
        <is>
          <t>HAIFENG 16/04/2026</t>
        </is>
      </c>
      <c r="C3317" s="9" t="inlineStr">
        <is>
          <t>2026-04-16</t>
        </is>
      </c>
      <c r="D3317" s="9" t="inlineStr">
        <is>
          <t>66176cde0d667</t>
        </is>
      </c>
      <c r="E3317" s="9" t="inlineStr">
        <is>
          <t>ANILLO CLAVO ZIRCONIA ROSE GOLD (WITH ZIRCONIAS)</t>
        </is>
      </c>
      <c r="F3317" s="9" t="inlineStr">
        <is>
          <t>5</t>
        </is>
      </c>
      <c r="G3317" s="9" t="n">
        <v>2</v>
      </c>
      <c r="H3317" s="21" t="n">
        <v>2.5</v>
      </c>
      <c r="I3317" s="21" t="n">
        <v>52.58</v>
      </c>
      <c r="J3317" s="21" t="n">
        <v>157.74</v>
      </c>
      <c r="K3317" s="21" t="n">
        <v>184.03</v>
      </c>
      <c r="L3317" s="21" t="n">
        <v>210.31</v>
      </c>
      <c r="M3317" s="21" t="n">
        <v>450</v>
      </c>
    </row>
    <row r="3318">
      <c r="A3318" s="9" t="inlineStr">
        <is>
          <t>HAIFENG</t>
        </is>
      </c>
      <c r="B3318" s="9" t="inlineStr">
        <is>
          <t>HAIFENG 16/04/2026</t>
        </is>
      </c>
      <c r="C3318" s="9" t="inlineStr">
        <is>
          <t>2026-04-16</t>
        </is>
      </c>
      <c r="D3318" s="9" t="inlineStr">
        <is>
          <t>63e0b7307c4b5</t>
        </is>
      </c>
      <c r="E3318" s="9" t="inlineStr">
        <is>
          <t>ANILLO COCO ROSE GOLD</t>
        </is>
      </c>
      <c r="F3318" s="9" t="inlineStr">
        <is>
          <t>7</t>
        </is>
      </c>
      <c r="G3318" s="9" t="n">
        <v>2</v>
      </c>
      <c r="H3318" s="21" t="n">
        <v>1.8</v>
      </c>
      <c r="I3318" s="21" t="n">
        <v>37.86</v>
      </c>
      <c r="J3318" s="21" t="n">
        <v>113.57</v>
      </c>
      <c r="K3318" s="21" t="n">
        <v>132.5</v>
      </c>
      <c r="L3318" s="21" t="n">
        <v>151.43</v>
      </c>
      <c r="M3318" s="21" t="n">
        <v>400</v>
      </c>
    </row>
    <row r="3319">
      <c r="A3319" s="9" t="inlineStr">
        <is>
          <t>HAIFENG</t>
        </is>
      </c>
      <c r="B3319" s="9" t="inlineStr">
        <is>
          <t>HAIFENG 16/04/2026</t>
        </is>
      </c>
      <c r="C3319" s="9" t="inlineStr">
        <is>
          <t>2026-04-16</t>
        </is>
      </c>
      <c r="D3319" s="9" t="inlineStr">
        <is>
          <t>63e0b72e8ceb1</t>
        </is>
      </c>
      <c r="E3319" s="9" t="inlineStr">
        <is>
          <t>ANILLO COCO ROSE GOLD</t>
        </is>
      </c>
      <c r="F3319" s="9" t="inlineStr">
        <is>
          <t>6</t>
        </is>
      </c>
      <c r="G3319" s="9" t="n">
        <v>3</v>
      </c>
      <c r="H3319" s="21" t="n">
        <v>1.8</v>
      </c>
      <c r="I3319" s="21" t="n">
        <v>37.86</v>
      </c>
      <c r="J3319" s="21" t="n">
        <v>113.57</v>
      </c>
      <c r="K3319" s="21" t="n">
        <v>132.5</v>
      </c>
      <c r="L3319" s="21" t="n">
        <v>151.43</v>
      </c>
      <c r="M3319" s="21" t="n">
        <v>400</v>
      </c>
    </row>
    <row r="3320">
      <c r="A3320" s="9" t="inlineStr">
        <is>
          <t>HAIFENG</t>
        </is>
      </c>
      <c r="B3320" s="9" t="inlineStr">
        <is>
          <t>HAIFENG 16/04/2026</t>
        </is>
      </c>
      <c r="C3320" s="9" t="inlineStr">
        <is>
          <t>2026-04-16</t>
        </is>
      </c>
      <c r="D3320" s="9" t="inlineStr">
        <is>
          <t>63e0b7315fccc</t>
        </is>
      </c>
      <c r="E3320" s="9" t="inlineStr">
        <is>
          <t>ANILLO COCO ROSE GOLD</t>
        </is>
      </c>
      <c r="F3320" s="9" t="inlineStr">
        <is>
          <t>8</t>
        </is>
      </c>
      <c r="G3320" s="9" t="n">
        <v>2</v>
      </c>
      <c r="H3320" s="21" t="n">
        <v>1.8</v>
      </c>
      <c r="I3320" s="21" t="n">
        <v>37.86</v>
      </c>
      <c r="J3320" s="21" t="n">
        <v>113.57</v>
      </c>
      <c r="K3320" s="21" t="n">
        <v>132.5</v>
      </c>
      <c r="L3320" s="21" t="n">
        <v>151.43</v>
      </c>
      <c r="M3320" s="21" t="n">
        <v>400</v>
      </c>
    </row>
    <row r="3321">
      <c r="A3321" s="9" t="inlineStr">
        <is>
          <t>HAIFENG</t>
        </is>
      </c>
      <c r="B3321" s="9" t="inlineStr">
        <is>
          <t>HAIFENG 16/04/2026</t>
        </is>
      </c>
      <c r="C3321" s="9" t="inlineStr">
        <is>
          <t>2026-04-16</t>
        </is>
      </c>
      <c r="D3321" s="9" t="inlineStr">
        <is>
          <t>63e0b73078446</t>
        </is>
      </c>
      <c r="E3321" s="9" t="inlineStr">
        <is>
          <t>ANILLO COCO SILVER</t>
        </is>
      </c>
      <c r="F3321" s="9" t="inlineStr">
        <is>
          <t>6</t>
        </is>
      </c>
      <c r="G3321" s="9" t="n">
        <v>1</v>
      </c>
      <c r="H3321" s="21" t="n">
        <v>1.8</v>
      </c>
      <c r="I3321" s="21" t="n">
        <v>37.86</v>
      </c>
      <c r="J3321" s="21" t="n">
        <v>113.57</v>
      </c>
      <c r="K3321" s="21" t="n">
        <v>132.5</v>
      </c>
      <c r="L3321" s="21" t="n">
        <v>151.43</v>
      </c>
      <c r="M3321" s="21" t="n">
        <v>400</v>
      </c>
    </row>
    <row r="3322">
      <c r="A3322" s="9" t="inlineStr">
        <is>
          <t>HAIFENG</t>
        </is>
      </c>
      <c r="B3322" s="9" t="inlineStr">
        <is>
          <t>HAIFENG 16/04/2026</t>
        </is>
      </c>
      <c r="C3322" s="9" t="inlineStr">
        <is>
          <t>2026-04-16</t>
        </is>
      </c>
      <c r="D3322" s="9" t="inlineStr">
        <is>
          <t>56481450531724</t>
        </is>
      </c>
      <c r="E3322" s="9" t="inlineStr">
        <is>
          <t>ANILLO CORAZÓN GRABADO</t>
        </is>
      </c>
      <c r="F3322" s="9" t="inlineStr">
        <is>
          <t>7</t>
        </is>
      </c>
      <c r="G3322" s="9" t="n">
        <v>2</v>
      </c>
      <c r="H3322" s="21" t="n">
        <v>5</v>
      </c>
      <c r="I3322" s="21" t="n">
        <v>105.16</v>
      </c>
      <c r="J3322" s="21" t="n">
        <v>315.47</v>
      </c>
      <c r="K3322" s="21" t="n">
        <v>368.05</v>
      </c>
      <c r="L3322" s="21" t="n">
        <v>420.63</v>
      </c>
      <c r="M3322" s="21" t="n">
        <v>450</v>
      </c>
    </row>
    <row r="3323">
      <c r="A3323" s="9" t="inlineStr">
        <is>
          <t>HAIFENG</t>
        </is>
      </c>
      <c r="B3323" s="9" t="inlineStr">
        <is>
          <t>HAIFENG 16/04/2026</t>
        </is>
      </c>
      <c r="C3323" s="9" t="inlineStr">
        <is>
          <t>2026-04-16</t>
        </is>
      </c>
      <c r="D3323" s="9" t="inlineStr">
        <is>
          <t>24703361096333</t>
        </is>
      </c>
      <c r="E3323" s="9" t="inlineStr">
        <is>
          <t>ANILLO DELGADO T TRUE GOLD</t>
        </is>
      </c>
      <c r="F3323" s="9" t="inlineStr">
        <is>
          <t>7</t>
        </is>
      </c>
      <c r="G3323" s="9" t="n">
        <v>3</v>
      </c>
      <c r="H3323" s="21" t="n">
        <v>2</v>
      </c>
      <c r="I3323" s="21" t="n">
        <v>42.06</v>
      </c>
      <c r="J3323" s="21" t="n">
        <v>126.19</v>
      </c>
      <c r="K3323" s="21" t="n">
        <v>147.22</v>
      </c>
      <c r="L3323" s="21" t="n">
        <v>168.25</v>
      </c>
      <c r="M3323" s="21" t="n">
        <v>535.6</v>
      </c>
    </row>
    <row r="3324">
      <c r="A3324" s="9" t="inlineStr">
        <is>
          <t>HAIFENG</t>
        </is>
      </c>
      <c r="B3324" s="9" t="inlineStr">
        <is>
          <t>HAIFENG 16/04/2026</t>
        </is>
      </c>
      <c r="C3324" s="9" t="inlineStr">
        <is>
          <t>2026-04-16</t>
        </is>
      </c>
      <c r="D3324" s="9" t="inlineStr">
        <is>
          <t>56481473264780</t>
        </is>
      </c>
      <c r="E3324" s="9" t="inlineStr">
        <is>
          <t>ANILLO ESLABÓN GOLD</t>
        </is>
      </c>
      <c r="F3324" s="9" t="inlineStr">
        <is>
          <t>8</t>
        </is>
      </c>
      <c r="G3324" s="9" t="n">
        <v>2</v>
      </c>
      <c r="H3324" s="21" t="n">
        <v>6</v>
      </c>
      <c r="I3324" s="21" t="n">
        <v>126.19</v>
      </c>
      <c r="J3324" s="21" t="n">
        <v>378.57</v>
      </c>
      <c r="K3324" s="21" t="n">
        <v>441.66</v>
      </c>
      <c r="L3324" s="21" t="n">
        <v>504.76</v>
      </c>
      <c r="M3324" s="21" t="n">
        <v>520</v>
      </c>
    </row>
    <row r="3325">
      <c r="A3325" s="9" t="inlineStr">
        <is>
          <t>HAIFENG</t>
        </is>
      </c>
      <c r="B3325" s="9" t="inlineStr">
        <is>
          <t>HAIFENG 16/04/2026</t>
        </is>
      </c>
      <c r="C3325" s="9" t="inlineStr">
        <is>
          <t>2026-04-16</t>
        </is>
      </c>
      <c r="D3325" s="9" t="inlineStr">
        <is>
          <t>56481463232012</t>
        </is>
      </c>
      <c r="E3325" s="9" t="inlineStr">
        <is>
          <t>ANILLO ESLABÓN GOLD</t>
        </is>
      </c>
      <c r="F3325" s="9" t="inlineStr">
        <is>
          <t>7</t>
        </is>
      </c>
      <c r="G3325" s="9" t="n">
        <v>2</v>
      </c>
      <c r="H3325" s="21" t="n">
        <v>6</v>
      </c>
      <c r="I3325" s="21" t="n">
        <v>126.19</v>
      </c>
      <c r="J3325" s="21" t="n">
        <v>378.57</v>
      </c>
      <c r="K3325" s="21" t="n">
        <v>441.66</v>
      </c>
      <c r="L3325" s="21" t="n">
        <v>504.76</v>
      </c>
      <c r="M3325" s="21" t="n">
        <v>520</v>
      </c>
    </row>
    <row r="3326">
      <c r="A3326" s="9" t="inlineStr">
        <is>
          <t>HAIFENG</t>
        </is>
      </c>
      <c r="B3326" s="9" t="inlineStr">
        <is>
          <t>HAIFENG 16/04/2026</t>
        </is>
      </c>
      <c r="C3326" s="9" t="inlineStr">
        <is>
          <t>2026-04-16</t>
        </is>
      </c>
      <c r="D3326" s="9" t="inlineStr">
        <is>
          <t>12314361063501</t>
        </is>
      </c>
      <c r="E3326" s="9" t="inlineStr">
        <is>
          <t>ANILLO F DOBLE GOLD</t>
        </is>
      </c>
      <c r="F3326" s="9" t="inlineStr">
        <is>
          <t>AJUSTABLE</t>
        </is>
      </c>
      <c r="G3326" s="9" t="n">
        <v>3</v>
      </c>
      <c r="H3326" s="21" t="n">
        <v>7</v>
      </c>
      <c r="I3326" s="21" t="n">
        <v>147.22</v>
      </c>
      <c r="J3326" s="21" t="n">
        <v>441.66</v>
      </c>
      <c r="K3326" s="21" t="n">
        <v>515.27</v>
      </c>
      <c r="L3326" s="21" t="n">
        <v>588.88</v>
      </c>
      <c r="M3326" s="21" t="n">
        <v>620</v>
      </c>
    </row>
    <row r="3327">
      <c r="A3327" s="9" t="inlineStr">
        <is>
          <t>HAIFENG</t>
        </is>
      </c>
      <c r="B3327" s="9" t="inlineStr">
        <is>
          <t>HAIFENG 16/04/2026</t>
        </is>
      </c>
      <c r="C3327" s="9" t="inlineStr">
        <is>
          <t>2026-04-16</t>
        </is>
      </c>
      <c r="D3327" s="9" t="inlineStr">
        <is>
          <t>89246882471757</t>
        </is>
      </c>
      <c r="E3327" s="9" t="inlineStr">
        <is>
          <t>ANILLO H ESCAPE SILVER</t>
        </is>
      </c>
      <c r="F3327" s="9" t="inlineStr">
        <is>
          <t>7</t>
        </is>
      </c>
      <c r="G3327" s="9" t="n">
        <v>2</v>
      </c>
      <c r="H3327" s="21" t="n">
        <v>7</v>
      </c>
      <c r="I3327" s="21" t="n">
        <v>147.22</v>
      </c>
      <c r="J3327" s="21" t="n">
        <v>441.66</v>
      </c>
      <c r="K3327" s="21" t="n">
        <v>515.27</v>
      </c>
      <c r="L3327" s="21" t="n">
        <v>588.88</v>
      </c>
      <c r="M3327" s="21" t="n">
        <v>599</v>
      </c>
    </row>
    <row r="3328">
      <c r="A3328" s="9" t="inlineStr">
        <is>
          <t>HAIFENG</t>
        </is>
      </c>
      <c r="B3328" s="9" t="inlineStr">
        <is>
          <t>HAIFENG 16/04/2026</t>
        </is>
      </c>
      <c r="C3328" s="9" t="inlineStr">
        <is>
          <t>2026-04-16</t>
        </is>
      </c>
      <c r="D3328" s="9" t="inlineStr">
        <is>
          <t>89246882509613</t>
        </is>
      </c>
      <c r="E3328" s="9" t="inlineStr">
        <is>
          <t>ANILLO H KELLY SILVER</t>
        </is>
      </c>
      <c r="F3328" s="9" t="inlineStr">
        <is>
          <t>7</t>
        </is>
      </c>
      <c r="G3328" s="9" t="n">
        <v>2</v>
      </c>
      <c r="H3328" s="21" t="n">
        <v>7</v>
      </c>
      <c r="I3328" s="21" t="n">
        <v>147.22</v>
      </c>
      <c r="J3328" s="21" t="n">
        <v>441.66</v>
      </c>
      <c r="K3328" s="21" t="n">
        <v>515.27</v>
      </c>
      <c r="L3328" s="21" t="n">
        <v>588.88</v>
      </c>
      <c r="M3328" s="21" t="n">
        <v>599</v>
      </c>
    </row>
    <row r="3329">
      <c r="A3329" s="9" t="inlineStr">
        <is>
          <t>HAIFENG</t>
        </is>
      </c>
      <c r="B3329" s="9" t="inlineStr">
        <is>
          <t>HAIFENG 16/04/2026</t>
        </is>
      </c>
      <c r="C3329" s="9" t="inlineStr">
        <is>
          <t>2026-04-16</t>
        </is>
      </c>
      <c r="D3329" s="9" t="inlineStr">
        <is>
          <t>67201534097677</t>
        </is>
      </c>
      <c r="E3329" s="9" t="inlineStr">
        <is>
          <t>ANILLO KNOT CON ZIRCONIAS T GOLD</t>
        </is>
      </c>
      <c r="F3329" s="9" t="inlineStr">
        <is>
          <t>6</t>
        </is>
      </c>
      <c r="G3329" s="9" t="n">
        <v>1</v>
      </c>
      <c r="H3329" s="21" t="n">
        <v>2</v>
      </c>
      <c r="I3329" s="21" t="n">
        <v>42.06</v>
      </c>
      <c r="J3329" s="21" t="n">
        <v>126.19</v>
      </c>
      <c r="K3329" s="21" t="n">
        <v>147.22</v>
      </c>
      <c r="L3329" s="21" t="n">
        <v>168.25</v>
      </c>
      <c r="M3329" s="21" t="n">
        <v>460</v>
      </c>
    </row>
    <row r="3330">
      <c r="A3330" s="9" t="inlineStr">
        <is>
          <t>HAIFENG</t>
        </is>
      </c>
      <c r="B3330" s="9" t="inlineStr">
        <is>
          <t>HAIFENG 16/04/2026</t>
        </is>
      </c>
      <c r="C3330" s="9" t="inlineStr">
        <is>
          <t>2026-04-16</t>
        </is>
      </c>
      <c r="D3330" s="9" t="inlineStr">
        <is>
          <t>86347033266957</t>
        </is>
      </c>
      <c r="E3330" s="9" t="inlineStr">
        <is>
          <t>ANILLO KNOT DOBLE GOLD ZIRCONIAS</t>
        </is>
      </c>
      <c r="F3330" s="9" t="inlineStr">
        <is>
          <t>6</t>
        </is>
      </c>
      <c r="G3330" s="9" t="n">
        <v>3</v>
      </c>
      <c r="H3330" s="21" t="n">
        <v>6.5</v>
      </c>
      <c r="I3330" s="21" t="n">
        <v>136.7</v>
      </c>
      <c r="J3330" s="21" t="n">
        <v>410.11</v>
      </c>
      <c r="K3330" s="21" t="n">
        <v>478.47</v>
      </c>
      <c r="L3330" s="21" t="n">
        <v>546.8200000000001</v>
      </c>
      <c r="M3330" s="21" t="n">
        <v>550</v>
      </c>
    </row>
    <row r="3331">
      <c r="A3331" s="9" t="inlineStr">
        <is>
          <t>HAIFENG</t>
        </is>
      </c>
      <c r="B3331" s="9" t="inlineStr">
        <is>
          <t>HAIFENG 16/04/2026</t>
        </is>
      </c>
      <c r="C3331" s="9" t="inlineStr">
        <is>
          <t>2026-04-16</t>
        </is>
      </c>
      <c r="D3331" s="9" t="inlineStr">
        <is>
          <t>86347033399725</t>
        </is>
      </c>
      <c r="E3331" s="9" t="inlineStr">
        <is>
          <t>ANILLO KNOT DOBLE GOLD ZIRCONIAS</t>
        </is>
      </c>
      <c r="F3331" s="9" t="inlineStr">
        <is>
          <t>7</t>
        </is>
      </c>
      <c r="G3331" s="9" t="n">
        <v>4</v>
      </c>
      <c r="H3331" s="21" t="n">
        <v>6.5</v>
      </c>
      <c r="I3331" s="21" t="n">
        <v>136.7</v>
      </c>
      <c r="J3331" s="21" t="n">
        <v>410.11</v>
      </c>
      <c r="K3331" s="21" t="n">
        <v>478.47</v>
      </c>
      <c r="L3331" s="21" t="n">
        <v>546.8200000000001</v>
      </c>
      <c r="M3331" s="21" t="n">
        <v>550</v>
      </c>
    </row>
    <row r="3332">
      <c r="A3332" s="9" t="inlineStr">
        <is>
          <t>HAIFENG</t>
        </is>
      </c>
      <c r="B3332" s="9" t="inlineStr">
        <is>
          <t>HAIFENG 16/04/2026</t>
        </is>
      </c>
      <c r="C3332" s="9" t="inlineStr">
        <is>
          <t>2026-04-16</t>
        </is>
      </c>
      <c r="D3332" s="9" t="inlineStr">
        <is>
          <t>31058341012142</t>
        </is>
      </c>
      <c r="E3332" s="9" t="inlineStr">
        <is>
          <t>ANILLO KNOT DOBLE SILVER ZIRCONIAS</t>
        </is>
      </c>
      <c r="F3332" s="9" t="inlineStr">
        <is>
          <t>8</t>
        </is>
      </c>
      <c r="G3332" s="9" t="n">
        <v>2</v>
      </c>
      <c r="H3332" s="21" t="n">
        <v>6.5</v>
      </c>
      <c r="I3332" s="21" t="n">
        <v>136.7</v>
      </c>
      <c r="J3332" s="21" t="n">
        <v>410.11</v>
      </c>
      <c r="K3332" s="21" t="n">
        <v>478.47</v>
      </c>
      <c r="L3332" s="21" t="n">
        <v>546.8200000000001</v>
      </c>
      <c r="M3332" s="21" t="n">
        <v>550</v>
      </c>
    </row>
    <row r="3333">
      <c r="A3333" s="9" t="inlineStr">
        <is>
          <t>HAIFENG</t>
        </is>
      </c>
      <c r="B3333" s="9" t="inlineStr">
        <is>
          <t>HAIFENG 16/04/2026</t>
        </is>
      </c>
      <c r="C3333" s="9" t="inlineStr">
        <is>
          <t>2026-04-16</t>
        </is>
      </c>
      <c r="D3333" s="9" t="inlineStr">
        <is>
          <t>89205551202765</t>
        </is>
      </c>
      <c r="E3333" s="9" t="inlineStr">
        <is>
          <t>ANILLO KNOT SILVER ANCHO</t>
        </is>
      </c>
      <c r="F3333" s="9" t="inlineStr">
        <is>
          <t>8</t>
        </is>
      </c>
      <c r="G3333" s="9" t="n">
        <v>3</v>
      </c>
      <c r="H3333" s="21" t="n">
        <v>5</v>
      </c>
      <c r="I3333" s="21" t="n">
        <v>105.16</v>
      </c>
      <c r="J3333" s="21" t="n">
        <v>315.47</v>
      </c>
      <c r="K3333" s="21" t="n">
        <v>368.05</v>
      </c>
      <c r="L3333" s="21" t="n">
        <v>420.63</v>
      </c>
      <c r="M3333" s="21" t="n">
        <v>450</v>
      </c>
    </row>
    <row r="3334">
      <c r="A3334" s="9" t="inlineStr">
        <is>
          <t>HAIFENG</t>
        </is>
      </c>
      <c r="B3334" s="9" t="inlineStr">
        <is>
          <t>HAIFENG 16/04/2026</t>
        </is>
      </c>
      <c r="C3334" s="9" t="inlineStr">
        <is>
          <t>2026-04-16</t>
        </is>
      </c>
      <c r="D3334" s="9" t="inlineStr">
        <is>
          <t>89205551037229</t>
        </is>
      </c>
      <c r="E3334" s="9" t="inlineStr">
        <is>
          <t>ANILLO KNOT SILVER ANCHO</t>
        </is>
      </c>
      <c r="F3334" s="9" t="inlineStr">
        <is>
          <t>6</t>
        </is>
      </c>
      <c r="G3334" s="9" t="n">
        <v>1</v>
      </c>
      <c r="H3334" s="21" t="n">
        <v>5</v>
      </c>
      <c r="I3334" s="21" t="n">
        <v>105.16</v>
      </c>
      <c r="J3334" s="21" t="n">
        <v>315.47</v>
      </c>
      <c r="K3334" s="21" t="n">
        <v>368.05</v>
      </c>
      <c r="L3334" s="21" t="n">
        <v>420.63</v>
      </c>
      <c r="M3334" s="21" t="n">
        <v>450</v>
      </c>
    </row>
    <row r="3335">
      <c r="A3335" s="9" t="inlineStr">
        <is>
          <t>HAIFENG</t>
        </is>
      </c>
      <c r="B3335" s="9" t="inlineStr">
        <is>
          <t>HAIFENG 16/04/2026</t>
        </is>
      </c>
      <c r="C3335" s="9" t="inlineStr">
        <is>
          <t>2026-04-16</t>
        </is>
      </c>
      <c r="D3335" s="9" t="inlineStr">
        <is>
          <t>89205551347661</t>
        </is>
      </c>
      <c r="E3335" s="9" t="inlineStr">
        <is>
          <t>ANILLO KNOT SILVER ZIRCONIAS</t>
        </is>
      </c>
      <c r="F3335" s="9" t="inlineStr">
        <is>
          <t>6</t>
        </is>
      </c>
      <c r="G3335" s="9" t="n">
        <v>2</v>
      </c>
      <c r="H3335" s="21" t="n">
        <v>6.5</v>
      </c>
      <c r="I3335" s="21" t="n">
        <v>136.7</v>
      </c>
      <c r="J3335" s="21" t="n">
        <v>410.11</v>
      </c>
      <c r="K3335" s="21" t="n">
        <v>478.47</v>
      </c>
      <c r="L3335" s="21" t="n">
        <v>546.8200000000001</v>
      </c>
      <c r="M3335" s="21" t="n">
        <v>550</v>
      </c>
    </row>
    <row r="3336">
      <c r="A3336" s="9" t="inlineStr">
        <is>
          <t>HAIFENG</t>
        </is>
      </c>
      <c r="B3336" s="9" t="inlineStr">
        <is>
          <t>HAIFENG 16/04/2026</t>
        </is>
      </c>
      <c r="C3336" s="9" t="inlineStr">
        <is>
          <t>2026-04-16</t>
        </is>
      </c>
      <c r="D3336" s="9" t="inlineStr">
        <is>
          <t>71036874448396</t>
        </is>
      </c>
      <c r="E3336" s="9" t="inlineStr">
        <is>
          <t>ANILLO LOCK GOLD</t>
        </is>
      </c>
      <c r="F3336" s="9" t="inlineStr">
        <is>
          <t>7</t>
        </is>
      </c>
      <c r="G3336" s="9" t="n">
        <v>5</v>
      </c>
      <c r="H3336" s="21" t="n">
        <v>5</v>
      </c>
      <c r="I3336" s="21" t="n">
        <v>105.16</v>
      </c>
      <c r="J3336" s="21" t="n">
        <v>315.47</v>
      </c>
      <c r="K3336" s="21" t="n">
        <v>368.05</v>
      </c>
      <c r="L3336" s="21" t="n">
        <v>420.63</v>
      </c>
      <c r="M3336" s="21" t="n">
        <v>454</v>
      </c>
    </row>
    <row r="3337">
      <c r="A3337" s="9" t="inlineStr">
        <is>
          <t>HAIFENG</t>
        </is>
      </c>
      <c r="B3337" s="9" t="inlineStr">
        <is>
          <t>HAIFENG 16/04/2026</t>
        </is>
      </c>
      <c r="C3337" s="9" t="inlineStr">
        <is>
          <t>2026-04-16</t>
        </is>
      </c>
      <c r="D3337" s="9" t="inlineStr">
        <is>
          <t>71036874481164</t>
        </is>
      </c>
      <c r="E3337" s="9" t="inlineStr">
        <is>
          <t>ANILLO LOCK GOLD</t>
        </is>
      </c>
      <c r="F3337" s="9" t="inlineStr">
        <is>
          <t>8</t>
        </is>
      </c>
      <c r="G3337" s="9" t="n">
        <v>3</v>
      </c>
      <c r="H3337" s="21" t="n">
        <v>5</v>
      </c>
      <c r="I3337" s="21" t="n">
        <v>105.16</v>
      </c>
      <c r="J3337" s="21" t="n">
        <v>315.47</v>
      </c>
      <c r="K3337" s="21" t="n">
        <v>368.05</v>
      </c>
      <c r="L3337" s="21" t="n">
        <v>420.63</v>
      </c>
      <c r="M3337" s="21" t="n">
        <v>455</v>
      </c>
    </row>
    <row r="3338">
      <c r="A3338" s="9" t="inlineStr">
        <is>
          <t>HAIFENG</t>
        </is>
      </c>
      <c r="B3338" s="9" t="inlineStr">
        <is>
          <t>HAIFENG 16/04/2026</t>
        </is>
      </c>
      <c r="C3338" s="9" t="inlineStr">
        <is>
          <t>2026-04-16</t>
        </is>
      </c>
      <c r="D3338" s="9" t="inlineStr">
        <is>
          <t>89246881063213</t>
        </is>
      </c>
      <c r="E3338" s="9" t="inlineStr">
        <is>
          <t>ANILLO LOVE CERAMIC</t>
        </is>
      </c>
      <c r="F3338" s="9" t="inlineStr">
        <is>
          <t>8</t>
        </is>
      </c>
      <c r="G3338" s="9" t="n">
        <v>2</v>
      </c>
      <c r="H3338" s="21" t="n">
        <v>6</v>
      </c>
      <c r="I3338" s="21" t="n">
        <v>126.19</v>
      </c>
      <c r="J3338" s="21" t="n">
        <v>378.57</v>
      </c>
      <c r="K3338" s="21" t="n">
        <v>441.66</v>
      </c>
      <c r="L3338" s="21" t="n">
        <v>504.76</v>
      </c>
      <c r="M3338" s="21" t="n">
        <v>499</v>
      </c>
    </row>
    <row r="3339">
      <c r="A3339" s="9" t="inlineStr">
        <is>
          <t>HAIFENG</t>
        </is>
      </c>
      <c r="B3339" s="9" t="inlineStr">
        <is>
          <t>HAIFENG 16/04/2026</t>
        </is>
      </c>
      <c r="C3339" s="9" t="inlineStr">
        <is>
          <t>2026-04-16</t>
        </is>
      </c>
      <c r="D3339" s="9" t="inlineStr">
        <is>
          <t>59436481593709</t>
        </is>
      </c>
      <c r="E3339" s="9" t="inlineStr">
        <is>
          <t>ANILLO LOVE CON ZIRCONIA SILVER (THIN WITH ZIRCONIAS)</t>
        </is>
      </c>
      <c r="F3339" s="9" t="inlineStr">
        <is>
          <t>10</t>
        </is>
      </c>
      <c r="G3339" s="9" t="n">
        <v>2</v>
      </c>
      <c r="H3339" s="21" t="n">
        <v>1.8</v>
      </c>
      <c r="I3339" s="21" t="n">
        <v>37.86</v>
      </c>
      <c r="J3339" s="21" t="n">
        <v>113.57</v>
      </c>
      <c r="K3339" s="21" t="n">
        <v>132.5</v>
      </c>
      <c r="L3339" s="21" t="n">
        <v>151.43</v>
      </c>
      <c r="M3339" s="21" t="n">
        <v>450</v>
      </c>
    </row>
    <row r="3340">
      <c r="A3340" s="9" t="inlineStr">
        <is>
          <t>HAIFENG</t>
        </is>
      </c>
      <c r="B3340" s="9" t="inlineStr">
        <is>
          <t>HAIFENG 16/04/2026</t>
        </is>
      </c>
      <c r="C3340" s="9" t="inlineStr">
        <is>
          <t>2026-04-16</t>
        </is>
      </c>
      <c r="D3340" s="9" t="inlineStr">
        <is>
          <t>MAJO</t>
        </is>
      </c>
      <c r="E3340" s="9" t="inlineStr">
        <is>
          <t>ANILLO LOVE GOLD</t>
        </is>
      </c>
      <c r="F3340" s="9" t="inlineStr"/>
      <c r="G3340" s="9" t="n">
        <v>1</v>
      </c>
      <c r="H3340" s="21" t="n">
        <v>1.8</v>
      </c>
      <c r="I3340" s="21" t="n">
        <v>37.86</v>
      </c>
      <c r="J3340" s="21" t="n">
        <v>113.57</v>
      </c>
      <c r="K3340" s="21" t="n">
        <v>132.5</v>
      </c>
      <c r="L3340" s="21" t="n">
        <v>151.43</v>
      </c>
      <c r="M3340" s="21" t="n"/>
    </row>
    <row r="3341">
      <c r="A3341" s="9" t="inlineStr">
        <is>
          <t>HAIFENG</t>
        </is>
      </c>
      <c r="B3341" s="9" t="inlineStr">
        <is>
          <t>HAIFENG 16/04/2026</t>
        </is>
      </c>
      <c r="C3341" s="9" t="inlineStr">
        <is>
          <t>2026-04-16</t>
        </is>
      </c>
      <c r="D3341" s="9" t="inlineStr">
        <is>
          <t>66176a3a6e732</t>
        </is>
      </c>
      <c r="E3341" s="9" t="inlineStr">
        <is>
          <t>ANILLO LOVE GOLD ( THIN WITHOUT ZIRCONIAS)</t>
        </is>
      </c>
      <c r="F3341" s="9" t="inlineStr">
        <is>
          <t>7</t>
        </is>
      </c>
      <c r="G3341" s="9" t="n">
        <v>7</v>
      </c>
      <c r="H3341" s="21" t="n">
        <v>1.8</v>
      </c>
      <c r="I3341" s="21" t="n">
        <v>37.86</v>
      </c>
      <c r="J3341" s="21" t="n">
        <v>113.57</v>
      </c>
      <c r="K3341" s="21" t="n">
        <v>132.5</v>
      </c>
      <c r="L3341" s="21" t="n">
        <v>151.43</v>
      </c>
      <c r="M3341" s="21" t="n">
        <v>400</v>
      </c>
    </row>
    <row r="3342">
      <c r="A3342" s="9" t="inlineStr">
        <is>
          <t>HAIFENG</t>
        </is>
      </c>
      <c r="B3342" s="9" t="inlineStr">
        <is>
          <t>HAIFENG 16/04/2026</t>
        </is>
      </c>
      <c r="C3342" s="9" t="inlineStr">
        <is>
          <t>2026-04-16</t>
        </is>
      </c>
      <c r="D3342" s="9" t="inlineStr">
        <is>
          <t>2653021483532</t>
        </is>
      </c>
      <c r="E3342" s="9" t="inlineStr">
        <is>
          <t>ANILLO LOVE GOLD ANCHO (WIDHT WITHOUT ZIRCONIAS)</t>
        </is>
      </c>
      <c r="F3342" s="9" t="inlineStr">
        <is>
          <t>7</t>
        </is>
      </c>
      <c r="G3342" s="9" t="n">
        <v>5</v>
      </c>
      <c r="H3342" s="21" t="n">
        <v>1.8</v>
      </c>
      <c r="I3342" s="21" t="n">
        <v>37.86</v>
      </c>
      <c r="J3342" s="21" t="n">
        <v>113.57</v>
      </c>
      <c r="K3342" s="21" t="n">
        <v>132.5</v>
      </c>
      <c r="L3342" s="21" t="n">
        <v>151.43</v>
      </c>
      <c r="M3342" s="21" t="n">
        <v>400</v>
      </c>
    </row>
    <row r="3343">
      <c r="A3343" s="9" t="inlineStr">
        <is>
          <t>HAIFENG</t>
        </is>
      </c>
      <c r="B3343" s="9" t="inlineStr">
        <is>
          <t>HAIFENG 16/04/2026</t>
        </is>
      </c>
      <c r="C3343" s="9" t="inlineStr">
        <is>
          <t>2026-04-16</t>
        </is>
      </c>
      <c r="D3343" s="9" t="inlineStr">
        <is>
          <t>2653021549068</t>
        </is>
      </c>
      <c r="E3343" s="9" t="inlineStr">
        <is>
          <t>ANILLO LOVE GOLD ANCHO (WIDHT WITHOUT ZIRCONIAS)</t>
        </is>
      </c>
      <c r="F3343" s="9" t="inlineStr">
        <is>
          <t>9</t>
        </is>
      </c>
      <c r="G3343" s="9" t="n">
        <v>3</v>
      </c>
      <c r="H3343" s="21" t="n">
        <v>1.8</v>
      </c>
      <c r="I3343" s="21" t="n">
        <v>37.86</v>
      </c>
      <c r="J3343" s="21" t="n">
        <v>113.57</v>
      </c>
      <c r="K3343" s="21" t="n">
        <v>132.5</v>
      </c>
      <c r="L3343" s="21" t="n">
        <v>151.43</v>
      </c>
      <c r="M3343" s="21" t="n">
        <v>400</v>
      </c>
    </row>
    <row r="3344">
      <c r="A3344" s="9" t="inlineStr">
        <is>
          <t>HAIFENG</t>
        </is>
      </c>
      <c r="B3344" s="9" t="inlineStr">
        <is>
          <t>HAIFENG 16/04/2026</t>
        </is>
      </c>
      <c r="C3344" s="9" t="inlineStr">
        <is>
          <t>2026-04-16</t>
        </is>
      </c>
      <c r="D3344" s="9" t="inlineStr">
        <is>
          <t>2653021450764</t>
        </is>
      </c>
      <c r="E3344" s="9" t="inlineStr">
        <is>
          <t>ANILLO LOVE GOLD ANCHO (WIDHT WITHOUT ZIRCONIAS)</t>
        </is>
      </c>
      <c r="F3344" s="9" t="inlineStr">
        <is>
          <t>6</t>
        </is>
      </c>
      <c r="G3344" s="9" t="n">
        <v>5</v>
      </c>
      <c r="H3344" s="21" t="n">
        <v>1.8</v>
      </c>
      <c r="I3344" s="21" t="n">
        <v>37.86</v>
      </c>
      <c r="J3344" s="21" t="n">
        <v>113.57</v>
      </c>
      <c r="K3344" s="21" t="n">
        <v>132.5</v>
      </c>
      <c r="L3344" s="21" t="n">
        <v>151.43</v>
      </c>
      <c r="M3344" s="21" t="n">
        <v>400</v>
      </c>
    </row>
    <row r="3345">
      <c r="A3345" s="9" t="inlineStr">
        <is>
          <t>HAIFENG</t>
        </is>
      </c>
      <c r="B3345" s="9" t="inlineStr">
        <is>
          <t>HAIFENG 16/04/2026</t>
        </is>
      </c>
      <c r="C3345" s="9" t="inlineStr">
        <is>
          <t>2026-04-16</t>
        </is>
      </c>
      <c r="D3345" s="9" t="inlineStr">
        <is>
          <t>66176c908bd7d</t>
        </is>
      </c>
      <c r="E3345" s="9" t="inlineStr">
        <is>
          <t>ANILLO LOVE GOLD ANCHO (WIDHT WITh ZIRCONIAS)</t>
        </is>
      </c>
      <c r="F3345" s="9" t="inlineStr">
        <is>
          <t>5</t>
        </is>
      </c>
      <c r="G3345" s="9" t="n">
        <v>3</v>
      </c>
      <c r="H3345" s="21" t="n">
        <v>1.8</v>
      </c>
      <c r="I3345" s="21" t="n">
        <v>37.86</v>
      </c>
      <c r="J3345" s="21" t="n">
        <v>113.57</v>
      </c>
      <c r="K3345" s="21" t="n">
        <v>132.5</v>
      </c>
      <c r="L3345" s="21" t="n">
        <v>151.43</v>
      </c>
      <c r="M3345" s="21" t="n">
        <v>450</v>
      </c>
    </row>
    <row r="3346">
      <c r="A3346" s="9" t="inlineStr">
        <is>
          <t>HAIFENG</t>
        </is>
      </c>
      <c r="B3346" s="9" t="inlineStr">
        <is>
          <t>HAIFENG 16/04/2026</t>
        </is>
      </c>
      <c r="C3346" s="9" t="inlineStr">
        <is>
          <t>2026-04-16</t>
        </is>
      </c>
      <c r="D3346" s="9" t="inlineStr">
        <is>
          <t>66593bc3186e1</t>
        </is>
      </c>
      <c r="E3346" s="9" t="inlineStr">
        <is>
          <t>ANILLO LOVE MZ GOLD</t>
        </is>
      </c>
      <c r="F3346" s="9" t="inlineStr">
        <is>
          <t>7</t>
        </is>
      </c>
      <c r="G3346" s="9" t="n">
        <v>1</v>
      </c>
      <c r="H3346" s="21" t="n">
        <v>5.8</v>
      </c>
      <c r="I3346" s="21" t="n">
        <v>121.98</v>
      </c>
      <c r="J3346" s="21" t="n">
        <v>365.95</v>
      </c>
      <c r="K3346" s="21" t="n">
        <v>426.94</v>
      </c>
      <c r="L3346" s="21" t="n">
        <v>487.93</v>
      </c>
      <c r="M3346" s="21" t="n">
        <v>550</v>
      </c>
    </row>
    <row r="3347">
      <c r="A3347" s="9" t="inlineStr">
        <is>
          <t>HAIFENG</t>
        </is>
      </c>
      <c r="B3347" s="9" t="inlineStr">
        <is>
          <t>HAIFENG 16/04/2026</t>
        </is>
      </c>
      <c r="C3347" s="9" t="inlineStr">
        <is>
          <t>2026-04-16</t>
        </is>
      </c>
      <c r="D3347" s="9" t="inlineStr">
        <is>
          <t>66593bc339714</t>
        </is>
      </c>
      <c r="E3347" s="9" t="inlineStr">
        <is>
          <t>ANILLO LOVE MZ SILVER</t>
        </is>
      </c>
      <c r="F3347" s="9" t="inlineStr">
        <is>
          <t>7</t>
        </is>
      </c>
      <c r="G3347" s="9" t="n">
        <v>4</v>
      </c>
      <c r="H3347" s="21" t="n">
        <v>5.8</v>
      </c>
      <c r="I3347" s="21" t="n">
        <v>121.98</v>
      </c>
      <c r="J3347" s="21" t="n">
        <v>365.95</v>
      </c>
      <c r="K3347" s="21" t="n">
        <v>426.94</v>
      </c>
      <c r="L3347" s="21" t="n">
        <v>487.93</v>
      </c>
      <c r="M3347" s="21" t="n">
        <v>550</v>
      </c>
    </row>
    <row r="3348">
      <c r="A3348" s="9" t="inlineStr">
        <is>
          <t>HAIFENG</t>
        </is>
      </c>
      <c r="B3348" s="9" t="inlineStr">
        <is>
          <t>HAIFENG 16/04/2026</t>
        </is>
      </c>
      <c r="C3348" s="9" t="inlineStr">
        <is>
          <t>2026-04-16</t>
        </is>
      </c>
      <c r="D3348" s="9" t="inlineStr">
        <is>
          <t>66593bc48c52f</t>
        </is>
      </c>
      <c r="E3348" s="9" t="inlineStr">
        <is>
          <t>ANILLO LOVE MZ SILVER</t>
        </is>
      </c>
      <c r="F3348" s="9" t="inlineStr">
        <is>
          <t>9</t>
        </is>
      </c>
      <c r="G3348" s="9" t="n">
        <v>1</v>
      </c>
      <c r="H3348" s="21" t="n">
        <v>5.8</v>
      </c>
      <c r="I3348" s="21" t="n">
        <v>121.98</v>
      </c>
      <c r="J3348" s="21" t="n">
        <v>365.95</v>
      </c>
      <c r="K3348" s="21" t="n">
        <v>426.94</v>
      </c>
      <c r="L3348" s="21" t="n">
        <v>487.93</v>
      </c>
      <c r="M3348" s="21" t="n">
        <v>550</v>
      </c>
    </row>
    <row r="3349">
      <c r="A3349" s="9" t="inlineStr">
        <is>
          <t>HAIFENG</t>
        </is>
      </c>
      <c r="B3349" s="9" t="inlineStr">
        <is>
          <t>HAIFENG 16/04/2026</t>
        </is>
      </c>
      <c r="C3349" s="9" t="inlineStr">
        <is>
          <t>2026-04-16</t>
        </is>
      </c>
      <c r="D3349" s="9" t="inlineStr">
        <is>
          <t>66176c8bd1187</t>
        </is>
      </c>
      <c r="E3349" s="9" t="inlineStr">
        <is>
          <t>ANILLO LOVE ROSE GOLD ANCHO (WIDHT WITHOUT ZIRCONIAS)</t>
        </is>
      </c>
      <c r="F3349" s="9" t="inlineStr">
        <is>
          <t>8</t>
        </is>
      </c>
      <c r="G3349" s="9" t="n">
        <v>2</v>
      </c>
      <c r="H3349" s="21" t="n">
        <v>1.8</v>
      </c>
      <c r="I3349" s="21" t="n">
        <v>37.86</v>
      </c>
      <c r="J3349" s="21" t="n">
        <v>113.57</v>
      </c>
      <c r="K3349" s="21" t="n">
        <v>132.5</v>
      </c>
      <c r="L3349" s="21" t="n">
        <v>151.43</v>
      </c>
      <c r="M3349" s="21" t="n">
        <v>400</v>
      </c>
    </row>
    <row r="3350">
      <c r="A3350" s="9" t="inlineStr">
        <is>
          <t>HAIFENG</t>
        </is>
      </c>
      <c r="B3350" s="9" t="inlineStr">
        <is>
          <t>HAIFENG 16/04/2026</t>
        </is>
      </c>
      <c r="C3350" s="9" t="inlineStr">
        <is>
          <t>2026-04-16</t>
        </is>
      </c>
      <c r="D3350" s="9" t="inlineStr">
        <is>
          <t>66593bca3c26c</t>
        </is>
      </c>
      <c r="E3350" s="9" t="inlineStr">
        <is>
          <t>ANILLO LOVE ROSE GOLD ANCHO CON ZIRCONIA (WIDHT WITH ZIRCONIAS)</t>
        </is>
      </c>
      <c r="F3350" s="9" t="inlineStr">
        <is>
          <t>10</t>
        </is>
      </c>
      <c r="G3350" s="9" t="n">
        <v>1</v>
      </c>
      <c r="H3350" s="21" t="n">
        <v>1.8</v>
      </c>
      <c r="I3350" s="21" t="n">
        <v>37.86</v>
      </c>
      <c r="J3350" s="21" t="n">
        <v>113.57</v>
      </c>
      <c r="K3350" s="21" t="n">
        <v>132.5</v>
      </c>
      <c r="L3350" s="21" t="n">
        <v>151.43</v>
      </c>
      <c r="M3350" s="21" t="n">
        <v>400</v>
      </c>
    </row>
    <row r="3351">
      <c r="A3351" s="9" t="inlineStr">
        <is>
          <t>HAIFENG</t>
        </is>
      </c>
      <c r="B3351" s="9" t="inlineStr">
        <is>
          <t>HAIFENG 16/04/2026</t>
        </is>
      </c>
      <c r="C3351" s="9" t="inlineStr">
        <is>
          <t>2026-04-16</t>
        </is>
      </c>
      <c r="D3351" s="9" t="inlineStr">
        <is>
          <t>66176c850b76a</t>
        </is>
      </c>
      <c r="E3351" s="9" t="inlineStr">
        <is>
          <t>ANILLO LOVE SILVER (THIN WITHOUT ZIRCONIAS)</t>
        </is>
      </c>
      <c r="F3351" s="9" t="inlineStr">
        <is>
          <t>7</t>
        </is>
      </c>
      <c r="G3351" s="9" t="n">
        <v>9</v>
      </c>
      <c r="H3351" s="21" t="n">
        <v>1.8</v>
      </c>
      <c r="I3351" s="21" t="n">
        <v>37.86</v>
      </c>
      <c r="J3351" s="21" t="n">
        <v>113.57</v>
      </c>
      <c r="K3351" s="21" t="n">
        <v>132.5</v>
      </c>
      <c r="L3351" s="21" t="n">
        <v>151.43</v>
      </c>
      <c r="M3351" s="21" t="n">
        <v>400</v>
      </c>
    </row>
    <row r="3352">
      <c r="A3352" s="9" t="inlineStr">
        <is>
          <t>HAIFENG</t>
        </is>
      </c>
      <c r="B3352" s="9" t="inlineStr">
        <is>
          <t>HAIFENG 16/04/2026</t>
        </is>
      </c>
      <c r="C3352" s="9" t="inlineStr">
        <is>
          <t>2026-04-16</t>
        </is>
      </c>
      <c r="D3352" s="9" t="inlineStr">
        <is>
          <t>66176c8589787</t>
        </is>
      </c>
      <c r="E3352" s="9" t="inlineStr">
        <is>
          <t>ANILLO LOVE SILVER (THIN WITHOUT ZIRCONIAS)</t>
        </is>
      </c>
      <c r="F3352" s="9" t="inlineStr">
        <is>
          <t>8</t>
        </is>
      </c>
      <c r="G3352" s="9" t="n">
        <v>4</v>
      </c>
      <c r="H3352" s="21" t="n">
        <v>1.8</v>
      </c>
      <c r="I3352" s="21" t="n">
        <v>37.86</v>
      </c>
      <c r="J3352" s="21" t="n">
        <v>113.57</v>
      </c>
      <c r="K3352" s="21" t="n">
        <v>132.5</v>
      </c>
      <c r="L3352" s="21" t="n">
        <v>151.43</v>
      </c>
      <c r="M3352" s="21" t="n">
        <v>400</v>
      </c>
    </row>
    <row r="3353">
      <c r="A3353" s="9" t="inlineStr">
        <is>
          <t>HAIFENG</t>
        </is>
      </c>
      <c r="B3353" s="9" t="inlineStr">
        <is>
          <t>HAIFENG 16/04/2026</t>
        </is>
      </c>
      <c r="C3353" s="9" t="inlineStr">
        <is>
          <t>2026-04-16</t>
        </is>
      </c>
      <c r="D3353" s="9" t="inlineStr">
        <is>
          <t>66176c83f3f50</t>
        </is>
      </c>
      <c r="E3353" s="9" t="inlineStr">
        <is>
          <t>ANILLO LOVE SILVER (THIN WITHOUT ZIRCONIAS)</t>
        </is>
      </c>
      <c r="F3353" s="9" t="inlineStr">
        <is>
          <t>5</t>
        </is>
      </c>
      <c r="G3353" s="9" t="n">
        <v>5</v>
      </c>
      <c r="H3353" s="21" t="n">
        <v>1.8</v>
      </c>
      <c r="I3353" s="21" t="n">
        <v>37.86</v>
      </c>
      <c r="J3353" s="21" t="n">
        <v>113.57</v>
      </c>
      <c r="K3353" s="21" t="n">
        <v>132.5</v>
      </c>
      <c r="L3353" s="21" t="n">
        <v>151.43</v>
      </c>
      <c r="M3353" s="21" t="n">
        <v>400</v>
      </c>
    </row>
    <row r="3354">
      <c r="A3354" s="9" t="inlineStr">
        <is>
          <t>HAIFENG</t>
        </is>
      </c>
      <c r="B3354" s="9" t="inlineStr">
        <is>
          <t>HAIFENG 16/04/2026</t>
        </is>
      </c>
      <c r="C3354" s="9" t="inlineStr">
        <is>
          <t>2026-04-16</t>
        </is>
      </c>
      <c r="D3354" s="9" t="inlineStr">
        <is>
          <t>66176c8628af3</t>
        </is>
      </c>
      <c r="E3354" s="9" t="inlineStr">
        <is>
          <t>ANILLO LOVE SILVER (THIN WITHOUT ZIRCONIAS)</t>
        </is>
      </c>
      <c r="F3354" s="9" t="inlineStr">
        <is>
          <t>9</t>
        </is>
      </c>
      <c r="G3354" s="9" t="n">
        <v>5</v>
      </c>
      <c r="H3354" s="21" t="n">
        <v>1.8</v>
      </c>
      <c r="I3354" s="21" t="n">
        <v>37.86</v>
      </c>
      <c r="J3354" s="21" t="n">
        <v>113.57</v>
      </c>
      <c r="K3354" s="21" t="n">
        <v>132.5</v>
      </c>
      <c r="L3354" s="21" t="n">
        <v>151.43</v>
      </c>
      <c r="M3354" s="21" t="n">
        <v>400</v>
      </c>
    </row>
    <row r="3355">
      <c r="A3355" s="9" t="inlineStr">
        <is>
          <t>HAIFENG</t>
        </is>
      </c>
      <c r="B3355" s="9" t="inlineStr">
        <is>
          <t>HAIFENG 16/04/2026</t>
        </is>
      </c>
      <c r="C3355" s="9" t="inlineStr">
        <is>
          <t>2026-04-16</t>
        </is>
      </c>
      <c r="D3355" s="9" t="inlineStr">
        <is>
          <t>66176c86bbe5a</t>
        </is>
      </c>
      <c r="E3355" s="9" t="inlineStr">
        <is>
          <t>ANILLO LOVE SILVER (THIN WITHOUT ZIRCONIAS)</t>
        </is>
      </c>
      <c r="F3355" s="9" t="inlineStr">
        <is>
          <t>10</t>
        </is>
      </c>
      <c r="G3355" s="9" t="n">
        <v>3</v>
      </c>
      <c r="H3355" s="21" t="n">
        <v>1.8</v>
      </c>
      <c r="I3355" s="21" t="n">
        <v>37.86</v>
      </c>
      <c r="J3355" s="21" t="n">
        <v>113.57</v>
      </c>
      <c r="K3355" s="21" t="n">
        <v>132.5</v>
      </c>
      <c r="L3355" s="21" t="n">
        <v>151.43</v>
      </c>
      <c r="M3355" s="21" t="n">
        <v>400</v>
      </c>
    </row>
    <row r="3356">
      <c r="A3356" s="9" t="inlineStr">
        <is>
          <t>HAIFENG</t>
        </is>
      </c>
      <c r="B3356" s="9" t="inlineStr">
        <is>
          <t>HAIFENG 16/04/2026</t>
        </is>
      </c>
      <c r="C3356" s="9" t="inlineStr">
        <is>
          <t>2026-04-16</t>
        </is>
      </c>
      <c r="D3356" s="9" t="inlineStr">
        <is>
          <t>2653026136588</t>
        </is>
      </c>
      <c r="E3356" s="9" t="inlineStr">
        <is>
          <t>ANILLO LOVE SILVER ANCHO (WIDHT WIHTOUT ZIRCONIAS)</t>
        </is>
      </c>
      <c r="F3356" s="9" t="inlineStr">
        <is>
          <t>7</t>
        </is>
      </c>
      <c r="G3356" s="9" t="n">
        <v>7</v>
      </c>
      <c r="H3356" s="21" t="n">
        <v>1.8</v>
      </c>
      <c r="I3356" s="21" t="n">
        <v>37.86</v>
      </c>
      <c r="J3356" s="21" t="n">
        <v>113.57</v>
      </c>
      <c r="K3356" s="21" t="n">
        <v>132.5</v>
      </c>
      <c r="L3356" s="21" t="n">
        <v>151.43</v>
      </c>
      <c r="M3356" s="21" t="n">
        <v>400</v>
      </c>
    </row>
    <row r="3357">
      <c r="A3357" s="9" t="inlineStr">
        <is>
          <t>HAIFENG</t>
        </is>
      </c>
      <c r="B3357" s="9" t="inlineStr">
        <is>
          <t>HAIFENG 16/04/2026</t>
        </is>
      </c>
      <c r="C3357" s="9" t="inlineStr">
        <is>
          <t>2026-04-16</t>
        </is>
      </c>
      <c r="D3357" s="9" t="inlineStr">
        <is>
          <t>2653036234892</t>
        </is>
      </c>
      <c r="E3357" s="9" t="inlineStr">
        <is>
          <t>ANILLO LOVE SILVER ANCHO (WIDHT WIHTOUT ZIRCONIAS)</t>
        </is>
      </c>
      <c r="F3357" s="9" t="inlineStr">
        <is>
          <t>10</t>
        </is>
      </c>
      <c r="G3357" s="9" t="n">
        <v>3</v>
      </c>
      <c r="H3357" s="21" t="n">
        <v>1.8</v>
      </c>
      <c r="I3357" s="21" t="n">
        <v>37.86</v>
      </c>
      <c r="J3357" s="21" t="n">
        <v>113.57</v>
      </c>
      <c r="K3357" s="21" t="n">
        <v>132.5</v>
      </c>
      <c r="L3357" s="21" t="n">
        <v>151.43</v>
      </c>
      <c r="M3357" s="21" t="n">
        <v>400</v>
      </c>
    </row>
    <row r="3358">
      <c r="A3358" s="9" t="inlineStr">
        <is>
          <t>HAIFENG</t>
        </is>
      </c>
      <c r="B3358" s="9" t="inlineStr">
        <is>
          <t>HAIFENG 16/04/2026</t>
        </is>
      </c>
      <c r="C3358" s="9" t="inlineStr">
        <is>
          <t>2026-04-16</t>
        </is>
      </c>
      <c r="D3358" s="9" t="inlineStr">
        <is>
          <t>21206411460429</t>
        </is>
      </c>
      <c r="E3358" s="9" t="inlineStr">
        <is>
          <t>ANILLO LOVE UNLIMITED GOLD</t>
        </is>
      </c>
      <c r="F3358" s="9" t="inlineStr">
        <is>
          <t>8</t>
        </is>
      </c>
      <c r="G3358" s="9" t="n">
        <v>4</v>
      </c>
      <c r="H3358" s="21" t="n">
        <v>5</v>
      </c>
      <c r="I3358" s="21" t="n">
        <v>105.16</v>
      </c>
      <c r="J3358" s="21" t="n">
        <v>315.47</v>
      </c>
      <c r="K3358" s="21" t="n">
        <v>368.05</v>
      </c>
      <c r="L3358" s="21" t="n">
        <v>420.63</v>
      </c>
      <c r="M3358" s="21" t="n">
        <v>550</v>
      </c>
    </row>
    <row r="3359">
      <c r="A3359" s="9" t="inlineStr">
        <is>
          <t>HAIFENG</t>
        </is>
      </c>
      <c r="B3359" s="9" t="inlineStr">
        <is>
          <t>HAIFENG 16/04/2026</t>
        </is>
      </c>
      <c r="C3359" s="9" t="inlineStr">
        <is>
          <t>2026-04-16</t>
        </is>
      </c>
      <c r="D3359" s="9" t="inlineStr">
        <is>
          <t>21206411327661</t>
        </is>
      </c>
      <c r="E3359" s="9" t="inlineStr">
        <is>
          <t>ANILLO LOVE UNLIMITED GOLD</t>
        </is>
      </c>
      <c r="F3359" s="9" t="inlineStr">
        <is>
          <t>7</t>
        </is>
      </c>
      <c r="G3359" s="9" t="n">
        <v>5</v>
      </c>
      <c r="H3359" s="21" t="n">
        <v>5</v>
      </c>
      <c r="I3359" s="21" t="n">
        <v>105.16</v>
      </c>
      <c r="J3359" s="21" t="n">
        <v>315.47</v>
      </c>
      <c r="K3359" s="21" t="n">
        <v>368.05</v>
      </c>
      <c r="L3359" s="21" t="n">
        <v>420.63</v>
      </c>
      <c r="M3359" s="21" t="n">
        <v>550</v>
      </c>
    </row>
    <row r="3360">
      <c r="A3360" s="9" t="inlineStr">
        <is>
          <t>HAIFENG</t>
        </is>
      </c>
      <c r="B3360" s="9" t="inlineStr">
        <is>
          <t>HAIFENG 16/04/2026</t>
        </is>
      </c>
      <c r="C3360" s="9" t="inlineStr">
        <is>
          <t>2026-04-16</t>
        </is>
      </c>
      <c r="D3360" s="9" t="inlineStr">
        <is>
          <t>21206411184717</t>
        </is>
      </c>
      <c r="E3360" s="9" t="inlineStr">
        <is>
          <t>ANILLO LOVE UNLIMITED ROSEGOLD</t>
        </is>
      </c>
      <c r="F3360" s="9" t="inlineStr">
        <is>
          <t>7</t>
        </is>
      </c>
      <c r="G3360" s="9" t="n">
        <v>2</v>
      </c>
      <c r="H3360" s="21" t="n">
        <v>5</v>
      </c>
      <c r="I3360" s="21" t="n">
        <v>105.16</v>
      </c>
      <c r="J3360" s="21" t="n">
        <v>315.47</v>
      </c>
      <c r="K3360" s="21" t="n">
        <v>368.05</v>
      </c>
      <c r="L3360" s="21" t="n">
        <v>420.63</v>
      </c>
      <c r="M3360" s="21" t="n">
        <v>550</v>
      </c>
    </row>
    <row r="3361">
      <c r="A3361" s="9" t="inlineStr">
        <is>
          <t>HAIFENG</t>
        </is>
      </c>
      <c r="B3361" s="9" t="inlineStr">
        <is>
          <t>HAIFENG 16/04/2026</t>
        </is>
      </c>
      <c r="C3361" s="9" t="inlineStr">
        <is>
          <t>2026-04-16</t>
        </is>
      </c>
      <c r="D3361" s="9" t="inlineStr">
        <is>
          <t>21206421648557</t>
        </is>
      </c>
      <c r="E3361" s="9" t="inlineStr">
        <is>
          <t>ANILLO LOVE UNLIMITED SILVER</t>
        </is>
      </c>
      <c r="F3361" s="9" t="inlineStr">
        <is>
          <t>7</t>
        </is>
      </c>
      <c r="G3361" s="9" t="n">
        <v>4</v>
      </c>
      <c r="H3361" s="21" t="n">
        <v>5</v>
      </c>
      <c r="I3361" s="21" t="n">
        <v>105.16</v>
      </c>
      <c r="J3361" s="21" t="n">
        <v>315.47</v>
      </c>
      <c r="K3361" s="21" t="n">
        <v>368.05</v>
      </c>
      <c r="L3361" s="21" t="n">
        <v>420.63</v>
      </c>
      <c r="M3361" s="21" t="n">
        <v>550</v>
      </c>
    </row>
    <row r="3362">
      <c r="A3362" s="9" t="inlineStr">
        <is>
          <t>HAIFENG</t>
        </is>
      </c>
      <c r="B3362" s="9" t="inlineStr">
        <is>
          <t>HAIFENG 16/04/2026</t>
        </is>
      </c>
      <c r="C3362" s="9" t="inlineStr">
        <is>
          <t>2026-04-16</t>
        </is>
      </c>
      <c r="D3362" s="9" t="inlineStr">
        <is>
          <t>15554121015853</t>
        </is>
      </c>
      <c r="E3362" s="9" t="inlineStr">
        <is>
          <t>ANILLO MOVE PAVE GOLD</t>
        </is>
      </c>
      <c r="F3362" s="9" t="inlineStr">
        <is>
          <t>6</t>
        </is>
      </c>
      <c r="G3362" s="9" t="n">
        <v>2</v>
      </c>
      <c r="H3362" s="21" t="n">
        <v>6</v>
      </c>
      <c r="I3362" s="21" t="n">
        <v>126.19</v>
      </c>
      <c r="J3362" s="21" t="n">
        <v>378.57</v>
      </c>
      <c r="K3362" s="21" t="n">
        <v>441.66</v>
      </c>
      <c r="L3362" s="21" t="n">
        <v>504.76</v>
      </c>
      <c r="M3362" s="21" t="n">
        <v>499</v>
      </c>
    </row>
    <row r="3363">
      <c r="A3363" s="9" t="inlineStr">
        <is>
          <t>HAIFENG</t>
        </is>
      </c>
      <c r="B3363" s="9" t="inlineStr">
        <is>
          <t>HAIFENG 16/04/2026</t>
        </is>
      </c>
      <c r="C3363" s="9" t="inlineStr">
        <is>
          <t>2026-04-16</t>
        </is>
      </c>
      <c r="D3363" s="9" t="inlineStr">
        <is>
          <t>15554121148621</t>
        </is>
      </c>
      <c r="E3363" s="9" t="inlineStr">
        <is>
          <t>ANILLO MOVE PAVE GOLD</t>
        </is>
      </c>
      <c r="F3363" s="9" t="inlineStr">
        <is>
          <t>7</t>
        </is>
      </c>
      <c r="G3363" s="9" t="n">
        <v>2</v>
      </c>
      <c r="H3363" s="21" t="n">
        <v>6</v>
      </c>
      <c r="I3363" s="21" t="n">
        <v>126.19</v>
      </c>
      <c r="J3363" s="21" t="n">
        <v>378.57</v>
      </c>
      <c r="K3363" s="21" t="n">
        <v>441.66</v>
      </c>
      <c r="L3363" s="21" t="n">
        <v>504.76</v>
      </c>
      <c r="M3363" s="21" t="n">
        <v>499</v>
      </c>
    </row>
    <row r="3364">
      <c r="A3364" s="9" t="inlineStr">
        <is>
          <t>HAIFENG</t>
        </is>
      </c>
      <c r="B3364" s="9" t="inlineStr">
        <is>
          <t>HAIFENG 16/04/2026</t>
        </is>
      </c>
      <c r="C3364" s="9" t="inlineStr">
        <is>
          <t>2026-04-16</t>
        </is>
      </c>
      <c r="D3364" s="9" t="inlineStr">
        <is>
          <t>15554121422637</t>
        </is>
      </c>
      <c r="E3364" s="9" t="inlineStr">
        <is>
          <t>ANILLO MOVE PAVE SILVER</t>
        </is>
      </c>
      <c r="F3364" s="9" t="inlineStr">
        <is>
          <t>6</t>
        </is>
      </c>
      <c r="G3364" s="9" t="n">
        <v>2</v>
      </c>
      <c r="H3364" s="21" t="n">
        <v>6.5</v>
      </c>
      <c r="I3364" s="21" t="n">
        <v>136.7</v>
      </c>
      <c r="J3364" s="21" t="n">
        <v>410.11</v>
      </c>
      <c r="K3364" s="21" t="n">
        <v>478.47</v>
      </c>
      <c r="L3364" s="21" t="n">
        <v>546.8200000000001</v>
      </c>
      <c r="M3364" s="21" t="n">
        <v>550</v>
      </c>
    </row>
    <row r="3365">
      <c r="A3365" s="9" t="inlineStr">
        <is>
          <t>HAIFENG</t>
        </is>
      </c>
      <c r="B3365" s="9" t="inlineStr">
        <is>
          <t>HAIFENG 16/04/2026</t>
        </is>
      </c>
      <c r="C3365" s="9" t="inlineStr">
        <is>
          <t>2026-04-16</t>
        </is>
      </c>
      <c r="D3365" s="9" t="inlineStr">
        <is>
          <t>15554121555405</t>
        </is>
      </c>
      <c r="E3365" s="9" t="inlineStr">
        <is>
          <t>ANILLO MOVE PAVE SILVER</t>
        </is>
      </c>
      <c r="F3365" s="9" t="inlineStr">
        <is>
          <t>7</t>
        </is>
      </c>
      <c r="G3365" s="9" t="n">
        <v>2</v>
      </c>
      <c r="H3365" s="21" t="n">
        <v>6.5</v>
      </c>
      <c r="I3365" s="21" t="n">
        <v>136.7</v>
      </c>
      <c r="J3365" s="21" t="n">
        <v>410.11</v>
      </c>
      <c r="K3365" s="21" t="n">
        <v>478.47</v>
      </c>
      <c r="L3365" s="21" t="n">
        <v>546.8200000000001</v>
      </c>
      <c r="M3365" s="21" t="n">
        <v>550</v>
      </c>
    </row>
    <row r="3366">
      <c r="A3366" s="9" t="inlineStr">
        <is>
          <t>HAIFENG</t>
        </is>
      </c>
      <c r="B3366" s="9" t="inlineStr">
        <is>
          <t>HAIFENG 16/04/2026</t>
        </is>
      </c>
      <c r="C3366" s="9" t="inlineStr">
        <is>
          <t>2026-04-16</t>
        </is>
      </c>
      <c r="D3366" s="9" t="inlineStr">
        <is>
          <t>15554121245229</t>
        </is>
      </c>
      <c r="E3366" s="9" t="inlineStr">
        <is>
          <t>ANILLO MOVE UNO PAVE DROP GOLD</t>
        </is>
      </c>
      <c r="F3366" s="9" t="inlineStr">
        <is>
          <t>7</t>
        </is>
      </c>
      <c r="G3366" s="9" t="n">
        <v>2</v>
      </c>
      <c r="H3366" s="21" t="n">
        <v>7</v>
      </c>
      <c r="I3366" s="21" t="n">
        <v>147.22</v>
      </c>
      <c r="J3366" s="21" t="n">
        <v>441.66</v>
      </c>
      <c r="K3366" s="21" t="n">
        <v>515.27</v>
      </c>
      <c r="L3366" s="21" t="n">
        <v>588.88</v>
      </c>
      <c r="M3366" s="21" t="n">
        <v>599</v>
      </c>
    </row>
    <row r="3367">
      <c r="A3367" s="9" t="inlineStr">
        <is>
          <t>HAIFENG</t>
        </is>
      </c>
      <c r="B3367" s="9" t="inlineStr">
        <is>
          <t>HAIFENG 16/04/2026</t>
        </is>
      </c>
      <c r="C3367" s="9" t="inlineStr">
        <is>
          <t>2026-04-16</t>
        </is>
      </c>
      <c r="D3367" s="9" t="inlineStr">
        <is>
          <t>89246883414157</t>
        </is>
      </c>
      <c r="E3367" s="9" t="inlineStr">
        <is>
          <t>ANILLO MOVE UNO SILVER ZIRCONIAS</t>
        </is>
      </c>
      <c r="F3367" s="9" t="inlineStr">
        <is>
          <t>7</t>
        </is>
      </c>
      <c r="G3367" s="9" t="n">
        <v>2</v>
      </c>
      <c r="H3367" s="21" t="n">
        <v>5</v>
      </c>
      <c r="I3367" s="21" t="n">
        <v>105.16</v>
      </c>
      <c r="J3367" s="21" t="n">
        <v>315.47</v>
      </c>
      <c r="K3367" s="21" t="n">
        <v>368.05</v>
      </c>
      <c r="L3367" s="21" t="n">
        <v>420.63</v>
      </c>
      <c r="M3367" s="21" t="n">
        <v>450</v>
      </c>
    </row>
    <row r="3368">
      <c r="A3368" s="9" t="inlineStr">
        <is>
          <t>HAIFENG</t>
        </is>
      </c>
      <c r="B3368" s="9" t="inlineStr">
        <is>
          <t>HAIFENG 16/04/2026</t>
        </is>
      </c>
      <c r="C3368" s="9" t="inlineStr">
        <is>
          <t>2026-04-16</t>
        </is>
      </c>
      <c r="D3368" s="9" t="inlineStr">
        <is>
          <t>89246883546925</t>
        </is>
      </c>
      <c r="E3368" s="9" t="inlineStr">
        <is>
          <t>ANILLO MOVE UNO SILVER ZIRCONIAS</t>
        </is>
      </c>
      <c r="F3368" s="9" t="inlineStr">
        <is>
          <t>8</t>
        </is>
      </c>
      <c r="G3368" s="9" t="n">
        <v>2</v>
      </c>
      <c r="H3368" s="21" t="n">
        <v>5</v>
      </c>
      <c r="I3368" s="21" t="n">
        <v>105.16</v>
      </c>
      <c r="J3368" s="21" t="n">
        <v>315.47</v>
      </c>
      <c r="K3368" s="21" t="n">
        <v>368.05</v>
      </c>
      <c r="L3368" s="21" t="n">
        <v>420.63</v>
      </c>
      <c r="M3368" s="21" t="n">
        <v>450</v>
      </c>
    </row>
    <row r="3369">
      <c r="A3369" s="9" t="inlineStr">
        <is>
          <t>HAIFENG</t>
        </is>
      </c>
      <c r="B3369" s="9" t="inlineStr">
        <is>
          <t>HAIFENG 16/04/2026</t>
        </is>
      </c>
      <c r="C3369" s="9" t="inlineStr">
        <is>
          <t>2026-04-16</t>
        </is>
      </c>
      <c r="D3369" s="9" t="inlineStr">
        <is>
          <t>673cd55e4a3ca</t>
        </is>
      </c>
      <c r="E3369" s="9" t="inlineStr">
        <is>
          <t>ANILLO ONE T CON ZIRCONIA GOLD</t>
        </is>
      </c>
      <c r="F3369" s="9" t="inlineStr">
        <is>
          <t>6</t>
        </is>
      </c>
      <c r="G3369" s="9" t="n">
        <v>3</v>
      </c>
      <c r="H3369" s="21" t="n">
        <v>5</v>
      </c>
      <c r="I3369" s="21" t="n">
        <v>105.16</v>
      </c>
      <c r="J3369" s="21" t="n">
        <v>315.47</v>
      </c>
      <c r="K3369" s="21" t="n">
        <v>368.05</v>
      </c>
      <c r="L3369" s="21" t="n">
        <v>420.63</v>
      </c>
      <c r="M3369" s="21" t="n">
        <v>450</v>
      </c>
    </row>
    <row r="3370">
      <c r="A3370" s="9" t="inlineStr">
        <is>
          <t>HAIFENG</t>
        </is>
      </c>
      <c r="B3370" s="9" t="inlineStr">
        <is>
          <t>HAIFENG 16/04/2026</t>
        </is>
      </c>
      <c r="C3370" s="9" t="inlineStr">
        <is>
          <t>2026-04-16</t>
        </is>
      </c>
      <c r="D3370" s="9" t="inlineStr">
        <is>
          <t>43047227359372</t>
        </is>
      </c>
      <c r="E3370" s="9" t="inlineStr">
        <is>
          <t>ANILLO ONE T ROSE GOLD CON ZIRCONIA</t>
        </is>
      </c>
      <c r="F3370" s="9" t="inlineStr">
        <is>
          <t>6 HIGH QUALITY</t>
        </is>
      </c>
      <c r="G3370" s="9" t="n">
        <v>3</v>
      </c>
      <c r="H3370" s="21" t="n">
        <v>5</v>
      </c>
      <c r="I3370" s="21" t="n">
        <v>105.16</v>
      </c>
      <c r="J3370" s="21" t="n">
        <v>315.47</v>
      </c>
      <c r="K3370" s="21" t="n">
        <v>368.05</v>
      </c>
      <c r="L3370" s="21" t="n">
        <v>420.63</v>
      </c>
      <c r="M3370" s="21" t="n">
        <v>599</v>
      </c>
    </row>
    <row r="3371">
      <c r="A3371" s="9" t="inlineStr">
        <is>
          <t>HAIFENG</t>
        </is>
      </c>
      <c r="B3371" s="9" t="inlineStr">
        <is>
          <t>HAIFENG 16/04/2026</t>
        </is>
      </c>
      <c r="C3371" s="9" t="inlineStr">
        <is>
          <t>2026-04-16</t>
        </is>
      </c>
      <c r="D3371" s="9" t="inlineStr">
        <is>
          <t>43047227424908</t>
        </is>
      </c>
      <c r="E3371" s="9" t="inlineStr">
        <is>
          <t>ANILLO ONE T ROSE GOLD CON ZIRCONIA</t>
        </is>
      </c>
      <c r="F3371" s="9" t="inlineStr">
        <is>
          <t>8</t>
        </is>
      </c>
      <c r="G3371" s="9" t="n">
        <v>2</v>
      </c>
      <c r="H3371" s="21" t="n">
        <v>5</v>
      </c>
      <c r="I3371" s="21" t="n">
        <v>105.16</v>
      </c>
      <c r="J3371" s="21" t="n">
        <v>315.47</v>
      </c>
      <c r="K3371" s="21" t="n">
        <v>368.05</v>
      </c>
      <c r="L3371" s="21" t="n">
        <v>420.63</v>
      </c>
      <c r="M3371" s="21" t="n">
        <v>450</v>
      </c>
    </row>
    <row r="3372">
      <c r="A3372" s="9" t="inlineStr">
        <is>
          <t>HAIFENG</t>
        </is>
      </c>
      <c r="B3372" s="9" t="inlineStr">
        <is>
          <t>HAIFENG 16/04/2026</t>
        </is>
      </c>
      <c r="C3372" s="9" t="inlineStr">
        <is>
          <t>2026-04-16</t>
        </is>
      </c>
      <c r="D3372" s="9" t="inlineStr">
        <is>
          <t>43047226572940</t>
        </is>
      </c>
      <c r="E3372" s="9" t="inlineStr">
        <is>
          <t>ANILLO SIXTEEN STONE</t>
        </is>
      </c>
      <c r="F3372" s="9" t="inlineStr">
        <is>
          <t>HIGH QUALITY 7</t>
        </is>
      </c>
      <c r="G3372" s="9" t="n">
        <v>5</v>
      </c>
      <c r="H3372" s="21" t="n">
        <v>6</v>
      </c>
      <c r="I3372" s="21" t="n">
        <v>126.19</v>
      </c>
      <c r="J3372" s="21" t="n">
        <v>378.57</v>
      </c>
      <c r="K3372" s="21" t="n">
        <v>441.66</v>
      </c>
      <c r="L3372" s="21" t="n">
        <v>504.76</v>
      </c>
      <c r="M3372" s="21" t="n">
        <v>550</v>
      </c>
    </row>
    <row r="3373">
      <c r="A3373" s="9" t="inlineStr">
        <is>
          <t>HAIFENG</t>
        </is>
      </c>
      <c r="B3373" s="9" t="inlineStr">
        <is>
          <t>HAIFENG 16/04/2026</t>
        </is>
      </c>
      <c r="C3373" s="9" t="inlineStr">
        <is>
          <t>2026-04-16</t>
        </is>
      </c>
      <c r="D3373" s="9" t="inlineStr">
        <is>
          <t>56481484311564</t>
        </is>
      </c>
      <c r="E3373" s="9" t="inlineStr">
        <is>
          <t>ANILLO SIXTEEN STONE GOLD/RED</t>
        </is>
      </c>
      <c r="F3373" s="9" t="inlineStr">
        <is>
          <t>8</t>
        </is>
      </c>
      <c r="G3373" s="9" t="n">
        <v>4</v>
      </c>
      <c r="H3373" s="21" t="n">
        <v>6</v>
      </c>
      <c r="I3373" s="21" t="n">
        <v>126.19</v>
      </c>
      <c r="J3373" s="21" t="n">
        <v>378.57</v>
      </c>
      <c r="K3373" s="21" t="n">
        <v>441.66</v>
      </c>
      <c r="L3373" s="21" t="n">
        <v>504.76</v>
      </c>
      <c r="M3373" s="21" t="n">
        <v>550</v>
      </c>
    </row>
    <row r="3374">
      <c r="A3374" s="9" t="inlineStr">
        <is>
          <t>HAIFENG</t>
        </is>
      </c>
      <c r="B3374" s="9" t="inlineStr">
        <is>
          <t>HAIFENG 16/04/2026</t>
        </is>
      </c>
      <c r="C3374" s="9" t="inlineStr">
        <is>
          <t>2026-04-16</t>
        </is>
      </c>
      <c r="D3374" s="9" t="inlineStr">
        <is>
          <t>668eee497dfb4</t>
        </is>
      </c>
      <c r="E3374" s="9" t="inlineStr">
        <is>
          <t>ANILLO T CON TURQUESA Y ZIRCONIA</t>
        </is>
      </c>
      <c r="F3374" s="9" t="inlineStr">
        <is>
          <t>AJUSTABLE</t>
        </is>
      </c>
      <c r="G3374" s="9" t="n">
        <v>5</v>
      </c>
      <c r="H3374" s="21" t="n">
        <v>5</v>
      </c>
      <c r="I3374" s="21" t="n">
        <v>105.16</v>
      </c>
      <c r="J3374" s="21" t="n">
        <v>315.47</v>
      </c>
      <c r="K3374" s="21" t="n">
        <v>368.05</v>
      </c>
      <c r="L3374" s="21" t="n">
        <v>420.63</v>
      </c>
      <c r="M3374" s="21" t="n">
        <v>450</v>
      </c>
    </row>
    <row r="3375">
      <c r="A3375" s="9" t="inlineStr">
        <is>
          <t>HAIFENG</t>
        </is>
      </c>
      <c r="B3375" s="9" t="inlineStr">
        <is>
          <t>HAIFENG 16/04/2026</t>
        </is>
      </c>
      <c r="C3375" s="9" t="inlineStr">
        <is>
          <t>2026-04-16</t>
        </is>
      </c>
      <c r="D3375" s="9" t="inlineStr">
        <is>
          <t>86347033175533</t>
        </is>
      </c>
      <c r="E3375" s="9" t="inlineStr">
        <is>
          <t>ANILLO T ENTRELAZDOS SILVER</t>
        </is>
      </c>
      <c r="F3375" s="9" t="inlineStr">
        <is>
          <t>8</t>
        </is>
      </c>
      <c r="G3375" s="9" t="n">
        <v>3</v>
      </c>
      <c r="H3375" s="21" t="n">
        <v>3</v>
      </c>
      <c r="I3375" s="21" t="n">
        <v>63.09</v>
      </c>
      <c r="J3375" s="21" t="n">
        <v>189.28</v>
      </c>
      <c r="K3375" s="21" t="n">
        <v>220.83</v>
      </c>
      <c r="L3375" s="21" t="n">
        <v>252.38</v>
      </c>
      <c r="M3375" s="21" t="n">
        <v>740.78</v>
      </c>
    </row>
    <row r="3376">
      <c r="A3376" s="9" t="inlineStr">
        <is>
          <t>HAIFENG</t>
        </is>
      </c>
      <c r="B3376" s="9" t="inlineStr">
        <is>
          <t>HAIFENG 16/04/2026</t>
        </is>
      </c>
      <c r="C3376" s="9" t="inlineStr">
        <is>
          <t>2026-04-16</t>
        </is>
      </c>
      <c r="D3376" s="9" t="inlineStr">
        <is>
          <t>668eee338c77b</t>
        </is>
      </c>
      <c r="E3376" s="9" t="inlineStr">
        <is>
          <t>ANILLO T SILVER</t>
        </is>
      </c>
      <c r="F3376" s="9" t="inlineStr">
        <is>
          <t>6</t>
        </is>
      </c>
      <c r="G3376" s="9" t="n">
        <v>8</v>
      </c>
      <c r="H3376" s="21" t="n">
        <v>5</v>
      </c>
      <c r="I3376" s="21" t="n">
        <v>105.16</v>
      </c>
      <c r="J3376" s="21" t="n">
        <v>315.47</v>
      </c>
      <c r="K3376" s="21" t="n">
        <v>368.05</v>
      </c>
      <c r="L3376" s="21" t="n">
        <v>420.63</v>
      </c>
      <c r="M3376" s="21" t="n">
        <v>450</v>
      </c>
    </row>
    <row r="3377">
      <c r="A3377" s="9" t="inlineStr">
        <is>
          <t>HAIFENG</t>
        </is>
      </c>
      <c r="B3377" s="9" t="inlineStr">
        <is>
          <t>HAIFENG 16/04/2026</t>
        </is>
      </c>
      <c r="C3377" s="9" t="inlineStr">
        <is>
          <t>2026-04-16</t>
        </is>
      </c>
      <c r="D3377" s="9" t="inlineStr">
        <is>
          <t>668eee34e7e6d</t>
        </is>
      </c>
      <c r="E3377" s="9" t="inlineStr">
        <is>
          <t>ANILLO T SILVER</t>
        </is>
      </c>
      <c r="F3377" s="9" t="inlineStr">
        <is>
          <t>8</t>
        </is>
      </c>
      <c r="G3377" s="9" t="n">
        <v>2</v>
      </c>
      <c r="H3377" s="21" t="n">
        <v>5</v>
      </c>
      <c r="I3377" s="21" t="n">
        <v>105.16</v>
      </c>
      <c r="J3377" s="21" t="n">
        <v>315.47</v>
      </c>
      <c r="K3377" s="21" t="n">
        <v>368.05</v>
      </c>
      <c r="L3377" s="21" t="n">
        <v>420.63</v>
      </c>
      <c r="M3377" s="21" t="n">
        <v>450</v>
      </c>
    </row>
    <row r="3378">
      <c r="A3378" s="9" t="inlineStr">
        <is>
          <t>HAIFENG</t>
        </is>
      </c>
      <c r="B3378" s="9" t="inlineStr">
        <is>
          <t>HAIFENG 16/04/2026</t>
        </is>
      </c>
      <c r="C3378" s="9" t="inlineStr">
        <is>
          <t>2026-04-16</t>
        </is>
      </c>
      <c r="D3378" s="9" t="inlineStr">
        <is>
          <t>668eee34483a2</t>
        </is>
      </c>
      <c r="E3378" s="9" t="inlineStr">
        <is>
          <t>ANILLO T SILVER</t>
        </is>
      </c>
      <c r="F3378" s="9" t="inlineStr">
        <is>
          <t>7</t>
        </is>
      </c>
      <c r="G3378" s="9" t="n">
        <v>2</v>
      </c>
      <c r="H3378" s="21" t="n">
        <v>5</v>
      </c>
      <c r="I3378" s="21" t="n">
        <v>105.16</v>
      </c>
      <c r="J3378" s="21" t="n">
        <v>315.47</v>
      </c>
      <c r="K3378" s="21" t="n">
        <v>368.05</v>
      </c>
      <c r="L3378" s="21" t="n">
        <v>420.63</v>
      </c>
      <c r="M3378" s="21" t="n">
        <v>450</v>
      </c>
    </row>
    <row r="3379">
      <c r="A3379" s="9" t="inlineStr">
        <is>
          <t>HAIFENG</t>
        </is>
      </c>
      <c r="B3379" s="9" t="inlineStr">
        <is>
          <t>HAIFENG 16/04/2026</t>
        </is>
      </c>
      <c r="C3379" s="9" t="inlineStr">
        <is>
          <t>2026-04-16</t>
        </is>
      </c>
      <c r="D3379" s="9" t="inlineStr">
        <is>
          <t>67201533381709</t>
        </is>
      </c>
      <c r="E3379" s="9" t="inlineStr">
        <is>
          <t>ANILLO T1 T SILVER</t>
        </is>
      </c>
      <c r="F3379" s="9" t="inlineStr">
        <is>
          <t>8</t>
        </is>
      </c>
      <c r="G3379" s="9" t="n">
        <v>2</v>
      </c>
      <c r="H3379" s="21" t="n">
        <v>5.5</v>
      </c>
      <c r="I3379" s="21" t="n">
        <v>115.67</v>
      </c>
      <c r="J3379" s="21" t="n">
        <v>347.02</v>
      </c>
      <c r="K3379" s="21" t="n">
        <v>404.86</v>
      </c>
      <c r="L3379" s="21" t="n">
        <v>462.69</v>
      </c>
      <c r="M3379" s="21" t="n">
        <v>530</v>
      </c>
    </row>
    <row r="3380">
      <c r="A3380" s="9" t="inlineStr">
        <is>
          <t>HAIFENG</t>
        </is>
      </c>
      <c r="B3380" s="9" t="inlineStr">
        <is>
          <t>HAIFENG 16/04/2026</t>
        </is>
      </c>
      <c r="C3380" s="9" t="inlineStr">
        <is>
          <t>2026-04-16</t>
        </is>
      </c>
      <c r="D3380" s="9" t="inlineStr">
        <is>
          <t>15857686786700</t>
        </is>
      </c>
      <c r="E3380" s="9" t="inlineStr">
        <is>
          <t>ANILLO TRES AROS</t>
        </is>
      </c>
      <c r="F3380" s="9" t="inlineStr">
        <is>
          <t>9</t>
        </is>
      </c>
      <c r="G3380" s="9" t="n">
        <v>2</v>
      </c>
      <c r="H3380" s="21" t="n">
        <v>4.7</v>
      </c>
      <c r="I3380" s="21" t="n">
        <v>98.84999999999999</v>
      </c>
      <c r="J3380" s="21" t="n">
        <v>296.54</v>
      </c>
      <c r="K3380" s="21" t="n">
        <v>345.97</v>
      </c>
      <c r="L3380" s="21" t="n">
        <v>395.39</v>
      </c>
      <c r="M3380" s="21" t="n">
        <v>650</v>
      </c>
    </row>
    <row r="3381">
      <c r="A3381" s="9" t="inlineStr">
        <is>
          <t>HAIFENG</t>
        </is>
      </c>
      <c r="B3381" s="9" t="inlineStr">
        <is>
          <t>HAIFENG 16/04/2026</t>
        </is>
      </c>
      <c r="C3381" s="9" t="inlineStr">
        <is>
          <t>2026-04-16</t>
        </is>
      </c>
      <c r="D3381" s="9" t="inlineStr">
        <is>
          <t>15857685585804</t>
        </is>
      </c>
      <c r="E3381" s="9" t="inlineStr">
        <is>
          <t>ANILLO TRES AROS</t>
        </is>
      </c>
      <c r="F3381" s="9" t="inlineStr">
        <is>
          <t>6</t>
        </is>
      </c>
      <c r="G3381" s="9" t="n">
        <v>4</v>
      </c>
      <c r="H3381" s="21" t="n">
        <v>4.7</v>
      </c>
      <c r="I3381" s="21" t="n">
        <v>98.84999999999999</v>
      </c>
      <c r="J3381" s="21" t="n">
        <v>296.54</v>
      </c>
      <c r="K3381" s="21" t="n">
        <v>345.97</v>
      </c>
      <c r="L3381" s="21" t="n">
        <v>395.39</v>
      </c>
      <c r="M3381" s="21" t="n">
        <v>650</v>
      </c>
    </row>
    <row r="3382">
      <c r="A3382" s="9" t="inlineStr">
        <is>
          <t>HAIFENG</t>
        </is>
      </c>
      <c r="B3382" s="9" t="inlineStr">
        <is>
          <t>HAIFENG 16/04/2026</t>
        </is>
      </c>
      <c r="C3382" s="9" t="inlineStr">
        <is>
          <t>2026-04-16</t>
        </is>
      </c>
      <c r="D3382" s="9" t="inlineStr">
        <is>
          <t>56481488619660</t>
        </is>
      </c>
      <c r="E3382" s="9" t="inlineStr">
        <is>
          <t>ANILLO TRES AROS CON ZIRCONIA</t>
        </is>
      </c>
      <c r="F3382" s="9" t="inlineStr">
        <is>
          <t>8</t>
        </is>
      </c>
      <c r="G3382" s="9" t="n">
        <v>1</v>
      </c>
      <c r="H3382" s="21" t="n">
        <v>10</v>
      </c>
      <c r="I3382" s="21" t="n">
        <v>210.31</v>
      </c>
      <c r="J3382" s="21" t="n">
        <v>630.9400000000001</v>
      </c>
      <c r="K3382" s="21" t="n">
        <v>736.1</v>
      </c>
      <c r="L3382" s="21" t="n">
        <v>841.26</v>
      </c>
      <c r="M3382" s="21" t="n">
        <v>850</v>
      </c>
    </row>
    <row r="3383">
      <c r="A3383" s="9" t="inlineStr">
        <is>
          <t>HAIFENG</t>
        </is>
      </c>
      <c r="B3383" s="9" t="inlineStr">
        <is>
          <t>HAIFENG 16/04/2026</t>
        </is>
      </c>
      <c r="C3383" s="9" t="inlineStr">
        <is>
          <t>2026-04-16</t>
        </is>
      </c>
      <c r="D3383" s="9" t="inlineStr">
        <is>
          <t>89246881116333</t>
        </is>
      </c>
      <c r="E3383" s="9" t="inlineStr">
        <is>
          <t>ANILLO TRINITY TRES AROS</t>
        </is>
      </c>
      <c r="F3383" s="9" t="inlineStr">
        <is>
          <t>7</t>
        </is>
      </c>
      <c r="G3383" s="9" t="n">
        <v>2</v>
      </c>
      <c r="H3383" s="21" t="n">
        <v>6</v>
      </c>
      <c r="I3383" s="21" t="n">
        <v>126.19</v>
      </c>
      <c r="J3383" s="21" t="n">
        <v>378.57</v>
      </c>
      <c r="K3383" s="21" t="n">
        <v>441.66</v>
      </c>
      <c r="L3383" s="21" t="n">
        <v>504.76</v>
      </c>
      <c r="M3383" s="21" t="n">
        <v>499</v>
      </c>
    </row>
    <row r="3384">
      <c r="A3384" s="9" t="inlineStr">
        <is>
          <t>HAIFENG</t>
        </is>
      </c>
      <c r="B3384" s="9" t="inlineStr">
        <is>
          <t>HAIFENG 16/04/2026</t>
        </is>
      </c>
      <c r="C3384" s="9" t="inlineStr">
        <is>
          <t>2026-04-16</t>
        </is>
      </c>
      <c r="D3384" s="9" t="inlineStr">
        <is>
          <t>95854382554189</t>
        </is>
      </c>
      <c r="E3384" s="9" t="inlineStr">
        <is>
          <t>ANILLO TRINITY TRICOLOR</t>
        </is>
      </c>
      <c r="F3384" s="9" t="inlineStr">
        <is>
          <t>7</t>
        </is>
      </c>
      <c r="G3384" s="9" t="n">
        <v>2</v>
      </c>
      <c r="H3384" s="21" t="n">
        <v>7.5</v>
      </c>
      <c r="I3384" s="21" t="n">
        <v>157.74</v>
      </c>
      <c r="J3384" s="21" t="n">
        <v>473.21</v>
      </c>
      <c r="K3384" s="21" t="n">
        <v>552.08</v>
      </c>
      <c r="L3384" s="21" t="n">
        <v>630.9400000000001</v>
      </c>
      <c r="M3384" s="21" t="n">
        <v>650</v>
      </c>
    </row>
    <row r="3385">
      <c r="A3385" s="9" t="inlineStr">
        <is>
          <t>HAIFENG</t>
        </is>
      </c>
      <c r="B3385" s="9" t="inlineStr">
        <is>
          <t>HAIFENG 16/04/2026</t>
        </is>
      </c>
      <c r="C3385" s="9" t="inlineStr">
        <is>
          <t>2026-04-16</t>
        </is>
      </c>
      <c r="D3385" s="9" t="inlineStr">
        <is>
          <t>38334521369409</t>
        </is>
      </c>
      <c r="E3385" s="9" t="inlineStr">
        <is>
          <t>ANILLO TRÉBOL SILVER</t>
        </is>
      </c>
      <c r="F3385" s="9" t="inlineStr">
        <is>
          <t>7</t>
        </is>
      </c>
      <c r="G3385" s="9" t="n">
        <v>2</v>
      </c>
      <c r="H3385" s="21" t="n">
        <v>5.99</v>
      </c>
      <c r="I3385" s="21" t="n">
        <v>125.98</v>
      </c>
      <c r="J3385" s="21" t="n">
        <v>377.94</v>
      </c>
      <c r="K3385" s="21" t="n">
        <v>440.92</v>
      </c>
      <c r="L3385" s="21" t="n">
        <v>503.91</v>
      </c>
      <c r="M3385" s="21" t="n">
        <v>599</v>
      </c>
    </row>
    <row r="3386">
      <c r="A3386" s="9" t="inlineStr">
        <is>
          <t>HAIFENG</t>
        </is>
      </c>
      <c r="B3386" s="9" t="inlineStr">
        <is>
          <t>HAIFENG 16/04/2026</t>
        </is>
      </c>
      <c r="C3386" s="9" t="inlineStr">
        <is>
          <t>2026-04-16</t>
        </is>
      </c>
      <c r="D3386" s="9" t="inlineStr">
        <is>
          <t>86347032724109</t>
        </is>
      </c>
      <c r="E3386" s="9" t="inlineStr">
        <is>
          <t>ANILLO TWO-ROW GOLD</t>
        </is>
      </c>
      <c r="F3386" s="9" t="inlineStr">
        <is>
          <t>7</t>
        </is>
      </c>
      <c r="G3386" s="9" t="n">
        <v>2</v>
      </c>
      <c r="H3386" s="21" t="n">
        <v>5.5</v>
      </c>
      <c r="I3386" s="21" t="n">
        <v>115.67</v>
      </c>
      <c r="J3386" s="21" t="n">
        <v>347.02</v>
      </c>
      <c r="K3386" s="21" t="n">
        <v>404.86</v>
      </c>
      <c r="L3386" s="21" t="n">
        <v>462.69</v>
      </c>
      <c r="M3386" s="21" t="n">
        <v>580</v>
      </c>
    </row>
    <row r="3387">
      <c r="A3387" s="9" t="inlineStr">
        <is>
          <t>HAIFENG</t>
        </is>
      </c>
      <c r="B3387" s="9" t="inlineStr">
        <is>
          <t>HAIFENG 16/04/2026</t>
        </is>
      </c>
      <c r="C3387" s="9" t="inlineStr">
        <is>
          <t>2026-04-16</t>
        </is>
      </c>
      <c r="D3387" s="9" t="inlineStr">
        <is>
          <t>95854381283501</t>
        </is>
      </c>
      <c r="E3387" s="9" t="inlineStr">
        <is>
          <t>ANILLO VF 1FLOR</t>
        </is>
      </c>
      <c r="F3387" s="9" t="inlineStr">
        <is>
          <t>7</t>
        </is>
      </c>
      <c r="G3387" s="9" t="n">
        <v>2</v>
      </c>
      <c r="H3387" s="21" t="n">
        <v>6.99</v>
      </c>
      <c r="I3387" s="21" t="n">
        <v>147.01</v>
      </c>
      <c r="J3387" s="21" t="n">
        <v>441.03</v>
      </c>
      <c r="K3387" s="21" t="n">
        <v>514.54</v>
      </c>
      <c r="L3387" s="21" t="n">
        <v>588.04</v>
      </c>
      <c r="M3387" s="21" t="n">
        <v>599</v>
      </c>
    </row>
    <row r="3388">
      <c r="A3388" s="9" t="inlineStr">
        <is>
          <t>HAIFENG</t>
        </is>
      </c>
      <c r="B3388" s="9" t="inlineStr">
        <is>
          <t>HAIFENG 16/04/2026</t>
        </is>
      </c>
      <c r="C3388" s="9" t="inlineStr">
        <is>
          <t>2026-04-16</t>
        </is>
      </c>
      <c r="D3388" s="9" t="inlineStr">
        <is>
          <t>95854381181805</t>
        </is>
      </c>
      <c r="E3388" s="9" t="inlineStr">
        <is>
          <t>ANILLO VF PERLEE CLOVERS</t>
        </is>
      </c>
      <c r="F3388" s="9" t="inlineStr">
        <is>
          <t>7</t>
        </is>
      </c>
      <c r="G3388" s="9" t="n">
        <v>1</v>
      </c>
      <c r="H3388" s="21" t="n">
        <v>6.99</v>
      </c>
      <c r="I3388" s="21" t="n">
        <v>147.01</v>
      </c>
      <c r="J3388" s="21" t="n">
        <v>441.03</v>
      </c>
      <c r="K3388" s="21" t="n">
        <v>514.54</v>
      </c>
      <c r="L3388" s="21" t="n">
        <v>588.04</v>
      </c>
      <c r="M3388" s="21" t="n">
        <v>599</v>
      </c>
    </row>
    <row r="3389">
      <c r="A3389" s="9" t="inlineStr">
        <is>
          <t>HAIFENG</t>
        </is>
      </c>
      <c r="B3389" s="9" t="inlineStr">
        <is>
          <t>HAIFENG 16/04/2026</t>
        </is>
      </c>
      <c r="C3389" s="9" t="inlineStr">
        <is>
          <t>2026-04-16</t>
        </is>
      </c>
      <c r="D3389" s="9" t="inlineStr">
        <is>
          <t>95854381352429</t>
        </is>
      </c>
      <c r="E3389" s="9" t="inlineStr">
        <is>
          <t>ANILLO VF VINTAGE ALHAMBRA</t>
        </is>
      </c>
      <c r="F3389" s="9" t="inlineStr">
        <is>
          <t>7</t>
        </is>
      </c>
      <c r="G3389" s="9" t="n">
        <v>2</v>
      </c>
      <c r="H3389" s="21" t="n">
        <v>5.99</v>
      </c>
      <c r="I3389" s="21" t="n">
        <v>125.98</v>
      </c>
      <c r="J3389" s="21" t="n">
        <v>377.94</v>
      </c>
      <c r="K3389" s="21" t="n">
        <v>440.92</v>
      </c>
      <c r="L3389" s="21" t="n">
        <v>503.91</v>
      </c>
      <c r="M3389" s="21" t="n">
        <v>499</v>
      </c>
    </row>
    <row r="3390">
      <c r="A3390" s="9" t="inlineStr">
        <is>
          <t>HAIFENG</t>
        </is>
      </c>
      <c r="B3390" s="9" t="inlineStr">
        <is>
          <t>HAIFENG 16/04/2026</t>
        </is>
      </c>
      <c r="C3390" s="9" t="inlineStr">
        <is>
          <t>2026-04-16</t>
        </is>
      </c>
      <c r="D3390" s="9" t="inlineStr">
        <is>
          <t>11078752382541</t>
        </is>
      </c>
      <c r="E3390" s="9" t="inlineStr">
        <is>
          <t>ARETES C GOLD PEARL</t>
        </is>
      </c>
      <c r="F3390" s="9" t="inlineStr">
        <is>
          <t>Default Title</t>
        </is>
      </c>
      <c r="G3390" s="9" t="n">
        <v>3</v>
      </c>
      <c r="H3390" s="21" t="n">
        <v>5.99</v>
      </c>
      <c r="I3390" s="21" t="n">
        <v>125.98</v>
      </c>
      <c r="J3390" s="21" t="n">
        <v>377.94</v>
      </c>
      <c r="K3390" s="21" t="n">
        <v>440.92</v>
      </c>
      <c r="L3390" s="21" t="n">
        <v>503.91</v>
      </c>
      <c r="M3390" s="21" t="n">
        <v>499</v>
      </c>
    </row>
    <row r="3391">
      <c r="A3391" s="9" t="inlineStr">
        <is>
          <t>HAIFENG</t>
        </is>
      </c>
      <c r="B3391" s="9" t="inlineStr">
        <is>
          <t>HAIFENG 16/04/2026</t>
        </is>
      </c>
      <c r="C3391" s="9" t="inlineStr">
        <is>
          <t>2026-04-16</t>
        </is>
      </c>
      <c r="D3391" s="9" t="inlineStr">
        <is>
          <t>11078751910221</t>
        </is>
      </c>
      <c r="E3391" s="9" t="inlineStr">
        <is>
          <t>ARETES C GOLD ZIRCONIAS</t>
        </is>
      </c>
      <c r="F3391" s="9" t="inlineStr">
        <is>
          <t>Default Title</t>
        </is>
      </c>
      <c r="G3391" s="9" t="n">
        <v>7</v>
      </c>
      <c r="H3391" s="21" t="n">
        <v>5.99</v>
      </c>
      <c r="I3391" s="21" t="n">
        <v>125.98</v>
      </c>
      <c r="J3391" s="21" t="n">
        <v>377.94</v>
      </c>
      <c r="K3391" s="21" t="n">
        <v>440.92</v>
      </c>
      <c r="L3391" s="21" t="n">
        <v>503.91</v>
      </c>
      <c r="M3391" s="21" t="n">
        <v>575</v>
      </c>
    </row>
    <row r="3392">
      <c r="A3392" s="9" t="inlineStr">
        <is>
          <t>HAIFENG</t>
        </is>
      </c>
      <c r="B3392" s="9" t="inlineStr">
        <is>
          <t>HAIFENG 16/04/2026</t>
        </is>
      </c>
      <c r="C3392" s="9" t="inlineStr">
        <is>
          <t>2026-04-16</t>
        </is>
      </c>
      <c r="D3392" s="9" t="inlineStr">
        <is>
          <t>91078752530157</t>
        </is>
      </c>
      <c r="E3392" s="9" t="inlineStr">
        <is>
          <t>ARETES C SILVER</t>
        </is>
      </c>
      <c r="F3392" s="9" t="inlineStr">
        <is>
          <t>Default Title</t>
        </is>
      </c>
      <c r="G3392" s="9" t="n">
        <v>7</v>
      </c>
      <c r="H3392" s="21" t="n">
        <v>5.99</v>
      </c>
      <c r="I3392" s="21" t="n">
        <v>125.98</v>
      </c>
      <c r="J3392" s="21" t="n">
        <v>377.94</v>
      </c>
      <c r="K3392" s="21" t="n">
        <v>440.92</v>
      </c>
      <c r="L3392" s="21" t="n">
        <v>503.91</v>
      </c>
      <c r="M3392" s="21" t="n">
        <v>499</v>
      </c>
    </row>
    <row r="3393">
      <c r="A3393" s="9" t="inlineStr">
        <is>
          <t>HAIFENG</t>
        </is>
      </c>
      <c r="B3393" s="9" t="inlineStr">
        <is>
          <t>HAIFENG 16/04/2026</t>
        </is>
      </c>
      <c r="C3393" s="9" t="inlineStr">
        <is>
          <t>2026-04-16</t>
        </is>
      </c>
      <c r="D3393" s="9" t="inlineStr">
        <is>
          <t>89246882037293</t>
        </is>
      </c>
      <c r="E3393" s="9" t="inlineStr">
        <is>
          <t>ARETES CD HALF PEARL</t>
        </is>
      </c>
      <c r="F3393" s="9" t="inlineStr">
        <is>
          <t>Default Title</t>
        </is>
      </c>
      <c r="G3393" s="9" t="n">
        <v>2</v>
      </c>
      <c r="H3393" s="21" t="n">
        <v>4</v>
      </c>
      <c r="I3393" s="21" t="n">
        <v>84.13</v>
      </c>
      <c r="J3393" s="21" t="n">
        <v>252.38</v>
      </c>
      <c r="K3393" s="21" t="n">
        <v>294.44</v>
      </c>
      <c r="L3393" s="21" t="n">
        <v>336.5</v>
      </c>
      <c r="M3393" s="21" t="n">
        <v>400</v>
      </c>
    </row>
    <row r="3394">
      <c r="A3394" s="9" t="inlineStr">
        <is>
          <t>HAIFENG</t>
        </is>
      </c>
      <c r="B3394" s="9" t="inlineStr">
        <is>
          <t>HAIFENG 16/04/2026</t>
        </is>
      </c>
      <c r="C3394" s="9" t="inlineStr">
        <is>
          <t>2026-04-16</t>
        </is>
      </c>
      <c r="D3394" s="9" t="inlineStr">
        <is>
          <t>67201531170029</t>
        </is>
      </c>
      <c r="E3394" s="9" t="inlineStr">
        <is>
          <t>ARETES CD LOGO CON ZIRCONIA</t>
        </is>
      </c>
      <c r="F3394" s="9" t="inlineStr">
        <is>
          <t>Default Title</t>
        </is>
      </c>
      <c r="G3394" s="9" t="n">
        <v>9</v>
      </c>
      <c r="H3394" s="21" t="n">
        <v>5.9</v>
      </c>
      <c r="I3394" s="21" t="n">
        <v>124.09</v>
      </c>
      <c r="J3394" s="21" t="n">
        <v>372.26</v>
      </c>
      <c r="K3394" s="21" t="n">
        <v>434.3</v>
      </c>
      <c r="L3394" s="21" t="n">
        <v>496.34</v>
      </c>
      <c r="M3394" s="21" t="n">
        <v>487</v>
      </c>
    </row>
    <row r="3395">
      <c r="A3395" s="9" t="inlineStr">
        <is>
          <t>HAIFENG</t>
        </is>
      </c>
      <c r="B3395" s="9" t="inlineStr">
        <is>
          <t>HAIFENG 16/04/2026</t>
        </is>
      </c>
      <c r="C3395" s="9" t="inlineStr">
        <is>
          <t>2026-04-16</t>
        </is>
      </c>
      <c r="D3395" s="9" t="inlineStr">
        <is>
          <t>89246882101133</t>
        </is>
      </c>
      <c r="E3395" s="9" t="inlineStr">
        <is>
          <t>ARETES CD PEARL</t>
        </is>
      </c>
      <c r="F3395" s="9" t="inlineStr">
        <is>
          <t>Default Title</t>
        </is>
      </c>
      <c r="G3395" s="9" t="n">
        <v>3</v>
      </c>
      <c r="H3395" s="21" t="n">
        <v>5</v>
      </c>
      <c r="I3395" s="21" t="n">
        <v>105.16</v>
      </c>
      <c r="J3395" s="21" t="n">
        <v>315.47</v>
      </c>
      <c r="K3395" s="21" t="n">
        <v>368.05</v>
      </c>
      <c r="L3395" s="21" t="n">
        <v>420.63</v>
      </c>
      <c r="M3395" s="21" t="n">
        <v>450</v>
      </c>
    </row>
    <row r="3396">
      <c r="A3396" s="9" t="inlineStr">
        <is>
          <t>HAIFENG</t>
        </is>
      </c>
      <c r="B3396" s="9" t="inlineStr">
        <is>
          <t>HAIFENG 16/04/2026</t>
        </is>
      </c>
      <c r="C3396" s="9" t="inlineStr">
        <is>
          <t>2026-04-16</t>
        </is>
      </c>
      <c r="D3396" s="9" t="inlineStr">
        <is>
          <t>66075801971917</t>
        </is>
      </c>
      <c r="E3396" s="9" t="inlineStr">
        <is>
          <t>ARETES CD PETIT GOLD</t>
        </is>
      </c>
      <c r="F3396" s="9" t="inlineStr">
        <is>
          <t>Default Title</t>
        </is>
      </c>
      <c r="G3396" s="9" t="n">
        <v>8</v>
      </c>
      <c r="H3396" s="21" t="n">
        <v>3.8</v>
      </c>
      <c r="I3396" s="21" t="n">
        <v>79.92</v>
      </c>
      <c r="J3396" s="21" t="n">
        <v>239.76</v>
      </c>
      <c r="K3396" s="21" t="n">
        <v>279.72</v>
      </c>
      <c r="L3396" s="21" t="n">
        <v>319.68</v>
      </c>
      <c r="M3396" s="21" t="n">
        <v>350</v>
      </c>
    </row>
    <row r="3397">
      <c r="A3397" s="9" t="inlineStr">
        <is>
          <t>HAIFENG</t>
        </is>
      </c>
      <c r="B3397" s="9" t="inlineStr">
        <is>
          <t>HAIFENG 16/04/2026</t>
        </is>
      </c>
      <c r="C3397" s="9" t="inlineStr">
        <is>
          <t>2026-04-16</t>
        </is>
      </c>
      <c r="D3397" s="9" t="inlineStr">
        <is>
          <t>89246882368365</t>
        </is>
      </c>
      <c r="E3397" s="9" t="inlineStr">
        <is>
          <t>ARETES CD TREASURE GOLD</t>
        </is>
      </c>
      <c r="F3397" s="9" t="inlineStr">
        <is>
          <t>Default Title</t>
        </is>
      </c>
      <c r="G3397" s="9" t="n">
        <v>2</v>
      </c>
      <c r="H3397" s="21" t="n">
        <v>4</v>
      </c>
      <c r="I3397" s="21" t="n">
        <v>84.13</v>
      </c>
      <c r="J3397" s="21" t="n">
        <v>252.38</v>
      </c>
      <c r="K3397" s="21" t="n">
        <v>294.44</v>
      </c>
      <c r="L3397" s="21" t="n">
        <v>336.5</v>
      </c>
      <c r="M3397" s="21" t="n">
        <v>400</v>
      </c>
    </row>
    <row r="3398">
      <c r="A3398" s="9" t="inlineStr">
        <is>
          <t>HAIFENG</t>
        </is>
      </c>
      <c r="B3398" s="9" t="inlineStr">
        <is>
          <t>HAIFENG 16/04/2026</t>
        </is>
      </c>
      <c r="C3398" s="9" t="inlineStr">
        <is>
          <t>2026-04-16</t>
        </is>
      </c>
      <c r="D3398" s="9" t="inlineStr">
        <is>
          <t>89246882202829</t>
        </is>
      </c>
      <c r="E3398" s="9" t="inlineStr">
        <is>
          <t>ARETES CD VINTAGE PEARL GOLD</t>
        </is>
      </c>
      <c r="F3398" s="9" t="inlineStr">
        <is>
          <t>Default Title</t>
        </is>
      </c>
      <c r="G3398" s="9" t="n">
        <v>2</v>
      </c>
      <c r="H3398" s="21" t="n">
        <v>5</v>
      </c>
      <c r="I3398" s="21" t="n">
        <v>105.16</v>
      </c>
      <c r="J3398" s="21" t="n">
        <v>315.47</v>
      </c>
      <c r="K3398" s="21" t="n">
        <v>368.05</v>
      </c>
      <c r="L3398" s="21" t="n">
        <v>420.63</v>
      </c>
      <c r="M3398" s="21" t="n">
        <v>0</v>
      </c>
    </row>
    <row r="3399">
      <c r="A3399" s="9" t="inlineStr">
        <is>
          <t>HAIFENG</t>
        </is>
      </c>
      <c r="B3399" s="9" t="inlineStr">
        <is>
          <t>HAIFENG 16/04/2026</t>
        </is>
      </c>
      <c r="C3399" s="9" t="inlineStr">
        <is>
          <t>2026-04-16</t>
        </is>
      </c>
      <c r="D3399" s="9" t="inlineStr">
        <is>
          <t>66075802035149</t>
        </is>
      </c>
      <c r="E3399" s="9" t="inlineStr">
        <is>
          <t>ARETES CLAIR D LUNE GOLD CD</t>
        </is>
      </c>
      <c r="F3399" s="9" t="inlineStr">
        <is>
          <t>Default Title</t>
        </is>
      </c>
      <c r="G3399" s="9" t="n">
        <v>6</v>
      </c>
      <c r="H3399" s="21" t="n">
        <v>5</v>
      </c>
      <c r="I3399" s="21" t="n">
        <v>105.16</v>
      </c>
      <c r="J3399" s="21" t="n">
        <v>315.47</v>
      </c>
      <c r="K3399" s="21" t="n">
        <v>368.05</v>
      </c>
      <c r="L3399" s="21" t="n">
        <v>420.63</v>
      </c>
      <c r="M3399" s="21" t="n">
        <v>450</v>
      </c>
    </row>
    <row r="3400">
      <c r="A3400" s="9" t="inlineStr">
        <is>
          <t>HAIFENG</t>
        </is>
      </c>
      <c r="B3400" s="9" t="inlineStr">
        <is>
          <t>HAIFENG 16/04/2026</t>
        </is>
      </c>
      <c r="C3400" s="9" t="inlineStr">
        <is>
          <t>2026-04-16</t>
        </is>
      </c>
      <c r="D3400" s="9" t="inlineStr">
        <is>
          <t>64085741294285</t>
        </is>
      </c>
      <c r="E3400" s="9" t="inlineStr">
        <is>
          <t>ARETES CLASH GOLD C</t>
        </is>
      </c>
      <c r="F3400" s="9" t="inlineStr">
        <is>
          <t>Default Title</t>
        </is>
      </c>
      <c r="G3400" s="9" t="n">
        <v>2</v>
      </c>
      <c r="H3400" s="21" t="n">
        <v>9</v>
      </c>
      <c r="I3400" s="21" t="n">
        <v>189.28</v>
      </c>
      <c r="J3400" s="21" t="n">
        <v>567.85</v>
      </c>
      <c r="K3400" s="21" t="n">
        <v>662.49</v>
      </c>
      <c r="L3400" s="21" t="n">
        <v>757.13</v>
      </c>
      <c r="M3400" s="21" t="n">
        <v>750</v>
      </c>
    </row>
    <row r="3401">
      <c r="A3401" s="9" t="inlineStr">
        <is>
          <t>HAIFENG</t>
        </is>
      </c>
      <c r="B3401" s="9" t="inlineStr">
        <is>
          <t>HAIFENG 16/04/2026</t>
        </is>
      </c>
      <c r="C3401" s="9" t="inlineStr">
        <is>
          <t>2026-04-16</t>
        </is>
      </c>
      <c r="D3401" s="9" t="inlineStr">
        <is>
          <t>64085741420077</t>
        </is>
      </c>
      <c r="E3401" s="9" t="inlineStr">
        <is>
          <t>ARETES CLASH SILVER C</t>
        </is>
      </c>
      <c r="F3401" s="9" t="inlineStr">
        <is>
          <t>Default Title</t>
        </is>
      </c>
      <c r="G3401" s="9" t="n">
        <v>3</v>
      </c>
      <c r="H3401" s="21" t="n">
        <v>9</v>
      </c>
      <c r="I3401" s="21" t="n">
        <v>189.28</v>
      </c>
      <c r="J3401" s="21" t="n">
        <v>567.85</v>
      </c>
      <c r="K3401" s="21" t="n">
        <v>662.49</v>
      </c>
      <c r="L3401" s="21" t="n">
        <v>757.13</v>
      </c>
      <c r="M3401" s="21" t="n">
        <v>750</v>
      </c>
    </row>
    <row r="3402">
      <c r="A3402" s="9" t="inlineStr">
        <is>
          <t>HAIFENG</t>
        </is>
      </c>
      <c r="B3402" s="9" t="inlineStr">
        <is>
          <t>HAIFENG 16/04/2026</t>
        </is>
      </c>
      <c r="C3402" s="9" t="inlineStr">
        <is>
          <t>2026-04-16</t>
        </is>
      </c>
      <c r="D3402" s="9" t="inlineStr">
        <is>
          <t>86347031100845</t>
        </is>
      </c>
      <c r="E3402" s="9" t="inlineStr">
        <is>
          <t>ARETES CLAVO GOLD ZIRCONIAS</t>
        </is>
      </c>
      <c r="F3402" s="9" t="inlineStr">
        <is>
          <t>HIGH QUALITY</t>
        </is>
      </c>
      <c r="G3402" s="9" t="n">
        <v>4</v>
      </c>
      <c r="H3402" s="21" t="n">
        <v>7</v>
      </c>
      <c r="I3402" s="21" t="n">
        <v>147.22</v>
      </c>
      <c r="J3402" s="21" t="n">
        <v>441.66</v>
      </c>
      <c r="K3402" s="21" t="n">
        <v>515.27</v>
      </c>
      <c r="L3402" s="21" t="n">
        <v>588.88</v>
      </c>
      <c r="M3402" s="21" t="n">
        <v>599</v>
      </c>
    </row>
    <row r="3403">
      <c r="A3403" s="9" t="inlineStr">
        <is>
          <t>HAIFENG</t>
        </is>
      </c>
      <c r="B3403" s="9" t="inlineStr">
        <is>
          <t>HAIFENG 16/04/2026</t>
        </is>
      </c>
      <c r="C3403" s="9" t="inlineStr">
        <is>
          <t>2026-04-16</t>
        </is>
      </c>
      <c r="D3403" s="9" t="inlineStr">
        <is>
          <t>665bd4a42501a-1</t>
        </is>
      </c>
      <c r="E3403" s="9" t="inlineStr">
        <is>
          <t>ARETES CLAVO SILVER</t>
        </is>
      </c>
      <c r="F3403" s="9" t="inlineStr">
        <is>
          <t>Regular</t>
        </is>
      </c>
      <c r="G3403" s="9" t="n">
        <v>3</v>
      </c>
      <c r="H3403" s="21" t="n">
        <v>2.99</v>
      </c>
      <c r="I3403" s="21" t="n">
        <v>62.88</v>
      </c>
      <c r="J3403" s="21" t="n">
        <v>188.65</v>
      </c>
      <c r="K3403" s="21" t="n">
        <v>220.09</v>
      </c>
      <c r="L3403" s="21" t="n">
        <v>251.54</v>
      </c>
      <c r="M3403" s="21" t="n">
        <v>400</v>
      </c>
    </row>
    <row r="3404">
      <c r="A3404" s="9" t="inlineStr">
        <is>
          <t>HAIFENG</t>
        </is>
      </c>
      <c r="B3404" s="9" t="inlineStr">
        <is>
          <t>HAIFENG 16/04/2026</t>
        </is>
      </c>
      <c r="C3404" s="9" t="inlineStr">
        <is>
          <t>2026-04-16</t>
        </is>
      </c>
      <c r="D3404" s="9" t="inlineStr">
        <is>
          <t>86347031066381</t>
        </is>
      </c>
      <c r="E3404" s="9" t="inlineStr">
        <is>
          <t>ARETES CLAVO SILVER ZIRCONIAS</t>
        </is>
      </c>
      <c r="F3404" s="9" t="inlineStr">
        <is>
          <t>Default Title</t>
        </is>
      </c>
      <c r="G3404" s="9" t="n">
        <v>2</v>
      </c>
      <c r="H3404" s="21" t="n">
        <v>5</v>
      </c>
      <c r="I3404" s="21" t="n">
        <v>105.16</v>
      </c>
      <c r="J3404" s="21" t="n">
        <v>315.47</v>
      </c>
      <c r="K3404" s="21" t="n">
        <v>368.05</v>
      </c>
      <c r="L3404" s="21" t="n">
        <v>420.63</v>
      </c>
      <c r="M3404" s="21" t="n">
        <v>576.8</v>
      </c>
    </row>
    <row r="3405">
      <c r="A3405" s="9" t="inlineStr">
        <is>
          <t>HAIFENG</t>
        </is>
      </c>
      <c r="B3405" s="9" t="inlineStr">
        <is>
          <t>HAIFENG 16/04/2026</t>
        </is>
      </c>
      <c r="C3405" s="9" t="inlineStr">
        <is>
          <t>2026-04-16</t>
        </is>
      </c>
      <c r="D3405" s="9" t="inlineStr">
        <is>
          <t>43047218282636</t>
        </is>
      </c>
      <c r="E3405" s="9" t="inlineStr">
        <is>
          <t>ARETES CORAZÓN TURQUESA</t>
        </is>
      </c>
      <c r="F3405" s="9" t="inlineStr">
        <is>
          <t>Regular</t>
        </is>
      </c>
      <c r="G3405" s="9" t="n">
        <v>12</v>
      </c>
      <c r="H3405" s="21" t="n">
        <v>6</v>
      </c>
      <c r="I3405" s="21" t="n">
        <v>126.19</v>
      </c>
      <c r="J3405" s="21" t="n">
        <v>378.57</v>
      </c>
      <c r="K3405" s="21" t="n">
        <v>441.66</v>
      </c>
      <c r="L3405" s="21" t="n">
        <v>504.76</v>
      </c>
      <c r="M3405" s="21" t="n">
        <v>618</v>
      </c>
    </row>
    <row r="3406">
      <c r="A3406" s="9" t="inlineStr">
        <is>
          <t>HAIFENG</t>
        </is>
      </c>
      <c r="B3406" s="9" t="inlineStr">
        <is>
          <t>HAIFENG 16/04/2026</t>
        </is>
      </c>
      <c r="C3406" s="9" t="inlineStr">
        <is>
          <t>2026-04-16</t>
        </is>
      </c>
      <c r="D3406" s="9" t="inlineStr">
        <is>
          <t>64085721001581</t>
        </is>
      </c>
      <c r="E3406" s="9" t="inlineStr">
        <is>
          <t>ARETES D’AMOUR XS GOLD C</t>
        </is>
      </c>
      <c r="F3406" s="9" t="inlineStr">
        <is>
          <t>Default Title</t>
        </is>
      </c>
      <c r="G3406" s="9" t="n">
        <v>3</v>
      </c>
      <c r="H3406" s="21" t="n">
        <v>2.99</v>
      </c>
      <c r="I3406" s="21" t="n">
        <v>62.88</v>
      </c>
      <c r="J3406" s="21" t="n">
        <v>188.65</v>
      </c>
      <c r="K3406" s="21" t="n">
        <v>220.09</v>
      </c>
      <c r="L3406" s="21" t="n">
        <v>251.54</v>
      </c>
      <c r="M3406" s="21" t="n">
        <v>500</v>
      </c>
    </row>
    <row r="3407">
      <c r="A3407" s="9" t="inlineStr">
        <is>
          <t>HAIFENG</t>
        </is>
      </c>
      <c r="B3407" s="9" t="inlineStr">
        <is>
          <t>HAIFENG 16/04/2026</t>
        </is>
      </c>
      <c r="C3407" s="9" t="inlineStr">
        <is>
          <t>2026-04-16</t>
        </is>
      </c>
      <c r="D3407" s="9" t="inlineStr">
        <is>
          <t>12314362081613</t>
        </is>
      </c>
      <c r="E3407" s="9" t="inlineStr">
        <is>
          <t>ARETES F GOLD ZIRCONIAS</t>
        </is>
      </c>
      <c r="F3407" s="9" t="inlineStr">
        <is>
          <t>Default Title</t>
        </is>
      </c>
      <c r="G3407" s="9" t="n">
        <v>1</v>
      </c>
      <c r="H3407" s="21" t="n">
        <v>7</v>
      </c>
      <c r="I3407" s="21" t="n">
        <v>147.22</v>
      </c>
      <c r="J3407" s="21" t="n">
        <v>441.66</v>
      </c>
      <c r="K3407" s="21" t="n">
        <v>515.27</v>
      </c>
      <c r="L3407" s="21" t="n">
        <v>588.88</v>
      </c>
      <c r="M3407" s="21" t="n">
        <v>580</v>
      </c>
    </row>
    <row r="3408">
      <c r="A3408" s="9" t="inlineStr">
        <is>
          <t>HAIFENG</t>
        </is>
      </c>
      <c r="B3408" s="9" t="inlineStr">
        <is>
          <t>HAIFENG 16/04/2026</t>
        </is>
      </c>
      <c r="C3408" s="9" t="inlineStr">
        <is>
          <t>2026-04-16</t>
        </is>
      </c>
      <c r="D3408" s="9" t="inlineStr">
        <is>
          <t>14247351086093</t>
        </is>
      </c>
      <c r="E3408" s="9" t="inlineStr">
        <is>
          <t>ARETES F O'LOCK SILVER</t>
        </is>
      </c>
      <c r="F3408" s="9" t="inlineStr">
        <is>
          <t>Default Title</t>
        </is>
      </c>
      <c r="G3408" s="9" t="n">
        <v>1</v>
      </c>
      <c r="H3408" s="21" t="n">
        <v>75</v>
      </c>
      <c r="I3408" s="21" t="n">
        <v>1577.36</v>
      </c>
      <c r="J3408" s="21" t="n">
        <v>4732.08</v>
      </c>
      <c r="K3408" s="21" t="n">
        <v>5520.76</v>
      </c>
      <c r="L3408" s="21" t="n">
        <v>6309.44</v>
      </c>
      <c r="M3408" s="21" t="n">
        <v>670</v>
      </c>
    </row>
    <row r="3409">
      <c r="A3409" s="9" t="inlineStr">
        <is>
          <t>HAIFENG</t>
        </is>
      </c>
      <c r="B3409" s="9" t="inlineStr">
        <is>
          <t>HAIFENG 16/04/2026</t>
        </is>
      </c>
      <c r="C3409" s="9" t="inlineStr">
        <is>
          <t>2026-04-16</t>
        </is>
      </c>
      <c r="D3409" s="9" t="inlineStr">
        <is>
          <t>31453671341517</t>
        </is>
      </c>
      <c r="E3409" s="9" t="inlineStr">
        <is>
          <t>ARETES FR SILVER ZIRCONIAS</t>
        </is>
      </c>
      <c r="F3409" s="9" t="inlineStr">
        <is>
          <t>Default Title</t>
        </is>
      </c>
      <c r="G3409" s="9" t="n">
        <v>10</v>
      </c>
      <c r="H3409" s="21" t="n">
        <v>6</v>
      </c>
      <c r="I3409" s="21" t="n">
        <v>126.19</v>
      </c>
      <c r="J3409" s="21" t="n">
        <v>378.57</v>
      </c>
      <c r="K3409" s="21" t="n">
        <v>441.66</v>
      </c>
      <c r="L3409" s="21" t="n">
        <v>504.76</v>
      </c>
      <c r="M3409" s="21" t="n">
        <v>499</v>
      </c>
    </row>
    <row r="3410">
      <c r="A3410" s="9" t="inlineStr">
        <is>
          <t>HAIFENG</t>
        </is>
      </c>
      <c r="B3410" s="9" t="inlineStr">
        <is>
          <t>HAIFENG 16/04/2026</t>
        </is>
      </c>
      <c r="C3410" s="9" t="inlineStr">
        <is>
          <t>2026-04-16</t>
        </is>
      </c>
      <c r="D3410" s="9" t="inlineStr">
        <is>
          <t>56481474339212</t>
        </is>
      </c>
      <c r="E3410" s="9" t="inlineStr">
        <is>
          <t>ARETES FULL HEART GOLD</t>
        </is>
      </c>
      <c r="F3410" s="9" t="inlineStr">
        <is>
          <t>Default Title</t>
        </is>
      </c>
      <c r="G3410" s="9" t="n">
        <v>3</v>
      </c>
      <c r="H3410" s="21" t="n">
        <v>5</v>
      </c>
      <c r="I3410" s="21" t="n">
        <v>105.16</v>
      </c>
      <c r="J3410" s="21" t="n">
        <v>315.47</v>
      </c>
      <c r="K3410" s="21" t="n">
        <v>368.05</v>
      </c>
      <c r="L3410" s="21" t="n">
        <v>420.63</v>
      </c>
      <c r="M3410" s="21" t="n">
        <v>450</v>
      </c>
    </row>
    <row r="3411">
      <c r="A3411" s="9" t="inlineStr">
        <is>
          <t>HAIFENG</t>
        </is>
      </c>
      <c r="B3411" s="9" t="inlineStr">
        <is>
          <t>HAIFENG 16/04/2026</t>
        </is>
      </c>
      <c r="C3411" s="9" t="inlineStr">
        <is>
          <t>2026-04-16</t>
        </is>
      </c>
      <c r="D3411" s="9" t="inlineStr">
        <is>
          <t>89246883287021</t>
        </is>
      </c>
      <c r="E3411" s="9" t="inlineStr">
        <is>
          <t>ARETES H FINESSE SILVER</t>
        </is>
      </c>
      <c r="F3411" s="9" t="inlineStr">
        <is>
          <t>Default Title</t>
        </is>
      </c>
      <c r="G3411" s="9" t="n">
        <v>2</v>
      </c>
      <c r="H3411" s="21" t="n">
        <v>6</v>
      </c>
      <c r="I3411" s="21" t="n">
        <v>126.19</v>
      </c>
      <c r="J3411" s="21" t="n">
        <v>378.57</v>
      </c>
      <c r="K3411" s="21" t="n">
        <v>441.66</v>
      </c>
      <c r="L3411" s="21" t="n">
        <v>504.76</v>
      </c>
      <c r="M3411" s="21" t="n">
        <v>499</v>
      </c>
    </row>
    <row r="3412">
      <c r="A3412" s="9" t="inlineStr">
        <is>
          <t>HAIFENG</t>
        </is>
      </c>
      <c r="B3412" s="9" t="inlineStr">
        <is>
          <t>HAIFENG 16/04/2026</t>
        </is>
      </c>
      <c r="C3412" s="9" t="inlineStr">
        <is>
          <t>2026-04-16</t>
        </is>
      </c>
      <c r="D3412" s="9" t="inlineStr">
        <is>
          <t>15104862702637</t>
        </is>
      </c>
      <c r="E3412" s="9" t="inlineStr">
        <is>
          <t>ARETES H GOLD</t>
        </is>
      </c>
      <c r="F3412" s="9" t="inlineStr">
        <is>
          <t>Default Title</t>
        </is>
      </c>
      <c r="G3412" s="9" t="n">
        <v>3</v>
      </c>
      <c r="H3412" s="21" t="n">
        <v>8.9</v>
      </c>
      <c r="I3412" s="21" t="n">
        <v>187.18</v>
      </c>
      <c r="J3412" s="21" t="n">
        <v>561.54</v>
      </c>
      <c r="K3412" s="21" t="n">
        <v>655.13</v>
      </c>
      <c r="L3412" s="21" t="n">
        <v>748.72</v>
      </c>
      <c r="M3412" s="21" t="n">
        <v>780</v>
      </c>
    </row>
    <row r="3413">
      <c r="A3413" s="9" t="inlineStr">
        <is>
          <t>HAIFENG</t>
        </is>
      </c>
      <c r="B3413" s="9" t="inlineStr">
        <is>
          <t>HAIFENG 16/04/2026</t>
        </is>
      </c>
      <c r="C3413" s="9" t="inlineStr">
        <is>
          <t>2026-04-16</t>
        </is>
      </c>
      <c r="D3413" s="9" t="inlineStr">
        <is>
          <t>86741781048077</t>
        </is>
      </c>
      <c r="E3413" s="9" t="inlineStr">
        <is>
          <t>ARETES KNOT GOLD CON ZIRCONIAS</t>
        </is>
      </c>
      <c r="F3413" s="9" t="inlineStr">
        <is>
          <t>Default Title</t>
        </is>
      </c>
      <c r="G3413" s="9" t="n">
        <v>2</v>
      </c>
      <c r="H3413" s="21" t="n">
        <v>9</v>
      </c>
      <c r="I3413" s="21" t="n">
        <v>189.28</v>
      </c>
      <c r="J3413" s="21" t="n">
        <v>567.85</v>
      </c>
      <c r="K3413" s="21" t="n">
        <v>662.49</v>
      </c>
      <c r="L3413" s="21" t="n">
        <v>757.13</v>
      </c>
      <c r="M3413" s="21" t="n">
        <v>780</v>
      </c>
    </row>
    <row r="3414">
      <c r="A3414" s="9" t="inlineStr">
        <is>
          <t>HAIFENG</t>
        </is>
      </c>
      <c r="B3414" s="9" t="inlineStr">
        <is>
          <t>HAIFENG 16/04/2026</t>
        </is>
      </c>
      <c r="C3414" s="9" t="inlineStr">
        <is>
          <t>2026-04-16</t>
        </is>
      </c>
      <c r="D3414" s="9" t="inlineStr">
        <is>
          <t>29736673965485</t>
        </is>
      </c>
      <c r="E3414" s="9" t="inlineStr">
        <is>
          <t>ARETES KNOT SMALL GOLD</t>
        </is>
      </c>
      <c r="F3414" s="9" t="inlineStr">
        <is>
          <t>Default Title</t>
        </is>
      </c>
      <c r="G3414" s="9" t="n">
        <v>4</v>
      </c>
      <c r="H3414" s="21" t="n">
        <v>6</v>
      </c>
      <c r="I3414" s="21" t="n">
        <v>126.19</v>
      </c>
      <c r="J3414" s="21" t="n">
        <v>378.57</v>
      </c>
      <c r="K3414" s="21" t="n">
        <v>441.66</v>
      </c>
      <c r="L3414" s="21" t="n">
        <v>504.76</v>
      </c>
      <c r="M3414" s="21" t="n">
        <v>599</v>
      </c>
    </row>
    <row r="3415">
      <c r="A3415" s="9" t="inlineStr">
        <is>
          <t>HAIFENG</t>
        </is>
      </c>
      <c r="B3415" s="9" t="inlineStr">
        <is>
          <t>HAIFENG 16/04/2026</t>
        </is>
      </c>
      <c r="C3415" s="9" t="inlineStr">
        <is>
          <t>2026-04-16</t>
        </is>
      </c>
      <c r="D3415" s="9" t="inlineStr">
        <is>
          <t>89246883343533</t>
        </is>
      </c>
      <c r="E3415" s="9" t="inlineStr">
        <is>
          <t>ARETES LOGO H GOLD ZIRCONIAS</t>
        </is>
      </c>
      <c r="F3415" s="9" t="inlineStr">
        <is>
          <t>Default Title</t>
        </is>
      </c>
      <c r="G3415" s="9" t="n">
        <v>2</v>
      </c>
      <c r="H3415" s="21" t="n">
        <v>8</v>
      </c>
      <c r="I3415" s="21" t="n">
        <v>168.25</v>
      </c>
      <c r="J3415" s="21" t="n">
        <v>504.76</v>
      </c>
      <c r="K3415" s="21" t="n">
        <v>588.88</v>
      </c>
      <c r="L3415" s="21" t="n">
        <v>673.01</v>
      </c>
      <c r="M3415" s="21" t="n">
        <v>699</v>
      </c>
    </row>
    <row r="3416">
      <c r="A3416" s="9" t="inlineStr">
        <is>
          <t>HAIFENG</t>
        </is>
      </c>
      <c r="B3416" s="9" t="inlineStr">
        <is>
          <t>HAIFENG 16/04/2026</t>
        </is>
      </c>
      <c r="C3416" s="9" t="inlineStr">
        <is>
          <t>2026-04-16</t>
        </is>
      </c>
      <c r="D3416" s="9" t="inlineStr">
        <is>
          <t>MAJO</t>
        </is>
      </c>
      <c r="E3416" s="9" t="inlineStr">
        <is>
          <t>ARETES LOVE DORADOS</t>
        </is>
      </c>
      <c r="F3416" s="9" t="inlineStr"/>
      <c r="G3416" s="9" t="n">
        <v>1</v>
      </c>
      <c r="H3416" s="21" t="n">
        <v>4</v>
      </c>
      <c r="I3416" s="21" t="n">
        <v>84.13</v>
      </c>
      <c r="J3416" s="21" t="n">
        <v>252.38</v>
      </c>
      <c r="K3416" s="21" t="n">
        <v>294.44</v>
      </c>
      <c r="L3416" s="21" t="n">
        <v>336.5</v>
      </c>
      <c r="M3416" s="21" t="n"/>
    </row>
    <row r="3417">
      <c r="A3417" s="9" t="inlineStr">
        <is>
          <t>HAIFENG</t>
        </is>
      </c>
      <c r="B3417" s="9" t="inlineStr">
        <is>
          <t>HAIFENG 16/04/2026</t>
        </is>
      </c>
      <c r="C3417" s="9" t="inlineStr">
        <is>
          <t>2026-04-16</t>
        </is>
      </c>
      <c r="D3417" s="9" t="inlineStr">
        <is>
          <t>15104862595853</t>
        </is>
      </c>
      <c r="E3417" s="9" t="inlineStr">
        <is>
          <t>ARETES LV LOGO PEARL</t>
        </is>
      </c>
      <c r="F3417" s="9" t="inlineStr">
        <is>
          <t>Default Title</t>
        </is>
      </c>
      <c r="G3417" s="9" t="n">
        <v>2</v>
      </c>
      <c r="H3417" s="21" t="n">
        <v>8.99</v>
      </c>
      <c r="I3417" s="21" t="n">
        <v>189.07</v>
      </c>
      <c r="J3417" s="21" t="n">
        <v>567.22</v>
      </c>
      <c r="K3417" s="21" t="n">
        <v>661.76</v>
      </c>
      <c r="L3417" s="21" t="n">
        <v>756.29</v>
      </c>
      <c r="M3417" s="21" t="n">
        <v>750</v>
      </c>
    </row>
    <row r="3418">
      <c r="A3418" s="9" t="inlineStr">
        <is>
          <t>HAIFENG</t>
        </is>
      </c>
      <c r="B3418" s="9" t="inlineStr">
        <is>
          <t>HAIFENG 16/04/2026</t>
        </is>
      </c>
      <c r="C3418" s="9" t="inlineStr">
        <is>
          <t>2026-04-16</t>
        </is>
      </c>
      <c r="D3418" s="9" t="inlineStr">
        <is>
          <t>15554123566189</t>
        </is>
      </c>
      <c r="E3418" s="9" t="inlineStr">
        <is>
          <t>ARETES MOVE CIRCLE GOLD</t>
        </is>
      </c>
      <c r="F3418" s="9" t="inlineStr">
        <is>
          <t>Default Title</t>
        </is>
      </c>
      <c r="G3418" s="9" t="n">
        <v>2</v>
      </c>
      <c r="H3418" s="21" t="n">
        <v>8</v>
      </c>
      <c r="I3418" s="21" t="n">
        <v>168.25</v>
      </c>
      <c r="J3418" s="21" t="n">
        <v>504.76</v>
      </c>
      <c r="K3418" s="21" t="n">
        <v>588.88</v>
      </c>
      <c r="L3418" s="21" t="n">
        <v>673.01</v>
      </c>
      <c r="M3418" s="21" t="n">
        <v>680</v>
      </c>
    </row>
    <row r="3419">
      <c r="A3419" s="9" t="inlineStr">
        <is>
          <t>HAIFENG</t>
        </is>
      </c>
      <c r="B3419" s="9" t="inlineStr">
        <is>
          <t>HAIFENG 16/04/2026</t>
        </is>
      </c>
      <c r="C3419" s="9" t="inlineStr">
        <is>
          <t>2026-04-16</t>
        </is>
      </c>
      <c r="D3419" s="9" t="inlineStr">
        <is>
          <t>15554123602349</t>
        </is>
      </c>
      <c r="E3419" s="9" t="inlineStr">
        <is>
          <t>ARETES MOVE CIRCLE SILVER</t>
        </is>
      </c>
      <c r="F3419" s="9" t="inlineStr">
        <is>
          <t>Default Title</t>
        </is>
      </c>
      <c r="G3419" s="9" t="n">
        <v>2</v>
      </c>
      <c r="H3419" s="21" t="n">
        <v>8</v>
      </c>
      <c r="I3419" s="21" t="n">
        <v>168.25</v>
      </c>
      <c r="J3419" s="21" t="n">
        <v>504.76</v>
      </c>
      <c r="K3419" s="21" t="n">
        <v>588.88</v>
      </c>
      <c r="L3419" s="21" t="n">
        <v>673.01</v>
      </c>
      <c r="M3419" s="21" t="n">
        <v>680</v>
      </c>
    </row>
    <row r="3420">
      <c r="A3420" s="9" t="inlineStr">
        <is>
          <t>HAIFENG</t>
        </is>
      </c>
      <c r="B3420" s="9" t="inlineStr">
        <is>
          <t>HAIFENG 16/04/2026</t>
        </is>
      </c>
      <c r="C3420" s="9" t="inlineStr">
        <is>
          <t>2026-04-16</t>
        </is>
      </c>
      <c r="D3420" s="9" t="inlineStr">
        <is>
          <t>15554123464493</t>
        </is>
      </c>
      <c r="E3420" s="9" t="inlineStr">
        <is>
          <t>ARETES MOVE UNO GOLD ZIRCONIAS</t>
        </is>
      </c>
      <c r="F3420" s="9" t="inlineStr">
        <is>
          <t>Default Title</t>
        </is>
      </c>
      <c r="G3420" s="9" t="n">
        <v>2</v>
      </c>
      <c r="H3420" s="21" t="n">
        <v>5</v>
      </c>
      <c r="I3420" s="21" t="n">
        <v>105.16</v>
      </c>
      <c r="J3420" s="21" t="n">
        <v>315.47</v>
      </c>
      <c r="K3420" s="21" t="n">
        <v>368.05</v>
      </c>
      <c r="L3420" s="21" t="n">
        <v>420.63</v>
      </c>
      <c r="M3420" s="21" t="n">
        <v>450</v>
      </c>
    </row>
    <row r="3421">
      <c r="A3421" s="9" t="inlineStr">
        <is>
          <t>HAIFENG</t>
        </is>
      </c>
      <c r="B3421" s="9" t="inlineStr">
        <is>
          <t>HAIFENG 16/04/2026</t>
        </is>
      </c>
      <c r="C3421" s="9" t="inlineStr">
        <is>
          <t>2026-04-16</t>
        </is>
      </c>
      <c r="D3421" s="9" t="inlineStr">
        <is>
          <t>15554122997805</t>
        </is>
      </c>
      <c r="E3421" s="9" t="inlineStr">
        <is>
          <t>ARETES MOVE UNO LISO GOLD</t>
        </is>
      </c>
      <c r="F3421" s="9" t="inlineStr">
        <is>
          <t>Default Title</t>
        </is>
      </c>
      <c r="G3421" s="9" t="n">
        <v>2</v>
      </c>
      <c r="H3421" s="21" t="n">
        <v>5.99</v>
      </c>
      <c r="I3421" s="21" t="n">
        <v>125.98</v>
      </c>
      <c r="J3421" s="21" t="n">
        <v>377.94</v>
      </c>
      <c r="K3421" s="21" t="n">
        <v>440.92</v>
      </c>
      <c r="L3421" s="21" t="n">
        <v>503.91</v>
      </c>
      <c r="M3421" s="21" t="n">
        <v>499</v>
      </c>
    </row>
    <row r="3422">
      <c r="A3422" s="9" t="inlineStr">
        <is>
          <t>HAIFENG</t>
        </is>
      </c>
      <c r="B3422" s="9" t="inlineStr">
        <is>
          <t>HAIFENG 16/04/2026</t>
        </is>
      </c>
      <c r="C3422" s="9" t="inlineStr">
        <is>
          <t>2026-04-16</t>
        </is>
      </c>
      <c r="D3422" s="9" t="inlineStr">
        <is>
          <t>15554123061645</t>
        </is>
      </c>
      <c r="E3422" s="9" t="inlineStr">
        <is>
          <t>ARETES MOVE UNO LISO ROSE GOLD</t>
        </is>
      </c>
      <c r="F3422" s="9" t="inlineStr">
        <is>
          <t>Default Title</t>
        </is>
      </c>
      <c r="G3422" s="9" t="n">
        <v>2</v>
      </c>
      <c r="H3422" s="21" t="n">
        <v>5.99</v>
      </c>
      <c r="I3422" s="21" t="n">
        <v>125.98</v>
      </c>
      <c r="J3422" s="21" t="n">
        <v>377.94</v>
      </c>
      <c r="K3422" s="21" t="n">
        <v>440.92</v>
      </c>
      <c r="L3422" s="21" t="n">
        <v>503.91</v>
      </c>
      <c r="M3422" s="21" t="n">
        <v>499</v>
      </c>
    </row>
    <row r="3423">
      <c r="A3423" s="9" t="inlineStr">
        <is>
          <t>HAIFENG</t>
        </is>
      </c>
      <c r="B3423" s="9" t="inlineStr">
        <is>
          <t>HAIFENG 16/04/2026</t>
        </is>
      </c>
      <c r="C3423" s="9" t="inlineStr">
        <is>
          <t>2026-04-16</t>
        </is>
      </c>
      <c r="D3423" s="9" t="inlineStr">
        <is>
          <t>15554123135661</t>
        </is>
      </c>
      <c r="E3423" s="9" t="inlineStr">
        <is>
          <t>ARETES MOVE UNO LISO SILVER</t>
        </is>
      </c>
      <c r="F3423" s="9" t="inlineStr">
        <is>
          <t>Default Title</t>
        </is>
      </c>
      <c r="G3423" s="9" t="n">
        <v>2</v>
      </c>
      <c r="H3423" s="21" t="n">
        <v>5.99</v>
      </c>
      <c r="I3423" s="21" t="n">
        <v>125.98</v>
      </c>
      <c r="J3423" s="21" t="n">
        <v>377.94</v>
      </c>
      <c r="K3423" s="21" t="n">
        <v>440.92</v>
      </c>
      <c r="L3423" s="21" t="n">
        <v>503.91</v>
      </c>
      <c r="M3423" s="21" t="n">
        <v>499</v>
      </c>
    </row>
    <row r="3424">
      <c r="A3424" s="9" t="inlineStr">
        <is>
          <t>HAIFENG</t>
        </is>
      </c>
      <c r="B3424" s="9" t="inlineStr">
        <is>
          <t>HAIFENG 16/04/2026</t>
        </is>
      </c>
      <c r="C3424" s="9" t="inlineStr">
        <is>
          <t>2026-04-16</t>
        </is>
      </c>
      <c r="D3424" s="9" t="inlineStr">
        <is>
          <t>15554122759949</t>
        </is>
      </c>
      <c r="E3424" s="9" t="inlineStr">
        <is>
          <t>ARETES MOVE UNO STUD SILVER</t>
        </is>
      </c>
      <c r="F3424" s="9" t="inlineStr">
        <is>
          <t>Default Title</t>
        </is>
      </c>
      <c r="G3424" s="9" t="n">
        <v>2</v>
      </c>
      <c r="H3424" s="21" t="n">
        <v>8.99</v>
      </c>
      <c r="I3424" s="21" t="n">
        <v>189.07</v>
      </c>
      <c r="J3424" s="21" t="n">
        <v>567.22</v>
      </c>
      <c r="K3424" s="21" t="n">
        <v>661.76</v>
      </c>
      <c r="L3424" s="21" t="n">
        <v>756.29</v>
      </c>
      <c r="M3424" s="21" t="n">
        <v>799</v>
      </c>
    </row>
    <row r="3425">
      <c r="A3425" s="9" t="inlineStr">
        <is>
          <t>HAIFENG</t>
        </is>
      </c>
      <c r="B3425" s="9" t="inlineStr">
        <is>
          <t>HAIFENG 16/04/2026</t>
        </is>
      </c>
      <c r="C3425" s="9" t="inlineStr">
        <is>
          <t>2026-04-16</t>
        </is>
      </c>
      <c r="D3425" s="9" t="inlineStr">
        <is>
          <t>15554123204589</t>
        </is>
      </c>
      <c r="E3425" s="9" t="inlineStr">
        <is>
          <t>ARETES MOVE UNO Y UNO GOLD</t>
        </is>
      </c>
      <c r="F3425" s="9" t="inlineStr">
        <is>
          <t>Default Title</t>
        </is>
      </c>
      <c r="G3425" s="9" t="n">
        <v>2</v>
      </c>
      <c r="H3425" s="21" t="n">
        <v>6</v>
      </c>
      <c r="I3425" s="21" t="n">
        <v>126.19</v>
      </c>
      <c r="J3425" s="21" t="n">
        <v>378.57</v>
      </c>
      <c r="K3425" s="21" t="n">
        <v>441.66</v>
      </c>
      <c r="L3425" s="21" t="n">
        <v>504.76</v>
      </c>
      <c r="M3425" s="21" t="n">
        <v>499</v>
      </c>
    </row>
    <row r="3426">
      <c r="A3426" s="9" t="inlineStr">
        <is>
          <t>HAIFENG</t>
        </is>
      </c>
      <c r="B3426" s="9" t="inlineStr">
        <is>
          <t>HAIFENG 16/04/2026</t>
        </is>
      </c>
      <c r="C3426" s="9" t="inlineStr">
        <is>
          <t>2026-04-16</t>
        </is>
      </c>
      <c r="D3426" s="9" t="inlineStr">
        <is>
          <t>15554123342445</t>
        </is>
      </c>
      <c r="E3426" s="9" t="inlineStr">
        <is>
          <t>ARETES MOVE UNO Y UNO SILVER</t>
        </is>
      </c>
      <c r="F3426" s="9" t="inlineStr">
        <is>
          <t>Default Title</t>
        </is>
      </c>
      <c r="G3426" s="9" t="n">
        <v>2</v>
      </c>
      <c r="H3426" s="21" t="n">
        <v>6</v>
      </c>
      <c r="I3426" s="21" t="n">
        <v>126.19</v>
      </c>
      <c r="J3426" s="21" t="n">
        <v>378.57</v>
      </c>
      <c r="K3426" s="21" t="n">
        <v>441.66</v>
      </c>
      <c r="L3426" s="21" t="n">
        <v>504.76</v>
      </c>
      <c r="M3426" s="21" t="n">
        <v>499</v>
      </c>
    </row>
    <row r="3427">
      <c r="A3427" s="9" t="inlineStr">
        <is>
          <t>HAIFENG</t>
        </is>
      </c>
      <c r="B3427" s="9" t="inlineStr">
        <is>
          <t>HAIFENG 16/04/2026</t>
        </is>
      </c>
      <c r="C3427" s="9" t="inlineStr">
        <is>
          <t>2026-04-16</t>
        </is>
      </c>
      <c r="D3427" s="9" t="inlineStr">
        <is>
          <t>81078753595757</t>
        </is>
      </c>
      <c r="E3427" s="9" t="inlineStr">
        <is>
          <t>ARETES PANTHERE SILVER ZIRCONIAS</t>
        </is>
      </c>
      <c r="F3427" s="9" t="inlineStr">
        <is>
          <t>Default Title</t>
        </is>
      </c>
      <c r="G3427" s="9" t="n">
        <v>1</v>
      </c>
      <c r="H3427" s="21" t="n">
        <v>6.5</v>
      </c>
      <c r="I3427" s="21" t="n">
        <v>136.7</v>
      </c>
      <c r="J3427" s="21" t="n">
        <v>410.11</v>
      </c>
      <c r="K3427" s="21" t="n">
        <v>478.47</v>
      </c>
      <c r="L3427" s="21" t="n">
        <v>546.8200000000001</v>
      </c>
      <c r="M3427" s="21" t="n">
        <v>550</v>
      </c>
    </row>
    <row r="3428">
      <c r="A3428" s="9" t="inlineStr">
        <is>
          <t>HAIFENG</t>
        </is>
      </c>
      <c r="B3428" s="9" t="inlineStr">
        <is>
          <t>HAIFENG 16/04/2026</t>
        </is>
      </c>
      <c r="C3428" s="9" t="inlineStr">
        <is>
          <t>2026-04-16</t>
        </is>
      </c>
      <c r="D3428" s="9" t="inlineStr">
        <is>
          <t>665bb75e1389b</t>
        </is>
      </c>
      <c r="E3428" s="9" t="inlineStr">
        <is>
          <t>ARETES SCREW LOVE GOLD</t>
        </is>
      </c>
      <c r="F3428" s="9" t="inlineStr">
        <is>
          <t>MEDIUM</t>
        </is>
      </c>
      <c r="G3428" s="9" t="n">
        <v>2</v>
      </c>
      <c r="H3428" s="21" t="n">
        <v>2.99</v>
      </c>
      <c r="I3428" s="21" t="n">
        <v>62.88</v>
      </c>
      <c r="J3428" s="21" t="n">
        <v>188.65</v>
      </c>
      <c r="K3428" s="21" t="n">
        <v>220.09</v>
      </c>
      <c r="L3428" s="21" t="n">
        <v>251.54</v>
      </c>
      <c r="M3428" s="21" t="n">
        <v>550</v>
      </c>
    </row>
    <row r="3429">
      <c r="A3429" s="9" t="inlineStr">
        <is>
          <t>HAIFENG</t>
        </is>
      </c>
      <c r="B3429" s="9" t="inlineStr">
        <is>
          <t>HAIFENG 16/04/2026</t>
        </is>
      </c>
      <c r="C3429" s="9" t="inlineStr">
        <is>
          <t>2026-04-16</t>
        </is>
      </c>
      <c r="D3429" s="9" t="inlineStr">
        <is>
          <t>89790741157517</t>
        </is>
      </c>
      <c r="E3429" s="9" t="inlineStr">
        <is>
          <t>ARETES T GOLD LISO</t>
        </is>
      </c>
      <c r="F3429" s="9" t="inlineStr">
        <is>
          <t>Default Title</t>
        </is>
      </c>
      <c r="G3429" s="9" t="n">
        <v>3</v>
      </c>
      <c r="H3429" s="21" t="n">
        <v>7</v>
      </c>
      <c r="I3429" s="21" t="n">
        <v>147.22</v>
      </c>
      <c r="J3429" s="21" t="n">
        <v>441.66</v>
      </c>
      <c r="K3429" s="21" t="n">
        <v>515.27</v>
      </c>
      <c r="L3429" s="21" t="n">
        <v>588.88</v>
      </c>
      <c r="M3429" s="21" t="n">
        <v>599</v>
      </c>
    </row>
    <row r="3430">
      <c r="A3430" s="9" t="inlineStr">
        <is>
          <t>HAIFENG</t>
        </is>
      </c>
      <c r="B3430" s="9" t="inlineStr">
        <is>
          <t>HAIFENG 16/04/2026</t>
        </is>
      </c>
      <c r="C3430" s="9" t="inlineStr">
        <is>
          <t>2026-04-16</t>
        </is>
      </c>
      <c r="D3430" s="9" t="inlineStr">
        <is>
          <t>29736673893165</t>
        </is>
      </c>
      <c r="E3430" s="9" t="inlineStr">
        <is>
          <t>ARETES T SQUARE SIXTEEN STONE SILVER</t>
        </is>
      </c>
      <c r="F3430" s="9" t="inlineStr">
        <is>
          <t>Default Title</t>
        </is>
      </c>
      <c r="G3430" s="9" t="n">
        <v>4</v>
      </c>
      <c r="H3430" s="21" t="n">
        <v>6.5</v>
      </c>
      <c r="I3430" s="21" t="n">
        <v>136.7</v>
      </c>
      <c r="J3430" s="21" t="n">
        <v>410.11</v>
      </c>
      <c r="K3430" s="21" t="n">
        <v>478.47</v>
      </c>
      <c r="L3430" s="21" t="n">
        <v>546.8200000000001</v>
      </c>
      <c r="M3430" s="21" t="n">
        <v>599</v>
      </c>
    </row>
    <row r="3431">
      <c r="A3431" s="9" t="inlineStr">
        <is>
          <t>HAIFENG</t>
        </is>
      </c>
      <c r="B3431" s="9" t="inlineStr">
        <is>
          <t>HAIFENG 16/04/2026</t>
        </is>
      </c>
      <c r="C3431" s="9" t="inlineStr">
        <is>
          <t>2026-04-16</t>
        </is>
      </c>
      <c r="D3431" s="9" t="inlineStr">
        <is>
          <t>37491258087948</t>
        </is>
      </c>
      <c r="E3431" s="9" t="inlineStr">
        <is>
          <t>ARETES TRINITY DIAMOND</t>
        </is>
      </c>
      <c r="F3431" s="9" t="inlineStr">
        <is>
          <t>Default Title</t>
        </is>
      </c>
      <c r="G3431" s="9" t="n">
        <v>6</v>
      </c>
      <c r="H3431" s="21" t="n">
        <v>7</v>
      </c>
      <c r="I3431" s="21" t="n">
        <v>147.22</v>
      </c>
      <c r="J3431" s="21" t="n">
        <v>441.66</v>
      </c>
      <c r="K3431" s="21" t="n">
        <v>515.27</v>
      </c>
      <c r="L3431" s="21" t="n">
        <v>588.88</v>
      </c>
      <c r="M3431" s="21" t="n">
        <v>599</v>
      </c>
    </row>
    <row r="3432">
      <c r="A3432" s="9" t="inlineStr">
        <is>
          <t>HAIFENG</t>
        </is>
      </c>
      <c r="B3432" s="9" t="inlineStr">
        <is>
          <t>HAIFENG 16/04/2026</t>
        </is>
      </c>
      <c r="C3432" s="9" t="inlineStr">
        <is>
          <t>2026-04-16</t>
        </is>
      </c>
      <c r="D3432" s="9" t="inlineStr">
        <is>
          <t>6617849b9a844</t>
        </is>
      </c>
      <c r="E3432" s="9" t="inlineStr">
        <is>
          <t>ARETES TRÉBOL GOLD</t>
        </is>
      </c>
      <c r="F3432" s="9" t="inlineStr">
        <is>
          <t>HIGH QUALITY</t>
        </is>
      </c>
      <c r="G3432" s="9" t="n">
        <v>5</v>
      </c>
      <c r="H3432" s="21" t="n">
        <v>8</v>
      </c>
      <c r="I3432" s="21" t="n">
        <v>168.25</v>
      </c>
      <c r="J3432" s="21" t="n">
        <v>504.76</v>
      </c>
      <c r="K3432" s="21" t="n">
        <v>588.88</v>
      </c>
      <c r="L3432" s="21" t="n">
        <v>673.01</v>
      </c>
      <c r="M3432" s="21" t="n">
        <v>699</v>
      </c>
    </row>
    <row r="3433">
      <c r="A3433" s="9" t="inlineStr">
        <is>
          <t>HAIFENG</t>
        </is>
      </c>
      <c r="B3433" s="9" t="inlineStr">
        <is>
          <t>HAIFENG 16/04/2026</t>
        </is>
      </c>
      <c r="C3433" s="9" t="inlineStr">
        <is>
          <t>2026-04-16</t>
        </is>
      </c>
      <c r="D3433" s="9" t="inlineStr">
        <is>
          <t>661784a33b867</t>
        </is>
      </c>
      <c r="E3433" s="9" t="inlineStr">
        <is>
          <t>ARETES TRÉBOL GOLD-BLACK</t>
        </is>
      </c>
      <c r="F3433" s="9" t="inlineStr">
        <is>
          <t>HIGH QUALITY</t>
        </is>
      </c>
      <c r="G3433" s="9" t="n">
        <v>6</v>
      </c>
      <c r="H3433" s="21" t="n">
        <v>8</v>
      </c>
      <c r="I3433" s="21" t="n">
        <v>168.25</v>
      </c>
      <c r="J3433" s="21" t="n">
        <v>504.76</v>
      </c>
      <c r="K3433" s="21" t="n">
        <v>588.88</v>
      </c>
      <c r="L3433" s="21" t="n">
        <v>673.01</v>
      </c>
      <c r="M3433" s="21" t="n">
        <v>699</v>
      </c>
    </row>
    <row r="3434">
      <c r="A3434" s="9" t="inlineStr">
        <is>
          <t>HAIFENG</t>
        </is>
      </c>
      <c r="B3434" s="9" t="inlineStr">
        <is>
          <t>HAIFENG 16/04/2026</t>
        </is>
      </c>
      <c r="C3434" s="9" t="inlineStr">
        <is>
          <t>2026-04-16</t>
        </is>
      </c>
      <c r="D3434" s="9" t="inlineStr">
        <is>
          <t>665bb779989a5</t>
        </is>
      </c>
      <c r="E3434" s="9" t="inlineStr">
        <is>
          <t>ARETES TRÉBOL GOLD-WHITE</t>
        </is>
      </c>
      <c r="F3434" s="9" t="inlineStr">
        <is>
          <t>HIGH QUALITY</t>
        </is>
      </c>
      <c r="G3434" s="9" t="n">
        <v>2</v>
      </c>
      <c r="H3434" s="21" t="n">
        <v>8</v>
      </c>
      <c r="I3434" s="21" t="n">
        <v>168.25</v>
      </c>
      <c r="J3434" s="21" t="n">
        <v>504.76</v>
      </c>
      <c r="K3434" s="21" t="n">
        <v>588.88</v>
      </c>
      <c r="L3434" s="21" t="n">
        <v>673.01</v>
      </c>
      <c r="M3434" s="21" t="n">
        <v>699</v>
      </c>
    </row>
    <row r="3435">
      <c r="A3435" s="9" t="inlineStr">
        <is>
          <t>HAIFENG</t>
        </is>
      </c>
      <c r="B3435" s="9" t="inlineStr">
        <is>
          <t>HAIFENG 16/04/2026</t>
        </is>
      </c>
      <c r="C3435" s="9" t="inlineStr">
        <is>
          <t>2026-04-16</t>
        </is>
      </c>
      <c r="D3435" s="9" t="inlineStr">
        <is>
          <t>95854382461517</t>
        </is>
      </c>
      <c r="E3435" s="9" t="inlineStr">
        <is>
          <t>ARETES VF BUTTERFLIES</t>
        </is>
      </c>
      <c r="F3435" s="9" t="inlineStr">
        <is>
          <t>Default Title</t>
        </is>
      </c>
      <c r="G3435" s="9" t="n">
        <v>2</v>
      </c>
      <c r="H3435" s="21" t="n">
        <v>6</v>
      </c>
      <c r="I3435" s="21" t="n">
        <v>126.19</v>
      </c>
      <c r="J3435" s="21" t="n">
        <v>378.57</v>
      </c>
      <c r="K3435" s="21" t="n">
        <v>441.66</v>
      </c>
      <c r="L3435" s="21" t="n">
        <v>504.76</v>
      </c>
      <c r="M3435" s="21" t="n">
        <v>499</v>
      </c>
    </row>
    <row r="3436">
      <c r="A3436" s="9" t="inlineStr">
        <is>
          <t>HAIFENG</t>
        </is>
      </c>
      <c r="B3436" s="9" t="inlineStr">
        <is>
          <t>HAIFENG 16/04/2026</t>
        </is>
      </c>
      <c r="C3436" s="9" t="inlineStr">
        <is>
          <t>2026-04-16</t>
        </is>
      </c>
      <c r="D3436" s="9" t="inlineStr">
        <is>
          <t>21078752836941</t>
        </is>
      </c>
      <c r="E3436" s="9" t="inlineStr">
        <is>
          <t>ARRACADAS C GOLD ZIRCONIAS</t>
        </is>
      </c>
      <c r="F3436" s="9" t="inlineStr">
        <is>
          <t>Default Title</t>
        </is>
      </c>
      <c r="G3436" s="9" t="n">
        <v>5</v>
      </c>
      <c r="H3436" s="21" t="n">
        <v>7</v>
      </c>
      <c r="I3436" s="21" t="n">
        <v>147.22</v>
      </c>
      <c r="J3436" s="21" t="n">
        <v>441.66</v>
      </c>
      <c r="K3436" s="21" t="n">
        <v>515.27</v>
      </c>
      <c r="L3436" s="21" t="n">
        <v>588.88</v>
      </c>
      <c r="M3436" s="21" t="n">
        <v>620</v>
      </c>
    </row>
    <row r="3437">
      <c r="A3437" s="9" t="inlineStr">
        <is>
          <t>HAIFENG</t>
        </is>
      </c>
      <c r="B3437" s="9" t="inlineStr">
        <is>
          <t>HAIFENG 16/04/2026</t>
        </is>
      </c>
      <c r="C3437" s="9" t="inlineStr">
        <is>
          <t>2026-04-16</t>
        </is>
      </c>
      <c r="D3437" s="9" t="inlineStr">
        <is>
          <t>89246881340077</t>
        </is>
      </c>
      <c r="E3437" s="9" t="inlineStr">
        <is>
          <t>ARRACADAS CLAVO GOLD</t>
        </is>
      </c>
      <c r="F3437" s="9" t="inlineStr">
        <is>
          <t>Default Title</t>
        </is>
      </c>
      <c r="G3437" s="9" t="n">
        <v>2</v>
      </c>
      <c r="H3437" s="21" t="n">
        <v>10</v>
      </c>
      <c r="I3437" s="21" t="n">
        <v>210.31</v>
      </c>
      <c r="J3437" s="21" t="n">
        <v>630.9400000000001</v>
      </c>
      <c r="K3437" s="21" t="n">
        <v>736.1</v>
      </c>
      <c r="L3437" s="21" t="n">
        <v>841.26</v>
      </c>
      <c r="M3437" s="21" t="n">
        <v>850</v>
      </c>
    </row>
    <row r="3438">
      <c r="A3438" s="9" t="inlineStr">
        <is>
          <t>HAIFENG</t>
        </is>
      </c>
      <c r="B3438" s="9" t="inlineStr">
        <is>
          <t>HAIFENG 16/04/2026</t>
        </is>
      </c>
      <c r="C3438" s="9" t="inlineStr">
        <is>
          <t>2026-04-16</t>
        </is>
      </c>
      <c r="D3438" s="9" t="inlineStr">
        <is>
          <t>12314362540493</t>
        </is>
      </c>
      <c r="E3438" s="9" t="inlineStr">
        <is>
          <t>ARRACADAS F GOLD-BLACK</t>
        </is>
      </c>
      <c r="F3438" s="9" t="inlineStr">
        <is>
          <t>Default Title</t>
        </is>
      </c>
      <c r="G3438" s="9" t="n">
        <v>2</v>
      </c>
      <c r="H3438" s="21" t="n">
        <v>7</v>
      </c>
      <c r="I3438" s="21" t="n">
        <v>147.22</v>
      </c>
      <c r="J3438" s="21" t="n">
        <v>441.66</v>
      </c>
      <c r="K3438" s="21" t="n">
        <v>515.27</v>
      </c>
      <c r="L3438" s="21" t="n">
        <v>588.88</v>
      </c>
      <c r="M3438" s="21" t="n">
        <v>670</v>
      </c>
    </row>
    <row r="3439">
      <c r="A3439" s="9" t="inlineStr">
        <is>
          <t>HAIFENG</t>
        </is>
      </c>
      <c r="B3439" s="9" t="inlineStr">
        <is>
          <t>HAIFENG 16/04/2026</t>
        </is>
      </c>
      <c r="C3439" s="9" t="inlineStr">
        <is>
          <t>2026-04-16</t>
        </is>
      </c>
      <c r="D3439" s="9" t="inlineStr">
        <is>
          <t>86347033785069</t>
        </is>
      </c>
      <c r="E3439" s="9" t="inlineStr">
        <is>
          <t>ARRACADAS KNOT ROSEGOLD ZIRCONIAS</t>
        </is>
      </c>
      <c r="F3439" s="9" t="inlineStr">
        <is>
          <t>Default Title</t>
        </is>
      </c>
      <c r="G3439" s="9" t="n">
        <v>3</v>
      </c>
      <c r="H3439" s="21" t="n">
        <v>8</v>
      </c>
      <c r="I3439" s="21" t="n">
        <v>168.25</v>
      </c>
      <c r="J3439" s="21" t="n">
        <v>504.76</v>
      </c>
      <c r="K3439" s="21" t="n">
        <v>588.88</v>
      </c>
      <c r="L3439" s="21" t="n">
        <v>673.01</v>
      </c>
      <c r="M3439" s="21" t="n">
        <v>670</v>
      </c>
    </row>
    <row r="3440">
      <c r="A3440" s="9" t="inlineStr">
        <is>
          <t>HAIFENG</t>
        </is>
      </c>
      <c r="B3440" s="9" t="inlineStr">
        <is>
          <t>HAIFENG 16/04/2026</t>
        </is>
      </c>
      <c r="C3440" s="9" t="inlineStr">
        <is>
          <t>2026-04-16</t>
        </is>
      </c>
      <c r="D3440" s="9" t="inlineStr">
        <is>
          <t>12314363985133</t>
        </is>
      </c>
      <c r="E3440" s="9" t="inlineStr">
        <is>
          <t>ARRACADAS MM GOLD-BLACK</t>
        </is>
      </c>
      <c r="F3440" s="9" t="inlineStr">
        <is>
          <t>Default Title</t>
        </is>
      </c>
      <c r="G3440" s="9" t="n">
        <v>3</v>
      </c>
      <c r="H3440" s="21" t="n">
        <v>7.99</v>
      </c>
      <c r="I3440" s="21" t="n">
        <v>168.04</v>
      </c>
      <c r="J3440" s="21" t="n">
        <v>504.12</v>
      </c>
      <c r="K3440" s="21" t="n">
        <v>588.15</v>
      </c>
      <c r="L3440" s="21" t="n">
        <v>672.17</v>
      </c>
      <c r="M3440" s="21" t="n">
        <v>680</v>
      </c>
    </row>
    <row r="3441">
      <c r="A3441" s="9" t="inlineStr">
        <is>
          <t>HAIFENG</t>
        </is>
      </c>
      <c r="B3441" s="9" t="inlineStr">
        <is>
          <t>HAIFENG 16/04/2026</t>
        </is>
      </c>
      <c r="C3441" s="9" t="inlineStr">
        <is>
          <t>2026-04-16</t>
        </is>
      </c>
      <c r="D3441" s="9" t="inlineStr">
        <is>
          <t>47076841105709</t>
        </is>
      </c>
      <c r="E3441" s="9" t="inlineStr">
        <is>
          <t>ARRACADAS T ROSEGOLD CON ZIRCONIA</t>
        </is>
      </c>
      <c r="F3441" s="9" t="inlineStr">
        <is>
          <t>Default Title</t>
        </is>
      </c>
      <c r="G3441" s="9" t="n">
        <v>2</v>
      </c>
      <c r="H3441" s="21" t="n">
        <v>7</v>
      </c>
      <c r="I3441" s="21" t="n">
        <v>147.22</v>
      </c>
      <c r="J3441" s="21" t="n">
        <v>441.66</v>
      </c>
      <c r="K3441" s="21" t="n">
        <v>515.27</v>
      </c>
      <c r="L3441" s="21" t="n">
        <v>588.88</v>
      </c>
      <c r="M3441" s="21" t="n">
        <v>376</v>
      </c>
    </row>
    <row r="3442">
      <c r="A3442" s="9" t="inlineStr">
        <is>
          <t>HAIFENG</t>
        </is>
      </c>
      <c r="B3442" s="9" t="inlineStr">
        <is>
          <t>HAIFENG 16/04/2026</t>
        </is>
      </c>
      <c r="C3442" s="9" t="inlineStr">
        <is>
          <t>2026-04-16</t>
        </is>
      </c>
      <c r="D3442" s="9" t="inlineStr">
        <is>
          <t>47076841081421</t>
        </is>
      </c>
      <c r="E3442" s="9" t="inlineStr">
        <is>
          <t>ARRACADAS T SILVER CON ZIRCONIA</t>
        </is>
      </c>
      <c r="F3442" s="9" t="inlineStr">
        <is>
          <t>Default Title</t>
        </is>
      </c>
      <c r="G3442" s="9" t="n">
        <v>3</v>
      </c>
      <c r="H3442" s="21" t="n">
        <v>7</v>
      </c>
      <c r="I3442" s="21" t="n">
        <v>147.22</v>
      </c>
      <c r="J3442" s="21" t="n">
        <v>441.66</v>
      </c>
      <c r="K3442" s="21" t="n">
        <v>515.27</v>
      </c>
      <c r="L3442" s="21" t="n">
        <v>588.88</v>
      </c>
      <c r="M3442" s="21" t="n">
        <v>599</v>
      </c>
    </row>
    <row r="3443">
      <c r="A3443" s="9" t="inlineStr">
        <is>
          <t>HAIFENG</t>
        </is>
      </c>
      <c r="B3443" s="9" t="inlineStr">
        <is>
          <t>HAIFENG 16/04/2026</t>
        </is>
      </c>
      <c r="C3443" s="9" t="inlineStr">
        <is>
          <t>2026-04-16</t>
        </is>
      </c>
      <c r="D3443" s="9" t="inlineStr">
        <is>
          <t>89246881231597</t>
        </is>
      </c>
      <c r="E3443" s="9" t="inlineStr">
        <is>
          <t>ARRACADAS TRES AROS</t>
        </is>
      </c>
      <c r="F3443" s="9" t="inlineStr">
        <is>
          <t>Default Title</t>
        </is>
      </c>
      <c r="G3443" s="9" t="n">
        <v>2</v>
      </c>
      <c r="H3443" s="21" t="n">
        <v>8</v>
      </c>
      <c r="I3443" s="21" t="n">
        <v>168.25</v>
      </c>
      <c r="J3443" s="21" t="n">
        <v>504.76</v>
      </c>
      <c r="K3443" s="21" t="n">
        <v>588.88</v>
      </c>
      <c r="L3443" s="21" t="n">
        <v>673.01</v>
      </c>
      <c r="M3443" s="21" t="n">
        <v>699</v>
      </c>
    </row>
    <row r="3444">
      <c r="A3444" s="9" t="inlineStr">
        <is>
          <t>HAIFENG</t>
        </is>
      </c>
      <c r="B3444" s="9" t="inlineStr">
        <is>
          <t>HAIFENG 16/04/2026</t>
        </is>
      </c>
      <c r="C3444" s="9" t="inlineStr">
        <is>
          <t>2026-04-16</t>
        </is>
      </c>
      <c r="D3444" s="9" t="inlineStr">
        <is>
          <t>14361211408813</t>
        </is>
      </c>
      <c r="E3444" s="9" t="inlineStr">
        <is>
          <t>BRAZALETE BV ROSEGOLD WHITE</t>
        </is>
      </c>
      <c r="F3444" s="9" t="inlineStr">
        <is>
          <t>17</t>
        </is>
      </c>
      <c r="G3444" s="9" t="n">
        <v>2</v>
      </c>
      <c r="H3444" s="21" t="n">
        <v>10</v>
      </c>
      <c r="I3444" s="21" t="n">
        <v>210.31</v>
      </c>
      <c r="J3444" s="21" t="n">
        <v>630.9400000000001</v>
      </c>
      <c r="K3444" s="21" t="n">
        <v>736.1</v>
      </c>
      <c r="L3444" s="21" t="n">
        <v>841.26</v>
      </c>
      <c r="M3444" s="21" t="n">
        <v>850</v>
      </c>
    </row>
    <row r="3445">
      <c r="A3445" s="9" t="inlineStr">
        <is>
          <t>HAIFENG</t>
        </is>
      </c>
      <c r="B3445" s="9" t="inlineStr">
        <is>
          <t>HAIFENG 16/04/2026</t>
        </is>
      </c>
      <c r="C3445" s="9" t="inlineStr">
        <is>
          <t>2026-04-16</t>
        </is>
      </c>
      <c r="D3445" s="9" t="inlineStr">
        <is>
          <t>14361211269805</t>
        </is>
      </c>
      <c r="E3445" s="9" t="inlineStr">
        <is>
          <t>BRAZALETE BV SILVER WHITE</t>
        </is>
      </c>
      <c r="F3445" s="9" t="inlineStr">
        <is>
          <t>17</t>
        </is>
      </c>
      <c r="G3445" s="9" t="n">
        <v>1</v>
      </c>
      <c r="H3445" s="21" t="n">
        <v>10</v>
      </c>
      <c r="I3445" s="21" t="n">
        <v>210.31</v>
      </c>
      <c r="J3445" s="21" t="n">
        <v>630.9400000000001</v>
      </c>
      <c r="K3445" s="21" t="n">
        <v>736.1</v>
      </c>
      <c r="L3445" s="21" t="n">
        <v>841.26</v>
      </c>
      <c r="M3445" s="21" t="n">
        <v>850</v>
      </c>
    </row>
    <row r="3446">
      <c r="A3446" s="9" t="inlineStr">
        <is>
          <t>HAIFENG</t>
        </is>
      </c>
      <c r="B3446" s="9" t="inlineStr">
        <is>
          <t>HAIFENG 16/04/2026</t>
        </is>
      </c>
      <c r="C3446" s="9" t="inlineStr">
        <is>
          <t>2026-04-16</t>
        </is>
      </c>
      <c r="D3446" s="9" t="inlineStr">
        <is>
          <t>71078752279149</t>
        </is>
      </c>
      <c r="E3446" s="9" t="inlineStr">
        <is>
          <t>BRAZALETE C GOLD</t>
        </is>
      </c>
      <c r="F3446" s="9" t="inlineStr">
        <is>
          <t>Default Title</t>
        </is>
      </c>
      <c r="G3446" s="9" t="n">
        <v>2</v>
      </c>
      <c r="H3446" s="21" t="n">
        <v>5</v>
      </c>
      <c r="I3446" s="21" t="n">
        <v>105.16</v>
      </c>
      <c r="J3446" s="21" t="n">
        <v>315.47</v>
      </c>
      <c r="K3446" s="21" t="n">
        <v>368.05</v>
      </c>
      <c r="L3446" s="21" t="n">
        <v>420.63</v>
      </c>
      <c r="M3446" s="21" t="n">
        <v>450</v>
      </c>
    </row>
    <row r="3447">
      <c r="A3447" s="9" t="inlineStr">
        <is>
          <t>HAIFENG</t>
        </is>
      </c>
      <c r="B3447" s="9" t="inlineStr">
        <is>
          <t>HAIFENG 16/04/2026</t>
        </is>
      </c>
      <c r="C3447" s="9" t="inlineStr">
        <is>
          <t>2026-04-16</t>
        </is>
      </c>
      <c r="D3447" s="9" t="inlineStr">
        <is>
          <t>89246882713005</t>
        </is>
      </c>
      <c r="E3447" s="9" t="inlineStr">
        <is>
          <t>BRAZALETE H ESLABONES CHAINE GOLD</t>
        </is>
      </c>
      <c r="F3447" s="9" t="inlineStr">
        <is>
          <t>Default Title</t>
        </is>
      </c>
      <c r="G3447" s="9" t="n">
        <v>2</v>
      </c>
      <c r="H3447" s="21" t="n">
        <v>12</v>
      </c>
      <c r="I3447" s="21" t="n">
        <v>252.38</v>
      </c>
      <c r="J3447" s="21" t="n">
        <v>757.13</v>
      </c>
      <c r="K3447" s="21" t="n">
        <v>883.3200000000001</v>
      </c>
      <c r="L3447" s="21" t="n">
        <v>1009.51</v>
      </c>
      <c r="M3447" s="21" t="n">
        <v>999</v>
      </c>
    </row>
    <row r="3448">
      <c r="A3448" s="9" t="inlineStr">
        <is>
          <t>HAIFENG</t>
        </is>
      </c>
      <c r="B3448" s="9" t="inlineStr">
        <is>
          <t>HAIFENG 16/04/2026</t>
        </is>
      </c>
      <c r="C3448" s="9" t="inlineStr">
        <is>
          <t>2026-04-16</t>
        </is>
      </c>
      <c r="D3448" s="9" t="inlineStr">
        <is>
          <t>89246882816397</t>
        </is>
      </c>
      <c r="E3448" s="9" t="inlineStr">
        <is>
          <t>BRAZALETE H FARANDOLE SILVER</t>
        </is>
      </c>
      <c r="F3448" s="9" t="inlineStr">
        <is>
          <t>Default Title</t>
        </is>
      </c>
      <c r="G3448" s="9" t="n">
        <v>2</v>
      </c>
      <c r="H3448" s="21" t="n">
        <v>9</v>
      </c>
      <c r="I3448" s="21" t="n">
        <v>189.28</v>
      </c>
      <c r="J3448" s="21" t="n">
        <v>567.85</v>
      </c>
      <c r="K3448" s="21" t="n">
        <v>662.49</v>
      </c>
      <c r="L3448" s="21" t="n">
        <v>757.13</v>
      </c>
      <c r="M3448" s="21" t="n">
        <v>750</v>
      </c>
    </row>
    <row r="3449">
      <c r="A3449" s="9" t="inlineStr">
        <is>
          <t>HAIFENG</t>
        </is>
      </c>
      <c r="B3449" s="9" t="inlineStr">
        <is>
          <t>HAIFENG 16/04/2026</t>
        </is>
      </c>
      <c r="C3449" s="9" t="inlineStr">
        <is>
          <t>2026-04-16</t>
        </is>
      </c>
      <c r="D3449" s="9" t="inlineStr">
        <is>
          <t>59950731067117</t>
        </is>
      </c>
      <c r="E3449" s="9" t="inlineStr">
        <is>
          <t>BRAZALETE LOVE GOLD</t>
        </is>
      </c>
      <c r="F3449" s="9" t="inlineStr">
        <is>
          <t>17CM</t>
        </is>
      </c>
      <c r="G3449" s="9" t="n">
        <v>2</v>
      </c>
      <c r="H3449" s="21" t="n">
        <v>5</v>
      </c>
      <c r="I3449" s="21" t="n">
        <v>105.16</v>
      </c>
      <c r="J3449" s="21" t="n">
        <v>315.47</v>
      </c>
      <c r="K3449" s="21" t="n">
        <v>368.05</v>
      </c>
      <c r="L3449" s="21" t="n">
        <v>420.63</v>
      </c>
      <c r="M3449" s="21" t="n">
        <v>450</v>
      </c>
    </row>
    <row r="3450">
      <c r="A3450" s="9" t="inlineStr">
        <is>
          <t>HAIFENG</t>
        </is>
      </c>
      <c r="B3450" s="9" t="inlineStr">
        <is>
          <t>HAIFENG 16/04/2026</t>
        </is>
      </c>
      <c r="C3450" s="9" t="inlineStr">
        <is>
          <t>2026-04-16</t>
        </is>
      </c>
      <c r="D3450" s="9" t="inlineStr">
        <is>
          <t>15554121358797</t>
        </is>
      </c>
      <c r="E3450" s="9" t="inlineStr">
        <is>
          <t>BRAZALETE MOVE NOA CISELE GOLD</t>
        </is>
      </c>
      <c r="F3450" s="9" t="inlineStr">
        <is>
          <t>Default Title</t>
        </is>
      </c>
      <c r="G3450" s="9" t="n">
        <v>2</v>
      </c>
      <c r="H3450" s="21" t="n">
        <v>18</v>
      </c>
      <c r="I3450" s="21" t="n">
        <v>378.57</v>
      </c>
      <c r="J3450" s="21" t="n">
        <v>1135.7</v>
      </c>
      <c r="K3450" s="21" t="n">
        <v>1324.98</v>
      </c>
      <c r="L3450" s="21" t="n">
        <v>1514.27</v>
      </c>
      <c r="M3450" s="21" t="n">
        <v>1499</v>
      </c>
    </row>
    <row r="3451">
      <c r="A3451" s="9" t="inlineStr">
        <is>
          <t>HAIFENG</t>
        </is>
      </c>
      <c r="B3451" s="9" t="inlineStr">
        <is>
          <t>HAIFENG 16/04/2026</t>
        </is>
      </c>
      <c r="C3451" s="9" t="inlineStr">
        <is>
          <t>2026-04-16</t>
        </is>
      </c>
      <c r="D3451" s="9" t="inlineStr">
        <is>
          <t>15554122051469</t>
        </is>
      </c>
      <c r="E3451" s="9" t="inlineStr">
        <is>
          <t>BRAZALETE MOVE NOA GOLD</t>
        </is>
      </c>
      <c r="F3451" s="9" t="inlineStr">
        <is>
          <t>Default Title</t>
        </is>
      </c>
      <c r="G3451" s="9" t="n">
        <v>2</v>
      </c>
      <c r="H3451" s="21" t="n">
        <v>10</v>
      </c>
      <c r="I3451" s="21" t="n">
        <v>210.31</v>
      </c>
      <c r="J3451" s="21" t="n">
        <v>630.9400000000001</v>
      </c>
      <c r="K3451" s="21" t="n">
        <v>736.1</v>
      </c>
      <c r="L3451" s="21" t="n">
        <v>841.26</v>
      </c>
      <c r="M3451" s="21" t="n">
        <v>850</v>
      </c>
    </row>
    <row r="3452">
      <c r="A3452" s="9" t="inlineStr">
        <is>
          <t>HAIFENG</t>
        </is>
      </c>
      <c r="B3452" s="9" t="inlineStr">
        <is>
          <t>HAIFENG 16/04/2026</t>
        </is>
      </c>
      <c r="C3452" s="9" t="inlineStr">
        <is>
          <t>2026-04-16</t>
        </is>
      </c>
      <c r="D3452" s="9" t="inlineStr">
        <is>
          <t>15554121626029</t>
        </is>
      </c>
      <c r="E3452" s="9" t="inlineStr">
        <is>
          <t>BRAZALETE MOVE UNO GOLD ZIRCONIAS</t>
        </is>
      </c>
      <c r="F3452" s="9" t="inlineStr">
        <is>
          <t>Default Title</t>
        </is>
      </c>
      <c r="G3452" s="9" t="n">
        <v>2</v>
      </c>
      <c r="H3452" s="21" t="n">
        <v>10</v>
      </c>
      <c r="I3452" s="21" t="n">
        <v>210.31</v>
      </c>
      <c r="J3452" s="21" t="n">
        <v>630.9400000000001</v>
      </c>
      <c r="K3452" s="21" t="n">
        <v>736.1</v>
      </c>
      <c r="L3452" s="21" t="n">
        <v>841.26</v>
      </c>
      <c r="M3452" s="21" t="n">
        <v>850</v>
      </c>
    </row>
    <row r="3453">
      <c r="A3453" s="9" t="inlineStr">
        <is>
          <t>HAIFENG</t>
        </is>
      </c>
      <c r="B3453" s="9" t="inlineStr">
        <is>
          <t>HAIFENG 16/04/2026</t>
        </is>
      </c>
      <c r="C3453" s="9" t="inlineStr">
        <is>
          <t>2026-04-16</t>
        </is>
      </c>
      <c r="D3453" s="9" t="inlineStr">
        <is>
          <t>67201531970989</t>
        </is>
      </c>
      <c r="E3453" s="9" t="inlineStr">
        <is>
          <t>BRAZALETE MSS GOLD</t>
        </is>
      </c>
      <c r="F3453" s="9" t="inlineStr">
        <is>
          <t>16 cm</t>
        </is>
      </c>
      <c r="G3453" s="9" t="n">
        <v>3</v>
      </c>
      <c r="H3453" s="21" t="n">
        <v>10</v>
      </c>
      <c r="I3453" s="21" t="n">
        <v>210.31</v>
      </c>
      <c r="J3453" s="21" t="n">
        <v>630.9400000000001</v>
      </c>
      <c r="K3453" s="21" t="n">
        <v>736.1</v>
      </c>
      <c r="L3453" s="21" t="n">
        <v>841.26</v>
      </c>
      <c r="M3453" s="21" t="n">
        <v>850</v>
      </c>
    </row>
    <row r="3454">
      <c r="A3454" s="9" t="inlineStr">
        <is>
          <t>HAIFENG</t>
        </is>
      </c>
      <c r="B3454" s="9" t="inlineStr">
        <is>
          <t>HAIFENG 16/04/2026</t>
        </is>
      </c>
      <c r="C3454" s="9" t="inlineStr">
        <is>
          <t>2026-04-16</t>
        </is>
      </c>
      <c r="D3454" s="9" t="inlineStr">
        <is>
          <t>40154171267789</t>
        </is>
      </c>
      <c r="E3454" s="9" t="inlineStr">
        <is>
          <t>BRAZALETE T ELSA PERETTI GOLD</t>
        </is>
      </c>
      <c r="F3454" s="9" t="inlineStr">
        <is>
          <t>Default Title</t>
        </is>
      </c>
      <c r="G3454" s="9" t="n">
        <v>1</v>
      </c>
      <c r="H3454" s="21" t="n">
        <v>7.5</v>
      </c>
      <c r="I3454" s="21" t="n">
        <v>157.74</v>
      </c>
      <c r="J3454" s="21" t="n">
        <v>473.21</v>
      </c>
      <c r="K3454" s="21" t="n">
        <v>552.08</v>
      </c>
      <c r="L3454" s="21" t="n">
        <v>630.9400000000001</v>
      </c>
      <c r="M3454" s="21" t="n">
        <v>650</v>
      </c>
    </row>
    <row r="3455">
      <c r="A3455" s="9" t="inlineStr">
        <is>
          <t>HAIFENG</t>
        </is>
      </c>
      <c r="B3455" s="9" t="inlineStr">
        <is>
          <t>HAIFENG 16/04/2026</t>
        </is>
      </c>
      <c r="C3455" s="9" t="inlineStr">
        <is>
          <t>2026-04-16</t>
        </is>
      </c>
      <c r="D3455" s="9" t="inlineStr">
        <is>
          <t>40154172105165</t>
        </is>
      </c>
      <c r="E3455" s="9" t="inlineStr">
        <is>
          <t>BRAZALETE T ESLABONES PEARL</t>
        </is>
      </c>
      <c r="F3455" s="9" t="inlineStr">
        <is>
          <t>Default Title</t>
        </is>
      </c>
      <c r="G3455" s="9" t="n">
        <v>1</v>
      </c>
      <c r="H3455" s="21" t="n">
        <v>3</v>
      </c>
      <c r="I3455" s="21" t="n">
        <v>63.09</v>
      </c>
      <c r="J3455" s="21" t="n">
        <v>189.28</v>
      </c>
      <c r="K3455" s="21" t="n">
        <v>220.83</v>
      </c>
      <c r="L3455" s="21" t="n">
        <v>252.38</v>
      </c>
      <c r="M3455" s="21" t="n">
        <v>850</v>
      </c>
    </row>
    <row r="3456">
      <c r="A3456" s="9" t="inlineStr">
        <is>
          <t>HAIFENG</t>
        </is>
      </c>
      <c r="B3456" s="9" t="inlineStr">
        <is>
          <t>HAIFENG 16/04/2026</t>
        </is>
      </c>
      <c r="C3456" s="9" t="inlineStr">
        <is>
          <t>2026-04-16</t>
        </is>
      </c>
      <c r="D3456" s="9" t="inlineStr">
        <is>
          <t>89246881412397</t>
        </is>
      </c>
      <c r="E3456" s="9" t="inlineStr">
        <is>
          <t>BROCHE CD GOLD</t>
        </is>
      </c>
      <c r="F3456" s="9" t="inlineStr">
        <is>
          <t>Default Title</t>
        </is>
      </c>
      <c r="G3456" s="9" t="n">
        <v>2</v>
      </c>
      <c r="H3456" s="21" t="n">
        <v>4.5</v>
      </c>
      <c r="I3456" s="21" t="n">
        <v>94.64</v>
      </c>
      <c r="J3456" s="21" t="n">
        <v>283.92</v>
      </c>
      <c r="K3456" s="21" t="n">
        <v>331.25</v>
      </c>
      <c r="L3456" s="21" t="n">
        <v>378.57</v>
      </c>
      <c r="M3456" s="21" t="n">
        <v>400</v>
      </c>
    </row>
    <row r="3457">
      <c r="A3457" s="9" t="inlineStr">
        <is>
          <t>HAIFENG</t>
        </is>
      </c>
      <c r="B3457" s="9" t="inlineStr">
        <is>
          <t>HAIFENG 16/04/2026</t>
        </is>
      </c>
      <c r="C3457" s="9" t="inlineStr">
        <is>
          <t>2026-04-16</t>
        </is>
      </c>
      <c r="D3457" s="9" t="inlineStr">
        <is>
          <t>89246881583021</t>
        </is>
      </c>
      <c r="E3457" s="9" t="inlineStr">
        <is>
          <t>BROCHE CD GOLD ZIRCONIAS PEARL</t>
        </is>
      </c>
      <c r="F3457" s="9" t="inlineStr">
        <is>
          <t>Default Title</t>
        </is>
      </c>
      <c r="G3457" s="9" t="n">
        <v>2</v>
      </c>
      <c r="H3457" s="21" t="n">
        <v>6</v>
      </c>
      <c r="I3457" s="21" t="n">
        <v>126.19</v>
      </c>
      <c r="J3457" s="21" t="n">
        <v>378.57</v>
      </c>
      <c r="K3457" s="21" t="n">
        <v>441.66</v>
      </c>
      <c r="L3457" s="21" t="n">
        <v>504.76</v>
      </c>
      <c r="M3457" s="21" t="n">
        <v>499</v>
      </c>
    </row>
    <row r="3458">
      <c r="A3458" s="9" t="inlineStr">
        <is>
          <t>HAIFENG</t>
        </is>
      </c>
      <c r="B3458" s="9" t="inlineStr">
        <is>
          <t>HAIFENG 16/04/2026</t>
        </is>
      </c>
      <c r="C3458" s="9" t="inlineStr">
        <is>
          <t>2026-04-16</t>
        </is>
      </c>
      <c r="D3458" s="9" t="inlineStr">
        <is>
          <t>63e0bdd7a5137</t>
        </is>
      </c>
      <c r="E3458" s="9" t="inlineStr">
        <is>
          <t>COLLAR ARO LOVE ROSE GOLD</t>
        </is>
      </c>
      <c r="F3458" s="9" t="inlineStr">
        <is>
          <t>46cm</t>
        </is>
      </c>
      <c r="G3458" s="9" t="n">
        <v>5</v>
      </c>
      <c r="H3458" s="21" t="n">
        <v>5</v>
      </c>
      <c r="I3458" s="21" t="n">
        <v>105.16</v>
      </c>
      <c r="J3458" s="21" t="n">
        <v>315.47</v>
      </c>
      <c r="K3458" s="21" t="n">
        <v>368.05</v>
      </c>
      <c r="L3458" s="21" t="n">
        <v>420.63</v>
      </c>
      <c r="M3458" s="21" t="n">
        <v>460</v>
      </c>
    </row>
    <row r="3459">
      <c r="A3459" s="9" t="inlineStr">
        <is>
          <t>HAIFENG</t>
        </is>
      </c>
      <c r="B3459" s="9" t="inlineStr">
        <is>
          <t>HAIFENG 16/04/2026</t>
        </is>
      </c>
      <c r="C3459" s="9" t="inlineStr">
        <is>
          <t>2026-04-16</t>
        </is>
      </c>
      <c r="D3459" s="9" t="inlineStr">
        <is>
          <t>643ec108c3efe</t>
        </is>
      </c>
      <c r="E3459" s="9" t="inlineStr">
        <is>
          <t>COLLAR BV GOLD</t>
        </is>
      </c>
      <c r="F3459" s="9" t="inlineStr">
        <is>
          <t>Largo de cadena total 40cm  Extensión 8 cm  Dije 1 cm</t>
        </is>
      </c>
      <c r="G3459" s="9" t="n">
        <v>10</v>
      </c>
      <c r="H3459" s="21" t="n">
        <v>3.99</v>
      </c>
      <c r="I3459" s="21" t="n">
        <v>83.92</v>
      </c>
      <c r="J3459" s="21" t="n">
        <v>251.75</v>
      </c>
      <c r="K3459" s="21" t="n">
        <v>293.7</v>
      </c>
      <c r="L3459" s="21" t="n">
        <v>335.66</v>
      </c>
      <c r="M3459" s="21" t="n">
        <v>499</v>
      </c>
    </row>
    <row r="3460">
      <c r="A3460" s="9" t="inlineStr">
        <is>
          <t>HAIFENG</t>
        </is>
      </c>
      <c r="B3460" s="9" t="inlineStr">
        <is>
          <t>HAIFENG 16/04/2026</t>
        </is>
      </c>
      <c r="C3460" s="9" t="inlineStr">
        <is>
          <t>2026-04-16</t>
        </is>
      </c>
      <c r="D3460" s="9" t="inlineStr">
        <is>
          <t>91078752962381</t>
        </is>
      </c>
      <c r="E3460" s="9" t="inlineStr">
        <is>
          <t>COLLAR BV GOLD PEAKS CON ZIRCONIA ALREDEDOR</t>
        </is>
      </c>
      <c r="F3460" s="9" t="inlineStr">
        <is>
          <t>Default Title</t>
        </is>
      </c>
      <c r="G3460" s="9" t="n">
        <v>2</v>
      </c>
      <c r="H3460" s="21" t="n">
        <v>8</v>
      </c>
      <c r="I3460" s="21" t="n">
        <v>168.25</v>
      </c>
      <c r="J3460" s="21" t="n">
        <v>504.76</v>
      </c>
      <c r="K3460" s="21" t="n">
        <v>588.88</v>
      </c>
      <c r="L3460" s="21" t="n">
        <v>673.01</v>
      </c>
      <c r="M3460" s="21" t="n">
        <v>659.2</v>
      </c>
    </row>
    <row r="3461">
      <c r="A3461" s="9" t="inlineStr">
        <is>
          <t>HAIFENG</t>
        </is>
      </c>
      <c r="B3461" s="9" t="inlineStr">
        <is>
          <t>HAIFENG 16/04/2026</t>
        </is>
      </c>
      <c r="C3461" s="9" t="inlineStr">
        <is>
          <t>2026-04-16</t>
        </is>
      </c>
      <c r="D3461" s="9" t="inlineStr">
        <is>
          <t>27127011173132</t>
        </is>
      </c>
      <c r="E3461" s="9" t="inlineStr">
        <is>
          <t>COLLAR Bzero SILVER BLACK</t>
        </is>
      </c>
      <c r="F3461" s="9" t="inlineStr">
        <is>
          <t>41cm de largo con 8cm de Extension.</t>
        </is>
      </c>
      <c r="G3461" s="9" t="n">
        <v>5</v>
      </c>
      <c r="H3461" s="21" t="n">
        <v>5</v>
      </c>
      <c r="I3461" s="21" t="n">
        <v>105.16</v>
      </c>
      <c r="J3461" s="21" t="n">
        <v>315.47</v>
      </c>
      <c r="K3461" s="21" t="n">
        <v>368.05</v>
      </c>
      <c r="L3461" s="21" t="n">
        <v>420.63</v>
      </c>
      <c r="M3461" s="21" t="n">
        <v>550</v>
      </c>
    </row>
    <row r="3462">
      <c r="A3462" s="9" t="inlineStr">
        <is>
          <t>HAIFENG</t>
        </is>
      </c>
      <c r="B3462" s="9" t="inlineStr">
        <is>
          <t>HAIFENG 16/04/2026</t>
        </is>
      </c>
      <c r="C3462" s="9" t="inlineStr">
        <is>
          <t>2026-04-16</t>
        </is>
      </c>
      <c r="D3462" s="9" t="inlineStr">
        <is>
          <t>43728082327916</t>
        </is>
      </c>
      <c r="E3462" s="9" t="inlineStr">
        <is>
          <t>COLLAR C D’AMOUR GOLD</t>
        </is>
      </c>
      <c r="F3462" s="9" t="inlineStr">
        <is>
          <t>44cm con 5cm de extensión</t>
        </is>
      </c>
      <c r="G3462" s="9" t="n">
        <v>4</v>
      </c>
      <c r="H3462" s="21" t="n">
        <v>2.99</v>
      </c>
      <c r="I3462" s="21" t="n">
        <v>62.88</v>
      </c>
      <c r="J3462" s="21" t="n">
        <v>188.65</v>
      </c>
      <c r="K3462" s="21" t="n">
        <v>220.09</v>
      </c>
      <c r="L3462" s="21" t="n">
        <v>251.54</v>
      </c>
      <c r="M3462" s="21" t="n">
        <v>525</v>
      </c>
    </row>
    <row r="3463">
      <c r="A3463" s="9" t="inlineStr">
        <is>
          <t>HAIFENG</t>
        </is>
      </c>
      <c r="B3463" s="9" t="inlineStr">
        <is>
          <t>HAIFENG 16/04/2026</t>
        </is>
      </c>
      <c r="C3463" s="9" t="inlineStr">
        <is>
          <t>2026-04-16</t>
        </is>
      </c>
      <c r="D3463" s="9" t="inlineStr">
        <is>
          <t>MAJO</t>
        </is>
      </c>
      <c r="E3463" s="9" t="inlineStr">
        <is>
          <t>COLLAR C D’AMOUR GOLD</t>
        </is>
      </c>
      <c r="F3463" s="9" t="inlineStr"/>
      <c r="G3463" s="9" t="n">
        <v>1</v>
      </c>
      <c r="H3463" s="21" t="n">
        <v>2.99</v>
      </c>
      <c r="I3463" s="21" t="n">
        <v>62.88</v>
      </c>
      <c r="J3463" s="21" t="n">
        <v>188.65</v>
      </c>
      <c r="K3463" s="21" t="n">
        <v>220.09</v>
      </c>
      <c r="L3463" s="21" t="n">
        <v>251.54</v>
      </c>
      <c r="M3463" s="21" t="n"/>
    </row>
    <row r="3464">
      <c r="A3464" s="9" t="inlineStr">
        <is>
          <t>HAIFENG</t>
        </is>
      </c>
      <c r="B3464" s="9" t="inlineStr">
        <is>
          <t>HAIFENG 16/04/2026</t>
        </is>
      </c>
      <c r="C3464" s="9" t="inlineStr">
        <is>
          <t>2026-04-16</t>
        </is>
      </c>
      <c r="D3464" s="9" t="inlineStr">
        <is>
          <t>11078751761037</t>
        </is>
      </c>
      <c r="E3464" s="9" t="inlineStr">
        <is>
          <t>COLLAR C GOLD ZIRCONIAS</t>
        </is>
      </c>
      <c r="F3464" s="9" t="inlineStr">
        <is>
          <t>Default Title</t>
        </is>
      </c>
      <c r="G3464" s="9" t="n">
        <v>8</v>
      </c>
      <c r="H3464" s="21" t="n">
        <v>5.99</v>
      </c>
      <c r="I3464" s="21" t="n">
        <v>125.98</v>
      </c>
      <c r="J3464" s="21" t="n">
        <v>377.94</v>
      </c>
      <c r="K3464" s="21" t="n">
        <v>440.92</v>
      </c>
      <c r="L3464" s="21" t="n">
        <v>503.91</v>
      </c>
      <c r="M3464" s="21" t="n">
        <v>550</v>
      </c>
    </row>
    <row r="3465">
      <c r="A3465" s="9" t="inlineStr">
        <is>
          <t>HAIFENG</t>
        </is>
      </c>
      <c r="B3465" s="9" t="inlineStr">
        <is>
          <t>HAIFENG 16/04/2026</t>
        </is>
      </c>
      <c r="C3465" s="9" t="inlineStr">
        <is>
          <t>2026-04-16</t>
        </is>
      </c>
      <c r="D3465" s="9" t="inlineStr">
        <is>
          <t>71078751659341</t>
        </is>
      </c>
      <c r="E3465" s="9" t="inlineStr">
        <is>
          <t>COLLAR C SILVER ZIRCONIAS</t>
        </is>
      </c>
      <c r="F3465" s="9" t="inlineStr">
        <is>
          <t>Default Title</t>
        </is>
      </c>
      <c r="G3465" s="9" t="n">
        <v>2</v>
      </c>
      <c r="H3465" s="21" t="n">
        <v>5.99</v>
      </c>
      <c r="I3465" s="21" t="n">
        <v>125.98</v>
      </c>
      <c r="J3465" s="21" t="n">
        <v>377.94</v>
      </c>
      <c r="K3465" s="21" t="n">
        <v>440.92</v>
      </c>
      <c r="L3465" s="21" t="n">
        <v>503.91</v>
      </c>
      <c r="M3465" s="21" t="n">
        <v>493.58</v>
      </c>
    </row>
    <row r="3466">
      <c r="A3466" s="9" t="inlineStr">
        <is>
          <t>HAIFENG</t>
        </is>
      </c>
      <c r="B3466" s="9" t="inlineStr">
        <is>
          <t>HAIFENG 16/04/2026</t>
        </is>
      </c>
      <c r="C3466" s="9" t="inlineStr">
        <is>
          <t>2026-04-16</t>
        </is>
      </c>
      <c r="D3466" s="9" t="inlineStr">
        <is>
          <t>89246881897741</t>
        </is>
      </c>
      <c r="E3466" s="9" t="inlineStr">
        <is>
          <t>COLLAR CD CHOKER</t>
        </is>
      </c>
      <c r="F3466" s="9" t="inlineStr">
        <is>
          <t>Default Title</t>
        </is>
      </c>
      <c r="G3466" s="9" t="n">
        <v>2</v>
      </c>
      <c r="H3466" s="21" t="n">
        <v>4</v>
      </c>
      <c r="I3466" s="21" t="n">
        <v>84.13</v>
      </c>
      <c r="J3466" s="21" t="n">
        <v>252.38</v>
      </c>
      <c r="K3466" s="21" t="n">
        <v>294.44</v>
      </c>
      <c r="L3466" s="21" t="n">
        <v>336.5</v>
      </c>
      <c r="M3466" s="21" t="n">
        <v>400</v>
      </c>
    </row>
    <row r="3467">
      <c r="A3467" s="9" t="inlineStr">
        <is>
          <t>HAIFENG</t>
        </is>
      </c>
      <c r="B3467" s="9" t="inlineStr">
        <is>
          <t>HAIFENG 16/04/2026</t>
        </is>
      </c>
      <c r="C3467" s="9" t="inlineStr">
        <is>
          <t>2026-04-16</t>
        </is>
      </c>
      <c r="D3467" s="9" t="inlineStr">
        <is>
          <t>89246881932205</t>
        </is>
      </c>
      <c r="E3467" s="9" t="inlineStr">
        <is>
          <t>COLLAR CD GOLD CON ZIRCONIAS</t>
        </is>
      </c>
      <c r="F3467" s="9" t="inlineStr">
        <is>
          <t>Default Title</t>
        </is>
      </c>
      <c r="G3467" s="9" t="n">
        <v>2</v>
      </c>
      <c r="H3467" s="21" t="n"/>
      <c r="I3467" s="21" t="n">
        <v>0</v>
      </c>
      <c r="J3467" s="21" t="n">
        <v>0</v>
      </c>
      <c r="K3467" s="21" t="n">
        <v>0</v>
      </c>
      <c r="L3467" s="21" t="n">
        <v>0</v>
      </c>
      <c r="M3467" s="21" t="n">
        <v>850</v>
      </c>
    </row>
    <row r="3468">
      <c r="A3468" s="9" t="inlineStr">
        <is>
          <t>HAIFENG</t>
        </is>
      </c>
      <c r="B3468" s="9" t="inlineStr">
        <is>
          <t>HAIFENG 16/04/2026</t>
        </is>
      </c>
      <c r="C3468" s="9" t="inlineStr">
        <is>
          <t>2026-04-16</t>
        </is>
      </c>
      <c r="D3468" s="9" t="inlineStr">
        <is>
          <t>36002951405580</t>
        </is>
      </c>
      <c r="E3468" s="9" t="inlineStr">
        <is>
          <t>COLLAR CLAVO GOLD CON ZIRCONIA</t>
        </is>
      </c>
      <c r="F3468" s="9" t="inlineStr">
        <is>
          <t>40cm de largo x 5cm de extensión</t>
        </is>
      </c>
      <c r="G3468" s="9" t="n">
        <v>15</v>
      </c>
      <c r="H3468" s="21" t="n">
        <v>6</v>
      </c>
      <c r="I3468" s="21" t="n">
        <v>126.19</v>
      </c>
      <c r="J3468" s="21" t="n">
        <v>378.57</v>
      </c>
      <c r="K3468" s="21" t="n">
        <v>441.66</v>
      </c>
      <c r="L3468" s="21" t="n">
        <v>504.76</v>
      </c>
      <c r="M3468" s="21" t="n">
        <v>618</v>
      </c>
    </row>
    <row r="3469">
      <c r="A3469" s="9" t="inlineStr">
        <is>
          <t>HAIFENG</t>
        </is>
      </c>
      <c r="B3469" s="9" t="inlineStr">
        <is>
          <t>HAIFENG 16/04/2026</t>
        </is>
      </c>
      <c r="C3469" s="9" t="inlineStr">
        <is>
          <t>2026-04-16</t>
        </is>
      </c>
      <c r="D3469" s="9" t="inlineStr">
        <is>
          <t>36002958128780</t>
        </is>
      </c>
      <c r="E3469" s="9" t="inlineStr">
        <is>
          <t>COLLAR CLAVO GOLD MZ</t>
        </is>
      </c>
      <c r="F3469" s="9" t="inlineStr">
        <is>
          <t>42cm de largo x 3cm de extensión</t>
        </is>
      </c>
      <c r="G3469" s="9" t="n">
        <v>4</v>
      </c>
      <c r="H3469" s="21" t="n">
        <v>7</v>
      </c>
      <c r="I3469" s="21" t="n">
        <v>147.22</v>
      </c>
      <c r="J3469" s="21" t="n">
        <v>441.66</v>
      </c>
      <c r="K3469" s="21" t="n">
        <v>515.27</v>
      </c>
      <c r="L3469" s="21" t="n">
        <v>588.88</v>
      </c>
      <c r="M3469" s="21" t="n">
        <v>599</v>
      </c>
    </row>
    <row r="3470">
      <c r="A3470" s="9" t="inlineStr">
        <is>
          <t>HAIFENG</t>
        </is>
      </c>
      <c r="B3470" s="9" t="inlineStr">
        <is>
          <t>HAIFENG 16/04/2026</t>
        </is>
      </c>
      <c r="C3470" s="9" t="inlineStr">
        <is>
          <t>2026-04-16</t>
        </is>
      </c>
      <c r="D3470" s="9" t="inlineStr">
        <is>
          <t>668eee3550b09</t>
        </is>
      </c>
      <c r="E3470" s="9" t="inlineStr">
        <is>
          <t>COLLAR DOBLE PLACA CORAZÓN ROJO-PLATA</t>
        </is>
      </c>
      <c r="F3470" s="9" t="inlineStr">
        <is>
          <t>Middle Quality</t>
        </is>
      </c>
      <c r="G3470" s="9" t="n">
        <v>2</v>
      </c>
      <c r="H3470" s="21" t="n">
        <v>5</v>
      </c>
      <c r="I3470" s="21" t="n">
        <v>105.16</v>
      </c>
      <c r="J3470" s="21" t="n">
        <v>315.47</v>
      </c>
      <c r="K3470" s="21" t="n">
        <v>368.05</v>
      </c>
      <c r="L3470" s="21" t="n">
        <v>420.63</v>
      </c>
      <c r="M3470" s="21" t="n">
        <v>950</v>
      </c>
    </row>
    <row r="3471">
      <c r="A3471" s="9" t="inlineStr">
        <is>
          <t>HAIFENG</t>
        </is>
      </c>
      <c r="B3471" s="9" t="inlineStr">
        <is>
          <t>HAIFENG 16/04/2026</t>
        </is>
      </c>
      <c r="C3471" s="9" t="inlineStr">
        <is>
          <t>2026-04-16</t>
        </is>
      </c>
      <c r="D3471" s="9" t="inlineStr">
        <is>
          <t>668eee3e3e067</t>
        </is>
      </c>
      <c r="E3471" s="9" t="inlineStr">
        <is>
          <t>COLLAR DOBLE PLACA CORAZÓN TURQUESA-PLATA</t>
        </is>
      </c>
      <c r="F3471" s="9" t="inlineStr">
        <is>
          <t>Copper</t>
        </is>
      </c>
      <c r="G3471" s="9" t="n">
        <v>20</v>
      </c>
      <c r="H3471" s="21" t="n">
        <v>5</v>
      </c>
      <c r="I3471" s="21" t="n">
        <v>105.16</v>
      </c>
      <c r="J3471" s="21" t="n">
        <v>315.47</v>
      </c>
      <c r="K3471" s="21" t="n">
        <v>368.05</v>
      </c>
      <c r="L3471" s="21" t="n">
        <v>420.63</v>
      </c>
      <c r="M3471" s="21" t="n">
        <v>550</v>
      </c>
    </row>
    <row r="3472">
      <c r="A3472" s="9" t="inlineStr">
        <is>
          <t>HAIFENG</t>
        </is>
      </c>
      <c r="B3472" s="9" t="inlineStr">
        <is>
          <t>HAIFENG 16/04/2026</t>
        </is>
      </c>
      <c r="C3472" s="9" t="inlineStr">
        <is>
          <t>2026-04-16</t>
        </is>
      </c>
      <c r="D3472" s="9" t="inlineStr">
        <is>
          <t>56481497508748</t>
        </is>
      </c>
      <c r="E3472" s="9" t="inlineStr">
        <is>
          <t>COLLAR DOBLE PLACA ROSEGOLD PLATA</t>
        </is>
      </c>
      <c r="F3472" s="9" t="inlineStr">
        <is>
          <t>40cm con 5cm de extensión</t>
        </is>
      </c>
      <c r="G3472" s="9" t="n">
        <v>3</v>
      </c>
      <c r="H3472" s="21" t="n">
        <v>5</v>
      </c>
      <c r="I3472" s="21" t="n">
        <v>105.16</v>
      </c>
      <c r="J3472" s="21" t="n">
        <v>315.47</v>
      </c>
      <c r="K3472" s="21" t="n">
        <v>368.05</v>
      </c>
      <c r="L3472" s="21" t="n">
        <v>420.63</v>
      </c>
      <c r="M3472" s="21" t="n">
        <v>550</v>
      </c>
    </row>
    <row r="3473">
      <c r="A3473" s="9" t="inlineStr">
        <is>
          <t>HAIFENG</t>
        </is>
      </c>
      <c r="B3473" s="9" t="inlineStr">
        <is>
          <t>HAIFENG 16/04/2026</t>
        </is>
      </c>
      <c r="C3473" s="9" t="inlineStr">
        <is>
          <t>2026-04-16</t>
        </is>
      </c>
      <c r="D3473" s="9" t="inlineStr">
        <is>
          <t>89246882985325</t>
        </is>
      </c>
      <c r="E3473" s="9" t="inlineStr">
        <is>
          <t>COLLAR H CHAINE D'ANCRE GOLD</t>
        </is>
      </c>
      <c r="F3473" s="9" t="inlineStr">
        <is>
          <t>Default Title</t>
        </is>
      </c>
      <c r="G3473" s="9" t="n">
        <v>2</v>
      </c>
      <c r="H3473" s="21" t="n">
        <v>10</v>
      </c>
      <c r="I3473" s="21" t="n">
        <v>210.31</v>
      </c>
      <c r="J3473" s="21" t="n">
        <v>630.9400000000001</v>
      </c>
      <c r="K3473" s="21" t="n">
        <v>736.1</v>
      </c>
      <c r="L3473" s="21" t="n">
        <v>841.26</v>
      </c>
      <c r="M3473" s="21" t="n">
        <v>850</v>
      </c>
    </row>
    <row r="3474">
      <c r="A3474" s="9" t="inlineStr">
        <is>
          <t>HAIFENG</t>
        </is>
      </c>
      <c r="B3474" s="9" t="inlineStr">
        <is>
          <t>HAIFENG 16/04/2026</t>
        </is>
      </c>
      <c r="C3474" s="9" t="inlineStr">
        <is>
          <t>2026-04-16</t>
        </is>
      </c>
      <c r="D3474" s="9" t="inlineStr">
        <is>
          <t>89246883050861</t>
        </is>
      </c>
      <c r="E3474" s="9" t="inlineStr">
        <is>
          <t>COLLAR H CHAINE GOLD</t>
        </is>
      </c>
      <c r="F3474" s="9" t="inlineStr">
        <is>
          <t>Default Title</t>
        </is>
      </c>
      <c r="G3474" s="9" t="n">
        <v>2</v>
      </c>
      <c r="H3474" s="21" t="n">
        <v>7</v>
      </c>
      <c r="I3474" s="21" t="n">
        <v>147.22</v>
      </c>
      <c r="J3474" s="21" t="n">
        <v>441.66</v>
      </c>
      <c r="K3474" s="21" t="n">
        <v>515.27</v>
      </c>
      <c r="L3474" s="21" t="n">
        <v>588.88</v>
      </c>
      <c r="M3474" s="21" t="n">
        <v>599</v>
      </c>
    </row>
    <row r="3475">
      <c r="A3475" s="9" t="inlineStr">
        <is>
          <t>HAIFENG</t>
        </is>
      </c>
      <c r="B3475" s="9" t="inlineStr">
        <is>
          <t>HAIFENG 16/04/2026</t>
        </is>
      </c>
      <c r="C3475" s="9" t="inlineStr">
        <is>
          <t>2026-04-16</t>
        </is>
      </c>
      <c r="D3475" s="9" t="inlineStr">
        <is>
          <t>89246883152557</t>
        </is>
      </c>
      <c r="E3475" s="9" t="inlineStr">
        <is>
          <t>COLLAR H CHAINE GOLD ZIRCONIAS</t>
        </is>
      </c>
      <c r="F3475" s="9" t="inlineStr">
        <is>
          <t>Default Title</t>
        </is>
      </c>
      <c r="G3475" s="9" t="n">
        <v>2</v>
      </c>
      <c r="H3475" s="21" t="n">
        <v>6.99</v>
      </c>
      <c r="I3475" s="21" t="n">
        <v>147.01</v>
      </c>
      <c r="J3475" s="21" t="n">
        <v>441.03</v>
      </c>
      <c r="K3475" s="21" t="n">
        <v>514.54</v>
      </c>
      <c r="L3475" s="21" t="n">
        <v>588.04</v>
      </c>
      <c r="M3475" s="21" t="n">
        <v>599</v>
      </c>
    </row>
    <row r="3476">
      <c r="A3476" s="9" t="inlineStr">
        <is>
          <t>HAIFENG</t>
        </is>
      </c>
      <c r="B3476" s="9" t="inlineStr">
        <is>
          <t>HAIFENG 16/04/2026</t>
        </is>
      </c>
      <c r="C3476" s="9" t="inlineStr">
        <is>
          <t>2026-04-16</t>
        </is>
      </c>
      <c r="D3476" s="9" t="inlineStr">
        <is>
          <t>64085741817357</t>
        </is>
      </c>
      <c r="E3476" s="9" t="inlineStr">
        <is>
          <t>COLLAR LOVE 3 AROS CON ZIRCONIA</t>
        </is>
      </c>
      <c r="F3476" s="9" t="inlineStr">
        <is>
          <t>Default Title</t>
        </is>
      </c>
      <c r="G3476" s="9" t="n">
        <v>3</v>
      </c>
      <c r="H3476" s="21" t="n">
        <v>7</v>
      </c>
      <c r="I3476" s="21" t="n">
        <v>147.22</v>
      </c>
      <c r="J3476" s="21" t="n">
        <v>441.66</v>
      </c>
      <c r="K3476" s="21" t="n">
        <v>515.27</v>
      </c>
      <c r="L3476" s="21" t="n">
        <v>588.88</v>
      </c>
      <c r="M3476" s="21" t="n">
        <v>577</v>
      </c>
    </row>
    <row r="3477">
      <c r="A3477" s="9" t="inlineStr">
        <is>
          <t>HAIFENG</t>
        </is>
      </c>
      <c r="B3477" s="9" t="inlineStr">
        <is>
          <t>HAIFENG 16/04/2026</t>
        </is>
      </c>
      <c r="C3477" s="9" t="inlineStr">
        <is>
          <t>2026-04-16</t>
        </is>
      </c>
      <c r="D3477" s="9" t="inlineStr">
        <is>
          <t>63e0beee6c617</t>
        </is>
      </c>
      <c r="E3477" s="9" t="inlineStr">
        <is>
          <t>COLLAR LOVE GOLD</t>
        </is>
      </c>
      <c r="F3477" s="9" t="inlineStr">
        <is>
          <t>45cm</t>
        </is>
      </c>
      <c r="G3477" s="9" t="n">
        <v>5</v>
      </c>
      <c r="H3477" s="21" t="n">
        <v>5</v>
      </c>
      <c r="I3477" s="21" t="n">
        <v>105.16</v>
      </c>
      <c r="J3477" s="21" t="n">
        <v>315.47</v>
      </c>
      <c r="K3477" s="21" t="n">
        <v>368.05</v>
      </c>
      <c r="L3477" s="21" t="n">
        <v>420.63</v>
      </c>
      <c r="M3477" s="21" t="n">
        <v>550</v>
      </c>
    </row>
    <row r="3478">
      <c r="A3478" s="9" t="inlineStr">
        <is>
          <t>HAIFENG</t>
        </is>
      </c>
      <c r="B3478" s="9" t="inlineStr">
        <is>
          <t>HAIFENG 16/04/2026</t>
        </is>
      </c>
      <c r="C3478" s="9" t="inlineStr">
        <is>
          <t>2026-04-16</t>
        </is>
      </c>
      <c r="D3478" s="9" t="inlineStr">
        <is>
          <t>665bbe3eb9388</t>
        </is>
      </c>
      <c r="E3478" s="9" t="inlineStr">
        <is>
          <t>COLLAR LOVE SILVER</t>
        </is>
      </c>
      <c r="F3478" s="9" t="inlineStr">
        <is>
          <t>Default Title</t>
        </is>
      </c>
      <c r="G3478" s="9" t="n">
        <v>5</v>
      </c>
      <c r="H3478" s="21" t="n">
        <v>5</v>
      </c>
      <c r="I3478" s="21" t="n">
        <v>105.16</v>
      </c>
      <c r="J3478" s="21" t="n">
        <v>315.47</v>
      </c>
      <c r="K3478" s="21" t="n">
        <v>368.05</v>
      </c>
      <c r="L3478" s="21" t="n">
        <v>420.63</v>
      </c>
      <c r="M3478" s="21" t="n">
        <v>460</v>
      </c>
    </row>
    <row r="3479">
      <c r="A3479" s="9" t="inlineStr">
        <is>
          <t>HAIFENG</t>
        </is>
      </c>
      <c r="B3479" s="9" t="inlineStr">
        <is>
          <t>HAIFENG 16/04/2026</t>
        </is>
      </c>
      <c r="C3479" s="9" t="inlineStr">
        <is>
          <t>2026-04-16</t>
        </is>
      </c>
      <c r="D3479" s="9" t="inlineStr">
        <is>
          <t>66177c3e7206b</t>
        </is>
      </c>
      <c r="E3479" s="9" t="inlineStr">
        <is>
          <t>COLLAR LOVE-LOVE GOLD</t>
        </is>
      </c>
      <c r="F3479" s="9" t="inlineStr">
        <is>
          <t>46cm con 5cm de extension</t>
        </is>
      </c>
      <c r="G3479" s="9" t="n">
        <v>16</v>
      </c>
      <c r="H3479" s="21" t="n">
        <v>3.8</v>
      </c>
      <c r="I3479" s="21" t="n">
        <v>79.92</v>
      </c>
      <c r="J3479" s="21" t="n">
        <v>239.76</v>
      </c>
      <c r="K3479" s="21" t="n">
        <v>279.72</v>
      </c>
      <c r="L3479" s="21" t="n">
        <v>319.68</v>
      </c>
      <c r="M3479" s="21" t="n">
        <v>440</v>
      </c>
    </row>
    <row r="3480">
      <c r="A3480" s="9" t="inlineStr">
        <is>
          <t>HAIFENG</t>
        </is>
      </c>
      <c r="B3480" s="9" t="inlineStr">
        <is>
          <t>HAIFENG 16/04/2026</t>
        </is>
      </c>
      <c r="C3480" s="9" t="inlineStr">
        <is>
          <t>2026-04-16</t>
        </is>
      </c>
      <c r="D3480" s="9" t="inlineStr">
        <is>
          <t>37491254947980</t>
        </is>
      </c>
      <c r="E3480" s="9" t="inlineStr">
        <is>
          <t>COLLAR MARIQUITA VF</t>
        </is>
      </c>
      <c r="F3480" s="9" t="inlineStr">
        <is>
          <t>47cm</t>
        </is>
      </c>
      <c r="G3480" s="9" t="n">
        <v>7</v>
      </c>
      <c r="H3480" s="21" t="n">
        <v>7</v>
      </c>
      <c r="I3480" s="21" t="n">
        <v>147.22</v>
      </c>
      <c r="J3480" s="21" t="n">
        <v>441.66</v>
      </c>
      <c r="K3480" s="21" t="n">
        <v>515.27</v>
      </c>
      <c r="L3480" s="21" t="n">
        <v>588.88</v>
      </c>
      <c r="M3480" s="21" t="n">
        <v>580</v>
      </c>
    </row>
    <row r="3481">
      <c r="A3481" s="9" t="inlineStr">
        <is>
          <t>HAIFENG</t>
        </is>
      </c>
      <c r="B3481" s="9" t="inlineStr">
        <is>
          <t>HAIFENG 16/04/2026</t>
        </is>
      </c>
      <c r="C3481" s="9" t="inlineStr">
        <is>
          <t>2026-04-16</t>
        </is>
      </c>
      <c r="D3481" s="9" t="inlineStr">
        <is>
          <t>15554122891021</t>
        </is>
      </c>
      <c r="E3481" s="9" t="inlineStr">
        <is>
          <t>COLLAR MOVE 10TH SILVER</t>
        </is>
      </c>
      <c r="F3481" s="9" t="inlineStr">
        <is>
          <t>Default Title</t>
        </is>
      </c>
      <c r="G3481" s="9" t="n">
        <v>2</v>
      </c>
      <c r="H3481" s="21" t="n">
        <v>8</v>
      </c>
      <c r="I3481" s="21" t="n">
        <v>168.25</v>
      </c>
      <c r="J3481" s="21" t="n">
        <v>504.76</v>
      </c>
      <c r="K3481" s="21" t="n">
        <v>588.88</v>
      </c>
      <c r="L3481" s="21" t="n">
        <v>673.01</v>
      </c>
      <c r="M3481" s="21" t="n">
        <v>699</v>
      </c>
    </row>
    <row r="3482">
      <c r="A3482" s="9" t="inlineStr">
        <is>
          <t>HAIFENG</t>
        </is>
      </c>
      <c r="B3482" s="9" t="inlineStr">
        <is>
          <t>HAIFENG 16/04/2026</t>
        </is>
      </c>
      <c r="C3482" s="9" t="inlineStr">
        <is>
          <t>2026-04-16</t>
        </is>
      </c>
      <c r="D3482" s="9" t="inlineStr">
        <is>
          <t>15554122623789</t>
        </is>
      </c>
      <c r="E3482" s="9" t="inlineStr">
        <is>
          <t>COLLAR MOVE CIRCLE SILVER</t>
        </is>
      </c>
      <c r="F3482" s="9" t="inlineStr">
        <is>
          <t>Default Title</t>
        </is>
      </c>
      <c r="G3482" s="9" t="n">
        <v>2</v>
      </c>
      <c r="H3482" s="21" t="n">
        <v>8</v>
      </c>
      <c r="I3482" s="21" t="n">
        <v>168.25</v>
      </c>
      <c r="J3482" s="21" t="n">
        <v>504.76</v>
      </c>
      <c r="K3482" s="21" t="n">
        <v>588.88</v>
      </c>
      <c r="L3482" s="21" t="n">
        <v>673.01</v>
      </c>
      <c r="M3482" s="21" t="n">
        <v>599</v>
      </c>
    </row>
    <row r="3483">
      <c r="A3483" s="9" t="inlineStr">
        <is>
          <t>HAIFENG</t>
        </is>
      </c>
      <c r="B3483" s="9" t="inlineStr">
        <is>
          <t>HAIFENG 16/04/2026</t>
        </is>
      </c>
      <c r="C3483" s="9" t="inlineStr">
        <is>
          <t>2026-04-16</t>
        </is>
      </c>
      <c r="D3483" s="9" t="inlineStr">
        <is>
          <t>15554122120397</t>
        </is>
      </c>
      <c r="E3483" s="9" t="inlineStr">
        <is>
          <t>COLLAR MOVE UNO DOBLE ZIRCONIAS ROSE GOLD</t>
        </is>
      </c>
      <c r="F3483" s="9" t="inlineStr">
        <is>
          <t>Default Title</t>
        </is>
      </c>
      <c r="G3483" s="9" t="n">
        <v>2</v>
      </c>
      <c r="H3483" s="21" t="n">
        <v>11</v>
      </c>
      <c r="I3483" s="21" t="n">
        <v>231.35</v>
      </c>
      <c r="J3483" s="21" t="n">
        <v>694.04</v>
      </c>
      <c r="K3483" s="21" t="n">
        <v>809.71</v>
      </c>
      <c r="L3483" s="21" t="n">
        <v>925.38</v>
      </c>
      <c r="M3483" s="21" t="n">
        <v>950</v>
      </c>
    </row>
    <row r="3484">
      <c r="A3484" s="9" t="inlineStr">
        <is>
          <t>HAIFENG</t>
        </is>
      </c>
      <c r="B3484" s="9" t="inlineStr">
        <is>
          <t>HAIFENG 16/04/2026</t>
        </is>
      </c>
      <c r="C3484" s="9" t="inlineStr">
        <is>
          <t>2026-04-16</t>
        </is>
      </c>
      <c r="D3484" s="9" t="inlineStr">
        <is>
          <t>15554122489325</t>
        </is>
      </c>
      <c r="E3484" s="9" t="inlineStr">
        <is>
          <t>COLLAR MOVE UNO GOLD</t>
        </is>
      </c>
      <c r="F3484" s="9" t="inlineStr">
        <is>
          <t>Default Title</t>
        </is>
      </c>
      <c r="G3484" s="9" t="n">
        <v>2</v>
      </c>
      <c r="H3484" s="21" t="n">
        <v>7</v>
      </c>
      <c r="I3484" s="21" t="n">
        <v>147.22</v>
      </c>
      <c r="J3484" s="21" t="n">
        <v>441.66</v>
      </c>
      <c r="K3484" s="21" t="n">
        <v>515.27</v>
      </c>
      <c r="L3484" s="21" t="n">
        <v>588.88</v>
      </c>
      <c r="M3484" s="21" t="n">
        <v>599</v>
      </c>
    </row>
    <row r="3485">
      <c r="A3485" s="9" t="inlineStr">
        <is>
          <t>HAIFENG</t>
        </is>
      </c>
      <c r="B3485" s="9" t="inlineStr">
        <is>
          <t>HAIFENG 16/04/2026</t>
        </is>
      </c>
      <c r="C3485" s="9" t="inlineStr">
        <is>
          <t>2026-04-16</t>
        </is>
      </c>
      <c r="D3485" s="9" t="inlineStr">
        <is>
          <t>15554122553165</t>
        </is>
      </c>
      <c r="E3485" s="9" t="inlineStr">
        <is>
          <t>COLLAR MOVE UNO GOLD ZIRCONIAS</t>
        </is>
      </c>
      <c r="F3485" s="9" t="inlineStr">
        <is>
          <t>Default Title</t>
        </is>
      </c>
      <c r="G3485" s="9" t="n">
        <v>2</v>
      </c>
      <c r="H3485" s="21" t="n">
        <v>8</v>
      </c>
      <c r="I3485" s="21" t="n">
        <v>168.25</v>
      </c>
      <c r="J3485" s="21" t="n">
        <v>504.76</v>
      </c>
      <c r="K3485" s="21" t="n">
        <v>588.88</v>
      </c>
      <c r="L3485" s="21" t="n">
        <v>673.01</v>
      </c>
      <c r="M3485" s="21" t="n">
        <v>699</v>
      </c>
    </row>
    <row r="3486">
      <c r="A3486" s="9" t="inlineStr">
        <is>
          <t>HAIFENG</t>
        </is>
      </c>
      <c r="B3486" s="9" t="inlineStr">
        <is>
          <t>HAIFENG 16/04/2026</t>
        </is>
      </c>
      <c r="C3486" s="9" t="inlineStr">
        <is>
          <t>2026-04-16</t>
        </is>
      </c>
      <c r="D3486" s="9" t="inlineStr">
        <is>
          <t>15554122254861</t>
        </is>
      </c>
      <c r="E3486" s="9" t="inlineStr">
        <is>
          <t>COLLAR MOVE UNO SILVER</t>
        </is>
      </c>
      <c r="F3486" s="9" t="inlineStr">
        <is>
          <t>Default Title</t>
        </is>
      </c>
      <c r="G3486" s="9" t="n">
        <v>2</v>
      </c>
      <c r="H3486" s="21" t="n">
        <v>7</v>
      </c>
      <c r="I3486" s="21" t="n">
        <v>147.22</v>
      </c>
      <c r="J3486" s="21" t="n">
        <v>441.66</v>
      </c>
      <c r="K3486" s="21" t="n">
        <v>515.27</v>
      </c>
      <c r="L3486" s="21" t="n">
        <v>588.88</v>
      </c>
      <c r="M3486" s="21" t="n">
        <v>599</v>
      </c>
    </row>
    <row r="3487">
      <c r="A3487" s="9" t="inlineStr">
        <is>
          <t>HAIFENG</t>
        </is>
      </c>
      <c r="B3487" s="9" t="inlineStr">
        <is>
          <t>HAIFENG 16/04/2026</t>
        </is>
      </c>
      <c r="C3487" s="9" t="inlineStr">
        <is>
          <t>2026-04-16</t>
        </is>
      </c>
      <c r="D3487" s="9" t="inlineStr">
        <is>
          <t>39966871032781</t>
        </is>
      </c>
      <c r="E3487" s="9" t="inlineStr">
        <is>
          <t>COLLAR MSS GOLD CON ZIRCONIA</t>
        </is>
      </c>
      <c r="F3487" s="9" t="inlineStr">
        <is>
          <t>Default Title</t>
        </is>
      </c>
      <c r="G3487" s="9" t="n">
        <v>2</v>
      </c>
      <c r="H3487" s="21" t="n">
        <v>8</v>
      </c>
      <c r="I3487" s="21" t="n">
        <v>168.25</v>
      </c>
      <c r="J3487" s="21" t="n">
        <v>504.76</v>
      </c>
      <c r="K3487" s="21" t="n">
        <v>588.88</v>
      </c>
      <c r="L3487" s="21" t="n">
        <v>673.01</v>
      </c>
      <c r="M3487" s="21" t="n">
        <v>660</v>
      </c>
    </row>
    <row r="3488">
      <c r="A3488" s="9" t="inlineStr">
        <is>
          <t>HAIFENG</t>
        </is>
      </c>
      <c r="B3488" s="9" t="inlineStr">
        <is>
          <t>HAIFENG 16/04/2026</t>
        </is>
      </c>
      <c r="C3488" s="9" t="inlineStr">
        <is>
          <t>2026-04-16</t>
        </is>
      </c>
      <c r="D3488" s="9" t="inlineStr">
        <is>
          <t>79024851004397</t>
        </is>
      </c>
      <c r="E3488" s="9" t="inlineStr">
        <is>
          <t>COLLAR MSS MOVE GOLD LISO</t>
        </is>
      </c>
      <c r="F3488" s="9" t="inlineStr">
        <is>
          <t>Default Title</t>
        </is>
      </c>
      <c r="G3488" s="9" t="n">
        <v>20</v>
      </c>
      <c r="H3488" s="21" t="n">
        <v>8</v>
      </c>
      <c r="I3488" s="21" t="n">
        <v>168.25</v>
      </c>
      <c r="J3488" s="21" t="n">
        <v>504.76</v>
      </c>
      <c r="K3488" s="21" t="n">
        <v>588.88</v>
      </c>
      <c r="L3488" s="21" t="n">
        <v>673.01</v>
      </c>
      <c r="M3488" s="21" t="n">
        <v>699</v>
      </c>
    </row>
    <row r="3489">
      <c r="A3489" s="9" t="inlineStr">
        <is>
          <t>HAIFENG</t>
        </is>
      </c>
      <c r="B3489" s="9" t="inlineStr">
        <is>
          <t>HAIFENG 16/04/2026</t>
        </is>
      </c>
      <c r="C3489" s="9" t="inlineStr">
        <is>
          <t>2026-04-16</t>
        </is>
      </c>
      <c r="D3489" s="9" t="inlineStr">
        <is>
          <t>16048621033133</t>
        </is>
      </c>
      <c r="E3489" s="9" t="inlineStr">
        <is>
          <t>COLLAR MSS MOVE ROSEGOLD LISO</t>
        </is>
      </c>
      <c r="F3489" s="9" t="inlineStr">
        <is>
          <t>Default Title</t>
        </is>
      </c>
      <c r="G3489" s="9" t="n">
        <v>2</v>
      </c>
      <c r="H3489" s="21" t="n">
        <v>80</v>
      </c>
      <c r="I3489" s="21" t="n">
        <v>1682.52</v>
      </c>
      <c r="J3489" s="21" t="n">
        <v>5047.55</v>
      </c>
      <c r="K3489" s="21" t="n">
        <v>5888.81</v>
      </c>
      <c r="L3489" s="21" t="n">
        <v>6730.07</v>
      </c>
      <c r="M3489" s="21" t="n">
        <v>659.2</v>
      </c>
    </row>
    <row r="3490">
      <c r="A3490" s="9" t="inlineStr">
        <is>
          <t>HAIFENG</t>
        </is>
      </c>
      <c r="B3490" s="9" t="inlineStr">
        <is>
          <t>HAIFENG 16/04/2026</t>
        </is>
      </c>
      <c r="C3490" s="9" t="inlineStr">
        <is>
          <t>2026-04-16</t>
        </is>
      </c>
      <c r="D3490" s="9" t="inlineStr">
        <is>
          <t>89668081080557</t>
        </is>
      </c>
      <c r="E3490" s="9" t="inlineStr">
        <is>
          <t>COLLAR MSS MOVE UNO GOLD</t>
        </is>
      </c>
      <c r="F3490" s="9" t="inlineStr">
        <is>
          <t>Default Title</t>
        </is>
      </c>
      <c r="G3490" s="9" t="n">
        <v>10</v>
      </c>
      <c r="H3490" s="21" t="n">
        <v>8</v>
      </c>
      <c r="I3490" s="21" t="n">
        <v>168.25</v>
      </c>
      <c r="J3490" s="21" t="n">
        <v>504.76</v>
      </c>
      <c r="K3490" s="21" t="n">
        <v>588.88</v>
      </c>
      <c r="L3490" s="21" t="n">
        <v>673.01</v>
      </c>
      <c r="M3490" s="21" t="n">
        <v>659.2</v>
      </c>
    </row>
    <row r="3491">
      <c r="A3491" s="9" t="inlineStr">
        <is>
          <t>HAIFENG</t>
        </is>
      </c>
      <c r="B3491" s="9" t="inlineStr">
        <is>
          <t>HAIFENG 16/04/2026</t>
        </is>
      </c>
      <c r="C3491" s="9" t="inlineStr">
        <is>
          <t>2026-04-16</t>
        </is>
      </c>
      <c r="D3491" s="9" t="inlineStr">
        <is>
          <t>15554121831117</t>
        </is>
      </c>
      <c r="E3491" s="9" t="inlineStr">
        <is>
          <t>COLLAR MSS SILVER CON ZIRCONIA</t>
        </is>
      </c>
      <c r="F3491" s="9" t="inlineStr">
        <is>
          <t>Default Title</t>
        </is>
      </c>
      <c r="G3491" s="9" t="n">
        <v>2</v>
      </c>
      <c r="H3491" s="21" t="n">
        <v>8</v>
      </c>
      <c r="I3491" s="21" t="n">
        <v>168.25</v>
      </c>
      <c r="J3491" s="21" t="n">
        <v>504.76</v>
      </c>
      <c r="K3491" s="21" t="n">
        <v>588.88</v>
      </c>
      <c r="L3491" s="21" t="n">
        <v>673.01</v>
      </c>
      <c r="M3491" s="21" t="n">
        <v>699</v>
      </c>
    </row>
    <row r="3492">
      <c r="A3492" s="9" t="inlineStr">
        <is>
          <t>HAIFENG</t>
        </is>
      </c>
      <c r="B3492" s="9" t="inlineStr">
        <is>
          <t>HAIFENG 16/04/2026</t>
        </is>
      </c>
      <c r="C3492" s="9" t="inlineStr">
        <is>
          <t>2026-04-16</t>
        </is>
      </c>
      <c r="D3492" s="9" t="inlineStr">
        <is>
          <t>56481485321228</t>
        </is>
      </c>
      <c r="E3492" s="9" t="inlineStr">
        <is>
          <t>COLLAR OPEN HEART</t>
        </is>
      </c>
      <c r="F3492" s="9" t="inlineStr">
        <is>
          <t>45cm</t>
        </is>
      </c>
      <c r="G3492" s="9" t="n">
        <v>3</v>
      </c>
      <c r="H3492" s="21" t="n">
        <v>7</v>
      </c>
      <c r="I3492" s="21" t="n">
        <v>147.22</v>
      </c>
      <c r="J3492" s="21" t="n">
        <v>441.66</v>
      </c>
      <c r="K3492" s="21" t="n">
        <v>515.27</v>
      </c>
      <c r="L3492" s="21" t="n">
        <v>588.88</v>
      </c>
      <c r="M3492" s="21" t="n">
        <v>599</v>
      </c>
    </row>
    <row r="3493">
      <c r="A3493" s="9" t="inlineStr">
        <is>
          <t>HAIFENG</t>
        </is>
      </c>
      <c r="B3493" s="9" t="inlineStr">
        <is>
          <t>HAIFENG 16/04/2026</t>
        </is>
      </c>
      <c r="C3493" s="9" t="inlineStr">
        <is>
          <t>2026-04-16</t>
        </is>
      </c>
      <c r="D3493" s="9" t="inlineStr">
        <is>
          <t>67201534607245</t>
        </is>
      </c>
      <c r="E3493" s="9" t="inlineStr">
        <is>
          <t>COLLAR OPEN HEART GOLD</t>
        </is>
      </c>
      <c r="F3493" s="9" t="inlineStr">
        <is>
          <t>Default Title</t>
        </is>
      </c>
      <c r="G3493" s="9" t="n">
        <v>2</v>
      </c>
      <c r="H3493" s="21" t="n">
        <v>7</v>
      </c>
      <c r="I3493" s="21" t="n">
        <v>147.22</v>
      </c>
      <c r="J3493" s="21" t="n">
        <v>441.66</v>
      </c>
      <c r="K3493" s="21" t="n">
        <v>515.27</v>
      </c>
      <c r="L3493" s="21" t="n">
        <v>588.88</v>
      </c>
      <c r="M3493" s="21" t="n">
        <v>599</v>
      </c>
    </row>
    <row r="3494">
      <c r="A3494" s="9" t="inlineStr">
        <is>
          <t>HAIFENG</t>
        </is>
      </c>
      <c r="B3494" s="9" t="inlineStr">
        <is>
          <t>HAIFENG 16/04/2026</t>
        </is>
      </c>
      <c r="C3494" s="9" t="inlineStr">
        <is>
          <t>2026-04-16</t>
        </is>
      </c>
      <c r="D3494" s="9" t="inlineStr">
        <is>
          <t>56481488272140</t>
        </is>
      </c>
      <c r="E3494" s="9" t="inlineStr">
        <is>
          <t>COLLAR PASADOR FULL HEART</t>
        </is>
      </c>
      <c r="F3494" s="9" t="inlineStr">
        <is>
          <t>45cm</t>
        </is>
      </c>
      <c r="G3494" s="9" t="n">
        <v>3</v>
      </c>
      <c r="H3494" s="21" t="n">
        <v>12</v>
      </c>
      <c r="I3494" s="21" t="n">
        <v>252.38</v>
      </c>
      <c r="J3494" s="21" t="n">
        <v>757.13</v>
      </c>
      <c r="K3494" s="21" t="n">
        <v>883.3200000000001</v>
      </c>
      <c r="L3494" s="21" t="n">
        <v>1009.51</v>
      </c>
      <c r="M3494" s="21" t="n">
        <v>989</v>
      </c>
    </row>
    <row r="3495">
      <c r="A3495" s="9" t="inlineStr">
        <is>
          <t>HAIFENG</t>
        </is>
      </c>
      <c r="B3495" s="9" t="inlineStr">
        <is>
          <t>HAIFENG 16/04/2026</t>
        </is>
      </c>
      <c r="C3495" s="9" t="inlineStr">
        <is>
          <t>2026-04-16</t>
        </is>
      </c>
      <c r="D3495" s="9" t="inlineStr">
        <is>
          <t>86347031405933</t>
        </is>
      </c>
      <c r="E3495" s="9" t="inlineStr">
        <is>
          <t>COLLAR POP H ROSEGOLD BABYPINK</t>
        </is>
      </c>
      <c r="F3495" s="9" t="inlineStr">
        <is>
          <t>Default Title</t>
        </is>
      </c>
      <c r="G3495" s="9" t="n">
        <v>2</v>
      </c>
      <c r="H3495" s="21" t="n">
        <v>7.99</v>
      </c>
      <c r="I3495" s="21" t="n">
        <v>168.04</v>
      </c>
      <c r="J3495" s="21" t="n">
        <v>504.12</v>
      </c>
      <c r="K3495" s="21" t="n">
        <v>588.15</v>
      </c>
      <c r="L3495" s="21" t="n">
        <v>672.17</v>
      </c>
      <c r="M3495" s="21" t="n">
        <v>699</v>
      </c>
    </row>
    <row r="3496">
      <c r="A3496" s="9" t="inlineStr">
        <is>
          <t>HAIFENG</t>
        </is>
      </c>
      <c r="B3496" s="9" t="inlineStr">
        <is>
          <t>HAIFENG 16/04/2026</t>
        </is>
      </c>
      <c r="C3496" s="9" t="inlineStr">
        <is>
          <t>2026-04-16</t>
        </is>
      </c>
      <c r="D3496" s="9" t="inlineStr">
        <is>
          <t>43016706621580</t>
        </is>
      </c>
      <c r="E3496" s="9" t="inlineStr">
        <is>
          <t>COLLAR ROUND T ROSEGOLD CON ZIRCONIAS</t>
        </is>
      </c>
      <c r="F3496" s="9" t="inlineStr">
        <is>
          <t>42cm de cadena dije: 3cm</t>
        </is>
      </c>
      <c r="G3496" s="9" t="n">
        <v>3</v>
      </c>
      <c r="H3496" s="21" t="n">
        <v>8.5</v>
      </c>
      <c r="I3496" s="21" t="n">
        <v>178.77</v>
      </c>
      <c r="J3496" s="21" t="n">
        <v>536.3</v>
      </c>
      <c r="K3496" s="21" t="n">
        <v>625.6900000000001</v>
      </c>
      <c r="L3496" s="21" t="n">
        <v>715.0700000000001</v>
      </c>
      <c r="M3496" s="21" t="n">
        <v>750</v>
      </c>
    </row>
    <row r="3497">
      <c r="A3497" s="9" t="inlineStr">
        <is>
          <t>HAIFENG</t>
        </is>
      </c>
      <c r="B3497" s="9" t="inlineStr">
        <is>
          <t>HAIFENG 16/04/2026</t>
        </is>
      </c>
      <c r="C3497" s="9" t="inlineStr">
        <is>
          <t>2026-04-16</t>
        </is>
      </c>
      <c r="D3497" s="9" t="inlineStr">
        <is>
          <t>86347034024077</t>
        </is>
      </c>
      <c r="E3497" s="9" t="inlineStr">
        <is>
          <t>COLLAR SIXTEEN STONE SCHLUM RED</t>
        </is>
      </c>
      <c r="F3497" s="9" t="inlineStr">
        <is>
          <t>Default Title</t>
        </is>
      </c>
      <c r="G3497" s="9" t="n">
        <v>2</v>
      </c>
      <c r="H3497" s="21" t="n">
        <v>6</v>
      </c>
      <c r="I3497" s="21" t="n">
        <v>126.19</v>
      </c>
      <c r="J3497" s="21" t="n">
        <v>378.57</v>
      </c>
      <c r="K3497" s="21" t="n">
        <v>441.66</v>
      </c>
      <c r="L3497" s="21" t="n">
        <v>504.76</v>
      </c>
      <c r="M3497" s="21" t="n">
        <v>499</v>
      </c>
    </row>
    <row r="3498">
      <c r="A3498" s="9" t="inlineStr">
        <is>
          <t>HAIFENG</t>
        </is>
      </c>
      <c r="B3498" s="9" t="inlineStr">
        <is>
          <t>HAIFENG 16/04/2026</t>
        </is>
      </c>
      <c r="C3498" s="9" t="inlineStr">
        <is>
          <t>2026-04-16</t>
        </is>
      </c>
      <c r="D3498" s="9" t="inlineStr">
        <is>
          <t>43728086947500</t>
        </is>
      </c>
      <c r="E3498" s="9" t="inlineStr">
        <is>
          <t>COLLAR SIXTEEN STONE SILVER</t>
        </is>
      </c>
      <c r="F3498" s="9" t="inlineStr">
        <is>
          <t>44.5cm de largo con extensión de 4cm</t>
        </is>
      </c>
      <c r="G3498" s="9" t="n">
        <v>2</v>
      </c>
      <c r="H3498" s="21" t="n">
        <v>6</v>
      </c>
      <c r="I3498" s="21" t="n">
        <v>126.19</v>
      </c>
      <c r="J3498" s="21" t="n">
        <v>378.57</v>
      </c>
      <c r="K3498" s="21" t="n">
        <v>441.66</v>
      </c>
      <c r="L3498" s="21" t="n">
        <v>504.76</v>
      </c>
      <c r="M3498" s="21" t="n">
        <v>499</v>
      </c>
    </row>
    <row r="3499">
      <c r="A3499" s="9" t="inlineStr">
        <is>
          <t>HAIFENG</t>
        </is>
      </c>
      <c r="B3499" s="9" t="inlineStr">
        <is>
          <t>HAIFENG 16/04/2026</t>
        </is>
      </c>
      <c r="C3499" s="9" t="inlineStr">
        <is>
          <t>2026-04-16</t>
        </is>
      </c>
      <c r="D3499" s="9" t="inlineStr">
        <is>
          <t>668eee430f697</t>
        </is>
      </c>
      <c r="E3499" s="9" t="inlineStr">
        <is>
          <t>COLLAR SMILE ROSE GOLD</t>
        </is>
      </c>
      <c r="F3499" s="9" t="inlineStr">
        <is>
          <t>Cadena ajustable de 40.6 a 45.7 cm</t>
        </is>
      </c>
      <c r="G3499" s="9" t="n">
        <v>6</v>
      </c>
      <c r="H3499" s="21" t="n">
        <v>3.4</v>
      </c>
      <c r="I3499" s="21" t="n">
        <v>71.51000000000001</v>
      </c>
      <c r="J3499" s="21" t="n">
        <v>214.52</v>
      </c>
      <c r="K3499" s="21" t="n">
        <v>250.27</v>
      </c>
      <c r="L3499" s="21" t="n">
        <v>286.03</v>
      </c>
      <c r="M3499" s="21" t="n">
        <v>460</v>
      </c>
    </row>
    <row r="3500">
      <c r="A3500" s="9" t="inlineStr">
        <is>
          <t>HAIFENG</t>
        </is>
      </c>
      <c r="B3500" s="9" t="inlineStr">
        <is>
          <t>HAIFENG 16/04/2026</t>
        </is>
      </c>
      <c r="C3500" s="9" t="inlineStr">
        <is>
          <t>2026-04-16</t>
        </is>
      </c>
      <c r="D3500" s="9" t="inlineStr">
        <is>
          <t>15489301069581</t>
        </is>
      </c>
      <c r="E3500" s="9" t="inlineStr">
        <is>
          <t>COLLAR TRES AROS ROSE GOLD</t>
        </is>
      </c>
      <c r="F3500" s="9" t="inlineStr">
        <is>
          <t>Default Title</t>
        </is>
      </c>
      <c r="G3500" s="9" t="n">
        <v>1</v>
      </c>
      <c r="H3500" s="21" t="n">
        <v>29.95</v>
      </c>
      <c r="I3500" s="21" t="n">
        <v>629.89</v>
      </c>
      <c r="J3500" s="21" t="n">
        <v>1889.68</v>
      </c>
      <c r="K3500" s="21" t="n">
        <v>2204.62</v>
      </c>
      <c r="L3500" s="21" t="n">
        <v>2519.57</v>
      </c>
      <c r="M3500" s="21" t="n">
        <v>0</v>
      </c>
    </row>
    <row r="3501">
      <c r="A3501" s="9" t="inlineStr">
        <is>
          <t>HAIFENG</t>
        </is>
      </c>
      <c r="B3501" s="9" t="inlineStr">
        <is>
          <t>HAIFENG 16/04/2026</t>
        </is>
      </c>
      <c r="C3501" s="9" t="inlineStr">
        <is>
          <t>2026-04-16</t>
        </is>
      </c>
      <c r="D3501" s="9" t="inlineStr">
        <is>
          <t>648cc5bf129eb</t>
        </is>
      </c>
      <c r="E3501" s="9" t="inlineStr">
        <is>
          <t>COLLAR TRÉBOL GOLD</t>
        </is>
      </c>
      <c r="F3501" s="9" t="inlineStr">
        <is>
          <t>41cm con extension de 3cm</t>
        </is>
      </c>
      <c r="G3501" s="9" t="n">
        <v>8</v>
      </c>
      <c r="H3501" s="21" t="n">
        <v>4</v>
      </c>
      <c r="I3501" s="21" t="n">
        <v>84.13</v>
      </c>
      <c r="J3501" s="21" t="n">
        <v>252.38</v>
      </c>
      <c r="K3501" s="21" t="n">
        <v>294.44</v>
      </c>
      <c r="L3501" s="21" t="n">
        <v>336.5</v>
      </c>
      <c r="M3501" s="21" t="n">
        <v>550</v>
      </c>
    </row>
    <row r="3502">
      <c r="A3502" s="9" t="inlineStr">
        <is>
          <t>HAIFENG</t>
        </is>
      </c>
      <c r="B3502" s="9" t="inlineStr">
        <is>
          <t>HAIFENG 16/04/2026</t>
        </is>
      </c>
      <c r="C3502" s="9" t="inlineStr">
        <is>
          <t>2026-04-16</t>
        </is>
      </c>
      <c r="D3502" s="9" t="inlineStr">
        <is>
          <t>66177b4581060</t>
        </is>
      </c>
      <c r="E3502" s="9" t="inlineStr">
        <is>
          <t>COLLAR TRÉBOL GOLD-GREEN</t>
        </is>
      </c>
      <c r="F3502" s="9" t="inlineStr">
        <is>
          <t>(45CM)</t>
        </is>
      </c>
      <c r="G3502" s="9" t="n">
        <v>3</v>
      </c>
      <c r="H3502" s="21" t="n">
        <v>4</v>
      </c>
      <c r="I3502" s="21" t="n">
        <v>84.13</v>
      </c>
      <c r="J3502" s="21" t="n">
        <v>252.38</v>
      </c>
      <c r="K3502" s="21" t="n">
        <v>294.44</v>
      </c>
      <c r="L3502" s="21" t="n">
        <v>336.5</v>
      </c>
      <c r="M3502" s="21" t="n">
        <v>550</v>
      </c>
    </row>
    <row r="3503">
      <c r="A3503" s="9" t="inlineStr">
        <is>
          <t>HAIFENG</t>
        </is>
      </c>
      <c r="B3503" s="9" t="inlineStr">
        <is>
          <t>HAIFENG 16/04/2026</t>
        </is>
      </c>
      <c r="C3503" s="9" t="inlineStr">
        <is>
          <t>2026-04-16</t>
        </is>
      </c>
      <c r="D3503" s="9" t="inlineStr">
        <is>
          <t>66177b506a320</t>
        </is>
      </c>
      <c r="E3503" s="9" t="inlineStr">
        <is>
          <t>COLLAR TRÉBOL GOLD-RED</t>
        </is>
      </c>
      <c r="F3503" s="9" t="inlineStr">
        <is>
          <t>HIGH QUALITY (45CM)</t>
        </is>
      </c>
      <c r="G3503" s="9" t="n">
        <v>2</v>
      </c>
      <c r="H3503" s="21" t="n">
        <v>4</v>
      </c>
      <c r="I3503" s="21" t="n">
        <v>84.13</v>
      </c>
      <c r="J3503" s="21" t="n">
        <v>252.38</v>
      </c>
      <c r="K3503" s="21" t="n">
        <v>294.44</v>
      </c>
      <c r="L3503" s="21" t="n">
        <v>336.5</v>
      </c>
      <c r="M3503" s="21" t="n">
        <v>899</v>
      </c>
    </row>
    <row r="3504">
      <c r="A3504" s="9" t="inlineStr">
        <is>
          <t>HAIFENG</t>
        </is>
      </c>
      <c r="B3504" s="9" t="inlineStr">
        <is>
          <t>HAIFENG 16/04/2026</t>
        </is>
      </c>
      <c r="C3504" s="9" t="inlineStr">
        <is>
          <t>2026-04-16</t>
        </is>
      </c>
      <c r="D3504" s="9" t="inlineStr">
        <is>
          <t>95854382018573</t>
        </is>
      </c>
      <c r="E3504" s="9" t="inlineStr">
        <is>
          <t>COLLAR VF BUTTERFLIES</t>
        </is>
      </c>
      <c r="F3504" s="9" t="inlineStr">
        <is>
          <t>Default Title</t>
        </is>
      </c>
      <c r="G3504" s="9" t="n">
        <v>2</v>
      </c>
      <c r="H3504" s="21" t="n">
        <v>5</v>
      </c>
      <c r="I3504" s="21" t="n">
        <v>105.16</v>
      </c>
      <c r="J3504" s="21" t="n">
        <v>315.47</v>
      </c>
      <c r="K3504" s="21" t="n">
        <v>368.05</v>
      </c>
      <c r="L3504" s="21" t="n">
        <v>420.63</v>
      </c>
      <c r="M3504" s="21" t="n">
        <v>450</v>
      </c>
    </row>
    <row r="3505">
      <c r="A3505" s="9" t="inlineStr">
        <is>
          <t>HAIFENG</t>
        </is>
      </c>
      <c r="B3505" s="9" t="inlineStr">
        <is>
          <t>HAIFENG 16/04/2026</t>
        </is>
      </c>
      <c r="C3505" s="9" t="inlineStr">
        <is>
          <t>2026-04-16</t>
        </is>
      </c>
      <c r="D3505" s="9" t="inlineStr">
        <is>
          <t>95854382120269</t>
        </is>
      </c>
      <c r="E3505" s="9" t="inlineStr">
        <is>
          <t>COLLAR VF BUTTERFLY SILVER</t>
        </is>
      </c>
      <c r="F3505" s="9" t="inlineStr">
        <is>
          <t>Default Title</t>
        </is>
      </c>
      <c r="G3505" s="9" t="n">
        <v>2</v>
      </c>
      <c r="H3505" s="21" t="n">
        <v>6</v>
      </c>
      <c r="I3505" s="21" t="n">
        <v>126.19</v>
      </c>
      <c r="J3505" s="21" t="n">
        <v>378.57</v>
      </c>
      <c r="K3505" s="21" t="n">
        <v>441.66</v>
      </c>
      <c r="L3505" s="21" t="n">
        <v>504.76</v>
      </c>
      <c r="M3505" s="21" t="n">
        <v>499</v>
      </c>
    </row>
    <row r="3506">
      <c r="A3506" s="9" t="inlineStr">
        <is>
          <t>HAIFENG</t>
        </is>
      </c>
      <c r="B3506" s="9" t="inlineStr">
        <is>
          <t>HAIFENG 16/04/2026</t>
        </is>
      </c>
      <c r="C3506" s="9" t="inlineStr">
        <is>
          <t>2026-04-16</t>
        </is>
      </c>
      <c r="D3506" s="9" t="inlineStr">
        <is>
          <t>95854382223661</t>
        </is>
      </c>
      <c r="E3506" s="9" t="inlineStr">
        <is>
          <t>COLLAR VF FRIVOLE GOLD</t>
        </is>
      </c>
      <c r="F3506" s="9" t="inlineStr">
        <is>
          <t>Default Title</t>
        </is>
      </c>
      <c r="G3506" s="9" t="n">
        <v>2</v>
      </c>
      <c r="H3506" s="21" t="n">
        <v>4</v>
      </c>
      <c r="I3506" s="21" t="n">
        <v>84.13</v>
      </c>
      <c r="J3506" s="21" t="n">
        <v>252.38</v>
      </c>
      <c r="K3506" s="21" t="n">
        <v>294.44</v>
      </c>
      <c r="L3506" s="21" t="n">
        <v>336.5</v>
      </c>
      <c r="M3506" s="21" t="n">
        <v>499</v>
      </c>
    </row>
    <row r="3507">
      <c r="A3507" s="9" t="inlineStr">
        <is>
          <t>HAIFENG</t>
        </is>
      </c>
      <c r="B3507" s="9" t="inlineStr">
        <is>
          <t>HAIFENG 16/04/2026</t>
        </is>
      </c>
      <c r="C3507" s="9" t="inlineStr">
        <is>
          <t>2026-04-16</t>
        </is>
      </c>
      <c r="D3507" s="9" t="inlineStr">
        <is>
          <t>95854381747949</t>
        </is>
      </c>
      <c r="E3507" s="9" t="inlineStr">
        <is>
          <t>COLLAR VF PERLEE GOLD</t>
        </is>
      </c>
      <c r="F3507" s="9" t="inlineStr">
        <is>
          <t>Default Title</t>
        </is>
      </c>
      <c r="G3507" s="9" t="n">
        <v>2</v>
      </c>
      <c r="H3507" s="21" t="n">
        <v>6.5</v>
      </c>
      <c r="I3507" s="21" t="n">
        <v>136.7</v>
      </c>
      <c r="J3507" s="21" t="n">
        <v>410.11</v>
      </c>
      <c r="K3507" s="21" t="n">
        <v>478.47</v>
      </c>
      <c r="L3507" s="21" t="n">
        <v>546.8200000000001</v>
      </c>
      <c r="M3507" s="21" t="n">
        <v>550</v>
      </c>
    </row>
    <row r="3508">
      <c r="A3508" s="9" t="inlineStr">
        <is>
          <t>HAIFENG</t>
        </is>
      </c>
      <c r="B3508" s="9" t="inlineStr">
        <is>
          <t>HAIFENG 16/04/2026</t>
        </is>
      </c>
      <c r="C3508" s="9" t="inlineStr">
        <is>
          <t>2026-04-16</t>
        </is>
      </c>
      <c r="D3508" s="9" t="inlineStr">
        <is>
          <t>95854381915181</t>
        </is>
      </c>
      <c r="E3508" s="9" t="inlineStr">
        <is>
          <t>COLLAR VF SWEET HEARTS ROSE GOLD</t>
        </is>
      </c>
      <c r="F3508" s="9" t="inlineStr">
        <is>
          <t>Default Title</t>
        </is>
      </c>
      <c r="G3508" s="9" t="n">
        <v>2</v>
      </c>
      <c r="H3508" s="21" t="n">
        <v>4</v>
      </c>
      <c r="I3508" s="21" t="n">
        <v>84.13</v>
      </c>
      <c r="J3508" s="21" t="n">
        <v>252.38</v>
      </c>
      <c r="K3508" s="21" t="n">
        <v>294.44</v>
      </c>
      <c r="L3508" s="21" t="n">
        <v>336.5</v>
      </c>
      <c r="M3508" s="21" t="n">
        <v>400</v>
      </c>
    </row>
    <row r="3509">
      <c r="A3509" s="9" t="inlineStr">
        <is>
          <t>HAIFENG</t>
        </is>
      </c>
      <c r="B3509" s="9" t="inlineStr">
        <is>
          <t>HAIFENG 16/04/2026</t>
        </is>
      </c>
      <c r="C3509" s="9" t="inlineStr">
        <is>
          <t>2026-04-16</t>
        </is>
      </c>
      <c r="D3509" s="9" t="inlineStr">
        <is>
          <t>95854382325357</t>
        </is>
      </c>
      <c r="E3509" s="9" t="inlineStr">
        <is>
          <t>COLLAR VF VINTAGE GOLD</t>
        </is>
      </c>
      <c r="F3509" s="9" t="inlineStr">
        <is>
          <t>Default Title</t>
        </is>
      </c>
      <c r="G3509" s="9" t="n">
        <v>2</v>
      </c>
      <c r="H3509" s="21" t="n">
        <v>4</v>
      </c>
      <c r="I3509" s="21" t="n">
        <v>84.13</v>
      </c>
      <c r="J3509" s="21" t="n">
        <v>252.38</v>
      </c>
      <c r="K3509" s="21" t="n">
        <v>294.44</v>
      </c>
      <c r="L3509" s="21" t="n">
        <v>336.5</v>
      </c>
      <c r="M3509" s="21" t="n">
        <v>400</v>
      </c>
    </row>
    <row r="3510">
      <c r="A3510" s="9" t="inlineStr">
        <is>
          <t>HAIFENG</t>
        </is>
      </c>
      <c r="B3510" s="9" t="inlineStr">
        <is>
          <t>HAIFENG 16/04/2026</t>
        </is>
      </c>
      <c r="C3510" s="9" t="inlineStr">
        <is>
          <t>2026-04-16</t>
        </is>
      </c>
      <c r="D3510" s="9" t="inlineStr">
        <is>
          <t>67201531386477</t>
        </is>
      </c>
      <c r="E3510" s="9" t="inlineStr">
        <is>
          <t>LENTES GOLD BLACK GC</t>
        </is>
      </c>
      <c r="F3510" s="9" t="inlineStr">
        <is>
          <t>Default Title</t>
        </is>
      </c>
      <c r="G3510" s="9" t="n">
        <v>1</v>
      </c>
      <c r="H3510" s="21" t="n">
        <v>35</v>
      </c>
      <c r="I3510" s="21" t="n">
        <v>736.1</v>
      </c>
      <c r="J3510" s="21" t="n">
        <v>2208.3</v>
      </c>
      <c r="K3510" s="21" t="n">
        <v>2576.36</v>
      </c>
      <c r="L3510" s="21" t="n">
        <v>2944.41</v>
      </c>
      <c r="M3510" s="21" t="n">
        <v>2884</v>
      </c>
    </row>
    <row r="3511">
      <c r="A3511" s="9" t="inlineStr">
        <is>
          <t>HAIFENG</t>
        </is>
      </c>
      <c r="B3511" s="9" t="inlineStr">
        <is>
          <t>HAIFENG 16/04/2026</t>
        </is>
      </c>
      <c r="C3511" s="9" t="inlineStr">
        <is>
          <t>2026-04-16</t>
        </is>
      </c>
      <c r="D3511" s="9" t="inlineStr">
        <is>
          <t>37635091051341</t>
        </is>
      </c>
      <c r="E3511" s="9" t="inlineStr">
        <is>
          <t>LENTES PR EYEWEAR PILOTO</t>
        </is>
      </c>
      <c r="F3511" s="9" t="inlineStr">
        <is>
          <t>Default Title</t>
        </is>
      </c>
      <c r="G3511" s="9" t="n">
        <v>2</v>
      </c>
      <c r="H3511" s="21" t="n">
        <v>32</v>
      </c>
      <c r="I3511" s="21" t="n">
        <v>673.01</v>
      </c>
      <c r="J3511" s="21" t="n">
        <v>2019.02</v>
      </c>
      <c r="K3511" s="21" t="n">
        <v>2355.53</v>
      </c>
      <c r="L3511" s="21" t="n">
        <v>2692.03</v>
      </c>
      <c r="M3511" s="21" t="n">
        <v>2650</v>
      </c>
    </row>
    <row r="3512">
      <c r="A3512" s="9" t="inlineStr">
        <is>
          <t>HAIFENG</t>
        </is>
      </c>
      <c r="B3512" s="9" t="inlineStr">
        <is>
          <t>HAIFENG 16/04/2026</t>
        </is>
      </c>
      <c r="C3512" s="9" t="inlineStr">
        <is>
          <t>2026-04-16</t>
        </is>
      </c>
      <c r="D3512" s="9" t="inlineStr">
        <is>
          <t>64361211113837</t>
        </is>
      </c>
      <c r="E3512" s="9" t="inlineStr">
        <is>
          <t>PULSERA BV ROSEGOLD BLACK-WHITE</t>
        </is>
      </c>
      <c r="F3512" s="9" t="inlineStr">
        <is>
          <t>Default Title</t>
        </is>
      </c>
      <c r="G3512" s="9" t="n">
        <v>2</v>
      </c>
      <c r="H3512" s="21" t="n">
        <v>7.5</v>
      </c>
      <c r="I3512" s="21" t="n">
        <v>157.74</v>
      </c>
      <c r="J3512" s="21" t="n">
        <v>473.21</v>
      </c>
      <c r="K3512" s="21" t="n">
        <v>552.08</v>
      </c>
      <c r="L3512" s="21" t="n">
        <v>630.9400000000001</v>
      </c>
      <c r="M3512" s="21" t="n">
        <v>650</v>
      </c>
    </row>
    <row r="3513">
      <c r="A3513" s="9" t="inlineStr">
        <is>
          <t>HAIFENG</t>
        </is>
      </c>
      <c r="B3513" s="9" t="inlineStr">
        <is>
          <t>HAIFENG 16/04/2026</t>
        </is>
      </c>
      <c r="C3513" s="9" t="inlineStr">
        <is>
          <t>2026-04-16</t>
        </is>
      </c>
      <c r="D3513" s="9" t="inlineStr">
        <is>
          <t>31078752766317</t>
        </is>
      </c>
      <c r="E3513" s="9" t="inlineStr">
        <is>
          <t>PULSERA C LOGO GOLD</t>
        </is>
      </c>
      <c r="F3513" s="9" t="inlineStr">
        <is>
          <t>Dije 7mm 16cm de largo con 2cm de extensión</t>
        </is>
      </c>
      <c r="G3513" s="9" t="n">
        <v>2</v>
      </c>
      <c r="H3513" s="21" t="n">
        <v>7.9</v>
      </c>
      <c r="I3513" s="21" t="n">
        <v>166.15</v>
      </c>
      <c r="J3513" s="21" t="n">
        <v>498.45</v>
      </c>
      <c r="K3513" s="21" t="n">
        <v>581.52</v>
      </c>
      <c r="L3513" s="21" t="n">
        <v>664.59</v>
      </c>
      <c r="M3513" s="21" t="n">
        <v>660</v>
      </c>
    </row>
    <row r="3514">
      <c r="A3514" s="9" t="inlineStr">
        <is>
          <t>HAIFENG</t>
        </is>
      </c>
      <c r="B3514" s="9" t="inlineStr">
        <is>
          <t>HAIFENG 16/04/2026</t>
        </is>
      </c>
      <c r="C3514" s="9" t="inlineStr">
        <is>
          <t>2026-04-16</t>
        </is>
      </c>
      <c r="D3514" s="9" t="inlineStr">
        <is>
          <t>89246881658733</t>
        </is>
      </c>
      <c r="E3514" s="9" t="inlineStr">
        <is>
          <t>PULSERA CD PETIT ZIRCONIAS GOLD</t>
        </is>
      </c>
      <c r="F3514" s="9" t="inlineStr">
        <is>
          <t>Default Title</t>
        </is>
      </c>
      <c r="G3514" s="9" t="n">
        <v>2</v>
      </c>
      <c r="H3514" s="21" t="n">
        <v>4</v>
      </c>
      <c r="I3514" s="21" t="n">
        <v>84.13</v>
      </c>
      <c r="J3514" s="21" t="n">
        <v>252.38</v>
      </c>
      <c r="K3514" s="21" t="n">
        <v>294.44</v>
      </c>
      <c r="L3514" s="21" t="n">
        <v>336.5</v>
      </c>
      <c r="M3514" s="21" t="n">
        <v>400</v>
      </c>
    </row>
    <row r="3515">
      <c r="A3515" s="9" t="inlineStr">
        <is>
          <t>HAIFENG</t>
        </is>
      </c>
      <c r="B3515" s="9" t="inlineStr">
        <is>
          <t>HAIFENG 16/04/2026</t>
        </is>
      </c>
      <c r="C3515" s="9" t="inlineStr">
        <is>
          <t>2026-04-16</t>
        </is>
      </c>
      <c r="D3515" s="9" t="inlineStr">
        <is>
          <t>89246881737837</t>
        </is>
      </c>
      <c r="E3515" s="9" t="inlineStr">
        <is>
          <t>PULSERA CD PETIT ZIRCONIAS SILVER</t>
        </is>
      </c>
      <c r="F3515" s="9" t="inlineStr">
        <is>
          <t>Default Title</t>
        </is>
      </c>
      <c r="G3515" s="9" t="n">
        <v>2</v>
      </c>
      <c r="H3515" s="21" t="n">
        <v>4</v>
      </c>
      <c r="I3515" s="21" t="n">
        <v>84.13</v>
      </c>
      <c r="J3515" s="21" t="n">
        <v>252.38</v>
      </c>
      <c r="K3515" s="21" t="n">
        <v>294.44</v>
      </c>
      <c r="L3515" s="21" t="n">
        <v>336.5</v>
      </c>
      <c r="M3515" s="21" t="n">
        <v>0</v>
      </c>
    </row>
    <row r="3516">
      <c r="A3516" s="9" t="inlineStr">
        <is>
          <t>HAIFENG</t>
        </is>
      </c>
      <c r="B3516" s="9" t="inlineStr">
        <is>
          <t>HAIFENG 16/04/2026</t>
        </is>
      </c>
      <c r="C3516" s="9" t="inlineStr">
        <is>
          <t>2026-04-16</t>
        </is>
      </c>
      <c r="D3516" s="9" t="inlineStr">
        <is>
          <t>66075802307341</t>
        </is>
      </c>
      <c r="E3516" s="9" t="inlineStr">
        <is>
          <t>PULSERA CLAIR D LUNE SILVER CD</t>
        </is>
      </c>
      <c r="F3516" s="9" t="inlineStr">
        <is>
          <t>13cm largo con 5cm de extensión dije 1cm</t>
        </is>
      </c>
      <c r="G3516" s="9" t="n">
        <v>4</v>
      </c>
      <c r="H3516" s="21" t="n">
        <v>4</v>
      </c>
      <c r="I3516" s="21" t="n">
        <v>84.13</v>
      </c>
      <c r="J3516" s="21" t="n">
        <v>252.38</v>
      </c>
      <c r="K3516" s="21" t="n">
        <v>294.44</v>
      </c>
      <c r="L3516" s="21" t="n">
        <v>336.5</v>
      </c>
      <c r="M3516" s="21" t="n">
        <v>267</v>
      </c>
    </row>
    <row r="3517">
      <c r="A3517" s="9" t="inlineStr">
        <is>
          <t>HAIFENG</t>
        </is>
      </c>
      <c r="B3517" s="9" t="inlineStr">
        <is>
          <t>HAIFENG 16/04/2026</t>
        </is>
      </c>
      <c r="C3517" s="9" t="inlineStr">
        <is>
          <t>2026-04-16</t>
        </is>
      </c>
      <c r="D3517" s="9" t="inlineStr">
        <is>
          <t>40154171618669</t>
        </is>
      </c>
      <c r="E3517" s="9" t="inlineStr">
        <is>
          <t>PULSERA CLAIRE D LUNE DOBLE SILVER</t>
        </is>
      </c>
      <c r="F3517" s="9" t="inlineStr">
        <is>
          <t>Default Title</t>
        </is>
      </c>
      <c r="G3517" s="9" t="n">
        <v>2</v>
      </c>
      <c r="H3517" s="21" t="n">
        <v>6</v>
      </c>
      <c r="I3517" s="21" t="n">
        <v>126.19</v>
      </c>
      <c r="J3517" s="21" t="n">
        <v>378.57</v>
      </c>
      <c r="K3517" s="21" t="n">
        <v>441.66</v>
      </c>
      <c r="L3517" s="21" t="n">
        <v>504.76</v>
      </c>
      <c r="M3517" s="21" t="n">
        <v>499</v>
      </c>
    </row>
    <row r="3518">
      <c r="A3518" s="9" t="inlineStr">
        <is>
          <t>HAIFENG</t>
        </is>
      </c>
      <c r="B3518" s="9" t="inlineStr">
        <is>
          <t>HAIFENG 16/04/2026</t>
        </is>
      </c>
      <c r="C3518" s="9" t="inlineStr">
        <is>
          <t>2026-04-16</t>
        </is>
      </c>
      <c r="D3518" s="9" t="inlineStr">
        <is>
          <t>82224433136653</t>
        </is>
      </c>
      <c r="E3518" s="9" t="inlineStr">
        <is>
          <t>PULSERA CLAVO ROSE GOLD</t>
        </is>
      </c>
      <c r="F3518" s="9" t="inlineStr">
        <is>
          <t>17 cm</t>
        </is>
      </c>
      <c r="G3518" s="9" t="n">
        <v>2</v>
      </c>
      <c r="H3518" s="21" t="n">
        <v>5</v>
      </c>
      <c r="I3518" s="21" t="n">
        <v>105.16</v>
      </c>
      <c r="J3518" s="21" t="n">
        <v>315.47</v>
      </c>
      <c r="K3518" s="21" t="n">
        <v>368.05</v>
      </c>
      <c r="L3518" s="21" t="n">
        <v>420.63</v>
      </c>
      <c r="M3518" s="21" t="n">
        <v>450</v>
      </c>
    </row>
    <row r="3519">
      <c r="A3519" s="9" t="inlineStr">
        <is>
          <t>HAIFENG</t>
        </is>
      </c>
      <c r="B3519" s="9" t="inlineStr">
        <is>
          <t>HAIFENG 16/04/2026</t>
        </is>
      </c>
      <c r="C3519" s="9" t="inlineStr">
        <is>
          <t>2026-04-16</t>
        </is>
      </c>
      <c r="D3519" s="9" t="inlineStr">
        <is>
          <t>668eee34bc314</t>
        </is>
      </c>
      <c r="E3519" s="9" t="inlineStr">
        <is>
          <t>PULSERA DE CUENTAS CON INSIGNIA DE CORAZÓN BLUE</t>
        </is>
      </c>
      <c r="F3519" s="9" t="inlineStr">
        <is>
          <t>16 cm</t>
        </is>
      </c>
      <c r="G3519" s="9" t="n">
        <v>10</v>
      </c>
      <c r="H3519" s="21" t="n">
        <v>5</v>
      </c>
      <c r="I3519" s="21" t="n">
        <v>105.16</v>
      </c>
      <c r="J3519" s="21" t="n">
        <v>315.47</v>
      </c>
      <c r="K3519" s="21" t="n">
        <v>368.05</v>
      </c>
      <c r="L3519" s="21" t="n">
        <v>420.63</v>
      </c>
      <c r="M3519" s="21" t="n">
        <v>550</v>
      </c>
    </row>
    <row r="3520">
      <c r="A3520" s="9" t="inlineStr">
        <is>
          <t>HAIFENG</t>
        </is>
      </c>
      <c r="B3520" s="9" t="inlineStr">
        <is>
          <t>HAIFENG 16/04/2026</t>
        </is>
      </c>
      <c r="C3520" s="9" t="inlineStr">
        <is>
          <t>2026-04-16</t>
        </is>
      </c>
      <c r="D3520" s="9" t="inlineStr">
        <is>
          <t>43047224606860</t>
        </is>
      </c>
      <c r="E3520" s="9" t="inlineStr">
        <is>
          <t>PULSERA DE CUENTAS CON INSIGNIA DE CORAZÓN PINK</t>
        </is>
      </c>
      <c r="F3520" s="9" t="inlineStr">
        <is>
          <t>19 cm</t>
        </is>
      </c>
      <c r="G3520" s="9" t="n">
        <v>8</v>
      </c>
      <c r="H3520" s="21" t="n">
        <v>5</v>
      </c>
      <c r="I3520" s="21" t="n">
        <v>105.16</v>
      </c>
      <c r="J3520" s="21" t="n">
        <v>315.47</v>
      </c>
      <c r="K3520" s="21" t="n">
        <v>368.05</v>
      </c>
      <c r="L3520" s="21" t="n">
        <v>420.63</v>
      </c>
      <c r="M3520" s="21" t="n">
        <v>550</v>
      </c>
    </row>
    <row r="3521">
      <c r="A3521" s="9" t="inlineStr">
        <is>
          <t>HAIFENG</t>
        </is>
      </c>
      <c r="B3521" s="9" t="inlineStr">
        <is>
          <t>HAIFENG 16/04/2026</t>
        </is>
      </c>
      <c r="C3521" s="9" t="inlineStr">
        <is>
          <t>2026-04-16</t>
        </is>
      </c>
      <c r="D3521" s="9" t="inlineStr">
        <is>
          <t>43047224574092</t>
        </is>
      </c>
      <c r="E3521" s="9" t="inlineStr">
        <is>
          <t>PULSERA DE CUENTAS CON INSIGNIA DE CORAZÓN PINK</t>
        </is>
      </c>
      <c r="F3521" s="9" t="inlineStr">
        <is>
          <t>18 cm</t>
        </is>
      </c>
      <c r="G3521" s="9" t="n">
        <v>5</v>
      </c>
      <c r="H3521" s="21" t="n">
        <v>5</v>
      </c>
      <c r="I3521" s="21" t="n">
        <v>105.16</v>
      </c>
      <c r="J3521" s="21" t="n">
        <v>315.47</v>
      </c>
      <c r="K3521" s="21" t="n">
        <v>368.05</v>
      </c>
      <c r="L3521" s="21" t="n">
        <v>420.63</v>
      </c>
      <c r="M3521" s="21" t="n">
        <v>550</v>
      </c>
    </row>
    <row r="3522">
      <c r="A3522" s="9" t="inlineStr">
        <is>
          <t>HAIFENG</t>
        </is>
      </c>
      <c r="B3522" s="9" t="inlineStr">
        <is>
          <t>HAIFENG 16/04/2026</t>
        </is>
      </c>
      <c r="C3522" s="9" t="inlineStr">
        <is>
          <t>2026-04-16</t>
        </is>
      </c>
      <c r="D3522" s="9" t="inlineStr">
        <is>
          <t>668eee50dfb13</t>
        </is>
      </c>
      <c r="E3522" s="9" t="inlineStr">
        <is>
          <t>PULSERA DE CUENTAS CON INSIGNIA DE CORAZÓN RED</t>
        </is>
      </c>
      <c r="F3522" s="9" t="inlineStr">
        <is>
          <t>16 cm</t>
        </is>
      </c>
      <c r="G3522" s="9" t="n">
        <v>12</v>
      </c>
      <c r="H3522" s="21" t="n">
        <v>5</v>
      </c>
      <c r="I3522" s="21" t="n">
        <v>105.16</v>
      </c>
      <c r="J3522" s="21" t="n">
        <v>315.47</v>
      </c>
      <c r="K3522" s="21" t="n">
        <v>368.05</v>
      </c>
      <c r="L3522" s="21" t="n">
        <v>420.63</v>
      </c>
      <c r="M3522" s="21" t="n">
        <v>550</v>
      </c>
    </row>
    <row r="3523">
      <c r="A3523" s="9" t="inlineStr">
        <is>
          <t>HAIFENG</t>
        </is>
      </c>
      <c r="B3523" s="9" t="inlineStr">
        <is>
          <t>HAIFENG 16/04/2026</t>
        </is>
      </c>
      <c r="C3523" s="9" t="inlineStr">
        <is>
          <t>2026-04-16</t>
        </is>
      </c>
      <c r="D3523" s="9" t="inlineStr">
        <is>
          <t>668eee53b2d19</t>
        </is>
      </c>
      <c r="E3523" s="9" t="inlineStr">
        <is>
          <t>PULSERA DE CUENTAS CON INSIGNIA DE CORAZÓN RED</t>
        </is>
      </c>
      <c r="F3523" s="9" t="inlineStr">
        <is>
          <t>19 cm</t>
        </is>
      </c>
      <c r="G3523" s="9" t="n">
        <v>2</v>
      </c>
      <c r="H3523" s="21" t="n">
        <v>5</v>
      </c>
      <c r="I3523" s="21" t="n">
        <v>105.16</v>
      </c>
      <c r="J3523" s="21" t="n">
        <v>315.47</v>
      </c>
      <c r="K3523" s="21" t="n">
        <v>368.05</v>
      </c>
      <c r="L3523" s="21" t="n">
        <v>420.63</v>
      </c>
      <c r="M3523" s="21" t="n">
        <v>550</v>
      </c>
    </row>
    <row r="3524">
      <c r="A3524" s="9" t="inlineStr">
        <is>
          <t>HAIFENG</t>
        </is>
      </c>
      <c r="B3524" s="9" t="inlineStr">
        <is>
          <t>HAIFENG 16/04/2026</t>
        </is>
      </c>
      <c r="C3524" s="9" t="inlineStr">
        <is>
          <t>2026-04-16</t>
        </is>
      </c>
      <c r="D3524" s="9" t="inlineStr">
        <is>
          <t>665bd4a33373e</t>
        </is>
      </c>
      <c r="E3524" s="9" t="inlineStr">
        <is>
          <t>PULSERA DE TELA TRES AROS DARK BLUE</t>
        </is>
      </c>
      <c r="F3524" s="9" t="inlineStr">
        <is>
          <t>AJUSTABLE</t>
        </is>
      </c>
      <c r="G3524" s="9" t="n">
        <v>10</v>
      </c>
      <c r="H3524" s="21" t="n">
        <v>5</v>
      </c>
      <c r="I3524" s="21" t="n">
        <v>105.16</v>
      </c>
      <c r="J3524" s="21" t="n">
        <v>315.47</v>
      </c>
      <c r="K3524" s="21" t="n">
        <v>368.05</v>
      </c>
      <c r="L3524" s="21" t="n">
        <v>420.63</v>
      </c>
      <c r="M3524" s="21" t="n">
        <v>450</v>
      </c>
    </row>
    <row r="3525">
      <c r="A3525" s="9" t="inlineStr">
        <is>
          <t>HAIFENG</t>
        </is>
      </c>
      <c r="B3525" s="9" t="inlineStr">
        <is>
          <t>HAIFENG 16/04/2026</t>
        </is>
      </c>
      <c r="C3525" s="9" t="inlineStr">
        <is>
          <t>2026-04-16</t>
        </is>
      </c>
      <c r="D3525" s="9" t="inlineStr">
        <is>
          <t>34361211039213</t>
        </is>
      </c>
      <c r="E3525" s="9" t="inlineStr">
        <is>
          <t>PULSERA DIVAS DREAM SILVER</t>
        </is>
      </c>
      <c r="F3525" s="9" t="inlineStr">
        <is>
          <t>Default Title</t>
        </is>
      </c>
      <c r="G3525" s="9" t="n">
        <v>2</v>
      </c>
      <c r="H3525" s="21" t="n">
        <v>7.5</v>
      </c>
      <c r="I3525" s="21" t="n">
        <v>157.74</v>
      </c>
      <c r="J3525" s="21" t="n">
        <v>473.21</v>
      </c>
      <c r="K3525" s="21" t="n">
        <v>552.08</v>
      </c>
      <c r="L3525" s="21" t="n">
        <v>630.9400000000001</v>
      </c>
      <c r="M3525" s="21" t="n">
        <v>620</v>
      </c>
    </row>
    <row r="3526">
      <c r="A3526" s="9" t="inlineStr">
        <is>
          <t>HAIFENG</t>
        </is>
      </c>
      <c r="B3526" s="9" t="inlineStr">
        <is>
          <t>HAIFENG 16/04/2026</t>
        </is>
      </c>
      <c r="C3526" s="9" t="inlineStr">
        <is>
          <t>2026-04-16</t>
        </is>
      </c>
      <c r="D3526" s="9" t="inlineStr">
        <is>
          <t>67201534427213</t>
        </is>
      </c>
      <c r="E3526" s="9" t="inlineStr">
        <is>
          <t>PULSERA DOBLE CADENA Y PLACA ESTILO CORAZÓN T SILVER</t>
        </is>
      </c>
      <c r="F3526" s="9" t="inlineStr">
        <is>
          <t>Default Title</t>
        </is>
      </c>
      <c r="G3526" s="9" t="n">
        <v>9</v>
      </c>
      <c r="H3526" s="21" t="n">
        <v>5</v>
      </c>
      <c r="I3526" s="21" t="n">
        <v>105.16</v>
      </c>
      <c r="J3526" s="21" t="n">
        <v>315.47</v>
      </c>
      <c r="K3526" s="21" t="n">
        <v>368.05</v>
      </c>
      <c r="L3526" s="21" t="n">
        <v>420.63</v>
      </c>
      <c r="M3526" s="21" t="n">
        <v>525</v>
      </c>
    </row>
    <row r="3527">
      <c r="A3527" s="9" t="inlineStr">
        <is>
          <t>HAIFENG</t>
        </is>
      </c>
      <c r="B3527" s="9" t="inlineStr">
        <is>
          <t>HAIFENG 16/04/2026</t>
        </is>
      </c>
      <c r="C3527" s="9" t="inlineStr">
        <is>
          <t>2026-04-16</t>
        </is>
      </c>
      <c r="D3527" s="9" t="inlineStr">
        <is>
          <t>86347033612749</t>
        </is>
      </c>
      <c r="E3527" s="9" t="inlineStr">
        <is>
          <t>PULSERA ESLABONES ROSEGOLD ZIRCONIA</t>
        </is>
      </c>
      <c r="F3527" s="9" t="inlineStr">
        <is>
          <t>Default Title</t>
        </is>
      </c>
      <c r="G3527" s="9" t="n">
        <v>2</v>
      </c>
      <c r="H3527" s="21" t="n">
        <v>10</v>
      </c>
      <c r="I3527" s="21" t="n">
        <v>210.31</v>
      </c>
      <c r="J3527" s="21" t="n">
        <v>630.9400000000001</v>
      </c>
      <c r="K3527" s="21" t="n">
        <v>736.1</v>
      </c>
      <c r="L3527" s="21" t="n">
        <v>841.26</v>
      </c>
      <c r="M3527" s="21" t="n">
        <v>824</v>
      </c>
    </row>
    <row r="3528">
      <c r="A3528" s="9" t="inlineStr">
        <is>
          <t>HAIFENG</t>
        </is>
      </c>
      <c r="B3528" s="9" t="inlineStr">
        <is>
          <t>HAIFENG 16/04/2026</t>
        </is>
      </c>
      <c r="C3528" s="9" t="inlineStr">
        <is>
          <t>2026-04-16</t>
        </is>
      </c>
      <c r="D3528" s="9" t="inlineStr">
        <is>
          <t>95854371043949</t>
        </is>
      </c>
      <c r="E3528" s="9" t="inlineStr">
        <is>
          <t>PULSERA GC BLONDIE GOLD</t>
        </is>
      </c>
      <c r="F3528" s="9" t="inlineStr">
        <is>
          <t>Default Title</t>
        </is>
      </c>
      <c r="G3528" s="9" t="n">
        <v>2</v>
      </c>
      <c r="H3528" s="21" t="n">
        <v>6</v>
      </c>
      <c r="I3528" s="21" t="n">
        <v>126.19</v>
      </c>
      <c r="J3528" s="21" t="n">
        <v>378.57</v>
      </c>
      <c r="K3528" s="21" t="n">
        <v>441.66</v>
      </c>
      <c r="L3528" s="21" t="n">
        <v>504.76</v>
      </c>
      <c r="M3528" s="21" t="n">
        <v>499</v>
      </c>
    </row>
    <row r="3529">
      <c r="A3529" s="9" t="inlineStr">
        <is>
          <t>HAIFENG</t>
        </is>
      </c>
      <c r="B3529" s="9" t="inlineStr">
        <is>
          <t>HAIFENG 16/04/2026</t>
        </is>
      </c>
      <c r="C3529" s="9" t="inlineStr">
        <is>
          <t>2026-04-16</t>
        </is>
      </c>
      <c r="D3529" s="9" t="inlineStr">
        <is>
          <t>89246882645773</t>
        </is>
      </c>
      <c r="E3529" s="9" t="inlineStr">
        <is>
          <t>PULSERA H FINESSE SILVER</t>
        </is>
      </c>
      <c r="F3529" s="9" t="inlineStr">
        <is>
          <t>Default Title</t>
        </is>
      </c>
      <c r="G3529" s="9" t="n">
        <v>2</v>
      </c>
      <c r="H3529" s="21" t="n">
        <v>10</v>
      </c>
      <c r="I3529" s="21" t="n">
        <v>210.31</v>
      </c>
      <c r="J3529" s="21" t="n">
        <v>630.9400000000001</v>
      </c>
      <c r="K3529" s="21" t="n">
        <v>736.1</v>
      </c>
      <c r="L3529" s="21" t="n">
        <v>841.26</v>
      </c>
      <c r="M3529" s="21" t="n">
        <v>850</v>
      </c>
    </row>
    <row r="3530">
      <c r="A3530" s="9" t="inlineStr">
        <is>
          <t>HAIFENG</t>
        </is>
      </c>
      <c r="B3530" s="9" t="inlineStr">
        <is>
          <t>HAIFENG 16/04/2026</t>
        </is>
      </c>
      <c r="C3530" s="9" t="inlineStr">
        <is>
          <t>2026-04-16</t>
        </is>
      </c>
      <c r="D3530" s="9" t="inlineStr">
        <is>
          <t>14679511089581</t>
        </is>
      </c>
      <c r="E3530" s="9" t="inlineStr">
        <is>
          <t>PULSERA H SILVER</t>
        </is>
      </c>
      <c r="F3530" s="9" t="inlineStr">
        <is>
          <t>Default Title</t>
        </is>
      </c>
      <c r="G3530" s="9" t="n">
        <v>2</v>
      </c>
      <c r="H3530" s="21" t="n">
        <v>12.99</v>
      </c>
      <c r="I3530" s="21" t="n">
        <v>273.2</v>
      </c>
      <c r="J3530" s="21" t="n">
        <v>819.6</v>
      </c>
      <c r="K3530" s="21" t="n">
        <v>956.2</v>
      </c>
      <c r="L3530" s="21" t="n">
        <v>1092.8</v>
      </c>
      <c r="M3530" s="21" t="n">
        <v>460</v>
      </c>
    </row>
    <row r="3531">
      <c r="A3531" s="9" t="inlineStr">
        <is>
          <t>HAIFENG</t>
        </is>
      </c>
      <c r="B3531" s="9" t="inlineStr">
        <is>
          <t>HAIFENG 16/04/2026</t>
        </is>
      </c>
      <c r="C3531" s="9" t="inlineStr">
        <is>
          <t>2026-04-16</t>
        </is>
      </c>
      <c r="D3531" s="9" t="inlineStr">
        <is>
          <t>22064323912749</t>
        </is>
      </c>
      <c r="E3531" s="9" t="inlineStr">
        <is>
          <t>PULSERA HEART ROSE GOLD</t>
        </is>
      </c>
      <c r="F3531" s="9" t="inlineStr">
        <is>
          <t>Default Title</t>
        </is>
      </c>
      <c r="G3531" s="9" t="n">
        <v>5</v>
      </c>
      <c r="H3531" s="21" t="n">
        <v>4</v>
      </c>
      <c r="I3531" s="21" t="n">
        <v>84.13</v>
      </c>
      <c r="J3531" s="21" t="n">
        <v>252.38</v>
      </c>
      <c r="K3531" s="21" t="n">
        <v>294.44</v>
      </c>
      <c r="L3531" s="21" t="n">
        <v>336.5</v>
      </c>
      <c r="M3531" s="21" t="n">
        <v>499</v>
      </c>
    </row>
    <row r="3532">
      <c r="A3532" s="9" t="inlineStr">
        <is>
          <t>HAIFENG</t>
        </is>
      </c>
      <c r="B3532" s="9" t="inlineStr">
        <is>
          <t>HAIFENG 16/04/2026</t>
        </is>
      </c>
      <c r="C3532" s="9" t="inlineStr">
        <is>
          <t>2026-04-16</t>
        </is>
      </c>
      <c r="D3532" s="9" t="inlineStr">
        <is>
          <t>63e0c54172948</t>
        </is>
      </c>
      <c r="E3532" s="9" t="inlineStr">
        <is>
          <t>PULSERA LOVE CON ZIRCONIA SILVER</t>
        </is>
      </c>
      <c r="F3532" s="9" t="inlineStr">
        <is>
          <t>21 cm</t>
        </is>
      </c>
      <c r="G3532" s="9" t="n">
        <v>3</v>
      </c>
      <c r="H3532" s="21" t="n">
        <v>4.5</v>
      </c>
      <c r="I3532" s="21" t="n">
        <v>94.64</v>
      </c>
      <c r="J3532" s="21" t="n">
        <v>283.92</v>
      </c>
      <c r="K3532" s="21" t="n">
        <v>331.25</v>
      </c>
      <c r="L3532" s="21" t="n">
        <v>378.57</v>
      </c>
      <c r="M3532" s="21" t="n">
        <v>499</v>
      </c>
    </row>
    <row r="3533">
      <c r="A3533" s="9" t="inlineStr">
        <is>
          <t>HAIFENG</t>
        </is>
      </c>
      <c r="B3533" s="9" t="inlineStr">
        <is>
          <t>HAIFENG 16/04/2026</t>
        </is>
      </c>
      <c r="C3533" s="9" t="inlineStr">
        <is>
          <t>2026-04-16</t>
        </is>
      </c>
      <c r="D3533" s="9" t="inlineStr">
        <is>
          <t>79274691076205</t>
        </is>
      </c>
      <c r="E3533" s="9" t="inlineStr">
        <is>
          <t>PULSERA LOVE DELGADA GOLD (THIN)</t>
        </is>
      </c>
      <c r="F3533" s="9" t="inlineStr">
        <is>
          <t>16cm</t>
        </is>
      </c>
      <c r="G3533" s="9" t="n">
        <v>20</v>
      </c>
      <c r="H3533" s="21" t="n">
        <v>4.5</v>
      </c>
      <c r="I3533" s="21" t="n">
        <v>94.64</v>
      </c>
      <c r="J3533" s="21" t="n">
        <v>283.92</v>
      </c>
      <c r="K3533" s="21" t="n">
        <v>331.25</v>
      </c>
      <c r="L3533" s="21" t="n">
        <v>378.57</v>
      </c>
      <c r="M3533" s="21" t="n">
        <v>499</v>
      </c>
    </row>
    <row r="3534">
      <c r="A3534" s="9" t="inlineStr">
        <is>
          <t>HAIFENG</t>
        </is>
      </c>
      <c r="B3534" s="9" t="inlineStr">
        <is>
          <t>HAIFENG 16/04/2026</t>
        </is>
      </c>
      <c r="C3534" s="9" t="inlineStr">
        <is>
          <t>2026-04-16</t>
        </is>
      </c>
      <c r="D3534" s="9" t="inlineStr">
        <is>
          <t>79274691108973</t>
        </is>
      </c>
      <c r="E3534" s="9" t="inlineStr">
        <is>
          <t>PULSERA LOVE DELGADA GOLD (THIN)</t>
        </is>
      </c>
      <c r="F3534" s="9" t="inlineStr">
        <is>
          <t>17cm</t>
        </is>
      </c>
      <c r="G3534" s="9" t="n">
        <v>15</v>
      </c>
      <c r="H3534" s="21" t="n">
        <v>4.5</v>
      </c>
      <c r="I3534" s="21" t="n">
        <v>94.64</v>
      </c>
      <c r="J3534" s="21" t="n">
        <v>283.92</v>
      </c>
      <c r="K3534" s="21" t="n">
        <v>331.25</v>
      </c>
      <c r="L3534" s="21" t="n">
        <v>378.57</v>
      </c>
      <c r="M3534" s="21" t="n">
        <v>499</v>
      </c>
    </row>
    <row r="3535">
      <c r="A3535" s="9" t="inlineStr">
        <is>
          <t>HAIFENG</t>
        </is>
      </c>
      <c r="B3535" s="9" t="inlineStr">
        <is>
          <t>HAIFENG 16/04/2026</t>
        </is>
      </c>
      <c r="C3535" s="9" t="inlineStr">
        <is>
          <t>2026-04-16</t>
        </is>
      </c>
      <c r="D3535" s="9" t="inlineStr">
        <is>
          <t>63ebdf98523b4</t>
        </is>
      </c>
      <c r="E3535" s="9" t="inlineStr">
        <is>
          <t>PULSERA LOVE DELGADA GOLD CON MICRO ZIRCONIAS</t>
        </is>
      </c>
      <c r="F3535" s="9" t="inlineStr">
        <is>
          <t>16 cm</t>
        </is>
      </c>
      <c r="G3535" s="9" t="n">
        <v>2</v>
      </c>
      <c r="H3535" s="21" t="n">
        <v>13</v>
      </c>
      <c r="I3535" s="21" t="n">
        <v>273.41</v>
      </c>
      <c r="J3535" s="21" t="n">
        <v>820.23</v>
      </c>
      <c r="K3535" s="21" t="n">
        <v>956.9299999999999</v>
      </c>
      <c r="L3535" s="21" t="n">
        <v>1093.64</v>
      </c>
      <c r="M3535" s="21" t="n">
        <v>1099</v>
      </c>
    </row>
    <row r="3536">
      <c r="A3536" s="9" t="inlineStr">
        <is>
          <t>HAIFENG</t>
        </is>
      </c>
      <c r="B3536" s="9" t="inlineStr">
        <is>
          <t>HAIFENG 16/04/2026</t>
        </is>
      </c>
      <c r="C3536" s="9" t="inlineStr">
        <is>
          <t>2026-04-16</t>
        </is>
      </c>
      <c r="D3536" s="9" t="inlineStr">
        <is>
          <t>63e0c58e84d6e</t>
        </is>
      </c>
      <c r="E3536" s="9" t="inlineStr">
        <is>
          <t>PULSERA LOVE DELGADA ROSE GOLD (THIN)</t>
        </is>
      </c>
      <c r="F3536" s="9" t="inlineStr">
        <is>
          <t>18 cm</t>
        </is>
      </c>
      <c r="G3536" s="9" t="n">
        <v>5</v>
      </c>
      <c r="H3536" s="21" t="n">
        <v>4.5</v>
      </c>
      <c r="I3536" s="21" t="n">
        <v>94.64</v>
      </c>
      <c r="J3536" s="21" t="n">
        <v>283.92</v>
      </c>
      <c r="K3536" s="21" t="n">
        <v>331.25</v>
      </c>
      <c r="L3536" s="21" t="n">
        <v>378.57</v>
      </c>
      <c r="M3536" s="21" t="n">
        <v>499</v>
      </c>
    </row>
    <row r="3537">
      <c r="A3537" s="9" t="inlineStr">
        <is>
          <t>HAIFENG</t>
        </is>
      </c>
      <c r="B3537" s="9" t="inlineStr">
        <is>
          <t>HAIFENG 16/04/2026</t>
        </is>
      </c>
      <c r="C3537" s="9" t="inlineStr">
        <is>
          <t>2026-04-16</t>
        </is>
      </c>
      <c r="D3537" s="9" t="inlineStr">
        <is>
          <t>MAJO</t>
        </is>
      </c>
      <c r="E3537" s="9" t="inlineStr">
        <is>
          <t>PULSERA LOVE DELGADA ROSE GOLD CON ZIRCONIA</t>
        </is>
      </c>
      <c r="F3537" s="9" t="inlineStr"/>
      <c r="G3537" s="9" t="n">
        <v>1</v>
      </c>
      <c r="H3537" s="21" t="n">
        <v>5</v>
      </c>
      <c r="I3537" s="21" t="n">
        <v>105.16</v>
      </c>
      <c r="J3537" s="21" t="n">
        <v>315.47</v>
      </c>
      <c r="K3537" s="21" t="n">
        <v>368.05</v>
      </c>
      <c r="L3537" s="21" t="n">
        <v>420.63</v>
      </c>
      <c r="M3537" s="21" t="n"/>
    </row>
    <row r="3538">
      <c r="A3538" s="9" t="inlineStr">
        <is>
          <t>HAIFENG</t>
        </is>
      </c>
      <c r="B3538" s="9" t="inlineStr">
        <is>
          <t>HAIFENG 16/04/2026</t>
        </is>
      </c>
      <c r="C3538" s="9" t="inlineStr">
        <is>
          <t>2026-04-16</t>
        </is>
      </c>
      <c r="D3538" s="9" t="inlineStr">
        <is>
          <t>77724991007277</t>
        </is>
      </c>
      <c r="E3538" s="9" t="inlineStr">
        <is>
          <t>PULSERA LOVE DELGADA SILVER (THIN)</t>
        </is>
      </c>
      <c r="F3538" s="9" t="inlineStr">
        <is>
          <t>16cm</t>
        </is>
      </c>
      <c r="G3538" s="9" t="n">
        <v>4</v>
      </c>
      <c r="H3538" s="21" t="n">
        <v>4.5</v>
      </c>
      <c r="I3538" s="21" t="n">
        <v>94.64</v>
      </c>
      <c r="J3538" s="21" t="n">
        <v>283.92</v>
      </c>
      <c r="K3538" s="21" t="n">
        <v>331.25</v>
      </c>
      <c r="L3538" s="21" t="n">
        <v>378.57</v>
      </c>
      <c r="M3538" s="21" t="n">
        <v>499</v>
      </c>
    </row>
    <row r="3539">
      <c r="A3539" s="9" t="inlineStr">
        <is>
          <t>HAIFENG</t>
        </is>
      </c>
      <c r="B3539" s="9" t="inlineStr">
        <is>
          <t>HAIFENG 16/04/2026</t>
        </is>
      </c>
      <c r="C3539" s="9" t="inlineStr">
        <is>
          <t>2026-04-16</t>
        </is>
      </c>
      <c r="D3539" s="9" t="inlineStr">
        <is>
          <t>77724991140045</t>
        </is>
      </c>
      <c r="E3539" s="9" t="inlineStr">
        <is>
          <t>PULSERA LOVE DELGADA SILVER (THIN)</t>
        </is>
      </c>
      <c r="F3539" s="9" t="inlineStr">
        <is>
          <t>17cm</t>
        </is>
      </c>
      <c r="G3539" s="9" t="n">
        <v>7</v>
      </c>
      <c r="H3539" s="21" t="n">
        <v>4.5</v>
      </c>
      <c r="I3539" s="21" t="n">
        <v>94.64</v>
      </c>
      <c r="J3539" s="21" t="n">
        <v>283.92</v>
      </c>
      <c r="K3539" s="21" t="n">
        <v>331.25</v>
      </c>
      <c r="L3539" s="21" t="n">
        <v>378.57</v>
      </c>
      <c r="M3539" s="21" t="n">
        <v>499</v>
      </c>
    </row>
    <row r="3540">
      <c r="A3540" s="9" t="inlineStr">
        <is>
          <t>HAIFENG</t>
        </is>
      </c>
      <c r="B3540" s="9" t="inlineStr">
        <is>
          <t>HAIFENG 16/04/2026</t>
        </is>
      </c>
      <c r="C3540" s="9" t="inlineStr">
        <is>
          <t>2026-04-16</t>
        </is>
      </c>
      <c r="D3540" s="9" t="inlineStr">
        <is>
          <t>63ebdf25cba1e</t>
        </is>
      </c>
      <c r="E3540" s="9" t="inlineStr">
        <is>
          <t>PULSERA LOVE DELGADA SILVER CON MICRO ZIRCONIAS</t>
        </is>
      </c>
      <c r="F3540" s="9" t="inlineStr">
        <is>
          <t>19 cm</t>
        </is>
      </c>
      <c r="G3540" s="9" t="n">
        <v>1</v>
      </c>
      <c r="H3540" s="21" t="n">
        <v>13</v>
      </c>
      <c r="I3540" s="21" t="n">
        <v>273.41</v>
      </c>
      <c r="J3540" s="21" t="n">
        <v>820.23</v>
      </c>
      <c r="K3540" s="21" t="n">
        <v>956.9299999999999</v>
      </c>
      <c r="L3540" s="21" t="n">
        <v>1093.64</v>
      </c>
      <c r="M3540" s="21" t="n">
        <v>1099</v>
      </c>
    </row>
    <row r="3541">
      <c r="A3541" s="9" t="inlineStr">
        <is>
          <t>HAIFENG</t>
        </is>
      </c>
      <c r="B3541" s="9" t="inlineStr">
        <is>
          <t>HAIFENG 16/04/2026</t>
        </is>
      </c>
      <c r="C3541" s="9" t="inlineStr">
        <is>
          <t>2026-04-16</t>
        </is>
      </c>
      <c r="D3541" s="9" t="inlineStr">
        <is>
          <t>66177007689da</t>
        </is>
      </c>
      <c r="E3541" s="9" t="inlineStr">
        <is>
          <t>PULSERA LOVE GOLD</t>
        </is>
      </c>
      <c r="F3541" s="9" t="inlineStr">
        <is>
          <t>17 CM</t>
        </is>
      </c>
      <c r="G3541" s="9" t="n">
        <v>18</v>
      </c>
      <c r="H3541" s="21" t="n">
        <v>4.5</v>
      </c>
      <c r="I3541" s="21" t="n">
        <v>94.64</v>
      </c>
      <c r="J3541" s="21" t="n">
        <v>283.92</v>
      </c>
      <c r="K3541" s="21" t="n">
        <v>331.25</v>
      </c>
      <c r="L3541" s="21" t="n">
        <v>378.57</v>
      </c>
      <c r="M3541" s="21" t="n">
        <v>499</v>
      </c>
    </row>
    <row r="3542">
      <c r="A3542" s="9" t="inlineStr">
        <is>
          <t>HAIFENG</t>
        </is>
      </c>
      <c r="B3542" s="9" t="inlineStr">
        <is>
          <t>HAIFENG 16/04/2026</t>
        </is>
      </c>
      <c r="C3542" s="9" t="inlineStr">
        <is>
          <t>2026-04-16</t>
        </is>
      </c>
      <c r="D3542" s="9" t="inlineStr">
        <is>
          <t>66177006d3573</t>
        </is>
      </c>
      <c r="E3542" s="9" t="inlineStr">
        <is>
          <t>PULSERA LOVE GOLD</t>
        </is>
      </c>
      <c r="F3542" s="9" t="inlineStr">
        <is>
          <t>16 CM</t>
        </is>
      </c>
      <c r="G3542" s="9" t="n">
        <v>10</v>
      </c>
      <c r="H3542" s="21" t="n">
        <v>4.5</v>
      </c>
      <c r="I3542" s="21" t="n">
        <v>94.64</v>
      </c>
      <c r="J3542" s="21" t="n">
        <v>283.92</v>
      </c>
      <c r="K3542" s="21" t="n">
        <v>331.25</v>
      </c>
      <c r="L3542" s="21" t="n">
        <v>378.57</v>
      </c>
      <c r="M3542" s="21" t="n">
        <v>499</v>
      </c>
    </row>
    <row r="3543">
      <c r="A3543" s="9" t="inlineStr">
        <is>
          <t>HAIFENG</t>
        </is>
      </c>
      <c r="B3543" s="9" t="inlineStr">
        <is>
          <t>HAIFENG 16/04/2026</t>
        </is>
      </c>
      <c r="C3543" s="9" t="inlineStr">
        <is>
          <t>2026-04-16</t>
        </is>
      </c>
      <c r="D3543" s="9" t="inlineStr">
        <is>
          <t>66177009444c0</t>
        </is>
      </c>
      <c r="E3543" s="9" t="inlineStr">
        <is>
          <t>PULSERA LOVE GOLD</t>
        </is>
      </c>
      <c r="F3543" s="9" t="inlineStr">
        <is>
          <t>20 CM</t>
        </is>
      </c>
      <c r="G3543" s="9" t="n">
        <v>3</v>
      </c>
      <c r="H3543" s="21" t="n">
        <v>4.5</v>
      </c>
      <c r="I3543" s="21" t="n">
        <v>94.64</v>
      </c>
      <c r="J3543" s="21" t="n">
        <v>283.92</v>
      </c>
      <c r="K3543" s="21" t="n">
        <v>331.25</v>
      </c>
      <c r="L3543" s="21" t="n">
        <v>378.57</v>
      </c>
      <c r="M3543" s="21" t="n">
        <v>499</v>
      </c>
    </row>
    <row r="3544">
      <c r="A3544" s="9" t="inlineStr">
        <is>
          <t>HAIFENG</t>
        </is>
      </c>
      <c r="B3544" s="9" t="inlineStr">
        <is>
          <t>HAIFENG 16/04/2026</t>
        </is>
      </c>
      <c r="C3544" s="9" t="inlineStr">
        <is>
          <t>2026-04-16</t>
        </is>
      </c>
      <c r="D3544" s="9" t="inlineStr">
        <is>
          <t>47179791074049</t>
        </is>
      </c>
      <c r="E3544" s="9" t="inlineStr">
        <is>
          <t>PULSERA LOVE LOVE GOLD</t>
        </is>
      </c>
      <c r="F3544" s="9" t="inlineStr">
        <is>
          <t>16cm con 5cm de extensión</t>
        </is>
      </c>
      <c r="G3544" s="9" t="n">
        <v>16</v>
      </c>
      <c r="H3544" s="21" t="n">
        <v>4.5</v>
      </c>
      <c r="I3544" s="21" t="n">
        <v>94.64</v>
      </c>
      <c r="J3544" s="21" t="n">
        <v>283.92</v>
      </c>
      <c r="K3544" s="21" t="n">
        <v>331.25</v>
      </c>
      <c r="L3544" s="21" t="n">
        <v>378.57</v>
      </c>
      <c r="M3544" s="21" t="n">
        <v>499</v>
      </c>
    </row>
    <row r="3545">
      <c r="A3545" s="9" t="inlineStr">
        <is>
          <t>HAIFENG</t>
        </is>
      </c>
      <c r="B3545" s="9" t="inlineStr">
        <is>
          <t>HAIFENG 16/04/2026</t>
        </is>
      </c>
      <c r="C3545" s="9" t="inlineStr">
        <is>
          <t>2026-04-16</t>
        </is>
      </c>
      <c r="D3545" s="9" t="inlineStr">
        <is>
          <t>43728090981324</t>
        </is>
      </c>
      <c r="E3545" s="9" t="inlineStr">
        <is>
          <t>PULSERA LOVE SILVER</t>
        </is>
      </c>
      <c r="F3545" s="9" t="inlineStr">
        <is>
          <t>18cm</t>
        </is>
      </c>
      <c r="G3545" s="9" t="n">
        <v>8</v>
      </c>
      <c r="H3545" s="21" t="n">
        <v>4.5</v>
      </c>
      <c r="I3545" s="21" t="n">
        <v>94.64</v>
      </c>
      <c r="J3545" s="21" t="n">
        <v>283.92</v>
      </c>
      <c r="K3545" s="21" t="n">
        <v>331.25</v>
      </c>
      <c r="L3545" s="21" t="n">
        <v>378.57</v>
      </c>
      <c r="M3545" s="21" t="n">
        <v>499</v>
      </c>
    </row>
    <row r="3546">
      <c r="A3546" s="9" t="inlineStr">
        <is>
          <t>HAIFENG</t>
        </is>
      </c>
      <c r="B3546" s="9" t="inlineStr">
        <is>
          <t>HAIFENG 16/04/2026</t>
        </is>
      </c>
      <c r="C3546" s="9" t="inlineStr">
        <is>
          <t>2026-04-16</t>
        </is>
      </c>
      <c r="D3546" s="9" t="inlineStr">
        <is>
          <t>43728091014092</t>
        </is>
      </c>
      <c r="E3546" s="9" t="inlineStr">
        <is>
          <t>PULSERA LOVE SILVER</t>
        </is>
      </c>
      <c r="F3546" s="9" t="inlineStr">
        <is>
          <t>19cm</t>
        </is>
      </c>
      <c r="G3546" s="9" t="n">
        <v>2</v>
      </c>
      <c r="H3546" s="21" t="n">
        <v>4.5</v>
      </c>
      <c r="I3546" s="21" t="n">
        <v>94.64</v>
      </c>
      <c r="J3546" s="21" t="n">
        <v>283.92</v>
      </c>
      <c r="K3546" s="21" t="n">
        <v>331.25</v>
      </c>
      <c r="L3546" s="21" t="n">
        <v>378.57</v>
      </c>
      <c r="M3546" s="21" t="n">
        <v>499</v>
      </c>
    </row>
    <row r="3547">
      <c r="A3547" s="9" t="inlineStr">
        <is>
          <t>HAIFENG</t>
        </is>
      </c>
      <c r="B3547" s="9" t="inlineStr">
        <is>
          <t>HAIFENG 16/04/2026</t>
        </is>
      </c>
      <c r="C3547" s="9" t="inlineStr">
        <is>
          <t>2026-04-16</t>
        </is>
      </c>
      <c r="D3547" s="9" t="inlineStr">
        <is>
          <t>43728091279628</t>
        </is>
      </c>
      <c r="E3547" s="9" t="inlineStr">
        <is>
          <t>PULSERA LOVE SILVER</t>
        </is>
      </c>
      <c r="F3547" s="9" t="inlineStr">
        <is>
          <t>21cm</t>
        </is>
      </c>
      <c r="G3547" s="9" t="n">
        <v>1</v>
      </c>
      <c r="H3547" s="21" t="n">
        <v>4.5</v>
      </c>
      <c r="I3547" s="21" t="n">
        <v>94.64</v>
      </c>
      <c r="J3547" s="21" t="n">
        <v>283.92</v>
      </c>
      <c r="K3547" s="21" t="n">
        <v>331.25</v>
      </c>
      <c r="L3547" s="21" t="n">
        <v>378.57</v>
      </c>
      <c r="M3547" s="21" t="n">
        <v>499</v>
      </c>
    </row>
    <row r="3548">
      <c r="A3548" s="9" t="inlineStr">
        <is>
          <t>HAIFENG</t>
        </is>
      </c>
      <c r="B3548" s="9" t="inlineStr">
        <is>
          <t>HAIFENG 16/04/2026</t>
        </is>
      </c>
      <c r="C3548" s="9" t="inlineStr">
        <is>
          <t>2026-04-16</t>
        </is>
      </c>
      <c r="D3548" s="9" t="inlineStr">
        <is>
          <t>22064321264653</t>
        </is>
      </c>
      <c r="E3548" s="9" t="inlineStr">
        <is>
          <t>PULSERA LOVE SILVER-BLACK MICROZIRCONIAS</t>
        </is>
      </c>
      <c r="F3548" s="9" t="inlineStr">
        <is>
          <t>18CM</t>
        </is>
      </c>
      <c r="G3548" s="9" t="n">
        <v>2</v>
      </c>
      <c r="H3548" s="21" t="n">
        <v>25</v>
      </c>
      <c r="I3548" s="21" t="n">
        <v>525.79</v>
      </c>
      <c r="J3548" s="21" t="n">
        <v>1577.36</v>
      </c>
      <c r="K3548" s="21" t="n">
        <v>1840.25</v>
      </c>
      <c r="L3548" s="21" t="n">
        <v>2103.15</v>
      </c>
      <c r="M3548" s="21" t="n">
        <v>2060</v>
      </c>
    </row>
    <row r="3549">
      <c r="A3549" s="9" t="inlineStr">
        <is>
          <t>HAIFENG</t>
        </is>
      </c>
      <c r="B3549" s="9" t="inlineStr">
        <is>
          <t>HAIFENG 16/04/2026</t>
        </is>
      </c>
      <c r="C3549" s="9" t="inlineStr">
        <is>
          <t>2026-04-16</t>
        </is>
      </c>
      <c r="D3549" s="9" t="inlineStr">
        <is>
          <t>74289381105805</t>
        </is>
      </c>
      <c r="E3549" s="9" t="inlineStr">
        <is>
          <t>PULSERA LOVE UNLIMITED ROSEGOLD</t>
        </is>
      </c>
      <c r="F3549" s="9" t="inlineStr">
        <is>
          <t>19</t>
        </is>
      </c>
      <c r="G3549" s="9" t="n">
        <v>5</v>
      </c>
      <c r="H3549" s="21" t="n">
        <v>15</v>
      </c>
      <c r="I3549" s="21" t="n">
        <v>315.47</v>
      </c>
      <c r="J3549" s="21" t="n">
        <v>946.42</v>
      </c>
      <c r="K3549" s="21" t="n">
        <v>1104.15</v>
      </c>
      <c r="L3549" s="21" t="n">
        <v>1261.89</v>
      </c>
      <c r="M3549" s="21" t="n">
        <v>1399</v>
      </c>
    </row>
    <row r="3550">
      <c r="A3550" s="9" t="inlineStr">
        <is>
          <t>HAIFENG</t>
        </is>
      </c>
      <c r="B3550" s="9" t="inlineStr">
        <is>
          <t>HAIFENG 16/04/2026</t>
        </is>
      </c>
      <c r="C3550" s="9" t="inlineStr">
        <is>
          <t>2026-04-16</t>
        </is>
      </c>
      <c r="D3550" s="9" t="inlineStr">
        <is>
          <t>74289381238573</t>
        </is>
      </c>
      <c r="E3550" s="9" t="inlineStr">
        <is>
          <t>PULSERA LOVE UNLIMITED ROSEGOLD</t>
        </is>
      </c>
      <c r="F3550" s="9" t="inlineStr">
        <is>
          <t>21</t>
        </is>
      </c>
      <c r="G3550" s="9" t="n">
        <v>1</v>
      </c>
      <c r="H3550" s="21" t="n">
        <v>15</v>
      </c>
      <c r="I3550" s="21" t="n">
        <v>315.47</v>
      </c>
      <c r="J3550" s="21" t="n">
        <v>946.42</v>
      </c>
      <c r="K3550" s="21" t="n">
        <v>1104.15</v>
      </c>
      <c r="L3550" s="21" t="n">
        <v>1261.89</v>
      </c>
      <c r="M3550" s="21" t="n">
        <v>1399</v>
      </c>
    </row>
    <row r="3551">
      <c r="A3551" s="9" t="inlineStr">
        <is>
          <t>HAIFENG</t>
        </is>
      </c>
      <c r="B3551" s="9" t="inlineStr">
        <is>
          <t>HAIFENG 16/04/2026</t>
        </is>
      </c>
      <c r="C3551" s="9" t="inlineStr">
        <is>
          <t>2026-04-16</t>
        </is>
      </c>
      <c r="D3551" s="9" t="inlineStr">
        <is>
          <t>70975151247725</t>
        </is>
      </c>
      <c r="E3551" s="9" t="inlineStr">
        <is>
          <t>PULSERA LOVE UNLIMITED SILVER</t>
        </is>
      </c>
      <c r="F3551" s="9" t="inlineStr">
        <is>
          <t>21</t>
        </is>
      </c>
      <c r="G3551" s="9" t="n">
        <v>9</v>
      </c>
      <c r="H3551" s="21" t="n">
        <v>15</v>
      </c>
      <c r="I3551" s="21" t="n">
        <v>315.47</v>
      </c>
      <c r="J3551" s="21" t="n">
        <v>946.42</v>
      </c>
      <c r="K3551" s="21" t="n">
        <v>1104.15</v>
      </c>
      <c r="L3551" s="21" t="n">
        <v>1261.89</v>
      </c>
      <c r="M3551" s="21" t="n">
        <v>1399</v>
      </c>
    </row>
    <row r="3552">
      <c r="A3552" s="9" t="inlineStr">
        <is>
          <t>HAIFENG</t>
        </is>
      </c>
      <c r="B3552" s="9" t="inlineStr">
        <is>
          <t>HAIFENG 16/04/2026</t>
        </is>
      </c>
      <c r="C3552" s="9" t="inlineStr">
        <is>
          <t>2026-04-16</t>
        </is>
      </c>
      <c r="D3552" s="9" t="inlineStr">
        <is>
          <t>15104861653453</t>
        </is>
      </c>
      <c r="E3552" s="9" t="inlineStr">
        <is>
          <t>PULSERA LV BLOSSOM ROSE GOLD RED</t>
        </is>
      </c>
      <c r="F3552" s="9" t="inlineStr">
        <is>
          <t>Default Title</t>
        </is>
      </c>
      <c r="G3552" s="9" t="n">
        <v>2</v>
      </c>
      <c r="H3552" s="21" t="n">
        <v>11</v>
      </c>
      <c r="I3552" s="21" t="n">
        <v>231.35</v>
      </c>
      <c r="J3552" s="21" t="n">
        <v>694.04</v>
      </c>
      <c r="K3552" s="21" t="n">
        <v>809.71</v>
      </c>
      <c r="L3552" s="21" t="n">
        <v>925.38</v>
      </c>
      <c r="M3552" s="21" t="n">
        <v>1199</v>
      </c>
    </row>
    <row r="3553">
      <c r="A3553" s="9" t="inlineStr">
        <is>
          <t>HAIFENG</t>
        </is>
      </c>
      <c r="B3553" s="9" t="inlineStr">
        <is>
          <t>HAIFENG 16/04/2026</t>
        </is>
      </c>
      <c r="C3553" s="9" t="inlineStr">
        <is>
          <t>2026-04-16</t>
        </is>
      </c>
      <c r="D3553" s="9" t="inlineStr">
        <is>
          <t>81078751264237</t>
        </is>
      </c>
      <c r="E3553" s="9" t="inlineStr">
        <is>
          <t>PULSERA LV BLOSSOM ROSEGOLD ZIRCONIAS</t>
        </is>
      </c>
      <c r="F3553" s="9" t="inlineStr">
        <is>
          <t>Default Title</t>
        </is>
      </c>
      <c r="G3553" s="9" t="n">
        <v>2</v>
      </c>
      <c r="H3553" s="21" t="n">
        <v>7</v>
      </c>
      <c r="I3553" s="21" t="n">
        <v>147.22</v>
      </c>
      <c r="J3553" s="21" t="n">
        <v>441.66</v>
      </c>
      <c r="K3553" s="21" t="n">
        <v>515.27</v>
      </c>
      <c r="L3553" s="21" t="n">
        <v>588.88</v>
      </c>
      <c r="M3553" s="21" t="n">
        <v>599</v>
      </c>
    </row>
    <row r="3554">
      <c r="A3554" s="9" t="inlineStr">
        <is>
          <t>HAIFENG</t>
        </is>
      </c>
      <c r="B3554" s="9" t="inlineStr">
        <is>
          <t>HAIFENG 16/04/2026</t>
        </is>
      </c>
      <c r="C3554" s="9" t="inlineStr">
        <is>
          <t>2026-04-16</t>
        </is>
      </c>
      <c r="D3554" s="9" t="inlineStr">
        <is>
          <t>14512841047597</t>
        </is>
      </c>
      <c r="E3554" s="9" t="inlineStr">
        <is>
          <t>PULSERA LV IDYLLE BLOSSOM GOLD</t>
        </is>
      </c>
      <c r="F3554" s="9" t="inlineStr">
        <is>
          <t>Default Title</t>
        </is>
      </c>
      <c r="G3554" s="9" t="n">
        <v>2</v>
      </c>
      <c r="H3554" s="21" t="n">
        <v>11</v>
      </c>
      <c r="I3554" s="21" t="n">
        <v>231.35</v>
      </c>
      <c r="J3554" s="21" t="n">
        <v>694.04</v>
      </c>
      <c r="K3554" s="21" t="n">
        <v>809.71</v>
      </c>
      <c r="L3554" s="21" t="n">
        <v>925.38</v>
      </c>
      <c r="M3554" s="21" t="n">
        <v>950</v>
      </c>
    </row>
    <row r="3555">
      <c r="A3555" s="9" t="inlineStr">
        <is>
          <t>HAIFENG</t>
        </is>
      </c>
      <c r="B3555" s="9" t="inlineStr">
        <is>
          <t>HAIFENG 16/04/2026</t>
        </is>
      </c>
      <c r="C3555" s="9" t="inlineStr">
        <is>
          <t>2026-04-16</t>
        </is>
      </c>
      <c r="D3555" s="9" t="inlineStr">
        <is>
          <t>57529861058989</t>
        </is>
      </c>
      <c r="E3555" s="9" t="inlineStr">
        <is>
          <t>PULSERA MM GOLD-BLACK</t>
        </is>
      </c>
      <c r="F3555" s="9" t="inlineStr">
        <is>
          <t>Default Title</t>
        </is>
      </c>
      <c r="G3555" s="9" t="n">
        <v>2</v>
      </c>
      <c r="H3555" s="21" t="n">
        <v>6.99</v>
      </c>
      <c r="I3555" s="21" t="n">
        <v>147.01</v>
      </c>
      <c r="J3555" s="21" t="n">
        <v>441.03</v>
      </c>
      <c r="K3555" s="21" t="n">
        <v>514.54</v>
      </c>
      <c r="L3555" s="21" t="n">
        <v>588.04</v>
      </c>
      <c r="M3555" s="21" t="n">
        <v>699</v>
      </c>
    </row>
    <row r="3556">
      <c r="A3556" s="9" t="inlineStr">
        <is>
          <t>HAIFENG</t>
        </is>
      </c>
      <c r="B3556" s="9" t="inlineStr">
        <is>
          <t>HAIFENG 16/04/2026</t>
        </is>
      </c>
      <c r="C3556" s="9" t="inlineStr">
        <is>
          <t>2026-04-16</t>
        </is>
      </c>
      <c r="D3556" s="9" t="inlineStr">
        <is>
          <t>12314363611117</t>
        </is>
      </c>
      <c r="E3556" s="9" t="inlineStr">
        <is>
          <t>PULSERA MM SILVER-WHITE</t>
        </is>
      </c>
      <c r="F3556" s="9" t="inlineStr">
        <is>
          <t>Default Title</t>
        </is>
      </c>
      <c r="G3556" s="9" t="n">
        <v>1</v>
      </c>
      <c r="H3556" s="21" t="n">
        <v>6.99</v>
      </c>
      <c r="I3556" s="21" t="n">
        <v>147.01</v>
      </c>
      <c r="J3556" s="21" t="n">
        <v>441.03</v>
      </c>
      <c r="K3556" s="21" t="n">
        <v>514.54</v>
      </c>
      <c r="L3556" s="21" t="n">
        <v>588.04</v>
      </c>
      <c r="M3556" s="21" t="n">
        <v>599</v>
      </c>
    </row>
    <row r="3557">
      <c r="A3557" s="9" t="inlineStr">
        <is>
          <t>HAIFENG</t>
        </is>
      </c>
      <c r="B3557" s="9" t="inlineStr">
        <is>
          <t>HAIFENG 16/04/2026</t>
        </is>
      </c>
      <c r="C3557" s="9" t="inlineStr">
        <is>
          <t>2026-04-16</t>
        </is>
      </c>
      <c r="D3557" s="9" t="inlineStr">
        <is>
          <t>66075802259373</t>
        </is>
      </c>
      <c r="E3557" s="9" t="inlineStr">
        <is>
          <t>PULSERA MONTAIGNE GOLD CD</t>
        </is>
      </c>
      <c r="F3557" s="9" t="inlineStr">
        <is>
          <t>20 CM</t>
        </is>
      </c>
      <c r="G3557" s="9" t="n">
        <v>2</v>
      </c>
      <c r="H3557" s="21" t="n">
        <v>7</v>
      </c>
      <c r="I3557" s="21" t="n">
        <v>147.22</v>
      </c>
      <c r="J3557" s="21" t="n">
        <v>441.66</v>
      </c>
      <c r="K3557" s="21" t="n">
        <v>515.27</v>
      </c>
      <c r="L3557" s="21" t="n">
        <v>588.88</v>
      </c>
      <c r="M3557" s="21" t="n">
        <v>599</v>
      </c>
    </row>
    <row r="3558">
      <c r="A3558" s="9" t="inlineStr">
        <is>
          <t>HAIFENG</t>
        </is>
      </c>
      <c r="B3558" s="9" t="inlineStr">
        <is>
          <t>HAIFENG 16/04/2026</t>
        </is>
      </c>
      <c r="C3558" s="9" t="inlineStr">
        <is>
          <t>2026-04-16</t>
        </is>
      </c>
      <c r="D3558" s="9" t="inlineStr">
        <is>
          <t>15554121796653</t>
        </is>
      </c>
      <c r="E3558" s="9" t="inlineStr">
        <is>
          <t>PULSERA MOVE CORDON PAVÉ</t>
        </is>
      </c>
      <c r="F3558" s="9" t="inlineStr">
        <is>
          <t>Default Title</t>
        </is>
      </c>
      <c r="G3558" s="9" t="n">
        <v>2</v>
      </c>
      <c r="H3558" s="21" t="n">
        <v>8</v>
      </c>
      <c r="I3558" s="21" t="n">
        <v>168.25</v>
      </c>
      <c r="J3558" s="21" t="n">
        <v>504.76</v>
      </c>
      <c r="K3558" s="21" t="n">
        <v>588.88</v>
      </c>
      <c r="L3558" s="21" t="n">
        <v>673.01</v>
      </c>
      <c r="M3558" s="21" t="n">
        <v>699</v>
      </c>
    </row>
    <row r="3559">
      <c r="A3559" s="9" t="inlineStr">
        <is>
          <t>HAIFENG</t>
        </is>
      </c>
      <c r="B3559" s="9" t="inlineStr">
        <is>
          <t>HAIFENG 16/04/2026</t>
        </is>
      </c>
      <c r="C3559" s="9" t="inlineStr">
        <is>
          <t>2026-04-16</t>
        </is>
      </c>
      <c r="D3559" s="9" t="inlineStr">
        <is>
          <t>82014673388812</t>
        </is>
      </c>
      <c r="E3559" s="9" t="inlineStr">
        <is>
          <t>PULSERA SMILE GOLD</t>
        </is>
      </c>
      <c r="F3559" s="9" t="inlineStr">
        <is>
          <t>16cm con extensión de 3cm</t>
        </is>
      </c>
      <c r="G3559" s="9" t="n">
        <v>7</v>
      </c>
      <c r="H3559" s="21" t="n">
        <v>7.5</v>
      </c>
      <c r="I3559" s="21" t="n">
        <v>157.74</v>
      </c>
      <c r="J3559" s="21" t="n">
        <v>473.21</v>
      </c>
      <c r="K3559" s="21" t="n">
        <v>552.08</v>
      </c>
      <c r="L3559" s="21" t="n">
        <v>630.9400000000001</v>
      </c>
      <c r="M3559" s="21" t="n">
        <v>649</v>
      </c>
    </row>
    <row r="3560">
      <c r="A3560" s="9" t="inlineStr">
        <is>
          <t>HAIFENG</t>
        </is>
      </c>
      <c r="B3560" s="9" t="inlineStr">
        <is>
          <t>HAIFENG 16/04/2026</t>
        </is>
      </c>
      <c r="C3560" s="9" t="inlineStr">
        <is>
          <t>2026-04-16</t>
        </is>
      </c>
      <c r="D3560" s="9" t="inlineStr">
        <is>
          <t>56481473329548</t>
        </is>
      </c>
      <c r="E3560" s="9" t="inlineStr">
        <is>
          <t>PULSERA T DE CUENTAS LOVE</t>
        </is>
      </c>
      <c r="F3560" s="9" t="inlineStr">
        <is>
          <t>17cm</t>
        </is>
      </c>
      <c r="G3560" s="9" t="n">
        <v>3</v>
      </c>
      <c r="H3560" s="21" t="n">
        <v>8</v>
      </c>
      <c r="I3560" s="21" t="n">
        <v>168.25</v>
      </c>
      <c r="J3560" s="21" t="n">
        <v>504.76</v>
      </c>
      <c r="K3560" s="21" t="n">
        <v>588.88</v>
      </c>
      <c r="L3560" s="21" t="n">
        <v>673.01</v>
      </c>
      <c r="M3560" s="21" t="n">
        <v>692</v>
      </c>
    </row>
    <row r="3561">
      <c r="A3561" s="9" t="inlineStr">
        <is>
          <t>HAIFENG</t>
        </is>
      </c>
      <c r="B3561" s="9" t="inlineStr">
        <is>
          <t>HAIFENG 16/04/2026</t>
        </is>
      </c>
      <c r="C3561" s="9" t="inlineStr">
        <is>
          <t>2026-04-16</t>
        </is>
      </c>
      <c r="D3561" s="9" t="inlineStr">
        <is>
          <t>40154172642541</t>
        </is>
      </c>
      <c r="E3561" s="9" t="inlineStr">
        <is>
          <t>PULSERA T ROSE GOLD PEARL ZIRCONIAS</t>
        </is>
      </c>
      <c r="F3561" s="9" t="inlineStr">
        <is>
          <t>Default Title</t>
        </is>
      </c>
      <c r="G3561" s="9" t="n">
        <v>3</v>
      </c>
      <c r="H3561" s="21" t="n">
        <v>6</v>
      </c>
      <c r="I3561" s="21" t="n">
        <v>126.19</v>
      </c>
      <c r="J3561" s="21" t="n">
        <v>378.57</v>
      </c>
      <c r="K3561" s="21" t="n">
        <v>441.66</v>
      </c>
      <c r="L3561" s="21" t="n">
        <v>504.76</v>
      </c>
      <c r="M3561" s="21" t="n">
        <v>500</v>
      </c>
    </row>
    <row r="3562">
      <c r="A3562" s="9" t="inlineStr">
        <is>
          <t>HAIFENG</t>
        </is>
      </c>
      <c r="B3562" s="9" t="inlineStr">
        <is>
          <t>HAIFENG 16/04/2026</t>
        </is>
      </c>
      <c r="C3562" s="9" t="inlineStr">
        <is>
          <t>2026-04-16</t>
        </is>
      </c>
      <c r="D3562" s="9" t="inlineStr">
        <is>
          <t>6453fd2f11ef1</t>
        </is>
      </c>
      <c r="E3562" s="9" t="inlineStr">
        <is>
          <t>PULSERA TREBOL GOLD BLACK VF</t>
        </is>
      </c>
      <c r="F3562" s="9" t="inlineStr">
        <is>
          <t>20cm</t>
        </is>
      </c>
      <c r="G3562" s="9" t="n">
        <v>8</v>
      </c>
      <c r="H3562" s="21" t="n">
        <v>7</v>
      </c>
      <c r="I3562" s="21" t="n">
        <v>147.22</v>
      </c>
      <c r="J3562" s="21" t="n">
        <v>441.66</v>
      </c>
      <c r="K3562" s="21" t="n">
        <v>515.27</v>
      </c>
      <c r="L3562" s="21" t="n">
        <v>588.88</v>
      </c>
      <c r="M3562" s="21" t="n">
        <v>599</v>
      </c>
    </row>
    <row r="3563">
      <c r="A3563" s="9" t="inlineStr">
        <is>
          <t>HAIFENG</t>
        </is>
      </c>
      <c r="B3563" s="9" t="inlineStr">
        <is>
          <t>HAIFENG 16/04/2026</t>
        </is>
      </c>
      <c r="C3563" s="9" t="inlineStr">
        <is>
          <t>2026-04-16</t>
        </is>
      </c>
      <c r="D3563" s="9" t="inlineStr">
        <is>
          <t>29852177262732</t>
        </is>
      </c>
      <c r="E3563" s="9" t="inlineStr">
        <is>
          <t>PULSERA TREBOL GOLD VF</t>
        </is>
      </c>
      <c r="F3563" s="9" t="inlineStr">
        <is>
          <t>18cm</t>
        </is>
      </c>
      <c r="G3563" s="9" t="n">
        <v>5</v>
      </c>
      <c r="H3563" s="21" t="n">
        <v>7</v>
      </c>
      <c r="I3563" s="21" t="n">
        <v>147.22</v>
      </c>
      <c r="J3563" s="21" t="n">
        <v>441.66</v>
      </c>
      <c r="K3563" s="21" t="n">
        <v>515.27</v>
      </c>
      <c r="L3563" s="21" t="n">
        <v>588.88</v>
      </c>
      <c r="M3563" s="21" t="n">
        <v>900</v>
      </c>
    </row>
    <row r="3564">
      <c r="A3564" s="9" t="inlineStr">
        <is>
          <t>HAIFENG</t>
        </is>
      </c>
      <c r="B3564" s="9" t="inlineStr">
        <is>
          <t>HAIFENG 16/04/2026</t>
        </is>
      </c>
      <c r="C3564" s="9" t="inlineStr">
        <is>
          <t>2026-04-16</t>
        </is>
      </c>
      <c r="D3564" s="9" t="inlineStr">
        <is>
          <t>43728135385740</t>
        </is>
      </c>
      <c r="E3564" s="9" t="inlineStr">
        <is>
          <t>PULSERA TRÉBOL GOLD-GREEN VF</t>
        </is>
      </c>
      <c r="F3564" s="9" t="inlineStr">
        <is>
          <t>18cm</t>
        </is>
      </c>
      <c r="G3564" s="9" t="n">
        <v>7</v>
      </c>
      <c r="H3564" s="21" t="n">
        <v>7</v>
      </c>
      <c r="I3564" s="21" t="n">
        <v>147.22</v>
      </c>
      <c r="J3564" s="21" t="n">
        <v>441.66</v>
      </c>
      <c r="K3564" s="21" t="n">
        <v>515.27</v>
      </c>
      <c r="L3564" s="21" t="n">
        <v>588.88</v>
      </c>
      <c r="M3564" s="21" t="n">
        <v>599</v>
      </c>
    </row>
    <row r="3565">
      <c r="A3565" s="9" t="inlineStr">
        <is>
          <t>HAIFENG</t>
        </is>
      </c>
      <c r="B3565" s="9" t="inlineStr">
        <is>
          <t>HAIFENG 16/04/2026</t>
        </is>
      </c>
      <c r="C3565" s="9" t="inlineStr">
        <is>
          <t>2026-04-16</t>
        </is>
      </c>
      <c r="D3565" s="9" t="inlineStr">
        <is>
          <t>6617745150ec8</t>
        </is>
      </c>
      <c r="E3565" s="9" t="inlineStr">
        <is>
          <t>PULSERA TRÉBOL SILVER BLACK VF</t>
        </is>
      </c>
      <c r="F3565" s="9" t="inlineStr">
        <is>
          <t>20cm</t>
        </is>
      </c>
      <c r="G3565" s="9" t="n">
        <v>1</v>
      </c>
      <c r="H3565" s="21" t="n">
        <v>7</v>
      </c>
      <c r="I3565" s="21" t="n">
        <v>147.22</v>
      </c>
      <c r="J3565" s="21" t="n">
        <v>441.66</v>
      </c>
      <c r="K3565" s="21" t="n">
        <v>515.27</v>
      </c>
      <c r="L3565" s="21" t="n">
        <v>588.88</v>
      </c>
      <c r="M3565" s="21" t="n">
        <v>599</v>
      </c>
    </row>
    <row r="3566">
      <c r="A3566" s="9" t="inlineStr">
        <is>
          <t>HAIFENG</t>
        </is>
      </c>
      <c r="B3566" s="9" t="inlineStr">
        <is>
          <t>HAIFENG 16/04/2026</t>
        </is>
      </c>
      <c r="C3566" s="9" t="inlineStr">
        <is>
          <t>2026-04-16</t>
        </is>
      </c>
      <c r="D3566" s="9" t="inlineStr">
        <is>
          <t>654bdb8083165</t>
        </is>
      </c>
      <c r="E3566" s="9" t="inlineStr">
        <is>
          <t>PULSERA TRÉBOL SILVER VF</t>
        </is>
      </c>
      <c r="F3566" s="9" t="inlineStr">
        <is>
          <t>20cm</t>
        </is>
      </c>
      <c r="G3566" s="9" t="n">
        <v>15</v>
      </c>
      <c r="H3566" s="21" t="n">
        <v>7</v>
      </c>
      <c r="I3566" s="21" t="n">
        <v>147.22</v>
      </c>
      <c r="J3566" s="21" t="n">
        <v>441.66</v>
      </c>
      <c r="K3566" s="21" t="n">
        <v>515.27</v>
      </c>
      <c r="L3566" s="21" t="n">
        <v>588.88</v>
      </c>
      <c r="M3566" s="21" t="n">
        <v>1286</v>
      </c>
    </row>
    <row r="3567">
      <c r="A3567" s="9" t="inlineStr">
        <is>
          <t>HAIFENG</t>
        </is>
      </c>
      <c r="B3567" s="9" t="inlineStr">
        <is>
          <t>HAIFENG 16/04/2026</t>
        </is>
      </c>
      <c r="C3567" s="9" t="inlineStr">
        <is>
          <t>2026-04-16</t>
        </is>
      </c>
      <c r="D3567" s="9" t="inlineStr">
        <is>
          <t>95854381428141</t>
        </is>
      </c>
      <c r="E3567" s="9" t="inlineStr">
        <is>
          <t>PULSERA VF FRIVOLE</t>
        </is>
      </c>
      <c r="F3567" s="9" t="inlineStr">
        <is>
          <t>Default Title</t>
        </is>
      </c>
      <c r="G3567" s="9" t="n">
        <v>3</v>
      </c>
      <c r="H3567" s="21" t="n">
        <v>6</v>
      </c>
      <c r="I3567" s="21" t="n">
        <v>126.19</v>
      </c>
      <c r="J3567" s="21" t="n">
        <v>378.57</v>
      </c>
      <c r="K3567" s="21" t="n">
        <v>441.66</v>
      </c>
      <c r="L3567" s="21" t="n">
        <v>504.76</v>
      </c>
      <c r="M3567" s="21" t="n">
        <v>499</v>
      </c>
    </row>
    <row r="3568">
      <c r="A3568" s="9" t="inlineStr">
        <is>
          <t>HAIFENG</t>
        </is>
      </c>
      <c r="B3568" s="9" t="inlineStr">
        <is>
          <t>HAIFENG 16/04/2026</t>
        </is>
      </c>
      <c r="C3568" s="9" t="inlineStr">
        <is>
          <t>2026-04-16</t>
        </is>
      </c>
      <c r="D3568" s="9" t="inlineStr">
        <is>
          <t>95854381684653</t>
        </is>
      </c>
      <c r="E3568" s="9" t="inlineStr">
        <is>
          <t>PULSERA VF LUCKY SPRING SINGLE ROSE GOLD</t>
        </is>
      </c>
      <c r="F3568" s="9" t="inlineStr">
        <is>
          <t>Default Title</t>
        </is>
      </c>
      <c r="G3568" s="9" t="n">
        <v>3</v>
      </c>
      <c r="H3568" s="21" t="n">
        <v>4</v>
      </c>
      <c r="I3568" s="21" t="n">
        <v>84.13</v>
      </c>
      <c r="J3568" s="21" t="n">
        <v>252.38</v>
      </c>
      <c r="K3568" s="21" t="n">
        <v>294.44</v>
      </c>
      <c r="L3568" s="21" t="n">
        <v>336.5</v>
      </c>
      <c r="M3568" s="21" t="n">
        <v>400</v>
      </c>
    </row>
    <row r="3569">
      <c r="A3569" s="9" t="inlineStr">
        <is>
          <t>HAIFENG</t>
        </is>
      </c>
      <c r="B3569" s="9" t="inlineStr">
        <is>
          <t>HAIFENG 16/04/2026</t>
        </is>
      </c>
      <c r="C3569" s="9" t="inlineStr">
        <is>
          <t>2026-04-16</t>
        </is>
      </c>
      <c r="D3569" s="9" t="inlineStr">
        <is>
          <t>95854381581261</t>
        </is>
      </c>
      <c r="E3569" s="9" t="inlineStr">
        <is>
          <t>PULSERA VF VINTAGE ALHAMBRA</t>
        </is>
      </c>
      <c r="F3569" s="9" t="inlineStr">
        <is>
          <t>Default Title</t>
        </is>
      </c>
      <c r="G3569" s="9" t="n">
        <v>3</v>
      </c>
      <c r="H3569" s="21" t="n">
        <v>7</v>
      </c>
      <c r="I3569" s="21" t="n">
        <v>147.22</v>
      </c>
      <c r="J3569" s="21" t="n">
        <v>441.66</v>
      </c>
      <c r="K3569" s="21" t="n">
        <v>515.27</v>
      </c>
      <c r="L3569" s="21" t="n">
        <v>588.88</v>
      </c>
      <c r="M3569" s="21" t="n">
        <v>599</v>
      </c>
    </row>
    <row r="3570">
      <c r="A3570" s="9" t="inlineStr">
        <is>
          <t>ZOEY</t>
        </is>
      </c>
      <c r="B3570" s="9" t="inlineStr">
        <is>
          <t>ZOEY 20/04/2026</t>
        </is>
      </c>
      <c r="C3570" s="9" t="inlineStr">
        <is>
          <t>2026-04-20</t>
        </is>
      </c>
      <c r="D3570" s="9" t="inlineStr">
        <is>
          <t>66148671022797</t>
        </is>
      </c>
      <c r="E3570" s="9" t="inlineStr">
        <is>
          <t>ARETES CD GOLD BLACK CON ZIRCONIA</t>
        </is>
      </c>
      <c r="F3570" s="9" t="inlineStr">
        <is>
          <t>Default Title</t>
        </is>
      </c>
      <c r="G3570" s="9" t="n">
        <v>2</v>
      </c>
      <c r="H3570" s="21" t="n">
        <v>9</v>
      </c>
      <c r="I3570" s="21" t="n">
        <v>230.48</v>
      </c>
      <c r="J3570" s="21" t="n">
        <v>691.4400000000001</v>
      </c>
      <c r="K3570" s="21" t="n">
        <v>806.6799999999999</v>
      </c>
      <c r="L3570" s="21" t="n">
        <v>921.92</v>
      </c>
      <c r="M3570" s="21" t="n">
        <v>925</v>
      </c>
    </row>
    <row r="3571">
      <c r="A3571" s="9" t="inlineStr">
        <is>
          <t>ZOEY</t>
        </is>
      </c>
      <c r="B3571" s="9" t="inlineStr">
        <is>
          <t>ZOEY 20/04/2026</t>
        </is>
      </c>
      <c r="C3571" s="9" t="inlineStr">
        <is>
          <t>2026-04-20</t>
        </is>
      </c>
      <c r="D3571" s="9" t="inlineStr">
        <is>
          <t>85409401017325</t>
        </is>
      </c>
      <c r="E3571" s="9" t="inlineStr">
        <is>
          <t>ARETES F OVAL GOLD CON ZIRCONIA</t>
        </is>
      </c>
      <c r="F3571" s="9" t="inlineStr">
        <is>
          <t>Default Title</t>
        </is>
      </c>
      <c r="G3571" s="9" t="n">
        <v>2</v>
      </c>
      <c r="H3571" s="21" t="n">
        <v>8</v>
      </c>
      <c r="I3571" s="21" t="n">
        <v>204.87</v>
      </c>
      <c r="J3571" s="21" t="n">
        <v>614.61</v>
      </c>
      <c r="K3571" s="21" t="n">
        <v>717.05</v>
      </c>
      <c r="L3571" s="21" t="n">
        <v>819.48</v>
      </c>
      <c r="M3571" s="21" t="n">
        <v>850</v>
      </c>
    </row>
    <row r="3572">
      <c r="A3572" s="9" t="inlineStr">
        <is>
          <t>ZOEY</t>
        </is>
      </c>
      <c r="B3572" s="9" t="inlineStr">
        <is>
          <t>ZOEY 20/04/2026</t>
        </is>
      </c>
      <c r="C3572" s="9" t="inlineStr">
        <is>
          <t>2026-04-20</t>
        </is>
      </c>
      <c r="D3572" s="9" t="inlineStr">
        <is>
          <t>93378841117453</t>
        </is>
      </c>
      <c r="E3572" s="9" t="inlineStr">
        <is>
          <t>BALLERINAS CC BEIGE BLACK</t>
        </is>
      </c>
      <c r="F3572" s="9" t="inlineStr">
        <is>
          <t>24-cm</t>
        </is>
      </c>
      <c r="G3572" s="9" t="n">
        <v>1</v>
      </c>
      <c r="H3572" s="21" t="n">
        <v>55</v>
      </c>
      <c r="I3572" s="21" t="n">
        <v>1408.48</v>
      </c>
      <c r="J3572" s="21" t="n">
        <v>4225.45</v>
      </c>
      <c r="K3572" s="21" t="n">
        <v>4929.69</v>
      </c>
      <c r="L3572" s="21" t="n">
        <v>5633.93</v>
      </c>
      <c r="M3572" s="21" t="n">
        <v>5840</v>
      </c>
    </row>
    <row r="3573">
      <c r="A3573" s="9" t="inlineStr">
        <is>
          <t>ZOEY</t>
        </is>
      </c>
      <c r="B3573" s="9" t="inlineStr">
        <is>
          <t>ZOEY 20/04/2026</t>
        </is>
      </c>
      <c r="C3573" s="9" t="inlineStr">
        <is>
          <t>2026-04-20</t>
        </is>
      </c>
      <c r="D3573" s="9" t="inlineStr">
        <is>
          <t>93378841641677</t>
        </is>
      </c>
      <c r="E3573" s="9" t="inlineStr">
        <is>
          <t>BALLERINAS PR BLACK CON LOGO</t>
        </is>
      </c>
      <c r="F3573" s="9" t="inlineStr">
        <is>
          <t>25-cm</t>
        </is>
      </c>
      <c r="G3573" s="9" t="n">
        <v>1</v>
      </c>
      <c r="H3573" s="21" t="n">
        <v>58</v>
      </c>
      <c r="I3573" s="21" t="n">
        <v>1485.31</v>
      </c>
      <c r="J3573" s="21" t="n">
        <v>4455.93</v>
      </c>
      <c r="K3573" s="21" t="n">
        <v>5198.58</v>
      </c>
      <c r="L3573" s="21" t="n">
        <v>5941.24</v>
      </c>
      <c r="M3573" s="21" t="n">
        <v>5949</v>
      </c>
    </row>
    <row r="3574">
      <c r="A3574" s="9" t="inlineStr">
        <is>
          <t>ZOEY</t>
        </is>
      </c>
      <c r="B3574" s="9" t="inlineStr">
        <is>
          <t>ZOEY 20/04/2026</t>
        </is>
      </c>
      <c r="C3574" s="9" t="inlineStr">
        <is>
          <t>2026-04-20</t>
        </is>
      </c>
      <c r="D3574" s="9" t="inlineStr">
        <is>
          <t>58450831080173</t>
        </is>
      </c>
      <c r="E3574" s="9" t="inlineStr">
        <is>
          <t>BOLSA DE RAQUETA LLM CREAM</t>
        </is>
      </c>
      <c r="F3574" s="9" t="inlineStr">
        <is>
          <t>Default Title</t>
        </is>
      </c>
      <c r="G3574" s="9" t="n">
        <v>6</v>
      </c>
      <c r="H3574" s="21" t="n">
        <v>30</v>
      </c>
      <c r="I3574" s="21" t="n">
        <v>768.26</v>
      </c>
      <c r="J3574" s="21" t="n">
        <v>2304.79</v>
      </c>
      <c r="K3574" s="21" t="n">
        <v>2688.92</v>
      </c>
      <c r="L3574" s="21" t="n">
        <v>3073.05</v>
      </c>
      <c r="M3574" s="21" t="n">
        <v>3079</v>
      </c>
    </row>
    <row r="3575">
      <c r="A3575" s="9" t="inlineStr">
        <is>
          <t>ZOEY</t>
        </is>
      </c>
      <c r="B3575" s="9" t="inlineStr">
        <is>
          <t>ZOEY 20/04/2026</t>
        </is>
      </c>
      <c r="C3575" s="9" t="inlineStr">
        <is>
          <t>2026-04-20</t>
        </is>
      </c>
      <c r="D3575" s="9" t="inlineStr">
        <is>
          <t>64e78f8c69235</t>
        </is>
      </c>
      <c r="E3575" s="9" t="inlineStr">
        <is>
          <t>BOLSA GC WHITE</t>
        </is>
      </c>
      <c r="F3575" s="9" t="inlineStr">
        <is>
          <t>22.5.cmx15cm</t>
        </is>
      </c>
      <c r="G3575" s="9" t="n">
        <v>7</v>
      </c>
      <c r="H3575" s="21" t="n">
        <v>56</v>
      </c>
      <c r="I3575" s="21" t="n">
        <v>1434.09</v>
      </c>
      <c r="J3575" s="21" t="n">
        <v>4302.27</v>
      </c>
      <c r="K3575" s="21" t="n">
        <v>5019.32</v>
      </c>
      <c r="L3575" s="21" t="n">
        <v>5736.37</v>
      </c>
      <c r="M3575" s="21" t="n">
        <v>5739</v>
      </c>
    </row>
    <row r="3576">
      <c r="A3576" s="9" t="inlineStr">
        <is>
          <t>ZOEY</t>
        </is>
      </c>
      <c r="B3576" s="9" t="inlineStr">
        <is>
          <t>ZOEY 20/04/2026</t>
        </is>
      </c>
      <c r="C3576" s="9" t="inlineStr">
        <is>
          <t>2026-04-20</t>
        </is>
      </c>
      <c r="D3576" s="9" t="inlineStr">
        <is>
          <t>62571331097101</t>
        </is>
      </c>
      <c r="E3576" s="9" t="inlineStr">
        <is>
          <t>BOLSA LLM BLACK</t>
        </is>
      </c>
      <c r="F3576" s="9" t="inlineStr">
        <is>
          <t>Default Title</t>
        </is>
      </c>
      <c r="G3576" s="9" t="n">
        <v>6</v>
      </c>
      <c r="H3576" s="21" t="n">
        <v>8</v>
      </c>
      <c r="I3576" s="21" t="n">
        <v>204.87</v>
      </c>
      <c r="J3576" s="21" t="n">
        <v>614.61</v>
      </c>
      <c r="K3576" s="21" t="n">
        <v>717.05</v>
      </c>
      <c r="L3576" s="21" t="n">
        <v>819.48</v>
      </c>
      <c r="M3576" s="21" t="n">
        <v>667</v>
      </c>
    </row>
    <row r="3577">
      <c r="A3577" s="9" t="inlineStr">
        <is>
          <t>ZOEY</t>
        </is>
      </c>
      <c r="B3577" s="9" t="inlineStr">
        <is>
          <t>ZOEY 20/04/2026</t>
        </is>
      </c>
      <c r="C3577" s="9" t="inlineStr">
        <is>
          <t>2026-04-20</t>
        </is>
      </c>
      <c r="D3577" s="9" t="inlineStr">
        <is>
          <t>52394691046605</t>
        </is>
      </c>
      <c r="E3577" s="9" t="inlineStr">
        <is>
          <t>BOLSA NANO NOÉ LV BROWN</t>
        </is>
      </c>
      <c r="F3577" s="9" t="inlineStr">
        <is>
          <t>13 cm de largo x 16 cm de alto x 10cm de ancho</t>
        </is>
      </c>
      <c r="G3577" s="9" t="n">
        <v>6</v>
      </c>
      <c r="H3577" s="21" t="n">
        <v>20</v>
      </c>
      <c r="I3577" s="21" t="n">
        <v>512.1799999999999</v>
      </c>
      <c r="J3577" s="21" t="n">
        <v>1536.53</v>
      </c>
      <c r="K3577" s="21" t="n">
        <v>1792.61</v>
      </c>
      <c r="L3577" s="21" t="n">
        <v>2048.7</v>
      </c>
      <c r="M3577" s="21" t="n">
        <v>2049</v>
      </c>
    </row>
    <row r="3578">
      <c r="A3578" s="9" t="inlineStr">
        <is>
          <t>ZOEY</t>
        </is>
      </c>
      <c r="B3578" s="9" t="inlineStr">
        <is>
          <t>ZOEY 20/04/2026</t>
        </is>
      </c>
      <c r="C3578" s="9" t="inlineStr">
        <is>
          <t>2026-04-20</t>
        </is>
      </c>
      <c r="D3578" s="9" t="inlineStr">
        <is>
          <t>46281181071009</t>
        </is>
      </c>
      <c r="E3578" s="9" t="inlineStr">
        <is>
          <t>BOLSA YSL WHITE</t>
        </is>
      </c>
      <c r="F3578" s="9" t="inlineStr">
        <is>
          <t>NUDE 24cm x 15cm</t>
        </is>
      </c>
      <c r="G3578" s="9" t="n">
        <v>1</v>
      </c>
      <c r="H3578" s="21" t="n">
        <v>52</v>
      </c>
      <c r="I3578" s="21" t="n">
        <v>1331.66</v>
      </c>
      <c r="J3578" s="21" t="n">
        <v>3994.97</v>
      </c>
      <c r="K3578" s="21" t="n">
        <v>4660.8</v>
      </c>
      <c r="L3578" s="21" t="n">
        <v>5326.63</v>
      </c>
      <c r="M3578" s="21" t="n">
        <v>4660</v>
      </c>
    </row>
    <row r="3579">
      <c r="A3579" s="9" t="inlineStr">
        <is>
          <t>ZOEY</t>
        </is>
      </c>
      <c r="B3579" s="9" t="inlineStr">
        <is>
          <t>ZOEY 20/04/2026</t>
        </is>
      </c>
      <c r="C3579" s="9" t="inlineStr">
        <is>
          <t>2026-04-20</t>
        </is>
      </c>
      <c r="D3579" s="9" t="inlineStr">
        <is>
          <t>94350549840780</t>
        </is>
      </c>
      <c r="E3579" s="9" t="inlineStr">
        <is>
          <t>BOLSO A TIEDIE</t>
        </is>
      </c>
      <c r="F3579" s="9" t="inlineStr">
        <is>
          <t>32cm de alto x 47.5cm de largo x 18cm de ancho</t>
        </is>
      </c>
      <c r="G3579" s="9" t="n">
        <v>4</v>
      </c>
      <c r="H3579" s="21" t="n">
        <v>10</v>
      </c>
      <c r="I3579" s="21" t="n">
        <v>256.09</v>
      </c>
      <c r="J3579" s="21" t="n">
        <v>768.26</v>
      </c>
      <c r="K3579" s="21" t="n">
        <v>896.3099999999999</v>
      </c>
      <c r="L3579" s="21" t="n">
        <v>1024.35</v>
      </c>
      <c r="M3579" s="21" t="n">
        <v>1069</v>
      </c>
    </row>
    <row r="3580">
      <c r="A3580" s="9" t="inlineStr">
        <is>
          <t>ZOEY</t>
        </is>
      </c>
      <c r="B3580" s="9" t="inlineStr">
        <is>
          <t>ZOEY 20/04/2026</t>
        </is>
      </c>
      <c r="C3580" s="9" t="inlineStr">
        <is>
          <t>2026-04-20</t>
        </is>
      </c>
      <c r="D3580" s="9" t="inlineStr">
        <is>
          <t>66581df1de94d</t>
        </is>
      </c>
      <c r="E3580" s="9" t="inlineStr">
        <is>
          <t>BOLSO B BLACK</t>
        </is>
      </c>
      <c r="F3580" s="9" t="inlineStr">
        <is>
          <t>17cm de largo x 11cm de alto x 8.3cm de ancho</t>
        </is>
      </c>
      <c r="G3580" s="9" t="n">
        <v>1</v>
      </c>
      <c r="H3580" s="21" t="n">
        <v>45</v>
      </c>
      <c r="I3580" s="21" t="n">
        <v>1152.4</v>
      </c>
      <c r="J3580" s="21" t="n">
        <v>3457.19</v>
      </c>
      <c r="K3580" s="21" t="n">
        <v>4033.38</v>
      </c>
      <c r="L3580" s="21" t="n">
        <v>4609.58</v>
      </c>
      <c r="M3580" s="21" t="n">
        <v>4609</v>
      </c>
    </row>
    <row r="3581">
      <c r="A3581" s="9" t="inlineStr">
        <is>
          <t>ZOEY</t>
        </is>
      </c>
      <c r="B3581" s="9" t="inlineStr">
        <is>
          <t>ZOEY 20/04/2026</t>
        </is>
      </c>
      <c r="C3581" s="9" t="inlineStr">
        <is>
          <t>2026-04-20</t>
        </is>
      </c>
      <c r="D3581" s="9" t="inlineStr">
        <is>
          <t>654bdbcfddee8</t>
        </is>
      </c>
      <c r="E3581" s="9" t="inlineStr">
        <is>
          <t>BOLSO B BLACK LISA</t>
        </is>
      </c>
      <c r="F3581" s="9" t="inlineStr">
        <is>
          <t>17cm de largo x 11cm de alto x 8.3cm de ancho</t>
        </is>
      </c>
      <c r="G3581" s="9" t="n">
        <v>1</v>
      </c>
      <c r="H3581" s="21" t="n">
        <v>45</v>
      </c>
      <c r="I3581" s="21" t="n">
        <v>1152.4</v>
      </c>
      <c r="J3581" s="21" t="n">
        <v>3457.19</v>
      </c>
      <c r="K3581" s="21" t="n">
        <v>4033.38</v>
      </c>
      <c r="L3581" s="21" t="n">
        <v>4609.58</v>
      </c>
      <c r="M3581" s="21" t="n">
        <v>4039</v>
      </c>
    </row>
    <row r="3582">
      <c r="A3582" s="9" t="inlineStr">
        <is>
          <t>ZOEY</t>
        </is>
      </c>
      <c r="B3582" s="9" t="inlineStr">
        <is>
          <t>ZOEY 20/04/2026</t>
        </is>
      </c>
      <c r="C3582" s="9" t="inlineStr">
        <is>
          <t>2026-04-20</t>
        </is>
      </c>
      <c r="D3582" s="9" t="inlineStr">
        <is>
          <t>17416232396428</t>
        </is>
      </c>
      <c r="E3582" s="9" t="inlineStr">
        <is>
          <t>BOLSO CD TOTE</t>
        </is>
      </c>
      <c r="F3582" s="9" t="inlineStr">
        <is>
          <t>36.5cm x 28cm x 10cm</t>
        </is>
      </c>
      <c r="G3582" s="9" t="n">
        <v>1</v>
      </c>
      <c r="H3582" s="21" t="n"/>
      <c r="I3582" s="21" t="n">
        <v>0</v>
      </c>
      <c r="J3582" s="21" t="n">
        <v>0</v>
      </c>
      <c r="K3582" s="21" t="n">
        <v>0</v>
      </c>
      <c r="L3582" s="21" t="n">
        <v>0</v>
      </c>
      <c r="M3582" s="21" t="n">
        <v>4069</v>
      </c>
    </row>
    <row r="3583">
      <c r="A3583" s="9" t="inlineStr">
        <is>
          <t>ZOEY</t>
        </is>
      </c>
      <c r="B3583" s="9" t="inlineStr">
        <is>
          <t>ZOEY 20/04/2026</t>
        </is>
      </c>
      <c r="C3583" s="9" t="inlineStr">
        <is>
          <t>2026-04-20</t>
        </is>
      </c>
      <c r="D3583" s="9" t="inlineStr">
        <is>
          <t>43728136587308</t>
        </is>
      </c>
      <c r="E3583" s="9" t="inlineStr">
        <is>
          <t>BOLSO DE VIAJE LV BLACK</t>
        </is>
      </c>
      <c r="F3583" s="9" t="inlineStr">
        <is>
          <t>HIGH QUALITY</t>
        </is>
      </c>
      <c r="G3583" s="9" t="n">
        <v>5</v>
      </c>
      <c r="H3583" s="21" t="n">
        <v>55</v>
      </c>
      <c r="I3583" s="21" t="n">
        <v>1408.48</v>
      </c>
      <c r="J3583" s="21" t="n">
        <v>4225.45</v>
      </c>
      <c r="K3583" s="21" t="n">
        <v>4929.69</v>
      </c>
      <c r="L3583" s="21" t="n">
        <v>5633.93</v>
      </c>
      <c r="M3583" s="21" t="n">
        <v>4999</v>
      </c>
    </row>
    <row r="3584">
      <c r="A3584" s="9" t="inlineStr">
        <is>
          <t>ZOEY</t>
        </is>
      </c>
      <c r="B3584" s="9" t="inlineStr">
        <is>
          <t>ZOEY 20/04/2026</t>
        </is>
      </c>
      <c r="C3584" s="9" t="inlineStr">
        <is>
          <t>2026-04-20</t>
        </is>
      </c>
      <c r="D3584" s="9" t="inlineStr">
        <is>
          <t>34163623006797</t>
        </is>
      </c>
      <c r="E3584" s="9" t="inlineStr">
        <is>
          <t>BOLSO F BAGUETTE TEJIDO</t>
        </is>
      </c>
      <c r="F3584" s="9" t="inlineStr">
        <is>
          <t>Default Title</t>
        </is>
      </c>
      <c r="G3584" s="9" t="n">
        <v>2</v>
      </c>
      <c r="H3584" s="21" t="n">
        <v>46</v>
      </c>
      <c r="I3584" s="21" t="n">
        <v>1178</v>
      </c>
      <c r="J3584" s="21" t="n">
        <v>3534.01</v>
      </c>
      <c r="K3584" s="21" t="n">
        <v>4123.01</v>
      </c>
      <c r="L3584" s="21" t="n">
        <v>4712.02</v>
      </c>
      <c r="M3584" s="21" t="n">
        <v>4680</v>
      </c>
    </row>
    <row r="3585">
      <c r="A3585" s="9" t="inlineStr">
        <is>
          <t>ZOEY</t>
        </is>
      </c>
      <c r="B3585" s="9" t="inlineStr">
        <is>
          <t>ZOEY 20/04/2026</t>
        </is>
      </c>
      <c r="C3585" s="9" t="inlineStr">
        <is>
          <t>2026-04-20</t>
        </is>
      </c>
      <c r="D3585" s="9" t="inlineStr">
        <is>
          <t>6701d2514beab</t>
        </is>
      </c>
      <c r="E3585" s="9" t="inlineStr">
        <is>
          <t>BOLSO F FENDIGRAPHY</t>
        </is>
      </c>
      <c r="F3585" s="9" t="inlineStr">
        <is>
          <t>24cm de largo x 19cm de alto x 8cm de ancho</t>
        </is>
      </c>
      <c r="G3585" s="9" t="n">
        <v>2</v>
      </c>
      <c r="H3585" s="21" t="n">
        <v>65</v>
      </c>
      <c r="I3585" s="21" t="n">
        <v>1664.57</v>
      </c>
      <c r="J3585" s="21" t="n">
        <v>4993.71</v>
      </c>
      <c r="K3585" s="21" t="n">
        <v>5826</v>
      </c>
      <c r="L3585" s="21" t="n">
        <v>6658.28</v>
      </c>
      <c r="M3585" s="21" t="n">
        <v>5826</v>
      </c>
    </row>
    <row r="3586">
      <c r="A3586" s="9" t="inlineStr">
        <is>
          <t>ZOEY</t>
        </is>
      </c>
      <c r="B3586" s="9" t="inlineStr">
        <is>
          <t>ZOEY 20/04/2026</t>
        </is>
      </c>
      <c r="C3586" s="9" t="inlineStr">
        <is>
          <t>2026-04-20</t>
        </is>
      </c>
      <c r="D3586" s="9" t="inlineStr">
        <is>
          <t>91345322411533</t>
        </is>
      </c>
      <c r="E3586" s="9" t="inlineStr">
        <is>
          <t>BOLSO F MON TRESOR</t>
        </is>
      </c>
      <c r="F3586" s="9" t="inlineStr">
        <is>
          <t>Default Title</t>
        </is>
      </c>
      <c r="G3586" s="9" t="n">
        <v>2</v>
      </c>
      <c r="H3586" s="21" t="n">
        <v>52</v>
      </c>
      <c r="I3586" s="21" t="n">
        <v>1331.66</v>
      </c>
      <c r="J3586" s="21" t="n">
        <v>3994.97</v>
      </c>
      <c r="K3586" s="21" t="n">
        <v>4660.8</v>
      </c>
      <c r="L3586" s="21" t="n">
        <v>5326.63</v>
      </c>
      <c r="M3586" s="21" t="n">
        <v>5099</v>
      </c>
    </row>
    <row r="3587">
      <c r="A3587" s="9" t="inlineStr">
        <is>
          <t>ZOEY</t>
        </is>
      </c>
      <c r="B3587" s="9" t="inlineStr">
        <is>
          <t>ZOEY 20/04/2026</t>
        </is>
      </c>
      <c r="C3587" s="9" t="inlineStr">
        <is>
          <t>2026-04-20</t>
        </is>
      </c>
      <c r="D3587" s="9" t="inlineStr">
        <is>
          <t>34163623137869</t>
        </is>
      </c>
      <c r="E3587" s="9" t="inlineStr">
        <is>
          <t>BOLSO F SUNSHINE BLACK</t>
        </is>
      </c>
      <c r="F3587" s="9" t="inlineStr">
        <is>
          <t>Default Title</t>
        </is>
      </c>
      <c r="G3587" s="9" t="n">
        <v>2</v>
      </c>
      <c r="H3587" s="21" t="n">
        <v>56</v>
      </c>
      <c r="I3587" s="21" t="n">
        <v>1434.09</v>
      </c>
      <c r="J3587" s="21" t="n">
        <v>4302.27</v>
      </c>
      <c r="K3587" s="21" t="n">
        <v>5019.32</v>
      </c>
      <c r="L3587" s="21" t="n">
        <v>5736.37</v>
      </c>
      <c r="M3587" s="21" t="n">
        <v>5019</v>
      </c>
    </row>
    <row r="3588">
      <c r="A3588" s="9" t="inlineStr">
        <is>
          <t>ZOEY</t>
        </is>
      </c>
      <c r="B3588" s="9" t="inlineStr">
        <is>
          <t>ZOEY 20/04/2026</t>
        </is>
      </c>
      <c r="C3588" s="9" t="inlineStr">
        <is>
          <t>2026-04-20</t>
        </is>
      </c>
      <c r="D3588" s="9" t="inlineStr">
        <is>
          <t>64e78f8d3897d</t>
        </is>
      </c>
      <c r="E3588" s="9" t="inlineStr">
        <is>
          <t>BOLSO GC BROWN</t>
        </is>
      </c>
      <c r="F3588" s="9" t="inlineStr">
        <is>
          <t>22.5.cmx15cm</t>
        </is>
      </c>
      <c r="G3588" s="9" t="n">
        <v>8</v>
      </c>
      <c r="H3588" s="21" t="n">
        <v>56</v>
      </c>
      <c r="I3588" s="21" t="n">
        <v>1434.09</v>
      </c>
      <c r="J3588" s="21" t="n">
        <v>4302.27</v>
      </c>
      <c r="K3588" s="21" t="n">
        <v>5019.32</v>
      </c>
      <c r="L3588" s="21" t="n">
        <v>5736.37</v>
      </c>
      <c r="M3588" s="21" t="n">
        <v>5019</v>
      </c>
    </row>
    <row r="3589">
      <c r="A3589" s="9" t="inlineStr">
        <is>
          <t>ZOEY</t>
        </is>
      </c>
      <c r="B3589" s="9" t="inlineStr">
        <is>
          <t>ZOEY 20/04/2026</t>
        </is>
      </c>
      <c r="C3589" s="9" t="inlineStr">
        <is>
          <t>2026-04-20</t>
        </is>
      </c>
      <c r="D3589" s="9" t="inlineStr">
        <is>
          <t>99781782406413</t>
        </is>
      </c>
      <c r="E3589" s="9" t="inlineStr">
        <is>
          <t>BOLSO GC BUCKET EMBLEM</t>
        </is>
      </c>
      <c r="F3589" s="9" t="inlineStr">
        <is>
          <t>Default Title</t>
        </is>
      </c>
      <c r="G3589" s="9" t="n">
        <v>3</v>
      </c>
      <c r="H3589" s="21" t="n">
        <v>58</v>
      </c>
      <c r="I3589" s="21" t="n">
        <v>1485.31</v>
      </c>
      <c r="J3589" s="21" t="n">
        <v>4455.93</v>
      </c>
      <c r="K3589" s="21" t="n">
        <v>5198.58</v>
      </c>
      <c r="L3589" s="21" t="n">
        <v>5941.24</v>
      </c>
      <c r="M3589" s="21" t="n">
        <v>5699</v>
      </c>
    </row>
    <row r="3590">
      <c r="A3590" s="9" t="inlineStr">
        <is>
          <t>ZOEY</t>
        </is>
      </c>
      <c r="B3590" s="9" t="inlineStr">
        <is>
          <t>ZOEY 20/04/2026</t>
        </is>
      </c>
      <c r="C3590" s="9" t="inlineStr">
        <is>
          <t>2026-04-20</t>
        </is>
      </c>
      <c r="D3590" s="9" t="inlineStr">
        <is>
          <t>66958009110540</t>
        </is>
      </c>
      <c r="E3590" s="9" t="inlineStr">
        <is>
          <t>BOLSO LADY D JOY BLACK</t>
        </is>
      </c>
      <c r="F3590" s="9" t="inlineStr">
        <is>
          <t>22cm de largo x 11.5cm dde alto x 6.8cm de ancho (REMATE)</t>
        </is>
      </c>
      <c r="G3590" s="9" t="n">
        <v>2</v>
      </c>
      <c r="H3590" s="21" t="n">
        <v>56</v>
      </c>
      <c r="I3590" s="21" t="n">
        <v>1434.09</v>
      </c>
      <c r="J3590" s="21" t="n">
        <v>4302.27</v>
      </c>
      <c r="K3590" s="21" t="n">
        <v>5019.32</v>
      </c>
      <c r="L3590" s="21" t="n">
        <v>5736.37</v>
      </c>
      <c r="M3590" s="21" t="n">
        <v>5019</v>
      </c>
    </row>
    <row r="3591">
      <c r="A3591" s="9" t="inlineStr">
        <is>
          <t>ZOEY</t>
        </is>
      </c>
      <c r="B3591" s="9" t="inlineStr">
        <is>
          <t>ZOEY 20/04/2026</t>
        </is>
      </c>
      <c r="C3591" s="9" t="inlineStr">
        <is>
          <t>2026-04-20</t>
        </is>
      </c>
      <c r="D3591" s="9" t="inlineStr">
        <is>
          <t>43124053803148</t>
        </is>
      </c>
      <c r="E3591" s="9" t="inlineStr">
        <is>
          <t>BOLSO LADY D JOY BLACK</t>
        </is>
      </c>
      <c r="F3591" s="9" t="inlineStr">
        <is>
          <t>25.5cm de largo x 14cm de alto x 6.8cm de ancho</t>
        </is>
      </c>
      <c r="G3591" s="9" t="n">
        <v>2</v>
      </c>
      <c r="H3591" s="21" t="n">
        <v>56</v>
      </c>
      <c r="I3591" s="21" t="n">
        <v>1434.09</v>
      </c>
      <c r="J3591" s="21" t="n">
        <v>4302.27</v>
      </c>
      <c r="K3591" s="21" t="n">
        <v>5019.32</v>
      </c>
      <c r="L3591" s="21" t="n">
        <v>5736.37</v>
      </c>
      <c r="M3591" s="21" t="n">
        <v>5219</v>
      </c>
    </row>
    <row r="3592">
      <c r="A3592" s="9" t="inlineStr">
        <is>
          <t>ZOEY</t>
        </is>
      </c>
      <c r="B3592" s="9" t="inlineStr">
        <is>
          <t>ZOEY 20/04/2026</t>
        </is>
      </c>
      <c r="C3592" s="9" t="inlineStr">
        <is>
          <t>2026-04-20</t>
        </is>
      </c>
      <c r="D3592" s="9" t="inlineStr">
        <is>
          <t>43124053803148</t>
        </is>
      </c>
      <c r="E3592" s="9" t="inlineStr">
        <is>
          <t>BOLSO LADY D JOY BLACK</t>
        </is>
      </c>
      <c r="F3592" s="9" t="inlineStr">
        <is>
          <t>25.5cm de largo x 14cm de alto x 6.8cm de ancho</t>
        </is>
      </c>
      <c r="G3592" s="9" t="n">
        <v>4</v>
      </c>
      <c r="H3592" s="21" t="n"/>
      <c r="I3592" s="21" t="n">
        <v>0</v>
      </c>
      <c r="J3592" s="21" t="n">
        <v>0</v>
      </c>
      <c r="K3592" s="21" t="n">
        <v>0</v>
      </c>
      <c r="L3592" s="21" t="n">
        <v>0</v>
      </c>
      <c r="M3592" s="21" t="n">
        <v>5219</v>
      </c>
    </row>
    <row r="3593">
      <c r="A3593" s="9" t="inlineStr">
        <is>
          <t>ZOEY</t>
        </is>
      </c>
      <c r="B3593" s="9" t="inlineStr">
        <is>
          <t>ZOEY 20/04/2026</t>
        </is>
      </c>
      <c r="C3593" s="9" t="inlineStr">
        <is>
          <t>2026-04-20</t>
        </is>
      </c>
      <c r="D3593" s="9" t="inlineStr">
        <is>
          <t>37319811028493</t>
        </is>
      </c>
      <c r="E3593" s="9" t="inlineStr">
        <is>
          <t>BOLSO LADY D NUDE</t>
        </is>
      </c>
      <c r="F3593" s="9" t="inlineStr">
        <is>
          <t>15 cm alto x 17.5 cm de largo x 8 cm de ancho</t>
        </is>
      </c>
      <c r="G3593" s="9" t="n">
        <v>1</v>
      </c>
      <c r="H3593" s="21" t="n">
        <v>56</v>
      </c>
      <c r="I3593" s="21" t="n">
        <v>1434.09</v>
      </c>
      <c r="J3593" s="21" t="n">
        <v>4302.27</v>
      </c>
      <c r="K3593" s="21" t="n">
        <v>5019.32</v>
      </c>
      <c r="L3593" s="21" t="n">
        <v>5736.37</v>
      </c>
      <c r="M3593" s="21" t="n">
        <v>5739</v>
      </c>
    </row>
    <row r="3594">
      <c r="A3594" s="9" t="inlineStr">
        <is>
          <t>ZOEY</t>
        </is>
      </c>
      <c r="B3594" s="9" t="inlineStr">
        <is>
          <t>ZOEY 20/04/2026</t>
        </is>
      </c>
      <c r="C3594" s="9" t="inlineStr">
        <is>
          <t>2026-04-20</t>
        </is>
      </c>
      <c r="D3594" s="9" t="inlineStr">
        <is>
          <t>66581dfb2f7ce</t>
        </is>
      </c>
      <c r="E3594" s="9" t="inlineStr">
        <is>
          <t>BOLSO LADY D NUDE</t>
        </is>
      </c>
      <c r="F3594" s="9" t="inlineStr">
        <is>
          <t>17cm de largo x 20cm largo x 8cm de ancho</t>
        </is>
      </c>
      <c r="G3594" s="9" t="n">
        <v>1</v>
      </c>
      <c r="H3594" s="21" t="n">
        <v>56</v>
      </c>
      <c r="I3594" s="21" t="n">
        <v>1434.09</v>
      </c>
      <c r="J3594" s="21" t="n">
        <v>4302.27</v>
      </c>
      <c r="K3594" s="21" t="n">
        <v>5019.32</v>
      </c>
      <c r="L3594" s="21" t="n">
        <v>5736.37</v>
      </c>
      <c r="M3594" s="21" t="n">
        <v>5940</v>
      </c>
    </row>
    <row r="3595">
      <c r="A3595" s="9" t="inlineStr">
        <is>
          <t>ZOEY</t>
        </is>
      </c>
      <c r="B3595" s="9" t="inlineStr">
        <is>
          <t>ZOEY 20/04/2026</t>
        </is>
      </c>
      <c r="C3595" s="9" t="inlineStr">
        <is>
          <t>2026-04-20</t>
        </is>
      </c>
      <c r="D3595" s="9" t="inlineStr">
        <is>
          <t>66581dfb2f7ce</t>
        </is>
      </c>
      <c r="E3595" s="9" t="inlineStr">
        <is>
          <t>BOLSO LADY D NUDE</t>
        </is>
      </c>
      <c r="F3595" s="9" t="inlineStr">
        <is>
          <t>17cm de largo x 20cm largo x 8cm de ancho</t>
        </is>
      </c>
      <c r="G3595" s="9" t="n">
        <v>1</v>
      </c>
      <c r="H3595" s="21" t="n"/>
      <c r="I3595" s="21" t="n">
        <v>0</v>
      </c>
      <c r="J3595" s="21" t="n">
        <v>0</v>
      </c>
      <c r="K3595" s="21" t="n">
        <v>0</v>
      </c>
      <c r="L3595" s="21" t="n">
        <v>0</v>
      </c>
      <c r="M3595" s="21" t="n">
        <v>5940</v>
      </c>
    </row>
    <row r="3596">
      <c r="A3596" s="9" t="inlineStr">
        <is>
          <t>ZOEY</t>
        </is>
      </c>
      <c r="B3596" s="9" t="inlineStr">
        <is>
          <t>ZOEY 20/04/2026</t>
        </is>
      </c>
      <c r="C3596" s="9" t="inlineStr">
        <is>
          <t>2026-04-20</t>
        </is>
      </c>
      <c r="D3596" s="9" t="inlineStr">
        <is>
          <t>654bdb2a8966e</t>
        </is>
      </c>
      <c r="E3596" s="9" t="inlineStr">
        <is>
          <t>BOLSO LADY D WHITE</t>
        </is>
      </c>
      <c r="F3596" s="9" t="inlineStr">
        <is>
          <t>23.5cm de largo x 20.5cm largo x 12.5cm de ancho</t>
        </is>
      </c>
      <c r="G3596" s="9" t="n">
        <v>1</v>
      </c>
      <c r="H3596" s="21" t="n">
        <v>56</v>
      </c>
      <c r="I3596" s="21" t="n">
        <v>1434.09</v>
      </c>
      <c r="J3596" s="21" t="n">
        <v>4302.27</v>
      </c>
      <c r="K3596" s="21" t="n">
        <v>5019.32</v>
      </c>
      <c r="L3596" s="21" t="n">
        <v>5736.37</v>
      </c>
      <c r="M3596" s="21" t="n">
        <v>5739</v>
      </c>
    </row>
    <row r="3597">
      <c r="A3597" s="9" t="inlineStr">
        <is>
          <t>ZOEY</t>
        </is>
      </c>
      <c r="B3597" s="9" t="inlineStr">
        <is>
          <t>ZOEY 20/04/2026</t>
        </is>
      </c>
      <c r="C3597" s="9" t="inlineStr">
        <is>
          <t>2026-04-20</t>
        </is>
      </c>
      <c r="D3597" s="9" t="inlineStr">
        <is>
          <t>6701d24d46b00</t>
        </is>
      </c>
      <c r="E3597" s="9" t="inlineStr">
        <is>
          <t>BOLSO LV CAPUCINES</t>
        </is>
      </c>
      <c r="F3597" s="9" t="inlineStr">
        <is>
          <t>26.5cm de largo x 18cm de alto x 9cm de ancho</t>
        </is>
      </c>
      <c r="G3597" s="9" t="n">
        <v>3</v>
      </c>
      <c r="H3597" s="21" t="n">
        <v>58</v>
      </c>
      <c r="I3597" s="21" t="n">
        <v>1485.31</v>
      </c>
      <c r="J3597" s="21" t="n">
        <v>4455.93</v>
      </c>
      <c r="K3597" s="21" t="n">
        <v>5198.58</v>
      </c>
      <c r="L3597" s="21" t="n">
        <v>5941.24</v>
      </c>
      <c r="M3597" s="21" t="n">
        <v>5199</v>
      </c>
    </row>
    <row r="3598">
      <c r="A3598" s="9" t="inlineStr">
        <is>
          <t>ZOEY</t>
        </is>
      </c>
      <c r="B3598" s="9" t="inlineStr">
        <is>
          <t>ZOEY 20/04/2026</t>
        </is>
      </c>
      <c r="C3598" s="9" t="inlineStr">
        <is>
          <t>2026-04-20</t>
        </is>
      </c>
      <c r="D3598" s="9" t="inlineStr">
        <is>
          <t>93098783094061</t>
        </is>
      </c>
      <c r="E3598" s="9" t="inlineStr">
        <is>
          <t>BOLSO LV POCHETTE FELICIE</t>
        </is>
      </c>
      <c r="F3598" s="9" t="inlineStr">
        <is>
          <t>Default Title</t>
        </is>
      </c>
      <c r="G3598" s="9" t="n">
        <v>3</v>
      </c>
      <c r="H3598" s="21" t="n">
        <v>21</v>
      </c>
      <c r="I3598" s="21" t="n">
        <v>537.78</v>
      </c>
      <c r="J3598" s="21" t="n">
        <v>1613.35</v>
      </c>
      <c r="K3598" s="21" t="n">
        <v>1882.25</v>
      </c>
      <c r="L3598" s="21" t="n">
        <v>2151.14</v>
      </c>
      <c r="M3598" s="21" t="n">
        <v>2500</v>
      </c>
    </row>
    <row r="3599">
      <c r="A3599" s="9" t="inlineStr">
        <is>
          <t>ZOEY</t>
        </is>
      </c>
      <c r="B3599" s="9" t="inlineStr">
        <is>
          <t>ZOEY 20/04/2026</t>
        </is>
      </c>
      <c r="C3599" s="9" t="inlineStr">
        <is>
          <t>2026-04-20</t>
        </is>
      </c>
      <c r="D3599" s="9" t="inlineStr">
        <is>
          <t>17872087535244</t>
        </is>
      </c>
      <c r="E3599" s="9" t="inlineStr">
        <is>
          <t>BOLSO LW ANAGRAM</t>
        </is>
      </c>
      <c r="F3599" s="9" t="inlineStr">
        <is>
          <t>50cm x 26cm x 15cm</t>
        </is>
      </c>
      <c r="G3599" s="9" t="n">
        <v>8</v>
      </c>
      <c r="H3599" s="21" t="n">
        <v>35</v>
      </c>
      <c r="I3599" s="21" t="n">
        <v>896.3099999999999</v>
      </c>
      <c r="J3599" s="21" t="n">
        <v>2688.92</v>
      </c>
      <c r="K3599" s="21" t="n">
        <v>3137.08</v>
      </c>
      <c r="L3599" s="21" t="n">
        <v>3585.23</v>
      </c>
      <c r="M3599" s="21" t="n">
        <v>3780</v>
      </c>
    </row>
    <row r="3600">
      <c r="A3600" s="9" t="inlineStr">
        <is>
          <t>ZOEY</t>
        </is>
      </c>
      <c r="B3600" s="9" t="inlineStr">
        <is>
          <t>ZOEY 20/04/2026</t>
        </is>
      </c>
      <c r="C3600" s="9" t="inlineStr">
        <is>
          <t>2026-04-20</t>
        </is>
      </c>
      <c r="D3600" s="9" t="inlineStr">
        <is>
          <t>6701d1d077e13</t>
        </is>
      </c>
      <c r="E3600" s="9" t="inlineStr">
        <is>
          <t>BOLSO MM HOBO OFF WHITE CHAROL</t>
        </is>
      </c>
      <c r="F3600" s="9" t="inlineStr">
        <is>
          <t>20.5cm de largo x 16cm de alto (sin incluir la correa) x 6cm de ancho</t>
        </is>
      </c>
      <c r="G3600" s="9" t="n">
        <v>2</v>
      </c>
      <c r="H3600" s="21" t="n">
        <v>65</v>
      </c>
      <c r="I3600" s="21" t="n">
        <v>1664.57</v>
      </c>
      <c r="J3600" s="21" t="n">
        <v>4993.71</v>
      </c>
      <c r="K3600" s="21" t="n">
        <v>5826</v>
      </c>
      <c r="L3600" s="21" t="n">
        <v>6658.28</v>
      </c>
      <c r="M3600" s="21" t="n">
        <v>5826</v>
      </c>
    </row>
    <row r="3601">
      <c r="A3601" s="9" t="inlineStr">
        <is>
          <t>ZOEY</t>
        </is>
      </c>
      <c r="B3601" s="9" t="inlineStr">
        <is>
          <t>ZOEY 20/04/2026</t>
        </is>
      </c>
      <c r="C3601" s="9" t="inlineStr">
        <is>
          <t>2026-04-20</t>
        </is>
      </c>
      <c r="D3601" s="9" t="inlineStr">
        <is>
          <t>6701d185d4f38</t>
        </is>
      </c>
      <c r="E3601" s="9" t="inlineStr">
        <is>
          <t>BOLSO MM WANDER BLACK</t>
        </is>
      </c>
      <c r="F3601" s="9" t="inlineStr">
        <is>
          <t>20cm de alto x 21cm de largo x 8cm de ancho</t>
        </is>
      </c>
      <c r="G3601" s="9" t="n">
        <v>2</v>
      </c>
      <c r="H3601" s="21" t="n">
        <v>48</v>
      </c>
      <c r="I3601" s="21" t="n">
        <v>1229.22</v>
      </c>
      <c r="J3601" s="21" t="n">
        <v>3687.66</v>
      </c>
      <c r="K3601" s="21" t="n">
        <v>4302.27</v>
      </c>
      <c r="L3601" s="21" t="n">
        <v>4916.89</v>
      </c>
      <c r="M3601" s="21" t="n">
        <v>4310</v>
      </c>
    </row>
    <row r="3602">
      <c r="A3602" s="9" t="inlineStr">
        <is>
          <t>ZOEY</t>
        </is>
      </c>
      <c r="B3602" s="9" t="inlineStr">
        <is>
          <t>ZOEY 20/04/2026</t>
        </is>
      </c>
      <c r="C3602" s="9" t="inlineStr">
        <is>
          <t>2026-04-20</t>
        </is>
      </c>
      <c r="D3602" s="9" t="inlineStr">
        <is>
          <t>34163622788685</t>
        </is>
      </c>
      <c r="E3602" s="9" t="inlineStr">
        <is>
          <t>BOLSO YSL ICARINO NAPA BLACK</t>
        </is>
      </c>
      <c r="F3602" s="9" t="inlineStr">
        <is>
          <t>Default Title</t>
        </is>
      </c>
      <c r="G3602" s="9" t="n">
        <v>2</v>
      </c>
      <c r="H3602" s="21" t="n">
        <v>55</v>
      </c>
      <c r="I3602" s="21" t="n">
        <v>1408.48</v>
      </c>
      <c r="J3602" s="21" t="n">
        <v>4225.45</v>
      </c>
      <c r="K3602" s="21" t="n">
        <v>4929.69</v>
      </c>
      <c r="L3602" s="21" t="n">
        <v>5633.93</v>
      </c>
      <c r="M3602" s="21" t="n">
        <v>5399</v>
      </c>
    </row>
    <row r="3603">
      <c r="A3603" s="9" t="inlineStr">
        <is>
          <t>ZOEY</t>
        </is>
      </c>
      <c r="B3603" s="9" t="inlineStr">
        <is>
          <t>ZOEY 20/04/2026</t>
        </is>
      </c>
      <c r="C3603" s="9" t="inlineStr">
        <is>
          <t>2026-04-20</t>
        </is>
      </c>
      <c r="D3603" s="9" t="inlineStr">
        <is>
          <t>48915671011501</t>
        </is>
      </c>
      <c r="E3603" s="9" t="inlineStr">
        <is>
          <t>CAMISETA CD OBLIQUE BLACK</t>
        </is>
      </c>
      <c r="F3603" s="9" t="inlineStr">
        <is>
          <t>L OVERSIZE</t>
        </is>
      </c>
      <c r="G3603" s="9" t="n">
        <v>1</v>
      </c>
      <c r="H3603" s="21" t="n">
        <v>27</v>
      </c>
      <c r="I3603" s="21" t="n">
        <v>691.4400000000001</v>
      </c>
      <c r="J3603" s="21" t="n">
        <v>2074.31</v>
      </c>
      <c r="K3603" s="21" t="n">
        <v>2420.03</v>
      </c>
      <c r="L3603" s="21" t="n">
        <v>2765.75</v>
      </c>
      <c r="M3603" s="21" t="n">
        <v>2769</v>
      </c>
    </row>
    <row r="3604">
      <c r="A3604" s="9" t="inlineStr">
        <is>
          <t>ZOEY</t>
        </is>
      </c>
      <c r="B3604" s="9" t="inlineStr">
        <is>
          <t>ZOEY 20/04/2026</t>
        </is>
      </c>
      <c r="C3604" s="9" t="inlineStr">
        <is>
          <t>2026-04-20</t>
        </is>
      </c>
      <c r="D3604" s="9" t="inlineStr">
        <is>
          <t>48915671144269</t>
        </is>
      </c>
      <c r="E3604" s="9" t="inlineStr">
        <is>
          <t>CAMISETA CD OBLIQUE BLACK</t>
        </is>
      </c>
      <c r="F3604" s="9" t="inlineStr">
        <is>
          <t>M OVERSIZE</t>
        </is>
      </c>
      <c r="G3604" s="9" t="n">
        <v>1</v>
      </c>
      <c r="H3604" s="21" t="n">
        <v>27</v>
      </c>
      <c r="I3604" s="21" t="n">
        <v>691.4400000000001</v>
      </c>
      <c r="J3604" s="21" t="n">
        <v>2074.31</v>
      </c>
      <c r="K3604" s="21" t="n">
        <v>2420.03</v>
      </c>
      <c r="L3604" s="21" t="n">
        <v>2765.75</v>
      </c>
      <c r="M3604" s="21" t="n">
        <v>2769</v>
      </c>
    </row>
    <row r="3605">
      <c r="A3605" s="9" t="inlineStr">
        <is>
          <t>ZOEY</t>
        </is>
      </c>
      <c r="B3605" s="9" t="inlineStr">
        <is>
          <t>ZOEY 20/04/2026</t>
        </is>
      </c>
      <c r="C3605" s="9" t="inlineStr">
        <is>
          <t>2026-04-20</t>
        </is>
      </c>
      <c r="D3605" s="9" t="inlineStr">
        <is>
          <t>34163621960461</t>
        </is>
      </c>
      <c r="E3605" s="9" t="inlineStr">
        <is>
          <t>CARTERA F BAGUETTE BLACK</t>
        </is>
      </c>
      <c r="F3605" s="9" t="inlineStr">
        <is>
          <t>HIGH QUALITY</t>
        </is>
      </c>
      <c r="G3605" s="9" t="n">
        <v>2</v>
      </c>
      <c r="H3605" s="21" t="n">
        <v>46</v>
      </c>
      <c r="I3605" s="21" t="n">
        <v>1178</v>
      </c>
      <c r="J3605" s="21" t="n">
        <v>3534.01</v>
      </c>
      <c r="K3605" s="21" t="n">
        <v>4123.01</v>
      </c>
      <c r="L3605" s="21" t="n">
        <v>4712.02</v>
      </c>
      <c r="M3605" s="21" t="n">
        <v>4719</v>
      </c>
    </row>
    <row r="3606">
      <c r="A3606" s="9" t="inlineStr">
        <is>
          <t>ZOEY</t>
        </is>
      </c>
      <c r="B3606" s="9" t="inlineStr">
        <is>
          <t>ZOEY 20/04/2026</t>
        </is>
      </c>
      <c r="C3606" s="9" t="inlineStr">
        <is>
          <t>2026-04-20</t>
        </is>
      </c>
      <c r="D3606" s="9" t="inlineStr">
        <is>
          <t>34163622017517</t>
        </is>
      </c>
      <c r="E3606" s="9" t="inlineStr">
        <is>
          <t>CARTERA F BAGUETTE WHITE</t>
        </is>
      </c>
      <c r="F3606" s="9" t="inlineStr">
        <is>
          <t>HIGH QUALITY</t>
        </is>
      </c>
      <c r="G3606" s="9" t="n">
        <v>2</v>
      </c>
      <c r="H3606" s="21" t="n">
        <v>52</v>
      </c>
      <c r="I3606" s="21" t="n">
        <v>1331.66</v>
      </c>
      <c r="J3606" s="21" t="n">
        <v>3994.97</v>
      </c>
      <c r="K3606" s="21" t="n">
        <v>4660.8</v>
      </c>
      <c r="L3606" s="21" t="n">
        <v>5326.63</v>
      </c>
      <c r="M3606" s="21" t="n">
        <v>4660</v>
      </c>
    </row>
    <row r="3607">
      <c r="A3607" s="9" t="inlineStr">
        <is>
          <t>ZOEY</t>
        </is>
      </c>
      <c r="B3607" s="9" t="inlineStr">
        <is>
          <t>ZOEY 20/04/2026</t>
        </is>
      </c>
      <c r="C3607" s="9" t="inlineStr">
        <is>
          <t>2026-04-20</t>
        </is>
      </c>
      <c r="D3607" s="9" t="inlineStr">
        <is>
          <t>99781781554989</t>
        </is>
      </c>
      <c r="E3607" s="9" t="inlineStr">
        <is>
          <t>CARTERA GC CADENA OPHIDIA</t>
        </is>
      </c>
      <c r="F3607" s="9" t="inlineStr">
        <is>
          <t>Default Title</t>
        </is>
      </c>
      <c r="G3607" s="9" t="n">
        <v>2</v>
      </c>
      <c r="H3607" s="21" t="n">
        <v>27</v>
      </c>
      <c r="I3607" s="21" t="n">
        <v>691.4400000000001</v>
      </c>
      <c r="J3607" s="21" t="n">
        <v>2074.31</v>
      </c>
      <c r="K3607" s="21" t="n">
        <v>2420.03</v>
      </c>
      <c r="L3607" s="21" t="n">
        <v>2765.75</v>
      </c>
      <c r="M3607" s="21" t="n">
        <v>2869</v>
      </c>
    </row>
    <row r="3608">
      <c r="A3608" s="9" t="inlineStr">
        <is>
          <t>ZOEY</t>
        </is>
      </c>
      <c r="B3608" s="9" t="inlineStr">
        <is>
          <t>ZOEY 20/04/2026</t>
        </is>
      </c>
      <c r="C3608" s="9" t="inlineStr">
        <is>
          <t>2026-04-20</t>
        </is>
      </c>
      <c r="D3608" s="9" t="inlineStr">
        <is>
          <t>99781781282669</t>
        </is>
      </c>
      <c r="E3608" s="9" t="inlineStr">
        <is>
          <t>CARTERA GC CONTINENTAL BICOLOR</t>
        </is>
      </c>
      <c r="F3608" s="9" t="inlineStr">
        <is>
          <t>Default Title</t>
        </is>
      </c>
      <c r="G3608" s="9" t="n">
        <v>2</v>
      </c>
      <c r="H3608" s="21" t="n">
        <v>27</v>
      </c>
      <c r="I3608" s="21" t="n">
        <v>691.4400000000001</v>
      </c>
      <c r="J3608" s="21" t="n">
        <v>2074.31</v>
      </c>
      <c r="K3608" s="21" t="n">
        <v>2420.03</v>
      </c>
      <c r="L3608" s="21" t="n">
        <v>2765.75</v>
      </c>
      <c r="M3608" s="21" t="n">
        <v>2869</v>
      </c>
    </row>
    <row r="3609">
      <c r="A3609" s="9" t="inlineStr">
        <is>
          <t>ZOEY</t>
        </is>
      </c>
      <c r="B3609" s="9" t="inlineStr">
        <is>
          <t>ZOEY 20/04/2026</t>
        </is>
      </c>
      <c r="C3609" s="9" t="inlineStr">
        <is>
          <t>2026-04-20</t>
        </is>
      </c>
      <c r="D3609" s="9" t="inlineStr">
        <is>
          <t>43728085897228</t>
        </is>
      </c>
      <c r="E3609" s="9" t="inlineStr">
        <is>
          <t>CARTERA GC OPHIDIA</t>
        </is>
      </c>
      <c r="F3609" s="9" t="inlineStr">
        <is>
          <t>12cm de largo x 10cm de alto</t>
        </is>
      </c>
      <c r="G3609" s="9" t="n">
        <v>1</v>
      </c>
      <c r="H3609" s="21" t="n">
        <v>18</v>
      </c>
      <c r="I3609" s="21" t="n">
        <v>460.96</v>
      </c>
      <c r="J3609" s="21" t="n">
        <v>1382.87</v>
      </c>
      <c r="K3609" s="21" t="n">
        <v>1613.35</v>
      </c>
      <c r="L3609" s="21" t="n">
        <v>1843.83</v>
      </c>
      <c r="M3609" s="21" t="n">
        <v>1849</v>
      </c>
    </row>
    <row r="3610">
      <c r="A3610" s="9" t="inlineStr">
        <is>
          <t>ZOEY</t>
        </is>
      </c>
      <c r="B3610" s="9" t="inlineStr">
        <is>
          <t>ZOEY 20/04/2026</t>
        </is>
      </c>
      <c r="C3610" s="9" t="inlineStr">
        <is>
          <t>2026-04-20</t>
        </is>
      </c>
      <c r="D3610" s="9" t="inlineStr">
        <is>
          <t>99781782982125</t>
        </is>
      </c>
      <c r="E3610" s="9" t="inlineStr">
        <is>
          <t>CINTO C VIVIENNE 25</t>
        </is>
      </c>
      <c r="F3610" s="9" t="inlineStr">
        <is>
          <t>Default Title</t>
        </is>
      </c>
      <c r="G3610" s="9" t="n">
        <v>5</v>
      </c>
      <c r="H3610" s="21" t="n">
        <v>45</v>
      </c>
      <c r="I3610" s="21" t="n">
        <v>1152.4</v>
      </c>
      <c r="J3610" s="21" t="n">
        <v>3457.19</v>
      </c>
      <c r="K3610" s="21" t="n">
        <v>4033.38</v>
      </c>
      <c r="L3610" s="21" t="n">
        <v>4609.58</v>
      </c>
      <c r="M3610" s="21" t="n">
        <v>4609</v>
      </c>
    </row>
    <row r="3611">
      <c r="A3611" s="9" t="inlineStr">
        <is>
          <t>ZOEY</t>
        </is>
      </c>
      <c r="B3611" s="9" t="inlineStr">
        <is>
          <t>ZOEY 20/04/2026</t>
        </is>
      </c>
      <c r="C3611" s="9" t="inlineStr">
        <is>
          <t>2026-04-20</t>
        </is>
      </c>
      <c r="D3611" s="9" t="inlineStr">
        <is>
          <t>99781783009805</t>
        </is>
      </c>
      <c r="E3611" s="9" t="inlineStr">
        <is>
          <t>CINTO C VIVIENNE 25 BLACK</t>
        </is>
      </c>
      <c r="F3611" s="9" t="inlineStr">
        <is>
          <t>Default Title</t>
        </is>
      </c>
      <c r="G3611" s="9" t="n">
        <v>5</v>
      </c>
      <c r="H3611" s="21" t="n">
        <v>45</v>
      </c>
      <c r="I3611" s="21" t="n">
        <v>1152.4</v>
      </c>
      <c r="J3611" s="21" t="n">
        <v>3457.19</v>
      </c>
      <c r="K3611" s="21" t="n">
        <v>4033.38</v>
      </c>
      <c r="L3611" s="21" t="n">
        <v>4609.58</v>
      </c>
      <c r="M3611" s="21" t="n">
        <v>3746.97</v>
      </c>
    </row>
    <row r="3612">
      <c r="A3612" s="9" t="inlineStr">
        <is>
          <t>ZOEY</t>
        </is>
      </c>
      <c r="B3612" s="9" t="inlineStr">
        <is>
          <t>ZOEY 20/04/2026</t>
        </is>
      </c>
      <c r="C3612" s="9" t="inlineStr">
        <is>
          <t>2026-04-20</t>
        </is>
      </c>
      <c r="D3612" s="9" t="inlineStr">
        <is>
          <t>43728086200460</t>
        </is>
      </c>
      <c r="E3612" s="9" t="inlineStr">
        <is>
          <t>CINTO GC MILANO</t>
        </is>
      </c>
      <c r="F3612" s="9" t="inlineStr">
        <is>
          <t>100cm</t>
        </is>
      </c>
      <c r="G3612" s="9" t="n">
        <v>2</v>
      </c>
      <c r="H3612" s="21" t="n">
        <v>45</v>
      </c>
      <c r="I3612" s="21" t="n">
        <v>1152.4</v>
      </c>
      <c r="J3612" s="21" t="n">
        <v>3457.19</v>
      </c>
      <c r="K3612" s="21" t="n">
        <v>4033.38</v>
      </c>
      <c r="L3612" s="21" t="n">
        <v>4609.58</v>
      </c>
      <c r="M3612" s="21" t="n">
        <v>4039</v>
      </c>
    </row>
    <row r="3613">
      <c r="A3613" s="9" t="inlineStr">
        <is>
          <t>ZOEY</t>
        </is>
      </c>
      <c r="B3613" s="9" t="inlineStr">
        <is>
          <t>ZOEY 20/04/2026</t>
        </is>
      </c>
      <c r="C3613" s="9" t="inlineStr">
        <is>
          <t>2026-04-20</t>
        </is>
      </c>
      <c r="D3613" s="9" t="inlineStr">
        <is>
          <t>81420901016909</t>
        </is>
      </c>
      <c r="E3613" s="9" t="inlineStr">
        <is>
          <t>COLLAR DE CADENA GC SCRIPT GOLD</t>
        </is>
      </c>
      <c r="F3613" s="9" t="inlineStr">
        <is>
          <t>Default Title</t>
        </is>
      </c>
      <c r="G3613" s="9" t="n">
        <v>2</v>
      </c>
      <c r="H3613" s="21" t="n">
        <v>9</v>
      </c>
      <c r="I3613" s="21" t="n">
        <v>230.48</v>
      </c>
      <c r="J3613" s="21" t="n">
        <v>691.4400000000001</v>
      </c>
      <c r="K3613" s="21" t="n">
        <v>806.6799999999999</v>
      </c>
      <c r="L3613" s="21" t="n">
        <v>921.92</v>
      </c>
      <c r="M3613" s="21" t="n">
        <v>1199</v>
      </c>
    </row>
    <row r="3614">
      <c r="A3614" s="9" t="inlineStr">
        <is>
          <t>ZOEY</t>
        </is>
      </c>
      <c r="B3614" s="9" t="inlineStr">
        <is>
          <t>ZOEY 20/04/2026</t>
        </is>
      </c>
      <c r="C3614" s="9" t="inlineStr">
        <is>
          <t>2026-04-20</t>
        </is>
      </c>
      <c r="D3614" s="9" t="inlineStr">
        <is>
          <t>668eee3eadc59</t>
        </is>
      </c>
      <c r="E3614" s="9" t="inlineStr">
        <is>
          <t>COLLAR DOBLE PLACA CORAZÓN ROSA-PLATA</t>
        </is>
      </c>
      <c r="F3614" s="9" t="inlineStr">
        <is>
          <t>HIGH QUALITY</t>
        </is>
      </c>
      <c r="G3614" s="9" t="n">
        <v>1</v>
      </c>
      <c r="H3614" s="21" t="n"/>
      <c r="I3614" s="21" t="n">
        <v>0</v>
      </c>
      <c r="J3614" s="21" t="n">
        <v>0</v>
      </c>
      <c r="K3614" s="21" t="n">
        <v>0</v>
      </c>
      <c r="L3614" s="21" t="n">
        <v>0</v>
      </c>
      <c r="M3614" s="21" t="n">
        <v>950</v>
      </c>
    </row>
    <row r="3615">
      <c r="A3615" s="9" t="inlineStr">
        <is>
          <t>ZOEY</t>
        </is>
      </c>
      <c r="B3615" s="9" t="inlineStr">
        <is>
          <t>ZOEY 20/04/2026</t>
        </is>
      </c>
      <c r="C3615" s="9" t="inlineStr">
        <is>
          <t>2026-04-20</t>
        </is>
      </c>
      <c r="D3615" s="9" t="inlineStr">
        <is>
          <t>25156441068705</t>
        </is>
      </c>
      <c r="E3615" s="9" t="inlineStr">
        <is>
          <t>COLLAR DOBLE PLACA-GOLD TURQUESA</t>
        </is>
      </c>
      <c r="F3615" s="9" t="inlineStr">
        <is>
          <t>44.5cm</t>
        </is>
      </c>
      <c r="G3615" s="9" t="n">
        <v>8</v>
      </c>
      <c r="H3615" s="21" t="n">
        <v>9</v>
      </c>
      <c r="I3615" s="21" t="n">
        <v>230.48</v>
      </c>
      <c r="J3615" s="21" t="n">
        <v>691.4400000000001</v>
      </c>
      <c r="K3615" s="21" t="n">
        <v>806.6799999999999</v>
      </c>
      <c r="L3615" s="21" t="n">
        <v>921.92</v>
      </c>
      <c r="M3615" s="21" t="n">
        <v>925</v>
      </c>
    </row>
    <row r="3616">
      <c r="A3616" s="9" t="inlineStr">
        <is>
          <t>ZOEY</t>
        </is>
      </c>
      <c r="B3616" s="9" t="inlineStr">
        <is>
          <t>ZOEY 20/04/2026</t>
        </is>
      </c>
      <c r="C3616" s="9" t="inlineStr">
        <is>
          <t>2026-04-20</t>
        </is>
      </c>
      <c r="D3616" s="9" t="inlineStr">
        <is>
          <t>78326321018849</t>
        </is>
      </c>
      <c r="E3616" s="9" t="inlineStr">
        <is>
          <t>COLLAR LOVESTRUCK</t>
        </is>
      </c>
      <c r="F3616" s="9" t="inlineStr">
        <is>
          <t>43CM</t>
        </is>
      </c>
      <c r="G3616" s="9" t="n">
        <v>4</v>
      </c>
      <c r="H3616" s="21" t="n">
        <v>9</v>
      </c>
      <c r="I3616" s="21" t="n">
        <v>230.48</v>
      </c>
      <c r="J3616" s="21" t="n">
        <v>691.4400000000001</v>
      </c>
      <c r="K3616" s="21" t="n">
        <v>806.6799999999999</v>
      </c>
      <c r="L3616" s="21" t="n">
        <v>921.92</v>
      </c>
      <c r="M3616" s="21" t="n">
        <v>899</v>
      </c>
    </row>
    <row r="3617">
      <c r="A3617" s="9" t="inlineStr">
        <is>
          <t>ZOEY</t>
        </is>
      </c>
      <c r="B3617" s="9" t="inlineStr">
        <is>
          <t>ZOEY 20/04/2026</t>
        </is>
      </c>
      <c r="C3617" s="9" t="inlineStr">
        <is>
          <t>2026-04-20</t>
        </is>
      </c>
      <c r="D3617" s="9" t="inlineStr">
        <is>
          <t>86290411075053</t>
        </is>
      </c>
      <c r="E3617" s="9" t="inlineStr">
        <is>
          <t>COLLAR LV EVER BLOSSOM GOLD BLACK</t>
        </is>
      </c>
      <c r="F3617" s="9" t="inlineStr">
        <is>
          <t>Default Title</t>
        </is>
      </c>
      <c r="G3617" s="9" t="n">
        <v>2</v>
      </c>
      <c r="H3617" s="21" t="n">
        <v>11</v>
      </c>
      <c r="I3617" s="21" t="n">
        <v>281.7</v>
      </c>
      <c r="J3617" s="21" t="n">
        <v>845.09</v>
      </c>
      <c r="K3617" s="21" t="n">
        <v>985.9400000000001</v>
      </c>
      <c r="L3617" s="21" t="n">
        <v>1126.79</v>
      </c>
      <c r="M3617" s="21" t="n">
        <v>850</v>
      </c>
    </row>
    <row r="3618">
      <c r="A3618" s="9" t="inlineStr">
        <is>
          <t>ZOEY</t>
        </is>
      </c>
      <c r="B3618" s="9" t="inlineStr">
        <is>
          <t>ZOEY 20/04/2026</t>
        </is>
      </c>
      <c r="C3618" s="9" t="inlineStr">
        <is>
          <t>2026-04-20</t>
        </is>
      </c>
      <c r="D3618" s="9" t="inlineStr">
        <is>
          <t>79416181049069</t>
        </is>
      </c>
      <c r="E3618" s="9" t="inlineStr">
        <is>
          <t>COLLAR MM GOLD BLACK</t>
        </is>
      </c>
      <c r="F3618" s="9" t="inlineStr">
        <is>
          <t>BRASS</t>
        </is>
      </c>
      <c r="G3618" s="9" t="n">
        <v>3</v>
      </c>
      <c r="H3618" s="21" t="n">
        <v>8</v>
      </c>
      <c r="I3618" s="21" t="n">
        <v>204.87</v>
      </c>
      <c r="J3618" s="21" t="n">
        <v>614.61</v>
      </c>
      <c r="K3618" s="21" t="n">
        <v>717.05</v>
      </c>
      <c r="L3618" s="21" t="n">
        <v>819.48</v>
      </c>
      <c r="M3618" s="21" t="n">
        <v>719</v>
      </c>
    </row>
    <row r="3619">
      <c r="A3619" s="9" t="inlineStr">
        <is>
          <t>ZOEY</t>
        </is>
      </c>
      <c r="B3619" s="9" t="inlineStr">
        <is>
          <t>ZOEY 20/04/2026</t>
        </is>
      </c>
      <c r="C3619" s="9" t="inlineStr">
        <is>
          <t>2026-04-20</t>
        </is>
      </c>
      <c r="D3619" s="9" t="inlineStr">
        <is>
          <t>90883811004365</t>
        </is>
      </c>
      <c r="E3619" s="9" t="inlineStr">
        <is>
          <t>COLLAR T CORAZÓN CON ZIRCONIA</t>
        </is>
      </c>
      <c r="F3619" s="9" t="inlineStr">
        <is>
          <t>HIGH QUALITY</t>
        </is>
      </c>
      <c r="G3619" s="9" t="n">
        <v>9</v>
      </c>
      <c r="H3619" s="21" t="n">
        <v>9</v>
      </c>
      <c r="I3619" s="21" t="n">
        <v>230.48</v>
      </c>
      <c r="J3619" s="21" t="n">
        <v>691.4400000000001</v>
      </c>
      <c r="K3619" s="21" t="n">
        <v>806.6799999999999</v>
      </c>
      <c r="L3619" s="21" t="n">
        <v>921.92</v>
      </c>
      <c r="M3619" s="21" t="n">
        <v>1100</v>
      </c>
    </row>
    <row r="3620">
      <c r="A3620" s="9" t="inlineStr">
        <is>
          <t>ZOEY</t>
        </is>
      </c>
      <c r="B3620" s="9" t="inlineStr">
        <is>
          <t>ZOEY 20/04/2026</t>
        </is>
      </c>
      <c r="C3620" s="9" t="inlineStr">
        <is>
          <t>2026-04-20</t>
        </is>
      </c>
      <c r="D3620" s="9" t="inlineStr">
        <is>
          <t>90883811004365</t>
        </is>
      </c>
      <c r="E3620" s="9" t="inlineStr">
        <is>
          <t>COLLAR T CORAZÓN CON ZIRCONIA</t>
        </is>
      </c>
      <c r="F3620" s="9" t="inlineStr">
        <is>
          <t>HIGH QUALITY</t>
        </is>
      </c>
      <c r="G3620" s="9" t="n">
        <v>3</v>
      </c>
      <c r="H3620" s="21" t="n">
        <v>9</v>
      </c>
      <c r="I3620" s="21" t="n">
        <v>230.48</v>
      </c>
      <c r="J3620" s="21" t="n">
        <v>691.4400000000001</v>
      </c>
      <c r="K3620" s="21" t="n">
        <v>806.6799999999999</v>
      </c>
      <c r="L3620" s="21" t="n">
        <v>921.92</v>
      </c>
      <c r="M3620" s="21" t="n">
        <v>1100</v>
      </c>
    </row>
    <row r="3621">
      <c r="A3621" s="9" t="inlineStr">
        <is>
          <t>ZOEY</t>
        </is>
      </c>
      <c r="B3621" s="9" t="inlineStr">
        <is>
          <t>ZOEY 20/04/2026</t>
        </is>
      </c>
      <c r="C3621" s="9" t="inlineStr">
        <is>
          <t>2026-04-20</t>
        </is>
      </c>
      <c r="D3621" s="9" t="inlineStr">
        <is>
          <t>90883811004365</t>
        </is>
      </c>
      <c r="E3621" s="9" t="inlineStr">
        <is>
          <t>COLLAR T CORAZÓN CON ZIRCONIA</t>
        </is>
      </c>
      <c r="F3621" s="9" t="inlineStr">
        <is>
          <t>HIGH QUALITY</t>
        </is>
      </c>
      <c r="G3621" s="9" t="n">
        <v>2</v>
      </c>
      <c r="H3621" s="21" t="n"/>
      <c r="I3621" s="21" t="n">
        <v>0</v>
      </c>
      <c r="J3621" s="21" t="n">
        <v>0</v>
      </c>
      <c r="K3621" s="21" t="n">
        <v>0</v>
      </c>
      <c r="L3621" s="21" t="n">
        <v>0</v>
      </c>
      <c r="M3621" s="21" t="n">
        <v>1100</v>
      </c>
    </row>
    <row r="3622">
      <c r="A3622" s="9" t="inlineStr">
        <is>
          <t>ZOEY</t>
        </is>
      </c>
      <c r="B3622" s="9" t="inlineStr">
        <is>
          <t>ZOEY 20/04/2026</t>
        </is>
      </c>
      <c r="C3622" s="9" t="inlineStr">
        <is>
          <t>2026-04-20</t>
        </is>
      </c>
      <c r="D3622" s="9" t="inlineStr">
        <is>
          <t>57913391088461</t>
        </is>
      </c>
      <c r="E3622" s="9" t="inlineStr">
        <is>
          <t>COLLAR T ESLABONES GOLD CON PEARL</t>
        </is>
      </c>
      <c r="F3622" s="9" t="inlineStr">
        <is>
          <t>HIGH QUALITY</t>
        </is>
      </c>
      <c r="G3622" s="9" t="n">
        <v>2</v>
      </c>
      <c r="H3622" s="21" t="n"/>
      <c r="I3622" s="21" t="n">
        <v>0</v>
      </c>
      <c r="J3622" s="21" t="n">
        <v>0</v>
      </c>
      <c r="K3622" s="21" t="n">
        <v>0</v>
      </c>
      <c r="L3622" s="21" t="n">
        <v>0</v>
      </c>
      <c r="M3622" s="21" t="n">
        <v>1450</v>
      </c>
    </row>
    <row r="3623">
      <c r="A3623" s="9" t="inlineStr">
        <is>
          <t>ZOEY</t>
        </is>
      </c>
      <c r="B3623" s="9" t="inlineStr">
        <is>
          <t>ZOEY 20/04/2026</t>
        </is>
      </c>
      <c r="C3623" s="9" t="inlineStr">
        <is>
          <t>2026-04-20</t>
        </is>
      </c>
      <c r="D3623" s="9" t="inlineStr">
        <is>
          <t>87904131075277</t>
        </is>
      </c>
      <c r="E3623" s="9" t="inlineStr">
        <is>
          <t>GORRA A BLACK</t>
        </is>
      </c>
      <c r="F3623" s="9" t="inlineStr">
        <is>
          <t>Default Title</t>
        </is>
      </c>
      <c r="G3623" s="9" t="n">
        <v>1</v>
      </c>
      <c r="H3623" s="21" t="n">
        <v>10</v>
      </c>
      <c r="I3623" s="21" t="n">
        <v>256.09</v>
      </c>
      <c r="J3623" s="21" t="n">
        <v>768.26</v>
      </c>
      <c r="K3623" s="21" t="n">
        <v>896.3099999999999</v>
      </c>
      <c r="L3623" s="21" t="n">
        <v>1024.35</v>
      </c>
      <c r="M3623" s="21" t="n">
        <v>1069</v>
      </c>
    </row>
    <row r="3624">
      <c r="A3624" s="9" t="inlineStr">
        <is>
          <t>ZOEY</t>
        </is>
      </c>
      <c r="B3624" s="9" t="inlineStr">
        <is>
          <t>ZOEY 20/04/2026</t>
        </is>
      </c>
      <c r="C3624" s="9" t="inlineStr">
        <is>
          <t>2026-04-20</t>
        </is>
      </c>
      <c r="D3624" s="9" t="inlineStr">
        <is>
          <t>18936841085197</t>
        </is>
      </c>
      <c r="E3624" s="9" t="inlineStr">
        <is>
          <t>GORRA A BLACK AND WHITE</t>
        </is>
      </c>
      <c r="F3624" s="9" t="inlineStr">
        <is>
          <t>Default Title</t>
        </is>
      </c>
      <c r="G3624" s="9" t="n">
        <v>1</v>
      </c>
      <c r="H3624" s="21" t="n">
        <v>10</v>
      </c>
      <c r="I3624" s="21" t="n">
        <v>256.09</v>
      </c>
      <c r="J3624" s="21" t="n">
        <v>768.26</v>
      </c>
      <c r="K3624" s="21" t="n">
        <v>896.3099999999999</v>
      </c>
      <c r="L3624" s="21" t="n">
        <v>1024.35</v>
      </c>
      <c r="M3624" s="21" t="n">
        <v>1069</v>
      </c>
    </row>
    <row r="3625">
      <c r="A3625" s="9" t="inlineStr">
        <is>
          <t>ZOEY</t>
        </is>
      </c>
      <c r="B3625" s="9" t="inlineStr">
        <is>
          <t>ZOEY 20/04/2026</t>
        </is>
      </c>
      <c r="C3625" s="9" t="inlineStr">
        <is>
          <t>2026-04-20</t>
        </is>
      </c>
      <c r="D3625" s="9" t="inlineStr">
        <is>
          <t>69943351015917</t>
        </is>
      </c>
      <c r="E3625" s="9" t="inlineStr">
        <is>
          <t>GORRA A BROWN</t>
        </is>
      </c>
      <c r="F3625" s="9" t="inlineStr">
        <is>
          <t>Default Title</t>
        </is>
      </c>
      <c r="G3625" s="9" t="n">
        <v>2</v>
      </c>
      <c r="H3625" s="21" t="n">
        <v>10</v>
      </c>
      <c r="I3625" s="21" t="n">
        <v>256.09</v>
      </c>
      <c r="J3625" s="21" t="n">
        <v>768.26</v>
      </c>
      <c r="K3625" s="21" t="n">
        <v>896.3099999999999</v>
      </c>
      <c r="L3625" s="21" t="n">
        <v>1024.35</v>
      </c>
      <c r="M3625" s="21" t="n">
        <v>1069</v>
      </c>
    </row>
    <row r="3626">
      <c r="A3626" s="9" t="inlineStr">
        <is>
          <t>ZOEY</t>
        </is>
      </c>
      <c r="B3626" s="9" t="inlineStr">
        <is>
          <t>ZOEY 20/04/2026</t>
        </is>
      </c>
      <c r="C3626" s="9" t="inlineStr">
        <is>
          <t>2026-04-20</t>
        </is>
      </c>
      <c r="D3626" s="9" t="inlineStr">
        <is>
          <t>3382867546764</t>
        </is>
      </c>
      <c r="E3626" s="9" t="inlineStr">
        <is>
          <t>GORRA C BEIGE</t>
        </is>
      </c>
      <c r="F3626" s="9" t="inlineStr">
        <is>
          <t>M (AJUSTABLE</t>
        </is>
      </c>
      <c r="G3626" s="9" t="n">
        <v>9</v>
      </c>
      <c r="H3626" s="21" t="n">
        <v>18</v>
      </c>
      <c r="I3626" s="21" t="n">
        <v>460.96</v>
      </c>
      <c r="J3626" s="21" t="n">
        <v>1382.87</v>
      </c>
      <c r="K3626" s="21" t="n">
        <v>1613.35</v>
      </c>
      <c r="L3626" s="21" t="n">
        <v>1843.83</v>
      </c>
      <c r="M3626" s="21" t="n">
        <v>1845</v>
      </c>
    </row>
    <row r="3627">
      <c r="A3627" s="9" t="inlineStr">
        <is>
          <t>ZOEY</t>
        </is>
      </c>
      <c r="B3627" s="9" t="inlineStr">
        <is>
          <t>ZOEY 20/04/2026</t>
        </is>
      </c>
      <c r="C3627" s="9" t="inlineStr">
        <is>
          <t>2026-04-20</t>
        </is>
      </c>
      <c r="D3627" s="9" t="inlineStr">
        <is>
          <t>99781782742573</t>
        </is>
      </c>
      <c r="E3627" s="9" t="inlineStr">
        <is>
          <t>GORRA C DENIM LAVADO</t>
        </is>
      </c>
      <c r="F3627" s="9" t="inlineStr">
        <is>
          <t>Default Title</t>
        </is>
      </c>
      <c r="G3627" s="9" t="n">
        <v>5</v>
      </c>
      <c r="H3627" s="21" t="n">
        <v>17</v>
      </c>
      <c r="I3627" s="21" t="n">
        <v>435.35</v>
      </c>
      <c r="J3627" s="21" t="n">
        <v>1306.05</v>
      </c>
      <c r="K3627" s="21" t="n">
        <v>1523.72</v>
      </c>
      <c r="L3627" s="21" t="n">
        <v>1741.4</v>
      </c>
      <c r="M3627" s="21" t="n">
        <v>1699</v>
      </c>
    </row>
    <row r="3628">
      <c r="A3628" s="9" t="inlineStr">
        <is>
          <t>ZOEY</t>
        </is>
      </c>
      <c r="B3628" s="9" t="inlineStr">
        <is>
          <t>ZOEY 20/04/2026</t>
        </is>
      </c>
      <c r="C3628" s="9" t="inlineStr">
        <is>
          <t>2026-04-20</t>
        </is>
      </c>
      <c r="D3628" s="9" t="inlineStr">
        <is>
          <t>93098782449965</t>
        </is>
      </c>
      <c r="E3628" s="9" t="inlineStr">
        <is>
          <t>GORRA LV MY PARIS</t>
        </is>
      </c>
      <c r="F3628" s="9" t="inlineStr">
        <is>
          <t>Default Title</t>
        </is>
      </c>
      <c r="G3628" s="9" t="n">
        <v>2</v>
      </c>
      <c r="H3628" s="21" t="n">
        <v>20</v>
      </c>
      <c r="I3628" s="21" t="n">
        <v>512.1799999999999</v>
      </c>
      <c r="J3628" s="21" t="n">
        <v>1536.53</v>
      </c>
      <c r="K3628" s="21" t="n">
        <v>1792.61</v>
      </c>
      <c r="L3628" s="21" t="n">
        <v>2048.7</v>
      </c>
      <c r="M3628" s="21" t="n">
        <v>2125</v>
      </c>
    </row>
    <row r="3629">
      <c r="A3629" s="9" t="inlineStr">
        <is>
          <t>ZOEY</t>
        </is>
      </c>
      <c r="B3629" s="9" t="inlineStr">
        <is>
          <t>ZOEY 20/04/2026</t>
        </is>
      </c>
      <c r="C3629" s="9" t="inlineStr">
        <is>
          <t>2026-04-20</t>
        </is>
      </c>
      <c r="D3629" s="9" t="inlineStr">
        <is>
          <t>93794531066669</t>
        </is>
      </c>
      <c r="E3629" s="9" t="inlineStr">
        <is>
          <t>LENTES CD M1U</t>
        </is>
      </c>
      <c r="F3629" s="9" t="inlineStr">
        <is>
          <t>Default Title</t>
        </is>
      </c>
      <c r="G3629" s="9" t="n">
        <v>3</v>
      </c>
      <c r="H3629" s="21" t="n">
        <v>32</v>
      </c>
      <c r="I3629" s="21" t="n">
        <v>819.48</v>
      </c>
      <c r="J3629" s="21" t="n">
        <v>2458.44</v>
      </c>
      <c r="K3629" s="21" t="n">
        <v>2868.18</v>
      </c>
      <c r="L3629" s="21" t="n">
        <v>3277.92</v>
      </c>
      <c r="M3629" s="21" t="n">
        <v>3279</v>
      </c>
    </row>
    <row r="3630">
      <c r="A3630" s="9" t="inlineStr">
        <is>
          <t>ZOEY</t>
        </is>
      </c>
      <c r="B3630" s="9" t="inlineStr">
        <is>
          <t>ZOEY 20/04/2026</t>
        </is>
      </c>
      <c r="C3630" s="9" t="inlineStr">
        <is>
          <t>2026-04-20</t>
        </is>
      </c>
      <c r="D3630" s="9" t="inlineStr">
        <is>
          <t>43794531550861</t>
        </is>
      </c>
      <c r="E3630" s="9" t="inlineStr">
        <is>
          <t>LENTES CD PACIFIC R1</t>
        </is>
      </c>
      <c r="F3630" s="9" t="inlineStr">
        <is>
          <t>Default Title</t>
        </is>
      </c>
      <c r="G3630" s="9" t="n">
        <v>4</v>
      </c>
      <c r="H3630" s="21" t="n">
        <v>32</v>
      </c>
      <c r="I3630" s="21" t="n">
        <v>819.48</v>
      </c>
      <c r="J3630" s="21" t="n">
        <v>2458.44</v>
      </c>
      <c r="K3630" s="21" t="n">
        <v>2868.18</v>
      </c>
      <c r="L3630" s="21" t="n">
        <v>3277.92</v>
      </c>
      <c r="M3630" s="21" t="n">
        <v>3199</v>
      </c>
    </row>
    <row r="3631">
      <c r="A3631" s="9" t="inlineStr">
        <is>
          <t>ZOEY</t>
        </is>
      </c>
      <c r="B3631" s="9" t="inlineStr">
        <is>
          <t>ZOEY 20/04/2026</t>
        </is>
      </c>
      <c r="C3631" s="9" t="inlineStr">
        <is>
          <t>2026-04-20</t>
        </is>
      </c>
      <c r="D3631" s="9" t="inlineStr">
        <is>
          <t>43794531550861</t>
        </is>
      </c>
      <c r="E3631" s="9" t="inlineStr">
        <is>
          <t>LENTES CD PACIFIC R1</t>
        </is>
      </c>
      <c r="F3631" s="9" t="inlineStr">
        <is>
          <t>Default Title</t>
        </is>
      </c>
      <c r="G3631" s="9" t="n">
        <v>1</v>
      </c>
      <c r="H3631" s="21" t="n">
        <v>32</v>
      </c>
      <c r="I3631" s="21" t="n">
        <v>819.48</v>
      </c>
      <c r="J3631" s="21" t="n">
        <v>2458.44</v>
      </c>
      <c r="K3631" s="21" t="n">
        <v>2868.18</v>
      </c>
      <c r="L3631" s="21" t="n">
        <v>3277.92</v>
      </c>
      <c r="M3631" s="21" t="n">
        <v>3199</v>
      </c>
    </row>
    <row r="3632">
      <c r="A3632" s="9" t="inlineStr">
        <is>
          <t>ZOEY</t>
        </is>
      </c>
      <c r="B3632" s="9" t="inlineStr">
        <is>
          <t>ZOEY 20/04/2026</t>
        </is>
      </c>
      <c r="C3632" s="9" t="inlineStr">
        <is>
          <t>2026-04-20</t>
        </is>
      </c>
      <c r="D3632" s="9" t="inlineStr">
        <is>
          <t>53794531481933</t>
        </is>
      </c>
      <c r="E3632" s="9" t="inlineStr">
        <is>
          <t>LENTES CD TREASURE R1</t>
        </is>
      </c>
      <c r="F3632" s="9" t="inlineStr">
        <is>
          <t>Default Title</t>
        </is>
      </c>
      <c r="G3632" s="9" t="n">
        <v>4</v>
      </c>
      <c r="H3632" s="21" t="n">
        <v>32</v>
      </c>
      <c r="I3632" s="21" t="n">
        <v>819.48</v>
      </c>
      <c r="J3632" s="21" t="n">
        <v>2458.44</v>
      </c>
      <c r="K3632" s="21" t="n">
        <v>2868.18</v>
      </c>
      <c r="L3632" s="21" t="n">
        <v>3277.92</v>
      </c>
      <c r="M3632" s="21" t="n">
        <v>3279</v>
      </c>
    </row>
    <row r="3633">
      <c r="A3633" s="9" t="inlineStr">
        <is>
          <t>ZOEY</t>
        </is>
      </c>
      <c r="B3633" s="9" t="inlineStr">
        <is>
          <t>ZOEY 20/04/2026</t>
        </is>
      </c>
      <c r="C3633" s="9" t="inlineStr">
        <is>
          <t>2026-04-20</t>
        </is>
      </c>
      <c r="D3633" s="9" t="inlineStr">
        <is>
          <t>53794531481933</t>
        </is>
      </c>
      <c r="E3633" s="9" t="inlineStr">
        <is>
          <t>LENTES CD TREASURE R1</t>
        </is>
      </c>
      <c r="F3633" s="9" t="inlineStr">
        <is>
          <t>Default Title</t>
        </is>
      </c>
      <c r="G3633" s="9" t="n">
        <v>1</v>
      </c>
      <c r="H3633" s="21" t="n">
        <v>32</v>
      </c>
      <c r="I3633" s="21" t="n">
        <v>819.48</v>
      </c>
      <c r="J3633" s="21" t="n">
        <v>2458.44</v>
      </c>
      <c r="K3633" s="21" t="n">
        <v>2868.18</v>
      </c>
      <c r="L3633" s="21" t="n">
        <v>3277.92</v>
      </c>
      <c r="M3633" s="21" t="n">
        <v>3279</v>
      </c>
    </row>
    <row r="3634">
      <c r="A3634" s="9" t="inlineStr">
        <is>
          <t>ZOEY</t>
        </is>
      </c>
      <c r="B3634" s="9" t="inlineStr">
        <is>
          <t>ZOEY 20/04/2026</t>
        </is>
      </c>
      <c r="C3634" s="9" t="inlineStr">
        <is>
          <t>2026-04-20</t>
        </is>
      </c>
      <c r="D3634" s="9" t="inlineStr">
        <is>
          <t>91345321930669</t>
        </is>
      </c>
      <c r="E3634" s="9" t="inlineStr">
        <is>
          <t>LENTES F BAGUETTE</t>
        </is>
      </c>
      <c r="F3634" s="9" t="inlineStr">
        <is>
          <t>Default Title</t>
        </is>
      </c>
      <c r="G3634" s="9" t="n">
        <v>2</v>
      </c>
      <c r="H3634" s="21" t="n">
        <v>38</v>
      </c>
      <c r="I3634" s="21" t="n">
        <v>973.13</v>
      </c>
      <c r="J3634" s="21" t="n">
        <v>2919.4</v>
      </c>
      <c r="K3634" s="21" t="n">
        <v>3405.97</v>
      </c>
      <c r="L3634" s="21" t="n">
        <v>3892.53</v>
      </c>
      <c r="M3634" s="21" t="n">
        <v>3899</v>
      </c>
    </row>
    <row r="3635">
      <c r="A3635" s="9" t="inlineStr">
        <is>
          <t>ZOEY</t>
        </is>
      </c>
      <c r="B3635" s="9" t="inlineStr">
        <is>
          <t>ZOEY 20/04/2026</t>
        </is>
      </c>
      <c r="C3635" s="9" t="inlineStr">
        <is>
          <t>2026-04-20</t>
        </is>
      </c>
      <c r="D3635" s="9" t="inlineStr">
        <is>
          <t>91345322036909</t>
        </is>
      </c>
      <c r="E3635" s="9" t="inlineStr">
        <is>
          <t>LENTES F FIRST BROWN</t>
        </is>
      </c>
      <c r="F3635" s="9" t="inlineStr">
        <is>
          <t>Default Title</t>
        </is>
      </c>
      <c r="G3635" s="9" t="n">
        <v>2</v>
      </c>
      <c r="H3635" s="21" t="n">
        <v>38</v>
      </c>
      <c r="I3635" s="21" t="n">
        <v>973.13</v>
      </c>
      <c r="J3635" s="21" t="n">
        <v>2919.4</v>
      </c>
      <c r="K3635" s="21" t="n">
        <v>3405.97</v>
      </c>
      <c r="L3635" s="21" t="n">
        <v>3892.53</v>
      </c>
      <c r="M3635" s="21" t="n">
        <v>3200</v>
      </c>
    </row>
    <row r="3636">
      <c r="A3636" s="9" t="inlineStr">
        <is>
          <t>ZOEY</t>
        </is>
      </c>
      <c r="B3636" s="9" t="inlineStr">
        <is>
          <t>ZOEY 20/04/2026</t>
        </is>
      </c>
      <c r="C3636" s="9" t="inlineStr">
        <is>
          <t>2026-04-20</t>
        </is>
      </c>
      <c r="D3636" s="9" t="inlineStr">
        <is>
          <t>34163622302253</t>
        </is>
      </c>
      <c r="E3636" s="9" t="inlineStr">
        <is>
          <t>LENTES F OVAL CRYSTAL</t>
        </is>
      </c>
      <c r="F3636" s="9" t="inlineStr">
        <is>
          <t>Default Title</t>
        </is>
      </c>
      <c r="G3636" s="9" t="n">
        <v>2</v>
      </c>
      <c r="H3636" s="21" t="n">
        <v>32</v>
      </c>
      <c r="I3636" s="21" t="n">
        <v>819.48</v>
      </c>
      <c r="J3636" s="21" t="n">
        <v>2458.44</v>
      </c>
      <c r="K3636" s="21" t="n">
        <v>2868.18</v>
      </c>
      <c r="L3636" s="21" t="n">
        <v>3277.92</v>
      </c>
      <c r="M3636" s="21" t="n">
        <v>3279</v>
      </c>
    </row>
    <row r="3637">
      <c r="A3637" s="9" t="inlineStr">
        <is>
          <t>ZOEY</t>
        </is>
      </c>
      <c r="B3637" s="9" t="inlineStr">
        <is>
          <t>ZOEY 20/04/2026</t>
        </is>
      </c>
      <c r="C3637" s="9" t="inlineStr">
        <is>
          <t>2026-04-20</t>
        </is>
      </c>
      <c r="D3637" s="9" t="inlineStr">
        <is>
          <t>34163622241805</t>
        </is>
      </c>
      <c r="E3637" s="9" t="inlineStr">
        <is>
          <t>LENTES F OVAL CRYSTAL BLACK</t>
        </is>
      </c>
      <c r="F3637" s="9" t="inlineStr">
        <is>
          <t>Default Title</t>
        </is>
      </c>
      <c r="G3637" s="9" t="n">
        <v>2</v>
      </c>
      <c r="H3637" s="21" t="n">
        <v>32</v>
      </c>
      <c r="I3637" s="21" t="n">
        <v>819.48</v>
      </c>
      <c r="J3637" s="21" t="n">
        <v>2458.44</v>
      </c>
      <c r="K3637" s="21" t="n">
        <v>2868.18</v>
      </c>
      <c r="L3637" s="21" t="n">
        <v>3277.92</v>
      </c>
      <c r="M3637" s="21" t="n">
        <v>3279</v>
      </c>
    </row>
    <row r="3638">
      <c r="A3638" s="9" t="inlineStr">
        <is>
          <t>ZOEY</t>
        </is>
      </c>
      <c r="B3638" s="9" t="inlineStr">
        <is>
          <t>ZOEY 20/04/2026</t>
        </is>
      </c>
      <c r="C3638" s="9" t="inlineStr">
        <is>
          <t>2026-04-20</t>
        </is>
      </c>
      <c r="D3638" s="9" t="inlineStr">
        <is>
          <t>34163622850829</t>
        </is>
      </c>
      <c r="E3638" s="9" t="inlineStr">
        <is>
          <t>LENTES YSL SL 914 BROWN</t>
        </is>
      </c>
      <c r="F3638" s="9" t="inlineStr">
        <is>
          <t>Default Title</t>
        </is>
      </c>
      <c r="G3638" s="9" t="n">
        <v>2</v>
      </c>
      <c r="H3638" s="21" t="n">
        <v>40</v>
      </c>
      <c r="I3638" s="21" t="n">
        <v>1024.35</v>
      </c>
      <c r="J3638" s="21" t="n">
        <v>3073.05</v>
      </c>
      <c r="K3638" s="21" t="n">
        <v>3585.23</v>
      </c>
      <c r="L3638" s="21" t="n">
        <v>4097.4</v>
      </c>
      <c r="M3638" s="21" t="n">
        <v>3585</v>
      </c>
    </row>
    <row r="3639">
      <c r="A3639" s="9" t="inlineStr">
        <is>
          <t>ZOEY</t>
        </is>
      </c>
      <c r="B3639" s="9" t="inlineStr">
        <is>
          <t>ZOEY 20/04/2026</t>
        </is>
      </c>
      <c r="C3639" s="9" t="inlineStr">
        <is>
          <t>2026-04-20</t>
        </is>
      </c>
      <c r="D3639" s="9" t="inlineStr">
        <is>
          <t>77763960600332</t>
        </is>
      </c>
      <c r="E3639" s="9" t="inlineStr">
        <is>
          <t>PERFUME BACCARAT</t>
        </is>
      </c>
      <c r="F3639" s="9" t="inlineStr">
        <is>
          <t>70ml</t>
        </is>
      </c>
      <c r="G3639" s="9" t="n">
        <v>11</v>
      </c>
      <c r="H3639" s="21" t="n">
        <v>18</v>
      </c>
      <c r="I3639" s="21" t="n">
        <v>460.96</v>
      </c>
      <c r="J3639" s="21" t="n">
        <v>1382.87</v>
      </c>
      <c r="K3639" s="21" t="n">
        <v>1613.35</v>
      </c>
      <c r="L3639" s="21" t="n">
        <v>1843.83</v>
      </c>
      <c r="M3639" s="21" t="n">
        <v>1845</v>
      </c>
    </row>
    <row r="3640">
      <c r="A3640" s="9" t="inlineStr">
        <is>
          <t>ZOEY</t>
        </is>
      </c>
      <c r="B3640" s="9" t="inlineStr">
        <is>
          <t>ZOEY 20/04/2026</t>
        </is>
      </c>
      <c r="C3640" s="9" t="inlineStr">
        <is>
          <t>2026-04-20</t>
        </is>
      </c>
      <c r="D3640" s="9" t="inlineStr">
        <is>
          <t>95510921204013</t>
        </is>
      </c>
      <c r="E3640" s="9" t="inlineStr">
        <is>
          <t>PERFUME CD HOMME INTENSE</t>
        </is>
      </c>
      <c r="F3640" s="9" t="inlineStr">
        <is>
          <t>Default Title</t>
        </is>
      </c>
      <c r="G3640" s="9" t="n">
        <v>2</v>
      </c>
      <c r="H3640" s="21" t="n">
        <v>18</v>
      </c>
      <c r="I3640" s="21" t="n">
        <v>460.96</v>
      </c>
      <c r="J3640" s="21" t="n">
        <v>1382.87</v>
      </c>
      <c r="K3640" s="21" t="n">
        <v>1613.35</v>
      </c>
      <c r="L3640" s="21" t="n">
        <v>1843.83</v>
      </c>
      <c r="M3640" s="21" t="n">
        <v>1999</v>
      </c>
    </row>
    <row r="3641">
      <c r="A3641" s="9" t="inlineStr">
        <is>
          <t>ZOEY</t>
        </is>
      </c>
      <c r="B3641" s="9" t="inlineStr">
        <is>
          <t>ZOEY 20/04/2026</t>
        </is>
      </c>
      <c r="C3641" s="9" t="inlineStr">
        <is>
          <t>2026-04-20</t>
        </is>
      </c>
      <c r="D3641" s="9" t="inlineStr">
        <is>
          <t>95510921532845</t>
        </is>
      </c>
      <c r="E3641" s="9" t="inlineStr">
        <is>
          <t>PERFUME CD HYPNOTIC POISON</t>
        </is>
      </c>
      <c r="F3641" s="9" t="inlineStr">
        <is>
          <t>Default Title</t>
        </is>
      </c>
      <c r="G3641" s="9" t="n">
        <v>2</v>
      </c>
      <c r="H3641" s="21" t="n">
        <v>18</v>
      </c>
      <c r="I3641" s="21" t="n">
        <v>460.96</v>
      </c>
      <c r="J3641" s="21" t="n">
        <v>1382.87</v>
      </c>
      <c r="K3641" s="21" t="n">
        <v>1613.35</v>
      </c>
      <c r="L3641" s="21" t="n">
        <v>1843.83</v>
      </c>
      <c r="M3641" s="21" t="n">
        <v>1849</v>
      </c>
    </row>
    <row r="3642">
      <c r="A3642" s="9" t="inlineStr">
        <is>
          <t>ZOEY</t>
        </is>
      </c>
      <c r="B3642" s="9" t="inlineStr">
        <is>
          <t>ZOEY 20/04/2026</t>
        </is>
      </c>
      <c r="C3642" s="9" t="inlineStr">
        <is>
          <t>2026-04-20</t>
        </is>
      </c>
      <c r="D3642" s="9" t="inlineStr">
        <is>
          <t>40495211154861</t>
        </is>
      </c>
      <c r="E3642" s="9" t="inlineStr">
        <is>
          <t>PERFUME CREED AVENTUS EAU DE PARFUM</t>
        </is>
      </c>
      <c r="F3642" s="9" t="inlineStr">
        <is>
          <t>100 ml</t>
        </is>
      </c>
      <c r="G3642" s="9" t="n">
        <v>1</v>
      </c>
      <c r="H3642" s="21" t="n">
        <v>18</v>
      </c>
      <c r="I3642" s="21" t="n">
        <v>460.96</v>
      </c>
      <c r="J3642" s="21" t="n">
        <v>1382.87</v>
      </c>
      <c r="K3642" s="21" t="n">
        <v>1613.35</v>
      </c>
      <c r="L3642" s="21" t="n">
        <v>1843.83</v>
      </c>
      <c r="M3642" s="21" t="n">
        <v>1799</v>
      </c>
    </row>
    <row r="3643">
      <c r="A3643" s="9" t="inlineStr">
        <is>
          <t>ZOEY</t>
        </is>
      </c>
      <c r="B3643" s="9" t="inlineStr">
        <is>
          <t>ZOEY 20/04/2026</t>
        </is>
      </c>
      <c r="C3643" s="9" t="inlineStr">
        <is>
          <t>2026-04-20</t>
        </is>
      </c>
      <c r="D3643" s="9" t="inlineStr">
        <is>
          <t>34163621043821</t>
        </is>
      </c>
      <c r="E3643" s="9" t="inlineStr">
        <is>
          <t>PERFUME CREED SILVER MOUNTAIN WATER</t>
        </is>
      </c>
      <c r="F3643" s="9" t="inlineStr">
        <is>
          <t>Default Title</t>
        </is>
      </c>
      <c r="G3643" s="9" t="n">
        <v>2</v>
      </c>
      <c r="H3643" s="21" t="n">
        <v>18</v>
      </c>
      <c r="I3643" s="21" t="n">
        <v>460.96</v>
      </c>
      <c r="J3643" s="21" t="n">
        <v>1382.87</v>
      </c>
      <c r="K3643" s="21" t="n">
        <v>1613.35</v>
      </c>
      <c r="L3643" s="21" t="n">
        <v>1843.83</v>
      </c>
      <c r="M3643" s="21" t="n">
        <v>1500</v>
      </c>
    </row>
    <row r="3644">
      <c r="A3644" s="9" t="inlineStr">
        <is>
          <t>ZOEY</t>
        </is>
      </c>
      <c r="B3644" s="9" t="inlineStr">
        <is>
          <t>ZOEY 20/04/2026</t>
        </is>
      </c>
      <c r="C3644" s="9" t="inlineStr">
        <is>
          <t>2026-04-20</t>
        </is>
      </c>
      <c r="D3644" s="9" t="inlineStr">
        <is>
          <t>34163621325165</t>
        </is>
      </c>
      <c r="E3644" s="9" t="inlineStr">
        <is>
          <t>PERFUME GIORGO PASSIONE</t>
        </is>
      </c>
      <c r="F3644" s="9" t="inlineStr">
        <is>
          <t>Default Title</t>
        </is>
      </c>
      <c r="G3644" s="9" t="n">
        <v>2</v>
      </c>
      <c r="H3644" s="21" t="n">
        <v>18</v>
      </c>
      <c r="I3644" s="21" t="n">
        <v>460.96</v>
      </c>
      <c r="J3644" s="21" t="n">
        <v>1382.87</v>
      </c>
      <c r="K3644" s="21" t="n">
        <v>1613.35</v>
      </c>
      <c r="L3644" s="21" t="n">
        <v>1843.83</v>
      </c>
      <c r="M3644" s="21" t="n">
        <v>1849</v>
      </c>
    </row>
    <row r="3645">
      <c r="A3645" s="9" t="inlineStr">
        <is>
          <t>ZOEY</t>
        </is>
      </c>
      <c r="B3645" s="9" t="inlineStr">
        <is>
          <t>ZOEY 20/04/2026</t>
        </is>
      </c>
      <c r="C3645" s="9" t="inlineStr">
        <is>
          <t>2026-04-20</t>
        </is>
      </c>
      <c r="D3645" s="9" t="inlineStr">
        <is>
          <t>38991221168653</t>
        </is>
      </c>
      <c r="E3645" s="9" t="inlineStr">
        <is>
          <t>PERFUME JEAN PAUL LE BELLE</t>
        </is>
      </c>
      <c r="F3645" s="9" t="inlineStr">
        <is>
          <t>Default Title</t>
        </is>
      </c>
      <c r="G3645" s="9" t="n">
        <v>2</v>
      </c>
      <c r="H3645" s="21" t="n">
        <v>18</v>
      </c>
      <c r="I3645" s="21" t="n">
        <v>460.96</v>
      </c>
      <c r="J3645" s="21" t="n">
        <v>1382.87</v>
      </c>
      <c r="K3645" s="21" t="n">
        <v>1613.35</v>
      </c>
      <c r="L3645" s="21" t="n">
        <v>1843.83</v>
      </c>
      <c r="M3645" s="21" t="n">
        <v>1849</v>
      </c>
    </row>
    <row r="3646">
      <c r="A3646" s="9" t="inlineStr">
        <is>
          <t>ZOEY</t>
        </is>
      </c>
      <c r="B3646" s="9" t="inlineStr">
        <is>
          <t>ZOEY 20/04/2026</t>
        </is>
      </c>
      <c r="C3646" s="9" t="inlineStr">
        <is>
          <t>2026-04-20</t>
        </is>
      </c>
      <c r="D3646" s="9" t="inlineStr">
        <is>
          <t>95510921488205</t>
        </is>
      </c>
      <c r="E3646" s="9" t="inlineStr">
        <is>
          <t>PERFUME JEAN PAUL LE MALE</t>
        </is>
      </c>
      <c r="F3646" s="9" t="inlineStr">
        <is>
          <t>Default Title</t>
        </is>
      </c>
      <c r="G3646" s="9" t="n">
        <v>2</v>
      </c>
      <c r="H3646" s="21" t="n">
        <v>18</v>
      </c>
      <c r="I3646" s="21" t="n">
        <v>460.96</v>
      </c>
      <c r="J3646" s="21" t="n">
        <v>1382.87</v>
      </c>
      <c r="K3646" s="21" t="n">
        <v>1613.35</v>
      </c>
      <c r="L3646" s="21" t="n">
        <v>1843.83</v>
      </c>
      <c r="M3646" s="21" t="n">
        <v>1849</v>
      </c>
    </row>
    <row r="3647">
      <c r="A3647" s="9" t="inlineStr">
        <is>
          <t>ZOEY</t>
        </is>
      </c>
      <c r="B3647" s="9" t="inlineStr">
        <is>
          <t>ZOEY 20/04/2026</t>
        </is>
      </c>
      <c r="C3647" s="9" t="inlineStr">
        <is>
          <t>2026-04-20</t>
        </is>
      </c>
      <c r="D3647" s="9" t="inlineStr">
        <is>
          <t>38991221063565</t>
        </is>
      </c>
      <c r="E3647" s="9" t="inlineStr">
        <is>
          <t>PERFUME JEAN PAUL SCANDAL GAUTTER MEN</t>
        </is>
      </c>
      <c r="F3647" s="9" t="inlineStr">
        <is>
          <t>Default Title</t>
        </is>
      </c>
      <c r="G3647" s="9" t="n">
        <v>2</v>
      </c>
      <c r="H3647" s="21" t="n">
        <v>18</v>
      </c>
      <c r="I3647" s="21" t="n">
        <v>460.96</v>
      </c>
      <c r="J3647" s="21" t="n">
        <v>1382.87</v>
      </c>
      <c r="K3647" s="21" t="n">
        <v>1613.35</v>
      </c>
      <c r="L3647" s="21" t="n">
        <v>1843.83</v>
      </c>
      <c r="M3647" s="21" t="n">
        <v>1849</v>
      </c>
    </row>
    <row r="3648">
      <c r="A3648" s="9" t="inlineStr">
        <is>
          <t>ZOEY</t>
        </is>
      </c>
      <c r="B3648" s="9" t="inlineStr">
        <is>
          <t>ZOEY 20/04/2026</t>
        </is>
      </c>
      <c r="C3648" s="9" t="inlineStr">
        <is>
          <t>2026-04-20</t>
        </is>
      </c>
      <c r="D3648" s="9" t="inlineStr">
        <is>
          <t>91345321067917</t>
        </is>
      </c>
      <c r="E3648" s="9" t="inlineStr">
        <is>
          <t>PERFUME V&amp;R SPICEBOMB EXTREME</t>
        </is>
      </c>
      <c r="F3648" s="9" t="inlineStr">
        <is>
          <t>Default Title</t>
        </is>
      </c>
      <c r="G3648" s="9" t="n">
        <v>2</v>
      </c>
      <c r="H3648" s="21" t="n">
        <v>18</v>
      </c>
      <c r="I3648" s="21" t="n">
        <v>460.96</v>
      </c>
      <c r="J3648" s="21" t="n">
        <v>1382.87</v>
      </c>
      <c r="K3648" s="21" t="n">
        <v>1613.35</v>
      </c>
      <c r="L3648" s="21" t="n">
        <v>1843.83</v>
      </c>
      <c r="M3648" s="21" t="n">
        <v>1849</v>
      </c>
    </row>
    <row r="3649">
      <c r="A3649" s="9" t="inlineStr">
        <is>
          <t>ZOEY</t>
        </is>
      </c>
      <c r="B3649" s="9" t="inlineStr">
        <is>
          <t>ZOEY 20/04/2026</t>
        </is>
      </c>
      <c r="C3649" s="9" t="inlineStr">
        <is>
          <t>2026-04-20</t>
        </is>
      </c>
      <c r="D3649" s="9" t="inlineStr">
        <is>
          <t>40495211372301</t>
        </is>
      </c>
      <c r="E3649" s="9" t="inlineStr">
        <is>
          <t>PERFUME VC EROS EAU DE PARFUM</t>
        </is>
      </c>
      <c r="F3649" s="9" t="inlineStr">
        <is>
          <t>100 ml</t>
        </is>
      </c>
      <c r="G3649" s="9" t="n">
        <v>1</v>
      </c>
      <c r="H3649" s="21" t="n">
        <v>18</v>
      </c>
      <c r="I3649" s="21" t="n">
        <v>460.96</v>
      </c>
      <c r="J3649" s="21" t="n">
        <v>1382.87</v>
      </c>
      <c r="K3649" s="21" t="n">
        <v>1613.35</v>
      </c>
      <c r="L3649" s="21" t="n">
        <v>1843.83</v>
      </c>
      <c r="M3649" s="21" t="n">
        <v>1845</v>
      </c>
    </row>
    <row r="3650">
      <c r="A3650" s="9" t="inlineStr">
        <is>
          <t>ZOEY</t>
        </is>
      </c>
      <c r="B3650" s="9" t="inlineStr">
        <is>
          <t>ZOEY 20/04/2026</t>
        </is>
      </c>
      <c r="C3650" s="9" t="inlineStr">
        <is>
          <t>2026-04-20</t>
        </is>
      </c>
      <c r="D3650" s="9" t="inlineStr">
        <is>
          <t>34163621682221</t>
        </is>
      </c>
      <c r="E3650" s="9" t="inlineStr">
        <is>
          <t>PERFUME VERSACE CRYSTAL NOIR</t>
        </is>
      </c>
      <c r="F3650" s="9" t="inlineStr">
        <is>
          <t>Default Title</t>
        </is>
      </c>
      <c r="G3650" s="9" t="n">
        <v>2</v>
      </c>
      <c r="H3650" s="21" t="n">
        <v>18</v>
      </c>
      <c r="I3650" s="21" t="n">
        <v>460.96</v>
      </c>
      <c r="J3650" s="21" t="n">
        <v>1382.87</v>
      </c>
      <c r="K3650" s="21" t="n">
        <v>1613.35</v>
      </c>
      <c r="L3650" s="21" t="n">
        <v>1843.83</v>
      </c>
      <c r="M3650" s="21" t="n">
        <v>1849</v>
      </c>
    </row>
    <row r="3651">
      <c r="A3651" s="9" t="inlineStr">
        <is>
          <t>ZOEY</t>
        </is>
      </c>
      <c r="B3651" s="9" t="inlineStr">
        <is>
          <t>ZOEY 20/04/2026</t>
        </is>
      </c>
      <c r="C3651" s="9" t="inlineStr">
        <is>
          <t>2026-04-20</t>
        </is>
      </c>
      <c r="D3651" s="9" t="inlineStr">
        <is>
          <t>34163622950605</t>
        </is>
      </c>
      <c r="E3651" s="9" t="inlineStr">
        <is>
          <t>PERFUME YOU STRONGER TOBACCO</t>
        </is>
      </c>
      <c r="F3651" s="9" t="inlineStr">
        <is>
          <t>Default Title</t>
        </is>
      </c>
      <c r="G3651" s="9" t="n">
        <v>2</v>
      </c>
      <c r="H3651" s="21" t="n">
        <v>18</v>
      </c>
      <c r="I3651" s="21" t="n">
        <v>460.96</v>
      </c>
      <c r="J3651" s="21" t="n">
        <v>1382.87</v>
      </c>
      <c r="K3651" s="21" t="n">
        <v>1613.35</v>
      </c>
      <c r="L3651" s="21" t="n">
        <v>1843.83</v>
      </c>
      <c r="M3651" s="21" t="n">
        <v>1849</v>
      </c>
    </row>
    <row r="3652">
      <c r="A3652" s="9" t="inlineStr">
        <is>
          <t>ZOEY</t>
        </is>
      </c>
      <c r="B3652" s="9" t="inlineStr">
        <is>
          <t>ZOEY 20/04/2026</t>
        </is>
      </c>
      <c r="C3652" s="9" t="inlineStr">
        <is>
          <t>2026-04-20</t>
        </is>
      </c>
      <c r="D3652" s="9" t="inlineStr">
        <is>
          <t>95510921069549</t>
        </is>
      </c>
      <c r="E3652" s="9" t="inlineStr">
        <is>
          <t>PERFUME YSL BLACK OPIUM OVER RED</t>
        </is>
      </c>
      <c r="F3652" s="9" t="inlineStr">
        <is>
          <t>Default Title</t>
        </is>
      </c>
      <c r="G3652" s="9" t="n">
        <v>2</v>
      </c>
      <c r="H3652" s="21" t="n">
        <v>18</v>
      </c>
      <c r="I3652" s="21" t="n">
        <v>460.96</v>
      </c>
      <c r="J3652" s="21" t="n">
        <v>1382.87</v>
      </c>
      <c r="K3652" s="21" t="n">
        <v>1613.35</v>
      </c>
      <c r="L3652" s="21" t="n">
        <v>1843.83</v>
      </c>
      <c r="M3652" s="21" t="n">
        <v>1849</v>
      </c>
    </row>
    <row r="3653">
      <c r="A3653" s="9" t="inlineStr">
        <is>
          <t>ZOEY</t>
        </is>
      </c>
      <c r="B3653" s="9" t="inlineStr">
        <is>
          <t>ZOEY 20/04/2026</t>
        </is>
      </c>
      <c r="C3653" s="9" t="inlineStr">
        <is>
          <t>2026-04-20</t>
        </is>
      </c>
      <c r="D3653" s="9" t="inlineStr">
        <is>
          <t>34163621292397</t>
        </is>
      </c>
      <c r="E3653" s="9" t="inlineStr">
        <is>
          <t>PERFUME YSL MEN</t>
        </is>
      </c>
      <c r="F3653" s="9" t="inlineStr">
        <is>
          <t>Default Title</t>
        </is>
      </c>
      <c r="G3653" s="9" t="n">
        <v>2</v>
      </c>
      <c r="H3653" s="21" t="n">
        <v>18</v>
      </c>
      <c r="I3653" s="21" t="n">
        <v>460.96</v>
      </c>
      <c r="J3653" s="21" t="n">
        <v>1382.87</v>
      </c>
      <c r="K3653" s="21" t="n">
        <v>1613.35</v>
      </c>
      <c r="L3653" s="21" t="n">
        <v>1843.83</v>
      </c>
      <c r="M3653" s="21" t="n">
        <v>1849</v>
      </c>
    </row>
    <row r="3654">
      <c r="A3654" s="9" t="inlineStr">
        <is>
          <t>ZOEY</t>
        </is>
      </c>
      <c r="B3654" s="9" t="inlineStr">
        <is>
          <t>ZOEY 20/04/2026</t>
        </is>
      </c>
      <c r="C3654" s="9" t="inlineStr">
        <is>
          <t>2026-04-20</t>
        </is>
      </c>
      <c r="D3654" s="9" t="inlineStr">
        <is>
          <t>95510922056045</t>
        </is>
      </c>
      <c r="E3654" s="9" t="inlineStr">
        <is>
          <t>PERFUME YSL MYSLF</t>
        </is>
      </c>
      <c r="F3654" s="9" t="inlineStr">
        <is>
          <t>Default Title</t>
        </is>
      </c>
      <c r="G3654" s="9" t="n">
        <v>2</v>
      </c>
      <c r="H3654" s="21" t="n">
        <v>18</v>
      </c>
      <c r="I3654" s="21" t="n">
        <v>460.96</v>
      </c>
      <c r="J3654" s="21" t="n">
        <v>1382.87</v>
      </c>
      <c r="K3654" s="21" t="n">
        <v>1613.35</v>
      </c>
      <c r="L3654" s="21" t="n">
        <v>1843.83</v>
      </c>
      <c r="M3654" s="21" t="n">
        <v>1849</v>
      </c>
    </row>
    <row r="3655">
      <c r="A3655" s="9" t="inlineStr">
        <is>
          <t>ZOEY</t>
        </is>
      </c>
      <c r="B3655" s="9" t="inlineStr">
        <is>
          <t>ZOEY 20/04/2026</t>
        </is>
      </c>
      <c r="C3655" s="9" t="inlineStr">
        <is>
          <t>2026-04-20</t>
        </is>
      </c>
      <c r="D3655" s="9" t="inlineStr">
        <is>
          <t>34163621418381</t>
        </is>
      </c>
      <c r="E3655" s="9" t="inlineStr">
        <is>
          <t>PERUFUME JEAN PAUL SCANDAL WOMEN</t>
        </is>
      </c>
      <c r="F3655" s="9" t="inlineStr">
        <is>
          <t>REGULAR</t>
        </is>
      </c>
      <c r="G3655" s="9" t="n">
        <v>2</v>
      </c>
      <c r="H3655" s="21" t="n">
        <v>18</v>
      </c>
      <c r="I3655" s="21" t="n">
        <v>460.96</v>
      </c>
      <c r="J3655" s="21" t="n">
        <v>1382.87</v>
      </c>
      <c r="K3655" s="21" t="n">
        <v>1613.35</v>
      </c>
      <c r="L3655" s="21" t="n">
        <v>1843.83</v>
      </c>
      <c r="M3655" s="21" t="n">
        <v>1849</v>
      </c>
    </row>
    <row r="3656">
      <c r="A3656" s="9" t="inlineStr">
        <is>
          <t>ZOEY</t>
        </is>
      </c>
      <c r="B3656" s="9" t="inlineStr">
        <is>
          <t>ZOEY 20/04/2026</t>
        </is>
      </c>
      <c r="C3656" s="9" t="inlineStr">
        <is>
          <t>2026-04-20</t>
        </is>
      </c>
      <c r="D3656" s="9" t="inlineStr">
        <is>
          <t>34163623457677</t>
        </is>
      </c>
      <c r="E3656" s="9" t="inlineStr">
        <is>
          <t>PULSERA DE TENNIS DIAMONDS BLUE</t>
        </is>
      </c>
      <c r="F3656" s="9" t="inlineStr">
        <is>
          <t>Default Title</t>
        </is>
      </c>
      <c r="G3656" s="9" t="n">
        <v>2</v>
      </c>
      <c r="H3656" s="21" t="n">
        <v>12</v>
      </c>
      <c r="I3656" s="21" t="n">
        <v>307.31</v>
      </c>
      <c r="J3656" s="21" t="n">
        <v>921.92</v>
      </c>
      <c r="K3656" s="21" t="n">
        <v>1075.57</v>
      </c>
      <c r="L3656" s="21" t="n">
        <v>1229.22</v>
      </c>
      <c r="M3656" s="21" t="n">
        <v>1075</v>
      </c>
    </row>
    <row r="3657">
      <c r="A3657" s="9" t="inlineStr">
        <is>
          <t>ZOEY</t>
        </is>
      </c>
      <c r="B3657" s="9" t="inlineStr">
        <is>
          <t>ZOEY 20/04/2026</t>
        </is>
      </c>
      <c r="C3657" s="9" t="inlineStr">
        <is>
          <t>2026-04-20</t>
        </is>
      </c>
      <c r="D3657" s="9" t="inlineStr">
        <is>
          <t>34163623595533</t>
        </is>
      </c>
      <c r="E3657" s="9" t="inlineStr">
        <is>
          <t>PULSERA DE TENNIS DIAMONDS GOLD</t>
        </is>
      </c>
      <c r="F3657" s="9" t="inlineStr">
        <is>
          <t>Default Title</t>
        </is>
      </c>
      <c r="G3657" s="9" t="n">
        <v>2</v>
      </c>
      <c r="H3657" s="21" t="n">
        <v>10</v>
      </c>
      <c r="I3657" s="21" t="n">
        <v>256.09</v>
      </c>
      <c r="J3657" s="21" t="n">
        <v>768.26</v>
      </c>
      <c r="K3657" s="21" t="n">
        <v>896.3099999999999</v>
      </c>
      <c r="L3657" s="21" t="n">
        <v>1024.35</v>
      </c>
      <c r="M3657" s="21" t="n">
        <v>899</v>
      </c>
    </row>
    <row r="3658">
      <c r="A3658" s="9" t="inlineStr">
        <is>
          <t>ZOEY</t>
        </is>
      </c>
      <c r="B3658" s="9" t="inlineStr">
        <is>
          <t>ZOEY 20/04/2026</t>
        </is>
      </c>
      <c r="C3658" s="9" t="inlineStr">
        <is>
          <t>2026-04-20</t>
        </is>
      </c>
      <c r="D3658" s="9" t="inlineStr">
        <is>
          <t>34163623621517</t>
        </is>
      </c>
      <c r="E3658" s="9" t="inlineStr">
        <is>
          <t>PULSERA DE TENNIS DIAMONDS SILVER</t>
        </is>
      </c>
      <c r="F3658" s="9" t="inlineStr">
        <is>
          <t>Default Title</t>
        </is>
      </c>
      <c r="G3658" s="9" t="n">
        <v>2</v>
      </c>
      <c r="H3658" s="21" t="n">
        <v>9</v>
      </c>
      <c r="I3658" s="21" t="n">
        <v>230.48</v>
      </c>
      <c r="J3658" s="21" t="n">
        <v>691.4400000000001</v>
      </c>
      <c r="K3658" s="21" t="n">
        <v>806.6799999999999</v>
      </c>
      <c r="L3658" s="21" t="n">
        <v>921.92</v>
      </c>
      <c r="M3658" s="21" t="n">
        <v>809</v>
      </c>
    </row>
    <row r="3659">
      <c r="A3659" s="9" t="inlineStr">
        <is>
          <t>ZOEY</t>
        </is>
      </c>
      <c r="B3659" s="9" t="inlineStr">
        <is>
          <t>ZOEY 20/04/2026</t>
        </is>
      </c>
      <c r="C3659" s="9" t="inlineStr">
        <is>
          <t>2026-04-20</t>
        </is>
      </c>
      <c r="D3659" s="9" t="inlineStr">
        <is>
          <t>17360611212237</t>
        </is>
      </c>
      <c r="E3659" s="9" t="inlineStr">
        <is>
          <t>RELOJ BALLON BLUE C</t>
        </is>
      </c>
      <c r="F3659" s="9" t="inlineStr">
        <is>
          <t>RELOJ SIN CAJA</t>
        </is>
      </c>
      <c r="G3659" s="9" t="n">
        <v>6</v>
      </c>
      <c r="H3659" s="21" t="n">
        <v>28</v>
      </c>
      <c r="I3659" s="21" t="n">
        <v>717.05</v>
      </c>
      <c r="J3659" s="21" t="n">
        <v>2151.14</v>
      </c>
      <c r="K3659" s="21" t="n">
        <v>2509.66</v>
      </c>
      <c r="L3659" s="21" t="n">
        <v>2868.18</v>
      </c>
      <c r="M3659" s="21" t="n">
        <v>3999</v>
      </c>
    </row>
    <row r="3660">
      <c r="A3660" s="9" t="inlineStr">
        <is>
          <t>ZOEY</t>
        </is>
      </c>
      <c r="B3660" s="9" t="inlineStr">
        <is>
          <t>ZOEY 20/04/2026</t>
        </is>
      </c>
      <c r="C3660" s="9" t="inlineStr">
        <is>
          <t>2026-04-20</t>
        </is>
      </c>
      <c r="D3660" s="9" t="inlineStr">
        <is>
          <t>34163623705709</t>
        </is>
      </c>
      <c r="E3660" s="9" t="inlineStr">
        <is>
          <t>RELOJ C BAIGNOIRE BLACK-GOLD</t>
        </is>
      </c>
      <c r="F3660" s="9" t="inlineStr">
        <is>
          <t>Default Title</t>
        </is>
      </c>
      <c r="G3660" s="9" t="n">
        <v>2</v>
      </c>
      <c r="H3660" s="21" t="n">
        <v>65</v>
      </c>
      <c r="I3660" s="21" t="n">
        <v>1664.57</v>
      </c>
      <c r="J3660" s="21" t="n">
        <v>4993.71</v>
      </c>
      <c r="K3660" s="21" t="n">
        <v>5826</v>
      </c>
      <c r="L3660" s="21" t="n">
        <v>6658.28</v>
      </c>
      <c r="M3660" s="21" t="n">
        <v>6399</v>
      </c>
    </row>
    <row r="3661">
      <c r="A3661" s="9" t="inlineStr">
        <is>
          <t>ZOEY</t>
        </is>
      </c>
      <c r="B3661" s="9" t="inlineStr">
        <is>
          <t>ZOEY 20/04/2026</t>
        </is>
      </c>
      <c r="C3661" s="9" t="inlineStr">
        <is>
          <t>2026-04-20</t>
        </is>
      </c>
      <c r="D3661" s="9" t="inlineStr">
        <is>
          <t>91345323547213</t>
        </is>
      </c>
      <c r="E3661" s="9" t="inlineStr">
        <is>
          <t>RELOJ C BAIGNOIRE GOLD</t>
        </is>
      </c>
      <c r="F3661" s="9" t="inlineStr">
        <is>
          <t>Default Title</t>
        </is>
      </c>
      <c r="G3661" s="9" t="n">
        <v>2</v>
      </c>
      <c r="H3661" s="21" t="n">
        <v>82</v>
      </c>
      <c r="I3661" s="21" t="n">
        <v>2099.92</v>
      </c>
      <c r="J3661" s="21" t="n">
        <v>6299.76</v>
      </c>
      <c r="K3661" s="21" t="n">
        <v>7349.72</v>
      </c>
      <c r="L3661" s="21" t="n">
        <v>8399.68</v>
      </c>
      <c r="M3661" s="21" t="n">
        <v>7349</v>
      </c>
    </row>
    <row r="3662">
      <c r="A3662" s="9" t="inlineStr">
        <is>
          <t>ZOEY</t>
        </is>
      </c>
      <c r="B3662" s="9" t="inlineStr">
        <is>
          <t>ZOEY 20/04/2026</t>
        </is>
      </c>
      <c r="C3662" s="9" t="inlineStr">
        <is>
          <t>2026-04-20</t>
        </is>
      </c>
      <c r="D3662" s="9" t="inlineStr">
        <is>
          <t>91345323704269</t>
        </is>
      </c>
      <c r="E3662" s="9" t="inlineStr">
        <is>
          <t>RELOJ C BAIGNOIRE ROSEGOLD</t>
        </is>
      </c>
      <c r="F3662" s="9" t="inlineStr">
        <is>
          <t>Default Title</t>
        </is>
      </c>
      <c r="G3662" s="9" t="n">
        <v>2</v>
      </c>
      <c r="H3662" s="21" t="n">
        <v>82</v>
      </c>
      <c r="I3662" s="21" t="n">
        <v>2099.92</v>
      </c>
      <c r="J3662" s="21" t="n">
        <v>6299.76</v>
      </c>
      <c r="K3662" s="21" t="n">
        <v>7349.72</v>
      </c>
      <c r="L3662" s="21" t="n">
        <v>8399.68</v>
      </c>
      <c r="M3662" s="21" t="n">
        <v>7349</v>
      </c>
    </row>
    <row r="3663">
      <c r="A3663" s="9" t="inlineStr">
        <is>
          <t>ZOEY</t>
        </is>
      </c>
      <c r="B3663" s="9" t="inlineStr">
        <is>
          <t>ZOEY 20/04/2026</t>
        </is>
      </c>
      <c r="C3663" s="9" t="inlineStr">
        <is>
          <t>2026-04-20</t>
        </is>
      </c>
      <c r="D3663" s="9" t="inlineStr">
        <is>
          <t>679be1fa82b97</t>
        </is>
      </c>
      <c r="E3663" s="9" t="inlineStr">
        <is>
          <t>RELOJ C SANTOS BLACK</t>
        </is>
      </c>
      <c r="F3663" s="9" t="inlineStr">
        <is>
          <t>RELOJ SIN CAJA MUJER 27mm</t>
        </is>
      </c>
      <c r="G3663" s="9" t="n">
        <v>2</v>
      </c>
      <c r="H3663" s="21" t="n">
        <v>35</v>
      </c>
      <c r="I3663" s="21" t="n">
        <v>896.3099999999999</v>
      </c>
      <c r="J3663" s="21" t="n">
        <v>2688.92</v>
      </c>
      <c r="K3663" s="21" t="n">
        <v>3137.08</v>
      </c>
      <c r="L3663" s="21" t="n">
        <v>3585.23</v>
      </c>
      <c r="M3663" s="21" t="n">
        <v>3899</v>
      </c>
    </row>
    <row r="3664">
      <c r="A3664" s="9" t="inlineStr">
        <is>
          <t>ZOEY</t>
        </is>
      </c>
      <c r="B3664" s="9" t="inlineStr">
        <is>
          <t>ZOEY 20/04/2026</t>
        </is>
      </c>
      <c r="C3664" s="9" t="inlineStr">
        <is>
          <t>2026-04-20</t>
        </is>
      </c>
      <c r="D3664" s="9" t="inlineStr">
        <is>
          <t>17360611377165</t>
        </is>
      </c>
      <c r="E3664" s="9" t="inlineStr">
        <is>
          <t>RELOJ COSMOGRAPH DAYTONA GREEN DIAL R</t>
        </is>
      </c>
      <c r="F3664" s="9" t="inlineStr">
        <is>
          <t>RELOJ SIN CAJA</t>
        </is>
      </c>
      <c r="G3664" s="9" t="n">
        <v>1</v>
      </c>
      <c r="H3664" s="21" t="n">
        <v>48</v>
      </c>
      <c r="I3664" s="21" t="n">
        <v>1229.22</v>
      </c>
      <c r="J3664" s="21" t="n">
        <v>3687.66</v>
      </c>
      <c r="K3664" s="21" t="n">
        <v>4302.27</v>
      </c>
      <c r="L3664" s="21" t="n">
        <v>4916.89</v>
      </c>
      <c r="M3664" s="21" t="n">
        <v>4999</v>
      </c>
    </row>
    <row r="3665">
      <c r="A3665" s="9" t="inlineStr">
        <is>
          <t>ZOEY</t>
        </is>
      </c>
      <c r="B3665" s="9" t="inlineStr">
        <is>
          <t>ZOEY 20/04/2026</t>
        </is>
      </c>
      <c r="C3665" s="9" t="inlineStr">
        <is>
          <t>2026-04-20</t>
        </is>
      </c>
      <c r="D3665" s="9" t="inlineStr">
        <is>
          <t>17360611631598</t>
        </is>
      </c>
      <c r="E3665" s="9" t="inlineStr">
        <is>
          <t>RELOJ GENEVA PP</t>
        </is>
      </c>
      <c r="F3665" s="9" t="inlineStr">
        <is>
          <t>RELOJ SIN CAJA</t>
        </is>
      </c>
      <c r="G3665" s="9" t="n">
        <v>2</v>
      </c>
      <c r="H3665" s="21" t="n">
        <v>68</v>
      </c>
      <c r="I3665" s="21" t="n">
        <v>1741.4</v>
      </c>
      <c r="J3665" s="21" t="n">
        <v>5224.19</v>
      </c>
      <c r="K3665" s="21" t="n">
        <v>6094.89</v>
      </c>
      <c r="L3665" s="21" t="n">
        <v>6965.59</v>
      </c>
      <c r="M3665" s="21" t="n">
        <v>6099</v>
      </c>
    </row>
    <row r="3666">
      <c r="A3666" s="9" t="inlineStr">
        <is>
          <t>ZOEY</t>
        </is>
      </c>
      <c r="B3666" s="9" t="inlineStr">
        <is>
          <t>ZOEY 20/04/2026</t>
        </is>
      </c>
      <c r="C3666" s="9" t="inlineStr">
        <is>
          <t>2026-04-20</t>
        </is>
      </c>
      <c r="D3666" s="9" t="inlineStr">
        <is>
          <t>17360611572910</t>
        </is>
      </c>
      <c r="E3666" s="9" t="inlineStr">
        <is>
          <t>RELOJ NAUTILUS PP</t>
        </is>
      </c>
      <c r="F3666" s="9" t="inlineStr">
        <is>
          <t>RELOJ CON CAJA</t>
        </is>
      </c>
      <c r="G3666" s="9" t="n">
        <v>3</v>
      </c>
      <c r="H3666" s="21" t="n">
        <v>58</v>
      </c>
      <c r="I3666" s="21" t="n">
        <v>1485.31</v>
      </c>
      <c r="J3666" s="21" t="n">
        <v>4455.93</v>
      </c>
      <c r="K3666" s="21" t="n">
        <v>5198.58</v>
      </c>
      <c r="L3666" s="21" t="n">
        <v>5941.24</v>
      </c>
      <c r="M3666" s="21" t="n">
        <v>5199</v>
      </c>
    </row>
    <row r="3667">
      <c r="A3667" s="9" t="inlineStr">
        <is>
          <t>ZOEY</t>
        </is>
      </c>
      <c r="B3667" s="9" t="inlineStr">
        <is>
          <t>ZOEY 20/04/2026</t>
        </is>
      </c>
      <c r="C3667" s="9" t="inlineStr">
        <is>
          <t>2026-04-20</t>
        </is>
      </c>
      <c r="D3667" s="9" t="inlineStr">
        <is>
          <t>53890267165196</t>
        </is>
      </c>
      <c r="E3667" s="9" t="inlineStr">
        <is>
          <t>RELOJ PANTHERE GOLD</t>
        </is>
      </c>
      <c r="F3667" s="9" t="inlineStr">
        <is>
          <t>RELOJ SIN CAJA</t>
        </is>
      </c>
      <c r="G3667" s="9" t="n">
        <v>5</v>
      </c>
      <c r="H3667" s="21" t="n">
        <v>60</v>
      </c>
      <c r="I3667" s="21" t="n">
        <v>1536.53</v>
      </c>
      <c r="J3667" s="21" t="n">
        <v>4609.58</v>
      </c>
      <c r="K3667" s="21" t="n">
        <v>5377.84</v>
      </c>
      <c r="L3667" s="21" t="n">
        <v>6146.11</v>
      </c>
      <c r="M3667" s="21" t="n">
        <v>5379</v>
      </c>
    </row>
    <row r="3668">
      <c r="A3668" s="9" t="inlineStr">
        <is>
          <t>ZOEY</t>
        </is>
      </c>
      <c r="B3668" s="9" t="inlineStr">
        <is>
          <t>ZOEY 20/04/2026</t>
        </is>
      </c>
      <c r="C3668" s="9" t="inlineStr">
        <is>
          <t>2026-04-20</t>
        </is>
      </c>
      <c r="D3668" s="9" t="inlineStr">
        <is>
          <t>67535d2d7860a-1</t>
        </is>
      </c>
      <c r="E3668" s="9" t="inlineStr">
        <is>
          <t>RELOJ PANTHERE GOLD SILVER</t>
        </is>
      </c>
      <c r="F3668" s="9" t="inlineStr">
        <is>
          <t>RELOJ SIN CAJA</t>
        </is>
      </c>
      <c r="G3668" s="9" t="n">
        <v>7</v>
      </c>
      <c r="H3668" s="21" t="n">
        <v>58</v>
      </c>
      <c r="I3668" s="21" t="n">
        <v>1485.31</v>
      </c>
      <c r="J3668" s="21" t="n">
        <v>4455.93</v>
      </c>
      <c r="K3668" s="21" t="n">
        <v>5198.58</v>
      </c>
      <c r="L3668" s="21" t="n">
        <v>5941.24</v>
      </c>
      <c r="M3668" s="21" t="n">
        <v>5995.16</v>
      </c>
    </row>
    <row r="3669">
      <c r="A3669" s="9" t="inlineStr">
        <is>
          <t>ZOEY</t>
        </is>
      </c>
      <c r="B3669" s="9" t="inlineStr">
        <is>
          <t>ZOEY 20/04/2026</t>
        </is>
      </c>
      <c r="C3669" s="9" t="inlineStr">
        <is>
          <t>2026-04-20</t>
        </is>
      </c>
      <c r="D3669" s="9" t="inlineStr">
        <is>
          <t>67535d2d7860a-1</t>
        </is>
      </c>
      <c r="E3669" s="9" t="inlineStr">
        <is>
          <t>RELOJ PANTHERE GOLD SILVER</t>
        </is>
      </c>
      <c r="F3669" s="9" t="inlineStr">
        <is>
          <t>RELOJ SIN CAJA</t>
        </is>
      </c>
      <c r="G3669" s="9" t="n">
        <v>1</v>
      </c>
      <c r="H3669" s="21" t="n"/>
      <c r="I3669" s="21" t="n">
        <v>0</v>
      </c>
      <c r="J3669" s="21" t="n">
        <v>0</v>
      </c>
      <c r="K3669" s="21" t="n">
        <v>0</v>
      </c>
      <c r="L3669" s="21" t="n">
        <v>0</v>
      </c>
      <c r="M3669" s="21" t="n">
        <v>5995.16</v>
      </c>
    </row>
    <row r="3670">
      <c r="A3670" s="9" t="inlineStr">
        <is>
          <t>ZOEY</t>
        </is>
      </c>
      <c r="B3670" s="9" t="inlineStr">
        <is>
          <t>ZOEY 20/04/2026</t>
        </is>
      </c>
      <c r="C3670" s="9" t="inlineStr">
        <is>
          <t>2026-04-20</t>
        </is>
      </c>
      <c r="D3670" s="9" t="inlineStr">
        <is>
          <t>677c26b37ee9a</t>
        </is>
      </c>
      <c r="E3670" s="9" t="inlineStr">
        <is>
          <t>RELOJ PP NAUTILUS ROSEGOLD</t>
        </is>
      </c>
      <c r="F3670" s="9" t="inlineStr">
        <is>
          <t>Default Title</t>
        </is>
      </c>
      <c r="G3670" s="9" t="n">
        <v>3</v>
      </c>
      <c r="H3670" s="21" t="n">
        <v>72</v>
      </c>
      <c r="I3670" s="21" t="n">
        <v>1843.83</v>
      </c>
      <c r="J3670" s="21" t="n">
        <v>5531.5</v>
      </c>
      <c r="K3670" s="21" t="n">
        <v>6453.41</v>
      </c>
      <c r="L3670" s="21" t="n">
        <v>7375.33</v>
      </c>
      <c r="M3670" s="21" t="n">
        <v>6459</v>
      </c>
    </row>
    <row r="3671">
      <c r="A3671" s="9" t="inlineStr">
        <is>
          <t>ZOEY</t>
        </is>
      </c>
      <c r="B3671" s="9" t="inlineStr">
        <is>
          <t>ZOEY 20/04/2026</t>
        </is>
      </c>
      <c r="C3671" s="9" t="inlineStr">
        <is>
          <t>2026-04-20</t>
        </is>
      </c>
      <c r="D3671" s="9" t="inlineStr">
        <is>
          <t>47030519289356</t>
        </is>
      </c>
      <c r="E3671" s="9" t="inlineStr">
        <is>
          <t>RELOJ RX OYSTER PERPETUAL GREEN</t>
        </is>
      </c>
      <c r="F3671" s="9" t="inlineStr">
        <is>
          <t>RELOJ SIN CAJA</t>
        </is>
      </c>
      <c r="G3671" s="9" t="n">
        <v>4</v>
      </c>
      <c r="H3671" s="21" t="n">
        <v>42</v>
      </c>
      <c r="I3671" s="21" t="n">
        <v>1075.57</v>
      </c>
      <c r="J3671" s="21" t="n">
        <v>3226.71</v>
      </c>
      <c r="K3671" s="21" t="n">
        <v>3764.49</v>
      </c>
      <c r="L3671" s="21" t="n">
        <v>4302.27</v>
      </c>
      <c r="M3671" s="21" t="n">
        <v>4309</v>
      </c>
    </row>
    <row r="3672">
      <c r="A3672" s="9" t="inlineStr">
        <is>
          <t>ZOEY</t>
        </is>
      </c>
      <c r="B3672" s="9" t="inlineStr">
        <is>
          <t>ZOEY 20/04/2026</t>
        </is>
      </c>
      <c r="C3672" s="9" t="inlineStr">
        <is>
          <t>2026-04-20</t>
        </is>
      </c>
      <c r="D3672" s="9" t="inlineStr">
        <is>
          <t>34163622492077</t>
        </is>
      </c>
      <c r="E3672" s="9" t="inlineStr">
        <is>
          <t>SANDALIAS CD DIORACT WHITE</t>
        </is>
      </c>
      <c r="F3672" s="9" t="inlineStr">
        <is>
          <t>38/25mx</t>
        </is>
      </c>
      <c r="G3672" s="9" t="n">
        <v>2</v>
      </c>
      <c r="H3672" s="21" t="n">
        <v>60</v>
      </c>
      <c r="I3672" s="21" t="n">
        <v>1536.53</v>
      </c>
      <c r="J3672" s="21" t="n">
        <v>4609.58</v>
      </c>
      <c r="K3672" s="21" t="n">
        <v>5377.84</v>
      </c>
      <c r="L3672" s="21" t="n">
        <v>6146.11</v>
      </c>
      <c r="M3672" s="21" t="n">
        <v>5899</v>
      </c>
    </row>
    <row r="3673">
      <c r="A3673" s="9" t="inlineStr">
        <is>
          <t>ZOEY</t>
        </is>
      </c>
      <c r="B3673" s="9" t="inlineStr">
        <is>
          <t>ZOEY 20/04/2026</t>
        </is>
      </c>
      <c r="C3673" s="9" t="inlineStr">
        <is>
          <t>2026-04-20</t>
        </is>
      </c>
      <c r="D3673" s="9" t="inlineStr">
        <is>
          <t>34163622524845</t>
        </is>
      </c>
      <c r="E3673" s="9" t="inlineStr">
        <is>
          <t>SANDALIAS CD DIORACT WHITE</t>
        </is>
      </c>
      <c r="F3673" s="9" t="inlineStr">
        <is>
          <t>36/24mx</t>
        </is>
      </c>
      <c r="G3673" s="9" t="n">
        <v>2</v>
      </c>
      <c r="H3673" s="21" t="n">
        <v>60</v>
      </c>
      <c r="I3673" s="21" t="n">
        <v>1536.53</v>
      </c>
      <c r="J3673" s="21" t="n">
        <v>4609.58</v>
      </c>
      <c r="K3673" s="21" t="n">
        <v>5377.84</v>
      </c>
      <c r="L3673" s="21" t="n">
        <v>6146.11</v>
      </c>
      <c r="M3673" s="21" t="n">
        <v>5379</v>
      </c>
    </row>
    <row r="3674">
      <c r="A3674" s="9" t="inlineStr">
        <is>
          <t>ZOEY</t>
        </is>
      </c>
      <c r="B3674" s="9" t="inlineStr">
        <is>
          <t>ZOEY 20/04/2026</t>
        </is>
      </c>
      <c r="C3674" s="9" t="inlineStr">
        <is>
          <t>2026-04-20</t>
        </is>
      </c>
      <c r="D3674" s="9" t="inlineStr">
        <is>
          <t>42834310172300</t>
        </is>
      </c>
      <c r="E3674" s="9" t="inlineStr">
        <is>
          <t>SANDALIAS CD MULE</t>
        </is>
      </c>
      <c r="F3674" s="9" t="inlineStr">
        <is>
          <t>23cm</t>
        </is>
      </c>
      <c r="G3674" s="9" t="n">
        <v>4</v>
      </c>
      <c r="H3674" s="21" t="n">
        <v>35</v>
      </c>
      <c r="I3674" s="21" t="n">
        <v>896.3099999999999</v>
      </c>
      <c r="J3674" s="21" t="n">
        <v>2688.92</v>
      </c>
      <c r="K3674" s="21" t="n">
        <v>3137.08</v>
      </c>
      <c r="L3674" s="21" t="n">
        <v>3585.23</v>
      </c>
      <c r="M3674" s="21" t="n">
        <v>3719</v>
      </c>
    </row>
    <row r="3675">
      <c r="A3675" s="9" t="inlineStr">
        <is>
          <t>ZOEY</t>
        </is>
      </c>
      <c r="B3675" s="9" t="inlineStr">
        <is>
          <t>ZOEY 20/04/2026</t>
        </is>
      </c>
      <c r="C3675" s="9" t="inlineStr">
        <is>
          <t>2026-04-20</t>
        </is>
      </c>
      <c r="D3675" s="9" t="inlineStr">
        <is>
          <t>42834310237836</t>
        </is>
      </c>
      <c r="E3675" s="9" t="inlineStr">
        <is>
          <t>SANDALIAS CD MULE</t>
        </is>
      </c>
      <c r="F3675" s="9" t="inlineStr">
        <is>
          <t>25cm</t>
        </is>
      </c>
      <c r="G3675" s="9" t="n">
        <v>2</v>
      </c>
      <c r="H3675" s="21" t="n">
        <v>35</v>
      </c>
      <c r="I3675" s="21" t="n">
        <v>896.3099999999999</v>
      </c>
      <c r="J3675" s="21" t="n">
        <v>2688.92</v>
      </c>
      <c r="K3675" s="21" t="n">
        <v>3137.08</v>
      </c>
      <c r="L3675" s="21" t="n">
        <v>3585.23</v>
      </c>
      <c r="M3675" s="21" t="n">
        <v>3719</v>
      </c>
    </row>
    <row r="3676">
      <c r="A3676" s="9" t="inlineStr">
        <is>
          <t>ZOEY</t>
        </is>
      </c>
      <c r="B3676" s="9" t="inlineStr">
        <is>
          <t>ZOEY 20/04/2026</t>
        </is>
      </c>
      <c r="C3676" s="9" t="inlineStr">
        <is>
          <t>2026-04-20</t>
        </is>
      </c>
      <c r="D3676" s="9" t="inlineStr">
        <is>
          <t>34163622177965</t>
        </is>
      </c>
      <c r="E3676" s="9" t="inlineStr">
        <is>
          <t>SANDALIAS F FEEL BLACK</t>
        </is>
      </c>
      <c r="F3676" s="9" t="inlineStr">
        <is>
          <t>38/25mx</t>
        </is>
      </c>
      <c r="G3676" s="9" t="n">
        <v>2</v>
      </c>
      <c r="H3676" s="21" t="n">
        <v>55</v>
      </c>
      <c r="I3676" s="21" t="n">
        <v>1408.48</v>
      </c>
      <c r="J3676" s="21" t="n">
        <v>4225.45</v>
      </c>
      <c r="K3676" s="21" t="n">
        <v>4929.69</v>
      </c>
      <c r="L3676" s="21" t="n">
        <v>5633.93</v>
      </c>
      <c r="M3676" s="21" t="n">
        <v>5399</v>
      </c>
    </row>
    <row r="3677">
      <c r="A3677" s="9" t="inlineStr">
        <is>
          <t>ZOEY</t>
        </is>
      </c>
      <c r="B3677" s="9" t="inlineStr">
        <is>
          <t>ZOEY 20/04/2026</t>
        </is>
      </c>
      <c r="C3677" s="9" t="inlineStr">
        <is>
          <t>2026-04-20</t>
        </is>
      </c>
      <c r="D3677" s="9" t="inlineStr">
        <is>
          <t>34163622623149</t>
        </is>
      </c>
      <c r="E3677" s="9" t="inlineStr">
        <is>
          <t>SANDALIAS LV MULE BOM DIA</t>
        </is>
      </c>
      <c r="F3677" s="9" t="inlineStr">
        <is>
          <t>38/24mx</t>
        </is>
      </c>
      <c r="G3677" s="9" t="n">
        <v>2</v>
      </c>
      <c r="H3677" s="21" t="n">
        <v>50</v>
      </c>
      <c r="I3677" s="21" t="n">
        <v>1280.44</v>
      </c>
      <c r="J3677" s="21" t="n">
        <v>3841.32</v>
      </c>
      <c r="K3677" s="21" t="n">
        <v>4481.54</v>
      </c>
      <c r="L3677" s="21" t="n">
        <v>5121.76</v>
      </c>
      <c r="M3677" s="21" t="n">
        <v>5122</v>
      </c>
    </row>
    <row r="3678">
      <c r="A3678" s="9" t="inlineStr">
        <is>
          <t>ZOEY</t>
        </is>
      </c>
      <c r="B3678" s="9" t="inlineStr">
        <is>
          <t>ZOEY 20/04/2026</t>
        </is>
      </c>
      <c r="C3678" s="9" t="inlineStr">
        <is>
          <t>2026-04-20</t>
        </is>
      </c>
      <c r="D3678" s="9" t="inlineStr">
        <is>
          <t>33644561619885</t>
        </is>
      </c>
      <c r="E3678" s="9" t="inlineStr">
        <is>
          <t>SOMBRERO MM RAFFIA BEIGE/RED</t>
        </is>
      </c>
      <c r="F3678" s="9" t="inlineStr">
        <is>
          <t>Default Title</t>
        </is>
      </c>
      <c r="G3678" s="9" t="n">
        <v>1</v>
      </c>
      <c r="H3678" s="21" t="n">
        <v>32</v>
      </c>
      <c r="I3678" s="21" t="n">
        <v>819.48</v>
      </c>
      <c r="J3678" s="21" t="n">
        <v>2458.44</v>
      </c>
      <c r="K3678" s="21" t="n">
        <v>2868.18</v>
      </c>
      <c r="L3678" s="21" t="n">
        <v>3277.92</v>
      </c>
      <c r="M3678" s="21" t="n">
        <v>3499</v>
      </c>
    </row>
    <row r="3679">
      <c r="A3679" s="9" t="inlineStr">
        <is>
          <t>ZOEY</t>
        </is>
      </c>
      <c r="B3679" s="9" t="inlineStr">
        <is>
          <t>ZOEY 20/04/2026</t>
        </is>
      </c>
      <c r="C3679" s="9" t="inlineStr">
        <is>
          <t>2026-04-20</t>
        </is>
      </c>
      <c r="D3679" s="9" t="inlineStr">
        <is>
          <t>72233622795788</t>
        </is>
      </c>
      <c r="E3679" s="9" t="inlineStr">
        <is>
          <t>SUÉTER PR MILANO WHITE</t>
        </is>
      </c>
      <c r="F3679" s="9" t="inlineStr">
        <is>
          <t>L</t>
        </is>
      </c>
      <c r="G3679" s="9" t="n">
        <v>1</v>
      </c>
      <c r="H3679" s="21" t="n">
        <v>38</v>
      </c>
      <c r="I3679" s="21" t="n">
        <v>973.13</v>
      </c>
      <c r="J3679" s="21" t="n">
        <v>2919.4</v>
      </c>
      <c r="K3679" s="21" t="n">
        <v>3405.97</v>
      </c>
      <c r="L3679" s="21" t="n">
        <v>3892.53</v>
      </c>
      <c r="M3679" s="21" t="n">
        <v>3260</v>
      </c>
    </row>
    <row r="3680">
      <c r="A3680" s="9" t="inlineStr">
        <is>
          <t>ZOEY</t>
        </is>
      </c>
      <c r="B3680" s="9" t="inlineStr">
        <is>
          <t>ZOEY 20/04/2026</t>
        </is>
      </c>
      <c r="C3680" s="9" t="inlineStr">
        <is>
          <t>2026-04-20</t>
        </is>
      </c>
      <c r="D3680" s="9" t="inlineStr">
        <is>
          <t>43728117034540</t>
        </is>
      </c>
      <c r="E3680" s="9" t="inlineStr">
        <is>
          <t>TARJETERO YSL GOLD</t>
        </is>
      </c>
      <c r="F3680" s="9" t="inlineStr">
        <is>
          <t>HIGH QUALITY</t>
        </is>
      </c>
      <c r="G3680" s="9" t="n">
        <v>8</v>
      </c>
      <c r="H3680" s="21" t="n">
        <v>13</v>
      </c>
      <c r="I3680" s="21" t="n">
        <v>332.91</v>
      </c>
      <c r="J3680" s="21" t="n">
        <v>998.74</v>
      </c>
      <c r="K3680" s="21" t="n">
        <v>1165.2</v>
      </c>
      <c r="L3680" s="21" t="n">
        <v>1331.66</v>
      </c>
      <c r="M3680" s="21" t="n">
        <v>1399</v>
      </c>
    </row>
    <row r="3681">
      <c r="A3681" s="9" t="inlineStr">
        <is>
          <t>ZOEY</t>
        </is>
      </c>
      <c r="B3681" s="9" t="inlineStr">
        <is>
          <t>ZOEY 20/04/2026</t>
        </is>
      </c>
      <c r="C3681" s="9" t="inlineStr">
        <is>
          <t>2026-04-20</t>
        </is>
      </c>
      <c r="D3681" s="9" t="inlineStr">
        <is>
          <t>77590344914188</t>
        </is>
      </c>
      <c r="E3681" s="9" t="inlineStr">
        <is>
          <t>TRAJE DE BAÑO COMPLETO DG</t>
        </is>
      </c>
      <c r="F3681" s="9" t="inlineStr">
        <is>
          <t>M</t>
        </is>
      </c>
      <c r="G3681" s="9" t="n">
        <v>1</v>
      </c>
      <c r="H3681" s="21" t="n"/>
      <c r="I3681" s="21" t="n">
        <v>0</v>
      </c>
      <c r="J3681" s="21" t="n">
        <v>0</v>
      </c>
      <c r="K3681" s="21" t="n">
        <v>0</v>
      </c>
      <c r="L3681" s="21" t="n">
        <v>0</v>
      </c>
      <c r="M3681" s="21" t="n">
        <v>2659</v>
      </c>
    </row>
    <row r="3682">
      <c r="A3682" s="9" t="inlineStr">
        <is>
          <t>ZOEY</t>
        </is>
      </c>
      <c r="B3682" s="9" t="inlineStr">
        <is>
          <t>ZOEY 20/04/2026</t>
        </is>
      </c>
      <c r="C3682" s="9" t="inlineStr">
        <is>
          <t>2026-04-20</t>
        </is>
      </c>
      <c r="D3682" s="9" t="inlineStr">
        <is>
          <t>77590343248780</t>
        </is>
      </c>
      <c r="E3682" s="9" t="inlineStr">
        <is>
          <t>TRAJE DE BAÑO COMPLETO PR</t>
        </is>
      </c>
      <c r="F3682" s="9" t="inlineStr">
        <is>
          <t>M</t>
        </is>
      </c>
      <c r="G3682" s="9" t="n">
        <v>3</v>
      </c>
      <c r="H3682" s="21" t="n">
        <v>25</v>
      </c>
      <c r="I3682" s="21" t="n">
        <v>640.22</v>
      </c>
      <c r="J3682" s="21" t="n">
        <v>1920.66</v>
      </c>
      <c r="K3682" s="21" t="n">
        <v>2240.77</v>
      </c>
      <c r="L3682" s="21" t="n">
        <v>2560.88</v>
      </c>
      <c r="M3682" s="21" t="n">
        <v>2500</v>
      </c>
    </row>
    <row r="3683">
      <c r="A3683" s="9" t="inlineStr">
        <is>
          <t>ZOEY</t>
        </is>
      </c>
      <c r="B3683" s="9" t="inlineStr">
        <is>
          <t>ZOEY 20/04/2026</t>
        </is>
      </c>
      <c r="C3683" s="9" t="inlineStr">
        <is>
          <t>2026-04-20</t>
        </is>
      </c>
      <c r="D3683" s="9" t="inlineStr">
        <is>
          <t>77590343216012</t>
        </is>
      </c>
      <c r="E3683" s="9" t="inlineStr">
        <is>
          <t>TRAJE DE BAÑO COMPLETO PR</t>
        </is>
      </c>
      <c r="F3683" s="9" t="inlineStr">
        <is>
          <t>S</t>
        </is>
      </c>
      <c r="G3683" s="9" t="n">
        <v>2</v>
      </c>
      <c r="H3683" s="21" t="n">
        <v>25</v>
      </c>
      <c r="I3683" s="21" t="n">
        <v>640.22</v>
      </c>
      <c r="J3683" s="21" t="n">
        <v>1920.66</v>
      </c>
      <c r="K3683" s="21" t="n">
        <v>2240.77</v>
      </c>
      <c r="L3683" s="21" t="n">
        <v>2560.88</v>
      </c>
      <c r="M3683" s="21" t="n">
        <v>2500</v>
      </c>
    </row>
    <row r="3684">
      <c r="A3684" s="9" t="inlineStr">
        <is>
          <t>ZOEY</t>
        </is>
      </c>
      <c r="B3684" s="9" t="inlineStr">
        <is>
          <t>ZOEY 20/04/2026</t>
        </is>
      </c>
      <c r="C3684" s="9" t="inlineStr">
        <is>
          <t>2026-04-20</t>
        </is>
      </c>
      <c r="D3684" s="9" t="inlineStr">
        <is>
          <t>91345321754957</t>
        </is>
      </c>
      <c r="E3684" s="9" t="inlineStr">
        <is>
          <t>ZAPATILLAS CD HEELED</t>
        </is>
      </c>
      <c r="F3684" s="9" t="inlineStr">
        <is>
          <t>25MX (39UK)</t>
        </is>
      </c>
      <c r="G3684" s="9" t="n">
        <v>2</v>
      </c>
      <c r="H3684" s="21" t="n">
        <v>65</v>
      </c>
      <c r="I3684" s="21" t="n">
        <v>1664.57</v>
      </c>
      <c r="J3684" s="21" t="n">
        <v>4993.71</v>
      </c>
      <c r="K3684" s="21" t="n">
        <v>5826</v>
      </c>
      <c r="L3684" s="21" t="n">
        <v>6658.28</v>
      </c>
      <c r="M3684" s="21" t="n">
        <v>5826</v>
      </c>
    </row>
    <row r="3685">
      <c r="A3685" s="9" t="inlineStr">
        <is>
          <t>ZOEY</t>
        </is>
      </c>
      <c r="B3685" s="9" t="inlineStr">
        <is>
          <t>ZOEY 20/04/2026</t>
        </is>
      </c>
      <c r="C3685" s="9" t="inlineStr">
        <is>
          <t>2026-04-20</t>
        </is>
      </c>
      <c r="D3685" s="9" t="inlineStr">
        <is>
          <t>34163623210189</t>
        </is>
      </c>
      <c r="E3685" s="9" t="inlineStr">
        <is>
          <t>ZAPATILLAS V ROCKSTUD BEIGE</t>
        </is>
      </c>
      <c r="F3685" s="9" t="inlineStr">
        <is>
          <t>38/24mx</t>
        </is>
      </c>
      <c r="G3685" s="9" t="n">
        <v>2</v>
      </c>
      <c r="H3685" s="21" t="n">
        <v>55</v>
      </c>
      <c r="I3685" s="21" t="n">
        <v>1408.48</v>
      </c>
      <c r="J3685" s="21" t="n">
        <v>4225.45</v>
      </c>
      <c r="K3685" s="21" t="n">
        <v>4929.69</v>
      </c>
      <c r="L3685" s="21" t="n">
        <v>5633.93</v>
      </c>
      <c r="M3685" s="21" t="n">
        <v>5359</v>
      </c>
    </row>
    <row r="3686">
      <c r="A3686" s="9" t="inlineStr">
        <is>
          <t>ZOEY</t>
        </is>
      </c>
      <c r="B3686" s="9" t="inlineStr">
        <is>
          <t>ZOEY 20/04/2026</t>
        </is>
      </c>
      <c r="C3686" s="9" t="inlineStr">
        <is>
          <t>2026-04-20</t>
        </is>
      </c>
      <c r="D3686" s="9" t="inlineStr">
        <is>
          <t>34163623342957</t>
        </is>
      </c>
      <c r="E3686" s="9" t="inlineStr">
        <is>
          <t>ZAPATILLAS V ROCKSTUD BEIGE</t>
        </is>
      </c>
      <c r="F3686" s="9" t="inlineStr">
        <is>
          <t>36/23mx</t>
        </is>
      </c>
      <c r="G3686" s="9" t="n">
        <v>2</v>
      </c>
      <c r="H3686" s="21" t="n">
        <v>55</v>
      </c>
      <c r="I3686" s="21" t="n">
        <v>1408.48</v>
      </c>
      <c r="J3686" s="21" t="n">
        <v>4225.45</v>
      </c>
      <c r="K3686" s="21" t="n">
        <v>4929.69</v>
      </c>
      <c r="L3686" s="21" t="n">
        <v>5633.93</v>
      </c>
      <c r="M3686" s="21" t="n">
        <v>5359</v>
      </c>
    </row>
    <row r="3687">
      <c r="A3687" s="9" t="inlineStr">
        <is>
          <t>ZOEY</t>
        </is>
      </c>
      <c r="B3687" s="9" t="inlineStr">
        <is>
          <t>ZOEY 20/04/2026</t>
        </is>
      </c>
      <c r="C3687" s="9" t="inlineStr">
        <is>
          <t>2026-04-20</t>
        </is>
      </c>
      <c r="D3687" s="9" t="inlineStr">
        <is>
          <t>91345323018381</t>
        </is>
      </c>
      <c r="E3687" s="9" t="inlineStr">
        <is>
          <t>ZAPATILLAS YSL SLINGBACK</t>
        </is>
      </c>
      <c r="F3687" s="9" t="inlineStr">
        <is>
          <t>25MX</t>
        </is>
      </c>
      <c r="G3687" s="9" t="n">
        <v>2</v>
      </c>
      <c r="H3687" s="21" t="n">
        <v>68</v>
      </c>
      <c r="I3687" s="21" t="n">
        <v>1741.4</v>
      </c>
      <c r="J3687" s="21" t="n">
        <v>5224.19</v>
      </c>
      <c r="K3687" s="21" t="n">
        <v>6094.89</v>
      </c>
      <c r="L3687" s="21" t="n">
        <v>6965.59</v>
      </c>
      <c r="M3687" s="21" t="n">
        <v>6099</v>
      </c>
    </row>
    <row r="3688">
      <c r="A3688" s="9" t="inlineStr">
        <is>
          <t>ZOEY</t>
        </is>
      </c>
      <c r="B3688" s="9" t="inlineStr">
        <is>
          <t>ZOEY 20/04/2026</t>
        </is>
      </c>
      <c r="C3688" s="9" t="inlineStr">
        <is>
          <t>2026-04-20</t>
        </is>
      </c>
      <c r="D3688" s="9" t="inlineStr">
        <is>
          <t>91345323151149</t>
        </is>
      </c>
      <c r="E3688" s="9" t="inlineStr">
        <is>
          <t>ZAPATILLAS YSL SLINGBACK</t>
        </is>
      </c>
      <c r="F3688" s="9" t="inlineStr">
        <is>
          <t>24MX</t>
        </is>
      </c>
      <c r="G3688" s="9" t="n">
        <v>2</v>
      </c>
      <c r="H3688" s="21" t="n">
        <v>68</v>
      </c>
      <c r="I3688" s="21" t="n">
        <v>1741.4</v>
      </c>
      <c r="J3688" s="21" t="n">
        <v>5224.19</v>
      </c>
      <c r="K3688" s="21" t="n">
        <v>6094.89</v>
      </c>
      <c r="L3688" s="21" t="n">
        <v>6965.59</v>
      </c>
      <c r="M3688" s="21" t="n">
        <v>6099</v>
      </c>
    </row>
    <row r="3689">
      <c r="A3689" s="9" t="inlineStr">
        <is>
          <t>CYNTHIA</t>
        </is>
      </c>
      <c r="B3689" s="9" t="inlineStr">
        <is>
          <t>CYNTHIA 27/04/2026</t>
        </is>
      </c>
      <c r="C3689" s="9" t="inlineStr">
        <is>
          <t>2026-04-27</t>
        </is>
      </c>
      <c r="D3689" s="9" t="inlineStr">
        <is>
          <t>43047206256780</t>
        </is>
      </c>
      <c r="E3689" s="9" t="inlineStr">
        <is>
          <t>ANILLO LOCK GOLD-SILVER CON ZIRCONIAS</t>
        </is>
      </c>
      <c r="F3689" s="9" t="inlineStr">
        <is>
          <t>6</t>
        </is>
      </c>
      <c r="G3689" s="9" t="n">
        <v>2</v>
      </c>
      <c r="H3689" s="21" t="n">
        <v>12.8</v>
      </c>
      <c r="I3689" s="21" t="n">
        <v>332.16</v>
      </c>
      <c r="J3689" s="21" t="n">
        <v>996.48</v>
      </c>
      <c r="K3689" s="21" t="n">
        <v>1162.56</v>
      </c>
      <c r="L3689" s="21" t="n">
        <v>1328.64</v>
      </c>
      <c r="M3689" s="21" t="n">
        <v>1189</v>
      </c>
    </row>
    <row r="3690">
      <c r="A3690" s="9" t="inlineStr">
        <is>
          <t>CYNTHIA</t>
        </is>
      </c>
      <c r="B3690" s="9" t="inlineStr">
        <is>
          <t>CYNTHIA 27/04/2026</t>
        </is>
      </c>
      <c r="C3690" s="9" t="inlineStr">
        <is>
          <t>2026-04-27</t>
        </is>
      </c>
      <c r="D3690" s="9" t="inlineStr">
        <is>
          <t>43047206748300</t>
        </is>
      </c>
      <c r="E3690" s="9" t="inlineStr">
        <is>
          <t>ANILLO LOCK ROSEGOLD-SILVER CON ZIRCONIAS</t>
        </is>
      </c>
      <c r="F3690" s="9" t="inlineStr">
        <is>
          <t>8</t>
        </is>
      </c>
      <c r="G3690" s="9" t="n">
        <v>2</v>
      </c>
      <c r="H3690" s="21" t="n">
        <v>12.8</v>
      </c>
      <c r="I3690" s="21" t="n">
        <v>332.16</v>
      </c>
      <c r="J3690" s="21" t="n">
        <v>996.48</v>
      </c>
      <c r="K3690" s="21" t="n">
        <v>1162.56</v>
      </c>
      <c r="L3690" s="21" t="n">
        <v>1328.64</v>
      </c>
      <c r="M3690" s="21" t="n">
        <v>1169</v>
      </c>
    </row>
    <row r="3691">
      <c r="A3691" s="9" t="inlineStr">
        <is>
          <t>CYNTHIA</t>
        </is>
      </c>
      <c r="B3691" s="9" t="inlineStr">
        <is>
          <t>CYNTHIA 27/04/2026</t>
        </is>
      </c>
      <c r="C3691" s="9" t="inlineStr">
        <is>
          <t>2026-04-27</t>
        </is>
      </c>
      <c r="D3691" s="9" t="inlineStr">
        <is>
          <t>43728112856684</t>
        </is>
      </c>
      <c r="E3691" s="9" t="inlineStr">
        <is>
          <t>ANILLO P STARS</t>
        </is>
      </c>
      <c r="F3691" s="9" t="inlineStr">
        <is>
          <t>6</t>
        </is>
      </c>
      <c r="G3691" s="9" t="n">
        <v>1</v>
      </c>
      <c r="H3691" s="21" t="n"/>
      <c r="I3691" s="21" t="n">
        <v>0</v>
      </c>
      <c r="J3691" s="21" t="n">
        <v>0</v>
      </c>
      <c r="K3691" s="21" t="n">
        <v>0</v>
      </c>
      <c r="L3691" s="21" t="n">
        <v>0</v>
      </c>
      <c r="M3691" s="21" t="n">
        <v>250</v>
      </c>
    </row>
    <row r="3692">
      <c r="A3692" s="9" t="inlineStr">
        <is>
          <t>CYNTHIA</t>
        </is>
      </c>
      <c r="B3692" s="9" t="inlineStr">
        <is>
          <t>CYNTHIA 27/04/2026</t>
        </is>
      </c>
      <c r="C3692" s="9" t="inlineStr">
        <is>
          <t>2026-04-27</t>
        </is>
      </c>
      <c r="D3692" s="9" t="inlineStr">
        <is>
          <t>43071835930764</t>
        </is>
      </c>
      <c r="E3692" s="9" t="inlineStr">
        <is>
          <t>ANILLO P STARS</t>
        </is>
      </c>
      <c r="F3692" s="9" t="inlineStr">
        <is>
          <t>7</t>
        </is>
      </c>
      <c r="G3692" s="9" t="n">
        <v>1</v>
      </c>
      <c r="H3692" s="21" t="n"/>
      <c r="I3692" s="21" t="n">
        <v>0</v>
      </c>
      <c r="J3692" s="21" t="n">
        <v>0</v>
      </c>
      <c r="K3692" s="21" t="n">
        <v>0</v>
      </c>
      <c r="L3692" s="21" t="n">
        <v>0</v>
      </c>
      <c r="M3692" s="21" t="n">
        <v>250</v>
      </c>
    </row>
    <row r="3693">
      <c r="A3693" s="9" t="inlineStr">
        <is>
          <t>CYNTHIA</t>
        </is>
      </c>
      <c r="B3693" s="9" t="inlineStr">
        <is>
          <t>CYNTHIA 27/04/2026</t>
        </is>
      </c>
      <c r="C3693" s="9" t="inlineStr">
        <is>
          <t>2026-04-27</t>
        </is>
      </c>
      <c r="D3693" s="9" t="inlineStr">
        <is>
          <t>43728071296588</t>
        </is>
      </c>
      <c r="E3693" s="9" t="inlineStr">
        <is>
          <t>ANILLO SERPENTI LISO GOLD</t>
        </is>
      </c>
      <c r="F3693" s="9" t="inlineStr">
        <is>
          <t>AJUSTABLE</t>
        </is>
      </c>
      <c r="G3693" s="9" t="n">
        <v>3</v>
      </c>
      <c r="H3693" s="21" t="n">
        <v>6.8</v>
      </c>
      <c r="I3693" s="21" t="n">
        <v>176.46</v>
      </c>
      <c r="J3693" s="21" t="n">
        <v>529.38</v>
      </c>
      <c r="K3693" s="21" t="n">
        <v>617.61</v>
      </c>
      <c r="L3693" s="21" t="n">
        <v>705.84</v>
      </c>
      <c r="M3693" s="21" t="n">
        <v>709</v>
      </c>
    </row>
    <row r="3694">
      <c r="A3694" s="9" t="inlineStr">
        <is>
          <t>CYNTHIA</t>
        </is>
      </c>
      <c r="B3694" s="9" t="inlineStr">
        <is>
          <t>CYNTHIA 27/04/2026</t>
        </is>
      </c>
      <c r="C3694" s="9" t="inlineStr">
        <is>
          <t>2026-04-27</t>
        </is>
      </c>
      <c r="D3694" s="9" t="inlineStr">
        <is>
          <t>43728071182284</t>
        </is>
      </c>
      <c r="E3694" s="9" t="inlineStr">
        <is>
          <t>ANILLO SERPENTI LISO SILVER</t>
        </is>
      </c>
      <c r="F3694" s="9" t="inlineStr">
        <is>
          <t>AJUSTABLE</t>
        </is>
      </c>
      <c r="G3694" s="9" t="n">
        <v>3</v>
      </c>
      <c r="H3694" s="21" t="n">
        <v>6.8</v>
      </c>
      <c r="I3694" s="21" t="n">
        <v>176.46</v>
      </c>
      <c r="J3694" s="21" t="n">
        <v>529.38</v>
      </c>
      <c r="K3694" s="21" t="n">
        <v>617.61</v>
      </c>
      <c r="L3694" s="21" t="n">
        <v>705.84</v>
      </c>
      <c r="M3694" s="21" t="n">
        <v>729</v>
      </c>
    </row>
    <row r="3695">
      <c r="A3695" s="9" t="inlineStr">
        <is>
          <t>CYNTHIA</t>
        </is>
      </c>
      <c r="B3695" s="9" t="inlineStr">
        <is>
          <t>CYNTHIA 27/04/2026</t>
        </is>
      </c>
      <c r="C3695" s="9" t="inlineStr">
        <is>
          <t>2026-04-27</t>
        </is>
      </c>
      <c r="D3695" s="9" t="inlineStr">
        <is>
          <t>38332091186797</t>
        </is>
      </c>
      <c r="E3695" s="9" t="inlineStr">
        <is>
          <t>ANILLO T EDGE SILVER</t>
        </is>
      </c>
      <c r="F3695" s="9" t="inlineStr">
        <is>
          <t>7</t>
        </is>
      </c>
      <c r="G3695" s="9" t="n">
        <v>2</v>
      </c>
      <c r="H3695" s="21" t="n">
        <v>10.8</v>
      </c>
      <c r="I3695" s="21" t="n">
        <v>280.26</v>
      </c>
      <c r="J3695" s="21" t="n">
        <v>840.78</v>
      </c>
      <c r="K3695" s="21" t="n">
        <v>980.91</v>
      </c>
      <c r="L3695" s="21" t="n">
        <v>1121.04</v>
      </c>
      <c r="M3695" s="21" t="n">
        <v>1099</v>
      </c>
    </row>
    <row r="3696">
      <c r="A3696" s="9" t="inlineStr">
        <is>
          <t>CYNTHIA</t>
        </is>
      </c>
      <c r="B3696" s="9" t="inlineStr">
        <is>
          <t>CYNTHIA 27/04/2026</t>
        </is>
      </c>
      <c r="C3696" s="9" t="inlineStr">
        <is>
          <t>2026-04-27</t>
        </is>
      </c>
      <c r="D3696" s="9" t="inlineStr">
        <is>
          <t>34876761335341</t>
        </is>
      </c>
      <c r="E3696" s="9" t="inlineStr">
        <is>
          <t>ANILLO T LOVESTRUCK SILVER-ROSE GOLD</t>
        </is>
      </c>
      <c r="F3696" s="9" t="inlineStr">
        <is>
          <t>6</t>
        </is>
      </c>
      <c r="G3696" s="9" t="n">
        <v>3</v>
      </c>
      <c r="H3696" s="21" t="n">
        <v>8.800000000000001</v>
      </c>
      <c r="I3696" s="21" t="n">
        <v>228.36</v>
      </c>
      <c r="J3696" s="21" t="n">
        <v>685.08</v>
      </c>
      <c r="K3696" s="21" t="n">
        <v>799.26</v>
      </c>
      <c r="L3696" s="21" t="n">
        <v>913.4400000000001</v>
      </c>
      <c r="M3696" s="21" t="n">
        <v>915</v>
      </c>
    </row>
    <row r="3697">
      <c r="A3697" s="9" t="inlineStr">
        <is>
          <t>CYNTHIA</t>
        </is>
      </c>
      <c r="B3697" s="9" t="inlineStr">
        <is>
          <t>CYNTHIA 27/04/2026</t>
        </is>
      </c>
      <c r="C3697" s="9" t="inlineStr">
        <is>
          <t>2026-04-27</t>
        </is>
      </c>
      <c r="D3697" s="9" t="inlineStr">
        <is>
          <t>41648081090125</t>
        </is>
      </c>
      <c r="E3697" s="9" t="inlineStr">
        <is>
          <t>ANILLO T LOVESTRUCK SILVER-ROSE GOLD</t>
        </is>
      </c>
      <c r="F3697" s="9" t="inlineStr">
        <is>
          <t>8</t>
        </is>
      </c>
      <c r="G3697" s="9" t="n">
        <v>2</v>
      </c>
      <c r="H3697" s="21" t="n">
        <v>8.800000000000001</v>
      </c>
      <c r="I3697" s="21" t="n">
        <v>228.36</v>
      </c>
      <c r="J3697" s="21" t="n">
        <v>685.08</v>
      </c>
      <c r="K3697" s="21" t="n">
        <v>799.26</v>
      </c>
      <c r="L3697" s="21" t="n">
        <v>913.4400000000001</v>
      </c>
      <c r="M3697" s="21" t="n">
        <v>915</v>
      </c>
    </row>
    <row r="3698">
      <c r="A3698" s="9" t="inlineStr">
        <is>
          <t>CYNTHIA</t>
        </is>
      </c>
      <c r="B3698" s="9" t="inlineStr">
        <is>
          <t>CYNTHIA 27/04/2026</t>
        </is>
      </c>
      <c r="C3698" s="9" t="inlineStr">
        <is>
          <t>2026-04-27</t>
        </is>
      </c>
      <c r="D3698" s="9" t="inlineStr">
        <is>
          <t>34876761468109</t>
        </is>
      </c>
      <c r="E3698" s="9" t="inlineStr">
        <is>
          <t>ANILLO T LOVESTRUCK SILVER-ROSE GOLD</t>
        </is>
      </c>
      <c r="F3698" s="9" t="inlineStr">
        <is>
          <t>7</t>
        </is>
      </c>
      <c r="G3698" s="9" t="n">
        <v>2</v>
      </c>
      <c r="H3698" s="21" t="n">
        <v>8.800000000000001</v>
      </c>
      <c r="I3698" s="21" t="n">
        <v>228.36</v>
      </c>
      <c r="J3698" s="21" t="n">
        <v>685.08</v>
      </c>
      <c r="K3698" s="21" t="n">
        <v>799.26</v>
      </c>
      <c r="L3698" s="21" t="n">
        <v>913.4400000000001</v>
      </c>
      <c r="M3698" s="21" t="n">
        <v>915</v>
      </c>
    </row>
    <row r="3699">
      <c r="A3699" s="9" t="inlineStr">
        <is>
          <t>CYNTHIA</t>
        </is>
      </c>
      <c r="B3699" s="9" t="inlineStr">
        <is>
          <t>CYNTHIA 27/04/2026</t>
        </is>
      </c>
      <c r="C3699" s="9" t="inlineStr">
        <is>
          <t>2026-04-27</t>
        </is>
      </c>
      <c r="D3699" s="9" t="inlineStr">
        <is>
          <t>62101481140653</t>
        </is>
      </c>
      <c r="E3699" s="9" t="inlineStr">
        <is>
          <t>ARETES BEAN SILVER T</t>
        </is>
      </c>
      <c r="F3699" s="9" t="inlineStr">
        <is>
          <t>Default Title</t>
        </is>
      </c>
      <c r="G3699" s="9" t="n">
        <v>2</v>
      </c>
      <c r="H3699" s="21" t="n">
        <v>8</v>
      </c>
      <c r="I3699" s="21" t="n">
        <v>207.6</v>
      </c>
      <c r="J3699" s="21" t="n">
        <v>622.8</v>
      </c>
      <c r="K3699" s="21" t="n">
        <v>726.6</v>
      </c>
      <c r="L3699" s="21" t="n">
        <v>830.4</v>
      </c>
      <c r="M3699" s="21" t="n">
        <v>849</v>
      </c>
    </row>
    <row r="3700">
      <c r="A3700" s="9" t="inlineStr">
        <is>
          <t>CYNTHIA</t>
        </is>
      </c>
      <c r="B3700" s="9" t="inlineStr">
        <is>
          <t>CYNTHIA 27/04/2026</t>
        </is>
      </c>
      <c r="C3700" s="9" t="inlineStr">
        <is>
          <t>2026-04-27</t>
        </is>
      </c>
      <c r="D3700" s="9" t="inlineStr">
        <is>
          <t>64e78d3baafe7</t>
        </is>
      </c>
      <c r="E3700" s="9" t="inlineStr">
        <is>
          <t>ARETES BLOSSOM STAR ROSE GOLD</t>
        </is>
      </c>
      <c r="F3700" s="9" t="inlineStr">
        <is>
          <t>Default Title</t>
        </is>
      </c>
      <c r="G3700" s="9" t="n">
        <v>3</v>
      </c>
      <c r="H3700" s="21" t="n">
        <v>6.8</v>
      </c>
      <c r="I3700" s="21" t="n">
        <v>176.46</v>
      </c>
      <c r="J3700" s="21" t="n">
        <v>529.38</v>
      </c>
      <c r="K3700" s="21" t="n">
        <v>617.61</v>
      </c>
      <c r="L3700" s="21" t="n">
        <v>705.84</v>
      </c>
      <c r="M3700" s="21" t="n">
        <v>709</v>
      </c>
    </row>
    <row r="3701">
      <c r="A3701" s="9" t="inlineStr">
        <is>
          <t>CYNTHIA</t>
        </is>
      </c>
      <c r="B3701" s="9" t="inlineStr">
        <is>
          <t>CYNTHIA 27/04/2026</t>
        </is>
      </c>
      <c r="C3701" s="9" t="inlineStr">
        <is>
          <t>2026-04-27</t>
        </is>
      </c>
      <c r="D3701" s="9" t="inlineStr">
        <is>
          <t>64e78d3c1c538</t>
        </is>
      </c>
      <c r="E3701" s="9" t="inlineStr">
        <is>
          <t>ARETES BLOSSOM STAR SILVER</t>
        </is>
      </c>
      <c r="F3701" s="9" t="inlineStr">
        <is>
          <t>Default Title</t>
        </is>
      </c>
      <c r="G3701" s="9" t="n">
        <v>6</v>
      </c>
      <c r="H3701" s="21" t="n">
        <v>6.8</v>
      </c>
      <c r="I3701" s="21" t="n">
        <v>176.46</v>
      </c>
      <c r="J3701" s="21" t="n">
        <v>529.38</v>
      </c>
      <c r="K3701" s="21" t="n">
        <v>617.61</v>
      </c>
      <c r="L3701" s="21" t="n">
        <v>705.84</v>
      </c>
      <c r="M3701" s="21" t="n">
        <v>709</v>
      </c>
    </row>
    <row r="3702">
      <c r="A3702" s="9" t="inlineStr">
        <is>
          <t>CYNTHIA</t>
        </is>
      </c>
      <c r="B3702" s="9" t="inlineStr">
        <is>
          <t>CYNTHIA 27/04/2026</t>
        </is>
      </c>
      <c r="C3702" s="9" t="inlineStr">
        <is>
          <t>2026-04-27</t>
        </is>
      </c>
      <c r="D3702" s="9" t="inlineStr">
        <is>
          <t>15711172330573</t>
        </is>
      </c>
      <c r="E3702" s="9" t="inlineStr">
        <is>
          <t>ARETES CD PETIT JOLIE GOLD</t>
        </is>
      </c>
      <c r="F3702" s="9" t="inlineStr">
        <is>
          <t>Default Title</t>
        </is>
      </c>
      <c r="G3702" s="9" t="n">
        <v>4</v>
      </c>
      <c r="H3702" s="21" t="n">
        <v>6.8</v>
      </c>
      <c r="I3702" s="21" t="n">
        <v>176.46</v>
      </c>
      <c r="J3702" s="21" t="n">
        <v>529.38</v>
      </c>
      <c r="K3702" s="21" t="n">
        <v>617.61</v>
      </c>
      <c r="L3702" s="21" t="n">
        <v>705.84</v>
      </c>
      <c r="M3702" s="21" t="n">
        <v>709</v>
      </c>
    </row>
    <row r="3703">
      <c r="A3703" s="9" t="inlineStr">
        <is>
          <t>CYNTHIA</t>
        </is>
      </c>
      <c r="B3703" s="9" t="inlineStr">
        <is>
          <t>CYNTHIA 27/04/2026</t>
        </is>
      </c>
      <c r="C3703" s="9" t="inlineStr">
        <is>
          <t>2026-04-27</t>
        </is>
      </c>
      <c r="D3703" s="9" t="inlineStr">
        <is>
          <t>43047217758348</t>
        </is>
      </c>
      <c r="E3703" s="9" t="inlineStr">
        <is>
          <t>ARETES CORAZÓN GRABADO GOLD</t>
        </is>
      </c>
      <c r="F3703" s="9" t="inlineStr">
        <is>
          <t>HIGH QUALITY</t>
        </is>
      </c>
      <c r="G3703" s="9" t="n">
        <v>2</v>
      </c>
      <c r="H3703" s="21" t="n">
        <v>5.88</v>
      </c>
      <c r="I3703" s="21" t="n">
        <v>152.59</v>
      </c>
      <c r="J3703" s="21" t="n">
        <v>457.76</v>
      </c>
      <c r="K3703" s="21" t="n">
        <v>534.05</v>
      </c>
      <c r="L3703" s="21" t="n">
        <v>610.35</v>
      </c>
      <c r="M3703" s="21" t="n">
        <v>550</v>
      </c>
    </row>
    <row r="3704">
      <c r="A3704" s="9" t="inlineStr">
        <is>
          <t>CYNTHIA</t>
        </is>
      </c>
      <c r="B3704" s="9" t="inlineStr">
        <is>
          <t>CYNTHIA 27/04/2026</t>
        </is>
      </c>
      <c r="C3704" s="9" t="inlineStr">
        <is>
          <t>2026-04-27</t>
        </is>
      </c>
      <c r="D3704" s="9" t="inlineStr">
        <is>
          <t>38332091513773</t>
        </is>
      </c>
      <c r="E3704" s="9" t="inlineStr">
        <is>
          <t>ARETES LOGO CC GOLD CON ZIRCONIAS</t>
        </is>
      </c>
      <c r="F3704" s="9" t="inlineStr">
        <is>
          <t>Default Title</t>
        </is>
      </c>
      <c r="G3704" s="9" t="n">
        <v>10</v>
      </c>
      <c r="H3704" s="21" t="n">
        <v>3.78</v>
      </c>
      <c r="I3704" s="21" t="n">
        <v>98.09</v>
      </c>
      <c r="J3704" s="21" t="n">
        <v>294.27</v>
      </c>
      <c r="K3704" s="21" t="n">
        <v>343.32</v>
      </c>
      <c r="L3704" s="21" t="n">
        <v>392.37</v>
      </c>
      <c r="M3704" s="21" t="n">
        <v>399</v>
      </c>
    </row>
    <row r="3705">
      <c r="A3705" s="9" t="inlineStr">
        <is>
          <t>CYNTHIA</t>
        </is>
      </c>
      <c r="B3705" s="9" t="inlineStr">
        <is>
          <t>CYNTHIA 27/04/2026</t>
        </is>
      </c>
      <c r="C3705" s="9" t="inlineStr">
        <is>
          <t>2026-04-27</t>
        </is>
      </c>
      <c r="D3705" s="9" t="inlineStr">
        <is>
          <t>6617867e8acd0</t>
        </is>
      </c>
      <c r="E3705" s="9" t="inlineStr">
        <is>
          <t>ARETES LOVE GOLD CON ZIRCONIA</t>
        </is>
      </c>
      <c r="F3705" s="9" t="inlineStr">
        <is>
          <t>Default Title</t>
        </is>
      </c>
      <c r="G3705" s="9" t="n">
        <v>6</v>
      </c>
      <c r="H3705" s="21" t="n">
        <v>2.6</v>
      </c>
      <c r="I3705" s="21" t="n">
        <v>67.47</v>
      </c>
      <c r="J3705" s="21" t="n">
        <v>202.41</v>
      </c>
      <c r="K3705" s="21" t="n">
        <v>236.15</v>
      </c>
      <c r="L3705" s="21" t="n">
        <v>269.88</v>
      </c>
      <c r="M3705" s="21" t="n">
        <v>420</v>
      </c>
    </row>
    <row r="3706">
      <c r="A3706" s="9" t="inlineStr">
        <is>
          <t>CYNTHIA</t>
        </is>
      </c>
      <c r="B3706" s="9" t="inlineStr">
        <is>
          <t>CYNTHIA 27/04/2026</t>
        </is>
      </c>
      <c r="C3706" s="9" t="inlineStr">
        <is>
          <t>2026-04-27</t>
        </is>
      </c>
      <c r="D3706" s="9" t="inlineStr">
        <is>
          <t>661786775a1bb</t>
        </is>
      </c>
      <c r="E3706" s="9" t="inlineStr">
        <is>
          <t>ARETES LOVE SILVER</t>
        </is>
      </c>
      <c r="F3706" s="9" t="inlineStr">
        <is>
          <t>Default Title</t>
        </is>
      </c>
      <c r="G3706" s="9" t="n">
        <v>3</v>
      </c>
      <c r="H3706" s="21" t="n">
        <v>2.6</v>
      </c>
      <c r="I3706" s="21" t="n">
        <v>67.47</v>
      </c>
      <c r="J3706" s="21" t="n">
        <v>202.41</v>
      </c>
      <c r="K3706" s="21" t="n">
        <v>236.15</v>
      </c>
      <c r="L3706" s="21" t="n">
        <v>269.88</v>
      </c>
      <c r="M3706" s="21" t="n">
        <v>399</v>
      </c>
    </row>
    <row r="3707">
      <c r="A3707" s="9" t="inlineStr">
        <is>
          <t>CYNTHIA</t>
        </is>
      </c>
      <c r="B3707" s="9" t="inlineStr">
        <is>
          <t>CYNTHIA 27/04/2026</t>
        </is>
      </c>
      <c r="C3707" s="9" t="inlineStr">
        <is>
          <t>2026-04-27</t>
        </is>
      </c>
      <c r="D3707" s="9" t="inlineStr">
        <is>
          <t>6617867765c65</t>
        </is>
      </c>
      <c r="E3707" s="9" t="inlineStr">
        <is>
          <t>ARETES LOVE SILVER CON ZIRCONIA</t>
        </is>
      </c>
      <c r="F3707" s="9" t="inlineStr">
        <is>
          <t>Default Title</t>
        </is>
      </c>
      <c r="G3707" s="9" t="n">
        <v>3</v>
      </c>
      <c r="H3707" s="21" t="n">
        <v>2.6</v>
      </c>
      <c r="I3707" s="21" t="n">
        <v>67.47</v>
      </c>
      <c r="J3707" s="21" t="n">
        <v>202.41</v>
      </c>
      <c r="K3707" s="21" t="n">
        <v>236.15</v>
      </c>
      <c r="L3707" s="21" t="n">
        <v>269.88</v>
      </c>
      <c r="M3707" s="21" t="n">
        <v>450</v>
      </c>
    </row>
    <row r="3708">
      <c r="A3708" s="9" t="inlineStr">
        <is>
          <t>CYNTHIA</t>
        </is>
      </c>
      <c r="B3708" s="9" t="inlineStr">
        <is>
          <t>CYNTHIA 27/04/2026</t>
        </is>
      </c>
      <c r="C3708" s="9" t="inlineStr">
        <is>
          <t>2026-04-27</t>
        </is>
      </c>
      <c r="D3708" s="9" t="inlineStr">
        <is>
          <t>64e78e740ecaf-1</t>
        </is>
      </c>
      <c r="E3708" s="9" t="inlineStr">
        <is>
          <t>ARETES LV LOGO GOLD</t>
        </is>
      </c>
      <c r="F3708" s="9" t="inlineStr">
        <is>
          <t>Stainless steel</t>
        </is>
      </c>
      <c r="G3708" s="9" t="n">
        <v>5</v>
      </c>
      <c r="H3708" s="21" t="n">
        <v>6.8</v>
      </c>
      <c r="I3708" s="21" t="n">
        <v>176.46</v>
      </c>
      <c r="J3708" s="21" t="n">
        <v>529.38</v>
      </c>
      <c r="K3708" s="21" t="n">
        <v>617.61</v>
      </c>
      <c r="L3708" s="21" t="n">
        <v>705.84</v>
      </c>
      <c r="M3708" s="21" t="n">
        <v>722</v>
      </c>
    </row>
    <row r="3709">
      <c r="A3709" s="9" t="inlineStr">
        <is>
          <t>CYNTHIA</t>
        </is>
      </c>
      <c r="B3709" s="9" t="inlineStr">
        <is>
          <t>CYNTHIA 27/04/2026</t>
        </is>
      </c>
      <c r="C3709" s="9" t="inlineStr">
        <is>
          <t>2026-04-27</t>
        </is>
      </c>
      <c r="D3709" s="9" t="inlineStr">
        <is>
          <t>43728113631628</t>
        </is>
      </c>
      <c r="E3709" s="9" t="inlineStr">
        <is>
          <t>ARETES LV LOGO ROUND GOLD</t>
        </is>
      </c>
      <c r="F3709" s="9" t="inlineStr">
        <is>
          <t>Regular</t>
        </is>
      </c>
      <c r="G3709" s="9" t="n">
        <v>3</v>
      </c>
      <c r="H3709" s="21" t="n">
        <v>3.8</v>
      </c>
      <c r="I3709" s="21" t="n">
        <v>98.61</v>
      </c>
      <c r="J3709" s="21" t="n">
        <v>295.83</v>
      </c>
      <c r="K3709" s="21" t="n">
        <v>345.14</v>
      </c>
      <c r="L3709" s="21" t="n">
        <v>394.44</v>
      </c>
      <c r="M3709" s="21" t="n">
        <v>499</v>
      </c>
    </row>
    <row r="3710">
      <c r="A3710" s="9" t="inlineStr">
        <is>
          <t>CYNTHIA</t>
        </is>
      </c>
      <c r="B3710" s="9" t="inlineStr">
        <is>
          <t>CYNTHIA 27/04/2026</t>
        </is>
      </c>
      <c r="C3710" s="9" t="inlineStr">
        <is>
          <t>2026-04-27</t>
        </is>
      </c>
      <c r="D3710" s="9" t="inlineStr">
        <is>
          <t>43071661277324</t>
        </is>
      </c>
      <c r="E3710" s="9" t="inlineStr">
        <is>
          <t>ARETES LV ROUND CON ZIRCONIA</t>
        </is>
      </c>
      <c r="F3710" s="9" t="inlineStr">
        <is>
          <t>Default Title</t>
        </is>
      </c>
      <c r="G3710" s="9" t="n">
        <v>6</v>
      </c>
      <c r="H3710" s="21" t="n">
        <v>8.800000000000001</v>
      </c>
      <c r="I3710" s="21" t="n">
        <v>228.36</v>
      </c>
      <c r="J3710" s="21" t="n">
        <v>685.08</v>
      </c>
      <c r="K3710" s="21" t="n">
        <v>799.26</v>
      </c>
      <c r="L3710" s="21" t="n">
        <v>913.4400000000001</v>
      </c>
      <c r="M3710" s="21" t="n">
        <v>915</v>
      </c>
    </row>
    <row r="3711">
      <c r="A3711" s="9" t="inlineStr">
        <is>
          <t>CYNTHIA</t>
        </is>
      </c>
      <c r="B3711" s="9" t="inlineStr">
        <is>
          <t>CYNTHIA 27/04/2026</t>
        </is>
      </c>
      <c r="C3711" s="9" t="inlineStr">
        <is>
          <t>2026-04-27</t>
        </is>
      </c>
      <c r="D3711" s="9" t="inlineStr">
        <is>
          <t>43047214612620</t>
        </is>
      </c>
      <c r="E3711" s="9" t="inlineStr">
        <is>
          <t>ARETES SIXTEEN STONE</t>
        </is>
      </c>
      <c r="F3711" s="9" t="inlineStr">
        <is>
          <t>Default Title</t>
        </is>
      </c>
      <c r="G3711" s="9" t="n">
        <v>8</v>
      </c>
      <c r="H3711" s="21" t="n">
        <v>12.8</v>
      </c>
      <c r="I3711" s="21" t="n">
        <v>332.16</v>
      </c>
      <c r="J3711" s="21" t="n">
        <v>996.48</v>
      </c>
      <c r="K3711" s="21" t="n">
        <v>1162.56</v>
      </c>
      <c r="L3711" s="21" t="n">
        <v>1328.64</v>
      </c>
      <c r="M3711" s="21" t="n">
        <v>1329</v>
      </c>
    </row>
    <row r="3712">
      <c r="A3712" s="9" t="inlineStr">
        <is>
          <t>CYNTHIA</t>
        </is>
      </c>
      <c r="B3712" s="9" t="inlineStr">
        <is>
          <t>CYNTHIA 27/04/2026</t>
        </is>
      </c>
      <c r="C3712" s="9" t="inlineStr">
        <is>
          <t>2026-04-27</t>
        </is>
      </c>
      <c r="D3712" s="9" t="inlineStr">
        <is>
          <t>34876761251373</t>
        </is>
      </c>
      <c r="E3712" s="9" t="inlineStr">
        <is>
          <t>ARETES T SQUARE SIXTEEN STONE</t>
        </is>
      </c>
      <c r="F3712" s="9" t="inlineStr">
        <is>
          <t>Default Title</t>
        </is>
      </c>
      <c r="G3712" s="9" t="n">
        <v>1</v>
      </c>
      <c r="H3712" s="21" t="n">
        <v>7</v>
      </c>
      <c r="I3712" s="21" t="n">
        <v>181.65</v>
      </c>
      <c r="J3712" s="21" t="n">
        <v>544.95</v>
      </c>
      <c r="K3712" s="21" t="n">
        <v>635.78</v>
      </c>
      <c r="L3712" s="21" t="n">
        <v>726.6</v>
      </c>
      <c r="M3712" s="21" t="n">
        <v>750</v>
      </c>
    </row>
    <row r="3713">
      <c r="A3713" s="9" t="inlineStr">
        <is>
          <t>CYNTHIA</t>
        </is>
      </c>
      <c r="B3713" s="9" t="inlineStr">
        <is>
          <t>CYNTHIA 27/04/2026</t>
        </is>
      </c>
      <c r="C3713" s="9" t="inlineStr">
        <is>
          <t>2026-04-27</t>
        </is>
      </c>
      <c r="D3713" s="9" t="inlineStr">
        <is>
          <t>63e0bd204f826</t>
        </is>
      </c>
      <c r="E3713" s="9" t="inlineStr">
        <is>
          <t>ARETES T-SMILE GOLD</t>
        </is>
      </c>
      <c r="F3713" s="9" t="inlineStr">
        <is>
          <t>Default Title</t>
        </is>
      </c>
      <c r="G3713" s="9" t="n">
        <v>3</v>
      </c>
      <c r="H3713" s="21" t="n">
        <v>3.88</v>
      </c>
      <c r="I3713" s="21" t="n">
        <v>100.69</v>
      </c>
      <c r="J3713" s="21" t="n">
        <v>302.06</v>
      </c>
      <c r="K3713" s="21" t="n">
        <v>352.4</v>
      </c>
      <c r="L3713" s="21" t="n">
        <v>402.75</v>
      </c>
      <c r="M3713" s="21" t="n">
        <v>573</v>
      </c>
    </row>
    <row r="3714">
      <c r="A3714" s="9" t="inlineStr">
        <is>
          <t>CYNTHIA</t>
        </is>
      </c>
      <c r="B3714" s="9" t="inlineStr">
        <is>
          <t>CYNTHIA 27/04/2026</t>
        </is>
      </c>
      <c r="C3714" s="9" t="inlineStr">
        <is>
          <t>2026-04-27</t>
        </is>
      </c>
      <c r="D3714" s="9" t="inlineStr">
        <is>
          <t>678a9af11a3e6</t>
        </is>
      </c>
      <c r="E3714" s="9" t="inlineStr">
        <is>
          <t>ARETES TRÉBOL SILVER CON ZIRCONIA</t>
        </is>
      </c>
      <c r="F3714" s="9" t="inlineStr">
        <is>
          <t>Default Title</t>
        </is>
      </c>
      <c r="G3714" s="9" t="n">
        <v>10</v>
      </c>
      <c r="H3714" s="21" t="n">
        <v>8.800000000000001</v>
      </c>
      <c r="I3714" s="21" t="n">
        <v>228.36</v>
      </c>
      <c r="J3714" s="21" t="n">
        <v>685.08</v>
      </c>
      <c r="K3714" s="21" t="n">
        <v>799.26</v>
      </c>
      <c r="L3714" s="21" t="n">
        <v>913.4400000000001</v>
      </c>
      <c r="M3714" s="21" t="n">
        <v>915</v>
      </c>
    </row>
    <row r="3715">
      <c r="A3715" s="9" t="inlineStr">
        <is>
          <t>CYNTHIA</t>
        </is>
      </c>
      <c r="B3715" s="9" t="inlineStr">
        <is>
          <t>CYNTHIA 27/04/2026</t>
        </is>
      </c>
      <c r="C3715" s="9" t="inlineStr">
        <is>
          <t>2026-04-27</t>
        </is>
      </c>
      <c r="D3715" s="9" t="inlineStr">
        <is>
          <t>43071749587084</t>
        </is>
      </c>
      <c r="E3715" s="9" t="inlineStr">
        <is>
          <t>ARETES V CON PERLA</t>
        </is>
      </c>
      <c r="F3715" s="9" t="inlineStr">
        <is>
          <t>Regular</t>
        </is>
      </c>
      <c r="G3715" s="9" t="n">
        <v>3</v>
      </c>
      <c r="H3715" s="21" t="n">
        <v>8.800000000000001</v>
      </c>
      <c r="I3715" s="21" t="n">
        <v>228.36</v>
      </c>
      <c r="J3715" s="21" t="n">
        <v>685.08</v>
      </c>
      <c r="K3715" s="21" t="n">
        <v>799.26</v>
      </c>
      <c r="L3715" s="21" t="n">
        <v>913.4400000000001</v>
      </c>
      <c r="M3715" s="21" t="n">
        <v>915</v>
      </c>
    </row>
    <row r="3716">
      <c r="A3716" s="9" t="inlineStr">
        <is>
          <t>CYNTHIA</t>
        </is>
      </c>
      <c r="B3716" s="9" t="inlineStr">
        <is>
          <t>CYNTHIA 27/04/2026</t>
        </is>
      </c>
      <c r="C3716" s="9" t="inlineStr">
        <is>
          <t>2026-04-27</t>
        </is>
      </c>
      <c r="D3716" s="9" t="inlineStr">
        <is>
          <t>665bd4b033012</t>
        </is>
      </c>
      <c r="E3716" s="9" t="inlineStr">
        <is>
          <t>ARETES YSL SILVER</t>
        </is>
      </c>
      <c r="F3716" s="9" t="inlineStr">
        <is>
          <t>Default Title</t>
        </is>
      </c>
      <c r="G3716" s="9" t="n">
        <v>2</v>
      </c>
      <c r="H3716" s="21" t="n">
        <v>4.6</v>
      </c>
      <c r="I3716" s="21" t="n">
        <v>119.37</v>
      </c>
      <c r="J3716" s="21" t="n">
        <v>358.11</v>
      </c>
      <c r="K3716" s="21" t="n">
        <v>417.8</v>
      </c>
      <c r="L3716" s="21" t="n">
        <v>477.48</v>
      </c>
      <c r="M3716" s="21" t="n">
        <v>499</v>
      </c>
    </row>
    <row r="3717">
      <c r="A3717" s="9" t="inlineStr">
        <is>
          <t>CYNTHIA</t>
        </is>
      </c>
      <c r="B3717" s="9" t="inlineStr">
        <is>
          <t>CYNTHIA 27/04/2026</t>
        </is>
      </c>
      <c r="C3717" s="9" t="inlineStr">
        <is>
          <t>2026-04-27</t>
        </is>
      </c>
      <c r="D3717" s="9" t="inlineStr">
        <is>
          <t>43728071088236</t>
        </is>
      </c>
      <c r="E3717" s="9" t="inlineStr">
        <is>
          <t>ARRACADAS BV SERPENTI</t>
        </is>
      </c>
      <c r="F3717" s="9" t="inlineStr">
        <is>
          <t>Default Title</t>
        </is>
      </c>
      <c r="G3717" s="9" t="n">
        <v>4</v>
      </c>
      <c r="H3717" s="21" t="n">
        <v>8.800000000000001</v>
      </c>
      <c r="I3717" s="21" t="n">
        <v>228.36</v>
      </c>
      <c r="J3717" s="21" t="n">
        <v>685.08</v>
      </c>
      <c r="K3717" s="21" t="n">
        <v>799.26</v>
      </c>
      <c r="L3717" s="21" t="n">
        <v>913.4400000000001</v>
      </c>
      <c r="M3717" s="21" t="n">
        <v>915</v>
      </c>
    </row>
    <row r="3718">
      <c r="A3718" s="9" t="inlineStr">
        <is>
          <t>CYNTHIA</t>
        </is>
      </c>
      <c r="B3718" s="9" t="inlineStr">
        <is>
          <t>CYNTHIA 27/04/2026</t>
        </is>
      </c>
      <c r="C3718" s="9" t="inlineStr">
        <is>
          <t>2026-04-27</t>
        </is>
      </c>
      <c r="D3718" s="9" t="inlineStr">
        <is>
          <t>29603521001805</t>
        </is>
      </c>
      <c r="E3718" s="9" t="inlineStr">
        <is>
          <t>ARRACADAS CD LOGO CON ZIRCONIAS</t>
        </is>
      </c>
      <c r="F3718" s="9" t="inlineStr">
        <is>
          <t>Default Title</t>
        </is>
      </c>
      <c r="G3718" s="9" t="n">
        <v>2</v>
      </c>
      <c r="H3718" s="21" t="n">
        <v>8.800000000000001</v>
      </c>
      <c r="I3718" s="21" t="n">
        <v>228.36</v>
      </c>
      <c r="J3718" s="21" t="n">
        <v>685.08</v>
      </c>
      <c r="K3718" s="21" t="n">
        <v>799.26</v>
      </c>
      <c r="L3718" s="21" t="n">
        <v>913.4400000000001</v>
      </c>
      <c r="M3718" s="21" t="n">
        <v>915</v>
      </c>
    </row>
    <row r="3719">
      <c r="A3719" s="9" t="inlineStr">
        <is>
          <t>CYNTHIA</t>
        </is>
      </c>
      <c r="B3719" s="9" t="inlineStr">
        <is>
          <t>CYNTHIA 27/04/2026</t>
        </is>
      </c>
      <c r="C3719" s="9" t="inlineStr">
        <is>
          <t>2026-04-27</t>
        </is>
      </c>
      <c r="D3719" s="9" t="inlineStr">
        <is>
          <t>43071764562060</t>
        </is>
      </c>
      <c r="E3719" s="9" t="inlineStr">
        <is>
          <t>ARRACADAS V GOLD</t>
        </is>
      </c>
      <c r="F3719" s="9" t="inlineStr">
        <is>
          <t>Regular</t>
        </is>
      </c>
      <c r="G3719" s="9" t="n">
        <v>2</v>
      </c>
      <c r="H3719" s="21" t="n">
        <v>8.800000000000001</v>
      </c>
      <c r="I3719" s="21" t="n">
        <v>228.36</v>
      </c>
      <c r="J3719" s="21" t="n">
        <v>685.08</v>
      </c>
      <c r="K3719" s="21" t="n">
        <v>799.26</v>
      </c>
      <c r="L3719" s="21" t="n">
        <v>913.4400000000001</v>
      </c>
      <c r="M3719" s="21" t="n">
        <v>915</v>
      </c>
    </row>
    <row r="3720">
      <c r="A3720" s="9" t="inlineStr">
        <is>
          <t>CYNTHIA</t>
        </is>
      </c>
      <c r="B3720" s="9" t="inlineStr">
        <is>
          <t>CYNTHIA 27/04/2026</t>
        </is>
      </c>
      <c r="C3720" s="9" t="inlineStr">
        <is>
          <t>2026-04-27</t>
        </is>
      </c>
      <c r="D3720" s="9" t="inlineStr">
        <is>
          <t>42101481043501</t>
        </is>
      </c>
      <c r="E3720" s="9" t="inlineStr">
        <is>
          <t>BOLSA CC Nº25</t>
        </is>
      </c>
      <c r="F3720" s="9" t="inlineStr">
        <is>
          <t>HIGH QUALITY</t>
        </is>
      </c>
      <c r="G3720" s="9" t="n">
        <v>10</v>
      </c>
      <c r="H3720" s="21" t="n">
        <v>66</v>
      </c>
      <c r="I3720" s="21" t="n">
        <v>1712.71</v>
      </c>
      <c r="J3720" s="21" t="n">
        <v>5138.12</v>
      </c>
      <c r="K3720" s="21" t="n">
        <v>5994.47</v>
      </c>
      <c r="L3720" s="21" t="n">
        <v>6850.82</v>
      </c>
      <c r="M3720" s="21" t="n">
        <v>5999</v>
      </c>
    </row>
    <row r="3721">
      <c r="A3721" s="9" t="inlineStr">
        <is>
          <t>CYNTHIA</t>
        </is>
      </c>
      <c r="B3721" s="9" t="inlineStr">
        <is>
          <t>CYNTHIA 27/04/2026</t>
        </is>
      </c>
      <c r="C3721" s="9" t="inlineStr">
        <is>
          <t>2026-04-27</t>
        </is>
      </c>
      <c r="D3721" s="9" t="inlineStr">
        <is>
          <t>43897301164429</t>
        </is>
      </c>
      <c r="E3721" s="9" t="inlineStr">
        <is>
          <t>BOLSA CC Nº25 BABY BLUE</t>
        </is>
      </c>
      <c r="F3721" s="9" t="inlineStr">
        <is>
          <t>Default Title</t>
        </is>
      </c>
      <c r="G3721" s="9" t="n">
        <v>3</v>
      </c>
      <c r="H3721" s="21" t="n">
        <v>65</v>
      </c>
      <c r="I3721" s="21" t="n">
        <v>1686.76</v>
      </c>
      <c r="J3721" s="21" t="n">
        <v>5060.27</v>
      </c>
      <c r="K3721" s="21" t="n">
        <v>5903.65</v>
      </c>
      <c r="L3721" s="21" t="n">
        <v>6747.02</v>
      </c>
      <c r="M3721" s="21" t="n">
        <v>5999</v>
      </c>
    </row>
    <row r="3722">
      <c r="A3722" s="9" t="inlineStr">
        <is>
          <t>CYNTHIA</t>
        </is>
      </c>
      <c r="B3722" s="9" t="inlineStr">
        <is>
          <t>CYNTHIA 27/04/2026</t>
        </is>
      </c>
      <c r="C3722" s="9" t="inlineStr">
        <is>
          <t>2026-04-27</t>
        </is>
      </c>
      <c r="D3722" s="9" t="inlineStr">
        <is>
          <t>43897301288173</t>
        </is>
      </c>
      <c r="E3722" s="9" t="inlineStr">
        <is>
          <t>BOLSA CC Nº25 WHITE</t>
        </is>
      </c>
      <c r="F3722" s="9" t="inlineStr">
        <is>
          <t>Default Title</t>
        </is>
      </c>
      <c r="G3722" s="9" t="n">
        <v>5</v>
      </c>
      <c r="H3722" s="21" t="n">
        <v>65</v>
      </c>
      <c r="I3722" s="21" t="n">
        <v>1686.76</v>
      </c>
      <c r="J3722" s="21" t="n">
        <v>5060.27</v>
      </c>
      <c r="K3722" s="21" t="n">
        <v>5903.65</v>
      </c>
      <c r="L3722" s="21" t="n">
        <v>6747.02</v>
      </c>
      <c r="M3722" s="21" t="n">
        <v>5999</v>
      </c>
    </row>
    <row r="3723">
      <c r="A3723" s="9" t="inlineStr">
        <is>
          <t>CYNTHIA</t>
        </is>
      </c>
      <c r="B3723" s="9" t="inlineStr">
        <is>
          <t>CYNTHIA 27/04/2026</t>
        </is>
      </c>
      <c r="C3723" s="9" t="inlineStr">
        <is>
          <t>2026-04-27</t>
        </is>
      </c>
      <c r="D3723" s="9" t="inlineStr">
        <is>
          <t>6701d26c9c67e</t>
        </is>
      </c>
      <c r="E3723" s="9" t="inlineStr">
        <is>
          <t>BOLSO C CABAS</t>
        </is>
      </c>
      <c r="F3723" s="9" t="inlineStr">
        <is>
          <t>30cm de largo x 22cm de alto x 13cm de ancho</t>
        </is>
      </c>
      <c r="G3723" s="9" t="n">
        <v>4</v>
      </c>
      <c r="H3723" s="21" t="n">
        <v>48</v>
      </c>
      <c r="I3723" s="21" t="n">
        <v>1245.6</v>
      </c>
      <c r="J3723" s="21" t="n">
        <v>3736.81</v>
      </c>
      <c r="K3723" s="21" t="n">
        <v>4359.62</v>
      </c>
      <c r="L3723" s="21" t="n">
        <v>4982.42</v>
      </c>
      <c r="M3723" s="21" t="n">
        <v>4989</v>
      </c>
    </row>
    <row r="3724">
      <c r="A3724" s="9" t="inlineStr">
        <is>
          <t>CYNTHIA</t>
        </is>
      </c>
      <c r="B3724" s="9" t="inlineStr">
        <is>
          <t>CYNTHIA 27/04/2026</t>
        </is>
      </c>
      <c r="C3724" s="9" t="inlineStr">
        <is>
          <t>2026-04-27</t>
        </is>
      </c>
      <c r="D3724" s="9" t="inlineStr">
        <is>
          <t>14401521547373</t>
        </is>
      </c>
      <c r="E3724" s="9" t="inlineStr">
        <is>
          <t>BOLSO C CABAS PANIER BLACK16cm</t>
        </is>
      </c>
      <c r="F3724" s="9" t="inlineStr">
        <is>
          <t>Default Title</t>
        </is>
      </c>
      <c r="G3724" s="9" t="n">
        <v>5</v>
      </c>
      <c r="H3724" s="21" t="n">
        <v>43</v>
      </c>
      <c r="I3724" s="21" t="n">
        <v>1115.85</v>
      </c>
      <c r="J3724" s="21" t="n">
        <v>3347.56</v>
      </c>
      <c r="K3724" s="21" t="n">
        <v>3905.49</v>
      </c>
      <c r="L3724" s="21" t="n">
        <v>4463.42</v>
      </c>
      <c r="M3724" s="21" t="n">
        <v>4469</v>
      </c>
    </row>
    <row r="3725">
      <c r="A3725" s="9" t="inlineStr">
        <is>
          <t>CYNTHIA</t>
        </is>
      </c>
      <c r="B3725" s="9" t="inlineStr">
        <is>
          <t>CYNTHIA 27/04/2026</t>
        </is>
      </c>
      <c r="C3725" s="9" t="inlineStr">
        <is>
          <t>2026-04-27</t>
        </is>
      </c>
      <c r="D3725" s="9" t="inlineStr">
        <is>
          <t>14401521745677</t>
        </is>
      </c>
      <c r="E3725" s="9" t="inlineStr">
        <is>
          <t>BOLSO C CABAS PANIER BROWN</t>
        </is>
      </c>
      <c r="F3725" s="9" t="inlineStr">
        <is>
          <t>Default Title</t>
        </is>
      </c>
      <c r="G3725" s="9" t="n">
        <v>5</v>
      </c>
      <c r="H3725" s="21" t="n">
        <v>43</v>
      </c>
      <c r="I3725" s="21" t="n">
        <v>1115.85</v>
      </c>
      <c r="J3725" s="21" t="n">
        <v>3347.56</v>
      </c>
      <c r="K3725" s="21" t="n">
        <v>3905.49</v>
      </c>
      <c r="L3725" s="21" t="n">
        <v>4463.42</v>
      </c>
      <c r="M3725" s="21" t="n">
        <v>4469</v>
      </c>
    </row>
    <row r="3726">
      <c r="A3726" s="9" t="inlineStr">
        <is>
          <t>CYNTHIA</t>
        </is>
      </c>
      <c r="B3726" s="9" t="inlineStr">
        <is>
          <t>CYNTHIA 27/04/2026</t>
        </is>
      </c>
      <c r="C3726" s="9" t="inlineStr">
        <is>
          <t>2026-04-27</t>
        </is>
      </c>
      <c r="D3726" s="9" t="inlineStr">
        <is>
          <t>96676174592652</t>
        </is>
      </c>
      <c r="E3726" s="9" t="inlineStr">
        <is>
          <t>BOLSO C CLAUDE BLACK</t>
        </is>
      </c>
      <c r="F3726" s="9" t="inlineStr"/>
      <c r="G3726" s="9" t="n">
        <v>1</v>
      </c>
      <c r="H3726" s="21" t="n">
        <v>48</v>
      </c>
      <c r="I3726" s="21" t="n">
        <v>1245.6</v>
      </c>
      <c r="J3726" s="21" t="n">
        <v>3736.81</v>
      </c>
      <c r="K3726" s="21" t="n">
        <v>4359.62</v>
      </c>
      <c r="L3726" s="21" t="n">
        <v>4982.42</v>
      </c>
      <c r="M3726" s="21" t="n"/>
    </row>
    <row r="3727">
      <c r="A3727" s="9" t="inlineStr">
        <is>
          <t>CYNTHIA</t>
        </is>
      </c>
      <c r="B3727" s="9" t="inlineStr">
        <is>
          <t>CYNTHIA 27/04/2026</t>
        </is>
      </c>
      <c r="C3727" s="9" t="inlineStr">
        <is>
          <t>2026-04-27</t>
        </is>
      </c>
      <c r="D3727" s="9" t="inlineStr">
        <is>
          <t>14401521878445</t>
        </is>
      </c>
      <c r="E3727" s="9" t="inlineStr">
        <is>
          <t>BOLSO C HALFMOON BLACK</t>
        </is>
      </c>
      <c r="F3727" s="9" t="inlineStr">
        <is>
          <t>Default Title</t>
        </is>
      </c>
      <c r="G3727" s="9" t="n">
        <v>2</v>
      </c>
      <c r="H3727" s="21" t="n">
        <v>65</v>
      </c>
      <c r="I3727" s="21" t="n">
        <v>1686.76</v>
      </c>
      <c r="J3727" s="21" t="n">
        <v>5060.27</v>
      </c>
      <c r="K3727" s="21" t="n">
        <v>5903.65</v>
      </c>
      <c r="L3727" s="21" t="n">
        <v>6747.02</v>
      </c>
      <c r="M3727" s="21" t="n">
        <v>5910</v>
      </c>
    </row>
    <row r="3728">
      <c r="A3728" s="9" t="inlineStr">
        <is>
          <t>CYNTHIA</t>
        </is>
      </c>
      <c r="B3728" s="9" t="inlineStr">
        <is>
          <t>CYNTHIA 27/04/2026</t>
        </is>
      </c>
      <c r="C3728" s="9" t="inlineStr">
        <is>
          <t>2026-04-27</t>
        </is>
      </c>
      <c r="D3728" s="9" t="inlineStr">
        <is>
          <t>24469411472813</t>
        </is>
      </c>
      <c r="E3728" s="9" t="inlineStr">
        <is>
          <t>BOLSO CC CLASIC BROWN</t>
        </is>
      </c>
      <c r="F3728" s="9" t="inlineStr">
        <is>
          <t>Default Title</t>
        </is>
      </c>
      <c r="G3728" s="9" t="n">
        <v>3</v>
      </c>
      <c r="H3728" s="21" t="n">
        <v>54</v>
      </c>
      <c r="I3728" s="21" t="n">
        <v>1401.31</v>
      </c>
      <c r="J3728" s="21" t="n">
        <v>4203.92</v>
      </c>
      <c r="K3728" s="21" t="n">
        <v>4904.57</v>
      </c>
      <c r="L3728" s="21" t="n">
        <v>5605.22</v>
      </c>
      <c r="M3728" s="21" t="n">
        <v>4999</v>
      </c>
    </row>
    <row r="3729">
      <c r="A3729" s="9" t="inlineStr">
        <is>
          <t>CYNTHIA</t>
        </is>
      </c>
      <c r="B3729" s="9" t="inlineStr">
        <is>
          <t>CYNTHIA 27/04/2026</t>
        </is>
      </c>
      <c r="C3729" s="9" t="inlineStr">
        <is>
          <t>2026-04-27</t>
        </is>
      </c>
      <c r="D3729" s="9" t="inlineStr">
        <is>
          <t>14401522920237</t>
        </is>
      </c>
      <c r="E3729" s="9" t="inlineStr">
        <is>
          <t>BOLSO CC DOUBLE FLAP</t>
        </is>
      </c>
      <c r="F3729" s="9" t="inlineStr">
        <is>
          <t>Default Title</t>
        </is>
      </c>
      <c r="G3729" s="9" t="n">
        <v>3</v>
      </c>
      <c r="H3729" s="21" t="n">
        <v>72</v>
      </c>
      <c r="I3729" s="21" t="n">
        <v>1868.41</v>
      </c>
      <c r="J3729" s="21" t="n">
        <v>5605.22</v>
      </c>
      <c r="K3729" s="21" t="n">
        <v>6539.42</v>
      </c>
      <c r="L3729" s="21" t="n">
        <v>7473.63</v>
      </c>
      <c r="M3729" s="21" t="n">
        <v>6540</v>
      </c>
    </row>
    <row r="3730">
      <c r="A3730" s="9" t="inlineStr">
        <is>
          <t>CYNTHIA</t>
        </is>
      </c>
      <c r="B3730" s="9" t="inlineStr">
        <is>
          <t>CYNTHIA 27/04/2026</t>
        </is>
      </c>
      <c r="C3730" s="9" t="inlineStr">
        <is>
          <t>2026-04-27</t>
        </is>
      </c>
      <c r="D3730" s="9" t="inlineStr">
        <is>
          <t>24072851105773</t>
        </is>
      </c>
      <c r="E3730" s="9" t="inlineStr">
        <is>
          <t>BOLSO CC MINI KELLY BLACK</t>
        </is>
      </c>
      <c r="F3730" s="9" t="inlineStr">
        <is>
          <t>Default Title</t>
        </is>
      </c>
      <c r="G3730" s="9" t="n">
        <v>2</v>
      </c>
      <c r="H3730" s="21" t="n">
        <v>53</v>
      </c>
      <c r="I3730" s="21" t="n">
        <v>1375.35</v>
      </c>
      <c r="J3730" s="21" t="n">
        <v>4126.06</v>
      </c>
      <c r="K3730" s="21" t="n">
        <v>4813.74</v>
      </c>
      <c r="L3730" s="21" t="n">
        <v>5501.42</v>
      </c>
      <c r="M3730" s="21" t="n">
        <v>4819</v>
      </c>
    </row>
    <row r="3731">
      <c r="A3731" s="9" t="inlineStr">
        <is>
          <t>CYNTHIA</t>
        </is>
      </c>
      <c r="B3731" s="9" t="inlineStr">
        <is>
          <t>CYNTHIA 27/04/2026</t>
        </is>
      </c>
      <c r="C3731" s="9" t="inlineStr">
        <is>
          <t>2026-04-27</t>
        </is>
      </c>
      <c r="D3731" s="9" t="inlineStr">
        <is>
          <t>71092951310861</t>
        </is>
      </c>
      <c r="E3731" s="9" t="inlineStr">
        <is>
          <t>BOLSO CC VANITY WHITE</t>
        </is>
      </c>
      <c r="F3731" s="9" t="inlineStr">
        <is>
          <t>Default Title</t>
        </is>
      </c>
      <c r="G3731" s="9" t="n">
        <v>3</v>
      </c>
      <c r="H3731" s="21" t="n">
        <v>52</v>
      </c>
      <c r="I3731" s="21" t="n">
        <v>1349.4</v>
      </c>
      <c r="J3731" s="21" t="n">
        <v>4048.21</v>
      </c>
      <c r="K3731" s="21" t="n">
        <v>4722.92</v>
      </c>
      <c r="L3731" s="21" t="n">
        <v>5397.62</v>
      </c>
      <c r="M3731" s="21" t="n">
        <v>4729</v>
      </c>
    </row>
    <row r="3732">
      <c r="A3732" s="9" t="inlineStr">
        <is>
          <t>CYNTHIA</t>
        </is>
      </c>
      <c r="B3732" s="9" t="inlineStr">
        <is>
          <t>CYNTHIA 27/04/2026</t>
        </is>
      </c>
      <c r="C3732" s="9" t="inlineStr">
        <is>
          <t>2026-04-27</t>
        </is>
      </c>
      <c r="D3732" s="9" t="inlineStr">
        <is>
          <t>14401523449613</t>
        </is>
      </c>
      <c r="E3732" s="9" t="inlineStr">
        <is>
          <t>BOLSO CD CON CREMALLERA</t>
        </is>
      </c>
      <c r="F3732" s="9" t="inlineStr">
        <is>
          <t>Default Title</t>
        </is>
      </c>
      <c r="G3732" s="9" t="n">
        <v>2</v>
      </c>
      <c r="H3732" s="21" t="n">
        <v>48</v>
      </c>
      <c r="I3732" s="21" t="n">
        <v>1245.6</v>
      </c>
      <c r="J3732" s="21" t="n">
        <v>3736.81</v>
      </c>
      <c r="K3732" s="21" t="n">
        <v>4359.62</v>
      </c>
      <c r="L3732" s="21" t="n">
        <v>4982.42</v>
      </c>
      <c r="M3732" s="21" t="n">
        <v>5095</v>
      </c>
    </row>
    <row r="3733">
      <c r="A3733" s="9" t="inlineStr">
        <is>
          <t>CYNTHIA</t>
        </is>
      </c>
      <c r="B3733" s="9" t="inlineStr">
        <is>
          <t>CYNTHIA 27/04/2026</t>
        </is>
      </c>
      <c r="C3733" s="9" t="inlineStr">
        <is>
          <t>2026-04-27</t>
        </is>
      </c>
      <c r="D3733" s="9" t="inlineStr">
        <is>
          <t>19976221521036</t>
        </is>
      </c>
      <c r="E3733" s="9" t="inlineStr">
        <is>
          <t>BOLSO DE VIAJE BLACK PÉGASE LV</t>
        </is>
      </c>
      <c r="F3733" s="9" t="inlineStr">
        <is>
          <t>HIGH QUALITY</t>
        </is>
      </c>
      <c r="G3733" s="9" t="n">
        <v>1</v>
      </c>
      <c r="H3733" s="21" t="n">
        <v>54</v>
      </c>
      <c r="I3733" s="21" t="n">
        <v>1401.31</v>
      </c>
      <c r="J3733" s="21" t="n">
        <v>4203.92</v>
      </c>
      <c r="K3733" s="21" t="n">
        <v>4904.57</v>
      </c>
      <c r="L3733" s="21" t="n">
        <v>5605.22</v>
      </c>
      <c r="M3733" s="21" t="n">
        <v>5609</v>
      </c>
    </row>
    <row r="3734">
      <c r="A3734" s="9" t="inlineStr">
        <is>
          <t>CYNTHIA</t>
        </is>
      </c>
      <c r="B3734" s="9" t="inlineStr">
        <is>
          <t>CYNTHIA 27/04/2026</t>
        </is>
      </c>
      <c r="C3734" s="9" t="inlineStr">
        <is>
          <t>2026-04-27</t>
        </is>
      </c>
      <c r="D3734" s="9" t="inlineStr">
        <is>
          <t>33644561183053</t>
        </is>
      </c>
      <c r="E3734" s="9" t="inlineStr">
        <is>
          <t>BOLSO F CHAIN LOGOS</t>
        </is>
      </c>
      <c r="F3734" s="9" t="inlineStr">
        <is>
          <t>Default Title</t>
        </is>
      </c>
      <c r="G3734" s="9" t="n">
        <v>3</v>
      </c>
      <c r="H3734" s="21" t="n">
        <v>46</v>
      </c>
      <c r="I3734" s="21" t="n">
        <v>1193.7</v>
      </c>
      <c r="J3734" s="21" t="n">
        <v>3581.11</v>
      </c>
      <c r="K3734" s="21" t="n">
        <v>4177.96</v>
      </c>
      <c r="L3734" s="21" t="n">
        <v>4774.82</v>
      </c>
      <c r="M3734" s="21" t="n">
        <v>4179</v>
      </c>
    </row>
    <row r="3735">
      <c r="A3735" s="9" t="inlineStr">
        <is>
          <t>CYNTHIA</t>
        </is>
      </c>
      <c r="B3735" s="9" t="inlineStr">
        <is>
          <t>CYNTHIA 27/04/2026</t>
        </is>
      </c>
      <c r="C3735" s="9" t="inlineStr">
        <is>
          <t>2026-04-27</t>
        </is>
      </c>
      <c r="D3735" s="9" t="inlineStr">
        <is>
          <t>33644561048589</t>
        </is>
      </c>
      <c r="E3735" s="9" t="inlineStr">
        <is>
          <t>BOLSO F FENDIGRAPHY WHITE</t>
        </is>
      </c>
      <c r="F3735" s="9" t="inlineStr">
        <is>
          <t>Default Title</t>
        </is>
      </c>
      <c r="G3735" s="9" t="n">
        <v>2</v>
      </c>
      <c r="H3735" s="21" t="n">
        <v>52</v>
      </c>
      <c r="I3735" s="21" t="n">
        <v>1349.4</v>
      </c>
      <c r="J3735" s="21" t="n">
        <v>4048.21</v>
      </c>
      <c r="K3735" s="21" t="n">
        <v>4722.92</v>
      </c>
      <c r="L3735" s="21" t="n">
        <v>5397.62</v>
      </c>
      <c r="M3735" s="21" t="n">
        <v>4725</v>
      </c>
    </row>
    <row r="3736">
      <c r="A3736" s="9" t="inlineStr">
        <is>
          <t>CYNTHIA</t>
        </is>
      </c>
      <c r="B3736" s="9" t="inlineStr">
        <is>
          <t>CYNTHIA 27/04/2026</t>
        </is>
      </c>
      <c r="C3736" s="9" t="inlineStr">
        <is>
          <t>2026-04-27</t>
        </is>
      </c>
      <c r="D3736" s="9" t="inlineStr">
        <is>
          <t>14401521907821</t>
        </is>
      </c>
      <c r="E3736" s="9" t="inlineStr">
        <is>
          <t>BOLSO GC SHOULDER BLACK</t>
        </is>
      </c>
      <c r="F3736" s="9" t="inlineStr">
        <is>
          <t>Default Title</t>
        </is>
      </c>
      <c r="G3736" s="9" t="n">
        <v>2</v>
      </c>
      <c r="H3736" s="21" t="n">
        <v>56</v>
      </c>
      <c r="I3736" s="21" t="n">
        <v>1453.21</v>
      </c>
      <c r="J3736" s="21" t="n">
        <v>4359.62</v>
      </c>
      <c r="K3736" s="21" t="n">
        <v>5086.22</v>
      </c>
      <c r="L3736" s="21" t="n">
        <v>5812.82</v>
      </c>
      <c r="M3736" s="21" t="n">
        <v>5815</v>
      </c>
    </row>
    <row r="3737">
      <c r="A3737" s="9" t="inlineStr">
        <is>
          <t>CYNTHIA</t>
        </is>
      </c>
      <c r="B3737" s="9" t="inlineStr">
        <is>
          <t>CYNTHIA 27/04/2026</t>
        </is>
      </c>
      <c r="C3737" s="9" t="inlineStr">
        <is>
          <t>2026-04-27</t>
        </is>
      </c>
      <c r="D3737" s="9" t="inlineStr">
        <is>
          <t>14401522038893</t>
        </is>
      </c>
      <c r="E3737" s="9" t="inlineStr">
        <is>
          <t>BOLSO GC TOTE BEATRIX BROWN</t>
        </is>
      </c>
      <c r="F3737" s="9" t="inlineStr">
        <is>
          <t>Default Title</t>
        </is>
      </c>
      <c r="G3737" s="9" t="n">
        <v>4</v>
      </c>
      <c r="H3737" s="21" t="n">
        <v>53</v>
      </c>
      <c r="I3737" s="21" t="n">
        <v>1375.35</v>
      </c>
      <c r="J3737" s="21" t="n">
        <v>4126.06</v>
      </c>
      <c r="K3737" s="21" t="n">
        <v>4813.74</v>
      </c>
      <c r="L3737" s="21" t="n">
        <v>5501.42</v>
      </c>
      <c r="M3737" s="21" t="n">
        <v>5505</v>
      </c>
    </row>
    <row r="3738">
      <c r="A3738" s="9" t="inlineStr">
        <is>
          <t>CYNTHIA</t>
        </is>
      </c>
      <c r="B3738" s="9" t="inlineStr">
        <is>
          <t>CYNTHIA 27/04/2026</t>
        </is>
      </c>
      <c r="C3738" s="9" t="inlineStr">
        <is>
          <t>2026-04-27</t>
        </is>
      </c>
      <c r="D3738" s="9" t="inlineStr">
        <is>
          <t>6701d26e04890</t>
        </is>
      </c>
      <c r="E3738" s="9" t="inlineStr">
        <is>
          <t>BOLSO H BIRKIN 30 GRIS TOURTERELLE</t>
        </is>
      </c>
      <c r="F3738" s="9" t="inlineStr">
        <is>
          <t>20.5cm de alto x 25cm de largo x 13cm ancho</t>
        </is>
      </c>
      <c r="G3738" s="9" t="n">
        <v>1</v>
      </c>
      <c r="H3738" s="21" t="n">
        <v>65</v>
      </c>
      <c r="I3738" s="21" t="n">
        <v>1686.76</v>
      </c>
      <c r="J3738" s="21" t="n">
        <v>5060.27</v>
      </c>
      <c r="K3738" s="21" t="n">
        <v>5903.65</v>
      </c>
      <c r="L3738" s="21" t="n">
        <v>6747.02</v>
      </c>
      <c r="M3738" s="21" t="n">
        <v>6035</v>
      </c>
    </row>
    <row r="3739">
      <c r="A3739" s="9" t="inlineStr">
        <is>
          <t>CYNTHIA</t>
        </is>
      </c>
      <c r="B3739" s="9" t="inlineStr">
        <is>
          <t>CYNTHIA 27/04/2026</t>
        </is>
      </c>
      <c r="C3739" s="9" t="inlineStr">
        <is>
          <t>2026-04-27</t>
        </is>
      </c>
      <c r="D3739" s="9" t="inlineStr">
        <is>
          <t>71092951207469</t>
        </is>
      </c>
      <c r="E3739" s="9" t="inlineStr">
        <is>
          <t>BOLSO MM BEAU COÑAC</t>
        </is>
      </c>
      <c r="F3739" s="9" t="inlineStr">
        <is>
          <t>Default Title</t>
        </is>
      </c>
      <c r="G3739" s="9" t="n">
        <v>3</v>
      </c>
      <c r="H3739" s="21" t="n">
        <v>63</v>
      </c>
      <c r="I3739" s="21" t="n">
        <v>1634.86</v>
      </c>
      <c r="J3739" s="21" t="n">
        <v>4904.57</v>
      </c>
      <c r="K3739" s="21" t="n">
        <v>5722</v>
      </c>
      <c r="L3739" s="21" t="n">
        <v>6539.42</v>
      </c>
      <c r="M3739" s="21" t="n">
        <v>5722</v>
      </c>
    </row>
    <row r="3740">
      <c r="A3740" s="9" t="inlineStr">
        <is>
          <t>CYNTHIA</t>
        </is>
      </c>
      <c r="B3740" s="9" t="inlineStr">
        <is>
          <t>CYNTHIA 27/04/2026</t>
        </is>
      </c>
      <c r="C3740" s="9" t="inlineStr">
        <is>
          <t>2026-04-27</t>
        </is>
      </c>
      <c r="D3740" s="9" t="inlineStr">
        <is>
          <t>33644561954829</t>
        </is>
      </c>
      <c r="E3740" s="9" t="inlineStr">
        <is>
          <t>BOLSO MM DENIM BLUE</t>
        </is>
      </c>
      <c r="F3740" s="9" t="inlineStr">
        <is>
          <t>Default Title</t>
        </is>
      </c>
      <c r="G3740" s="9" t="n">
        <v>2</v>
      </c>
      <c r="H3740" s="21" t="n">
        <v>65</v>
      </c>
      <c r="I3740" s="21" t="n">
        <v>1686.76</v>
      </c>
      <c r="J3740" s="21" t="n">
        <v>5060.27</v>
      </c>
      <c r="K3740" s="21" t="n">
        <v>5903.65</v>
      </c>
      <c r="L3740" s="21" t="n">
        <v>6747.02</v>
      </c>
      <c r="M3740" s="21" t="n">
        <v>5910</v>
      </c>
    </row>
    <row r="3741">
      <c r="A3741" s="9" t="inlineStr">
        <is>
          <t>CYNTHIA</t>
        </is>
      </c>
      <c r="B3741" s="9" t="inlineStr">
        <is>
          <t>CYNTHIA 27/04/2026</t>
        </is>
      </c>
      <c r="C3741" s="9" t="inlineStr">
        <is>
          <t>2026-04-27</t>
        </is>
      </c>
      <c r="D3741" s="9" t="inlineStr">
        <is>
          <t>71092951161133</t>
        </is>
      </c>
      <c r="E3741" s="9" t="inlineStr">
        <is>
          <t>BOLSO MM TOTE ARCADIE DARK BROWN</t>
        </is>
      </c>
      <c r="F3741" s="9" t="inlineStr">
        <is>
          <t>Default Title</t>
        </is>
      </c>
      <c r="G3741" s="9" t="n">
        <v>4</v>
      </c>
      <c r="H3741" s="21" t="n">
        <v>55</v>
      </c>
      <c r="I3741" s="21" t="n">
        <v>1427.26</v>
      </c>
      <c r="J3741" s="21" t="n">
        <v>4281.77</v>
      </c>
      <c r="K3741" s="21" t="n">
        <v>4995.39</v>
      </c>
      <c r="L3741" s="21" t="n">
        <v>5709.02</v>
      </c>
      <c r="M3741" s="21" t="n">
        <v>4999</v>
      </c>
    </row>
    <row r="3742">
      <c r="A3742" s="9" t="inlineStr">
        <is>
          <t>CYNTHIA</t>
        </is>
      </c>
      <c r="B3742" s="9" t="inlineStr">
        <is>
          <t>CYNTHIA 27/04/2026</t>
        </is>
      </c>
      <c r="C3742" s="9" t="inlineStr">
        <is>
          <t>2026-04-27</t>
        </is>
      </c>
      <c r="D3742" s="9" t="inlineStr">
        <is>
          <t>33644561253677</t>
        </is>
      </c>
      <c r="E3742" s="9" t="inlineStr">
        <is>
          <t>BOLSO MM TOTE DE TELA</t>
        </is>
      </c>
      <c r="F3742" s="9" t="inlineStr">
        <is>
          <t>Default Title</t>
        </is>
      </c>
      <c r="G3742" s="9" t="n">
        <v>2</v>
      </c>
      <c r="H3742" s="21" t="n">
        <v>43</v>
      </c>
      <c r="I3742" s="21" t="n">
        <v>1115.85</v>
      </c>
      <c r="J3742" s="21" t="n">
        <v>3347.56</v>
      </c>
      <c r="K3742" s="21" t="n">
        <v>3905.49</v>
      </c>
      <c r="L3742" s="21" t="n">
        <v>4463.42</v>
      </c>
      <c r="M3742" s="21" t="n">
        <v>2339</v>
      </c>
    </row>
    <row r="3743">
      <c r="A3743" s="9" t="inlineStr">
        <is>
          <t>CYNTHIA</t>
        </is>
      </c>
      <c r="B3743" s="9" t="inlineStr">
        <is>
          <t>CYNTHIA 27/04/2026</t>
        </is>
      </c>
      <c r="C3743" s="9" t="inlineStr">
        <is>
          <t>2026-04-27</t>
        </is>
      </c>
      <c r="D3743" s="9" t="inlineStr">
        <is>
          <t>33644561853133</t>
        </is>
      </c>
      <c r="E3743" s="9" t="inlineStr">
        <is>
          <t>BOLSO MM TOTE RAFFIA</t>
        </is>
      </c>
      <c r="F3743" s="9" t="inlineStr">
        <is>
          <t>Default Title</t>
        </is>
      </c>
      <c r="G3743" s="9" t="n">
        <v>2</v>
      </c>
      <c r="H3743" s="21" t="n">
        <v>55</v>
      </c>
      <c r="I3743" s="21" t="n">
        <v>1427.26</v>
      </c>
      <c r="J3743" s="21" t="n">
        <v>4281.77</v>
      </c>
      <c r="K3743" s="21" t="n">
        <v>4995.39</v>
      </c>
      <c r="L3743" s="21" t="n">
        <v>5709.02</v>
      </c>
      <c r="M3743" s="21" t="n">
        <v>4999</v>
      </c>
    </row>
    <row r="3744">
      <c r="A3744" s="9" t="inlineStr">
        <is>
          <t>CYNTHIA</t>
        </is>
      </c>
      <c r="B3744" s="9" t="inlineStr">
        <is>
          <t>CYNTHIA 27/04/2026</t>
        </is>
      </c>
      <c r="C3744" s="9" t="inlineStr">
        <is>
          <t>2026-04-27</t>
        </is>
      </c>
      <c r="D3744" s="9" t="inlineStr">
        <is>
          <t>67572c78e34a0</t>
        </is>
      </c>
      <c r="E3744" s="9" t="inlineStr">
        <is>
          <t>BOLSO YSL CHERRY CHAROL</t>
        </is>
      </c>
      <c r="F3744" s="9" t="inlineStr">
        <is>
          <t>24.3cm de largo x 15cm de alto x 6cm de ancho</t>
        </is>
      </c>
      <c r="G3744" s="9" t="n">
        <v>1</v>
      </c>
      <c r="H3744" s="21" t="n">
        <v>55</v>
      </c>
      <c r="I3744" s="21" t="n">
        <v>1427.26</v>
      </c>
      <c r="J3744" s="21" t="n">
        <v>4281.77</v>
      </c>
      <c r="K3744" s="21" t="n">
        <v>4995.39</v>
      </c>
      <c r="L3744" s="21" t="n">
        <v>5709.02</v>
      </c>
      <c r="M3744" s="21" t="n">
        <v>5850</v>
      </c>
    </row>
    <row r="3745">
      <c r="A3745" s="9" t="inlineStr">
        <is>
          <t>CYNTHIA</t>
        </is>
      </c>
      <c r="B3745" s="9" t="inlineStr">
        <is>
          <t>CYNTHIA 27/04/2026</t>
        </is>
      </c>
      <c r="C3745" s="9" t="inlineStr">
        <is>
          <t>2026-04-27</t>
        </is>
      </c>
      <c r="D3745" s="9" t="inlineStr">
        <is>
          <t>79775011055341</t>
        </is>
      </c>
      <c r="E3745" s="9" t="inlineStr">
        <is>
          <t>BOLSO YSL SHOPER ICARE</t>
        </is>
      </c>
      <c r="F3745" s="9" t="inlineStr">
        <is>
          <t>42cm x 42cm</t>
        </is>
      </c>
      <c r="G3745" s="9" t="n">
        <v>3</v>
      </c>
      <c r="H3745" s="21" t="n">
        <v>59</v>
      </c>
      <c r="I3745" s="21" t="n">
        <v>1531.06</v>
      </c>
      <c r="J3745" s="21" t="n">
        <v>4593.17</v>
      </c>
      <c r="K3745" s="21" t="n">
        <v>5358.69</v>
      </c>
      <c r="L3745" s="21" t="n">
        <v>6124.22</v>
      </c>
      <c r="M3745" s="21" t="n">
        <v>5840</v>
      </c>
    </row>
    <row r="3746">
      <c r="A3746" s="9" t="inlineStr">
        <is>
          <t>CYNTHIA</t>
        </is>
      </c>
      <c r="B3746" s="9" t="inlineStr">
        <is>
          <t>CYNTHIA 27/04/2026</t>
        </is>
      </c>
      <c r="C3746" s="9" t="inlineStr">
        <is>
          <t>2026-04-27</t>
        </is>
      </c>
      <c r="D3746" s="9" t="inlineStr">
        <is>
          <t>41889241578253</t>
        </is>
      </c>
      <c r="E3746" s="9" t="inlineStr">
        <is>
          <t>BRAZALETE CD ZIRCONIAS GOLD-BLACK</t>
        </is>
      </c>
      <c r="F3746" s="9" t="inlineStr">
        <is>
          <t>High quality</t>
        </is>
      </c>
      <c r="G3746" s="9" t="n">
        <v>1</v>
      </c>
      <c r="H3746" s="21" t="n"/>
      <c r="I3746" s="21" t="n">
        <v>0</v>
      </c>
      <c r="J3746" s="21" t="n">
        <v>0</v>
      </c>
      <c r="K3746" s="21" t="n">
        <v>0</v>
      </c>
      <c r="L3746" s="21" t="n">
        <v>0</v>
      </c>
      <c r="M3746" s="21" t="n">
        <v>920</v>
      </c>
    </row>
    <row r="3747">
      <c r="A3747" s="9" t="inlineStr">
        <is>
          <t>CYNTHIA</t>
        </is>
      </c>
      <c r="B3747" s="9" t="inlineStr">
        <is>
          <t>CYNTHIA 27/04/2026</t>
        </is>
      </c>
      <c r="C3747" s="9" t="inlineStr">
        <is>
          <t>2026-04-27</t>
        </is>
      </c>
      <c r="D3747" s="9" t="inlineStr">
        <is>
          <t>41889241103149</t>
        </is>
      </c>
      <c r="E3747" s="9" t="inlineStr">
        <is>
          <t>BRAZALETE T VICTORIA SILVER</t>
        </is>
      </c>
      <c r="F3747" s="9" t="inlineStr">
        <is>
          <t>Default Title</t>
        </is>
      </c>
      <c r="G3747" s="9" t="n">
        <v>2</v>
      </c>
      <c r="H3747" s="21" t="n">
        <v>24.8</v>
      </c>
      <c r="I3747" s="21" t="n">
        <v>643.5599999999999</v>
      </c>
      <c r="J3747" s="21" t="n">
        <v>1930.69</v>
      </c>
      <c r="K3747" s="21" t="n">
        <v>2252.47</v>
      </c>
      <c r="L3747" s="21" t="n">
        <v>2574.25</v>
      </c>
      <c r="M3747" s="21" t="n">
        <v>2579</v>
      </c>
    </row>
    <row r="3748">
      <c r="A3748" s="9" t="inlineStr">
        <is>
          <t>CYNTHIA</t>
        </is>
      </c>
      <c r="B3748" s="9" t="inlineStr">
        <is>
          <t>CYNTHIA 27/04/2026</t>
        </is>
      </c>
      <c r="C3748" s="9" t="inlineStr">
        <is>
          <t>2026-04-27</t>
        </is>
      </c>
      <c r="D3748" s="9" t="inlineStr">
        <is>
          <t>64e78e722fe81</t>
        </is>
      </c>
      <c r="E3748" s="9" t="inlineStr">
        <is>
          <t>BROCHE CD GOLD CON PERLA</t>
        </is>
      </c>
      <c r="F3748" s="9" t="inlineStr">
        <is>
          <t>2.5cmx4cm</t>
        </is>
      </c>
      <c r="G3748" s="9" t="n">
        <v>3</v>
      </c>
      <c r="H3748" s="21" t="n">
        <v>8.800000000000001</v>
      </c>
      <c r="I3748" s="21" t="n">
        <v>228.36</v>
      </c>
      <c r="J3748" s="21" t="n">
        <v>685.08</v>
      </c>
      <c r="K3748" s="21" t="n">
        <v>799.26</v>
      </c>
      <c r="L3748" s="21" t="n">
        <v>913.4400000000001</v>
      </c>
      <c r="M3748" s="21" t="n">
        <v>915</v>
      </c>
    </row>
    <row r="3749">
      <c r="A3749" s="9" t="inlineStr">
        <is>
          <t>CYNTHIA</t>
        </is>
      </c>
      <c r="B3749" s="9" t="inlineStr">
        <is>
          <t>CYNTHIA 27/04/2026</t>
        </is>
      </c>
      <c r="C3749" s="9" t="inlineStr">
        <is>
          <t>2026-04-27</t>
        </is>
      </c>
      <c r="D3749" s="9" t="inlineStr">
        <is>
          <t>14401521483533</t>
        </is>
      </c>
      <c r="E3749" s="9" t="inlineStr">
        <is>
          <t>CINTO C TRIOMPHE LOGOS</t>
        </is>
      </c>
      <c r="F3749" s="9" t="inlineStr">
        <is>
          <t>Default Title</t>
        </is>
      </c>
      <c r="G3749" s="9" t="n">
        <v>5</v>
      </c>
      <c r="H3749" s="21" t="n">
        <v>8.800000000000001</v>
      </c>
      <c r="I3749" s="21" t="n">
        <v>228.36</v>
      </c>
      <c r="J3749" s="21" t="n">
        <v>685.08</v>
      </c>
      <c r="K3749" s="21" t="n">
        <v>799.26</v>
      </c>
      <c r="L3749" s="21" t="n">
        <v>913.4400000000001</v>
      </c>
      <c r="M3749" s="21" t="n">
        <v>915</v>
      </c>
    </row>
    <row r="3750">
      <c r="A3750" s="9" t="inlineStr">
        <is>
          <t>CYNTHIA</t>
        </is>
      </c>
      <c r="B3750" s="9" t="inlineStr">
        <is>
          <t>CYNTHIA 27/04/2026</t>
        </is>
      </c>
      <c r="C3750" s="9" t="inlineStr">
        <is>
          <t>2026-04-27</t>
        </is>
      </c>
      <c r="D3750" s="9" t="inlineStr">
        <is>
          <t>14401522887469</t>
        </is>
      </c>
      <c r="E3750" s="9" t="inlineStr">
        <is>
          <t>CINTO GC WHITE</t>
        </is>
      </c>
      <c r="F3750" s="9" t="inlineStr">
        <is>
          <t>Default Title</t>
        </is>
      </c>
      <c r="G3750" s="9" t="n">
        <v>1</v>
      </c>
      <c r="H3750" s="21" t="n">
        <v>8</v>
      </c>
      <c r="I3750" s="21" t="n">
        <v>207.6</v>
      </c>
      <c r="J3750" s="21" t="n">
        <v>622.8</v>
      </c>
      <c r="K3750" s="21" t="n">
        <v>726.6</v>
      </c>
      <c r="L3750" s="21" t="n">
        <v>830.4</v>
      </c>
      <c r="M3750" s="21" t="n">
        <v>899</v>
      </c>
    </row>
    <row r="3751">
      <c r="A3751" s="9" t="inlineStr">
        <is>
          <t>CYNTHIA</t>
        </is>
      </c>
      <c r="B3751" s="9" t="inlineStr">
        <is>
          <t>CYNTHIA 27/04/2026</t>
        </is>
      </c>
      <c r="C3751" s="9" t="inlineStr">
        <is>
          <t>2026-04-27</t>
        </is>
      </c>
      <c r="D3751" s="9" t="inlineStr">
        <is>
          <t>43728071667212</t>
        </is>
      </c>
      <c r="E3751" s="9" t="inlineStr">
        <is>
          <t>CINTO H KELLY BLACK</t>
        </is>
      </c>
      <c r="F3751" s="9" t="inlineStr">
        <is>
          <t>AJUSTABLE</t>
        </is>
      </c>
      <c r="G3751" s="9" t="n">
        <v>9</v>
      </c>
      <c r="H3751" s="21" t="n">
        <v>6.5</v>
      </c>
      <c r="I3751" s="21" t="n">
        <v>168.68</v>
      </c>
      <c r="J3751" s="21" t="n">
        <v>506.03</v>
      </c>
      <c r="K3751" s="21" t="n">
        <v>590.36</v>
      </c>
      <c r="L3751" s="21" t="n">
        <v>674.7</v>
      </c>
      <c r="M3751" s="21" t="n">
        <v>899</v>
      </c>
    </row>
    <row r="3752">
      <c r="A3752" s="9" t="inlineStr">
        <is>
          <t>CYNTHIA</t>
        </is>
      </c>
      <c r="B3752" s="9" t="inlineStr">
        <is>
          <t>CYNTHIA 27/04/2026</t>
        </is>
      </c>
      <c r="C3752" s="9" t="inlineStr">
        <is>
          <t>2026-04-27</t>
        </is>
      </c>
      <c r="D3752" s="9" t="inlineStr">
        <is>
          <t>43728071764972</t>
        </is>
      </c>
      <c r="E3752" s="9" t="inlineStr">
        <is>
          <t>CINTO H KELLY BROWN</t>
        </is>
      </c>
      <c r="F3752" s="9" t="inlineStr">
        <is>
          <t>AJUSTABLE</t>
        </is>
      </c>
      <c r="G3752" s="9" t="n">
        <v>6</v>
      </c>
      <c r="H3752" s="21" t="n">
        <v>6.5</v>
      </c>
      <c r="I3752" s="21" t="n">
        <v>168.68</v>
      </c>
      <c r="J3752" s="21" t="n">
        <v>506.03</v>
      </c>
      <c r="K3752" s="21" t="n">
        <v>590.36</v>
      </c>
      <c r="L3752" s="21" t="n">
        <v>674.7</v>
      </c>
      <c r="M3752" s="21" t="n">
        <v>899</v>
      </c>
    </row>
    <row r="3753">
      <c r="A3753" s="9" t="inlineStr">
        <is>
          <t>CYNTHIA</t>
        </is>
      </c>
      <c r="B3753" s="9" t="inlineStr">
        <is>
          <t>CYNTHIA 27/04/2026</t>
        </is>
      </c>
      <c r="C3753" s="9" t="inlineStr">
        <is>
          <t>2026-04-27</t>
        </is>
      </c>
      <c r="D3753" s="9" t="inlineStr">
        <is>
          <t>16483891088621</t>
        </is>
      </c>
      <c r="E3753" s="9" t="inlineStr">
        <is>
          <t>CINTO LV HERITAGE LOGO SILVER</t>
        </is>
      </c>
      <c r="F3753" s="9" t="inlineStr">
        <is>
          <t>Default Title</t>
        </is>
      </c>
      <c r="G3753" s="9" t="n">
        <v>2</v>
      </c>
      <c r="H3753" s="21" t="n">
        <v>8.800000000000001</v>
      </c>
      <c r="I3753" s="21" t="n">
        <v>228.36</v>
      </c>
      <c r="J3753" s="21" t="n">
        <v>685.08</v>
      </c>
      <c r="K3753" s="21" t="n">
        <v>799.26</v>
      </c>
      <c r="L3753" s="21" t="n">
        <v>913.4400000000001</v>
      </c>
      <c r="M3753" s="21" t="n">
        <v>915</v>
      </c>
    </row>
    <row r="3754">
      <c r="A3754" s="9" t="inlineStr">
        <is>
          <t>CYNTHIA</t>
        </is>
      </c>
      <c r="B3754" s="9" t="inlineStr">
        <is>
          <t>CYNTHIA 27/04/2026</t>
        </is>
      </c>
      <c r="C3754" s="9" t="inlineStr">
        <is>
          <t>2026-04-27</t>
        </is>
      </c>
      <c r="D3754" s="9" t="inlineStr">
        <is>
          <t>14401521021389</t>
        </is>
      </c>
      <c r="E3754" s="9" t="inlineStr">
        <is>
          <t>CINTO LV REVERSIBLE HERITAGE</t>
        </is>
      </c>
      <c r="F3754" s="9" t="inlineStr">
        <is>
          <t>Default Title</t>
        </is>
      </c>
      <c r="G3754" s="9" t="n">
        <v>4</v>
      </c>
      <c r="H3754" s="21" t="n">
        <v>8.800000000000001</v>
      </c>
      <c r="I3754" s="21" t="n">
        <v>228.36</v>
      </c>
      <c r="J3754" s="21" t="n">
        <v>685.08</v>
      </c>
      <c r="K3754" s="21" t="n">
        <v>799.26</v>
      </c>
      <c r="L3754" s="21" t="n">
        <v>913.4400000000001</v>
      </c>
      <c r="M3754" s="21" t="n">
        <v>1199</v>
      </c>
    </row>
    <row r="3755">
      <c r="A3755" s="9" t="inlineStr">
        <is>
          <t>CYNTHIA</t>
        </is>
      </c>
      <c r="B3755" s="9" t="inlineStr">
        <is>
          <t>CYNTHIA 27/04/2026</t>
        </is>
      </c>
      <c r="C3755" s="9" t="inlineStr">
        <is>
          <t>2026-04-27</t>
        </is>
      </c>
      <c r="D3755" s="9" t="inlineStr">
        <is>
          <t>56481484584844</t>
        </is>
      </c>
      <c r="E3755" s="9" t="inlineStr">
        <is>
          <t>COLLAR BEAN GOLD</t>
        </is>
      </c>
      <c r="F3755" s="9" t="inlineStr">
        <is>
          <t>41cm con 5cm de extensión</t>
        </is>
      </c>
      <c r="G3755" s="9" t="n">
        <v>1</v>
      </c>
      <c r="H3755" s="21" t="n"/>
      <c r="I3755" s="21" t="n">
        <v>0</v>
      </c>
      <c r="J3755" s="21" t="n">
        <v>0</v>
      </c>
      <c r="K3755" s="21" t="n">
        <v>0</v>
      </c>
      <c r="L3755" s="21" t="n">
        <v>0</v>
      </c>
      <c r="M3755" s="21" t="n">
        <v>520</v>
      </c>
    </row>
    <row r="3756">
      <c r="A3756" s="9" t="inlineStr">
        <is>
          <t>CYNTHIA</t>
        </is>
      </c>
      <c r="B3756" s="9" t="inlineStr">
        <is>
          <t>CYNTHIA 27/04/2026</t>
        </is>
      </c>
      <c r="C3756" s="9" t="inlineStr">
        <is>
          <t>2026-04-27</t>
        </is>
      </c>
      <c r="D3756" s="9" t="inlineStr">
        <is>
          <t>668eee4037675</t>
        </is>
      </c>
      <c r="E3756" s="9" t="inlineStr">
        <is>
          <t>COLLAR ESLABONES GOLD</t>
        </is>
      </c>
      <c r="F3756" s="9" t="inlineStr">
        <is>
          <t>46cm</t>
        </is>
      </c>
      <c r="G3756" s="9" t="n">
        <v>2</v>
      </c>
      <c r="H3756" s="21" t="n">
        <v>13.8</v>
      </c>
      <c r="I3756" s="21" t="n">
        <v>358.11</v>
      </c>
      <c r="J3756" s="21" t="n">
        <v>1074.33</v>
      </c>
      <c r="K3756" s="21" t="n">
        <v>1253.39</v>
      </c>
      <c r="L3756" s="21" t="n">
        <v>1432.45</v>
      </c>
      <c r="M3756" s="21" t="n">
        <v>1499</v>
      </c>
    </row>
    <row r="3757">
      <c r="A3757" s="9" t="inlineStr">
        <is>
          <t>CYNTHIA</t>
        </is>
      </c>
      <c r="B3757" s="9" t="inlineStr">
        <is>
          <t>CYNTHIA 27/04/2026</t>
        </is>
      </c>
      <c r="C3757" s="9" t="inlineStr">
        <is>
          <t>2026-04-27</t>
        </is>
      </c>
      <c r="D3757" s="9" t="inlineStr">
        <is>
          <t>668eee3921529</t>
        </is>
      </c>
      <c r="E3757" s="9" t="inlineStr">
        <is>
          <t>COLLAR ESLABONES SILVER</t>
        </is>
      </c>
      <c r="F3757" s="9" t="inlineStr">
        <is>
          <t>HIGH QUALITY 46cm</t>
        </is>
      </c>
      <c r="G3757" s="9" t="n">
        <v>1</v>
      </c>
      <c r="H3757" s="21" t="n">
        <v>13.8</v>
      </c>
      <c r="I3757" s="21" t="n">
        <v>358.11</v>
      </c>
      <c r="J3757" s="21" t="n">
        <v>1074.33</v>
      </c>
      <c r="K3757" s="21" t="n">
        <v>1253.39</v>
      </c>
      <c r="L3757" s="21" t="n">
        <v>1432.45</v>
      </c>
      <c r="M3757" s="21" t="n">
        <v>1499</v>
      </c>
    </row>
    <row r="3758">
      <c r="A3758" s="9" t="inlineStr">
        <is>
          <t>CYNTHIA</t>
        </is>
      </c>
      <c r="B3758" s="9" t="inlineStr">
        <is>
          <t>CYNTHIA 27/04/2026</t>
        </is>
      </c>
      <c r="C3758" s="9" t="inlineStr">
        <is>
          <t>2026-04-27</t>
        </is>
      </c>
      <c r="D3758" s="9" t="inlineStr">
        <is>
          <t>39252671833741</t>
        </is>
      </c>
      <c r="E3758" s="9" t="inlineStr">
        <is>
          <t>COLLAR F GOLD</t>
        </is>
      </c>
      <c r="F3758" s="9" t="inlineStr">
        <is>
          <t>Default Title</t>
        </is>
      </c>
      <c r="G3758" s="9" t="n">
        <v>3</v>
      </c>
      <c r="H3758" s="21" t="n">
        <v>8.800000000000001</v>
      </c>
      <c r="I3758" s="21" t="n">
        <v>228.36</v>
      </c>
      <c r="J3758" s="21" t="n">
        <v>685.08</v>
      </c>
      <c r="K3758" s="21" t="n">
        <v>799.26</v>
      </c>
      <c r="L3758" s="21" t="n">
        <v>913.4400000000001</v>
      </c>
      <c r="M3758" s="21" t="n">
        <v>915</v>
      </c>
    </row>
    <row r="3759">
      <c r="A3759" s="9" t="inlineStr">
        <is>
          <t>CYNTHIA</t>
        </is>
      </c>
      <c r="B3759" s="9" t="inlineStr">
        <is>
          <t>CYNTHIA 27/04/2026</t>
        </is>
      </c>
      <c r="C3759" s="9" t="inlineStr">
        <is>
          <t>2026-04-27</t>
        </is>
      </c>
      <c r="D3759" s="9" t="inlineStr">
        <is>
          <t>64e78f2d04b05</t>
        </is>
      </c>
      <c r="E3759" s="9" t="inlineStr">
        <is>
          <t>COLLAR SMILE GOLD CON ZIRCONIA SMALL</t>
        </is>
      </c>
      <c r="F3759" s="9" t="inlineStr">
        <is>
          <t>Largo 44.5cm con extension de 5cm</t>
        </is>
      </c>
      <c r="G3759" s="9" t="n">
        <v>3</v>
      </c>
      <c r="H3759" s="21" t="n">
        <v>9.800000000000001</v>
      </c>
      <c r="I3759" s="21" t="n">
        <v>254.31</v>
      </c>
      <c r="J3759" s="21" t="n">
        <v>762.9299999999999</v>
      </c>
      <c r="K3759" s="21" t="n">
        <v>890.09</v>
      </c>
      <c r="L3759" s="21" t="n">
        <v>1017.24</v>
      </c>
      <c r="M3759" s="21" t="n">
        <v>1019</v>
      </c>
    </row>
    <row r="3760">
      <c r="A3760" s="9" t="inlineStr">
        <is>
          <t>CYNTHIA</t>
        </is>
      </c>
      <c r="B3760" s="9" t="inlineStr">
        <is>
          <t>CYNTHIA 27/04/2026</t>
        </is>
      </c>
      <c r="C3760" s="9" t="inlineStr">
        <is>
          <t>2026-04-27</t>
        </is>
      </c>
      <c r="D3760" s="9" t="inlineStr">
        <is>
          <t>77216894110092</t>
        </is>
      </c>
      <c r="E3760" s="9" t="inlineStr">
        <is>
          <t>GORRA C LOGO WHITE</t>
        </is>
      </c>
      <c r="F3760" s="9" t="inlineStr">
        <is>
          <t>AJUSTABLE</t>
        </is>
      </c>
      <c r="G3760" s="9" t="n">
        <v>3</v>
      </c>
      <c r="H3760" s="21" t="n">
        <v>8.300000000000001</v>
      </c>
      <c r="I3760" s="21" t="n">
        <v>215.39</v>
      </c>
      <c r="J3760" s="21" t="n">
        <v>646.16</v>
      </c>
      <c r="K3760" s="21" t="n">
        <v>753.85</v>
      </c>
      <c r="L3760" s="21" t="n">
        <v>861.54</v>
      </c>
      <c r="M3760" s="21" t="n">
        <v>869</v>
      </c>
    </row>
    <row r="3761">
      <c r="A3761" s="9" t="inlineStr">
        <is>
          <t>CYNTHIA</t>
        </is>
      </c>
      <c r="B3761" s="9" t="inlineStr">
        <is>
          <t>CYNTHIA 27/04/2026</t>
        </is>
      </c>
      <c r="C3761" s="9" t="inlineStr">
        <is>
          <t>2026-04-27</t>
        </is>
      </c>
      <c r="D3761" s="9" t="inlineStr">
        <is>
          <t>33644562259373</t>
        </is>
      </c>
      <c r="E3761" s="9" t="inlineStr">
        <is>
          <t>GORRA MM BROWN</t>
        </is>
      </c>
      <c r="F3761" s="9" t="inlineStr">
        <is>
          <t>Default Title</t>
        </is>
      </c>
      <c r="G3761" s="9" t="n">
        <v>3</v>
      </c>
      <c r="H3761" s="21" t="n">
        <v>9</v>
      </c>
      <c r="I3761" s="21" t="n">
        <v>233.55</v>
      </c>
      <c r="J3761" s="21" t="n">
        <v>700.65</v>
      </c>
      <c r="K3761" s="21" t="n">
        <v>817.4299999999999</v>
      </c>
      <c r="L3761" s="21" t="n">
        <v>934.2</v>
      </c>
      <c r="M3761" s="21" t="n">
        <v>935</v>
      </c>
    </row>
    <row r="3762">
      <c r="A3762" s="9" t="inlineStr">
        <is>
          <t>CYNTHIA</t>
        </is>
      </c>
      <c r="B3762" s="9" t="inlineStr">
        <is>
          <t>CYNTHIA 27/04/2026</t>
        </is>
      </c>
      <c r="C3762" s="9" t="inlineStr">
        <is>
          <t>2026-04-27</t>
        </is>
      </c>
      <c r="D3762" s="9" t="inlineStr">
        <is>
          <t>665818c705471</t>
        </is>
      </c>
      <c r="E3762" s="9" t="inlineStr">
        <is>
          <t>LENTES C GREEN</t>
        </is>
      </c>
      <c r="F3762" s="9" t="inlineStr">
        <is>
          <t>LOGO</t>
        </is>
      </c>
      <c r="G3762" s="9" t="n">
        <v>2</v>
      </c>
      <c r="H3762" s="21" t="n">
        <v>9.5</v>
      </c>
      <c r="I3762" s="21" t="n">
        <v>246.53</v>
      </c>
      <c r="J3762" s="21" t="n">
        <v>739.58</v>
      </c>
      <c r="K3762" s="21" t="n">
        <v>862.84</v>
      </c>
      <c r="L3762" s="21" t="n">
        <v>986.1</v>
      </c>
      <c r="M3762" s="21" t="n">
        <v>2499</v>
      </c>
    </row>
    <row r="3763">
      <c r="A3763" s="9" t="inlineStr">
        <is>
          <t>CYNTHIA</t>
        </is>
      </c>
      <c r="B3763" s="9" t="inlineStr">
        <is>
          <t>CYNTHIA 27/04/2026</t>
        </is>
      </c>
      <c r="C3763" s="9" t="inlineStr">
        <is>
          <t>2026-04-27</t>
        </is>
      </c>
      <c r="D3763" s="9" t="inlineStr">
        <is>
          <t>664fc854d5243</t>
        </is>
      </c>
      <c r="E3763" s="9" t="inlineStr">
        <is>
          <t>LENTES C OVAL SILVER BLACK</t>
        </is>
      </c>
      <c r="F3763" s="9" t="inlineStr">
        <is>
          <t>Default Title</t>
        </is>
      </c>
      <c r="G3763" s="9" t="n">
        <v>5</v>
      </c>
      <c r="H3763" s="21" t="n">
        <v>29.5</v>
      </c>
      <c r="I3763" s="21" t="n">
        <v>765.53</v>
      </c>
      <c r="J3763" s="21" t="n">
        <v>2296.58</v>
      </c>
      <c r="K3763" s="21" t="n">
        <v>2679.35</v>
      </c>
      <c r="L3763" s="21" t="n">
        <v>3062.11</v>
      </c>
      <c r="M3763" s="21" t="n">
        <v>3069</v>
      </c>
    </row>
    <row r="3764">
      <c r="A3764" s="9" t="inlineStr">
        <is>
          <t>CYNTHIA</t>
        </is>
      </c>
      <c r="B3764" s="9" t="inlineStr">
        <is>
          <t>CYNTHIA 27/04/2026</t>
        </is>
      </c>
      <c r="C3764" s="9" t="inlineStr">
        <is>
          <t>2026-04-27</t>
        </is>
      </c>
      <c r="D3764" s="9" t="inlineStr">
        <is>
          <t>81003591072449</t>
        </is>
      </c>
      <c r="E3764" s="9" t="inlineStr">
        <is>
          <t>LENTES FIRST CRYSTALF F</t>
        </is>
      </c>
      <c r="F3764" s="9" t="inlineStr">
        <is>
          <t>Default Title</t>
        </is>
      </c>
      <c r="G3764" s="9" t="n">
        <v>5</v>
      </c>
      <c r="H3764" s="21" t="n">
        <v>11</v>
      </c>
      <c r="I3764" s="21" t="n">
        <v>285.45</v>
      </c>
      <c r="J3764" s="21" t="n">
        <v>856.35</v>
      </c>
      <c r="K3764" s="21" t="n">
        <v>999.08</v>
      </c>
      <c r="L3764" s="21" t="n">
        <v>1141.8</v>
      </c>
      <c r="M3764" s="21" t="n">
        <v>1149</v>
      </c>
    </row>
    <row r="3765">
      <c r="A3765" s="9" t="inlineStr">
        <is>
          <t>CYNTHIA</t>
        </is>
      </c>
      <c r="B3765" s="9" t="inlineStr">
        <is>
          <t>CYNTHIA 27/04/2026</t>
        </is>
      </c>
      <c r="C3765" s="9" t="inlineStr">
        <is>
          <t>2026-04-27</t>
        </is>
      </c>
      <c r="D3765" s="9" t="inlineStr">
        <is>
          <t>38332092017357</t>
        </is>
      </c>
      <c r="E3765" s="9" t="inlineStr">
        <is>
          <t>LENTES LV MILIONAIRES SQUARE</t>
        </is>
      </c>
      <c r="F3765" s="9" t="inlineStr">
        <is>
          <t>Default Title</t>
        </is>
      </c>
      <c r="G3765" s="9" t="n">
        <v>2</v>
      </c>
      <c r="H3765" s="21" t="n">
        <v>30</v>
      </c>
      <c r="I3765" s="21" t="n">
        <v>778.5</v>
      </c>
      <c r="J3765" s="21" t="n">
        <v>2335.51</v>
      </c>
      <c r="K3765" s="21" t="n">
        <v>2724.76</v>
      </c>
      <c r="L3765" s="21" t="n">
        <v>3114.01</v>
      </c>
      <c r="M3765" s="21" t="n">
        <v>3115</v>
      </c>
    </row>
    <row r="3766">
      <c r="A3766" s="9" t="inlineStr">
        <is>
          <t>CYNTHIA</t>
        </is>
      </c>
      <c r="B3766" s="9" t="inlineStr">
        <is>
          <t>CYNTHIA 27/04/2026</t>
        </is>
      </c>
      <c r="C3766" s="9" t="inlineStr">
        <is>
          <t>2026-04-27</t>
        </is>
      </c>
      <c r="D3766" s="9" t="inlineStr">
        <is>
          <t>33644562004557</t>
        </is>
      </c>
      <c r="E3766" s="9" t="inlineStr">
        <is>
          <t>LENTES MM OVAL BLACK</t>
        </is>
      </c>
      <c r="F3766" s="9" t="inlineStr">
        <is>
          <t>Default Title</t>
        </is>
      </c>
      <c r="G3766" s="9" t="n">
        <v>2</v>
      </c>
      <c r="H3766" s="21" t="n">
        <v>28</v>
      </c>
      <c r="I3766" s="21" t="n">
        <v>726.6</v>
      </c>
      <c r="J3766" s="21" t="n">
        <v>2179.81</v>
      </c>
      <c r="K3766" s="21" t="n">
        <v>2543.11</v>
      </c>
      <c r="L3766" s="21" t="n">
        <v>2906.41</v>
      </c>
      <c r="M3766" s="21" t="n">
        <v>2910</v>
      </c>
    </row>
    <row r="3767">
      <c r="A3767" s="9" t="inlineStr">
        <is>
          <t>CYNTHIA</t>
        </is>
      </c>
      <c r="B3767" s="9" t="inlineStr">
        <is>
          <t>CYNTHIA 27/04/2026</t>
        </is>
      </c>
      <c r="C3767" s="9" t="inlineStr">
        <is>
          <t>2026-04-27</t>
        </is>
      </c>
      <c r="D3767" s="9" t="inlineStr">
        <is>
          <t>43026586435724</t>
        </is>
      </c>
      <c r="E3767" s="9" t="inlineStr">
        <is>
          <t>LENTES YSL SQUARE</t>
        </is>
      </c>
      <c r="F3767" s="9" t="inlineStr">
        <is>
          <t>HIGH QUALITY</t>
        </is>
      </c>
      <c r="G3767" s="9" t="n">
        <v>3</v>
      </c>
      <c r="H3767" s="21" t="n">
        <v>8</v>
      </c>
      <c r="I3767" s="21" t="n">
        <v>207.6</v>
      </c>
      <c r="J3767" s="21" t="n">
        <v>622.8</v>
      </c>
      <c r="K3767" s="21" t="n">
        <v>726.6</v>
      </c>
      <c r="L3767" s="21" t="n">
        <v>830.4</v>
      </c>
      <c r="M3767" s="21" t="n">
        <v>850</v>
      </c>
    </row>
    <row r="3768">
      <c r="A3768" s="9" t="inlineStr">
        <is>
          <t>CYNTHIA</t>
        </is>
      </c>
      <c r="B3768" s="9" t="inlineStr">
        <is>
          <t>CYNTHIA 27/04/2026</t>
        </is>
      </c>
      <c r="C3768" s="9" t="inlineStr">
        <is>
          <t>2026-04-27</t>
        </is>
      </c>
      <c r="D3768" s="9" t="inlineStr">
        <is>
          <t>71092951015341</t>
        </is>
      </c>
      <c r="E3768" s="9" t="inlineStr">
        <is>
          <t>MOCHILA MM CANVAS</t>
        </is>
      </c>
      <c r="F3768" s="9" t="inlineStr">
        <is>
          <t>Default Title</t>
        </is>
      </c>
      <c r="G3768" s="9" t="n">
        <v>3</v>
      </c>
      <c r="H3768" s="21" t="n">
        <v>68</v>
      </c>
      <c r="I3768" s="21" t="n">
        <v>1764.61</v>
      </c>
      <c r="J3768" s="21" t="n">
        <v>5293.82</v>
      </c>
      <c r="K3768" s="21" t="n">
        <v>6176.12</v>
      </c>
      <c r="L3768" s="21" t="n">
        <v>7058.43</v>
      </c>
      <c r="M3768" s="21" t="n">
        <v>6179</v>
      </c>
    </row>
    <row r="3769">
      <c r="A3769" s="9" t="inlineStr">
        <is>
          <t>CYNTHIA</t>
        </is>
      </c>
      <c r="B3769" s="9" t="inlineStr">
        <is>
          <t>CYNTHIA 27/04/2026</t>
        </is>
      </c>
      <c r="C3769" s="9" t="inlineStr">
        <is>
          <t>2026-04-27</t>
        </is>
      </c>
      <c r="D3769" s="9" t="inlineStr">
        <is>
          <t>64e78e112a71e</t>
        </is>
      </c>
      <c r="E3769" s="9" t="inlineStr">
        <is>
          <t>PULSERA DY SILVER</t>
        </is>
      </c>
      <c r="F3769" s="9" t="inlineStr">
        <is>
          <t>18cm</t>
        </is>
      </c>
      <c r="G3769" s="9" t="n">
        <v>3</v>
      </c>
      <c r="H3769" s="21" t="n">
        <v>14.8</v>
      </c>
      <c r="I3769" s="21" t="n">
        <v>384.06</v>
      </c>
      <c r="J3769" s="21" t="n">
        <v>1152.18</v>
      </c>
      <c r="K3769" s="21" t="n">
        <v>1344.21</v>
      </c>
      <c r="L3769" s="21" t="n">
        <v>1536.25</v>
      </c>
      <c r="M3769" s="21" t="n">
        <v>1539</v>
      </c>
    </row>
    <row r="3770">
      <c r="A3770" s="9" t="inlineStr">
        <is>
          <t>CYNTHIA</t>
        </is>
      </c>
      <c r="B3770" s="9" t="inlineStr">
        <is>
          <t>CYNTHIA 27/04/2026</t>
        </is>
      </c>
      <c r="C3770" s="9" t="inlineStr">
        <is>
          <t>2026-04-27</t>
        </is>
      </c>
      <c r="D3770" s="9" t="inlineStr">
        <is>
          <t>668eee4272e66</t>
        </is>
      </c>
      <c r="E3770" s="9" t="inlineStr">
        <is>
          <t>PULSERA ESLABONES GOLD</t>
        </is>
      </c>
      <c r="F3770" s="9" t="inlineStr">
        <is>
          <t>High Quality 20.5cm</t>
        </is>
      </c>
      <c r="G3770" s="9" t="n">
        <v>4</v>
      </c>
      <c r="H3770" s="21" t="n">
        <v>15.8</v>
      </c>
      <c r="I3770" s="21" t="n">
        <v>410.01</v>
      </c>
      <c r="J3770" s="21" t="n">
        <v>1230.03</v>
      </c>
      <c r="K3770" s="21" t="n">
        <v>1435.04</v>
      </c>
      <c r="L3770" s="21" t="n">
        <v>1640.05</v>
      </c>
      <c r="M3770" s="21" t="n">
        <v>1469</v>
      </c>
    </row>
    <row r="3771">
      <c r="A3771" s="9" t="inlineStr">
        <is>
          <t>CYNTHIA</t>
        </is>
      </c>
      <c r="B3771" s="9" t="inlineStr">
        <is>
          <t>CYNTHIA 27/04/2026</t>
        </is>
      </c>
      <c r="C3771" s="9" t="inlineStr">
        <is>
          <t>2026-04-27</t>
        </is>
      </c>
      <c r="D3771" s="9" t="inlineStr">
        <is>
          <t>43047195607180</t>
        </is>
      </c>
      <c r="E3771" s="9" t="inlineStr">
        <is>
          <t>PULSERA ESLABONES ROSE GOLD</t>
        </is>
      </c>
      <c r="F3771" s="9" t="inlineStr">
        <is>
          <t>20.5cm</t>
        </is>
      </c>
      <c r="G3771" s="9" t="n">
        <v>3</v>
      </c>
      <c r="H3771" s="21" t="n">
        <v>15.8</v>
      </c>
      <c r="I3771" s="21" t="n">
        <v>410.01</v>
      </c>
      <c r="J3771" s="21" t="n">
        <v>1230.03</v>
      </c>
      <c r="K3771" s="21" t="n">
        <v>1435.04</v>
      </c>
      <c r="L3771" s="21" t="n">
        <v>1640.05</v>
      </c>
      <c r="M3771" s="21" t="n">
        <v>1645</v>
      </c>
    </row>
    <row r="3772">
      <c r="A3772" s="9" t="inlineStr">
        <is>
          <t>CYNTHIA</t>
        </is>
      </c>
      <c r="B3772" s="9" t="inlineStr">
        <is>
          <t>CYNTHIA 27/04/2026</t>
        </is>
      </c>
      <c r="C3772" s="9" t="inlineStr">
        <is>
          <t>2026-04-27</t>
        </is>
      </c>
      <c r="D3772" s="9" t="inlineStr">
        <is>
          <t>43047195574412</t>
        </is>
      </c>
      <c r="E3772" s="9" t="inlineStr">
        <is>
          <t>PULSERA ESLABONES ROSE GOLD</t>
        </is>
      </c>
      <c r="F3772" s="9" t="inlineStr">
        <is>
          <t>17.5cm</t>
        </is>
      </c>
      <c r="G3772" s="9" t="n">
        <v>1</v>
      </c>
      <c r="H3772" s="21" t="n">
        <v>13.8</v>
      </c>
      <c r="I3772" s="21" t="n">
        <v>358.11</v>
      </c>
      <c r="J3772" s="21" t="n">
        <v>1074.33</v>
      </c>
      <c r="K3772" s="21" t="n">
        <v>1253.39</v>
      </c>
      <c r="L3772" s="21" t="n">
        <v>1432.45</v>
      </c>
      <c r="M3772" s="21" t="n">
        <v>1445</v>
      </c>
    </row>
    <row r="3773">
      <c r="A3773" s="9" t="inlineStr">
        <is>
          <t>CYNTHIA</t>
        </is>
      </c>
      <c r="B3773" s="9" t="inlineStr">
        <is>
          <t>CYNTHIA 27/04/2026</t>
        </is>
      </c>
      <c r="C3773" s="9" t="inlineStr">
        <is>
          <t>2026-04-27</t>
        </is>
      </c>
      <c r="D3773" s="9" t="inlineStr">
        <is>
          <t>43267331015245</t>
        </is>
      </c>
      <c r="E3773" s="9" t="inlineStr">
        <is>
          <t>PULSERA KNOT GOLD</t>
        </is>
      </c>
      <c r="F3773" s="9" t="inlineStr">
        <is>
          <t>16CM</t>
        </is>
      </c>
      <c r="G3773" s="9" t="n">
        <v>3</v>
      </c>
      <c r="H3773" s="21" t="n">
        <v>16</v>
      </c>
      <c r="I3773" s="21" t="n">
        <v>415.2</v>
      </c>
      <c r="J3773" s="21" t="n">
        <v>1245.6</v>
      </c>
      <c r="K3773" s="21" t="n">
        <v>1453.21</v>
      </c>
      <c r="L3773" s="21" t="n">
        <v>1660.81</v>
      </c>
      <c r="M3773" s="21" t="n">
        <v>1699</v>
      </c>
    </row>
    <row r="3774">
      <c r="A3774" s="9" t="inlineStr">
        <is>
          <t>CYNTHIA</t>
        </is>
      </c>
      <c r="B3774" s="9" t="inlineStr">
        <is>
          <t>CYNTHIA 27/04/2026</t>
        </is>
      </c>
      <c r="C3774" s="9" t="inlineStr">
        <is>
          <t>2026-04-27</t>
        </is>
      </c>
      <c r="D3774" s="9" t="inlineStr">
        <is>
          <t>43047215530124</t>
        </is>
      </c>
      <c r="E3774" s="9" t="inlineStr">
        <is>
          <t>PULSERA LOCK GOLD-SILVER</t>
        </is>
      </c>
      <c r="F3774" s="9" t="inlineStr">
        <is>
          <t>17.5cm</t>
        </is>
      </c>
      <c r="G3774" s="9" t="n">
        <v>2</v>
      </c>
      <c r="H3774" s="21" t="n">
        <v>16.5</v>
      </c>
      <c r="I3774" s="21" t="n">
        <v>428.18</v>
      </c>
      <c r="J3774" s="21" t="n">
        <v>1284.53</v>
      </c>
      <c r="K3774" s="21" t="n">
        <v>1498.62</v>
      </c>
      <c r="L3774" s="21" t="n">
        <v>1712.71</v>
      </c>
      <c r="M3774" s="21" t="n">
        <v>1750</v>
      </c>
    </row>
    <row r="3775">
      <c r="A3775" s="9" t="inlineStr">
        <is>
          <t>CYNTHIA</t>
        </is>
      </c>
      <c r="B3775" s="9" t="inlineStr">
        <is>
          <t>CYNTHIA 27/04/2026</t>
        </is>
      </c>
      <c r="C3775" s="9" t="inlineStr">
        <is>
          <t>2026-04-27</t>
        </is>
      </c>
      <c r="D3775" s="9" t="inlineStr">
        <is>
          <t>679aa28b5f6b1</t>
        </is>
      </c>
      <c r="E3775" s="9" t="inlineStr">
        <is>
          <t>PULSERA P DIAMOND BLUE</t>
        </is>
      </c>
      <c r="F3775" s="9" t="inlineStr">
        <is>
          <t>16cm de largo con 3cm de extensión</t>
        </is>
      </c>
      <c r="G3775" s="9" t="n">
        <v>1</v>
      </c>
      <c r="H3775" s="21" t="n">
        <v>6</v>
      </c>
      <c r="I3775" s="21" t="n">
        <v>155.7</v>
      </c>
      <c r="J3775" s="21" t="n">
        <v>467.1</v>
      </c>
      <c r="K3775" s="21" t="n">
        <v>544.95</v>
      </c>
      <c r="L3775" s="21" t="n">
        <v>622.8</v>
      </c>
      <c r="M3775" s="21" t="n">
        <v>545</v>
      </c>
    </row>
    <row r="3776">
      <c r="A3776" s="9" t="inlineStr">
        <is>
          <t>CYNTHIA</t>
        </is>
      </c>
      <c r="B3776" s="9" t="inlineStr">
        <is>
          <t>CYNTHIA 27/04/2026</t>
        </is>
      </c>
      <c r="C3776" s="9" t="inlineStr">
        <is>
          <t>2026-04-27</t>
        </is>
      </c>
      <c r="D3776" s="9" t="inlineStr">
        <is>
          <t>665bce42479e9</t>
        </is>
      </c>
      <c r="E3776" s="9" t="inlineStr">
        <is>
          <t>PULSERA P STARS</t>
        </is>
      </c>
      <c r="F3776" s="9" t="inlineStr">
        <is>
          <t>16cm extensión de 4cm</t>
        </is>
      </c>
      <c r="G3776" s="9" t="n">
        <v>6</v>
      </c>
      <c r="H3776" s="21" t="n">
        <v>6</v>
      </c>
      <c r="I3776" s="21" t="n">
        <v>155.7</v>
      </c>
      <c r="J3776" s="21" t="n">
        <v>467.1</v>
      </c>
      <c r="K3776" s="21" t="n">
        <v>544.95</v>
      </c>
      <c r="L3776" s="21" t="n">
        <v>622.8</v>
      </c>
      <c r="M3776" s="21" t="n">
        <v>545</v>
      </c>
    </row>
    <row r="3777">
      <c r="A3777" s="9" t="inlineStr">
        <is>
          <t>CYNTHIA</t>
        </is>
      </c>
      <c r="B3777" s="9" t="inlineStr">
        <is>
          <t>CYNTHIA 27/04/2026</t>
        </is>
      </c>
      <c r="C3777" s="9" t="inlineStr">
        <is>
          <t>2026-04-27</t>
        </is>
      </c>
      <c r="D3777" s="9" t="inlineStr">
        <is>
          <t>63ebe0260e034</t>
        </is>
      </c>
      <c r="E3777" s="9" t="inlineStr">
        <is>
          <t>PULSERA SERPENTI SILVER CON ZIRCONIA</t>
        </is>
      </c>
      <c r="F3777" s="9" t="inlineStr">
        <is>
          <t>18 cm</t>
        </is>
      </c>
      <c r="G3777" s="9" t="n">
        <v>3</v>
      </c>
      <c r="H3777" s="21" t="n">
        <v>13.8</v>
      </c>
      <c r="I3777" s="21" t="n">
        <v>358.11</v>
      </c>
      <c r="J3777" s="21" t="n">
        <v>1074.33</v>
      </c>
      <c r="K3777" s="21" t="n">
        <v>1253.39</v>
      </c>
      <c r="L3777" s="21" t="n">
        <v>1432.45</v>
      </c>
      <c r="M3777" s="21" t="n">
        <v>1435</v>
      </c>
    </row>
    <row r="3778">
      <c r="A3778" s="9" t="inlineStr">
        <is>
          <t>CYNTHIA</t>
        </is>
      </c>
      <c r="B3778" s="9" t="inlineStr">
        <is>
          <t>CYNTHIA 27/04/2026</t>
        </is>
      </c>
      <c r="C3778" s="9" t="inlineStr">
        <is>
          <t>2026-04-27</t>
        </is>
      </c>
      <c r="D3778" s="9" t="inlineStr">
        <is>
          <t>43047214907532</t>
        </is>
      </c>
      <c r="E3778" s="9" t="inlineStr">
        <is>
          <t>PULSERA SIXTEEN STONES</t>
        </is>
      </c>
      <c r="F3778" s="9" t="inlineStr">
        <is>
          <t>19cm</t>
        </is>
      </c>
      <c r="G3778" s="9" t="n">
        <v>5</v>
      </c>
      <c r="H3778" s="21" t="n">
        <v>20</v>
      </c>
      <c r="I3778" s="21" t="n">
        <v>519</v>
      </c>
      <c r="J3778" s="21" t="n">
        <v>1557.01</v>
      </c>
      <c r="K3778" s="21" t="n">
        <v>1816.51</v>
      </c>
      <c r="L3778" s="21" t="n">
        <v>2076.01</v>
      </c>
      <c r="M3778" s="21" t="n">
        <v>1816.51</v>
      </c>
    </row>
    <row r="3779">
      <c r="A3779" s="9" t="inlineStr">
        <is>
          <t>CYNTHIA</t>
        </is>
      </c>
      <c r="B3779" s="9" t="inlineStr">
        <is>
          <t>CYNTHIA 27/04/2026</t>
        </is>
      </c>
      <c r="C3779" s="9" t="inlineStr">
        <is>
          <t>2026-04-27</t>
        </is>
      </c>
      <c r="D3779" s="9" t="inlineStr">
        <is>
          <t>33644561374637</t>
        </is>
      </c>
      <c r="E3779" s="9" t="inlineStr">
        <is>
          <t>SOMBRERO MM BEACH RAFFIA</t>
        </is>
      </c>
      <c r="F3779" s="9" t="inlineStr">
        <is>
          <t>Default Title</t>
        </is>
      </c>
      <c r="G3779" s="9" t="n">
        <v>2</v>
      </c>
      <c r="H3779" s="21" t="n">
        <v>16</v>
      </c>
      <c r="I3779" s="21" t="n">
        <v>415.2</v>
      </c>
      <c r="J3779" s="21" t="n">
        <v>1245.6</v>
      </c>
      <c r="K3779" s="21" t="n">
        <v>1453.21</v>
      </c>
      <c r="L3779" s="21" t="n">
        <v>1660.81</v>
      </c>
      <c r="M3779" s="21" t="n">
        <v>1699</v>
      </c>
    </row>
    <row r="3780">
      <c r="A3780" s="9" t="inlineStr">
        <is>
          <t>CYNTHIA</t>
        </is>
      </c>
      <c r="B3780" s="9" t="inlineStr">
        <is>
          <t>CYNTHIA 27/04/2026</t>
        </is>
      </c>
      <c r="C3780" s="9" t="inlineStr">
        <is>
          <t>2026-04-27</t>
        </is>
      </c>
      <c r="D3780" s="9" t="inlineStr">
        <is>
          <t>33644561498925</t>
        </is>
      </c>
      <c r="E3780" s="9" t="inlineStr">
        <is>
          <t>SOMBRERO MM BEACH RAFFIA BROWN</t>
        </is>
      </c>
      <c r="F3780" s="9" t="inlineStr">
        <is>
          <t>Default Title</t>
        </is>
      </c>
      <c r="G3780" s="9" t="n">
        <v>2</v>
      </c>
      <c r="H3780" s="21" t="n">
        <v>16</v>
      </c>
      <c r="I3780" s="21" t="n">
        <v>415.2</v>
      </c>
      <c r="J3780" s="21" t="n">
        <v>1245.6</v>
      </c>
      <c r="K3780" s="21" t="n">
        <v>1453.21</v>
      </c>
      <c r="L3780" s="21" t="n">
        <v>1660.81</v>
      </c>
      <c r="M3780" s="21" t="n">
        <v>1699</v>
      </c>
    </row>
    <row r="3781">
      <c r="A3781" s="9" t="inlineStr">
        <is>
          <t>CYNTHIA</t>
        </is>
      </c>
      <c r="B3781" s="9" t="inlineStr">
        <is>
          <t>CYNTHIA 27/04/2026</t>
        </is>
      </c>
      <c r="C3781" s="9" t="inlineStr">
        <is>
          <t>2026-04-27</t>
        </is>
      </c>
      <c r="D3781" s="9" t="inlineStr">
        <is>
          <t>33644561748045</t>
        </is>
      </c>
      <c r="E3781" s="9" t="inlineStr">
        <is>
          <t>SOMBRERO MM DENIM BLUE</t>
        </is>
      </c>
      <c r="F3781" s="9" t="inlineStr">
        <is>
          <t>Default Title</t>
        </is>
      </c>
      <c r="G3781" s="9" t="n">
        <v>2</v>
      </c>
      <c r="H3781" s="21" t="n">
        <v>9.800000000000001</v>
      </c>
      <c r="I3781" s="21" t="n">
        <v>254.31</v>
      </c>
      <c r="J3781" s="21" t="n">
        <v>762.9299999999999</v>
      </c>
      <c r="K3781" s="21" t="n">
        <v>890.09</v>
      </c>
      <c r="L3781" s="21" t="n">
        <v>1017.24</v>
      </c>
      <c r="M3781" s="21" t="n">
        <v>1019</v>
      </c>
    </row>
    <row r="3782">
      <c r="A3782" s="9" t="inlineStr">
        <is>
          <t>CYNTHIA</t>
        </is>
      </c>
      <c r="B3782" s="9" t="inlineStr">
        <is>
          <t>CYNTHIA 27/04/2026</t>
        </is>
      </c>
      <c r="C3782" s="9" t="inlineStr">
        <is>
          <t>2026-04-27</t>
        </is>
      </c>
      <c r="D3782" s="9" t="inlineStr">
        <is>
          <t>33644561555373</t>
        </is>
      </c>
      <c r="E3782" s="9" t="inlineStr">
        <is>
          <t>SOMBRERO MM RAFFIA</t>
        </is>
      </c>
      <c r="F3782" s="9" t="inlineStr">
        <is>
          <t>Default Title</t>
        </is>
      </c>
      <c r="G3782" s="9" t="n">
        <v>2</v>
      </c>
      <c r="H3782" s="21" t="n">
        <v>10</v>
      </c>
      <c r="I3782" s="21" t="n">
        <v>259.5</v>
      </c>
      <c r="J3782" s="21" t="n">
        <v>778.5</v>
      </c>
      <c r="K3782" s="21" t="n">
        <v>908.25</v>
      </c>
      <c r="L3782" s="21" t="n">
        <v>1038</v>
      </c>
      <c r="M3782" s="21" t="n">
        <v>1039</v>
      </c>
    </row>
    <row r="3783">
      <c r="A3783" s="9" t="inlineStr">
        <is>
          <t>CYNTHIA</t>
        </is>
      </c>
      <c r="B3783" s="9" t="inlineStr">
        <is>
          <t>CYNTHIA 27/04/2026</t>
        </is>
      </c>
      <c r="C3783" s="9" t="inlineStr">
        <is>
          <t>2026-04-27</t>
        </is>
      </c>
      <c r="D3783" s="9" t="inlineStr">
        <is>
          <t>33644561619885</t>
        </is>
      </c>
      <c r="E3783" s="9" t="inlineStr">
        <is>
          <t>SOMBRERO MM RAFFIA BEIGE/RED</t>
        </is>
      </c>
      <c r="F3783" s="9" t="inlineStr">
        <is>
          <t>Default Title</t>
        </is>
      </c>
      <c r="G3783" s="9" t="n">
        <v>2</v>
      </c>
      <c r="H3783" s="21" t="n">
        <v>41.8</v>
      </c>
      <c r="I3783" s="21" t="n">
        <v>1084.71</v>
      </c>
      <c r="J3783" s="21" t="n">
        <v>3254.14</v>
      </c>
      <c r="K3783" s="21" t="n">
        <v>3796.5</v>
      </c>
      <c r="L3783" s="21" t="n">
        <v>4338.86</v>
      </c>
      <c r="M3783" s="21" t="n">
        <v>3799</v>
      </c>
    </row>
    <row r="3784">
      <c r="A3784" s="9" t="inlineStr">
        <is>
          <t>CYNTHIA</t>
        </is>
      </c>
      <c r="B3784" s="9" t="inlineStr">
        <is>
          <t>CYNTHIA 27/04/2026</t>
        </is>
      </c>
      <c r="C3784" s="9" t="inlineStr">
        <is>
          <t>2026-04-27</t>
        </is>
      </c>
      <c r="D3784" s="9" t="inlineStr">
        <is>
          <t>66f1ed2f6cfb6</t>
        </is>
      </c>
      <c r="E3784" s="9" t="inlineStr">
        <is>
          <t>TARJETERO G GRAY</t>
        </is>
      </c>
      <c r="F3784" s="9" t="inlineStr">
        <is>
          <t>10.5cm de largo x 7.6cm de alto</t>
        </is>
      </c>
      <c r="G3784" s="9" t="n">
        <v>2</v>
      </c>
      <c r="H3784" s="21" t="n">
        <v>26</v>
      </c>
      <c r="I3784" s="21" t="n">
        <v>674.7</v>
      </c>
      <c r="J3784" s="21" t="n">
        <v>2024.11</v>
      </c>
      <c r="K3784" s="21" t="n">
        <v>2361.46</v>
      </c>
      <c r="L3784" s="21" t="n">
        <v>2698.81</v>
      </c>
      <c r="M3784" s="21" t="n">
        <v>2699</v>
      </c>
    </row>
    <row r="3785">
      <c r="A3785" s="9" t="inlineStr">
        <is>
          <t>CYNTHIA</t>
        </is>
      </c>
      <c r="B3785" s="9" t="inlineStr">
        <is>
          <t>CYNTHIA 27/04/2026</t>
        </is>
      </c>
      <c r="C3785" s="9" t="inlineStr">
        <is>
          <t>2026-04-27</t>
        </is>
      </c>
      <c r="D3785" s="9" t="inlineStr">
        <is>
          <t>43728071397708</t>
        </is>
      </c>
      <c r="E3785" s="9" t="inlineStr">
        <is>
          <t>TARJETERO YSL RED</t>
        </is>
      </c>
      <c r="F3785" s="9" t="inlineStr">
        <is>
          <t>10.5cmx7.5cm</t>
        </is>
      </c>
      <c r="G3785" s="9" t="n">
        <v>3</v>
      </c>
      <c r="H3785" s="21" t="n">
        <v>20</v>
      </c>
      <c r="I3785" s="21" t="n">
        <v>519</v>
      </c>
      <c r="J3785" s="21" t="n">
        <v>1557.01</v>
      </c>
      <c r="K3785" s="21" t="n">
        <v>1816.51</v>
      </c>
      <c r="L3785" s="21" t="n">
        <v>2076.01</v>
      </c>
      <c r="M3785" s="21" t="n">
        <v>2079</v>
      </c>
    </row>
    <row r="3786">
      <c r="A3786" s="9" t="inlineStr">
        <is>
          <t>CYNTHIA</t>
        </is>
      </c>
      <c r="B3786" s="9" t="inlineStr">
        <is>
          <t>CYNTHIA 27/04/2026</t>
        </is>
      </c>
      <c r="C3786" s="9" t="inlineStr">
        <is>
          <t>2026-04-27</t>
        </is>
      </c>
      <c r="D3786" s="9" t="inlineStr">
        <is>
          <t>43728071397708</t>
        </is>
      </c>
      <c r="E3786" s="9" t="inlineStr">
        <is>
          <t>TARJETERO YSL RED</t>
        </is>
      </c>
      <c r="F3786" s="9" t="inlineStr">
        <is>
          <t>10.5cmx7.5cm</t>
        </is>
      </c>
      <c r="G3786" s="9" t="n">
        <v>2</v>
      </c>
      <c r="H3786" s="21" t="n"/>
      <c r="I3786" s="21" t="n">
        <v>0</v>
      </c>
      <c r="J3786" s="21" t="n">
        <v>0</v>
      </c>
      <c r="K3786" s="21" t="n">
        <v>0</v>
      </c>
      <c r="L3786" s="21" t="n">
        <v>0</v>
      </c>
      <c r="M3786" s="21" t="n">
        <v>2079</v>
      </c>
    </row>
    <row r="3787">
      <c r="A3787" s="9" t="inlineStr">
        <is>
          <t>CYNTHIA</t>
        </is>
      </c>
      <c r="B3787" s="9" t="inlineStr">
        <is>
          <t>CYNTHIA 27/04/2026</t>
        </is>
      </c>
      <c r="C3787" s="9" t="inlineStr">
        <is>
          <t>2026-04-27</t>
        </is>
      </c>
      <c r="D3787" s="9" t="inlineStr">
        <is>
          <t>11915825763755</t>
        </is>
      </c>
      <c r="E3787" s="9" t="inlineStr">
        <is>
          <t>TRAJE DE BAÑO C</t>
        </is>
      </c>
      <c r="F3787" s="9" t="inlineStr">
        <is>
          <t>L</t>
        </is>
      </c>
      <c r="G3787" s="9" t="n">
        <v>3</v>
      </c>
      <c r="H3787" s="21" t="n">
        <v>32</v>
      </c>
      <c r="I3787" s="21" t="n">
        <v>830.4</v>
      </c>
      <c r="J3787" s="21" t="n">
        <v>2491.21</v>
      </c>
      <c r="K3787" s="21" t="n">
        <v>2906.41</v>
      </c>
      <c r="L3787" s="21" t="n">
        <v>3321.61</v>
      </c>
      <c r="M3787" s="21" t="n">
        <v>1099</v>
      </c>
    </row>
    <row r="3788">
      <c r="A3788" s="9" t="inlineStr">
        <is>
          <t>CYNTHIA</t>
        </is>
      </c>
      <c r="B3788" s="9" t="inlineStr">
        <is>
          <t>CYNTHIA 27/04/2026</t>
        </is>
      </c>
      <c r="C3788" s="9" t="inlineStr">
        <is>
          <t>2026-04-27</t>
        </is>
      </c>
      <c r="D3788" s="9" t="inlineStr">
        <is>
          <t>43026765774988</t>
        </is>
      </c>
      <c r="E3788" s="9" t="inlineStr">
        <is>
          <t>TRAJE DE BAÑO COMPLETO VC</t>
        </is>
      </c>
      <c r="F3788" s="9" t="inlineStr">
        <is>
          <t>M</t>
        </is>
      </c>
      <c r="G3788" s="9" t="n">
        <v>3</v>
      </c>
      <c r="H3788" s="21" t="n">
        <v>12.8</v>
      </c>
      <c r="I3788" s="21" t="n">
        <v>332.16</v>
      </c>
      <c r="J3788" s="21" t="n">
        <v>996.48</v>
      </c>
      <c r="K3788" s="21" t="n">
        <v>1162.56</v>
      </c>
      <c r="L3788" s="21" t="n">
        <v>1328.64</v>
      </c>
      <c r="M3788" s="21" t="n">
        <v>1359</v>
      </c>
    </row>
    <row r="3789">
      <c r="A3789" s="9" t="inlineStr">
        <is>
          <t>CYNTHIA</t>
        </is>
      </c>
      <c r="B3789" s="9" t="inlineStr">
        <is>
          <t>CYNTHIA 27/04/2026</t>
        </is>
      </c>
      <c r="C3789" s="9" t="inlineStr">
        <is>
          <t>2026-04-27</t>
        </is>
      </c>
      <c r="D3789" s="9" t="inlineStr">
        <is>
          <t>16572647978508</t>
        </is>
      </c>
      <c r="E3789" s="9" t="inlineStr">
        <is>
          <t>TRAJE DE BAÑO COMPLETO VC</t>
        </is>
      </c>
      <c r="F3789" s="9" t="inlineStr">
        <is>
          <t>L</t>
        </is>
      </c>
      <c r="G3789" s="9" t="n">
        <v>3</v>
      </c>
      <c r="H3789" s="21" t="n">
        <v>12.8</v>
      </c>
      <c r="I3789" s="21" t="n">
        <v>332.16</v>
      </c>
      <c r="J3789" s="21" t="n">
        <v>996.48</v>
      </c>
      <c r="K3789" s="21" t="n">
        <v>1162.56</v>
      </c>
      <c r="L3789" s="21" t="n">
        <v>1328.64</v>
      </c>
      <c r="M3789" s="21" t="n">
        <v>1359</v>
      </c>
    </row>
    <row r="3790">
      <c r="A3790" s="9" t="inlineStr">
        <is>
          <t>CYNTHIA</t>
        </is>
      </c>
      <c r="B3790" s="9" t="inlineStr">
        <is>
          <t>CYNTHIA 27/04/2026</t>
        </is>
      </c>
      <c r="C3790" s="9" t="inlineStr">
        <is>
          <t>2026-04-27</t>
        </is>
      </c>
      <c r="D3790" s="9" t="inlineStr">
        <is>
          <t>16572644570636</t>
        </is>
      </c>
      <c r="E3790" s="9" t="inlineStr">
        <is>
          <t>TRAJE DE BAÑO GC</t>
        </is>
      </c>
      <c r="F3790" s="9" t="inlineStr">
        <is>
          <t>L</t>
        </is>
      </c>
      <c r="G3790" s="9" t="n">
        <v>3</v>
      </c>
      <c r="H3790" s="21" t="n">
        <v>10.8</v>
      </c>
      <c r="I3790" s="21" t="n">
        <v>280.26</v>
      </c>
      <c r="J3790" s="21" t="n">
        <v>840.78</v>
      </c>
      <c r="K3790" s="21" t="n">
        <v>980.91</v>
      </c>
      <c r="L3790" s="21" t="n">
        <v>1121.04</v>
      </c>
      <c r="M3790" s="21" t="n">
        <v>1129</v>
      </c>
    </row>
    <row r="3791">
      <c r="A3791" s="9" t="inlineStr">
        <is>
          <t>CYNTHIA</t>
        </is>
      </c>
      <c r="B3791" s="9" t="inlineStr">
        <is>
          <t>CYNTHIA 27/04/2026</t>
        </is>
      </c>
      <c r="C3791" s="9" t="inlineStr">
        <is>
          <t>2026-04-27</t>
        </is>
      </c>
      <c r="D3791" s="9" t="inlineStr">
        <is>
          <t>16572648568332</t>
        </is>
      </c>
      <c r="E3791" s="9" t="inlineStr">
        <is>
          <t>TRAJE DE BAÑO PR BLACK</t>
        </is>
      </c>
      <c r="F3791" s="9" t="inlineStr">
        <is>
          <t>L</t>
        </is>
      </c>
      <c r="G3791" s="9" t="n">
        <v>4</v>
      </c>
      <c r="H3791" s="21" t="n">
        <v>10.8</v>
      </c>
      <c r="I3791" s="21" t="n">
        <v>280.26</v>
      </c>
      <c r="J3791" s="21" t="n">
        <v>840.78</v>
      </c>
      <c r="K3791" s="21" t="n">
        <v>980.91</v>
      </c>
      <c r="L3791" s="21" t="n">
        <v>1121.04</v>
      </c>
      <c r="M3791" s="21" t="n">
        <v>1199</v>
      </c>
    </row>
    <row r="3792">
      <c r="A3792" s="9" t="inlineStr">
        <is>
          <t>CYNTHIA</t>
        </is>
      </c>
      <c r="B3792" s="9" t="inlineStr">
        <is>
          <t>CYNTHIA 27/04/2026</t>
        </is>
      </c>
      <c r="C3792" s="9" t="inlineStr">
        <is>
          <t>2026-04-27</t>
        </is>
      </c>
      <c r="D3792" s="9" t="inlineStr">
        <is>
          <t>16572648601100</t>
        </is>
      </c>
      <c r="E3792" s="9" t="inlineStr">
        <is>
          <t>TRAJE DE BAÑO PR BLACK</t>
        </is>
      </c>
      <c r="F3792" s="9" t="inlineStr">
        <is>
          <t>XL</t>
        </is>
      </c>
      <c r="G3792" s="9" t="n">
        <v>1</v>
      </c>
      <c r="H3792" s="21" t="n">
        <v>10.8</v>
      </c>
      <c r="I3792" s="21" t="n">
        <v>280.26</v>
      </c>
      <c r="J3792" s="21" t="n">
        <v>840.78</v>
      </c>
      <c r="K3792" s="21" t="n">
        <v>980.91</v>
      </c>
      <c r="L3792" s="21" t="n">
        <v>1121.04</v>
      </c>
      <c r="M3792" s="21" t="n">
        <v>1199</v>
      </c>
    </row>
    <row r="3793">
      <c r="A3793" s="9" t="inlineStr">
        <is>
          <t>CYNTHIA</t>
        </is>
      </c>
      <c r="B3793" s="9" t="inlineStr">
        <is>
          <t>CYNTHIA 27/04/2026</t>
        </is>
      </c>
      <c r="C3793" s="9" t="inlineStr">
        <is>
          <t>2026-04-27</t>
        </is>
      </c>
      <c r="D3793" s="9" t="inlineStr">
        <is>
          <t>11915828105387</t>
        </is>
      </c>
      <c r="E3793" s="9" t="inlineStr">
        <is>
          <t>TRAJE DE BAÑO V</t>
        </is>
      </c>
      <c r="F3793" s="9" t="inlineStr">
        <is>
          <t>M</t>
        </is>
      </c>
      <c r="G3793" s="9" t="n">
        <v>5</v>
      </c>
      <c r="H3793" s="21" t="n">
        <v>10.8</v>
      </c>
      <c r="I3793" s="21" t="n">
        <v>280.26</v>
      </c>
      <c r="J3793" s="21" t="n">
        <v>840.78</v>
      </c>
      <c r="K3793" s="21" t="n">
        <v>980.91</v>
      </c>
      <c r="L3793" s="21" t="n">
        <v>1121.04</v>
      </c>
      <c r="M3793" s="21" t="n">
        <v>1149</v>
      </c>
    </row>
    <row r="3794">
      <c r="A3794" s="9" t="inlineStr">
        <is>
          <t>CYNTHIA</t>
        </is>
      </c>
      <c r="B3794" s="9" t="inlineStr">
        <is>
          <t>CYNTHIA 27/04/2026</t>
        </is>
      </c>
      <c r="C3794" s="9" t="inlineStr">
        <is>
          <t>2026-04-27</t>
        </is>
      </c>
      <c r="D3794" s="9" t="inlineStr">
        <is>
          <t>11915828105387</t>
        </is>
      </c>
      <c r="E3794" s="9" t="inlineStr">
        <is>
          <t>TRAJE DE BAÑO V</t>
        </is>
      </c>
      <c r="F3794" s="9" t="inlineStr">
        <is>
          <t>M</t>
        </is>
      </c>
      <c r="G3794" s="9" t="n">
        <v>1</v>
      </c>
      <c r="H3794" s="21" t="n"/>
      <c r="I3794" s="21" t="n">
        <v>0</v>
      </c>
      <c r="J3794" s="21" t="n">
        <v>0</v>
      </c>
      <c r="K3794" s="21" t="n">
        <v>0</v>
      </c>
      <c r="L3794" s="21" t="n">
        <v>0</v>
      </c>
      <c r="M3794" s="21" t="n">
        <v>1149</v>
      </c>
    </row>
    <row r="3795">
      <c r="A3795" s="9" t="inlineStr">
        <is>
          <t>DINA DU</t>
        </is>
      </c>
      <c r="B3795" s="9" t="inlineStr">
        <is>
          <t>DINA DU 27/04/2026</t>
        </is>
      </c>
      <c r="C3795" s="9" t="inlineStr">
        <is>
          <t>2026-04-27</t>
        </is>
      </c>
      <c r="D3795" s="9" t="inlineStr">
        <is>
          <t>66593bcfaca6f</t>
        </is>
      </c>
      <c r="E3795" s="9" t="inlineStr">
        <is>
          <t>ANILLO MM</t>
        </is>
      </c>
      <c r="F3795" s="9" t="inlineStr">
        <is>
          <t>AJUSTABLE</t>
        </is>
      </c>
      <c r="G3795" s="9" t="n">
        <v>5</v>
      </c>
      <c r="H3795" s="21" t="n">
        <v>2.79</v>
      </c>
      <c r="I3795" s="21" t="n">
        <v>75.45</v>
      </c>
      <c r="J3795" s="21" t="n">
        <v>226.36</v>
      </c>
      <c r="K3795" s="21" t="n">
        <v>264.09</v>
      </c>
      <c r="L3795" s="21" t="n">
        <v>301.81</v>
      </c>
      <c r="M3795" s="21" t="n">
        <v>499</v>
      </c>
    </row>
    <row r="3796">
      <c r="A3796" s="9" t="inlineStr">
        <is>
          <t>DINA DU</t>
        </is>
      </c>
      <c r="B3796" s="9" t="inlineStr">
        <is>
          <t>DINA DU 27/04/2026</t>
        </is>
      </c>
      <c r="C3796" s="9" t="inlineStr">
        <is>
          <t>2026-04-27</t>
        </is>
      </c>
      <c r="D3796" s="9" t="inlineStr">
        <is>
          <t>648cc5b58feaa</t>
        </is>
      </c>
      <c r="E3796" s="9" t="inlineStr">
        <is>
          <t>ARETES MM COLGANTE</t>
        </is>
      </c>
      <c r="F3796" s="9" t="inlineStr">
        <is>
          <t>Default Title</t>
        </is>
      </c>
      <c r="G3796" s="9" t="n">
        <v>4</v>
      </c>
      <c r="H3796" s="21" t="n">
        <v>2.39</v>
      </c>
      <c r="I3796" s="21" t="n">
        <v>64.64</v>
      </c>
      <c r="J3796" s="21" t="n">
        <v>193.91</v>
      </c>
      <c r="K3796" s="21" t="n">
        <v>226.23</v>
      </c>
      <c r="L3796" s="21" t="n">
        <v>258.54</v>
      </c>
      <c r="M3796" s="21" t="n">
        <v>499</v>
      </c>
    </row>
    <row r="3797">
      <c r="A3797" s="9" t="inlineStr">
        <is>
          <t>DINA DU</t>
        </is>
      </c>
      <c r="B3797" s="9" t="inlineStr">
        <is>
          <t>DINA DU 27/04/2026</t>
        </is>
      </c>
      <c r="C3797" s="9" t="inlineStr">
        <is>
          <t>2026-04-27</t>
        </is>
      </c>
      <c r="D3797" s="9" t="inlineStr">
        <is>
          <t>654bdbdb26372</t>
        </is>
      </c>
      <c r="E3797" s="9" t="inlineStr">
        <is>
          <t>BOLSA CC WHITE</t>
        </is>
      </c>
      <c r="F3797" s="9" t="inlineStr">
        <is>
          <t>17cmx24cm</t>
        </is>
      </c>
      <c r="G3797" s="9" t="n">
        <v>2</v>
      </c>
      <c r="H3797" s="21" t="n">
        <v>18</v>
      </c>
      <c r="I3797" s="21" t="n">
        <v>486.8</v>
      </c>
      <c r="J3797" s="21" t="n">
        <v>1460.39</v>
      </c>
      <c r="K3797" s="21" t="n">
        <v>1703.79</v>
      </c>
      <c r="L3797" s="21" t="n">
        <v>1947.19</v>
      </c>
      <c r="M3797" s="21" t="n">
        <v>1950</v>
      </c>
    </row>
    <row r="3798">
      <c r="A3798" s="9" t="inlineStr">
        <is>
          <t>DINA DU</t>
        </is>
      </c>
      <c r="B3798" s="9" t="inlineStr">
        <is>
          <t>DINA DU 27/04/2026</t>
        </is>
      </c>
      <c r="C3798" s="9" t="inlineStr">
        <is>
          <t>2026-04-27</t>
        </is>
      </c>
      <c r="D3798" s="9" t="inlineStr">
        <is>
          <t>94956736687244</t>
        </is>
      </c>
      <c r="E3798" s="9" t="inlineStr">
        <is>
          <t>BOLSA MINI POCHETTE LV</t>
        </is>
      </c>
      <c r="F3798" s="9" t="inlineStr">
        <is>
          <t>9cm de alto x 15cm de largo x 3cm de ancho</t>
        </is>
      </c>
      <c r="G3798" s="9" t="n">
        <v>3</v>
      </c>
      <c r="H3798" s="21" t="n">
        <v>22</v>
      </c>
      <c r="I3798" s="21" t="n">
        <v>594.97</v>
      </c>
      <c r="J3798" s="21" t="n">
        <v>1784.92</v>
      </c>
      <c r="K3798" s="21" t="n">
        <v>2082.41</v>
      </c>
      <c r="L3798" s="21" t="n">
        <v>2379.9</v>
      </c>
      <c r="M3798" s="21" t="n">
        <v>2380</v>
      </c>
    </row>
    <row r="3799">
      <c r="A3799" s="9" t="inlineStr">
        <is>
          <t>DINA DU</t>
        </is>
      </c>
      <c r="B3799" s="9" t="inlineStr">
        <is>
          <t>DINA DU 27/04/2026</t>
        </is>
      </c>
      <c r="C3799" s="9" t="inlineStr">
        <is>
          <t>2026-04-27</t>
        </is>
      </c>
      <c r="D3799" s="9" t="inlineStr">
        <is>
          <t>654bdbd5ab77d</t>
        </is>
      </c>
      <c r="E3799" s="9" t="inlineStr">
        <is>
          <t>BOLSO CC BOY MINI BLACK</t>
        </is>
      </c>
      <c r="F3799" s="9" t="inlineStr">
        <is>
          <t>24.8cm de largo x 16cm de alto x 7.5cm de ancho</t>
        </is>
      </c>
      <c r="G3799" s="9" t="n">
        <v>7</v>
      </c>
      <c r="H3799" s="21" t="n">
        <v>15</v>
      </c>
      <c r="I3799" s="21" t="n">
        <v>405.66</v>
      </c>
      <c r="J3799" s="21" t="n">
        <v>1216.99</v>
      </c>
      <c r="K3799" s="21" t="n">
        <v>1419.83</v>
      </c>
      <c r="L3799" s="21" t="n">
        <v>1622.66</v>
      </c>
      <c r="M3799" s="21" t="n">
        <v>1625</v>
      </c>
    </row>
    <row r="3800">
      <c r="A3800" s="9" t="inlineStr">
        <is>
          <t>DINA DU</t>
        </is>
      </c>
      <c r="B3800" s="9" t="inlineStr">
        <is>
          <t>DINA DU 27/04/2026</t>
        </is>
      </c>
      <c r="C3800" s="9" t="inlineStr">
        <is>
          <t>2026-04-27</t>
        </is>
      </c>
      <c r="D3800" s="9" t="inlineStr">
        <is>
          <t>10132411318605</t>
        </is>
      </c>
      <c r="E3800" s="9" t="inlineStr">
        <is>
          <t>BOLSO CD BOW BLACK</t>
        </is>
      </c>
      <c r="F3800" s="9" t="inlineStr">
        <is>
          <t>Default Title</t>
        </is>
      </c>
      <c r="G3800" s="9" t="n">
        <v>3</v>
      </c>
      <c r="H3800" s="21" t="n">
        <v>71</v>
      </c>
      <c r="I3800" s="21" t="n">
        <v>1920.15</v>
      </c>
      <c r="J3800" s="21" t="n">
        <v>5760.44</v>
      </c>
      <c r="K3800" s="21" t="n">
        <v>6720.51</v>
      </c>
      <c r="L3800" s="21" t="n">
        <v>7680.58</v>
      </c>
      <c r="M3800" s="21" t="n">
        <v>6720.51</v>
      </c>
    </row>
    <row r="3801">
      <c r="A3801" s="9" t="inlineStr">
        <is>
          <t>DINA DU</t>
        </is>
      </c>
      <c r="B3801" s="9" t="inlineStr">
        <is>
          <t>DINA DU 27/04/2026</t>
        </is>
      </c>
      <c r="C3801" s="9" t="inlineStr">
        <is>
          <t>2026-04-27</t>
        </is>
      </c>
      <c r="D3801" s="9" t="inlineStr">
        <is>
          <t>10132411251373</t>
        </is>
      </c>
      <c r="E3801" s="9" t="inlineStr">
        <is>
          <t>BOLSO CD BOW BURGUNDY</t>
        </is>
      </c>
      <c r="F3801" s="9" t="inlineStr">
        <is>
          <t>Default Title</t>
        </is>
      </c>
      <c r="G3801" s="9" t="n">
        <v>3</v>
      </c>
      <c r="H3801" s="21" t="n">
        <v>71</v>
      </c>
      <c r="I3801" s="21" t="n">
        <v>1920.15</v>
      </c>
      <c r="J3801" s="21" t="n">
        <v>5760.44</v>
      </c>
      <c r="K3801" s="21" t="n">
        <v>6720.51</v>
      </c>
      <c r="L3801" s="21" t="n">
        <v>7680.58</v>
      </c>
      <c r="M3801" s="21" t="n">
        <v>6720.51</v>
      </c>
    </row>
    <row r="3802">
      <c r="A3802" s="9" t="inlineStr">
        <is>
          <t>DINA DU</t>
        </is>
      </c>
      <c r="B3802" s="9" t="inlineStr">
        <is>
          <t>DINA DU 27/04/2026</t>
        </is>
      </c>
      <c r="C3802" s="9" t="inlineStr">
        <is>
          <t>2026-04-27</t>
        </is>
      </c>
      <c r="D3802" s="9" t="inlineStr">
        <is>
          <t>10132411116909</t>
        </is>
      </c>
      <c r="E3802" s="9" t="inlineStr">
        <is>
          <t>BOLSO CD SADDLE ALL BLACK</t>
        </is>
      </c>
      <c r="F3802" s="9" t="inlineStr">
        <is>
          <t>Default Title</t>
        </is>
      </c>
      <c r="G3802" s="9" t="n">
        <v>2</v>
      </c>
      <c r="H3802" s="21" t="n">
        <v>63</v>
      </c>
      <c r="I3802" s="21" t="n">
        <v>1703.79</v>
      </c>
      <c r="J3802" s="21" t="n">
        <v>5111.38</v>
      </c>
      <c r="K3802" s="21" t="n">
        <v>5963.27</v>
      </c>
      <c r="L3802" s="21" t="n">
        <v>6815.17</v>
      </c>
      <c r="M3802" s="21" t="n">
        <v>5999</v>
      </c>
    </row>
    <row r="3803">
      <c r="A3803" s="9" t="inlineStr">
        <is>
          <t>DINA DU</t>
        </is>
      </c>
      <c r="B3803" s="9" t="inlineStr">
        <is>
          <t>DINA DU 27/04/2026</t>
        </is>
      </c>
      <c r="C3803" s="9" t="inlineStr">
        <is>
          <t>2026-04-27</t>
        </is>
      </c>
      <c r="D3803" s="9" t="inlineStr">
        <is>
          <t>19693770314380</t>
        </is>
      </c>
      <c r="E3803" s="9" t="inlineStr">
        <is>
          <t>BOLSO DE VIAJE BROWN LV
55cm</t>
        </is>
      </c>
      <c r="F3803" s="9" t="inlineStr">
        <is>
          <t>HIGH QUALITY</t>
        </is>
      </c>
      <c r="G3803" s="9" t="n">
        <v>2</v>
      </c>
      <c r="H3803" s="21" t="n">
        <v>63</v>
      </c>
      <c r="I3803" s="21" t="n">
        <v>1703.79</v>
      </c>
      <c r="J3803" s="21" t="n">
        <v>5111.38</v>
      </c>
      <c r="K3803" s="21" t="n">
        <v>5963.27</v>
      </c>
      <c r="L3803" s="21" t="n">
        <v>6815.17</v>
      </c>
      <c r="M3803" s="21" t="n">
        <v>5963.27</v>
      </c>
    </row>
    <row r="3804">
      <c r="A3804" s="9" t="inlineStr">
        <is>
          <t>DINA DU</t>
        </is>
      </c>
      <c r="B3804" s="9" t="inlineStr">
        <is>
          <t>DINA DU 27/04/2026</t>
        </is>
      </c>
      <c r="C3804" s="9" t="inlineStr">
        <is>
          <t>2026-04-27</t>
        </is>
      </c>
      <c r="D3804" s="9" t="inlineStr">
        <is>
          <t>10132411776813</t>
        </is>
      </c>
      <c r="E3804" s="9" t="inlineStr">
        <is>
          <t>BOLSO F GRAPHY LOGOS</t>
        </is>
      </c>
      <c r="F3804" s="9" t="inlineStr">
        <is>
          <t>Default Title</t>
        </is>
      </c>
      <c r="G3804" s="9" t="n">
        <v>2</v>
      </c>
      <c r="H3804" s="21" t="n">
        <v>78</v>
      </c>
      <c r="I3804" s="21" t="n">
        <v>2109.46</v>
      </c>
      <c r="J3804" s="21" t="n">
        <v>6328.37</v>
      </c>
      <c r="K3804" s="21" t="n">
        <v>7383.1</v>
      </c>
      <c r="L3804" s="21" t="n">
        <v>8437.83</v>
      </c>
      <c r="M3804" s="21" t="n">
        <v>7383.1</v>
      </c>
    </row>
    <row r="3805">
      <c r="A3805" s="9" t="inlineStr">
        <is>
          <t>DINA DU</t>
        </is>
      </c>
      <c r="B3805" s="9" t="inlineStr">
        <is>
          <t>DINA DU 27/04/2026</t>
        </is>
      </c>
      <c r="C3805" s="9" t="inlineStr">
        <is>
          <t>2026-04-27</t>
        </is>
      </c>
      <c r="D3805" s="9" t="inlineStr">
        <is>
          <t>677c26af628d5</t>
        </is>
      </c>
      <c r="E3805" s="9" t="inlineStr">
        <is>
          <t>BOLSO GC DIONYSUS CHERRY RED</t>
        </is>
      </c>
      <c r="F3805" s="9" t="inlineStr">
        <is>
          <t>18cm de largo x 12cm de alto x 4cm de ancho</t>
        </is>
      </c>
      <c r="G3805" s="9" t="n">
        <v>1</v>
      </c>
      <c r="H3805" s="21" t="n">
        <v>56</v>
      </c>
      <c r="I3805" s="21" t="n">
        <v>1514.48</v>
      </c>
      <c r="J3805" s="21" t="n">
        <v>4543.44</v>
      </c>
      <c r="K3805" s="21" t="n">
        <v>5300.69</v>
      </c>
      <c r="L3805" s="21" t="n">
        <v>6057.93</v>
      </c>
      <c r="M3805" s="21" t="n">
        <v>5300.69</v>
      </c>
    </row>
    <row r="3806">
      <c r="A3806" s="9" t="inlineStr">
        <is>
          <t>DINA DU</t>
        </is>
      </c>
      <c r="B3806" s="9" t="inlineStr">
        <is>
          <t>DINA DU 27/04/2026</t>
        </is>
      </c>
      <c r="C3806" s="9" t="inlineStr">
        <is>
          <t>2026-04-27</t>
        </is>
      </c>
      <c r="D3806" s="9" t="inlineStr">
        <is>
          <t>677c26ae9f248</t>
        </is>
      </c>
      <c r="E3806" s="9" t="inlineStr">
        <is>
          <t>BOLSO LV BAGATELLE</t>
        </is>
      </c>
      <c r="F3806" s="9" t="inlineStr">
        <is>
          <t>23cm de largo x 20cm de alto x 8.5cm</t>
        </is>
      </c>
      <c r="G3806" s="9" t="n">
        <v>6</v>
      </c>
      <c r="H3806" s="21" t="n">
        <v>43</v>
      </c>
      <c r="I3806" s="21" t="n">
        <v>1162.91</v>
      </c>
      <c r="J3806" s="21" t="n">
        <v>3488.72</v>
      </c>
      <c r="K3806" s="21" t="n">
        <v>4070.17</v>
      </c>
      <c r="L3806" s="21" t="n">
        <v>4651.62</v>
      </c>
      <c r="M3806" s="21" t="n">
        <v>4070.17</v>
      </c>
    </row>
    <row r="3807">
      <c r="A3807" s="9" t="inlineStr">
        <is>
          <t>DINA DU</t>
        </is>
      </c>
      <c r="B3807" s="9" t="inlineStr">
        <is>
          <t>DINA DU 27/04/2026</t>
        </is>
      </c>
      <c r="C3807" s="9" t="inlineStr">
        <is>
          <t>2026-04-27</t>
        </is>
      </c>
      <c r="D3807" s="9" t="inlineStr">
        <is>
          <t>58071991054829</t>
        </is>
      </c>
      <c r="E3807" s="9" t="inlineStr">
        <is>
          <t>BOLSO YSL CON CADENA BURDEOS</t>
        </is>
      </c>
      <c r="F3807" s="9" t="inlineStr">
        <is>
          <t>24cm de largo x 18cm de alto x 8cm de ancho.</t>
        </is>
      </c>
      <c r="G3807" s="9" t="n">
        <v>1</v>
      </c>
      <c r="H3807" s="21" t="n">
        <v>46</v>
      </c>
      <c r="I3807" s="21" t="n">
        <v>1244.04</v>
      </c>
      <c r="J3807" s="21" t="n">
        <v>3732.12</v>
      </c>
      <c r="K3807" s="21" t="n">
        <v>4354.13</v>
      </c>
      <c r="L3807" s="21" t="n">
        <v>4976.15</v>
      </c>
      <c r="M3807" s="21" t="n">
        <v>4354.13</v>
      </c>
    </row>
    <row r="3808">
      <c r="A3808" s="9" t="inlineStr">
        <is>
          <t>DINA DU</t>
        </is>
      </c>
      <c r="B3808" s="9" t="inlineStr">
        <is>
          <t>DINA DU 27/04/2026</t>
        </is>
      </c>
      <c r="C3808" s="9" t="inlineStr">
        <is>
          <t>2026-04-27</t>
        </is>
      </c>
      <c r="D3808" s="9" t="inlineStr">
        <is>
          <t>43409491041677</t>
        </is>
      </c>
      <c r="E3808" s="9" t="inlineStr">
        <is>
          <t>BOLSO YSL CON CADENA NUDE</t>
        </is>
      </c>
      <c r="F3808" s="9" t="inlineStr">
        <is>
          <t>REGULAR</t>
        </is>
      </c>
      <c r="G3808" s="9" t="n">
        <v>2</v>
      </c>
      <c r="H3808" s="21" t="n">
        <v>46</v>
      </c>
      <c r="I3808" s="21" t="n">
        <v>1244.04</v>
      </c>
      <c r="J3808" s="21" t="n">
        <v>3732.12</v>
      </c>
      <c r="K3808" s="21" t="n">
        <v>4354.13</v>
      </c>
      <c r="L3808" s="21" t="n">
        <v>4976.15</v>
      </c>
      <c r="M3808" s="21" t="n">
        <v>4354.13</v>
      </c>
    </row>
    <row r="3809">
      <c r="A3809" s="9" t="inlineStr">
        <is>
          <t>DINA DU</t>
        </is>
      </c>
      <c r="B3809" s="9" t="inlineStr">
        <is>
          <t>DINA DU 27/04/2026</t>
        </is>
      </c>
      <c r="C3809" s="9" t="inlineStr">
        <is>
          <t>2026-04-27</t>
        </is>
      </c>
      <c r="D3809" s="9" t="inlineStr">
        <is>
          <t>67572cbe60534</t>
        </is>
      </c>
      <c r="E3809" s="9" t="inlineStr">
        <is>
          <t>BOLSO YSL CON CADENA OFF WHITE</t>
        </is>
      </c>
      <c r="F3809" s="9" t="inlineStr">
        <is>
          <t>Middle Quality</t>
        </is>
      </c>
      <c r="G3809" s="9" t="n">
        <v>2</v>
      </c>
      <c r="H3809" s="21" t="n">
        <v>46</v>
      </c>
      <c r="I3809" s="21" t="n">
        <v>1244.04</v>
      </c>
      <c r="J3809" s="21" t="n">
        <v>3732.12</v>
      </c>
      <c r="K3809" s="21" t="n">
        <v>4354.13</v>
      </c>
      <c r="L3809" s="21" t="n">
        <v>4976.15</v>
      </c>
      <c r="M3809" s="21" t="n">
        <v>4354.13</v>
      </c>
    </row>
    <row r="3810">
      <c r="A3810" s="9" t="inlineStr">
        <is>
          <t>DINA DU</t>
        </is>
      </c>
      <c r="B3810" s="9" t="inlineStr">
        <is>
          <t>DINA DU 27/04/2026</t>
        </is>
      </c>
      <c r="C3810" s="9" t="inlineStr">
        <is>
          <t>2026-04-27</t>
        </is>
      </c>
      <c r="D3810" s="9" t="inlineStr">
        <is>
          <t>43728091877228</t>
        </is>
      </c>
      <c r="E3810" s="9" t="inlineStr">
        <is>
          <t>CARTERA CC BLACK</t>
        </is>
      </c>
      <c r="F3810" s="9" t="inlineStr">
        <is>
          <t>13cmx13cm</t>
        </is>
      </c>
      <c r="G3810" s="9" t="n">
        <v>15</v>
      </c>
      <c r="H3810" s="21" t="n">
        <v>24</v>
      </c>
      <c r="I3810" s="21" t="n">
        <v>649.0599999999999</v>
      </c>
      <c r="J3810" s="21" t="n">
        <v>1947.19</v>
      </c>
      <c r="K3810" s="21" t="n">
        <v>2271.72</v>
      </c>
      <c r="L3810" s="21" t="n">
        <v>2596.25</v>
      </c>
      <c r="M3810" s="21" t="n">
        <v>2599</v>
      </c>
    </row>
    <row r="3811">
      <c r="A3811" s="9" t="inlineStr">
        <is>
          <t>DINA DU</t>
        </is>
      </c>
      <c r="B3811" s="9" t="inlineStr">
        <is>
          <t>DINA DU 27/04/2026</t>
        </is>
      </c>
      <c r="C3811" s="9" t="inlineStr">
        <is>
          <t>2026-04-27</t>
        </is>
      </c>
      <c r="D3811" s="9" t="inlineStr">
        <is>
          <t>10132411606189</t>
        </is>
      </c>
      <c r="E3811" s="9" t="inlineStr">
        <is>
          <t>CARTERA F BAGUETTE MINI</t>
        </is>
      </c>
      <c r="F3811" s="9" t="inlineStr">
        <is>
          <t>Default Title</t>
        </is>
      </c>
      <c r="G3811" s="9" t="n">
        <v>2</v>
      </c>
      <c r="H3811" s="21" t="n">
        <v>75</v>
      </c>
      <c r="I3811" s="21" t="n">
        <v>2028.32</v>
      </c>
      <c r="J3811" s="21" t="n">
        <v>6084.97</v>
      </c>
      <c r="K3811" s="21" t="n">
        <v>7099.13</v>
      </c>
      <c r="L3811" s="21" t="n">
        <v>8113.29</v>
      </c>
      <c r="M3811" s="21" t="n">
        <v>6500</v>
      </c>
    </row>
    <row r="3812">
      <c r="A3812" s="9" t="inlineStr">
        <is>
          <t>DINA DU</t>
        </is>
      </c>
      <c r="B3812" s="9" t="inlineStr">
        <is>
          <t>DINA DU 27/04/2026</t>
        </is>
      </c>
      <c r="C3812" s="9" t="inlineStr">
        <is>
          <t>2026-04-27</t>
        </is>
      </c>
      <c r="D3812" s="9" t="inlineStr">
        <is>
          <t>10132411501101</t>
        </is>
      </c>
      <c r="E3812" s="9" t="inlineStr">
        <is>
          <t>CARTERA F GRAPHY WHITE</t>
        </is>
      </c>
      <c r="F3812" s="9" t="inlineStr">
        <is>
          <t>Default Title</t>
        </is>
      </c>
      <c r="G3812" s="9" t="n">
        <v>2</v>
      </c>
      <c r="H3812" s="21" t="n">
        <v>52</v>
      </c>
      <c r="I3812" s="21" t="n">
        <v>1406.3</v>
      </c>
      <c r="J3812" s="21" t="n">
        <v>4922.06</v>
      </c>
      <c r="K3812" s="21" t="n">
        <v>4922.06</v>
      </c>
      <c r="L3812" s="21" t="n">
        <v>5625.22</v>
      </c>
      <c r="M3812" s="21" t="n">
        <v>4300</v>
      </c>
    </row>
    <row r="3813">
      <c r="A3813" s="9" t="inlineStr">
        <is>
          <t>DINA DU</t>
        </is>
      </c>
      <c r="B3813" s="9" t="inlineStr">
        <is>
          <t>DINA DU 27/04/2026</t>
        </is>
      </c>
      <c r="C3813" s="9" t="inlineStr">
        <is>
          <t>2026-04-27</t>
        </is>
      </c>
      <c r="D3813" s="9" t="inlineStr">
        <is>
          <t>43728091639180</t>
        </is>
      </c>
      <c r="E3813" s="9" t="inlineStr">
        <is>
          <t>CARTERA LV BLUE</t>
        </is>
      </c>
      <c r="F3813" s="9" t="inlineStr">
        <is>
          <t>12cmx9cm</t>
        </is>
      </c>
      <c r="G3813" s="9" t="n">
        <v>2</v>
      </c>
      <c r="H3813" s="21" t="n">
        <v>13</v>
      </c>
      <c r="I3813" s="21" t="n">
        <v>351.58</v>
      </c>
      <c r="J3813" s="21" t="n">
        <v>1054.73</v>
      </c>
      <c r="K3813" s="21" t="n">
        <v>1230.52</v>
      </c>
      <c r="L3813" s="21" t="n">
        <v>1406.3</v>
      </c>
      <c r="M3813" s="21" t="n">
        <v>1410</v>
      </c>
    </row>
    <row r="3814">
      <c r="A3814" s="9" t="inlineStr">
        <is>
          <t>DINA DU</t>
        </is>
      </c>
      <c r="B3814" s="9" t="inlineStr">
        <is>
          <t>DINA DU 27/04/2026</t>
        </is>
      </c>
      <c r="C3814" s="9" t="inlineStr">
        <is>
          <t>2026-04-27</t>
        </is>
      </c>
      <c r="D3814" s="9" t="inlineStr">
        <is>
          <t>648cc60ce32b1</t>
        </is>
      </c>
      <c r="E3814" s="9" t="inlineStr">
        <is>
          <t>CARTERA LV BROWN</t>
        </is>
      </c>
      <c r="F3814" s="9" t="inlineStr">
        <is>
          <t>12cmx9cm</t>
        </is>
      </c>
      <c r="G3814" s="9" t="n">
        <v>3</v>
      </c>
      <c r="H3814" s="21" t="n">
        <v>13</v>
      </c>
      <c r="I3814" s="21" t="n">
        <v>351.58</v>
      </c>
      <c r="J3814" s="21" t="n">
        <v>1054.73</v>
      </c>
      <c r="K3814" s="21" t="n">
        <v>1230.52</v>
      </c>
      <c r="L3814" s="21" t="n">
        <v>1406.3</v>
      </c>
      <c r="M3814" s="21" t="n">
        <v>1410</v>
      </c>
    </row>
    <row r="3815">
      <c r="A3815" s="9" t="inlineStr">
        <is>
          <t>DINA DU</t>
        </is>
      </c>
      <c r="B3815" s="9" t="inlineStr">
        <is>
          <t>DINA DU 27/04/2026</t>
        </is>
      </c>
      <c r="C3815" s="9" t="inlineStr">
        <is>
          <t>2026-04-27</t>
        </is>
      </c>
      <c r="D3815" s="9" t="inlineStr">
        <is>
          <t>648cc5c03c2b5</t>
        </is>
      </c>
      <c r="E3815" s="9" t="inlineStr">
        <is>
          <t>CHOKER MM ZIRCONIAS</t>
        </is>
      </c>
      <c r="F3815" s="9" t="inlineStr">
        <is>
          <t>41cm</t>
        </is>
      </c>
      <c r="G3815" s="9" t="n">
        <v>2</v>
      </c>
      <c r="H3815" s="21" t="n">
        <v>4.09</v>
      </c>
      <c r="I3815" s="21" t="n">
        <v>110.61</v>
      </c>
      <c r="J3815" s="21" t="n">
        <v>331.83</v>
      </c>
      <c r="K3815" s="21" t="n">
        <v>387.14</v>
      </c>
      <c r="L3815" s="21" t="n">
        <v>442.44</v>
      </c>
      <c r="M3815" s="21" t="n">
        <v>450</v>
      </c>
    </row>
    <row r="3816">
      <c r="A3816" s="9" t="inlineStr">
        <is>
          <t>DINA DU</t>
        </is>
      </c>
      <c r="B3816" s="9" t="inlineStr">
        <is>
          <t>DINA DU 27/04/2026</t>
        </is>
      </c>
      <c r="C3816" s="9" t="inlineStr">
        <is>
          <t>2026-04-27</t>
        </is>
      </c>
      <c r="D3816" s="9" t="inlineStr">
        <is>
          <t>42556045426828</t>
        </is>
      </c>
      <c r="E3816" s="9" t="inlineStr">
        <is>
          <t>CINTO FR ROSEGOLD</t>
        </is>
      </c>
      <c r="F3816" s="9" t="inlineStr">
        <is>
          <t>100cm</t>
        </is>
      </c>
      <c r="G3816" s="9" t="n">
        <v>5</v>
      </c>
      <c r="H3816" s="21" t="n">
        <v>12</v>
      </c>
      <c r="I3816" s="21" t="n">
        <v>324.53</v>
      </c>
      <c r="J3816" s="21" t="n">
        <v>973.6</v>
      </c>
      <c r="K3816" s="21" t="n">
        <v>1135.86</v>
      </c>
      <c r="L3816" s="21" t="n">
        <v>1298.13</v>
      </c>
      <c r="M3816" s="21" t="n">
        <v>1299</v>
      </c>
    </row>
    <row r="3817">
      <c r="A3817" s="9" t="inlineStr">
        <is>
          <t>DINA DU</t>
        </is>
      </c>
      <c r="B3817" s="9" t="inlineStr">
        <is>
          <t>DINA DU 27/04/2026</t>
        </is>
      </c>
      <c r="C3817" s="9" t="inlineStr">
        <is>
          <t>2026-04-27</t>
        </is>
      </c>
      <c r="D3817" s="9" t="inlineStr">
        <is>
          <t>654bdbd026f64</t>
        </is>
      </c>
      <c r="E3817" s="9" t="inlineStr">
        <is>
          <t>CINTO H GOLD BLACK</t>
        </is>
      </c>
      <c r="F3817" s="9" t="inlineStr">
        <is>
          <t>100cm con extension</t>
        </is>
      </c>
      <c r="G3817" s="9" t="n">
        <v>3</v>
      </c>
      <c r="H3817" s="21" t="n">
        <v>15</v>
      </c>
      <c r="I3817" s="21" t="n">
        <v>405.66</v>
      </c>
      <c r="J3817" s="21" t="n">
        <v>1216.99</v>
      </c>
      <c r="K3817" s="21" t="n">
        <v>1419.83</v>
      </c>
      <c r="L3817" s="21" t="n">
        <v>1622.66</v>
      </c>
      <c r="M3817" s="21" t="n">
        <v>1625</v>
      </c>
    </row>
    <row r="3818">
      <c r="A3818" s="9" t="inlineStr">
        <is>
          <t>DINA DU</t>
        </is>
      </c>
      <c r="B3818" s="9" t="inlineStr">
        <is>
          <t>DINA DU 27/04/2026</t>
        </is>
      </c>
      <c r="C3818" s="9" t="inlineStr">
        <is>
          <t>2026-04-27</t>
        </is>
      </c>
      <c r="D3818" s="9" t="inlineStr">
        <is>
          <t>654bdbcfbb016</t>
        </is>
      </c>
      <c r="E3818" s="9" t="inlineStr">
        <is>
          <t>CINTO H SILVER BLACK</t>
        </is>
      </c>
      <c r="F3818" s="9" t="inlineStr">
        <is>
          <t>115cm con extension</t>
        </is>
      </c>
      <c r="G3818" s="9" t="n">
        <v>2</v>
      </c>
      <c r="H3818" s="21" t="n">
        <v>15</v>
      </c>
      <c r="I3818" s="21" t="n">
        <v>405.66</v>
      </c>
      <c r="J3818" s="21" t="n">
        <v>1216.99</v>
      </c>
      <c r="K3818" s="21" t="n">
        <v>1419.83</v>
      </c>
      <c r="L3818" s="21" t="n">
        <v>1622.66</v>
      </c>
      <c r="M3818" s="21" t="n">
        <v>1625</v>
      </c>
    </row>
    <row r="3819">
      <c r="A3819" s="9" t="inlineStr">
        <is>
          <t>DINA DU</t>
        </is>
      </c>
      <c r="B3819" s="9" t="inlineStr">
        <is>
          <t>DINA DU 27/04/2026</t>
        </is>
      </c>
      <c r="C3819" s="9" t="inlineStr">
        <is>
          <t>2026-04-27</t>
        </is>
      </c>
      <c r="D3819" s="9" t="inlineStr">
        <is>
          <t>10132411463245</t>
        </is>
      </c>
      <c r="E3819" s="9" t="inlineStr">
        <is>
          <t>GORRO F LOGOS</t>
        </is>
      </c>
      <c r="F3819" s="9" t="inlineStr">
        <is>
          <t>Default Title</t>
        </is>
      </c>
      <c r="G3819" s="9" t="n">
        <v>2</v>
      </c>
      <c r="H3819" s="21" t="n">
        <v>10</v>
      </c>
      <c r="I3819" s="21" t="n">
        <v>270.44</v>
      </c>
      <c r="J3819" s="21" t="n">
        <v>811.33</v>
      </c>
      <c r="K3819" s="21" t="n">
        <v>946.55</v>
      </c>
      <c r="L3819" s="21" t="n">
        <v>1081.77</v>
      </c>
      <c r="M3819" s="21" t="n">
        <v>1089</v>
      </c>
    </row>
    <row r="3820">
      <c r="A3820" s="9" t="inlineStr">
        <is>
          <t>DINA DU</t>
        </is>
      </c>
      <c r="B3820" s="9" t="inlineStr">
        <is>
          <t>DINA DU 27/04/2026</t>
        </is>
      </c>
      <c r="C3820" s="9" t="inlineStr">
        <is>
          <t>2026-04-27</t>
        </is>
      </c>
      <c r="D3820" s="9" t="inlineStr">
        <is>
          <t>648cc600a2ec5</t>
        </is>
      </c>
      <c r="E3820" s="9" t="inlineStr">
        <is>
          <t>GORRO PR BLACK</t>
        </is>
      </c>
      <c r="F3820" s="9" t="inlineStr">
        <is>
          <t>M</t>
        </is>
      </c>
      <c r="G3820" s="9" t="n">
        <v>5</v>
      </c>
      <c r="H3820" s="21" t="n">
        <v>11</v>
      </c>
      <c r="I3820" s="21" t="n">
        <v>297.49</v>
      </c>
      <c r="J3820" s="21" t="n">
        <v>892.46</v>
      </c>
      <c r="K3820" s="21" t="n">
        <v>1041.21</v>
      </c>
      <c r="L3820" s="21" t="n">
        <v>1189.95</v>
      </c>
      <c r="M3820" s="21" t="n">
        <v>1190</v>
      </c>
    </row>
    <row r="3821">
      <c r="A3821" s="9" t="inlineStr">
        <is>
          <t>DINA DU</t>
        </is>
      </c>
      <c r="B3821" s="9" t="inlineStr">
        <is>
          <t>DINA DU 27/04/2026</t>
        </is>
      </c>
      <c r="C3821" s="9" t="inlineStr">
        <is>
          <t>2026-04-27</t>
        </is>
      </c>
      <c r="D3821" s="9" t="inlineStr">
        <is>
          <t>64e78f9c9c153</t>
        </is>
      </c>
      <c r="E3821" s="9" t="inlineStr">
        <is>
          <t>GORRO PR MEZCLILLA BLACK</t>
        </is>
      </c>
      <c r="F3821" s="9" t="inlineStr">
        <is>
          <t>S</t>
        </is>
      </c>
      <c r="G3821" s="9" t="n">
        <v>2</v>
      </c>
      <c r="H3821" s="21" t="n">
        <v>11</v>
      </c>
      <c r="I3821" s="21" t="n">
        <v>297.49</v>
      </c>
      <c r="J3821" s="21" t="n">
        <v>892.46</v>
      </c>
      <c r="K3821" s="21" t="n">
        <v>1041.21</v>
      </c>
      <c r="L3821" s="21" t="n">
        <v>1189.95</v>
      </c>
      <c r="M3821" s="21" t="n">
        <v>1190</v>
      </c>
    </row>
    <row r="3822">
      <c r="A3822" s="9" t="inlineStr">
        <is>
          <t>DINA DU</t>
        </is>
      </c>
      <c r="B3822" s="9" t="inlineStr">
        <is>
          <t>DINA DU 27/04/2026</t>
        </is>
      </c>
      <c r="C3822" s="9" t="inlineStr">
        <is>
          <t>2026-04-27</t>
        </is>
      </c>
      <c r="D3822" s="9" t="inlineStr">
        <is>
          <t>679be962d942d</t>
        </is>
      </c>
      <c r="E3822" s="9" t="inlineStr">
        <is>
          <t>HOODIE C WHITE</t>
        </is>
      </c>
      <c r="F3822" s="9" t="inlineStr">
        <is>
          <t>L</t>
        </is>
      </c>
      <c r="G3822" s="9" t="n">
        <v>1</v>
      </c>
      <c r="H3822" s="21" t="n">
        <v>27</v>
      </c>
      <c r="I3822" s="21" t="n">
        <v>730.2</v>
      </c>
      <c r="J3822" s="21" t="n">
        <v>2190.59</v>
      </c>
      <c r="K3822" s="21" t="n">
        <v>2555.69</v>
      </c>
      <c r="L3822" s="21" t="n">
        <v>2920.79</v>
      </c>
      <c r="M3822" s="21" t="n">
        <v>2920</v>
      </c>
    </row>
    <row r="3823">
      <c r="A3823" s="9" t="inlineStr">
        <is>
          <t>DINA DU</t>
        </is>
      </c>
      <c r="B3823" s="9" t="inlineStr">
        <is>
          <t>DINA DU 27/04/2026</t>
        </is>
      </c>
      <c r="C3823" s="9" t="inlineStr">
        <is>
          <t>2026-04-27</t>
        </is>
      </c>
      <c r="D3823" s="9" t="inlineStr">
        <is>
          <t>94956734303628</t>
        </is>
      </c>
      <c r="E3823" s="9" t="inlineStr">
        <is>
          <t>MONEDERO LV</t>
        </is>
      </c>
      <c r="F3823" s="9" t="inlineStr">
        <is>
          <t>15.5cm de largo x 11cm de alto</t>
        </is>
      </c>
      <c r="G3823" s="9" t="n">
        <v>4</v>
      </c>
      <c r="H3823" s="21" t="n">
        <v>13</v>
      </c>
      <c r="I3823" s="21" t="n">
        <v>351.58</v>
      </c>
      <c r="J3823" s="21" t="n">
        <v>1054.73</v>
      </c>
      <c r="K3823" s="21" t="n">
        <v>1230.52</v>
      </c>
      <c r="L3823" s="21" t="n">
        <v>1406.3</v>
      </c>
      <c r="M3823" s="21" t="n">
        <v>1410</v>
      </c>
    </row>
    <row r="3824">
      <c r="A3824" s="9" t="inlineStr">
        <is>
          <t>DINA DU</t>
        </is>
      </c>
      <c r="B3824" s="9" t="inlineStr">
        <is>
          <t>DINA DU 27/04/2026</t>
        </is>
      </c>
      <c r="C3824" s="9" t="inlineStr">
        <is>
          <t>2026-04-27</t>
        </is>
      </c>
      <c r="D3824" s="9" t="inlineStr">
        <is>
          <t>654bdadbcb222</t>
        </is>
      </c>
      <c r="E3824" s="9" t="inlineStr">
        <is>
          <t>PULSERA CD DE TELA BABY PINK</t>
        </is>
      </c>
      <c r="F3824" s="9" t="inlineStr">
        <is>
          <t>15cm con extensión de 5cm</t>
        </is>
      </c>
      <c r="G3824" s="9" t="n">
        <v>3</v>
      </c>
      <c r="H3824" s="21" t="n">
        <v>4</v>
      </c>
      <c r="I3824" s="21" t="n">
        <v>108.18</v>
      </c>
      <c r="J3824" s="21" t="n">
        <v>324.53</v>
      </c>
      <c r="K3824" s="21" t="n">
        <v>378.62</v>
      </c>
      <c r="L3824" s="21" t="n">
        <v>432.71</v>
      </c>
      <c r="M3824" s="21" t="n">
        <v>499</v>
      </c>
    </row>
    <row r="3825">
      <c r="A3825" s="9" t="inlineStr">
        <is>
          <t>DINA DU</t>
        </is>
      </c>
      <c r="B3825" s="9" t="inlineStr">
        <is>
          <t>DINA DU 27/04/2026</t>
        </is>
      </c>
      <c r="C3825" s="9" t="inlineStr">
        <is>
          <t>2026-04-27</t>
        </is>
      </c>
      <c r="D3825" s="9" t="inlineStr">
        <is>
          <t>648cc5c47664a</t>
        </is>
      </c>
      <c r="E3825" s="9" t="inlineStr">
        <is>
          <t>PULSERA CD DE TELA BEIGE</t>
        </is>
      </c>
      <c r="F3825" s="9" t="inlineStr">
        <is>
          <t>15cm con extensión de 5cm</t>
        </is>
      </c>
      <c r="G3825" s="9" t="n">
        <v>3</v>
      </c>
      <c r="H3825" s="21" t="n">
        <v>4</v>
      </c>
      <c r="I3825" s="21" t="n">
        <v>108.18</v>
      </c>
      <c r="J3825" s="21" t="n">
        <v>324.53</v>
      </c>
      <c r="K3825" s="21" t="n">
        <v>378.62</v>
      </c>
      <c r="L3825" s="21" t="n">
        <v>432.71</v>
      </c>
      <c r="M3825" s="21" t="n">
        <v>499</v>
      </c>
    </row>
    <row r="3826">
      <c r="A3826" s="9" t="inlineStr">
        <is>
          <t>DINA DU</t>
        </is>
      </c>
      <c r="B3826" s="9" t="inlineStr">
        <is>
          <t>DINA DU 27/04/2026</t>
        </is>
      </c>
      <c r="C3826" s="9" t="inlineStr">
        <is>
          <t>2026-04-27</t>
        </is>
      </c>
      <c r="D3826" s="9" t="inlineStr">
        <is>
          <t>648cc5f7495e2</t>
        </is>
      </c>
      <c r="E3826" s="9" t="inlineStr">
        <is>
          <t>PULSERA CD DE TELA PINK</t>
        </is>
      </c>
      <c r="F3826" s="9" t="inlineStr">
        <is>
          <t>15cm con extensión de 5cm</t>
        </is>
      </c>
      <c r="G3826" s="9" t="n">
        <v>4</v>
      </c>
      <c r="H3826" s="21" t="n">
        <v>4</v>
      </c>
      <c r="I3826" s="21" t="n">
        <v>108.18</v>
      </c>
      <c r="J3826" s="21" t="n">
        <v>324.53</v>
      </c>
      <c r="K3826" s="21" t="n">
        <v>378.62</v>
      </c>
      <c r="L3826" s="21" t="n">
        <v>432.71</v>
      </c>
      <c r="M3826" s="21" t="n">
        <v>499</v>
      </c>
    </row>
    <row r="3827">
      <c r="A3827" s="9" t="inlineStr">
        <is>
          <t>DINA DU</t>
        </is>
      </c>
      <c r="B3827" s="9" t="inlineStr">
        <is>
          <t>DINA DU 27/04/2026</t>
        </is>
      </c>
      <c r="C3827" s="9" t="inlineStr">
        <is>
          <t>2026-04-27</t>
        </is>
      </c>
      <c r="D3827" s="9" t="inlineStr">
        <is>
          <t>10132411046285</t>
        </is>
      </c>
      <c r="E3827" s="9" t="inlineStr">
        <is>
          <t>SANDALIAS CD DIORACT BLACK</t>
        </is>
      </c>
      <c r="F3827" s="9" t="inlineStr">
        <is>
          <t>38/25mx</t>
        </is>
      </c>
      <c r="G3827" s="9" t="n">
        <v>2</v>
      </c>
      <c r="H3827" s="21" t="n">
        <v>35</v>
      </c>
      <c r="I3827" s="21" t="n">
        <v>946.55</v>
      </c>
      <c r="J3827" s="21" t="n">
        <v>2839.65</v>
      </c>
      <c r="K3827" s="21" t="n">
        <v>3312.93</v>
      </c>
      <c r="L3827" s="21" t="n">
        <v>3786.2</v>
      </c>
      <c r="M3827" s="21" t="n">
        <v>3789</v>
      </c>
    </row>
    <row r="3828">
      <c r="A3828" s="9" t="inlineStr">
        <is>
          <t>HAIFENG</t>
        </is>
      </c>
      <c r="B3828" s="9" t="inlineStr">
        <is>
          <t>HAIFENG 06/05/2026</t>
        </is>
      </c>
      <c r="C3828" s="9" t="inlineStr">
        <is>
          <t>2026-05-06</t>
        </is>
      </c>
      <c r="D3828" s="9" t="inlineStr">
        <is>
          <t>66075791007693</t>
        </is>
      </c>
      <c r="E3828" s="9" t="inlineStr">
        <is>
          <t>ANILLO ALLIANCE SILVER C</t>
        </is>
      </c>
      <c r="F3828" s="9" t="inlineStr">
        <is>
          <t>7</t>
        </is>
      </c>
      <c r="G3828" s="9" t="n">
        <v>6</v>
      </c>
      <c r="H3828" s="21" t="n">
        <v>2</v>
      </c>
      <c r="I3828" s="21" t="n">
        <v>42.44</v>
      </c>
      <c r="J3828" s="21" t="n">
        <v>127.31</v>
      </c>
      <c r="K3828" s="21" t="n">
        <v>148.53</v>
      </c>
      <c r="L3828" s="21" t="n">
        <v>169.75</v>
      </c>
      <c r="M3828" s="21" t="n">
        <v>400</v>
      </c>
    </row>
    <row r="3829">
      <c r="A3829" s="9" t="inlineStr">
        <is>
          <t>HAIFENG</t>
        </is>
      </c>
      <c r="B3829" s="9" t="inlineStr">
        <is>
          <t>HAIFENG 06/05/2026</t>
        </is>
      </c>
      <c r="C3829" s="9" t="inlineStr">
        <is>
          <t>2026-05-06</t>
        </is>
      </c>
      <c r="D3829" s="9" t="inlineStr">
        <is>
          <t>21605774283693</t>
        </is>
      </c>
      <c r="E3829" s="9" t="inlineStr">
        <is>
          <t>ANILLO BACK SOON T SILVER</t>
        </is>
      </c>
      <c r="F3829" s="9" t="inlineStr">
        <is>
          <t>6</t>
        </is>
      </c>
      <c r="G3829" s="9" t="n">
        <v>2</v>
      </c>
      <c r="H3829" s="21" t="n">
        <v>3</v>
      </c>
      <c r="I3829" s="21" t="n">
        <v>63.66</v>
      </c>
      <c r="J3829" s="21" t="n">
        <v>190.97</v>
      </c>
      <c r="K3829" s="21" t="n">
        <v>222.8</v>
      </c>
      <c r="L3829" s="21" t="n">
        <v>254.62</v>
      </c>
      <c r="M3829" s="21" t="n">
        <v>450</v>
      </c>
    </row>
    <row r="3830">
      <c r="A3830" s="9" t="inlineStr">
        <is>
          <t>HAIFENG</t>
        </is>
      </c>
      <c r="B3830" s="9" t="inlineStr">
        <is>
          <t>HAIFENG 06/05/2026</t>
        </is>
      </c>
      <c r="C3830" s="9" t="inlineStr">
        <is>
          <t>2026-05-06</t>
        </is>
      </c>
      <c r="D3830" s="9" t="inlineStr">
        <is>
          <t>17964142179245</t>
        </is>
      </c>
      <c r="E3830" s="9" t="inlineStr">
        <is>
          <t>ANILLO BV ANISH KAPOOR</t>
        </is>
      </c>
      <c r="F3830" s="9" t="inlineStr">
        <is>
          <t>7</t>
        </is>
      </c>
      <c r="G3830" s="9" t="n">
        <v>2</v>
      </c>
      <c r="H3830" s="21" t="n">
        <v>8</v>
      </c>
      <c r="I3830" s="21" t="n">
        <v>169.75</v>
      </c>
      <c r="J3830" s="21" t="n">
        <v>509.25</v>
      </c>
      <c r="K3830" s="21" t="n">
        <v>594.12</v>
      </c>
      <c r="L3830" s="21" t="n">
        <v>679</v>
      </c>
      <c r="M3830" s="21" t="n">
        <v>699</v>
      </c>
    </row>
    <row r="3831">
      <c r="A3831" s="9" t="inlineStr">
        <is>
          <t>HAIFENG</t>
        </is>
      </c>
      <c r="B3831" s="9" t="inlineStr">
        <is>
          <t>HAIFENG 06/05/2026</t>
        </is>
      </c>
      <c r="C3831" s="9" t="inlineStr">
        <is>
          <t>2026-05-06</t>
        </is>
      </c>
      <c r="D3831" s="9" t="inlineStr">
        <is>
          <t>66009451058222</t>
        </is>
      </c>
      <c r="E3831" s="9" t="inlineStr">
        <is>
          <t>ANILLO BV BROWN</t>
        </is>
      </c>
      <c r="F3831" s="9" t="inlineStr">
        <is>
          <t>7</t>
        </is>
      </c>
      <c r="G3831" s="9" t="n">
        <v>2</v>
      </c>
      <c r="H3831" s="21" t="n">
        <v>7</v>
      </c>
      <c r="I3831" s="21" t="n">
        <v>148.53</v>
      </c>
      <c r="J3831" s="21" t="n">
        <v>445.59</v>
      </c>
      <c r="K3831" s="21" t="n">
        <v>519.86</v>
      </c>
      <c r="L3831" s="21" t="n">
        <v>594.12</v>
      </c>
      <c r="M3831" s="21" t="n">
        <v>593</v>
      </c>
    </row>
    <row r="3832">
      <c r="A3832" s="9" t="inlineStr">
        <is>
          <t>HAIFENG</t>
        </is>
      </c>
      <c r="B3832" s="9" t="inlineStr">
        <is>
          <t>HAIFENG 06/05/2026</t>
        </is>
      </c>
      <c r="C3832" s="9" t="inlineStr">
        <is>
          <t>2026-05-06</t>
        </is>
      </c>
      <c r="D3832" s="9" t="inlineStr">
        <is>
          <t>10956321157325</t>
        </is>
      </c>
      <c r="E3832" s="9" t="inlineStr">
        <is>
          <t>ANILLO BV BUMPS GOLD ZIRCONIAS</t>
        </is>
      </c>
      <c r="F3832" s="9" t="inlineStr">
        <is>
          <t>7</t>
        </is>
      </c>
      <c r="G3832" s="9" t="n">
        <v>2</v>
      </c>
      <c r="H3832" s="21" t="n">
        <v>12</v>
      </c>
      <c r="I3832" s="21" t="n">
        <v>254.62</v>
      </c>
      <c r="J3832" s="21" t="n">
        <v>763.87</v>
      </c>
      <c r="K3832" s="21" t="n">
        <v>891.1799999999999</v>
      </c>
      <c r="L3832" s="21" t="n">
        <v>1018.49</v>
      </c>
      <c r="M3832" s="21" t="n">
        <v>999</v>
      </c>
    </row>
    <row r="3833">
      <c r="A3833" s="9" t="inlineStr">
        <is>
          <t>HAIFENG</t>
        </is>
      </c>
      <c r="B3833" s="9" t="inlineStr">
        <is>
          <t>HAIFENG 06/05/2026</t>
        </is>
      </c>
      <c r="C3833" s="9" t="inlineStr">
        <is>
          <t>2026-05-06</t>
        </is>
      </c>
      <c r="D3833" s="9" t="inlineStr">
        <is>
          <t>17964142243085</t>
        </is>
      </c>
      <c r="E3833" s="9" t="inlineStr">
        <is>
          <t>ANILLO BV SORTIJA SILVER</t>
        </is>
      </c>
      <c r="F3833" s="9" t="inlineStr">
        <is>
          <t>7</t>
        </is>
      </c>
      <c r="G3833" s="9" t="n">
        <v>2</v>
      </c>
      <c r="H3833" s="21" t="n">
        <v>7</v>
      </c>
      <c r="I3833" s="21" t="n">
        <v>148.53</v>
      </c>
      <c r="J3833" s="21" t="n">
        <v>445.59</v>
      </c>
      <c r="K3833" s="21" t="n">
        <v>519.86</v>
      </c>
      <c r="L3833" s="21" t="n">
        <v>594.12</v>
      </c>
      <c r="M3833" s="21" t="n">
        <v>599</v>
      </c>
    </row>
    <row r="3834">
      <c r="A3834" s="9" t="inlineStr">
        <is>
          <t>HAIFENG</t>
        </is>
      </c>
      <c r="B3834" s="9" t="inlineStr">
        <is>
          <t>HAIFENG 06/05/2026</t>
        </is>
      </c>
      <c r="C3834" s="9" t="inlineStr">
        <is>
          <t>2026-05-06</t>
        </is>
      </c>
      <c r="D3834" s="9" t="inlineStr">
        <is>
          <t>66176e609b95a</t>
        </is>
      </c>
      <c r="E3834" s="9" t="inlineStr">
        <is>
          <t>ANILLO CLASH GOLD</t>
        </is>
      </c>
      <c r="F3834" s="9" t="inlineStr">
        <is>
          <t>8</t>
        </is>
      </c>
      <c r="G3834" s="9" t="n">
        <v>2</v>
      </c>
      <c r="H3834" s="21" t="n">
        <v>10</v>
      </c>
      <c r="I3834" s="21" t="n">
        <v>212.19</v>
      </c>
      <c r="J3834" s="21" t="n">
        <v>636.5599999999999</v>
      </c>
      <c r="K3834" s="21" t="n">
        <v>742.65</v>
      </c>
      <c r="L3834" s="21" t="n">
        <v>848.75</v>
      </c>
      <c r="M3834" s="21" t="n">
        <v>850</v>
      </c>
    </row>
    <row r="3835">
      <c r="A3835" s="9" t="inlineStr">
        <is>
          <t>HAIFENG</t>
        </is>
      </c>
      <c r="B3835" s="9" t="inlineStr">
        <is>
          <t>HAIFENG 06/05/2026</t>
        </is>
      </c>
      <c r="C3835" s="9" t="inlineStr">
        <is>
          <t>2026-05-06</t>
        </is>
      </c>
      <c r="D3835" s="9" t="inlineStr">
        <is>
          <t>66176e602b0bf</t>
        </is>
      </c>
      <c r="E3835" s="9" t="inlineStr">
        <is>
          <t>ANILLO CLASH ROSEGOLD</t>
        </is>
      </c>
      <c r="F3835" s="9" t="inlineStr">
        <is>
          <t>7</t>
        </is>
      </c>
      <c r="G3835" s="9" t="n">
        <v>2</v>
      </c>
      <c r="H3835" s="21" t="n">
        <v>10</v>
      </c>
      <c r="I3835" s="21" t="n">
        <v>212.19</v>
      </c>
      <c r="J3835" s="21" t="n">
        <v>636.5599999999999</v>
      </c>
      <c r="K3835" s="21" t="n">
        <v>742.65</v>
      </c>
      <c r="L3835" s="21" t="n">
        <v>848.75</v>
      </c>
      <c r="M3835" s="21" t="n">
        <v>850</v>
      </c>
    </row>
    <row r="3836">
      <c r="A3836" s="9" t="inlineStr">
        <is>
          <t>HAIFENG</t>
        </is>
      </c>
      <c r="B3836" s="9" t="inlineStr">
        <is>
          <t>HAIFENG 06/05/2026</t>
        </is>
      </c>
      <c r="C3836" s="9" t="inlineStr">
        <is>
          <t>2026-05-06</t>
        </is>
      </c>
      <c r="D3836" s="9" t="inlineStr">
        <is>
          <t>66176cdc142e2</t>
        </is>
      </c>
      <c r="E3836" s="9" t="inlineStr">
        <is>
          <t>ANILLO CLAVO SILVER</t>
        </is>
      </c>
      <c r="F3836" s="9" t="inlineStr">
        <is>
          <t>7 HIGH QUALITY</t>
        </is>
      </c>
      <c r="G3836" s="9" t="n">
        <v>3</v>
      </c>
      <c r="H3836" s="21" t="n">
        <v>2.5</v>
      </c>
      <c r="I3836" s="21" t="n">
        <v>53.05</v>
      </c>
      <c r="J3836" s="21" t="n">
        <v>159.14</v>
      </c>
      <c r="K3836" s="21" t="n">
        <v>185.66</v>
      </c>
      <c r="L3836" s="21" t="n">
        <v>212.19</v>
      </c>
      <c r="M3836" s="21" t="n">
        <v>400</v>
      </c>
    </row>
    <row r="3837">
      <c r="A3837" s="9" t="inlineStr">
        <is>
          <t>HAIFENG</t>
        </is>
      </c>
      <c r="B3837" s="9" t="inlineStr">
        <is>
          <t>HAIFENG 06/05/2026</t>
        </is>
      </c>
      <c r="C3837" s="9" t="inlineStr">
        <is>
          <t>2026-05-06</t>
        </is>
      </c>
      <c r="D3837" s="9" t="inlineStr">
        <is>
          <t>49975331055277</t>
        </is>
      </c>
      <c r="E3837" s="9" t="inlineStr">
        <is>
          <t>ANILLO CLAVO SPIRAL GOLD CON ZIRCONIA</t>
        </is>
      </c>
      <c r="F3837" s="9" t="inlineStr">
        <is>
          <t>8</t>
        </is>
      </c>
      <c r="G3837" s="9" t="n">
        <v>2</v>
      </c>
      <c r="H3837" s="21" t="n">
        <v>7.5</v>
      </c>
      <c r="I3837" s="21" t="n">
        <v>159.14</v>
      </c>
      <c r="J3837" s="21" t="n">
        <v>477.42</v>
      </c>
      <c r="K3837" s="21" t="n">
        <v>556.99</v>
      </c>
      <c r="L3837" s="21" t="n">
        <v>636.5599999999999</v>
      </c>
      <c r="M3837" s="21" t="n">
        <v>650</v>
      </c>
    </row>
    <row r="3838">
      <c r="A3838" s="9" t="inlineStr">
        <is>
          <t>HAIFENG</t>
        </is>
      </c>
      <c r="B3838" s="9" t="inlineStr">
        <is>
          <t>HAIFENG 06/05/2026</t>
        </is>
      </c>
      <c r="C3838" s="9" t="inlineStr">
        <is>
          <t>2026-05-06</t>
        </is>
      </c>
      <c r="D3838" s="9" t="inlineStr">
        <is>
          <t>63e0b72e8ae97</t>
        </is>
      </c>
      <c r="E3838" s="9" t="inlineStr">
        <is>
          <t>ANILLO COCO GOLD</t>
        </is>
      </c>
      <c r="F3838" s="9" t="inlineStr">
        <is>
          <t>9</t>
        </is>
      </c>
      <c r="G3838" s="9" t="n">
        <v>2</v>
      </c>
      <c r="H3838" s="21" t="n">
        <v>1.8</v>
      </c>
      <c r="I3838" s="21" t="n">
        <v>38.19</v>
      </c>
      <c r="J3838" s="21" t="n">
        <v>114.58</v>
      </c>
      <c r="K3838" s="21" t="n">
        <v>133.68</v>
      </c>
      <c r="L3838" s="21" t="n">
        <v>152.77</v>
      </c>
      <c r="M3838" s="21" t="n">
        <v>400</v>
      </c>
    </row>
    <row r="3839">
      <c r="A3839" s="9" t="inlineStr">
        <is>
          <t>HAIFENG</t>
        </is>
      </c>
      <c r="B3839" s="9" t="inlineStr">
        <is>
          <t>HAIFENG 06/05/2026</t>
        </is>
      </c>
      <c r="C3839" s="9" t="inlineStr">
        <is>
          <t>2026-05-06</t>
        </is>
      </c>
      <c r="D3839" s="9" t="inlineStr">
        <is>
          <t>63e0b72a8a859</t>
        </is>
      </c>
      <c r="E3839" s="9" t="inlineStr">
        <is>
          <t>ANILLO COCO GOLD</t>
        </is>
      </c>
      <c r="F3839" s="9" t="inlineStr">
        <is>
          <t>5</t>
        </is>
      </c>
      <c r="G3839" s="9" t="n">
        <v>2</v>
      </c>
      <c r="H3839" s="21" t="n">
        <v>1.8</v>
      </c>
      <c r="I3839" s="21" t="n">
        <v>38.19</v>
      </c>
      <c r="J3839" s="21" t="n">
        <v>114.58</v>
      </c>
      <c r="K3839" s="21" t="n">
        <v>133.68</v>
      </c>
      <c r="L3839" s="21" t="n">
        <v>152.77</v>
      </c>
      <c r="M3839" s="21" t="n">
        <v>400</v>
      </c>
    </row>
    <row r="3840">
      <c r="A3840" s="9" t="inlineStr">
        <is>
          <t>HAIFENG</t>
        </is>
      </c>
      <c r="B3840" s="9" t="inlineStr">
        <is>
          <t>HAIFENG 06/05/2026</t>
        </is>
      </c>
      <c r="C3840" s="9" t="inlineStr">
        <is>
          <t>2026-05-06</t>
        </is>
      </c>
      <c r="D3840" s="9" t="inlineStr">
        <is>
          <t>63e0b731a865e</t>
        </is>
      </c>
      <c r="E3840" s="9" t="inlineStr">
        <is>
          <t>ANILLO COCO SILVER</t>
        </is>
      </c>
      <c r="F3840" s="9" t="inlineStr">
        <is>
          <t>7</t>
        </is>
      </c>
      <c r="G3840" s="9" t="n">
        <v>2</v>
      </c>
      <c r="H3840" s="21" t="n">
        <v>1.8</v>
      </c>
      <c r="I3840" s="21" t="n">
        <v>38.19</v>
      </c>
      <c r="J3840" s="21" t="n">
        <v>114.58</v>
      </c>
      <c r="K3840" s="21" t="n">
        <v>133.68</v>
      </c>
      <c r="L3840" s="21" t="n">
        <v>152.77</v>
      </c>
      <c r="M3840" s="21" t="n">
        <v>400</v>
      </c>
    </row>
    <row r="3841">
      <c r="A3841" s="9" t="inlineStr">
        <is>
          <t>HAIFENG</t>
        </is>
      </c>
      <c r="B3841" s="9" t="inlineStr">
        <is>
          <t>HAIFENG 06/05/2026</t>
        </is>
      </c>
      <c r="C3841" s="9" t="inlineStr">
        <is>
          <t>2026-05-06</t>
        </is>
      </c>
      <c r="D3841" s="9" t="inlineStr">
        <is>
          <t>15711171284237</t>
        </is>
      </c>
      <c r="E3841" s="9" t="inlineStr">
        <is>
          <t>ANILLO DOBLE T GOLD</t>
        </is>
      </c>
      <c r="F3841" s="9" t="inlineStr">
        <is>
          <t>8</t>
        </is>
      </c>
      <c r="G3841" s="9" t="n">
        <v>3</v>
      </c>
      <c r="H3841" s="21" t="n">
        <v>5</v>
      </c>
      <c r="I3841" s="21" t="n">
        <v>106.09</v>
      </c>
      <c r="J3841" s="21" t="n">
        <v>318.28</v>
      </c>
      <c r="K3841" s="21" t="n">
        <v>371.33</v>
      </c>
      <c r="L3841" s="21" t="n">
        <v>424.37</v>
      </c>
      <c r="M3841" s="21" t="n">
        <v>480</v>
      </c>
    </row>
    <row r="3842">
      <c r="A3842" s="9" t="inlineStr">
        <is>
          <t>HAIFENG</t>
        </is>
      </c>
      <c r="B3842" s="9" t="inlineStr">
        <is>
          <t>HAIFENG 06/05/2026</t>
        </is>
      </c>
      <c r="C3842" s="9" t="inlineStr">
        <is>
          <t>2026-05-06</t>
        </is>
      </c>
      <c r="D3842" s="9" t="inlineStr">
        <is>
          <t>56481463232012</t>
        </is>
      </c>
      <c r="E3842" s="9" t="inlineStr">
        <is>
          <t>ANILLO ESLABÓN GOLD</t>
        </is>
      </c>
      <c r="F3842" s="9" t="inlineStr">
        <is>
          <t>7</t>
        </is>
      </c>
      <c r="G3842" s="9" t="n">
        <v>2</v>
      </c>
      <c r="H3842" s="21" t="n">
        <v>6</v>
      </c>
      <c r="I3842" s="21" t="n">
        <v>127.31</v>
      </c>
      <c r="J3842" s="21" t="n">
        <v>381.94</v>
      </c>
      <c r="K3842" s="21" t="n">
        <v>445.59</v>
      </c>
      <c r="L3842" s="21" t="n">
        <v>509.25</v>
      </c>
      <c r="M3842" s="21" t="n">
        <v>520</v>
      </c>
    </row>
    <row r="3843">
      <c r="A3843" s="9" t="inlineStr">
        <is>
          <t>HAIFENG</t>
        </is>
      </c>
      <c r="B3843" s="9" t="inlineStr">
        <is>
          <t>HAIFENG 06/05/2026</t>
        </is>
      </c>
      <c r="C3843" s="9" t="inlineStr">
        <is>
          <t>2026-05-06</t>
        </is>
      </c>
      <c r="D3843" s="9" t="inlineStr">
        <is>
          <t>56481473264780</t>
        </is>
      </c>
      <c r="E3843" s="9" t="inlineStr">
        <is>
          <t>ANILLO ESLABÓN GOLD</t>
        </is>
      </c>
      <c r="F3843" s="9" t="inlineStr">
        <is>
          <t>8</t>
        </is>
      </c>
      <c r="G3843" s="9" t="n">
        <v>2</v>
      </c>
      <c r="H3843" s="21" t="n">
        <v>6</v>
      </c>
      <c r="I3843" s="21" t="n">
        <v>127.31</v>
      </c>
      <c r="J3843" s="21" t="n">
        <v>381.94</v>
      </c>
      <c r="K3843" s="21" t="n">
        <v>445.59</v>
      </c>
      <c r="L3843" s="21" t="n">
        <v>509.25</v>
      </c>
      <c r="M3843" s="21" t="n">
        <v>520</v>
      </c>
    </row>
    <row r="3844">
      <c r="A3844" s="9" t="inlineStr">
        <is>
          <t>HAIFENG</t>
        </is>
      </c>
      <c r="B3844" s="9" t="inlineStr">
        <is>
          <t>HAIFENG 06/05/2026</t>
        </is>
      </c>
      <c r="C3844" s="9" t="inlineStr">
        <is>
          <t>2026-05-06</t>
        </is>
      </c>
      <c r="D3844" s="9" t="inlineStr">
        <is>
          <t>12314361063501</t>
        </is>
      </c>
      <c r="E3844" s="9" t="inlineStr">
        <is>
          <t>ANILLO F DOBLE GOLD</t>
        </is>
      </c>
      <c r="F3844" s="9" t="inlineStr">
        <is>
          <t>AJUSTABLE</t>
        </is>
      </c>
      <c r="G3844" s="9" t="n">
        <v>2</v>
      </c>
      <c r="H3844" s="21" t="n">
        <v>7</v>
      </c>
      <c r="I3844" s="21" t="n">
        <v>148.53</v>
      </c>
      <c r="J3844" s="21" t="n">
        <v>445.59</v>
      </c>
      <c r="K3844" s="21" t="n">
        <v>519.86</v>
      </c>
      <c r="L3844" s="21" t="n">
        <v>594.12</v>
      </c>
      <c r="M3844" s="21" t="n">
        <v>620</v>
      </c>
    </row>
    <row r="3845">
      <c r="A3845" s="9" t="inlineStr">
        <is>
          <t>HAIFENG</t>
        </is>
      </c>
      <c r="B3845" s="9" t="inlineStr">
        <is>
          <t>HAIFENG 06/05/2026</t>
        </is>
      </c>
      <c r="C3845" s="9" t="inlineStr">
        <is>
          <t>2026-05-06</t>
        </is>
      </c>
      <c r="D3845" s="9" t="inlineStr">
        <is>
          <t>17964141660045</t>
        </is>
      </c>
      <c r="E3845" s="9" t="inlineStr">
        <is>
          <t>ANILLO F FF</t>
        </is>
      </c>
      <c r="F3845" s="9" t="inlineStr">
        <is>
          <t>8</t>
        </is>
      </c>
      <c r="G3845" s="9" t="n">
        <v>2</v>
      </c>
      <c r="H3845" s="21" t="n">
        <v>6</v>
      </c>
      <c r="I3845" s="21" t="n">
        <v>127.31</v>
      </c>
      <c r="J3845" s="21" t="n">
        <v>381.94</v>
      </c>
      <c r="K3845" s="21" t="n">
        <v>445.59</v>
      </c>
      <c r="L3845" s="21" t="n">
        <v>509.25</v>
      </c>
      <c r="M3845" s="21" t="n">
        <v>499</v>
      </c>
    </row>
    <row r="3846">
      <c r="A3846" s="9" t="inlineStr">
        <is>
          <t>HAIFENG</t>
        </is>
      </c>
      <c r="B3846" s="9" t="inlineStr">
        <is>
          <t>HAIFENG 06/05/2026</t>
        </is>
      </c>
      <c r="C3846" s="9" t="inlineStr">
        <is>
          <t>2026-05-06</t>
        </is>
      </c>
      <c r="D3846" s="9" t="inlineStr">
        <is>
          <t>66593bcf8df22</t>
        </is>
      </c>
      <c r="E3846" s="9" t="inlineStr">
        <is>
          <t>ANILLO LOVE ANCHO CON ZIRCONIA SILVER</t>
        </is>
      </c>
      <c r="F3846" s="9" t="inlineStr">
        <is>
          <t>8</t>
        </is>
      </c>
      <c r="G3846" s="9" t="n">
        <v>2</v>
      </c>
      <c r="H3846" s="21" t="n">
        <v>1.8</v>
      </c>
      <c r="I3846" s="21" t="n">
        <v>38.19</v>
      </c>
      <c r="J3846" s="21" t="n">
        <v>114.58</v>
      </c>
      <c r="K3846" s="21" t="n">
        <v>133.68</v>
      </c>
      <c r="L3846" s="21" t="n">
        <v>152.77</v>
      </c>
      <c r="M3846" s="21" t="n">
        <v>292</v>
      </c>
    </row>
    <row r="3847">
      <c r="A3847" s="9" t="inlineStr">
        <is>
          <t>HAIFENG</t>
        </is>
      </c>
      <c r="B3847" s="9" t="inlineStr">
        <is>
          <t>HAIFENG 06/05/2026</t>
        </is>
      </c>
      <c r="C3847" s="9" t="inlineStr">
        <is>
          <t>2026-05-06</t>
        </is>
      </c>
      <c r="D3847" s="9" t="inlineStr">
        <is>
          <t>66176a39da1f0</t>
        </is>
      </c>
      <c r="E3847" s="9" t="inlineStr">
        <is>
          <t>ANILLO LOVE GOLD</t>
        </is>
      </c>
      <c r="F3847" s="9" t="inlineStr">
        <is>
          <t>6</t>
        </is>
      </c>
      <c r="G3847" s="9" t="n">
        <v>12</v>
      </c>
      <c r="H3847" s="21" t="n">
        <v>1.8</v>
      </c>
      <c r="I3847" s="21" t="n">
        <v>38.19</v>
      </c>
      <c r="J3847" s="21" t="n">
        <v>114.58</v>
      </c>
      <c r="K3847" s="21" t="n">
        <v>133.68</v>
      </c>
      <c r="L3847" s="21" t="n">
        <v>152.77</v>
      </c>
      <c r="M3847" s="21" t="n">
        <v>400</v>
      </c>
    </row>
    <row r="3848">
      <c r="A3848" s="9" t="inlineStr">
        <is>
          <t>HAIFENG</t>
        </is>
      </c>
      <c r="B3848" s="9" t="inlineStr">
        <is>
          <t>HAIFENG 06/05/2026</t>
        </is>
      </c>
      <c r="C3848" s="9" t="inlineStr">
        <is>
          <t>2026-05-06</t>
        </is>
      </c>
      <c r="D3848" s="9" t="inlineStr">
        <is>
          <t>66176a393a025</t>
        </is>
      </c>
      <c r="E3848" s="9" t="inlineStr">
        <is>
          <t>ANILLO LOVE GOLD</t>
        </is>
      </c>
      <c r="F3848" s="9" t="inlineStr">
        <is>
          <t>5</t>
        </is>
      </c>
      <c r="G3848" s="9" t="n">
        <v>3</v>
      </c>
      <c r="H3848" s="21" t="n">
        <v>1.8</v>
      </c>
      <c r="I3848" s="21" t="n">
        <v>38.19</v>
      </c>
      <c r="J3848" s="21" t="n">
        <v>114.58</v>
      </c>
      <c r="K3848" s="21" t="n">
        <v>133.68</v>
      </c>
      <c r="L3848" s="21" t="n">
        <v>152.77</v>
      </c>
      <c r="M3848" s="21" t="n">
        <v>400</v>
      </c>
    </row>
    <row r="3849">
      <c r="A3849" s="9" t="inlineStr">
        <is>
          <t>HAIFENG</t>
        </is>
      </c>
      <c r="B3849" s="9" t="inlineStr">
        <is>
          <t>HAIFENG 06/05/2026</t>
        </is>
      </c>
      <c r="C3849" s="9" t="inlineStr">
        <is>
          <t>2026-05-06</t>
        </is>
      </c>
      <c r="D3849" s="9" t="inlineStr">
        <is>
          <t>2653021417996</t>
        </is>
      </c>
      <c r="E3849" s="9" t="inlineStr">
        <is>
          <t>ANILLO LOVE GOLD ANCHO</t>
        </is>
      </c>
      <c r="F3849" s="9" t="inlineStr">
        <is>
          <t>5</t>
        </is>
      </c>
      <c r="G3849" s="9" t="n">
        <v>2</v>
      </c>
      <c r="H3849" s="21" t="n">
        <v>1.8</v>
      </c>
      <c r="I3849" s="21" t="n">
        <v>38.19</v>
      </c>
      <c r="J3849" s="21" t="n">
        <v>114.58</v>
      </c>
      <c r="K3849" s="21" t="n">
        <v>133.68</v>
      </c>
      <c r="L3849" s="21" t="n">
        <v>152.77</v>
      </c>
      <c r="M3849" s="21" t="n">
        <v>400</v>
      </c>
    </row>
    <row r="3850">
      <c r="A3850" s="9" t="inlineStr">
        <is>
          <t>HAIFENG</t>
        </is>
      </c>
      <c r="B3850" s="9" t="inlineStr">
        <is>
          <t>HAIFENG 06/05/2026</t>
        </is>
      </c>
      <c r="C3850" s="9" t="inlineStr">
        <is>
          <t>2026-05-06</t>
        </is>
      </c>
      <c r="D3850" s="9" t="inlineStr">
        <is>
          <t>2653021516300</t>
        </is>
      </c>
      <c r="E3850" s="9" t="inlineStr">
        <is>
          <t>ANILLO LOVE GOLD ANCHO</t>
        </is>
      </c>
      <c r="F3850" s="9" t="inlineStr">
        <is>
          <t>8</t>
        </is>
      </c>
      <c r="G3850" s="9" t="n">
        <v>2</v>
      </c>
      <c r="H3850" s="21" t="n">
        <v>1.8</v>
      </c>
      <c r="I3850" s="21" t="n">
        <v>38.19</v>
      </c>
      <c r="J3850" s="21" t="n">
        <v>114.58</v>
      </c>
      <c r="K3850" s="21" t="n">
        <v>133.68</v>
      </c>
      <c r="L3850" s="21" t="n">
        <v>152.77</v>
      </c>
      <c r="M3850" s="21" t="n">
        <v>400</v>
      </c>
    </row>
    <row r="3851">
      <c r="A3851" s="9" t="inlineStr">
        <is>
          <t>HAIFENG</t>
        </is>
      </c>
      <c r="B3851" s="9" t="inlineStr">
        <is>
          <t>HAIFENG 06/05/2026</t>
        </is>
      </c>
      <c r="C3851" s="9" t="inlineStr">
        <is>
          <t>2026-05-06</t>
        </is>
      </c>
      <c r="D3851" s="9" t="inlineStr">
        <is>
          <t>2653021614604</t>
        </is>
      </c>
      <c r="E3851" s="9" t="inlineStr">
        <is>
          <t>ANILLO LOVE GOLD ANCHO</t>
        </is>
      </c>
      <c r="F3851" s="9" t="inlineStr">
        <is>
          <t>11</t>
        </is>
      </c>
      <c r="G3851" s="9" t="n">
        <v>2</v>
      </c>
      <c r="H3851" s="21" t="n">
        <v>1.8</v>
      </c>
      <c r="I3851" s="21" t="n">
        <v>38.19</v>
      </c>
      <c r="J3851" s="21" t="n">
        <v>114.58</v>
      </c>
      <c r="K3851" s="21" t="n">
        <v>133.68</v>
      </c>
      <c r="L3851" s="21" t="n">
        <v>152.77</v>
      </c>
      <c r="M3851" s="21" t="n">
        <v>400</v>
      </c>
    </row>
    <row r="3852">
      <c r="A3852" s="9" t="inlineStr">
        <is>
          <t>HAIFENG</t>
        </is>
      </c>
      <c r="B3852" s="9" t="inlineStr">
        <is>
          <t>HAIFENG 06/05/2026</t>
        </is>
      </c>
      <c r="C3852" s="9" t="inlineStr">
        <is>
          <t>2026-05-06</t>
        </is>
      </c>
      <c r="D3852" s="9" t="inlineStr">
        <is>
          <t>2653021581836</t>
        </is>
      </c>
      <c r="E3852" s="9" t="inlineStr">
        <is>
          <t>ANILLO LOVE GOLD ANCHO</t>
        </is>
      </c>
      <c r="F3852" s="9" t="inlineStr">
        <is>
          <t>10</t>
        </is>
      </c>
      <c r="G3852" s="9" t="n">
        <v>2</v>
      </c>
      <c r="H3852" s="21" t="n">
        <v>1.8</v>
      </c>
      <c r="I3852" s="21" t="n">
        <v>38.19</v>
      </c>
      <c r="J3852" s="21" t="n">
        <v>114.58</v>
      </c>
      <c r="K3852" s="21" t="n">
        <v>133.68</v>
      </c>
      <c r="L3852" s="21" t="n">
        <v>152.77</v>
      </c>
      <c r="M3852" s="21" t="n">
        <v>400</v>
      </c>
    </row>
    <row r="3853">
      <c r="A3853" s="9" t="inlineStr">
        <is>
          <t>HAIFENG</t>
        </is>
      </c>
      <c r="B3853" s="9" t="inlineStr">
        <is>
          <t>HAIFENG 06/05/2026</t>
        </is>
      </c>
      <c r="C3853" s="9" t="inlineStr">
        <is>
          <t>2026-05-06</t>
        </is>
      </c>
      <c r="D3853" s="9" t="inlineStr">
        <is>
          <t>66176c91b3d77</t>
        </is>
      </c>
      <c r="E3853" s="9" t="inlineStr">
        <is>
          <t>ANILLO LOVE GOLD ANCHO CON ZIRCONIA</t>
        </is>
      </c>
      <c r="F3853" s="9" t="inlineStr">
        <is>
          <t>7</t>
        </is>
      </c>
      <c r="G3853" s="9" t="n">
        <v>3</v>
      </c>
      <c r="H3853" s="21" t="n">
        <v>1.8</v>
      </c>
      <c r="I3853" s="21" t="n">
        <v>38.19</v>
      </c>
      <c r="J3853" s="21" t="n">
        <v>114.58</v>
      </c>
      <c r="K3853" s="21" t="n">
        <v>133.68</v>
      </c>
      <c r="L3853" s="21" t="n">
        <v>152.77</v>
      </c>
      <c r="M3853" s="21" t="n">
        <v>450</v>
      </c>
    </row>
    <row r="3854">
      <c r="A3854" s="9" t="inlineStr">
        <is>
          <t>HAIFENG</t>
        </is>
      </c>
      <c r="B3854" s="9" t="inlineStr">
        <is>
          <t>HAIFENG 06/05/2026</t>
        </is>
      </c>
      <c r="C3854" s="9" t="inlineStr">
        <is>
          <t>2026-05-06</t>
        </is>
      </c>
      <c r="D3854" s="9" t="inlineStr">
        <is>
          <t>66176c92ddb57</t>
        </is>
      </c>
      <c r="E3854" s="9" t="inlineStr">
        <is>
          <t>ANILLO LOVE GOLD ANCHO CON ZIRCONIA</t>
        </is>
      </c>
      <c r="F3854" s="9" t="inlineStr">
        <is>
          <t>9</t>
        </is>
      </c>
      <c r="G3854" s="9" t="n">
        <v>2</v>
      </c>
      <c r="H3854" s="21" t="n">
        <v>1.8</v>
      </c>
      <c r="I3854" s="21" t="n">
        <v>38.19</v>
      </c>
      <c r="J3854" s="21" t="n">
        <v>114.58</v>
      </c>
      <c r="K3854" s="21" t="n">
        <v>133.68</v>
      </c>
      <c r="L3854" s="21" t="n">
        <v>152.77</v>
      </c>
      <c r="M3854" s="21" t="n">
        <v>450</v>
      </c>
    </row>
    <row r="3855">
      <c r="A3855" s="9" t="inlineStr">
        <is>
          <t>HAIFENG</t>
        </is>
      </c>
      <c r="B3855" s="9" t="inlineStr">
        <is>
          <t>HAIFENG 06/05/2026</t>
        </is>
      </c>
      <c r="C3855" s="9" t="inlineStr">
        <is>
          <t>2026-05-06</t>
        </is>
      </c>
      <c r="D3855" s="9" t="inlineStr">
        <is>
          <t>66593bc501571</t>
        </is>
      </c>
      <c r="E3855" s="9" t="inlineStr">
        <is>
          <t>ANILLO LOVE MZ GOLD</t>
        </is>
      </c>
      <c r="F3855" s="9" t="inlineStr">
        <is>
          <t>10</t>
        </is>
      </c>
      <c r="G3855" s="9" t="n">
        <v>3</v>
      </c>
      <c r="H3855" s="21" t="n">
        <v>5.8</v>
      </c>
      <c r="I3855" s="21" t="n">
        <v>123.07</v>
      </c>
      <c r="J3855" s="21" t="n">
        <v>369.2</v>
      </c>
      <c r="K3855" s="21" t="n">
        <v>430.74</v>
      </c>
      <c r="L3855" s="21" t="n">
        <v>492.27</v>
      </c>
      <c r="M3855" s="21" t="n">
        <v>550</v>
      </c>
    </row>
    <row r="3856">
      <c r="A3856" s="9" t="inlineStr">
        <is>
          <t>HAIFENG</t>
        </is>
      </c>
      <c r="B3856" s="9" t="inlineStr">
        <is>
          <t>HAIFENG 06/05/2026</t>
        </is>
      </c>
      <c r="C3856" s="9" t="inlineStr">
        <is>
          <t>2026-05-06</t>
        </is>
      </c>
      <c r="D3856" s="9" t="inlineStr">
        <is>
          <t>66593bc3b73c7</t>
        </is>
      </c>
      <c r="E3856" s="9" t="inlineStr">
        <is>
          <t>ANILLO LOVE MZ GOLD</t>
        </is>
      </c>
      <c r="F3856" s="9" t="inlineStr">
        <is>
          <t>8</t>
        </is>
      </c>
      <c r="G3856" s="9" t="n">
        <v>2</v>
      </c>
      <c r="H3856" s="21" t="n">
        <v>5.8</v>
      </c>
      <c r="I3856" s="21" t="n">
        <v>123.07</v>
      </c>
      <c r="J3856" s="21" t="n">
        <v>369.2</v>
      </c>
      <c r="K3856" s="21" t="n">
        <v>430.74</v>
      </c>
      <c r="L3856" s="21" t="n">
        <v>492.27</v>
      </c>
      <c r="M3856" s="21" t="n">
        <v>550</v>
      </c>
    </row>
    <row r="3857">
      <c r="A3857" s="9" t="inlineStr">
        <is>
          <t>HAIFENG</t>
        </is>
      </c>
      <c r="B3857" s="9" t="inlineStr">
        <is>
          <t>HAIFENG 06/05/2026</t>
        </is>
      </c>
      <c r="C3857" s="9" t="inlineStr">
        <is>
          <t>2026-05-06</t>
        </is>
      </c>
      <c r="D3857" s="9" t="inlineStr">
        <is>
          <t>66593bc1ef37c</t>
        </is>
      </c>
      <c r="E3857" s="9" t="inlineStr">
        <is>
          <t>ANILLO LOVE MZ SILVER</t>
        </is>
      </c>
      <c r="F3857" s="9" t="inlineStr">
        <is>
          <t>5</t>
        </is>
      </c>
      <c r="G3857" s="9" t="n">
        <v>3</v>
      </c>
      <c r="H3857" s="21" t="n">
        <v>5.8</v>
      </c>
      <c r="I3857" s="21" t="n">
        <v>123.07</v>
      </c>
      <c r="J3857" s="21" t="n">
        <v>369.2</v>
      </c>
      <c r="K3857" s="21" t="n">
        <v>430.74</v>
      </c>
      <c r="L3857" s="21" t="n">
        <v>492.27</v>
      </c>
      <c r="M3857" s="21" t="n">
        <v>550</v>
      </c>
    </row>
    <row r="3858">
      <c r="A3858" s="9" t="inlineStr">
        <is>
          <t>HAIFENG</t>
        </is>
      </c>
      <c r="B3858" s="9" t="inlineStr">
        <is>
          <t>HAIFENG 06/05/2026</t>
        </is>
      </c>
      <c r="C3858" s="9" t="inlineStr">
        <is>
          <t>2026-05-06</t>
        </is>
      </c>
      <c r="D3858" s="9" t="inlineStr">
        <is>
          <t>66176c8ac28e0</t>
        </is>
      </c>
      <c r="E3858" s="9" t="inlineStr">
        <is>
          <t>ANILLO LOVE ROSE GOLD ANCHO</t>
        </is>
      </c>
      <c r="F3858" s="9" t="inlineStr">
        <is>
          <t>6</t>
        </is>
      </c>
      <c r="G3858" s="9" t="n">
        <v>3</v>
      </c>
      <c r="H3858" s="21" t="n">
        <v>1.8</v>
      </c>
      <c r="I3858" s="21" t="n">
        <v>38.19</v>
      </c>
      <c r="J3858" s="21" t="n">
        <v>114.58</v>
      </c>
      <c r="K3858" s="21" t="n">
        <v>133.68</v>
      </c>
      <c r="L3858" s="21" t="n">
        <v>152.77</v>
      </c>
      <c r="M3858" s="21" t="n">
        <v>400</v>
      </c>
    </row>
    <row r="3859">
      <c r="A3859" s="9" t="inlineStr">
        <is>
          <t>HAIFENG</t>
        </is>
      </c>
      <c r="B3859" s="9" t="inlineStr">
        <is>
          <t>HAIFENG 06/05/2026</t>
        </is>
      </c>
      <c r="C3859" s="9" t="inlineStr">
        <is>
          <t>2026-05-06</t>
        </is>
      </c>
      <c r="D3859" s="9" t="inlineStr">
        <is>
          <t>66176c83f3f50</t>
        </is>
      </c>
      <c r="E3859" s="9" t="inlineStr">
        <is>
          <t>ANILLO LOVE SILVER</t>
        </is>
      </c>
      <c r="F3859" s="9" t="inlineStr">
        <is>
          <t>5</t>
        </is>
      </c>
      <c r="G3859" s="9" t="n">
        <v>5</v>
      </c>
      <c r="H3859" s="21" t="n">
        <v>1.8</v>
      </c>
      <c r="I3859" s="21" t="n">
        <v>38.19</v>
      </c>
      <c r="J3859" s="21" t="n">
        <v>114.58</v>
      </c>
      <c r="K3859" s="21" t="n">
        <v>133.68</v>
      </c>
      <c r="L3859" s="21" t="n">
        <v>152.77</v>
      </c>
      <c r="M3859" s="21" t="n">
        <v>400</v>
      </c>
    </row>
    <row r="3860">
      <c r="A3860" s="9" t="inlineStr">
        <is>
          <t>HAIFENG</t>
        </is>
      </c>
      <c r="B3860" s="9" t="inlineStr">
        <is>
          <t>HAIFENG 06/05/2026</t>
        </is>
      </c>
      <c r="C3860" s="9" t="inlineStr">
        <is>
          <t>2026-05-06</t>
        </is>
      </c>
      <c r="D3860" s="9" t="inlineStr">
        <is>
          <t>2653026071052</t>
        </is>
      </c>
      <c r="E3860" s="9" t="inlineStr">
        <is>
          <t>ANILLO LOVE SILVER ANCHO</t>
        </is>
      </c>
      <c r="F3860" s="9" t="inlineStr">
        <is>
          <t>5</t>
        </is>
      </c>
      <c r="G3860" s="9" t="n">
        <v>2</v>
      </c>
      <c r="H3860" s="21" t="n">
        <v>1.8</v>
      </c>
      <c r="I3860" s="21" t="n">
        <v>38.19</v>
      </c>
      <c r="J3860" s="21" t="n">
        <v>114.58</v>
      </c>
      <c r="K3860" s="21" t="n">
        <v>133.68</v>
      </c>
      <c r="L3860" s="21" t="n">
        <v>152.77</v>
      </c>
      <c r="M3860" s="21" t="n">
        <v>400</v>
      </c>
    </row>
    <row r="3861">
      <c r="A3861" s="9" t="inlineStr">
        <is>
          <t>HAIFENG</t>
        </is>
      </c>
      <c r="B3861" s="9" t="inlineStr">
        <is>
          <t>HAIFENG 06/05/2026</t>
        </is>
      </c>
      <c r="C3861" s="9" t="inlineStr">
        <is>
          <t>2026-05-06</t>
        </is>
      </c>
      <c r="D3861" s="9" t="inlineStr">
        <is>
          <t>2653026103820</t>
        </is>
      </c>
      <c r="E3861" s="9" t="inlineStr">
        <is>
          <t>ANILLO LOVE SILVER ANCHO</t>
        </is>
      </c>
      <c r="F3861" s="9" t="inlineStr">
        <is>
          <t>6</t>
        </is>
      </c>
      <c r="G3861" s="9" t="n">
        <v>2</v>
      </c>
      <c r="H3861" s="21" t="n">
        <v>1.8</v>
      </c>
      <c r="I3861" s="21" t="n">
        <v>38.19</v>
      </c>
      <c r="J3861" s="21" t="n">
        <v>114.58</v>
      </c>
      <c r="K3861" s="21" t="n">
        <v>133.68</v>
      </c>
      <c r="L3861" s="21" t="n">
        <v>152.77</v>
      </c>
      <c r="M3861" s="21" t="n">
        <v>400</v>
      </c>
    </row>
    <row r="3862">
      <c r="A3862" s="9" t="inlineStr">
        <is>
          <t>HAIFENG</t>
        </is>
      </c>
      <c r="B3862" s="9" t="inlineStr">
        <is>
          <t>HAIFENG 06/05/2026</t>
        </is>
      </c>
      <c r="C3862" s="9" t="inlineStr">
        <is>
          <t>2026-05-06</t>
        </is>
      </c>
      <c r="D3862" s="9" t="inlineStr">
        <is>
          <t>66593bcedcf0c</t>
        </is>
      </c>
      <c r="E3862" s="9" t="inlineStr">
        <is>
          <t>ANILLO LOVE SILVER ANCHO CON ZIRCONIA</t>
        </is>
      </c>
      <c r="F3862" s="9" t="inlineStr">
        <is>
          <t>7</t>
        </is>
      </c>
      <c r="G3862" s="9" t="n">
        <v>2</v>
      </c>
      <c r="H3862" s="21" t="n">
        <v>1.8</v>
      </c>
      <c r="I3862" s="21" t="n">
        <v>38.19</v>
      </c>
      <c r="J3862" s="21" t="n">
        <v>114.58</v>
      </c>
      <c r="K3862" s="21" t="n">
        <v>133.68</v>
      </c>
      <c r="L3862" s="21" t="n">
        <v>152.77</v>
      </c>
      <c r="M3862" s="21" t="n">
        <v>292</v>
      </c>
    </row>
    <row r="3863">
      <c r="A3863" s="9" t="inlineStr">
        <is>
          <t>HAIFENG</t>
        </is>
      </c>
      <c r="B3863" s="9" t="inlineStr">
        <is>
          <t>HAIFENG 06/05/2026</t>
        </is>
      </c>
      <c r="C3863" s="9" t="inlineStr">
        <is>
          <t>2026-05-06</t>
        </is>
      </c>
      <c r="D3863" s="9" t="inlineStr">
        <is>
          <t>21206411294893</t>
        </is>
      </c>
      <c r="E3863" s="9" t="inlineStr">
        <is>
          <t>ANILLO LOVE UNLIMITED GOLD</t>
        </is>
      </c>
      <c r="F3863" s="9" t="inlineStr">
        <is>
          <t>6</t>
        </is>
      </c>
      <c r="G3863" s="9" t="n">
        <v>3</v>
      </c>
      <c r="H3863" s="21" t="n">
        <v>5.99</v>
      </c>
      <c r="I3863" s="21" t="n">
        <v>127.1</v>
      </c>
      <c r="J3863" s="21" t="n">
        <v>381.3</v>
      </c>
      <c r="K3863" s="21" t="n">
        <v>444.85</v>
      </c>
      <c r="L3863" s="21" t="n">
        <v>508.4</v>
      </c>
      <c r="M3863" s="21" t="n">
        <v>550</v>
      </c>
    </row>
    <row r="3864">
      <c r="A3864" s="9" t="inlineStr">
        <is>
          <t>HAIFENG</t>
        </is>
      </c>
      <c r="B3864" s="9" t="inlineStr">
        <is>
          <t>HAIFENG 06/05/2026</t>
        </is>
      </c>
      <c r="C3864" s="9" t="inlineStr">
        <is>
          <t>2026-05-06</t>
        </is>
      </c>
      <c r="D3864" s="9" t="inlineStr">
        <is>
          <t>94256261066701</t>
        </is>
      </c>
      <c r="E3864" s="9" t="inlineStr">
        <is>
          <t>ANILLO LV IDYLLE BLOSSOM TRICOLOR</t>
        </is>
      </c>
      <c r="F3864" s="9" t="inlineStr">
        <is>
          <t>Default Title</t>
        </is>
      </c>
      <c r="G3864" s="9" t="n">
        <v>3</v>
      </c>
      <c r="H3864" s="21" t="n">
        <v>14.97</v>
      </c>
      <c r="I3864" s="21" t="n">
        <v>317.64</v>
      </c>
      <c r="J3864" s="21" t="n">
        <v>952.9299999999999</v>
      </c>
      <c r="K3864" s="21" t="n">
        <v>1111.75</v>
      </c>
      <c r="L3864" s="21" t="n">
        <v>1270.57</v>
      </c>
      <c r="M3864" s="21" t="n">
        <v>1250</v>
      </c>
    </row>
    <row r="3865">
      <c r="A3865" s="9" t="inlineStr">
        <is>
          <t>HAIFENG</t>
        </is>
      </c>
      <c r="B3865" s="9" t="inlineStr">
        <is>
          <t>HAIFENG 06/05/2026</t>
        </is>
      </c>
      <c r="C3865" s="9" t="inlineStr">
        <is>
          <t>2026-05-06</t>
        </is>
      </c>
      <c r="D3865" s="9" t="inlineStr">
        <is>
          <t>17964141440845</t>
        </is>
      </c>
      <c r="E3865" s="9" t="inlineStr">
        <is>
          <t>ANILLO LV MOSAIC SOO</t>
        </is>
      </c>
      <c r="F3865" s="9" t="inlineStr">
        <is>
          <t>8</t>
        </is>
      </c>
      <c r="G3865" s="9" t="n">
        <v>2</v>
      </c>
      <c r="H3865" s="21" t="n">
        <v>6</v>
      </c>
      <c r="I3865" s="21" t="n">
        <v>127.31</v>
      </c>
      <c r="J3865" s="21" t="n">
        <v>381.94</v>
      </c>
      <c r="K3865" s="21" t="n">
        <v>445.59</v>
      </c>
      <c r="L3865" s="21" t="n">
        <v>509.25</v>
      </c>
      <c r="M3865" s="21" t="n">
        <v>499</v>
      </c>
    </row>
    <row r="3866">
      <c r="A3866" s="9" t="inlineStr">
        <is>
          <t>HAIFENG</t>
        </is>
      </c>
      <c r="B3866" s="9" t="inlineStr">
        <is>
          <t>HAIFENG 06/05/2026</t>
        </is>
      </c>
      <c r="C3866" s="9" t="inlineStr">
        <is>
          <t>2026-05-06</t>
        </is>
      </c>
      <c r="D3866" s="9" t="inlineStr">
        <is>
          <t>17964141190029</t>
        </is>
      </c>
      <c r="E3866" s="9" t="inlineStr">
        <is>
          <t>ANILLO LV TAILOR SOO</t>
        </is>
      </c>
      <c r="F3866" s="9" t="inlineStr">
        <is>
          <t>AJUSTABLE</t>
        </is>
      </c>
      <c r="G3866" s="9" t="n">
        <v>2</v>
      </c>
      <c r="H3866" s="21" t="n">
        <v>6</v>
      </c>
      <c r="I3866" s="21" t="n">
        <v>127.31</v>
      </c>
      <c r="J3866" s="21" t="n">
        <v>381.94</v>
      </c>
      <c r="K3866" s="21" t="n">
        <v>445.59</v>
      </c>
      <c r="L3866" s="21" t="n">
        <v>509.25</v>
      </c>
      <c r="M3866" s="21" t="n">
        <v>750</v>
      </c>
    </row>
    <row r="3867">
      <c r="A3867" s="9" t="inlineStr">
        <is>
          <t>HAIFENG</t>
        </is>
      </c>
      <c r="B3867" s="9" t="inlineStr">
        <is>
          <t>HAIFENG 06/05/2026</t>
        </is>
      </c>
      <c r="C3867" s="9" t="inlineStr">
        <is>
          <t>2026-05-06</t>
        </is>
      </c>
      <c r="D3867" s="9" t="inlineStr">
        <is>
          <t>22064323845517</t>
        </is>
      </c>
      <c r="E3867" s="9" t="inlineStr">
        <is>
          <t>ANILLO MARIQUITA ROSE GOLD</t>
        </is>
      </c>
      <c r="F3867" s="9" t="inlineStr">
        <is>
          <t>Default Title</t>
        </is>
      </c>
      <c r="G3867" s="9" t="n">
        <v>3</v>
      </c>
      <c r="H3867" s="21" t="n">
        <v>8.9</v>
      </c>
      <c r="I3867" s="21" t="n">
        <v>188.85</v>
      </c>
      <c r="J3867" s="21" t="n">
        <v>566.54</v>
      </c>
      <c r="K3867" s="21" t="n">
        <v>660.96</v>
      </c>
      <c r="L3867" s="21" t="n">
        <v>755.38</v>
      </c>
      <c r="M3867" s="21" t="n">
        <v>799</v>
      </c>
    </row>
    <row r="3868">
      <c r="A3868" s="9" t="inlineStr">
        <is>
          <t>HAIFENG</t>
        </is>
      </c>
      <c r="B3868" s="9" t="inlineStr">
        <is>
          <t>HAIFENG 06/05/2026</t>
        </is>
      </c>
      <c r="C3868" s="9" t="inlineStr">
        <is>
          <t>2026-05-06</t>
        </is>
      </c>
      <c r="D3868" s="9" t="inlineStr">
        <is>
          <t>43047225950348</t>
        </is>
      </c>
      <c r="E3868" s="9" t="inlineStr">
        <is>
          <t>ANILLO ONE T GOLD</t>
        </is>
      </c>
      <c r="F3868" s="9" t="inlineStr">
        <is>
          <t>8</t>
        </is>
      </c>
      <c r="G3868" s="9" t="n">
        <v>1</v>
      </c>
      <c r="H3868" s="21" t="n">
        <v>4</v>
      </c>
      <c r="I3868" s="21" t="n">
        <v>84.87</v>
      </c>
      <c r="J3868" s="21" t="n">
        <v>254.62</v>
      </c>
      <c r="K3868" s="21" t="n">
        <v>297.06</v>
      </c>
      <c r="L3868" s="21" t="n">
        <v>339.5</v>
      </c>
      <c r="M3868" s="21" t="n">
        <v>499</v>
      </c>
    </row>
    <row r="3869">
      <c r="A3869" s="9" t="inlineStr">
        <is>
          <t>HAIFENG</t>
        </is>
      </c>
      <c r="B3869" s="9" t="inlineStr">
        <is>
          <t>HAIFENG 06/05/2026</t>
        </is>
      </c>
      <c r="C3869" s="9" t="inlineStr">
        <is>
          <t>2026-05-06</t>
        </is>
      </c>
      <c r="D3869" s="9" t="inlineStr">
        <is>
          <t>673cd561eb622</t>
        </is>
      </c>
      <c r="E3869" s="9" t="inlineStr">
        <is>
          <t>ANILLO ONE T ROSE GOLD CON ZIRCONIA</t>
        </is>
      </c>
      <c r="F3869" s="9" t="inlineStr">
        <is>
          <t>8 HIGH QUALITY</t>
        </is>
      </c>
      <c r="G3869" s="9" t="n">
        <v>1</v>
      </c>
      <c r="H3869" s="21" t="n">
        <v>5</v>
      </c>
      <c r="I3869" s="21" t="n">
        <v>106.09</v>
      </c>
      <c r="J3869" s="21" t="n">
        <v>318.28</v>
      </c>
      <c r="K3869" s="21" t="n">
        <v>371.33</v>
      </c>
      <c r="L3869" s="21" t="n">
        <v>424.37</v>
      </c>
      <c r="M3869" s="21" t="n">
        <v>599</v>
      </c>
    </row>
    <row r="3870">
      <c r="A3870" s="9" t="inlineStr">
        <is>
          <t>HAIFENG</t>
        </is>
      </c>
      <c r="B3870" s="9" t="inlineStr">
        <is>
          <t>HAIFENG 06/05/2026</t>
        </is>
      </c>
      <c r="C3870" s="9" t="inlineStr">
        <is>
          <t>2026-05-06</t>
        </is>
      </c>
      <c r="D3870" s="9" t="inlineStr">
        <is>
          <t>22064322816685</t>
        </is>
      </c>
      <c r="E3870" s="9" t="inlineStr">
        <is>
          <t>ANILLO SERPENTI VIPER ROSE GOLD GREEN</t>
        </is>
      </c>
      <c r="F3870" s="9" t="inlineStr">
        <is>
          <t>7</t>
        </is>
      </c>
      <c r="G3870" s="9" t="n">
        <v>2</v>
      </c>
      <c r="H3870" s="21" t="n">
        <v>9</v>
      </c>
      <c r="I3870" s="21" t="n">
        <v>190.97</v>
      </c>
      <c r="J3870" s="21" t="n">
        <v>572.9</v>
      </c>
      <c r="K3870" s="21" t="n">
        <v>668.39</v>
      </c>
      <c r="L3870" s="21" t="n">
        <v>763.87</v>
      </c>
      <c r="M3870" s="21" t="n">
        <v>899</v>
      </c>
    </row>
    <row r="3871">
      <c r="A3871" s="9" t="inlineStr">
        <is>
          <t>HAIFENG</t>
        </is>
      </c>
      <c r="B3871" s="9" t="inlineStr">
        <is>
          <t>HAIFENG 06/05/2026</t>
        </is>
      </c>
      <c r="C3871" s="9" t="inlineStr">
        <is>
          <t>2026-05-06</t>
        </is>
      </c>
      <c r="D3871" s="9" t="inlineStr">
        <is>
          <t>43047226572940</t>
        </is>
      </c>
      <c r="E3871" s="9" t="inlineStr">
        <is>
          <t>ANILLO SIXTEEN STONE</t>
        </is>
      </c>
      <c r="F3871" s="9" t="inlineStr">
        <is>
          <t>HIGH QUALITY 7</t>
        </is>
      </c>
      <c r="G3871" s="9" t="n">
        <v>3</v>
      </c>
      <c r="H3871" s="21" t="n">
        <v>6</v>
      </c>
      <c r="I3871" s="21" t="n">
        <v>127.31</v>
      </c>
      <c r="J3871" s="21" t="n">
        <v>381.94</v>
      </c>
      <c r="K3871" s="21" t="n">
        <v>445.59</v>
      </c>
      <c r="L3871" s="21" t="n">
        <v>509.25</v>
      </c>
      <c r="M3871" s="21" t="n">
        <v>550</v>
      </c>
    </row>
    <row r="3872">
      <c r="A3872" s="9" t="inlineStr">
        <is>
          <t>HAIFENG</t>
        </is>
      </c>
      <c r="B3872" s="9" t="inlineStr">
        <is>
          <t>HAIFENG 06/05/2026</t>
        </is>
      </c>
      <c r="C3872" s="9" t="inlineStr">
        <is>
          <t>2026-05-06</t>
        </is>
      </c>
      <c r="D3872" s="9" t="inlineStr">
        <is>
          <t>43047226605708</t>
        </is>
      </c>
      <c r="E3872" s="9" t="inlineStr">
        <is>
          <t>ANILLO SIXTEEN STONE</t>
        </is>
      </c>
      <c r="F3872" s="9" t="inlineStr">
        <is>
          <t>HIGH QUALITY 8</t>
        </is>
      </c>
      <c r="G3872" s="9" t="n">
        <v>2</v>
      </c>
      <c r="H3872" s="21" t="n">
        <v>6</v>
      </c>
      <c r="I3872" s="21" t="n">
        <v>127.31</v>
      </c>
      <c r="J3872" s="21" t="n">
        <v>381.94</v>
      </c>
      <c r="K3872" s="21" t="n">
        <v>445.59</v>
      </c>
      <c r="L3872" s="21" t="n">
        <v>509.25</v>
      </c>
      <c r="M3872" s="21" t="n">
        <v>550</v>
      </c>
    </row>
    <row r="3873">
      <c r="A3873" s="9" t="inlineStr">
        <is>
          <t>HAIFENG</t>
        </is>
      </c>
      <c r="B3873" s="9" t="inlineStr">
        <is>
          <t>HAIFENG 06/05/2026</t>
        </is>
      </c>
      <c r="C3873" s="9" t="inlineStr">
        <is>
          <t>2026-05-06</t>
        </is>
      </c>
      <c r="D3873" s="9" t="inlineStr">
        <is>
          <t>56481484311564</t>
        </is>
      </c>
      <c r="E3873" s="9" t="inlineStr">
        <is>
          <t>ANILLO SIXTEEN STONE GOLD/RED</t>
        </is>
      </c>
      <c r="F3873" s="9" t="inlineStr">
        <is>
          <t>8</t>
        </is>
      </c>
      <c r="G3873" s="9" t="n">
        <v>3</v>
      </c>
      <c r="H3873" s="21" t="n">
        <v>6</v>
      </c>
      <c r="I3873" s="21" t="n">
        <v>127.31</v>
      </c>
      <c r="J3873" s="21" t="n">
        <v>381.94</v>
      </c>
      <c r="K3873" s="21" t="n">
        <v>445.59</v>
      </c>
      <c r="L3873" s="21" t="n">
        <v>509.25</v>
      </c>
      <c r="M3873" s="21" t="n">
        <v>550</v>
      </c>
    </row>
    <row r="3874">
      <c r="A3874" s="9" t="inlineStr">
        <is>
          <t>HAIFENG</t>
        </is>
      </c>
      <c r="B3874" s="9" t="inlineStr">
        <is>
          <t>HAIFENG 06/05/2026</t>
        </is>
      </c>
      <c r="C3874" s="9" t="inlineStr">
        <is>
          <t>2026-05-06</t>
        </is>
      </c>
      <c r="D3874" s="9" t="inlineStr">
        <is>
          <t>71036889199756</t>
        </is>
      </c>
      <c r="E3874" s="9" t="inlineStr">
        <is>
          <t>ANILLO T DE COMPROMISO</t>
        </is>
      </c>
      <c r="F3874" s="9" t="inlineStr">
        <is>
          <t>7</t>
        </is>
      </c>
      <c r="G3874" s="9" t="n">
        <v>5</v>
      </c>
      <c r="H3874" s="21" t="n">
        <v>5</v>
      </c>
      <c r="I3874" s="21" t="n">
        <v>106.09</v>
      </c>
      <c r="J3874" s="21" t="n">
        <v>318.28</v>
      </c>
      <c r="K3874" s="21" t="n">
        <v>371.33</v>
      </c>
      <c r="L3874" s="21" t="n">
        <v>424.37</v>
      </c>
      <c r="M3874" s="21" t="n">
        <v>599</v>
      </c>
    </row>
    <row r="3875">
      <c r="A3875" s="9" t="inlineStr">
        <is>
          <t>HAIFENG</t>
        </is>
      </c>
      <c r="B3875" s="9" t="inlineStr">
        <is>
          <t>HAIFENG 06/05/2026</t>
        </is>
      </c>
      <c r="C3875" s="9" t="inlineStr">
        <is>
          <t>2026-05-06</t>
        </is>
      </c>
      <c r="D3875" s="9" t="inlineStr">
        <is>
          <t>71036879166988</t>
        </is>
      </c>
      <c r="E3875" s="9" t="inlineStr">
        <is>
          <t>ANILLO T DE COMPROMISO</t>
        </is>
      </c>
      <c r="F3875" s="9" t="inlineStr">
        <is>
          <t>6</t>
        </is>
      </c>
      <c r="G3875" s="9" t="n">
        <v>3</v>
      </c>
      <c r="H3875" s="21" t="n">
        <v>5</v>
      </c>
      <c r="I3875" s="21" t="n">
        <v>106.09</v>
      </c>
      <c r="J3875" s="21" t="n">
        <v>318.28</v>
      </c>
      <c r="K3875" s="21" t="n">
        <v>371.33</v>
      </c>
      <c r="L3875" s="21" t="n">
        <v>424.37</v>
      </c>
      <c r="M3875" s="21" t="n">
        <v>599</v>
      </c>
    </row>
    <row r="3876">
      <c r="A3876" s="9" t="inlineStr">
        <is>
          <t>HAIFENG</t>
        </is>
      </c>
      <c r="B3876" s="9" t="inlineStr">
        <is>
          <t>HAIFENG 06/05/2026</t>
        </is>
      </c>
      <c r="C3876" s="9" t="inlineStr">
        <is>
          <t>2026-05-06</t>
        </is>
      </c>
      <c r="D3876" s="9" t="inlineStr">
        <is>
          <t>71036889232524</t>
        </is>
      </c>
      <c r="E3876" s="9" t="inlineStr">
        <is>
          <t>ANILLO T DE COMPROMISO</t>
        </is>
      </c>
      <c r="F3876" s="9" t="inlineStr">
        <is>
          <t>8</t>
        </is>
      </c>
      <c r="G3876" s="9" t="n">
        <v>1</v>
      </c>
      <c r="H3876" s="21" t="n">
        <v>5</v>
      </c>
      <c r="I3876" s="21" t="n">
        <v>106.09</v>
      </c>
      <c r="J3876" s="21" t="n">
        <v>318.28</v>
      </c>
      <c r="K3876" s="21" t="n">
        <v>371.33</v>
      </c>
      <c r="L3876" s="21" t="n">
        <v>424.37</v>
      </c>
      <c r="M3876" s="21" t="n">
        <v>599</v>
      </c>
    </row>
    <row r="3877">
      <c r="A3877" s="9" t="inlineStr">
        <is>
          <t>HAIFENG</t>
        </is>
      </c>
      <c r="B3877" s="9" t="inlineStr">
        <is>
          <t>HAIFENG 06/05/2026</t>
        </is>
      </c>
      <c r="C3877" s="9" t="inlineStr">
        <is>
          <t>2026-05-06</t>
        </is>
      </c>
      <c r="D3877" s="9" t="inlineStr">
        <is>
          <t>668eecd447a15</t>
        </is>
      </c>
      <c r="E3877" s="9" t="inlineStr">
        <is>
          <t>ANILLO T GOLD</t>
        </is>
      </c>
      <c r="F3877" s="9" t="inlineStr">
        <is>
          <t>6</t>
        </is>
      </c>
      <c r="G3877" s="9" t="n">
        <v>4</v>
      </c>
      <c r="H3877" s="21" t="n">
        <v>5</v>
      </c>
      <c r="I3877" s="21" t="n">
        <v>106.09</v>
      </c>
      <c r="J3877" s="21" t="n">
        <v>318.28</v>
      </c>
      <c r="K3877" s="21" t="n">
        <v>371.33</v>
      </c>
      <c r="L3877" s="21" t="n">
        <v>424.37</v>
      </c>
      <c r="M3877" s="21" t="n">
        <v>450</v>
      </c>
    </row>
    <row r="3878">
      <c r="A3878" s="9" t="inlineStr">
        <is>
          <t>HAIFENG</t>
        </is>
      </c>
      <c r="B3878" s="9" t="inlineStr">
        <is>
          <t>HAIFENG 06/05/2026</t>
        </is>
      </c>
      <c r="C3878" s="9" t="inlineStr">
        <is>
          <t>2026-05-06</t>
        </is>
      </c>
      <c r="D3878" s="9" t="inlineStr">
        <is>
          <t>668eecd5a989f</t>
        </is>
      </c>
      <c r="E3878" s="9" t="inlineStr">
        <is>
          <t>ANILLO T GOLD</t>
        </is>
      </c>
      <c r="F3878" s="9" t="inlineStr">
        <is>
          <t>8</t>
        </is>
      </c>
      <c r="G3878" s="9" t="n">
        <v>4</v>
      </c>
      <c r="H3878" s="21" t="n">
        <v>5</v>
      </c>
      <c r="I3878" s="21" t="n">
        <v>106.09</v>
      </c>
      <c r="J3878" s="21" t="n">
        <v>318.28</v>
      </c>
      <c r="K3878" s="21" t="n">
        <v>371.33</v>
      </c>
      <c r="L3878" s="21" t="n">
        <v>424.37</v>
      </c>
      <c r="M3878" s="21" t="n">
        <v>450</v>
      </c>
    </row>
    <row r="3879">
      <c r="A3879" s="9" t="inlineStr">
        <is>
          <t>HAIFENG</t>
        </is>
      </c>
      <c r="B3879" s="9" t="inlineStr">
        <is>
          <t>HAIFENG 06/05/2026</t>
        </is>
      </c>
      <c r="C3879" s="9" t="inlineStr">
        <is>
          <t>2026-05-06</t>
        </is>
      </c>
      <c r="D3879" s="9" t="inlineStr">
        <is>
          <t>668eecd028acd</t>
        </is>
      </c>
      <c r="E3879" s="9" t="inlineStr">
        <is>
          <t>ANILLO T ROSE GOLD</t>
        </is>
      </c>
      <c r="F3879" s="9" t="inlineStr">
        <is>
          <t>6</t>
        </is>
      </c>
      <c r="G3879" s="9" t="n">
        <v>4</v>
      </c>
      <c r="H3879" s="21" t="n">
        <v>5</v>
      </c>
      <c r="I3879" s="21" t="n">
        <v>106.09</v>
      </c>
      <c r="J3879" s="21" t="n">
        <v>318.28</v>
      </c>
      <c r="K3879" s="21" t="n">
        <v>371.33</v>
      </c>
      <c r="L3879" s="21" t="n">
        <v>424.37</v>
      </c>
      <c r="M3879" s="21" t="n">
        <v>450</v>
      </c>
    </row>
    <row r="3880">
      <c r="A3880" s="9" t="inlineStr">
        <is>
          <t>HAIFENG</t>
        </is>
      </c>
      <c r="B3880" s="9" t="inlineStr">
        <is>
          <t>HAIFENG 06/05/2026</t>
        </is>
      </c>
      <c r="C3880" s="9" t="inlineStr">
        <is>
          <t>2026-05-06</t>
        </is>
      </c>
      <c r="D3880" s="9" t="inlineStr">
        <is>
          <t>29736662119501</t>
        </is>
      </c>
      <c r="E3880" s="9" t="inlineStr">
        <is>
          <t>ANILLO T SERPIENTE GOLD</t>
        </is>
      </c>
      <c r="F3880" s="9" t="inlineStr">
        <is>
          <t>8</t>
        </is>
      </c>
      <c r="G3880" s="9" t="n">
        <v>2</v>
      </c>
      <c r="H3880" s="21" t="n">
        <v>6.99</v>
      </c>
      <c r="I3880" s="21" t="n">
        <v>148.32</v>
      </c>
      <c r="J3880" s="21" t="n">
        <v>444.95</v>
      </c>
      <c r="K3880" s="21" t="n">
        <v>519.11</v>
      </c>
      <c r="L3880" s="21" t="n">
        <v>593.27</v>
      </c>
      <c r="M3880" s="21" t="n">
        <v>600</v>
      </c>
    </row>
    <row r="3881">
      <c r="A3881" s="9" t="inlineStr">
        <is>
          <t>HAIFENG</t>
        </is>
      </c>
      <c r="B3881" s="9" t="inlineStr">
        <is>
          <t>HAIFENG 06/05/2026</t>
        </is>
      </c>
      <c r="C3881" s="9" t="inlineStr">
        <is>
          <t>2026-05-06</t>
        </is>
      </c>
      <c r="D3881" s="9" t="inlineStr">
        <is>
          <t>668eee34483a2</t>
        </is>
      </c>
      <c r="E3881" s="9" t="inlineStr">
        <is>
          <t>ANILLO T SILVER</t>
        </is>
      </c>
      <c r="F3881" s="9" t="inlineStr">
        <is>
          <t>7</t>
        </is>
      </c>
      <c r="G3881" s="9" t="n">
        <v>6</v>
      </c>
      <c r="H3881" s="21" t="n">
        <v>5</v>
      </c>
      <c r="I3881" s="21" t="n">
        <v>106.09</v>
      </c>
      <c r="J3881" s="21" t="n">
        <v>318.28</v>
      </c>
      <c r="K3881" s="21" t="n">
        <v>371.33</v>
      </c>
      <c r="L3881" s="21" t="n">
        <v>424.37</v>
      </c>
      <c r="M3881" s="21" t="n">
        <v>450</v>
      </c>
    </row>
    <row r="3882">
      <c r="A3882" s="9" t="inlineStr">
        <is>
          <t>HAIFENG</t>
        </is>
      </c>
      <c r="B3882" s="9" t="inlineStr">
        <is>
          <t>HAIFENG 06/05/2026</t>
        </is>
      </c>
      <c r="C3882" s="9" t="inlineStr">
        <is>
          <t>2026-05-06</t>
        </is>
      </c>
      <c r="D3882" s="9" t="inlineStr">
        <is>
          <t>58431441010509</t>
        </is>
      </c>
      <c r="E3882" s="9" t="inlineStr">
        <is>
          <t>ANILLO T SILVER ZIRCONIAS</t>
        </is>
      </c>
      <c r="F3882" s="9" t="inlineStr">
        <is>
          <t>AJUSTABLE</t>
        </is>
      </c>
      <c r="G3882" s="9" t="n">
        <v>3</v>
      </c>
      <c r="H3882" s="21" t="n">
        <v>4</v>
      </c>
      <c r="I3882" s="21" t="n">
        <v>84.87</v>
      </c>
      <c r="J3882" s="21" t="n">
        <v>254.62</v>
      </c>
      <c r="K3882" s="21" t="n">
        <v>297.06</v>
      </c>
      <c r="L3882" s="21" t="n">
        <v>339.5</v>
      </c>
      <c r="M3882" s="21" t="n">
        <v>650</v>
      </c>
    </row>
    <row r="3883">
      <c r="A3883" s="9" t="inlineStr">
        <is>
          <t>HAIFENG</t>
        </is>
      </c>
      <c r="B3883" s="9" t="inlineStr">
        <is>
          <t>HAIFENG 06/05/2026</t>
        </is>
      </c>
      <c r="C3883" s="9" t="inlineStr">
        <is>
          <t>2026-05-06</t>
        </is>
      </c>
      <c r="D3883" s="9" t="inlineStr">
        <is>
          <t>59002381085069</t>
        </is>
      </c>
      <c r="E3883" s="9" t="inlineStr">
        <is>
          <t>ANILLO T ZIRCONIAS GOLD</t>
        </is>
      </c>
      <c r="F3883" s="9" t="inlineStr">
        <is>
          <t>AJUSTABLE</t>
        </is>
      </c>
      <c r="G3883" s="9" t="n">
        <v>3</v>
      </c>
      <c r="H3883" s="21" t="n">
        <v>4</v>
      </c>
      <c r="I3883" s="21" t="n">
        <v>84.87</v>
      </c>
      <c r="J3883" s="21" t="n">
        <v>254.62</v>
      </c>
      <c r="K3883" s="21" t="n">
        <v>297.06</v>
      </c>
      <c r="L3883" s="21" t="n">
        <v>339.5</v>
      </c>
      <c r="M3883" s="21" t="n">
        <v>499</v>
      </c>
    </row>
    <row r="3884">
      <c r="A3884" s="9" t="inlineStr">
        <is>
          <t>HAIFENG</t>
        </is>
      </c>
      <c r="B3884" s="9" t="inlineStr">
        <is>
          <t>HAIFENG 06/05/2026</t>
        </is>
      </c>
      <c r="C3884" s="9" t="inlineStr">
        <is>
          <t>2026-05-06</t>
        </is>
      </c>
      <c r="D3884" s="9" t="inlineStr">
        <is>
          <t>15857686786700</t>
        </is>
      </c>
      <c r="E3884" s="9" t="inlineStr">
        <is>
          <t>ANILLO TRES AROS</t>
        </is>
      </c>
      <c r="F3884" s="9" t="inlineStr">
        <is>
          <t>9</t>
        </is>
      </c>
      <c r="G3884" s="9" t="n">
        <v>3</v>
      </c>
      <c r="H3884" s="21" t="n">
        <v>4.7</v>
      </c>
      <c r="I3884" s="21" t="n">
        <v>99.73</v>
      </c>
      <c r="J3884" s="21" t="n">
        <v>299.18</v>
      </c>
      <c r="K3884" s="21" t="n">
        <v>349.05</v>
      </c>
      <c r="L3884" s="21" t="n">
        <v>398.91</v>
      </c>
      <c r="M3884" s="21" t="n">
        <v>650</v>
      </c>
    </row>
    <row r="3885">
      <c r="A3885" s="9" t="inlineStr">
        <is>
          <t>HAIFENG</t>
        </is>
      </c>
      <c r="B3885" s="9" t="inlineStr">
        <is>
          <t>HAIFENG 06/05/2026</t>
        </is>
      </c>
      <c r="C3885" s="9" t="inlineStr">
        <is>
          <t>2026-05-06</t>
        </is>
      </c>
      <c r="D3885" s="9" t="inlineStr">
        <is>
          <t>15857685448972</t>
        </is>
      </c>
      <c r="E3885" s="9" t="inlineStr">
        <is>
          <t>ANILLO TRES AROS</t>
        </is>
      </c>
      <c r="F3885" s="9" t="inlineStr">
        <is>
          <t>8</t>
        </is>
      </c>
      <c r="G3885" s="9" t="n">
        <v>3</v>
      </c>
      <c r="H3885" s="21" t="n">
        <v>4.7</v>
      </c>
      <c r="I3885" s="21" t="n">
        <v>99.73</v>
      </c>
      <c r="J3885" s="21" t="n">
        <v>299.18</v>
      </c>
      <c r="K3885" s="21" t="n">
        <v>349.05</v>
      </c>
      <c r="L3885" s="21" t="n">
        <v>398.91</v>
      </c>
      <c r="M3885" s="21" t="n">
        <v>650</v>
      </c>
    </row>
    <row r="3886">
      <c r="A3886" s="9" t="inlineStr">
        <is>
          <t>HAIFENG</t>
        </is>
      </c>
      <c r="B3886" s="9" t="inlineStr">
        <is>
          <t>HAIFENG 06/05/2026</t>
        </is>
      </c>
      <c r="C3886" s="9" t="inlineStr">
        <is>
          <t>2026-05-06</t>
        </is>
      </c>
      <c r="D3886" s="9" t="inlineStr">
        <is>
          <t>56481488619660</t>
        </is>
      </c>
      <c r="E3886" s="9" t="inlineStr">
        <is>
          <t>ANILLO TRES AROS CON ZIRCONIA</t>
        </is>
      </c>
      <c r="F3886" s="9" t="inlineStr">
        <is>
          <t>8</t>
        </is>
      </c>
      <c r="G3886" s="9" t="n">
        <v>3</v>
      </c>
      <c r="H3886" s="21" t="n">
        <v>10</v>
      </c>
      <c r="I3886" s="21" t="n">
        <v>212.19</v>
      </c>
      <c r="J3886" s="21" t="n">
        <v>636.5599999999999</v>
      </c>
      <c r="K3886" s="21" t="n">
        <v>742.65</v>
      </c>
      <c r="L3886" s="21" t="n">
        <v>848.75</v>
      </c>
      <c r="M3886" s="21" t="n">
        <v>850</v>
      </c>
    </row>
    <row r="3887">
      <c r="A3887" s="9" t="inlineStr">
        <is>
          <t>HAIFENG</t>
        </is>
      </c>
      <c r="B3887" s="9" t="inlineStr">
        <is>
          <t>HAIFENG 06/05/2026</t>
        </is>
      </c>
      <c r="C3887" s="9" t="inlineStr">
        <is>
          <t>2026-05-06</t>
        </is>
      </c>
      <c r="D3887" s="9" t="inlineStr">
        <is>
          <t>60255941038093</t>
        </is>
      </c>
      <c r="E3887" s="9" t="inlineStr">
        <is>
          <t>ARETES BV ROUND ROSEGOLD CON ZIRCONIA</t>
        </is>
      </c>
      <c r="F3887" s="9" t="inlineStr">
        <is>
          <t>Default Title</t>
        </is>
      </c>
      <c r="G3887" s="9" t="n">
        <v>2</v>
      </c>
      <c r="H3887" s="21" t="n">
        <v>7</v>
      </c>
      <c r="I3887" s="21" t="n">
        <v>148.53</v>
      </c>
      <c r="J3887" s="21" t="n">
        <v>445.59</v>
      </c>
      <c r="K3887" s="21" t="n">
        <v>519.86</v>
      </c>
      <c r="L3887" s="21" t="n">
        <v>594.12</v>
      </c>
      <c r="M3887" s="21" t="n">
        <v>576.8</v>
      </c>
    </row>
    <row r="3888">
      <c r="A3888" s="9" t="inlineStr">
        <is>
          <t>HAIFENG</t>
        </is>
      </c>
      <c r="B3888" s="9" t="inlineStr">
        <is>
          <t>HAIFENG 06/05/2026</t>
        </is>
      </c>
      <c r="C3888" s="9" t="inlineStr">
        <is>
          <t>2026-05-06</t>
        </is>
      </c>
      <c r="D3888" s="9" t="inlineStr">
        <is>
          <t>49680571041677</t>
        </is>
      </c>
      <c r="E3888" s="9" t="inlineStr">
        <is>
          <t>ARETES BV ROUND SILVER CON ZIRCONIA</t>
        </is>
      </c>
      <c r="F3888" s="9" t="inlineStr">
        <is>
          <t>Default Title</t>
        </is>
      </c>
      <c r="G3888" s="9" t="n">
        <v>3</v>
      </c>
      <c r="H3888" s="21" t="n">
        <v>7</v>
      </c>
      <c r="I3888" s="21" t="n">
        <v>148.53</v>
      </c>
      <c r="J3888" s="21" t="n">
        <v>445.59</v>
      </c>
      <c r="K3888" s="21" t="n">
        <v>519.86</v>
      </c>
      <c r="L3888" s="21" t="n">
        <v>594.12</v>
      </c>
      <c r="M3888" s="21" t="n">
        <v>576.8</v>
      </c>
    </row>
    <row r="3889">
      <c r="A3889" s="9" t="inlineStr">
        <is>
          <t>HAIFENG</t>
        </is>
      </c>
      <c r="B3889" s="9" t="inlineStr">
        <is>
          <t>HAIFENG 06/05/2026</t>
        </is>
      </c>
      <c r="C3889" s="9" t="inlineStr">
        <is>
          <t>2026-05-06</t>
        </is>
      </c>
      <c r="D3889" s="9" t="inlineStr">
        <is>
          <t>51078752492301</t>
        </is>
      </c>
      <c r="E3889" s="9" t="inlineStr">
        <is>
          <t>ARETES C GOLD</t>
        </is>
      </c>
      <c r="F3889" s="9" t="inlineStr">
        <is>
          <t>Default Title</t>
        </is>
      </c>
      <c r="G3889" s="9" t="n">
        <v>1</v>
      </c>
      <c r="H3889" s="21" t="n">
        <v>5.99</v>
      </c>
      <c r="I3889" s="21" t="n">
        <v>127.1</v>
      </c>
      <c r="J3889" s="21" t="n">
        <v>381.3</v>
      </c>
      <c r="K3889" s="21" t="n">
        <v>444.85</v>
      </c>
      <c r="L3889" s="21" t="n">
        <v>508.4</v>
      </c>
      <c r="M3889" s="21" t="n">
        <v>575</v>
      </c>
    </row>
    <row r="3890">
      <c r="A3890" s="9" t="inlineStr">
        <is>
          <t>HAIFENG</t>
        </is>
      </c>
      <c r="B3890" s="9" t="inlineStr">
        <is>
          <t>HAIFENG 06/05/2026</t>
        </is>
      </c>
      <c r="C3890" s="9" t="inlineStr">
        <is>
          <t>2026-05-06</t>
        </is>
      </c>
      <c r="D3890" s="9" t="inlineStr">
        <is>
          <t>31078752039597</t>
        </is>
      </c>
      <c r="E3890" s="9" t="inlineStr">
        <is>
          <t>ARETES C SILVER ZIRCONIAS</t>
        </is>
      </c>
      <c r="F3890" s="9" t="inlineStr">
        <is>
          <t>Default Title</t>
        </is>
      </c>
      <c r="G3890" s="9" t="n">
        <v>2</v>
      </c>
      <c r="H3890" s="21" t="n">
        <v>5.99</v>
      </c>
      <c r="I3890" s="21" t="n">
        <v>127.1</v>
      </c>
      <c r="J3890" s="21" t="n">
        <v>381.3</v>
      </c>
      <c r="K3890" s="21" t="n">
        <v>444.85</v>
      </c>
      <c r="L3890" s="21" t="n">
        <v>508.4</v>
      </c>
      <c r="M3890" s="21" t="n">
        <v>575</v>
      </c>
    </row>
    <row r="3891">
      <c r="A3891" s="9" t="inlineStr">
        <is>
          <t>HAIFENG</t>
        </is>
      </c>
      <c r="B3891" s="9" t="inlineStr">
        <is>
          <t>HAIFENG 06/05/2026</t>
        </is>
      </c>
      <c r="C3891" s="9" t="inlineStr">
        <is>
          <t>2026-05-06</t>
        </is>
      </c>
      <c r="D3891" s="9" t="inlineStr">
        <is>
          <t>86347032129677</t>
        </is>
      </c>
      <c r="E3891" s="9" t="inlineStr">
        <is>
          <t>ARETES CD BAROQUE GOLD-BLACK</t>
        </is>
      </c>
      <c r="F3891" s="9" t="inlineStr">
        <is>
          <t>Default Title</t>
        </is>
      </c>
      <c r="G3891" s="9" t="n">
        <v>1</v>
      </c>
      <c r="H3891" s="21" t="n">
        <v>6</v>
      </c>
      <c r="I3891" s="21" t="n">
        <v>127.31</v>
      </c>
      <c r="J3891" s="21" t="n">
        <v>381.94</v>
      </c>
      <c r="K3891" s="21" t="n">
        <v>445.59</v>
      </c>
      <c r="L3891" s="21" t="n">
        <v>509.25</v>
      </c>
      <c r="M3891" s="21" t="n">
        <v>495</v>
      </c>
    </row>
    <row r="3892">
      <c r="A3892" s="9" t="inlineStr">
        <is>
          <t>HAIFENG</t>
        </is>
      </c>
      <c r="B3892" s="9" t="inlineStr">
        <is>
          <t>HAIFENG 06/05/2026</t>
        </is>
      </c>
      <c r="C3892" s="9" t="inlineStr">
        <is>
          <t>2026-05-06</t>
        </is>
      </c>
      <c r="D3892" s="9" t="inlineStr">
        <is>
          <t>89246882037293</t>
        </is>
      </c>
      <c r="E3892" s="9" t="inlineStr">
        <is>
          <t>ARETES CD HALF PEARL</t>
        </is>
      </c>
      <c r="F3892" s="9" t="inlineStr">
        <is>
          <t>Default Title</t>
        </is>
      </c>
      <c r="G3892" s="9" t="n">
        <v>2</v>
      </c>
      <c r="H3892" s="21" t="n"/>
      <c r="I3892" s="21" t="n">
        <v>0</v>
      </c>
      <c r="J3892" s="21" t="n">
        <v>0</v>
      </c>
      <c r="K3892" s="21" t="n">
        <v>0</v>
      </c>
      <c r="L3892" s="21" t="n">
        <v>0</v>
      </c>
      <c r="M3892" s="21" t="n">
        <v>400</v>
      </c>
    </row>
    <row r="3893">
      <c r="A3893" s="9" t="inlineStr">
        <is>
          <t>HAIFENG</t>
        </is>
      </c>
      <c r="B3893" s="9" t="inlineStr">
        <is>
          <t>HAIFENG 06/05/2026</t>
        </is>
      </c>
      <c r="C3893" s="9" t="inlineStr">
        <is>
          <t>2026-05-06</t>
        </is>
      </c>
      <c r="D3893" s="9" t="inlineStr">
        <is>
          <t>66075801971917</t>
        </is>
      </c>
      <c r="E3893" s="9" t="inlineStr">
        <is>
          <t>ARETES CD PETIT GOLD</t>
        </is>
      </c>
      <c r="F3893" s="9" t="inlineStr">
        <is>
          <t>Default Title</t>
        </is>
      </c>
      <c r="G3893" s="9" t="n">
        <v>3</v>
      </c>
      <c r="H3893" s="21" t="n">
        <v>3.8</v>
      </c>
      <c r="I3893" s="21" t="n">
        <v>80.63</v>
      </c>
      <c r="J3893" s="21" t="n">
        <v>241.89</v>
      </c>
      <c r="K3893" s="21" t="n">
        <v>282.21</v>
      </c>
      <c r="L3893" s="21" t="n">
        <v>322.52</v>
      </c>
      <c r="M3893" s="21" t="n">
        <v>350</v>
      </c>
    </row>
    <row r="3894">
      <c r="A3894" s="9" t="inlineStr">
        <is>
          <t>HAIFENG</t>
        </is>
      </c>
      <c r="B3894" s="9" t="inlineStr">
        <is>
          <t>HAIFENG 06/05/2026</t>
        </is>
      </c>
      <c r="C3894" s="9" t="inlineStr">
        <is>
          <t>2026-05-06</t>
        </is>
      </c>
      <c r="D3894" s="9" t="inlineStr">
        <is>
          <t>66075802035149</t>
        </is>
      </c>
      <c r="E3894" s="9" t="inlineStr">
        <is>
          <t>ARETES CLAIR D LUNE GOLD CD</t>
        </is>
      </c>
      <c r="F3894" s="9" t="inlineStr">
        <is>
          <t>Default Title</t>
        </is>
      </c>
      <c r="G3894" s="9" t="n">
        <v>3</v>
      </c>
      <c r="H3894" s="21" t="n">
        <v>5</v>
      </c>
      <c r="I3894" s="21" t="n">
        <v>106.09</v>
      </c>
      <c r="J3894" s="21" t="n">
        <v>318.28</v>
      </c>
      <c r="K3894" s="21" t="n">
        <v>371.33</v>
      </c>
      <c r="L3894" s="21" t="n">
        <v>424.37</v>
      </c>
      <c r="M3894" s="21" t="n">
        <v>450</v>
      </c>
    </row>
    <row r="3895">
      <c r="A3895" s="9" t="inlineStr">
        <is>
          <t>HAIFENG</t>
        </is>
      </c>
      <c r="B3895" s="9" t="inlineStr">
        <is>
          <t>HAIFENG 06/05/2026</t>
        </is>
      </c>
      <c r="C3895" s="9" t="inlineStr">
        <is>
          <t>2026-05-06</t>
        </is>
      </c>
      <c r="D3895" s="9" t="inlineStr">
        <is>
          <t>64085721001581</t>
        </is>
      </c>
      <c r="E3895" s="9" t="inlineStr">
        <is>
          <t>ARETES D’AMOUR XS GOLD C</t>
        </is>
      </c>
      <c r="F3895" s="9" t="inlineStr">
        <is>
          <t>Default Title</t>
        </is>
      </c>
      <c r="G3895" s="9" t="n">
        <v>2</v>
      </c>
      <c r="H3895" s="21" t="n">
        <v>5.5</v>
      </c>
      <c r="I3895" s="21" t="n">
        <v>116.7</v>
      </c>
      <c r="J3895" s="21" t="n">
        <v>350.11</v>
      </c>
      <c r="K3895" s="21" t="n">
        <v>408.46</v>
      </c>
      <c r="L3895" s="21" t="n">
        <v>466.81</v>
      </c>
      <c r="M3895" s="21" t="n">
        <v>500</v>
      </c>
    </row>
    <row r="3896">
      <c r="A3896" s="9" t="inlineStr">
        <is>
          <t>HAIFENG</t>
        </is>
      </c>
      <c r="B3896" s="9" t="inlineStr">
        <is>
          <t>HAIFENG 06/05/2026</t>
        </is>
      </c>
      <c r="C3896" s="9" t="inlineStr">
        <is>
          <t>2026-05-06</t>
        </is>
      </c>
      <c r="D3896" s="9" t="inlineStr">
        <is>
          <t>12314362492941</t>
        </is>
      </c>
      <c r="E3896" s="9" t="inlineStr">
        <is>
          <t>ARETES F GOLD</t>
        </is>
      </c>
      <c r="F3896" s="9" t="inlineStr">
        <is>
          <t>Default Title</t>
        </is>
      </c>
      <c r="G3896" s="9" t="n">
        <v>4</v>
      </c>
      <c r="H3896" s="21" t="n">
        <v>6</v>
      </c>
      <c r="I3896" s="21" t="n">
        <v>127.31</v>
      </c>
      <c r="J3896" s="21" t="n">
        <v>381.94</v>
      </c>
      <c r="K3896" s="21" t="n">
        <v>445.59</v>
      </c>
      <c r="L3896" s="21" t="n">
        <v>509.25</v>
      </c>
      <c r="M3896" s="21" t="n">
        <v>499</v>
      </c>
    </row>
    <row r="3897">
      <c r="A3897" s="9" t="inlineStr">
        <is>
          <t>HAIFENG</t>
        </is>
      </c>
      <c r="B3897" s="9" t="inlineStr">
        <is>
          <t>HAIFENG 06/05/2026</t>
        </is>
      </c>
      <c r="C3897" s="9" t="inlineStr">
        <is>
          <t>2026-05-06</t>
        </is>
      </c>
      <c r="D3897" s="9" t="inlineStr">
        <is>
          <t>15104862702637</t>
        </is>
      </c>
      <c r="E3897" s="9" t="inlineStr">
        <is>
          <t>ARETES H GOLD</t>
        </is>
      </c>
      <c r="F3897" s="9" t="inlineStr">
        <is>
          <t>Default Title</t>
        </is>
      </c>
      <c r="G3897" s="9" t="n">
        <v>3</v>
      </c>
      <c r="H3897" s="21" t="n">
        <v>8.9</v>
      </c>
      <c r="I3897" s="21" t="n">
        <v>188.85</v>
      </c>
      <c r="J3897" s="21" t="n">
        <v>566.54</v>
      </c>
      <c r="K3897" s="21" t="n">
        <v>660.96</v>
      </c>
      <c r="L3897" s="21" t="n">
        <v>755.38</v>
      </c>
      <c r="M3897" s="21" t="n">
        <v>780</v>
      </c>
    </row>
    <row r="3898">
      <c r="A3898" s="9" t="inlineStr">
        <is>
          <t>HAIFENG</t>
        </is>
      </c>
      <c r="B3898" s="9" t="inlineStr">
        <is>
          <t>HAIFENG 06/05/2026</t>
        </is>
      </c>
      <c r="C3898" s="9" t="inlineStr">
        <is>
          <t>2026-05-06</t>
        </is>
      </c>
      <c r="D3898" s="9" t="inlineStr">
        <is>
          <t>29736673965485</t>
        </is>
      </c>
      <c r="E3898" s="9" t="inlineStr">
        <is>
          <t>ARETES KNOT SMALL GOLD</t>
        </is>
      </c>
      <c r="F3898" s="9" t="inlineStr">
        <is>
          <t>Default Title</t>
        </is>
      </c>
      <c r="G3898" s="9" t="n">
        <v>2</v>
      </c>
      <c r="H3898" s="21" t="n">
        <v>6</v>
      </c>
      <c r="I3898" s="21" t="n">
        <v>127.31</v>
      </c>
      <c r="J3898" s="21" t="n">
        <v>381.94</v>
      </c>
      <c r="K3898" s="21" t="n">
        <v>445.59</v>
      </c>
      <c r="L3898" s="21" t="n">
        <v>509.25</v>
      </c>
      <c r="M3898" s="21" t="n">
        <v>599</v>
      </c>
    </row>
    <row r="3899">
      <c r="A3899" s="9" t="inlineStr">
        <is>
          <t>HAIFENG</t>
        </is>
      </c>
      <c r="B3899" s="9" t="inlineStr">
        <is>
          <t>HAIFENG 06/05/2026</t>
        </is>
      </c>
      <c r="C3899" s="9" t="inlineStr">
        <is>
          <t>2026-05-06</t>
        </is>
      </c>
      <c r="D3899" s="9" t="inlineStr">
        <is>
          <t>67201531685421</t>
        </is>
      </c>
      <c r="E3899" s="9" t="inlineStr">
        <is>
          <t>ARETES LOGO H GOLD</t>
        </is>
      </c>
      <c r="F3899" s="9" t="inlineStr">
        <is>
          <t>Default Title</t>
        </is>
      </c>
      <c r="G3899" s="9" t="n">
        <v>2</v>
      </c>
      <c r="H3899" s="21" t="n">
        <v>5</v>
      </c>
      <c r="I3899" s="21" t="n">
        <v>106.09</v>
      </c>
      <c r="J3899" s="21" t="n">
        <v>318.28</v>
      </c>
      <c r="K3899" s="21" t="n">
        <v>371.33</v>
      </c>
      <c r="L3899" s="21" t="n">
        <v>424.37</v>
      </c>
      <c r="M3899" s="21" t="n">
        <v>480</v>
      </c>
    </row>
    <row r="3900">
      <c r="A3900" s="9" t="inlineStr">
        <is>
          <t>HAIFENG</t>
        </is>
      </c>
      <c r="B3900" s="9" t="inlineStr">
        <is>
          <t>HAIFENG 06/05/2026</t>
        </is>
      </c>
      <c r="C3900" s="9" t="inlineStr">
        <is>
          <t>2026-05-06</t>
        </is>
      </c>
      <c r="D3900" s="9" t="inlineStr">
        <is>
          <t>64085741543021</t>
        </is>
      </c>
      <c r="E3900" s="9" t="inlineStr">
        <is>
          <t>ARETES LOVE CON MICRO ZIRCONIAS GOLD C</t>
        </is>
      </c>
      <c r="F3900" s="9" t="inlineStr">
        <is>
          <t>Default Title</t>
        </is>
      </c>
      <c r="G3900" s="9" t="n">
        <v>2</v>
      </c>
      <c r="H3900" s="21" t="n">
        <v>8</v>
      </c>
      <c r="I3900" s="21" t="n">
        <v>169.75</v>
      </c>
      <c r="J3900" s="21" t="n">
        <v>509.25</v>
      </c>
      <c r="K3900" s="21" t="n">
        <v>594.12</v>
      </c>
      <c r="L3900" s="21" t="n">
        <v>679</v>
      </c>
      <c r="M3900" s="21" t="n">
        <v>742</v>
      </c>
    </row>
    <row r="3901">
      <c r="A3901" s="9" t="inlineStr">
        <is>
          <t>HAIFENG</t>
        </is>
      </c>
      <c r="B3901" s="9" t="inlineStr">
        <is>
          <t>HAIFENG 06/05/2026</t>
        </is>
      </c>
      <c r="C3901" s="9" t="inlineStr">
        <is>
          <t>2026-05-06</t>
        </is>
      </c>
      <c r="D3901" s="9" t="inlineStr">
        <is>
          <t>15104862489069</t>
        </is>
      </c>
      <c r="E3901" s="9" t="inlineStr">
        <is>
          <t>ARETES LV FLOWERGRAM GOLD</t>
        </is>
      </c>
      <c r="F3901" s="9" t="inlineStr">
        <is>
          <t>Default Title</t>
        </is>
      </c>
      <c r="G3901" s="9" t="n">
        <v>1</v>
      </c>
      <c r="H3901" s="21" t="n">
        <v>8.99</v>
      </c>
      <c r="I3901" s="21" t="n">
        <v>190.76</v>
      </c>
      <c r="J3901" s="21" t="n">
        <v>572.27</v>
      </c>
      <c r="K3901" s="21" t="n">
        <v>667.64</v>
      </c>
      <c r="L3901" s="21" t="n">
        <v>763.02</v>
      </c>
      <c r="M3901" s="21" t="n">
        <v>820</v>
      </c>
    </row>
    <row r="3902">
      <c r="A3902" s="9" t="inlineStr">
        <is>
          <t>HAIFENG</t>
        </is>
      </c>
      <c r="B3902" s="9" t="inlineStr">
        <is>
          <t>HAIFENG 06/05/2026</t>
        </is>
      </c>
      <c r="C3902" s="9" t="inlineStr">
        <is>
          <t>2026-05-06</t>
        </is>
      </c>
      <c r="D3902" s="9" t="inlineStr">
        <is>
          <t>15104862595853</t>
        </is>
      </c>
      <c r="E3902" s="9" t="inlineStr">
        <is>
          <t>ARETES LV LOGO PEARL</t>
        </is>
      </c>
      <c r="F3902" s="9" t="inlineStr">
        <is>
          <t>Default Title</t>
        </is>
      </c>
      <c r="G3902" s="9" t="n">
        <v>2</v>
      </c>
      <c r="H3902" s="21" t="n">
        <v>8.99</v>
      </c>
      <c r="I3902" s="21" t="n">
        <v>190.76</v>
      </c>
      <c r="J3902" s="21" t="n">
        <v>572.27</v>
      </c>
      <c r="K3902" s="21" t="n">
        <v>667.64</v>
      </c>
      <c r="L3902" s="21" t="n">
        <v>763.02</v>
      </c>
      <c r="M3902" s="21" t="n">
        <v>750</v>
      </c>
    </row>
    <row r="3903">
      <c r="A3903" s="9" t="inlineStr">
        <is>
          <t>HAIFENG</t>
        </is>
      </c>
      <c r="B3903" s="9" t="inlineStr">
        <is>
          <t>HAIFENG 06/05/2026</t>
        </is>
      </c>
      <c r="C3903" s="9" t="inlineStr">
        <is>
          <t>2026-05-06</t>
        </is>
      </c>
      <c r="D3903" s="9" t="inlineStr">
        <is>
          <t>665bb75e1389b</t>
        </is>
      </c>
      <c r="E3903" s="9" t="inlineStr">
        <is>
          <t>ARETES SCREW LOVE GOLD</t>
        </is>
      </c>
      <c r="F3903" s="9" t="inlineStr">
        <is>
          <t>MEDIUM</t>
        </is>
      </c>
      <c r="G3903" s="9" t="n">
        <v>2</v>
      </c>
      <c r="H3903" s="21" t="n">
        <v>2.99</v>
      </c>
      <c r="I3903" s="21" t="n">
        <v>63.44</v>
      </c>
      <c r="J3903" s="21" t="n">
        <v>190.33</v>
      </c>
      <c r="K3903" s="21" t="n">
        <v>222.05</v>
      </c>
      <c r="L3903" s="21" t="n">
        <v>253.77</v>
      </c>
      <c r="M3903" s="21" t="n">
        <v>550</v>
      </c>
    </row>
    <row r="3904">
      <c r="A3904" s="9" t="inlineStr">
        <is>
          <t>HAIFENG</t>
        </is>
      </c>
      <c r="B3904" s="9" t="inlineStr">
        <is>
          <t>HAIFENG 06/05/2026</t>
        </is>
      </c>
      <c r="C3904" s="9" t="inlineStr">
        <is>
          <t>2026-05-06</t>
        </is>
      </c>
      <c r="D3904" s="9" t="inlineStr">
        <is>
          <t>45043621046701</t>
        </is>
      </c>
      <c r="E3904" s="9" t="inlineStr">
        <is>
          <t>ARETES T GOLD CON ZIRCONIA</t>
        </is>
      </c>
      <c r="F3904" s="9" t="inlineStr">
        <is>
          <t>Default Title</t>
        </is>
      </c>
      <c r="G3904" s="9" t="n">
        <v>8</v>
      </c>
      <c r="H3904" s="21" t="n">
        <v>7</v>
      </c>
      <c r="I3904" s="21" t="n">
        <v>148.53</v>
      </c>
      <c r="J3904" s="21" t="n">
        <v>445.59</v>
      </c>
      <c r="K3904" s="21" t="n">
        <v>519.86</v>
      </c>
      <c r="L3904" s="21" t="n">
        <v>594.12</v>
      </c>
      <c r="M3904" s="21" t="n">
        <v>749</v>
      </c>
    </row>
    <row r="3905">
      <c r="A3905" s="9" t="inlineStr">
        <is>
          <t>HAIFENG</t>
        </is>
      </c>
      <c r="B3905" s="9" t="inlineStr">
        <is>
          <t>HAIFENG 06/05/2026</t>
        </is>
      </c>
      <c r="C3905" s="9" t="inlineStr">
        <is>
          <t>2026-05-06</t>
        </is>
      </c>
      <c r="D3905" s="9" t="inlineStr">
        <is>
          <t>46636991009581</t>
        </is>
      </c>
      <c r="E3905" s="9" t="inlineStr">
        <is>
          <t>ARETES T SILVER CON ZIRCONIA</t>
        </is>
      </c>
      <c r="F3905" s="9" t="inlineStr">
        <is>
          <t>Default Title</t>
        </is>
      </c>
      <c r="G3905" s="9" t="n">
        <v>4</v>
      </c>
      <c r="H3905" s="21" t="n">
        <v>7</v>
      </c>
      <c r="I3905" s="21" t="n">
        <v>148.53</v>
      </c>
      <c r="J3905" s="21" t="n">
        <v>445.59</v>
      </c>
      <c r="K3905" s="21" t="n">
        <v>519.86</v>
      </c>
      <c r="L3905" s="21" t="n">
        <v>594.12</v>
      </c>
      <c r="M3905" s="21" t="n">
        <v>749</v>
      </c>
    </row>
    <row r="3906">
      <c r="A3906" s="9" t="inlineStr">
        <is>
          <t>HAIFENG</t>
        </is>
      </c>
      <c r="B3906" s="9" t="inlineStr">
        <is>
          <t>HAIFENG 06/05/2026</t>
        </is>
      </c>
      <c r="C3906" s="9" t="inlineStr">
        <is>
          <t>2026-05-06</t>
        </is>
      </c>
      <c r="D3906" s="9" t="inlineStr">
        <is>
          <t>89790741012877</t>
        </is>
      </c>
      <c r="E3906" s="9" t="inlineStr">
        <is>
          <t>ARETES T SILVER LISO</t>
        </is>
      </c>
      <c r="F3906" s="9" t="inlineStr">
        <is>
          <t>Default Title</t>
        </is>
      </c>
      <c r="G3906" s="9" t="n">
        <v>3</v>
      </c>
      <c r="H3906" s="21" t="n">
        <v>5</v>
      </c>
      <c r="I3906" s="21" t="n">
        <v>106.09</v>
      </c>
      <c r="J3906" s="21" t="n">
        <v>318.28</v>
      </c>
      <c r="K3906" s="21" t="n">
        <v>371.33</v>
      </c>
      <c r="L3906" s="21" t="n">
        <v>424.37</v>
      </c>
      <c r="M3906" s="21" t="n">
        <v>580</v>
      </c>
    </row>
    <row r="3907">
      <c r="A3907" s="9" t="inlineStr">
        <is>
          <t>HAIFENG</t>
        </is>
      </c>
      <c r="B3907" s="9" t="inlineStr">
        <is>
          <t>HAIFENG 06/05/2026</t>
        </is>
      </c>
      <c r="C3907" s="9" t="inlineStr">
        <is>
          <t>2026-05-06</t>
        </is>
      </c>
      <c r="D3907" s="9" t="inlineStr">
        <is>
          <t>29736673893165</t>
        </is>
      </c>
      <c r="E3907" s="9" t="inlineStr">
        <is>
          <t>ARETES T SQUARE SIXTEEN STONE SILVER</t>
        </is>
      </c>
      <c r="F3907" s="9" t="inlineStr">
        <is>
          <t>Default Title</t>
        </is>
      </c>
      <c r="G3907" s="9" t="n">
        <v>2</v>
      </c>
      <c r="H3907" s="21" t="n">
        <v>6.5</v>
      </c>
      <c r="I3907" s="21" t="n">
        <v>137.92</v>
      </c>
      <c r="J3907" s="21" t="n">
        <v>413.76</v>
      </c>
      <c r="K3907" s="21" t="n">
        <v>482.72</v>
      </c>
      <c r="L3907" s="21" t="n">
        <v>551.6799999999999</v>
      </c>
      <c r="M3907" s="21" t="n">
        <v>599</v>
      </c>
    </row>
    <row r="3908">
      <c r="A3908" s="9" t="inlineStr">
        <is>
          <t>HAIFENG</t>
        </is>
      </c>
      <c r="B3908" s="9" t="inlineStr">
        <is>
          <t>HAIFENG 06/05/2026</t>
        </is>
      </c>
      <c r="C3908" s="9" t="inlineStr">
        <is>
          <t>2026-05-06</t>
        </is>
      </c>
      <c r="D3908" s="9" t="inlineStr">
        <is>
          <t>665bb779a07ff</t>
        </is>
      </c>
      <c r="E3908" s="9" t="inlineStr">
        <is>
          <t>ARETES TREBOL ROSE GOLD WHITE</t>
        </is>
      </c>
      <c r="F3908" s="9" t="inlineStr">
        <is>
          <t>REGULAR</t>
        </is>
      </c>
      <c r="G3908" s="9" t="n">
        <v>2</v>
      </c>
      <c r="H3908" s="21" t="n">
        <v>8</v>
      </c>
      <c r="I3908" s="21" t="n">
        <v>169.75</v>
      </c>
      <c r="J3908" s="21" t="n">
        <v>509.25</v>
      </c>
      <c r="K3908" s="21" t="n">
        <v>594.12</v>
      </c>
      <c r="L3908" s="21" t="n">
        <v>679</v>
      </c>
      <c r="M3908" s="21" t="n">
        <v>850</v>
      </c>
    </row>
    <row r="3909">
      <c r="A3909" s="9" t="inlineStr">
        <is>
          <t>HAIFENG</t>
        </is>
      </c>
      <c r="B3909" s="9" t="inlineStr">
        <is>
          <t>HAIFENG 06/05/2026</t>
        </is>
      </c>
      <c r="C3909" s="9" t="inlineStr">
        <is>
          <t>2026-05-06</t>
        </is>
      </c>
      <c r="D3909" s="9" t="inlineStr">
        <is>
          <t>6617849b98dff</t>
        </is>
      </c>
      <c r="E3909" s="9" t="inlineStr">
        <is>
          <t>ARETES TREBOL SILVER</t>
        </is>
      </c>
      <c r="F3909" s="9" t="inlineStr">
        <is>
          <t>Default Title</t>
        </is>
      </c>
      <c r="G3909" s="9" t="n">
        <v>2</v>
      </c>
      <c r="H3909" s="21" t="n">
        <v>8</v>
      </c>
      <c r="I3909" s="21" t="n">
        <v>169.75</v>
      </c>
      <c r="J3909" s="21" t="n">
        <v>509.25</v>
      </c>
      <c r="K3909" s="21" t="n">
        <v>594.12</v>
      </c>
      <c r="L3909" s="21" t="n">
        <v>679</v>
      </c>
      <c r="M3909" s="21" t="n">
        <v>850</v>
      </c>
    </row>
    <row r="3910">
      <c r="A3910" s="9" t="inlineStr">
        <is>
          <t>HAIFENG</t>
        </is>
      </c>
      <c r="B3910" s="9" t="inlineStr">
        <is>
          <t>HAIFENG 06/05/2026</t>
        </is>
      </c>
      <c r="C3910" s="9" t="inlineStr">
        <is>
          <t>2026-05-06</t>
        </is>
      </c>
      <c r="D3910" s="9" t="inlineStr">
        <is>
          <t>665bb7808142d</t>
        </is>
      </c>
      <c r="E3910" s="9" t="inlineStr">
        <is>
          <t>ARETES TRES AROS</t>
        </is>
      </c>
      <c r="F3910" s="9" t="inlineStr">
        <is>
          <t>Default Title</t>
        </is>
      </c>
      <c r="G3910" s="9" t="n">
        <v>6</v>
      </c>
      <c r="H3910" s="21" t="n">
        <v>7.9</v>
      </c>
      <c r="I3910" s="21" t="n">
        <v>167.63</v>
      </c>
      <c r="J3910" s="21" t="n">
        <v>502.88</v>
      </c>
      <c r="K3910" s="21" t="n">
        <v>586.7</v>
      </c>
      <c r="L3910" s="21" t="n">
        <v>670.51</v>
      </c>
      <c r="M3910" s="21" t="n">
        <v>651</v>
      </c>
    </row>
    <row r="3911">
      <c r="A3911" s="9" t="inlineStr">
        <is>
          <t>HAIFENG</t>
        </is>
      </c>
      <c r="B3911" s="9" t="inlineStr">
        <is>
          <t>HAIFENG 06/05/2026</t>
        </is>
      </c>
      <c r="C3911" s="9" t="inlineStr">
        <is>
          <t>2026-05-06</t>
        </is>
      </c>
      <c r="D3911" s="9" t="inlineStr">
        <is>
          <t>661784a18007c</t>
        </is>
      </c>
      <c r="E3911" s="9" t="inlineStr">
        <is>
          <t>ARETES TRÉBOL GOLD-GREEN</t>
        </is>
      </c>
      <c r="F3911" s="9" t="inlineStr">
        <is>
          <t>HIGH QUALITY</t>
        </is>
      </c>
      <c r="G3911" s="9" t="n">
        <v>3</v>
      </c>
      <c r="H3911" s="21" t="n">
        <v>8</v>
      </c>
      <c r="I3911" s="21" t="n">
        <v>169.75</v>
      </c>
      <c r="J3911" s="21" t="n">
        <v>509.25</v>
      </c>
      <c r="K3911" s="21" t="n">
        <v>594.12</v>
      </c>
      <c r="L3911" s="21" t="n">
        <v>679</v>
      </c>
      <c r="M3911" s="21" t="n">
        <v>850</v>
      </c>
    </row>
    <row r="3912">
      <c r="A3912" s="9" t="inlineStr">
        <is>
          <t>HAIFENG</t>
        </is>
      </c>
      <c r="B3912" s="9" t="inlineStr">
        <is>
          <t>HAIFENG 06/05/2026</t>
        </is>
      </c>
      <c r="C3912" s="9" t="inlineStr">
        <is>
          <t>2026-05-06</t>
        </is>
      </c>
      <c r="D3912" s="9" t="inlineStr">
        <is>
          <t>665bb919e080e</t>
        </is>
      </c>
      <c r="E3912" s="9" t="inlineStr">
        <is>
          <t>BRAZALETE CLASH GOLD</t>
        </is>
      </c>
      <c r="F3912" s="9" t="inlineStr">
        <is>
          <t>Default Title</t>
        </is>
      </c>
      <c r="G3912" s="9" t="n">
        <v>3</v>
      </c>
      <c r="H3912" s="21" t="n">
        <v>22</v>
      </c>
      <c r="I3912" s="21" t="n">
        <v>466.81</v>
      </c>
      <c r="J3912" s="21" t="n">
        <v>1400.43</v>
      </c>
      <c r="K3912" s="21" t="n">
        <v>1633.84</v>
      </c>
      <c r="L3912" s="21" t="n">
        <v>1867.24</v>
      </c>
      <c r="M3912" s="21" t="n">
        <v>1850</v>
      </c>
    </row>
    <row r="3913">
      <c r="A3913" s="9" t="inlineStr">
        <is>
          <t>HAIFENG</t>
        </is>
      </c>
      <c r="B3913" s="9" t="inlineStr">
        <is>
          <t>HAIFENG 06/05/2026</t>
        </is>
      </c>
      <c r="C3913" s="9" t="inlineStr">
        <is>
          <t>2026-05-06</t>
        </is>
      </c>
      <c r="D3913" s="9" t="inlineStr">
        <is>
          <t>86347032026285</t>
        </is>
      </c>
      <c r="E3913" s="9" t="inlineStr">
        <is>
          <t>BRAZALETE H KELLY SILVER ZIRCONIAS</t>
        </is>
      </c>
      <c r="F3913" s="9" t="inlineStr">
        <is>
          <t>Default Title</t>
        </is>
      </c>
      <c r="G3913" s="9" t="n">
        <v>2</v>
      </c>
      <c r="H3913" s="21" t="n">
        <v>10</v>
      </c>
      <c r="I3913" s="21" t="n">
        <v>212.19</v>
      </c>
      <c r="J3913" s="21" t="n">
        <v>636.5599999999999</v>
      </c>
      <c r="K3913" s="21" t="n">
        <v>742.65</v>
      </c>
      <c r="L3913" s="21" t="n">
        <v>848.75</v>
      </c>
      <c r="M3913" s="21" t="n">
        <v>906.4</v>
      </c>
    </row>
    <row r="3914">
      <c r="A3914" s="9" t="inlineStr">
        <is>
          <t>HAIFENG</t>
        </is>
      </c>
      <c r="B3914" s="9" t="inlineStr">
        <is>
          <t>HAIFENG 06/05/2026</t>
        </is>
      </c>
      <c r="C3914" s="9" t="inlineStr">
        <is>
          <t>2026-05-06</t>
        </is>
      </c>
      <c r="D3914" s="9" t="inlineStr">
        <is>
          <t>67201531837869</t>
        </is>
      </c>
      <c r="E3914" s="9" t="inlineStr">
        <is>
          <t>BRAZALETE KELLY CLIC H ROSE GOLD</t>
        </is>
      </c>
      <c r="F3914" s="9" t="inlineStr">
        <is>
          <t>HIGH QUALITY</t>
        </is>
      </c>
      <c r="G3914" s="9" t="n">
        <v>5</v>
      </c>
      <c r="H3914" s="21" t="n">
        <v>10</v>
      </c>
      <c r="I3914" s="21" t="n">
        <v>212.19</v>
      </c>
      <c r="J3914" s="21" t="n">
        <v>636.5599999999999</v>
      </c>
      <c r="K3914" s="21" t="n">
        <v>742.65</v>
      </c>
      <c r="L3914" s="21" t="n">
        <v>848.75</v>
      </c>
      <c r="M3914" s="21" t="n">
        <v>824</v>
      </c>
    </row>
    <row r="3915">
      <c r="A3915" s="9" t="inlineStr">
        <is>
          <t>HAIFENG</t>
        </is>
      </c>
      <c r="B3915" s="9" t="inlineStr">
        <is>
          <t>HAIFENG 06/05/2026</t>
        </is>
      </c>
      <c r="C3915" s="9" t="inlineStr">
        <is>
          <t>2026-05-06</t>
        </is>
      </c>
      <c r="D3915" s="9" t="inlineStr">
        <is>
          <t>17964141062349</t>
        </is>
      </c>
      <c r="E3915" s="9" t="inlineStr">
        <is>
          <t>BRAZALETE LV TAILOR SOO</t>
        </is>
      </c>
      <c r="F3915" s="9" t="inlineStr">
        <is>
          <t>Default Title</t>
        </is>
      </c>
      <c r="G3915" s="9" t="n">
        <v>2</v>
      </c>
      <c r="H3915" s="21" t="n">
        <v>8</v>
      </c>
      <c r="I3915" s="21" t="n">
        <v>169.75</v>
      </c>
      <c r="J3915" s="21" t="n">
        <v>509.25</v>
      </c>
      <c r="K3915" s="21" t="n">
        <v>594.12</v>
      </c>
      <c r="L3915" s="21" t="n">
        <v>679</v>
      </c>
      <c r="M3915" s="21" t="n">
        <v>0</v>
      </c>
    </row>
    <row r="3916">
      <c r="A3916" s="9" t="inlineStr">
        <is>
          <t>HAIFENG</t>
        </is>
      </c>
      <c r="B3916" s="9" t="inlineStr">
        <is>
          <t>HAIFENG 06/05/2026</t>
        </is>
      </c>
      <c r="C3916" s="9" t="inlineStr">
        <is>
          <t>2026-05-06</t>
        </is>
      </c>
      <c r="D3916" s="9" t="inlineStr">
        <is>
          <t>40154172105165</t>
        </is>
      </c>
      <c r="E3916" s="9" t="inlineStr">
        <is>
          <t>BRAZALETE T ESLABONES PEARL</t>
        </is>
      </c>
      <c r="F3916" s="9" t="inlineStr">
        <is>
          <t>Default Title</t>
        </is>
      </c>
      <c r="G3916" s="9" t="n">
        <v>2</v>
      </c>
      <c r="H3916" s="21" t="n">
        <v>10</v>
      </c>
      <c r="I3916" s="21" t="n">
        <v>212.19</v>
      </c>
      <c r="J3916" s="21" t="n">
        <v>636.5599999999999</v>
      </c>
      <c r="K3916" s="21" t="n">
        <v>742.65</v>
      </c>
      <c r="L3916" s="21" t="n">
        <v>848.75</v>
      </c>
      <c r="M3916" s="21" t="n">
        <v>850</v>
      </c>
    </row>
    <row r="3917">
      <c r="A3917" s="9" t="inlineStr">
        <is>
          <t>HAIFENG</t>
        </is>
      </c>
      <c r="B3917" s="9" t="inlineStr">
        <is>
          <t>HAIFENG 06/05/2026</t>
        </is>
      </c>
      <c r="C3917" s="9" t="inlineStr">
        <is>
          <t>2026-05-06</t>
        </is>
      </c>
      <c r="D3917" s="9" t="inlineStr">
        <is>
          <t>40154171379661</t>
        </is>
      </c>
      <c r="E3917" s="9" t="inlineStr">
        <is>
          <t>BRAZALETE T MULTIPLES PLACAS</t>
        </is>
      </c>
      <c r="F3917" s="9" t="inlineStr">
        <is>
          <t>Default Title</t>
        </is>
      </c>
      <c r="G3917" s="9" t="n">
        <v>8</v>
      </c>
      <c r="H3917" s="21" t="n">
        <v>12</v>
      </c>
      <c r="I3917" s="21" t="n">
        <v>254.62</v>
      </c>
      <c r="J3917" s="21" t="n">
        <v>763.87</v>
      </c>
      <c r="K3917" s="21" t="n">
        <v>891.1799999999999</v>
      </c>
      <c r="L3917" s="21" t="n">
        <v>1018.49</v>
      </c>
      <c r="M3917" s="21" t="n">
        <v>999</v>
      </c>
    </row>
    <row r="3918">
      <c r="A3918" s="9" t="inlineStr">
        <is>
          <t>HAIFENG</t>
        </is>
      </c>
      <c r="B3918" s="9" t="inlineStr">
        <is>
          <t>HAIFENG 06/05/2026</t>
        </is>
      </c>
      <c r="C3918" s="9" t="inlineStr">
        <is>
          <t>2026-05-06</t>
        </is>
      </c>
      <c r="D3918" s="9" t="inlineStr">
        <is>
          <t>86347033456237</t>
        </is>
      </c>
      <c r="E3918" s="9" t="inlineStr">
        <is>
          <t>BRAZALETE TITAN GOLD ZIRCONIAS</t>
        </is>
      </c>
      <c r="F3918" s="9" t="inlineStr">
        <is>
          <t>Default Title</t>
        </is>
      </c>
      <c r="G3918" s="9" t="n">
        <v>2</v>
      </c>
      <c r="H3918" s="21" t="n">
        <v>10</v>
      </c>
      <c r="I3918" s="21" t="n">
        <v>212.19</v>
      </c>
      <c r="J3918" s="21" t="n">
        <v>636.5599999999999</v>
      </c>
      <c r="K3918" s="21" t="n">
        <v>742.65</v>
      </c>
      <c r="L3918" s="21" t="n">
        <v>848.75</v>
      </c>
      <c r="M3918" s="21" t="n">
        <v>824</v>
      </c>
    </row>
    <row r="3919">
      <c r="A3919" s="9" t="inlineStr">
        <is>
          <t>HAIFENG</t>
        </is>
      </c>
      <c r="B3919" s="9" t="inlineStr">
        <is>
          <t>HAIFENG 06/05/2026</t>
        </is>
      </c>
      <c r="C3919" s="9" t="inlineStr">
        <is>
          <t>2026-05-06</t>
        </is>
      </c>
      <c r="D3919" s="9" t="inlineStr">
        <is>
          <t>63e0bdd7637c5</t>
        </is>
      </c>
      <c r="E3919" s="9" t="inlineStr">
        <is>
          <t>COLLAR ARO LOVE GOLD</t>
        </is>
      </c>
      <c r="F3919" s="9" t="inlineStr">
        <is>
          <t>42cm</t>
        </is>
      </c>
      <c r="G3919" s="9" t="n">
        <v>5</v>
      </c>
      <c r="H3919" s="21" t="n">
        <v>4.7</v>
      </c>
      <c r="I3919" s="21" t="n">
        <v>99.73</v>
      </c>
      <c r="J3919" s="21" t="n">
        <v>299.18</v>
      </c>
      <c r="K3919" s="21" t="n">
        <v>349.05</v>
      </c>
      <c r="L3919" s="21" t="n">
        <v>398.91</v>
      </c>
      <c r="M3919" s="21" t="n">
        <v>460</v>
      </c>
    </row>
    <row r="3920">
      <c r="A3920" s="9" t="inlineStr">
        <is>
          <t>HAIFENG</t>
        </is>
      </c>
      <c r="B3920" s="9" t="inlineStr">
        <is>
          <t>HAIFENG 06/05/2026</t>
        </is>
      </c>
      <c r="C3920" s="9" t="inlineStr">
        <is>
          <t>2026-05-06</t>
        </is>
      </c>
      <c r="D3920" s="9" t="inlineStr">
        <is>
          <t>673cd62fa988f</t>
        </is>
      </c>
      <c r="E3920" s="9" t="inlineStr">
        <is>
          <t>COLLAR B zero SILVER CON ZIRCONIAS</t>
        </is>
      </c>
      <c r="F3920" s="9" t="inlineStr">
        <is>
          <t>41cm de largo con 8cm de extensión</t>
        </is>
      </c>
      <c r="G3920" s="9" t="n">
        <v>5</v>
      </c>
      <c r="H3920" s="21" t="n">
        <v>7</v>
      </c>
      <c r="I3920" s="21" t="n">
        <v>148.53</v>
      </c>
      <c r="J3920" s="21" t="n">
        <v>445.59</v>
      </c>
      <c r="K3920" s="21" t="n">
        <v>519.86</v>
      </c>
      <c r="L3920" s="21" t="n">
        <v>594.12</v>
      </c>
      <c r="M3920" s="21" t="n">
        <v>550</v>
      </c>
    </row>
    <row r="3921">
      <c r="A3921" s="9" t="inlineStr">
        <is>
          <t>HAIFENG</t>
        </is>
      </c>
      <c r="B3921" s="9" t="inlineStr">
        <is>
          <t>HAIFENG 06/05/2026</t>
        </is>
      </c>
      <c r="C3921" s="9" t="inlineStr">
        <is>
          <t>2026-05-06</t>
        </is>
      </c>
      <c r="D3921" s="9" t="inlineStr">
        <is>
          <t>643ec108c3efe</t>
        </is>
      </c>
      <c r="E3921" s="9" t="inlineStr">
        <is>
          <t>COLLAR BV GOLD</t>
        </is>
      </c>
      <c r="F3921" s="9" t="inlineStr">
        <is>
          <t>Largo de cadena total 40cm  Extensión 8 cm  Dije 1 cm</t>
        </is>
      </c>
      <c r="G3921" s="9" t="n">
        <v>2</v>
      </c>
      <c r="H3921" s="21" t="n"/>
      <c r="I3921" s="21" t="n">
        <v>0</v>
      </c>
      <c r="J3921" s="21" t="n">
        <v>0</v>
      </c>
      <c r="K3921" s="21" t="n">
        <v>0</v>
      </c>
      <c r="L3921" s="21" t="n">
        <v>0</v>
      </c>
      <c r="M3921" s="21" t="n">
        <v>499</v>
      </c>
    </row>
    <row r="3922">
      <c r="A3922" s="9" t="inlineStr">
        <is>
          <t>HAIFENG</t>
        </is>
      </c>
      <c r="B3922" s="9" t="inlineStr">
        <is>
          <t>HAIFENG 06/05/2026</t>
        </is>
      </c>
      <c r="C3922" s="9" t="inlineStr">
        <is>
          <t>2026-05-06</t>
        </is>
      </c>
      <c r="D3922" s="9" t="inlineStr">
        <is>
          <t>52306841075693</t>
        </is>
      </c>
      <c r="E3922" s="9" t="inlineStr">
        <is>
          <t>COLLAR BV ROSEGOLD SERPIENTE</t>
        </is>
      </c>
      <c r="F3922" s="9" t="inlineStr">
        <is>
          <t>Default Title</t>
        </is>
      </c>
      <c r="G3922" s="9" t="n">
        <v>2</v>
      </c>
      <c r="H3922" s="21" t="n">
        <v>7</v>
      </c>
      <c r="I3922" s="21" t="n">
        <v>148.53</v>
      </c>
      <c r="J3922" s="21" t="n">
        <v>445.59</v>
      </c>
      <c r="K3922" s="21" t="n">
        <v>519.86</v>
      </c>
      <c r="L3922" s="21" t="n">
        <v>594.12</v>
      </c>
      <c r="M3922" s="21" t="n">
        <v>576.8</v>
      </c>
    </row>
    <row r="3923">
      <c r="A3923" s="9" t="inlineStr">
        <is>
          <t>HAIFENG</t>
        </is>
      </c>
      <c r="B3923" s="9" t="inlineStr">
        <is>
          <t>HAIFENG 06/05/2026</t>
        </is>
      </c>
      <c r="C3923" s="9" t="inlineStr">
        <is>
          <t>2026-05-06</t>
        </is>
      </c>
      <c r="D3923" s="9" t="inlineStr">
        <is>
          <t>33801891077645</t>
        </is>
      </c>
      <c r="E3923" s="9" t="inlineStr">
        <is>
          <t>COLLAR BV SILVER SERPIENTE</t>
        </is>
      </c>
      <c r="F3923" s="9" t="inlineStr">
        <is>
          <t>Default Title</t>
        </is>
      </c>
      <c r="G3923" s="9" t="n">
        <v>1</v>
      </c>
      <c r="H3923" s="21" t="n">
        <v>7</v>
      </c>
      <c r="I3923" s="21" t="n">
        <v>148.53</v>
      </c>
      <c r="J3923" s="21" t="n">
        <v>445.59</v>
      </c>
      <c r="K3923" s="21" t="n">
        <v>519.86</v>
      </c>
      <c r="L3923" s="21" t="n">
        <v>594.12</v>
      </c>
      <c r="M3923" s="21" t="n">
        <v>576.8</v>
      </c>
    </row>
    <row r="3924">
      <c r="A3924" s="9" t="inlineStr">
        <is>
          <t>HAIFENG</t>
        </is>
      </c>
      <c r="B3924" s="9" t="inlineStr">
        <is>
          <t>HAIFENG 06/05/2026</t>
        </is>
      </c>
      <c r="C3924" s="9" t="inlineStr">
        <is>
          <t>2026-05-06</t>
        </is>
      </c>
      <c r="D3924" s="9" t="inlineStr">
        <is>
          <t>43728082327916</t>
        </is>
      </c>
      <c r="E3924" s="9" t="inlineStr">
        <is>
          <t>COLLAR C D’AMOUR GOLD</t>
        </is>
      </c>
      <c r="F3924" s="9" t="inlineStr">
        <is>
          <t>44cm con 5cm de extensión</t>
        </is>
      </c>
      <c r="G3924" s="9" t="n">
        <v>2</v>
      </c>
      <c r="H3924" s="21" t="n">
        <v>2.99</v>
      </c>
      <c r="I3924" s="21" t="n">
        <v>63.44</v>
      </c>
      <c r="J3924" s="21" t="n">
        <v>190.33</v>
      </c>
      <c r="K3924" s="21" t="n">
        <v>222.05</v>
      </c>
      <c r="L3924" s="21" t="n">
        <v>253.77</v>
      </c>
      <c r="M3924" s="21" t="n">
        <v>525</v>
      </c>
    </row>
    <row r="3925">
      <c r="A3925" s="9" t="inlineStr">
        <is>
          <t>HAIFENG</t>
        </is>
      </c>
      <c r="B3925" s="9" t="inlineStr">
        <is>
          <t>HAIFENG 06/05/2026</t>
        </is>
      </c>
      <c r="C3925" s="9" t="inlineStr">
        <is>
          <t>2026-05-06</t>
        </is>
      </c>
      <c r="D3925" s="9" t="inlineStr">
        <is>
          <t>29736661772013</t>
        </is>
      </c>
      <c r="E3925" s="9" t="inlineStr">
        <is>
          <t>COLLAR CD DOBLE PETIT GOLD</t>
        </is>
      </c>
      <c r="F3925" s="9" t="inlineStr">
        <is>
          <t>Default Title</t>
        </is>
      </c>
      <c r="G3925" s="9" t="n">
        <v>5</v>
      </c>
      <c r="H3925" s="21" t="n">
        <v>6</v>
      </c>
      <c r="I3925" s="21" t="n">
        <v>127.31</v>
      </c>
      <c r="J3925" s="21" t="n">
        <v>381.94</v>
      </c>
      <c r="K3925" s="21" t="n">
        <v>445.59</v>
      </c>
      <c r="L3925" s="21" t="n">
        <v>509.25</v>
      </c>
      <c r="M3925" s="21" t="n">
        <v>550</v>
      </c>
    </row>
    <row r="3926">
      <c r="A3926" s="9" t="inlineStr">
        <is>
          <t>HAIFENG</t>
        </is>
      </c>
      <c r="B3926" s="9" t="inlineStr">
        <is>
          <t>HAIFENG 06/05/2026</t>
        </is>
      </c>
      <c r="C3926" s="9" t="inlineStr">
        <is>
          <t>2026-05-06</t>
        </is>
      </c>
      <c r="D3926" s="9" t="inlineStr">
        <is>
          <t>89246881932205</t>
        </is>
      </c>
      <c r="E3926" s="9" t="inlineStr">
        <is>
          <t>COLLAR CD GOLD CON ZIRCONIAS</t>
        </is>
      </c>
      <c r="F3926" s="9" t="inlineStr">
        <is>
          <t>Default Title</t>
        </is>
      </c>
      <c r="G3926" s="9" t="n">
        <v>2</v>
      </c>
      <c r="H3926" s="21" t="n"/>
      <c r="I3926" s="21" t="n">
        <v>0</v>
      </c>
      <c r="J3926" s="21" t="n">
        <v>0</v>
      </c>
      <c r="K3926" s="21" t="n">
        <v>0</v>
      </c>
      <c r="L3926" s="21" t="n">
        <v>0</v>
      </c>
      <c r="M3926" s="21" t="n">
        <v>850</v>
      </c>
    </row>
    <row r="3927">
      <c r="A3927" s="9" t="inlineStr">
        <is>
          <t>HAIFENG</t>
        </is>
      </c>
      <c r="B3927" s="9" t="inlineStr">
        <is>
          <t>HAIFENG 06/05/2026</t>
        </is>
      </c>
      <c r="C3927" s="9" t="inlineStr">
        <is>
          <t>2026-05-06</t>
        </is>
      </c>
      <c r="D3927" s="9" t="inlineStr">
        <is>
          <t>43016717566092</t>
        </is>
      </c>
      <c r="E3927" s="9" t="inlineStr">
        <is>
          <t>COLLAR CLASH ROSEGOLD</t>
        </is>
      </c>
      <c r="F3927" s="9" t="inlineStr">
        <is>
          <t>50cm</t>
        </is>
      </c>
      <c r="G3927" s="9" t="n">
        <v>3</v>
      </c>
      <c r="H3927" s="21" t="n">
        <v>7.99</v>
      </c>
      <c r="I3927" s="21" t="n">
        <v>169.54</v>
      </c>
      <c r="J3927" s="21" t="n">
        <v>508.61</v>
      </c>
      <c r="K3927" s="21" t="n">
        <v>593.38</v>
      </c>
      <c r="L3927" s="21" t="n">
        <v>678.15</v>
      </c>
      <c r="M3927" s="21" t="n">
        <v>700</v>
      </c>
    </row>
    <row r="3928">
      <c r="A3928" s="9" t="inlineStr">
        <is>
          <t>HAIFENG</t>
        </is>
      </c>
      <c r="B3928" s="9" t="inlineStr">
        <is>
          <t>HAIFENG 06/05/2026</t>
        </is>
      </c>
      <c r="C3928" s="9" t="inlineStr">
        <is>
          <t>2026-05-06</t>
        </is>
      </c>
      <c r="D3928" s="9" t="inlineStr">
        <is>
          <t>36002958128780</t>
        </is>
      </c>
      <c r="E3928" s="9" t="inlineStr">
        <is>
          <t>COLLAR CLAVO GOLD MZ</t>
        </is>
      </c>
      <c r="F3928" s="9" t="inlineStr">
        <is>
          <t>42cm de largo x 3cm de extensión</t>
        </is>
      </c>
      <c r="G3928" s="9" t="n">
        <v>3</v>
      </c>
      <c r="H3928" s="21" t="n">
        <v>7</v>
      </c>
      <c r="I3928" s="21" t="n">
        <v>148.53</v>
      </c>
      <c r="J3928" s="21" t="n">
        <v>445.59</v>
      </c>
      <c r="K3928" s="21" t="n">
        <v>519.86</v>
      </c>
      <c r="L3928" s="21" t="n">
        <v>594.12</v>
      </c>
      <c r="M3928" s="21" t="n">
        <v>599</v>
      </c>
    </row>
    <row r="3929">
      <c r="A3929" s="9" t="inlineStr">
        <is>
          <t>HAIFENG</t>
        </is>
      </c>
      <c r="B3929" s="9" t="inlineStr">
        <is>
          <t>HAIFENG 06/05/2026</t>
        </is>
      </c>
      <c r="C3929" s="9" t="inlineStr">
        <is>
          <t>2026-05-06</t>
        </is>
      </c>
      <c r="D3929" s="9" t="inlineStr">
        <is>
          <t>53864631024909</t>
        </is>
      </c>
      <c r="E3929" s="9" t="inlineStr">
        <is>
          <t>COLLAR CON PASADOR Y PLACA ESTILO CORAZÓN SILVER</t>
        </is>
      </c>
      <c r="F3929" s="9" t="inlineStr">
        <is>
          <t>44 cm</t>
        </is>
      </c>
      <c r="G3929" s="9" t="n">
        <v>8</v>
      </c>
      <c r="H3929" s="21" t="n">
        <v>12</v>
      </c>
      <c r="I3929" s="21" t="n">
        <v>254.62</v>
      </c>
      <c r="J3929" s="21" t="n">
        <v>763.87</v>
      </c>
      <c r="K3929" s="21" t="n">
        <v>891.1799999999999</v>
      </c>
      <c r="L3929" s="21" t="n">
        <v>1018.49</v>
      </c>
      <c r="M3929" s="21" t="n">
        <v>989</v>
      </c>
    </row>
    <row r="3930">
      <c r="A3930" s="9" t="inlineStr">
        <is>
          <t>HAIFENG</t>
        </is>
      </c>
      <c r="B3930" s="9" t="inlineStr">
        <is>
          <t>HAIFENG 06/05/2026</t>
        </is>
      </c>
      <c r="C3930" s="9" t="inlineStr">
        <is>
          <t>2026-05-06</t>
        </is>
      </c>
      <c r="D3930" s="9" t="inlineStr">
        <is>
          <t>67201534708013</t>
        </is>
      </c>
      <c r="E3930" s="9" t="inlineStr">
        <is>
          <t>COLLAR CRUZ T GOLD</t>
        </is>
      </c>
      <c r="F3930" s="9" t="inlineStr">
        <is>
          <t>Default Title</t>
        </is>
      </c>
      <c r="G3930" s="9" t="n">
        <v>10</v>
      </c>
      <c r="H3930" s="21" t="n">
        <v>7</v>
      </c>
      <c r="I3930" s="21" t="n">
        <v>148.53</v>
      </c>
      <c r="J3930" s="21" t="n">
        <v>445.59</v>
      </c>
      <c r="K3930" s="21" t="n">
        <v>519.86</v>
      </c>
      <c r="L3930" s="21" t="n">
        <v>594.12</v>
      </c>
      <c r="M3930" s="21" t="n">
        <v>577</v>
      </c>
    </row>
    <row r="3931">
      <c r="A3931" s="9" t="inlineStr">
        <is>
          <t>HAIFENG</t>
        </is>
      </c>
      <c r="B3931" s="9" t="inlineStr">
        <is>
          <t>HAIFENG 06/05/2026</t>
        </is>
      </c>
      <c r="C3931" s="9" t="inlineStr">
        <is>
          <t>2026-05-06</t>
        </is>
      </c>
      <c r="D3931" s="9" t="inlineStr">
        <is>
          <t>668eee3550b09</t>
        </is>
      </c>
      <c r="E3931" s="9" t="inlineStr">
        <is>
          <t>COLLAR DOBLE PLACA CORAZÓN ROJO-PLATA</t>
        </is>
      </c>
      <c r="F3931" s="9" t="inlineStr">
        <is>
          <t>Middle Quality</t>
        </is>
      </c>
      <c r="G3931" s="9" t="n">
        <v>2</v>
      </c>
      <c r="H3931" s="21" t="n">
        <v>5</v>
      </c>
      <c r="I3931" s="21" t="n">
        <v>106.09</v>
      </c>
      <c r="J3931" s="21" t="n">
        <v>318.28</v>
      </c>
      <c r="K3931" s="21" t="n">
        <v>371.33</v>
      </c>
      <c r="L3931" s="21" t="n">
        <v>424.37</v>
      </c>
      <c r="M3931" s="21" t="n">
        <v>950</v>
      </c>
    </row>
    <row r="3932">
      <c r="A3932" s="9" t="inlineStr">
        <is>
          <t>HAIFENG</t>
        </is>
      </c>
      <c r="B3932" s="9" t="inlineStr">
        <is>
          <t>HAIFENG 06/05/2026</t>
        </is>
      </c>
      <c r="C3932" s="9" t="inlineStr">
        <is>
          <t>2026-05-06</t>
        </is>
      </c>
      <c r="D3932" s="9" t="inlineStr">
        <is>
          <t>37491258394380</t>
        </is>
      </c>
      <c r="E3932" s="9" t="inlineStr">
        <is>
          <t>COLLAR FLOWER VF</t>
        </is>
      </c>
      <c r="F3932" s="9" t="inlineStr">
        <is>
          <t>45cm</t>
        </is>
      </c>
      <c r="G3932" s="9" t="n">
        <v>8</v>
      </c>
      <c r="H3932" s="21" t="n">
        <v>5</v>
      </c>
      <c r="I3932" s="21" t="n">
        <v>106.09</v>
      </c>
      <c r="J3932" s="21" t="n">
        <v>318.28</v>
      </c>
      <c r="K3932" s="21" t="n">
        <v>371.33</v>
      </c>
      <c r="L3932" s="21" t="n">
        <v>424.37</v>
      </c>
      <c r="M3932" s="21" t="n">
        <v>432.6</v>
      </c>
    </row>
    <row r="3933">
      <c r="A3933" s="9" t="inlineStr">
        <is>
          <t>HAIFENG</t>
        </is>
      </c>
      <c r="B3933" s="9" t="inlineStr">
        <is>
          <t>HAIFENG 06/05/2026</t>
        </is>
      </c>
      <c r="C3933" s="9" t="inlineStr">
        <is>
          <t>2026-05-06</t>
        </is>
      </c>
      <c r="D3933" s="9" t="inlineStr">
        <is>
          <t>15104863437293</t>
        </is>
      </c>
      <c r="E3933" s="9" t="inlineStr">
        <is>
          <t>COLLAR KNOT GOLD ZIRCONIAS</t>
        </is>
      </c>
      <c r="F3933" s="9" t="inlineStr">
        <is>
          <t>Default Title</t>
        </is>
      </c>
      <c r="G3933" s="9" t="n">
        <v>2</v>
      </c>
      <c r="H3933" s="21" t="n">
        <v>7</v>
      </c>
      <c r="I3933" s="21" t="n">
        <v>148.53</v>
      </c>
      <c r="J3933" s="21" t="n">
        <v>445.59</v>
      </c>
      <c r="K3933" s="21" t="n">
        <v>519.86</v>
      </c>
      <c r="L3933" s="21" t="n">
        <v>594.12</v>
      </c>
      <c r="M3933" s="21" t="n">
        <v>680</v>
      </c>
    </row>
    <row r="3934">
      <c r="A3934" s="9" t="inlineStr">
        <is>
          <t>HAIFENG</t>
        </is>
      </c>
      <c r="B3934" s="9" t="inlineStr">
        <is>
          <t>HAIFENG 06/05/2026</t>
        </is>
      </c>
      <c r="C3934" s="9" t="inlineStr">
        <is>
          <t>2026-05-06</t>
        </is>
      </c>
      <c r="D3934" s="9" t="inlineStr">
        <is>
          <t>23663391024461</t>
        </is>
      </c>
      <c r="E3934" s="9" t="inlineStr">
        <is>
          <t>COLLAR LOVE ROSEGOLD CON ZIRCONIA</t>
        </is>
      </c>
      <c r="F3934" s="9" t="inlineStr">
        <is>
          <t>Default Title</t>
        </is>
      </c>
      <c r="G3934" s="9" t="n">
        <v>5</v>
      </c>
      <c r="H3934" s="21" t="n">
        <v>5</v>
      </c>
      <c r="I3934" s="21" t="n">
        <v>106.09</v>
      </c>
      <c r="J3934" s="21" t="n">
        <v>318.28</v>
      </c>
      <c r="K3934" s="21" t="n">
        <v>371.33</v>
      </c>
      <c r="L3934" s="21" t="n">
        <v>424.37</v>
      </c>
      <c r="M3934" s="21" t="n">
        <v>450</v>
      </c>
    </row>
    <row r="3935">
      <c r="A3935" s="9" t="inlineStr">
        <is>
          <t>HAIFENG</t>
        </is>
      </c>
      <c r="B3935" s="9" t="inlineStr">
        <is>
          <t>HAIFENG 06/05/2026</t>
        </is>
      </c>
      <c r="C3935" s="9" t="inlineStr">
        <is>
          <t>2026-05-06</t>
        </is>
      </c>
      <c r="D3935" s="9" t="inlineStr">
        <is>
          <t>63e0bef7903cb</t>
        </is>
      </c>
      <c r="E3935" s="9" t="inlineStr">
        <is>
          <t>COLLAR LOVE-LOVE SILVER</t>
        </is>
      </c>
      <c r="F3935" s="9" t="inlineStr">
        <is>
          <t>46cm con extensión de 5cm</t>
        </is>
      </c>
      <c r="G3935" s="9" t="n">
        <v>3</v>
      </c>
      <c r="H3935" s="21" t="n">
        <v>3.8</v>
      </c>
      <c r="I3935" s="21" t="n">
        <v>80.63</v>
      </c>
      <c r="J3935" s="21" t="n">
        <v>241.89</v>
      </c>
      <c r="K3935" s="21" t="n">
        <v>282.21</v>
      </c>
      <c r="L3935" s="21" t="n">
        <v>322.52</v>
      </c>
      <c r="M3935" s="21" t="n">
        <v>440</v>
      </c>
    </row>
    <row r="3936">
      <c r="A3936" s="9" t="inlineStr">
        <is>
          <t>HAIFENG</t>
        </is>
      </c>
      <c r="B3936" s="9" t="inlineStr">
        <is>
          <t>HAIFENG 06/05/2026</t>
        </is>
      </c>
      <c r="C3936" s="9" t="inlineStr">
        <is>
          <t>2026-05-06</t>
        </is>
      </c>
      <c r="D3936" s="9" t="inlineStr">
        <is>
          <t>17964142517645</t>
        </is>
      </c>
      <c r="E3936" s="9" t="inlineStr">
        <is>
          <t>COLLAR LV BLOSSOM BB STAR GOLD</t>
        </is>
      </c>
      <c r="F3936" s="9" t="inlineStr">
        <is>
          <t>Default Title</t>
        </is>
      </c>
      <c r="G3936" s="9" t="n">
        <v>2</v>
      </c>
      <c r="H3936" s="21" t="n">
        <v>5.99</v>
      </c>
      <c r="I3936" s="21" t="n">
        <v>127.1</v>
      </c>
      <c r="J3936" s="21" t="n">
        <v>381.3</v>
      </c>
      <c r="K3936" s="21" t="n">
        <v>444.85</v>
      </c>
      <c r="L3936" s="21" t="n">
        <v>508.4</v>
      </c>
      <c r="M3936" s="21" t="n">
        <v>0</v>
      </c>
    </row>
    <row r="3937">
      <c r="A3937" s="9" t="inlineStr">
        <is>
          <t>HAIFENG</t>
        </is>
      </c>
      <c r="B3937" s="9" t="inlineStr">
        <is>
          <t>HAIFENG 06/05/2026</t>
        </is>
      </c>
      <c r="C3937" s="9" t="inlineStr">
        <is>
          <t>2026-05-06</t>
        </is>
      </c>
      <c r="D3937" s="9" t="inlineStr">
        <is>
          <t>17964142453805</t>
        </is>
      </c>
      <c r="E3937" s="9" t="inlineStr">
        <is>
          <t>COLLAR LV BLOSSOM BB STAR SILVER</t>
        </is>
      </c>
      <c r="F3937" s="9" t="inlineStr">
        <is>
          <t>Default Title</t>
        </is>
      </c>
      <c r="G3937" s="9" t="n">
        <v>2</v>
      </c>
      <c r="H3937" s="21" t="n">
        <v>5.99</v>
      </c>
      <c r="I3937" s="21" t="n">
        <v>127.1</v>
      </c>
      <c r="J3937" s="21" t="n">
        <v>381.3</v>
      </c>
      <c r="K3937" s="21" t="n">
        <v>444.85</v>
      </c>
      <c r="L3937" s="21" t="n">
        <v>508.4</v>
      </c>
      <c r="M3937" s="21" t="n">
        <v>499</v>
      </c>
    </row>
    <row r="3938">
      <c r="A3938" s="9" t="inlineStr">
        <is>
          <t>HAIFENG</t>
        </is>
      </c>
      <c r="B3938" s="9" t="inlineStr">
        <is>
          <t>HAIFENG 06/05/2026</t>
        </is>
      </c>
      <c r="C3938" s="9" t="inlineStr">
        <is>
          <t>2026-05-06</t>
        </is>
      </c>
      <c r="D3938" s="9" t="inlineStr">
        <is>
          <t>17964142322733</t>
        </is>
      </c>
      <c r="E3938" s="9" t="inlineStr">
        <is>
          <t>COLLAR LV SPIKE SILVER</t>
        </is>
      </c>
      <c r="F3938" s="9" t="inlineStr">
        <is>
          <t>Default Title</t>
        </is>
      </c>
      <c r="G3938" s="9" t="n">
        <v>2</v>
      </c>
      <c r="H3938" s="21" t="n">
        <v>12</v>
      </c>
      <c r="I3938" s="21" t="n">
        <v>254.62</v>
      </c>
      <c r="J3938" s="21" t="n">
        <v>763.87</v>
      </c>
      <c r="K3938" s="21" t="n">
        <v>891.1799999999999</v>
      </c>
      <c r="L3938" s="21" t="n">
        <v>1018.49</v>
      </c>
      <c r="M3938" s="21" t="n">
        <v>999</v>
      </c>
    </row>
    <row r="3939">
      <c r="A3939" s="9" t="inlineStr">
        <is>
          <t>HAIFENG</t>
        </is>
      </c>
      <c r="B3939" s="9" t="inlineStr">
        <is>
          <t>HAIFENG 06/05/2026</t>
        </is>
      </c>
      <c r="C3939" s="9" t="inlineStr">
        <is>
          <t>2026-05-06</t>
        </is>
      </c>
      <c r="D3939" s="9" t="inlineStr">
        <is>
          <t>39966871032781</t>
        </is>
      </c>
      <c r="E3939" s="9" t="inlineStr">
        <is>
          <t>COLLAR MSS GOLD CON ZIRCONIA</t>
        </is>
      </c>
      <c r="F3939" s="9" t="inlineStr">
        <is>
          <t>Default Title</t>
        </is>
      </c>
      <c r="G3939" s="9" t="n">
        <v>20</v>
      </c>
      <c r="H3939" s="21" t="n">
        <v>8</v>
      </c>
      <c r="I3939" s="21" t="n">
        <v>169.75</v>
      </c>
      <c r="J3939" s="21" t="n">
        <v>509.25</v>
      </c>
      <c r="K3939" s="21" t="n">
        <v>594.12</v>
      </c>
      <c r="L3939" s="21" t="n">
        <v>679</v>
      </c>
      <c r="M3939" s="21" t="n">
        <v>660</v>
      </c>
    </row>
    <row r="3940">
      <c r="A3940" s="9" t="inlineStr">
        <is>
          <t>HAIFENG</t>
        </is>
      </c>
      <c r="B3940" s="9" t="inlineStr">
        <is>
          <t>HAIFENG 06/05/2026</t>
        </is>
      </c>
      <c r="C3940" s="9" t="inlineStr">
        <is>
          <t>2026-05-06</t>
        </is>
      </c>
      <c r="D3940" s="9" t="inlineStr">
        <is>
          <t>16048621033133</t>
        </is>
      </c>
      <c r="E3940" s="9" t="inlineStr">
        <is>
          <t>COLLAR MSS MOVE ROSEGOLD LISO</t>
        </is>
      </c>
      <c r="F3940" s="9" t="inlineStr">
        <is>
          <t>Default Title</t>
        </is>
      </c>
      <c r="G3940" s="9" t="n">
        <v>5</v>
      </c>
      <c r="H3940" s="21" t="n">
        <v>8</v>
      </c>
      <c r="I3940" s="21" t="n">
        <v>169.75</v>
      </c>
      <c r="J3940" s="21" t="n">
        <v>509.25</v>
      </c>
      <c r="K3940" s="21" t="n">
        <v>594.12</v>
      </c>
      <c r="L3940" s="21" t="n">
        <v>679</v>
      </c>
      <c r="M3940" s="21" t="n">
        <v>659.2</v>
      </c>
    </row>
    <row r="3941">
      <c r="A3941" s="9" t="inlineStr">
        <is>
          <t>HAIFENG</t>
        </is>
      </c>
      <c r="B3941" s="9" t="inlineStr">
        <is>
          <t>HAIFENG 06/05/2026</t>
        </is>
      </c>
      <c r="C3941" s="9" t="inlineStr">
        <is>
          <t>2026-05-06</t>
        </is>
      </c>
      <c r="D3941" s="9" t="inlineStr">
        <is>
          <t>77791751017421</t>
        </is>
      </c>
      <c r="E3941" s="9" t="inlineStr">
        <is>
          <t>COLLAR MSS MOVE SILVER LISO</t>
        </is>
      </c>
      <c r="F3941" s="9" t="inlineStr">
        <is>
          <t>Default Title</t>
        </is>
      </c>
      <c r="G3941" s="9" t="n">
        <v>15</v>
      </c>
      <c r="H3941" s="21" t="n">
        <v>8</v>
      </c>
      <c r="I3941" s="21" t="n">
        <v>169.75</v>
      </c>
      <c r="J3941" s="21" t="n">
        <v>509.25</v>
      </c>
      <c r="K3941" s="21" t="n">
        <v>594.12</v>
      </c>
      <c r="L3941" s="21" t="n">
        <v>679</v>
      </c>
      <c r="M3941" s="21" t="n">
        <v>659.2</v>
      </c>
    </row>
    <row r="3942">
      <c r="A3942" s="9" t="inlineStr">
        <is>
          <t>HAIFENG</t>
        </is>
      </c>
      <c r="B3942" s="9" t="inlineStr">
        <is>
          <t>HAIFENG 06/05/2026</t>
        </is>
      </c>
      <c r="C3942" s="9" t="inlineStr">
        <is>
          <t>2026-05-06</t>
        </is>
      </c>
      <c r="D3942" s="9" t="inlineStr">
        <is>
          <t>50869451078413</t>
        </is>
      </c>
      <c r="E3942" s="9" t="inlineStr">
        <is>
          <t>COLLAR MSS ROSEGOLD CON ZIRCONIA</t>
        </is>
      </c>
      <c r="F3942" s="9" t="inlineStr">
        <is>
          <t>Default Title</t>
        </is>
      </c>
      <c r="G3942" s="9" t="n">
        <v>8</v>
      </c>
      <c r="H3942" s="21" t="n">
        <v>8</v>
      </c>
      <c r="I3942" s="21" t="n">
        <v>169.75</v>
      </c>
      <c r="J3942" s="21" t="n">
        <v>509.25</v>
      </c>
      <c r="K3942" s="21" t="n">
        <v>594.12</v>
      </c>
      <c r="L3942" s="21" t="n">
        <v>679</v>
      </c>
      <c r="M3942" s="21" t="n">
        <v>660</v>
      </c>
    </row>
    <row r="3943">
      <c r="A3943" s="9" t="inlineStr">
        <is>
          <t>HAIFENG</t>
        </is>
      </c>
      <c r="B3943" s="9" t="inlineStr">
        <is>
          <t>HAIFENG 06/05/2026</t>
        </is>
      </c>
      <c r="C3943" s="9" t="inlineStr">
        <is>
          <t>2026-05-06</t>
        </is>
      </c>
      <c r="D3943" s="9" t="inlineStr">
        <is>
          <t>54479961098957</t>
        </is>
      </c>
      <c r="E3943" s="9" t="inlineStr">
        <is>
          <t>COLLAR MSS SILVER CON ZIRCONIA</t>
        </is>
      </c>
      <c r="F3943" s="9" t="inlineStr">
        <is>
          <t>Default Title</t>
        </is>
      </c>
      <c r="G3943" s="9" t="n">
        <v>15</v>
      </c>
      <c r="H3943" s="21" t="n">
        <v>8</v>
      </c>
      <c r="I3943" s="21" t="n">
        <v>169.75</v>
      </c>
      <c r="J3943" s="21" t="n">
        <v>509.25</v>
      </c>
      <c r="K3943" s="21" t="n">
        <v>594.12</v>
      </c>
      <c r="L3943" s="21" t="n">
        <v>679</v>
      </c>
      <c r="M3943" s="21" t="n">
        <v>699</v>
      </c>
    </row>
    <row r="3944">
      <c r="A3944" s="9" t="inlineStr">
        <is>
          <t>HAIFENG</t>
        </is>
      </c>
      <c r="B3944" s="9" t="inlineStr">
        <is>
          <t>HAIFENG 06/05/2026</t>
        </is>
      </c>
      <c r="C3944" s="9" t="inlineStr">
        <is>
          <t>2026-05-06</t>
        </is>
      </c>
      <c r="D3944" s="9" t="inlineStr">
        <is>
          <t>29736674158157</t>
        </is>
      </c>
      <c r="E3944" s="9" t="inlineStr">
        <is>
          <t>COLLAR OPEN HEAR GOLD ZIRCONIAS</t>
        </is>
      </c>
      <c r="F3944" s="9" t="inlineStr">
        <is>
          <t>Default Title</t>
        </is>
      </c>
      <c r="G3944" s="9" t="n">
        <v>1</v>
      </c>
      <c r="H3944" s="21" t="n">
        <v>8</v>
      </c>
      <c r="I3944" s="21" t="n">
        <v>169.75</v>
      </c>
      <c r="J3944" s="21" t="n">
        <v>509.25</v>
      </c>
      <c r="K3944" s="21" t="n">
        <v>594.12</v>
      </c>
      <c r="L3944" s="21" t="n">
        <v>679</v>
      </c>
      <c r="M3944" s="21" t="n">
        <v>699</v>
      </c>
    </row>
    <row r="3945">
      <c r="A3945" s="9" t="inlineStr">
        <is>
          <t>HAIFENG</t>
        </is>
      </c>
      <c r="B3945" s="9" t="inlineStr">
        <is>
          <t>HAIFENG 06/05/2026</t>
        </is>
      </c>
      <c r="C3945" s="9" t="inlineStr">
        <is>
          <t>2026-05-06</t>
        </is>
      </c>
      <c r="D3945" s="9" t="inlineStr">
        <is>
          <t>86347033994701</t>
        </is>
      </c>
      <c r="E3945" s="9" t="inlineStr">
        <is>
          <t>COLLAR SIXTEEN STONE SCHLUM</t>
        </is>
      </c>
      <c r="F3945" s="9" t="inlineStr">
        <is>
          <t>Default Title</t>
        </is>
      </c>
      <c r="G3945" s="9" t="n">
        <v>2</v>
      </c>
      <c r="H3945" s="21" t="n">
        <v>6</v>
      </c>
      <c r="I3945" s="21" t="n">
        <v>127.31</v>
      </c>
      <c r="J3945" s="21" t="n">
        <v>381.94</v>
      </c>
      <c r="K3945" s="21" t="n">
        <v>445.59</v>
      </c>
      <c r="L3945" s="21" t="n">
        <v>509.25</v>
      </c>
      <c r="M3945" s="21" t="n">
        <v>495</v>
      </c>
    </row>
    <row r="3946">
      <c r="A3946" s="9" t="inlineStr">
        <is>
          <t>HAIFENG</t>
        </is>
      </c>
      <c r="B3946" s="9" t="inlineStr">
        <is>
          <t>HAIFENG 06/05/2026</t>
        </is>
      </c>
      <c r="C3946" s="9" t="inlineStr">
        <is>
          <t>2026-05-06</t>
        </is>
      </c>
      <c r="D3946" s="9" t="inlineStr">
        <is>
          <t>15104862383981</t>
        </is>
      </c>
      <c r="E3946" s="9" t="inlineStr">
        <is>
          <t>COLLAR SUN RED BLOSSOM ROSE GOLD</t>
        </is>
      </c>
      <c r="F3946" s="9" t="inlineStr">
        <is>
          <t>Default Title</t>
        </is>
      </c>
      <c r="G3946" s="9" t="n">
        <v>2</v>
      </c>
      <c r="H3946" s="21" t="n">
        <v>5.99</v>
      </c>
      <c r="I3946" s="21" t="n">
        <v>127.1</v>
      </c>
      <c r="J3946" s="21" t="n">
        <v>381.3</v>
      </c>
      <c r="K3946" s="21" t="n">
        <v>444.85</v>
      </c>
      <c r="L3946" s="21" t="n">
        <v>508.4</v>
      </c>
      <c r="M3946" s="21" t="n">
        <v>680</v>
      </c>
    </row>
    <row r="3947">
      <c r="A3947" s="9" t="inlineStr">
        <is>
          <t>HAIFENG</t>
        </is>
      </c>
      <c r="B3947" s="9" t="inlineStr">
        <is>
          <t>HAIFENG 06/05/2026</t>
        </is>
      </c>
      <c r="C3947" s="9" t="inlineStr">
        <is>
          <t>2026-05-06</t>
        </is>
      </c>
      <c r="D3947" s="9" t="inlineStr">
        <is>
          <t>15104863162605</t>
        </is>
      </c>
      <c r="E3947" s="9" t="inlineStr">
        <is>
          <t>COLLAR T KEY HEART</t>
        </is>
      </c>
      <c r="F3947" s="9" t="inlineStr">
        <is>
          <t>Default Title</t>
        </is>
      </c>
      <c r="G3947" s="9" t="n">
        <v>5</v>
      </c>
      <c r="H3947" s="21" t="n">
        <v>7.5</v>
      </c>
      <c r="I3947" s="21" t="n">
        <v>159.14</v>
      </c>
      <c r="J3947" s="21" t="n">
        <v>477.42</v>
      </c>
      <c r="K3947" s="21" t="n">
        <v>556.99</v>
      </c>
      <c r="L3947" s="21" t="n">
        <v>636.5599999999999</v>
      </c>
      <c r="M3947" s="21" t="n">
        <v>750</v>
      </c>
    </row>
    <row r="3948">
      <c r="A3948" s="9" t="inlineStr">
        <is>
          <t>HAIFENG</t>
        </is>
      </c>
      <c r="B3948" s="9" t="inlineStr">
        <is>
          <t>HAIFENG 06/05/2026</t>
        </is>
      </c>
      <c r="C3948" s="9" t="inlineStr">
        <is>
          <t>2026-05-06</t>
        </is>
      </c>
      <c r="D3948" s="9" t="inlineStr">
        <is>
          <t>665bbe801cd41</t>
        </is>
      </c>
      <c r="E3948" s="9" t="inlineStr">
        <is>
          <t>COLLAR TREBOL ROSEGOLD-RED</t>
        </is>
      </c>
      <c r="F3948" s="9" t="inlineStr">
        <is>
          <t>High Quality 45cm y dije 15mm</t>
        </is>
      </c>
      <c r="G3948" s="9" t="n">
        <v>3</v>
      </c>
      <c r="H3948" s="21" t="n">
        <v>4</v>
      </c>
      <c r="I3948" s="21" t="n">
        <v>84.87</v>
      </c>
      <c r="J3948" s="21" t="n">
        <v>254.62</v>
      </c>
      <c r="K3948" s="21" t="n">
        <v>297.06</v>
      </c>
      <c r="L3948" s="21" t="n">
        <v>339.5</v>
      </c>
      <c r="M3948" s="21" t="n">
        <v>899</v>
      </c>
    </row>
    <row r="3949">
      <c r="A3949" s="9" t="inlineStr">
        <is>
          <t>HAIFENG</t>
        </is>
      </c>
      <c r="B3949" s="9" t="inlineStr">
        <is>
          <t>HAIFENG 06/05/2026</t>
        </is>
      </c>
      <c r="C3949" s="9" t="inlineStr">
        <is>
          <t>2026-05-06</t>
        </is>
      </c>
      <c r="D3949" s="9" t="inlineStr">
        <is>
          <t>43728133191212</t>
        </is>
      </c>
      <c r="E3949" s="9" t="inlineStr">
        <is>
          <t>COLLAR TREBOL SILVER</t>
        </is>
      </c>
      <c r="F3949" s="9" t="inlineStr">
        <is>
          <t>plata esterlina 925</t>
        </is>
      </c>
      <c r="G3949" s="9" t="n">
        <v>5</v>
      </c>
      <c r="H3949" s="21" t="n">
        <v>4</v>
      </c>
      <c r="I3949" s="21" t="n">
        <v>84.87</v>
      </c>
      <c r="J3949" s="21" t="n">
        <v>254.62</v>
      </c>
      <c r="K3949" s="21" t="n">
        <v>297.06</v>
      </c>
      <c r="L3949" s="21" t="n">
        <v>339.5</v>
      </c>
      <c r="M3949" s="21" t="n">
        <v>899</v>
      </c>
    </row>
    <row r="3950">
      <c r="A3950" s="9" t="inlineStr">
        <is>
          <t>HAIFENG</t>
        </is>
      </c>
      <c r="B3950" s="9" t="inlineStr">
        <is>
          <t>HAIFENG 06/05/2026</t>
        </is>
      </c>
      <c r="C3950" s="9" t="inlineStr">
        <is>
          <t>2026-05-06</t>
        </is>
      </c>
      <c r="D3950" s="9" t="inlineStr">
        <is>
          <t>66177b50250a5</t>
        </is>
      </c>
      <c r="E3950" s="9" t="inlineStr">
        <is>
          <t>COLLAR TREBOL SILVER WHITE</t>
        </is>
      </c>
      <c r="F3950" s="9" t="inlineStr">
        <is>
          <t>45cm</t>
        </is>
      </c>
      <c r="G3950" s="9" t="n">
        <v>1</v>
      </c>
      <c r="H3950" s="21" t="n">
        <v>4</v>
      </c>
      <c r="I3950" s="21" t="n">
        <v>84.87</v>
      </c>
      <c r="J3950" s="21" t="n">
        <v>254.62</v>
      </c>
      <c r="K3950" s="21" t="n">
        <v>297.06</v>
      </c>
      <c r="L3950" s="21" t="n">
        <v>339.5</v>
      </c>
      <c r="M3950" s="21" t="n">
        <v>899</v>
      </c>
    </row>
    <row r="3951">
      <c r="A3951" s="9" t="inlineStr">
        <is>
          <t>HAIFENG</t>
        </is>
      </c>
      <c r="B3951" s="9" t="inlineStr">
        <is>
          <t>HAIFENG 06/05/2026</t>
        </is>
      </c>
      <c r="C3951" s="9" t="inlineStr">
        <is>
          <t>2026-05-06</t>
        </is>
      </c>
      <c r="D3951" s="9" t="inlineStr">
        <is>
          <t>81836201485581</t>
        </is>
      </c>
      <c r="E3951" s="9" t="inlineStr">
        <is>
          <t>COLLAR TRES AROS</t>
        </is>
      </c>
      <c r="F3951" s="9" t="inlineStr">
        <is>
          <t>45cm middle quality</t>
        </is>
      </c>
      <c r="G3951" s="9" t="n">
        <v>3</v>
      </c>
      <c r="H3951" s="21" t="n">
        <v>7</v>
      </c>
      <c r="I3951" s="21" t="n">
        <v>148.53</v>
      </c>
      <c r="J3951" s="21" t="n">
        <v>445.59</v>
      </c>
      <c r="K3951" s="21" t="n">
        <v>519.86</v>
      </c>
      <c r="L3951" s="21" t="n">
        <v>594.12</v>
      </c>
      <c r="M3951" s="21" t="n">
        <v>580</v>
      </c>
    </row>
    <row r="3952">
      <c r="A3952" s="9" t="inlineStr">
        <is>
          <t>HAIFENG</t>
        </is>
      </c>
      <c r="B3952" s="9" t="inlineStr">
        <is>
          <t>HAIFENG 06/05/2026</t>
        </is>
      </c>
      <c r="C3952" s="9" t="inlineStr">
        <is>
          <t>2026-05-06</t>
        </is>
      </c>
      <c r="D3952" s="9" t="inlineStr">
        <is>
          <t>648cc5bf129eb</t>
        </is>
      </c>
      <c r="E3952" s="9" t="inlineStr">
        <is>
          <t>COLLAR TRÉBOL GOLD</t>
        </is>
      </c>
      <c r="F3952" s="9" t="inlineStr">
        <is>
          <t>41cm con extension de 3cm</t>
        </is>
      </c>
      <c r="G3952" s="9" t="n">
        <v>4</v>
      </c>
      <c r="H3952" s="21" t="n">
        <v>4</v>
      </c>
      <c r="I3952" s="21" t="n">
        <v>84.87</v>
      </c>
      <c r="J3952" s="21" t="n">
        <v>254.62</v>
      </c>
      <c r="K3952" s="21" t="n">
        <v>297.06</v>
      </c>
      <c r="L3952" s="21" t="n">
        <v>339.5</v>
      </c>
      <c r="M3952" s="21" t="n">
        <v>550</v>
      </c>
    </row>
    <row r="3953">
      <c r="A3953" s="9" t="inlineStr">
        <is>
          <t>HAIFENG</t>
        </is>
      </c>
      <c r="B3953" s="9" t="inlineStr">
        <is>
          <t>HAIFENG 06/05/2026</t>
        </is>
      </c>
      <c r="C3953" s="9" t="inlineStr">
        <is>
          <t>2026-05-06</t>
        </is>
      </c>
      <c r="D3953" s="9" t="inlineStr">
        <is>
          <t>641887036d043</t>
        </is>
      </c>
      <c r="E3953" s="9" t="inlineStr">
        <is>
          <t>COLLAR TRÉBOL GOLD-RED</t>
        </is>
      </c>
      <c r="F3953" s="9" t="inlineStr">
        <is>
          <t>40cm con extensión de 5cm</t>
        </is>
      </c>
      <c r="G3953" s="9" t="n">
        <v>2</v>
      </c>
      <c r="H3953" s="21" t="n">
        <v>4</v>
      </c>
      <c r="I3953" s="21" t="n">
        <v>84.87</v>
      </c>
      <c r="J3953" s="21" t="n">
        <v>254.62</v>
      </c>
      <c r="K3953" s="21" t="n">
        <v>297.06</v>
      </c>
      <c r="L3953" s="21" t="n">
        <v>339.5</v>
      </c>
      <c r="M3953" s="21" t="n">
        <v>699</v>
      </c>
    </row>
    <row r="3954">
      <c r="A3954" s="9" t="inlineStr">
        <is>
          <t>HAIFENG</t>
        </is>
      </c>
      <c r="B3954" s="9" t="inlineStr">
        <is>
          <t>HAIFENG 06/05/2026</t>
        </is>
      </c>
      <c r="C3954" s="9" t="inlineStr">
        <is>
          <t>2026-05-06</t>
        </is>
      </c>
      <c r="D3954" s="9" t="inlineStr">
        <is>
          <t>66177b4fc21fd</t>
        </is>
      </c>
      <c r="E3954" s="9" t="inlineStr">
        <is>
          <t>COLLAR TRÉBOL GOLD-WHITE</t>
        </is>
      </c>
      <c r="F3954" s="9" t="inlineStr">
        <is>
          <t>45CM</t>
        </is>
      </c>
      <c r="G3954" s="9" t="n">
        <v>4</v>
      </c>
      <c r="H3954" s="21" t="n">
        <v>4</v>
      </c>
      <c r="I3954" s="21" t="n">
        <v>84.87</v>
      </c>
      <c r="J3954" s="21" t="n">
        <v>254.62</v>
      </c>
      <c r="K3954" s="21" t="n">
        <v>297.06</v>
      </c>
      <c r="L3954" s="21" t="n">
        <v>339.5</v>
      </c>
      <c r="M3954" s="21" t="n">
        <v>899</v>
      </c>
    </row>
    <row r="3955">
      <c r="A3955" s="9" t="inlineStr">
        <is>
          <t>HAIFENG</t>
        </is>
      </c>
      <c r="B3955" s="9" t="inlineStr">
        <is>
          <t>HAIFENG 06/05/2026</t>
        </is>
      </c>
      <c r="C3955" s="9" t="inlineStr">
        <is>
          <t>2026-05-06</t>
        </is>
      </c>
      <c r="D3955" s="9" t="inlineStr">
        <is>
          <t>63ebdbffe0b2d</t>
        </is>
      </c>
      <c r="E3955" s="9" t="inlineStr">
        <is>
          <t>GARGANTILLA CD PERLAS</t>
        </is>
      </c>
      <c r="F3955" s="9" t="inlineStr">
        <is>
          <t>Largo 43 cm  Más Extensión 5 cm</t>
        </is>
      </c>
      <c r="G3955" s="9" t="n">
        <v>2</v>
      </c>
      <c r="H3955" s="21" t="n">
        <v>12.9</v>
      </c>
      <c r="I3955" s="21" t="n">
        <v>273.72</v>
      </c>
      <c r="J3955" s="21" t="n">
        <v>821.16</v>
      </c>
      <c r="K3955" s="21" t="n">
        <v>958.02</v>
      </c>
      <c r="L3955" s="21" t="n">
        <v>1094.88</v>
      </c>
      <c r="M3955" s="21" t="n">
        <v>1062</v>
      </c>
    </row>
    <row r="3956">
      <c r="A3956" s="9" t="inlineStr">
        <is>
          <t>HAIFENG</t>
        </is>
      </c>
      <c r="B3956" s="9" t="inlineStr">
        <is>
          <t>HAIFENG 06/05/2026</t>
        </is>
      </c>
      <c r="C3956" s="9" t="inlineStr">
        <is>
          <t>2026-05-06</t>
        </is>
      </c>
      <c r="D3956" s="9" t="inlineStr">
        <is>
          <t>77216891573644</t>
        </is>
      </c>
      <c r="E3956" s="9" t="inlineStr">
        <is>
          <t>GARGANTILLA SIXTEEN STONE</t>
        </is>
      </c>
      <c r="F3956" s="9" t="inlineStr">
        <is>
          <t>42cm</t>
        </is>
      </c>
      <c r="G3956" s="9" t="n">
        <v>2</v>
      </c>
      <c r="H3956" s="21" t="n">
        <v>25</v>
      </c>
      <c r="I3956" s="21" t="n">
        <v>530.47</v>
      </c>
      <c r="J3956" s="21" t="n">
        <v>1591.4</v>
      </c>
      <c r="K3956" s="21" t="n">
        <v>1856.63</v>
      </c>
      <c r="L3956" s="21" t="n">
        <v>2121.86</v>
      </c>
      <c r="M3956" s="21" t="n">
        <v>2099</v>
      </c>
    </row>
    <row r="3957">
      <c r="A3957" s="9" t="inlineStr">
        <is>
          <t>HAIFENG</t>
        </is>
      </c>
      <c r="B3957" s="9" t="inlineStr">
        <is>
          <t>HAIFENG 06/05/2026</t>
        </is>
      </c>
      <c r="C3957" s="9" t="inlineStr">
        <is>
          <t>2026-05-06</t>
        </is>
      </c>
      <c r="D3957" s="9" t="inlineStr">
        <is>
          <t>17964142823277</t>
        </is>
      </c>
      <c r="E3957" s="9" t="inlineStr">
        <is>
          <t>GORRA C BEIS BABY BLUE</t>
        </is>
      </c>
      <c r="F3957" s="9" t="inlineStr">
        <is>
          <t>Default Title</t>
        </is>
      </c>
      <c r="G3957" s="9" t="n">
        <v>2</v>
      </c>
      <c r="H3957" s="21" t="n">
        <v>24</v>
      </c>
      <c r="I3957" s="21" t="n">
        <v>509.25</v>
      </c>
      <c r="J3957" s="21" t="n">
        <v>1527.74</v>
      </c>
      <c r="K3957" s="21" t="n">
        <v>1782.37</v>
      </c>
      <c r="L3957" s="21" t="n">
        <v>2036.99</v>
      </c>
      <c r="M3957" s="21" t="n">
        <v>1999</v>
      </c>
    </row>
    <row r="3958">
      <c r="A3958" s="9" t="inlineStr">
        <is>
          <t>HAIFENG</t>
        </is>
      </c>
      <c r="B3958" s="9" t="inlineStr">
        <is>
          <t>HAIFENG 06/05/2026</t>
        </is>
      </c>
      <c r="C3958" s="9" t="inlineStr">
        <is>
          <t>2026-05-06</t>
        </is>
      </c>
      <c r="D3958" s="9" t="inlineStr">
        <is>
          <t>17964142921581</t>
        </is>
      </c>
      <c r="E3958" s="9" t="inlineStr">
        <is>
          <t>GORRA MM DRILL BLUE</t>
        </is>
      </c>
      <c r="F3958" s="9" t="inlineStr">
        <is>
          <t>Default Title</t>
        </is>
      </c>
      <c r="G3958" s="9" t="n">
        <v>2</v>
      </c>
      <c r="H3958" s="21" t="n">
        <v>24</v>
      </c>
      <c r="I3958" s="21" t="n">
        <v>509.25</v>
      </c>
      <c r="J3958" s="21" t="n">
        <v>1527.74</v>
      </c>
      <c r="K3958" s="21" t="n">
        <v>1782.37</v>
      </c>
      <c r="L3958" s="21" t="n">
        <v>2036.99</v>
      </c>
      <c r="M3958" s="21" t="n">
        <v>1999</v>
      </c>
    </row>
    <row r="3959">
      <c r="A3959" s="9" t="inlineStr">
        <is>
          <t>HAIFENG</t>
        </is>
      </c>
      <c r="B3959" s="9" t="inlineStr">
        <is>
          <t>HAIFENG 06/05/2026</t>
        </is>
      </c>
      <c r="C3959" s="9" t="inlineStr">
        <is>
          <t>2026-05-06</t>
        </is>
      </c>
      <c r="D3959" s="9" t="inlineStr">
        <is>
          <t>17964143087117</t>
        </is>
      </c>
      <c r="E3959" s="9" t="inlineStr">
        <is>
          <t>GORRA MM DRILL PINK</t>
        </is>
      </c>
      <c r="F3959" s="9" t="inlineStr">
        <is>
          <t>Default Title</t>
        </is>
      </c>
      <c r="G3959" s="9" t="n">
        <v>2</v>
      </c>
      <c r="H3959" s="21" t="n">
        <v>24</v>
      </c>
      <c r="I3959" s="21" t="n">
        <v>509.25</v>
      </c>
      <c r="J3959" s="21" t="n">
        <v>1527.74</v>
      </c>
      <c r="K3959" s="21" t="n">
        <v>1782.37</v>
      </c>
      <c r="L3959" s="21" t="n">
        <v>2036.99</v>
      </c>
      <c r="M3959" s="21" t="n">
        <v>1999</v>
      </c>
    </row>
    <row r="3960">
      <c r="A3960" s="9" t="inlineStr">
        <is>
          <t>HAIFENG</t>
        </is>
      </c>
      <c r="B3960" s="9" t="inlineStr">
        <is>
          <t>HAIFENG 06/05/2026</t>
        </is>
      </c>
      <c r="C3960" s="9" t="inlineStr">
        <is>
          <t>2026-05-06</t>
        </is>
      </c>
      <c r="D3960" s="9" t="inlineStr">
        <is>
          <t>17964141887725</t>
        </is>
      </c>
      <c r="E3960" s="9" t="inlineStr">
        <is>
          <t>LENTES CD LINK A1U</t>
        </is>
      </c>
      <c r="F3960" s="9" t="inlineStr">
        <is>
          <t>Default Title</t>
        </is>
      </c>
      <c r="G3960" s="9" t="n">
        <v>2</v>
      </c>
      <c r="H3960" s="21" t="n">
        <v>35</v>
      </c>
      <c r="I3960" s="21" t="n">
        <v>742.65</v>
      </c>
      <c r="J3960" s="21" t="n">
        <v>2227.96</v>
      </c>
      <c r="K3960" s="21" t="n">
        <v>2599.28</v>
      </c>
      <c r="L3960" s="21" t="n">
        <v>2970.61</v>
      </c>
      <c r="M3960" s="21" t="n">
        <v>2899</v>
      </c>
    </row>
    <row r="3961">
      <c r="A3961" s="9" t="inlineStr">
        <is>
          <t>HAIFENG</t>
        </is>
      </c>
      <c r="B3961" s="9" t="inlineStr">
        <is>
          <t>HAIFENG 06/05/2026</t>
        </is>
      </c>
      <c r="C3961" s="9" t="inlineStr">
        <is>
          <t>2026-05-06</t>
        </is>
      </c>
      <c r="D3961" s="9" t="inlineStr">
        <is>
          <t>17964141754957</t>
        </is>
      </c>
      <c r="E3961" s="9" t="inlineStr">
        <is>
          <t>LENTES CD OBLIQUE S1</t>
        </is>
      </c>
      <c r="F3961" s="9" t="inlineStr">
        <is>
          <t>Default Title</t>
        </is>
      </c>
      <c r="G3961" s="9" t="n">
        <v>2</v>
      </c>
      <c r="H3961" s="21" t="n">
        <v>35</v>
      </c>
      <c r="I3961" s="21" t="n">
        <v>742.65</v>
      </c>
      <c r="J3961" s="21" t="n">
        <v>2227.96</v>
      </c>
      <c r="K3961" s="21" t="n">
        <v>2599.28</v>
      </c>
      <c r="L3961" s="21" t="n">
        <v>2970.61</v>
      </c>
      <c r="M3961" s="21" t="n">
        <v>2899</v>
      </c>
    </row>
    <row r="3962">
      <c r="A3962" s="9" t="inlineStr">
        <is>
          <t>HAIFENG</t>
        </is>
      </c>
      <c r="B3962" s="9" t="inlineStr">
        <is>
          <t>HAIFENG 06/05/2026</t>
        </is>
      </c>
      <c r="C3962" s="9" t="inlineStr">
        <is>
          <t>2026-05-06</t>
        </is>
      </c>
      <c r="D3962" s="9" t="inlineStr">
        <is>
          <t>17964141539149</t>
        </is>
      </c>
      <c r="E3962" s="9" t="inlineStr">
        <is>
          <t>LENTES LV WAIMEA</t>
        </is>
      </c>
      <c r="F3962" s="9" t="inlineStr">
        <is>
          <t>Default Title</t>
        </is>
      </c>
      <c r="G3962" s="9" t="n">
        <v>2</v>
      </c>
      <c r="H3962" s="21" t="n">
        <v>28</v>
      </c>
      <c r="I3962" s="21" t="n">
        <v>594.12</v>
      </c>
      <c r="J3962" s="21" t="n">
        <v>1782.37</v>
      </c>
      <c r="K3962" s="21" t="n">
        <v>2079.43</v>
      </c>
      <c r="L3962" s="21" t="n">
        <v>2376.49</v>
      </c>
      <c r="M3962" s="21" t="n">
        <v>2350</v>
      </c>
    </row>
    <row r="3963">
      <c r="A3963" s="9" t="inlineStr">
        <is>
          <t>HAIFENG</t>
        </is>
      </c>
      <c r="B3963" s="9" t="inlineStr">
        <is>
          <t>HAIFENG 06/05/2026</t>
        </is>
      </c>
      <c r="C3963" s="9" t="inlineStr">
        <is>
          <t>2026-05-06</t>
        </is>
      </c>
      <c r="D3963" s="9" t="inlineStr">
        <is>
          <t>56481472890252</t>
        </is>
      </c>
      <c r="E3963" s="9" t="inlineStr">
        <is>
          <t>PULSERA ARO LOVE GOLD</t>
        </is>
      </c>
      <c r="F3963" s="9" t="inlineStr">
        <is>
          <t>18cm con extensión de 3.5cm</t>
        </is>
      </c>
      <c r="G3963" s="9" t="n">
        <v>2</v>
      </c>
      <c r="H3963" s="21" t="n">
        <v>5</v>
      </c>
      <c r="I3963" s="21" t="n">
        <v>106.09</v>
      </c>
      <c r="J3963" s="21" t="n">
        <v>318.28</v>
      </c>
      <c r="K3963" s="21" t="n">
        <v>371.33</v>
      </c>
      <c r="L3963" s="21" t="n">
        <v>424.37</v>
      </c>
      <c r="M3963" s="21" t="n">
        <v>420</v>
      </c>
    </row>
    <row r="3964">
      <c r="A3964" s="9" t="inlineStr">
        <is>
          <t>HAIFENG</t>
        </is>
      </c>
      <c r="B3964" s="9" t="inlineStr">
        <is>
          <t>HAIFENG 06/05/2026</t>
        </is>
      </c>
      <c r="C3964" s="9" t="inlineStr">
        <is>
          <t>2026-05-06</t>
        </is>
      </c>
      <c r="D3964" s="9" t="inlineStr">
        <is>
          <t>56481470598284</t>
        </is>
      </c>
      <c r="E3964" s="9" t="inlineStr">
        <is>
          <t>PULSERA BEAN SILVER</t>
        </is>
      </c>
      <c r="F3964" s="9" t="inlineStr">
        <is>
          <t>17cm</t>
        </is>
      </c>
      <c r="G3964" s="9" t="n">
        <v>2</v>
      </c>
      <c r="H3964" s="21" t="n">
        <v>7.5</v>
      </c>
      <c r="I3964" s="21" t="n">
        <v>159.14</v>
      </c>
      <c r="J3964" s="21" t="n">
        <v>477.42</v>
      </c>
      <c r="K3964" s="21" t="n">
        <v>556.99</v>
      </c>
      <c r="L3964" s="21" t="n">
        <v>636.5599999999999</v>
      </c>
      <c r="M3964" s="21" t="n">
        <v>618</v>
      </c>
    </row>
    <row r="3965">
      <c r="A3965" s="9" t="inlineStr">
        <is>
          <t>HAIFENG</t>
        </is>
      </c>
      <c r="B3965" s="9" t="inlineStr">
        <is>
          <t>HAIFENG 06/05/2026</t>
        </is>
      </c>
      <c r="C3965" s="9" t="inlineStr">
        <is>
          <t>2026-05-06</t>
        </is>
      </c>
      <c r="D3965" s="9" t="inlineStr">
        <is>
          <t>17964142049869</t>
        </is>
      </c>
      <c r="E3965" s="9" t="inlineStr">
        <is>
          <t>PULSERA BV GOLD BLACK-WHITE</t>
        </is>
      </c>
      <c r="F3965" s="9" t="inlineStr">
        <is>
          <t>16CM</t>
        </is>
      </c>
      <c r="G3965" s="9" t="n">
        <v>2</v>
      </c>
      <c r="H3965" s="21" t="n">
        <v>7.5</v>
      </c>
      <c r="I3965" s="21" t="n">
        <v>159.14</v>
      </c>
      <c r="J3965" s="21" t="n">
        <v>477.42</v>
      </c>
      <c r="K3965" s="21" t="n">
        <v>556.99</v>
      </c>
      <c r="L3965" s="21" t="n">
        <v>636.5599999999999</v>
      </c>
      <c r="M3965" s="21" t="n">
        <v>650</v>
      </c>
    </row>
    <row r="3966">
      <c r="A3966" s="9" t="inlineStr">
        <is>
          <t>HAIFENG</t>
        </is>
      </c>
      <c r="B3966" s="9" t="inlineStr">
        <is>
          <t>HAIFENG 06/05/2026</t>
        </is>
      </c>
      <c r="C3966" s="9" t="inlineStr">
        <is>
          <t>2026-05-06</t>
        </is>
      </c>
      <c r="D3966" s="9" t="inlineStr">
        <is>
          <t>64361211113837</t>
        </is>
      </c>
      <c r="E3966" s="9" t="inlineStr">
        <is>
          <t>PULSERA BV ROSEGOLD BLACK-WHITE</t>
        </is>
      </c>
      <c r="F3966" s="9" t="inlineStr">
        <is>
          <t>Default Title</t>
        </is>
      </c>
      <c r="G3966" s="9" t="n">
        <v>4</v>
      </c>
      <c r="H3966" s="21" t="n">
        <v>7.5</v>
      </c>
      <c r="I3966" s="21" t="n">
        <v>159.14</v>
      </c>
      <c r="J3966" s="21" t="n">
        <v>477.42</v>
      </c>
      <c r="K3966" s="21" t="n">
        <v>556.99</v>
      </c>
      <c r="L3966" s="21" t="n">
        <v>636.5599999999999</v>
      </c>
      <c r="M3966" s="21" t="n">
        <v>650</v>
      </c>
    </row>
    <row r="3967">
      <c r="A3967" s="9" t="inlineStr">
        <is>
          <t>HAIFENG</t>
        </is>
      </c>
      <c r="B3967" s="9" t="inlineStr">
        <is>
          <t>HAIFENG 06/05/2026</t>
        </is>
      </c>
      <c r="C3967" s="9" t="inlineStr">
        <is>
          <t>2026-05-06</t>
        </is>
      </c>
      <c r="D3967" s="9" t="inlineStr">
        <is>
          <t>72293841002509</t>
        </is>
      </c>
      <c r="E3967" s="9" t="inlineStr">
        <is>
          <t>PULSERA BV ROSEGOLD CON ZIRCONIA</t>
        </is>
      </c>
      <c r="F3967" s="9" t="inlineStr">
        <is>
          <t>Default Title</t>
        </is>
      </c>
      <c r="G3967" s="9" t="n">
        <v>1</v>
      </c>
      <c r="H3967" s="21" t="n">
        <v>7</v>
      </c>
      <c r="I3967" s="21" t="n">
        <v>148.53</v>
      </c>
      <c r="J3967" s="21" t="n">
        <v>445.59</v>
      </c>
      <c r="K3967" s="21" t="n">
        <v>519.86</v>
      </c>
      <c r="L3967" s="21" t="n">
        <v>594.12</v>
      </c>
      <c r="M3967" s="21" t="n">
        <v>599</v>
      </c>
    </row>
    <row r="3968">
      <c r="A3968" s="9" t="inlineStr">
        <is>
          <t>HAIFENG</t>
        </is>
      </c>
      <c r="B3968" s="9" t="inlineStr">
        <is>
          <t>HAIFENG 06/05/2026</t>
        </is>
      </c>
      <c r="C3968" s="9" t="inlineStr">
        <is>
          <t>2026-05-06</t>
        </is>
      </c>
      <c r="D3968" s="9" t="inlineStr">
        <is>
          <t>37491240998540</t>
        </is>
      </c>
      <c r="E3968" s="9" t="inlineStr">
        <is>
          <t>PULSERA C D’AMOUR GOLD</t>
        </is>
      </c>
      <c r="F3968" s="9" t="inlineStr">
        <is>
          <t>16cm con 3cm de extensión</t>
        </is>
      </c>
      <c r="G3968" s="9" t="n">
        <v>2</v>
      </c>
      <c r="H3968" s="21" t="n">
        <v>5</v>
      </c>
      <c r="I3968" s="21" t="n">
        <v>106.09</v>
      </c>
      <c r="J3968" s="21" t="n">
        <v>318.28</v>
      </c>
      <c r="K3968" s="21" t="n">
        <v>371.33</v>
      </c>
      <c r="L3968" s="21" t="n">
        <v>424.37</v>
      </c>
      <c r="M3968" s="21" t="n">
        <v>450</v>
      </c>
    </row>
    <row r="3969">
      <c r="A3969" s="9" t="inlineStr">
        <is>
          <t>HAIFENG</t>
        </is>
      </c>
      <c r="B3969" s="9" t="inlineStr">
        <is>
          <t>HAIFENG 06/05/2026</t>
        </is>
      </c>
      <c r="C3969" s="9" t="inlineStr">
        <is>
          <t>2026-05-06</t>
        </is>
      </c>
      <c r="D3969" s="9" t="inlineStr">
        <is>
          <t>71078752697389</t>
        </is>
      </c>
      <c r="E3969" s="9" t="inlineStr">
        <is>
          <t>PULSERA C LOGO SILVER</t>
        </is>
      </c>
      <c r="F3969" s="9" t="inlineStr">
        <is>
          <t>Default Title</t>
        </is>
      </c>
      <c r="G3969" s="9" t="n">
        <v>2</v>
      </c>
      <c r="H3969" s="21" t="n">
        <v>7.9</v>
      </c>
      <c r="I3969" s="21" t="n">
        <v>167.63</v>
      </c>
      <c r="J3969" s="21" t="n">
        <v>502.88</v>
      </c>
      <c r="K3969" s="21" t="n">
        <v>586.7</v>
      </c>
      <c r="L3969" s="21" t="n">
        <v>670.51</v>
      </c>
      <c r="M3969" s="21" t="n">
        <v>658.38</v>
      </c>
    </row>
    <row r="3970">
      <c r="A3970" s="9" t="inlineStr">
        <is>
          <t>HAIFENG</t>
        </is>
      </c>
      <c r="B3970" s="9" t="inlineStr">
        <is>
          <t>HAIFENG 06/05/2026</t>
        </is>
      </c>
      <c r="C3970" s="9" t="inlineStr">
        <is>
          <t>2026-05-06</t>
        </is>
      </c>
      <c r="D3970" s="9" t="inlineStr">
        <is>
          <t>66075802428173</t>
        </is>
      </c>
      <c r="E3970" s="9" t="inlineStr">
        <is>
          <t>PULSERA CHAIN GOLD CD</t>
        </is>
      </c>
      <c r="F3970" s="9" t="inlineStr">
        <is>
          <t>Default Title</t>
        </is>
      </c>
      <c r="G3970" s="9" t="n">
        <v>2</v>
      </c>
      <c r="H3970" s="21" t="n">
        <v>7.9</v>
      </c>
      <c r="I3970" s="21" t="n">
        <v>167.63</v>
      </c>
      <c r="J3970" s="21" t="n">
        <v>502.88</v>
      </c>
      <c r="K3970" s="21" t="n">
        <v>586.7</v>
      </c>
      <c r="L3970" s="21" t="n">
        <v>670.51</v>
      </c>
      <c r="M3970" s="21" t="n">
        <v>651</v>
      </c>
    </row>
    <row r="3971">
      <c r="A3971" s="9" t="inlineStr">
        <is>
          <t>HAIFENG</t>
        </is>
      </c>
      <c r="B3971" s="9" t="inlineStr">
        <is>
          <t>HAIFENG 06/05/2026</t>
        </is>
      </c>
      <c r="C3971" s="9" t="inlineStr">
        <is>
          <t>2026-05-06</t>
        </is>
      </c>
      <c r="D3971" s="9" t="inlineStr">
        <is>
          <t>63e0c23442e74</t>
        </is>
      </c>
      <c r="E3971" s="9" t="inlineStr">
        <is>
          <t>PULSERA CLIC H GOLD BLACK</t>
        </is>
      </c>
      <c r="F3971" s="9" t="inlineStr">
        <is>
          <t>16.8 cm</t>
        </is>
      </c>
      <c r="G3971" s="9" t="n">
        <v>2</v>
      </c>
      <c r="H3971" s="21" t="n">
        <v>5</v>
      </c>
      <c r="I3971" s="21" t="n">
        <v>106.09</v>
      </c>
      <c r="J3971" s="21" t="n">
        <v>318.28</v>
      </c>
      <c r="K3971" s="21" t="n">
        <v>371.33</v>
      </c>
      <c r="L3971" s="21" t="n">
        <v>424.37</v>
      </c>
      <c r="M3971" s="21" t="n">
        <v>569</v>
      </c>
    </row>
    <row r="3972">
      <c r="A3972" s="9" t="inlineStr">
        <is>
          <t>HAIFENG</t>
        </is>
      </c>
      <c r="B3972" s="9" t="inlineStr">
        <is>
          <t>HAIFENG 06/05/2026</t>
        </is>
      </c>
      <c r="C3972" s="9" t="inlineStr">
        <is>
          <t>2026-05-06</t>
        </is>
      </c>
      <c r="D3972" s="9" t="inlineStr">
        <is>
          <t>63ebddddb879a</t>
        </is>
      </c>
      <c r="E3972" s="9" t="inlineStr">
        <is>
          <t>PULSERA CLIC H GOLD WHITE</t>
        </is>
      </c>
      <c r="F3972" s="9" t="inlineStr">
        <is>
          <t>16.8 cm</t>
        </is>
      </c>
      <c r="G3972" s="9" t="n">
        <v>12</v>
      </c>
      <c r="H3972" s="21" t="n">
        <v>5</v>
      </c>
      <c r="I3972" s="21" t="n">
        <v>106.09</v>
      </c>
      <c r="J3972" s="21" t="n">
        <v>318.28</v>
      </c>
      <c r="K3972" s="21" t="n">
        <v>371.33</v>
      </c>
      <c r="L3972" s="21" t="n">
        <v>424.37</v>
      </c>
      <c r="M3972" s="21" t="n">
        <v>569</v>
      </c>
    </row>
    <row r="3973">
      <c r="A3973" s="9" t="inlineStr">
        <is>
          <t>HAIFENG</t>
        </is>
      </c>
      <c r="B3973" s="9" t="inlineStr">
        <is>
          <t>HAIFENG 06/05/2026</t>
        </is>
      </c>
      <c r="C3973" s="9" t="inlineStr">
        <is>
          <t>2026-05-06</t>
        </is>
      </c>
      <c r="D3973" s="9" t="inlineStr">
        <is>
          <t>63e0c2310d7f4</t>
        </is>
      </c>
      <c r="E3973" s="9" t="inlineStr">
        <is>
          <t>PULSERA CLIC H SILVER WHITE</t>
        </is>
      </c>
      <c r="F3973" s="9" t="inlineStr">
        <is>
          <t>16.8 cm</t>
        </is>
      </c>
      <c r="G3973" s="9" t="n">
        <v>6</v>
      </c>
      <c r="H3973" s="21" t="n">
        <v>5</v>
      </c>
      <c r="I3973" s="21" t="n">
        <v>106.09</v>
      </c>
      <c r="J3973" s="21" t="n">
        <v>318.28</v>
      </c>
      <c r="K3973" s="21" t="n">
        <v>371.33</v>
      </c>
      <c r="L3973" s="21" t="n">
        <v>424.37</v>
      </c>
      <c r="M3973" s="21" t="n">
        <v>569</v>
      </c>
    </row>
    <row r="3974">
      <c r="A3974" s="9" t="inlineStr">
        <is>
          <t>HAIFENG</t>
        </is>
      </c>
      <c r="B3974" s="9" t="inlineStr">
        <is>
          <t>HAIFENG 06/05/2026</t>
        </is>
      </c>
      <c r="C3974" s="9" t="inlineStr">
        <is>
          <t>2026-05-06</t>
        </is>
      </c>
      <c r="D3974" s="9" t="inlineStr">
        <is>
          <t>43728081992652</t>
        </is>
      </c>
      <c r="E3974" s="9" t="inlineStr">
        <is>
          <t>PULSERA CON PASADOR Y PLACA ESTILO CORAZON SILVER</t>
        </is>
      </c>
      <c r="F3974" s="9" t="inlineStr">
        <is>
          <t>17cm</t>
        </is>
      </c>
      <c r="G3974" s="9" t="n">
        <v>4</v>
      </c>
      <c r="H3974" s="21" t="n">
        <v>7</v>
      </c>
      <c r="I3974" s="21" t="n">
        <v>148.53</v>
      </c>
      <c r="J3974" s="21" t="n">
        <v>445.59</v>
      </c>
      <c r="K3974" s="21" t="n">
        <v>519.86</v>
      </c>
      <c r="L3974" s="21" t="n">
        <v>594.12</v>
      </c>
      <c r="M3974" s="21" t="n">
        <v>699</v>
      </c>
    </row>
    <row r="3975">
      <c r="A3975" s="9" t="inlineStr">
        <is>
          <t>HAIFENG</t>
        </is>
      </c>
      <c r="B3975" s="9" t="inlineStr">
        <is>
          <t>HAIFENG 06/05/2026</t>
        </is>
      </c>
      <c r="C3975" s="9" t="inlineStr">
        <is>
          <t>2026-05-06</t>
        </is>
      </c>
      <c r="D3975" s="9" t="inlineStr">
        <is>
          <t>668eee34bc314</t>
        </is>
      </c>
      <c r="E3975" s="9" t="inlineStr">
        <is>
          <t>PULSERA DE CUENTAS CON INSIGNIA DE CORAZÓN BLUE</t>
        </is>
      </c>
      <c r="F3975" s="9" t="inlineStr">
        <is>
          <t>16 cm</t>
        </is>
      </c>
      <c r="G3975" s="9" t="n">
        <v>10</v>
      </c>
      <c r="H3975" s="21" t="n">
        <v>5</v>
      </c>
      <c r="I3975" s="21" t="n">
        <v>106.09</v>
      </c>
      <c r="J3975" s="21" t="n">
        <v>318.28</v>
      </c>
      <c r="K3975" s="21" t="n">
        <v>371.33</v>
      </c>
      <c r="L3975" s="21" t="n">
        <v>424.37</v>
      </c>
      <c r="M3975" s="21" t="n">
        <v>550</v>
      </c>
    </row>
    <row r="3976">
      <c r="A3976" s="9" t="inlineStr">
        <is>
          <t>HAIFENG</t>
        </is>
      </c>
      <c r="B3976" s="9" t="inlineStr">
        <is>
          <t>HAIFENG 06/05/2026</t>
        </is>
      </c>
      <c r="C3976" s="9" t="inlineStr">
        <is>
          <t>2026-05-06</t>
        </is>
      </c>
      <c r="D3976" s="9" t="inlineStr">
        <is>
          <t>668eee34bc314</t>
        </is>
      </c>
      <c r="E3976" s="9" t="inlineStr">
        <is>
          <t>PULSERA DE CUENTAS CON INSIGNIA DE CORAZÓN BLUE</t>
        </is>
      </c>
      <c r="F3976" s="9" t="inlineStr">
        <is>
          <t>16 cm</t>
        </is>
      </c>
      <c r="G3976" s="9" t="n">
        <v>10</v>
      </c>
      <c r="H3976" s="21" t="n">
        <v>5</v>
      </c>
      <c r="I3976" s="21" t="n">
        <v>106.09</v>
      </c>
      <c r="J3976" s="21" t="n">
        <v>318.28</v>
      </c>
      <c r="K3976" s="21" t="n">
        <v>371.33</v>
      </c>
      <c r="L3976" s="21" t="n">
        <v>424.37</v>
      </c>
      <c r="M3976" s="21" t="n">
        <v>550</v>
      </c>
    </row>
    <row r="3977">
      <c r="A3977" s="9" t="inlineStr">
        <is>
          <t>HAIFENG</t>
        </is>
      </c>
      <c r="B3977" s="9" t="inlineStr">
        <is>
          <t>HAIFENG 06/05/2026</t>
        </is>
      </c>
      <c r="C3977" s="9" t="inlineStr">
        <is>
          <t>2026-05-06</t>
        </is>
      </c>
      <c r="D3977" s="9" t="inlineStr">
        <is>
          <t>43047224508556</t>
        </is>
      </c>
      <c r="E3977" s="9" t="inlineStr">
        <is>
          <t>PULSERA DE CUENTAS CON INSIGNIA DE CORAZÓN PINK</t>
        </is>
      </c>
      <c r="F3977" s="9" t="inlineStr">
        <is>
          <t>16 cm</t>
        </is>
      </c>
      <c r="G3977" s="9" t="n">
        <v>12</v>
      </c>
      <c r="H3977" s="21" t="n">
        <v>5</v>
      </c>
      <c r="I3977" s="21" t="n">
        <v>106.09</v>
      </c>
      <c r="J3977" s="21" t="n">
        <v>318.28</v>
      </c>
      <c r="K3977" s="21" t="n">
        <v>371.33</v>
      </c>
      <c r="L3977" s="21" t="n">
        <v>424.37</v>
      </c>
      <c r="M3977" s="21" t="n">
        <v>550</v>
      </c>
    </row>
    <row r="3978">
      <c r="A3978" s="9" t="inlineStr">
        <is>
          <t>HAIFENG</t>
        </is>
      </c>
      <c r="B3978" s="9" t="inlineStr">
        <is>
          <t>HAIFENG 06/05/2026</t>
        </is>
      </c>
      <c r="C3978" s="9" t="inlineStr">
        <is>
          <t>2026-05-06</t>
        </is>
      </c>
      <c r="D3978" s="9" t="inlineStr">
        <is>
          <t>668eee51ba91b</t>
        </is>
      </c>
      <c r="E3978" s="9" t="inlineStr">
        <is>
          <t>PULSERA DE CUENTAS CON INSIGNIA DE CORAZÓN RED</t>
        </is>
      </c>
      <c r="F3978" s="9" t="inlineStr">
        <is>
          <t>17 cm</t>
        </is>
      </c>
      <c r="G3978" s="9" t="n">
        <v>2</v>
      </c>
      <c r="H3978" s="21" t="n">
        <v>5</v>
      </c>
      <c r="I3978" s="21" t="n">
        <v>106.09</v>
      </c>
      <c r="J3978" s="21" t="n">
        <v>318.28</v>
      </c>
      <c r="K3978" s="21" t="n">
        <v>371.33</v>
      </c>
      <c r="L3978" s="21" t="n">
        <v>424.37</v>
      </c>
      <c r="M3978" s="21" t="n">
        <v>550</v>
      </c>
    </row>
    <row r="3979">
      <c r="A3979" s="9" t="inlineStr">
        <is>
          <t>HAIFENG</t>
        </is>
      </c>
      <c r="B3979" s="9" t="inlineStr">
        <is>
          <t>HAIFENG 06/05/2026</t>
        </is>
      </c>
      <c r="C3979" s="9" t="inlineStr">
        <is>
          <t>2026-05-06</t>
        </is>
      </c>
      <c r="D3979" s="9" t="inlineStr">
        <is>
          <t>6617748fe62cc</t>
        </is>
      </c>
      <c r="E3979" s="9" t="inlineStr">
        <is>
          <t>PULSERA DE TELA TRES AROS BLACK</t>
        </is>
      </c>
      <c r="F3979" s="9" t="inlineStr">
        <is>
          <t>AJUSTABLE</t>
        </is>
      </c>
      <c r="G3979" s="9" t="n">
        <v>6</v>
      </c>
      <c r="H3979" s="21" t="n">
        <v>4.7</v>
      </c>
      <c r="I3979" s="21" t="n">
        <v>99.73</v>
      </c>
      <c r="J3979" s="21" t="n">
        <v>299.18</v>
      </c>
      <c r="K3979" s="21" t="n">
        <v>349.05</v>
      </c>
      <c r="L3979" s="21" t="n">
        <v>398.91</v>
      </c>
      <c r="M3979" s="21" t="n">
        <v>399</v>
      </c>
    </row>
    <row r="3980">
      <c r="A3980" s="9" t="inlineStr">
        <is>
          <t>HAIFENG</t>
        </is>
      </c>
      <c r="B3980" s="9" t="inlineStr">
        <is>
          <t>HAIFENG 06/05/2026</t>
        </is>
      </c>
      <c r="C3980" s="9" t="inlineStr">
        <is>
          <t>2026-05-06</t>
        </is>
      </c>
      <c r="D3980" s="9" t="inlineStr">
        <is>
          <t>18652671095713</t>
        </is>
      </c>
      <c r="E3980" s="9" t="inlineStr">
        <is>
          <t>PULSERA DE TELA TRES AROS GREY</t>
        </is>
      </c>
      <c r="F3980" s="9" t="inlineStr">
        <is>
          <t>Default Title</t>
        </is>
      </c>
      <c r="G3980" s="9" t="n">
        <v>3</v>
      </c>
      <c r="H3980" s="21" t="n">
        <v>4.7</v>
      </c>
      <c r="I3980" s="21" t="n">
        <v>99.73</v>
      </c>
      <c r="J3980" s="21" t="n">
        <v>299.18</v>
      </c>
      <c r="K3980" s="21" t="n">
        <v>349.05</v>
      </c>
      <c r="L3980" s="21" t="n">
        <v>398.91</v>
      </c>
      <c r="M3980" s="21" t="n">
        <v>399</v>
      </c>
    </row>
    <row r="3981">
      <c r="A3981" s="9" t="inlineStr">
        <is>
          <t>HAIFENG</t>
        </is>
      </c>
      <c r="B3981" s="9" t="inlineStr">
        <is>
          <t>HAIFENG 06/05/2026</t>
        </is>
      </c>
      <c r="C3981" s="9" t="inlineStr">
        <is>
          <t>2026-05-06</t>
        </is>
      </c>
      <c r="D3981" s="9" t="inlineStr">
        <is>
          <t>40154171869549</t>
        </is>
      </c>
      <c r="E3981" s="9" t="inlineStr">
        <is>
          <t>PULSERA KNOT CADENA ROSE GOLD</t>
        </is>
      </c>
      <c r="F3981" s="9" t="inlineStr">
        <is>
          <t>Default Title</t>
        </is>
      </c>
      <c r="G3981" s="9" t="n">
        <v>3</v>
      </c>
      <c r="H3981" s="21" t="n">
        <v>7</v>
      </c>
      <c r="I3981" s="21" t="n">
        <v>148.53</v>
      </c>
      <c r="J3981" s="21" t="n">
        <v>445.59</v>
      </c>
      <c r="K3981" s="21" t="n">
        <v>519.86</v>
      </c>
      <c r="L3981" s="21" t="n">
        <v>594.12</v>
      </c>
      <c r="M3981" s="21" t="n">
        <v>576.8</v>
      </c>
    </row>
    <row r="3982">
      <c r="A3982" s="9" t="inlineStr">
        <is>
          <t>HAIFENG</t>
        </is>
      </c>
      <c r="B3982" s="9" t="inlineStr">
        <is>
          <t>HAIFENG 06/05/2026</t>
        </is>
      </c>
      <c r="C3982" s="9" t="inlineStr">
        <is>
          <t>2026-05-06</t>
        </is>
      </c>
      <c r="D3982" s="9" t="inlineStr">
        <is>
          <t>63e0c5395cc64</t>
        </is>
      </c>
      <c r="E3982" s="9" t="inlineStr">
        <is>
          <t>PULSERA LOVE CON ZIRCONIA ROSE GOLD</t>
        </is>
      </c>
      <c r="F3982" s="9" t="inlineStr">
        <is>
          <t>17 cm</t>
        </is>
      </c>
      <c r="G3982" s="9" t="n">
        <v>2</v>
      </c>
      <c r="H3982" s="21" t="n">
        <v>4.5</v>
      </c>
      <c r="I3982" s="21" t="n">
        <v>95.48</v>
      </c>
      <c r="J3982" s="21" t="n">
        <v>286.45</v>
      </c>
      <c r="K3982" s="21" t="n">
        <v>334.19</v>
      </c>
      <c r="L3982" s="21" t="n">
        <v>381.94</v>
      </c>
      <c r="M3982" s="21" t="n">
        <v>499</v>
      </c>
    </row>
    <row r="3983">
      <c r="A3983" s="9" t="inlineStr">
        <is>
          <t>HAIFENG</t>
        </is>
      </c>
      <c r="B3983" s="9" t="inlineStr">
        <is>
          <t>HAIFENG 06/05/2026</t>
        </is>
      </c>
      <c r="C3983" s="9" t="inlineStr">
        <is>
          <t>2026-05-06</t>
        </is>
      </c>
      <c r="D3983" s="9" t="inlineStr">
        <is>
          <t>79274691241741</t>
        </is>
      </c>
      <c r="E3983" s="9" t="inlineStr">
        <is>
          <t>PULSERA LOVE DELGADA GOLD</t>
        </is>
      </c>
      <c r="F3983" s="9" t="inlineStr">
        <is>
          <t>18cm</t>
        </is>
      </c>
      <c r="G3983" s="9" t="n">
        <v>3</v>
      </c>
      <c r="H3983" s="21" t="n">
        <v>5</v>
      </c>
      <c r="I3983" s="21" t="n">
        <v>106.09</v>
      </c>
      <c r="J3983" s="21" t="n">
        <v>318.28</v>
      </c>
      <c r="K3983" s="21" t="n">
        <v>371.33</v>
      </c>
      <c r="L3983" s="21" t="n">
        <v>424.37</v>
      </c>
      <c r="M3983" s="21" t="n">
        <v>499</v>
      </c>
    </row>
    <row r="3984">
      <c r="A3984" s="9" t="inlineStr">
        <is>
          <t>HAIFENG</t>
        </is>
      </c>
      <c r="B3984" s="9" t="inlineStr">
        <is>
          <t>HAIFENG 06/05/2026</t>
        </is>
      </c>
      <c r="C3984" s="9" t="inlineStr">
        <is>
          <t>2026-05-06</t>
        </is>
      </c>
      <c r="D3984" s="9" t="inlineStr">
        <is>
          <t>79274691374509</t>
        </is>
      </c>
      <c r="E3984" s="9" t="inlineStr">
        <is>
          <t>PULSERA LOVE DELGADA GOLD</t>
        </is>
      </c>
      <c r="F3984" s="9" t="inlineStr">
        <is>
          <t>19cm</t>
        </is>
      </c>
      <c r="G3984" s="9" t="n">
        <v>12</v>
      </c>
      <c r="H3984" s="21" t="n">
        <v>5</v>
      </c>
      <c r="I3984" s="21" t="n">
        <v>106.09</v>
      </c>
      <c r="J3984" s="21" t="n">
        <v>318.28</v>
      </c>
      <c r="K3984" s="21" t="n">
        <v>371.33</v>
      </c>
      <c r="L3984" s="21" t="n">
        <v>424.37</v>
      </c>
      <c r="M3984" s="21" t="n">
        <v>499</v>
      </c>
    </row>
    <row r="3985">
      <c r="A3985" s="9" t="inlineStr">
        <is>
          <t>HAIFENG</t>
        </is>
      </c>
      <c r="B3985" s="9" t="inlineStr">
        <is>
          <t>HAIFENG 06/05/2026</t>
        </is>
      </c>
      <c r="C3985" s="9" t="inlineStr">
        <is>
          <t>2026-05-06</t>
        </is>
      </c>
      <c r="D3985" s="9" t="inlineStr">
        <is>
          <t>63ebdf98523b4</t>
        </is>
      </c>
      <c r="E3985" s="9" t="inlineStr">
        <is>
          <t>PULSERA LOVE DELGADA GOLD CON MICRO ZIRCONIAS</t>
        </is>
      </c>
      <c r="F3985" s="9" t="inlineStr">
        <is>
          <t>16 cm</t>
        </is>
      </c>
      <c r="G3985" s="9" t="n">
        <v>2</v>
      </c>
      <c r="H3985" s="21" t="n">
        <v>13</v>
      </c>
      <c r="I3985" s="21" t="n">
        <v>275.84</v>
      </c>
      <c r="J3985" s="21" t="n">
        <v>827.53</v>
      </c>
      <c r="K3985" s="21" t="n">
        <v>965.45</v>
      </c>
      <c r="L3985" s="21" t="n">
        <v>1103.37</v>
      </c>
      <c r="M3985" s="21" t="n">
        <v>1099</v>
      </c>
    </row>
    <row r="3986">
      <c r="A3986" s="9" t="inlineStr">
        <is>
          <t>HAIFENG</t>
        </is>
      </c>
      <c r="B3986" s="9" t="inlineStr">
        <is>
          <t>HAIFENG 06/05/2026</t>
        </is>
      </c>
      <c r="C3986" s="9" t="inlineStr">
        <is>
          <t>2026-05-06</t>
        </is>
      </c>
      <c r="D3986" s="9" t="inlineStr">
        <is>
          <t>63e0c58ca26ac</t>
        </is>
      </c>
      <c r="E3986" s="9" t="inlineStr">
        <is>
          <t>PULSERA LOVE DELGADA ROSE GOLD</t>
        </is>
      </c>
      <c r="F3986" s="9" t="inlineStr">
        <is>
          <t>16 cm</t>
        </is>
      </c>
      <c r="G3986" s="9" t="n">
        <v>2</v>
      </c>
      <c r="H3986" s="21" t="n">
        <v>5</v>
      </c>
      <c r="I3986" s="21" t="n">
        <v>106.09</v>
      </c>
      <c r="J3986" s="21" t="n">
        <v>318.28</v>
      </c>
      <c r="K3986" s="21" t="n">
        <v>371.33</v>
      </c>
      <c r="L3986" s="21" t="n">
        <v>424.37</v>
      </c>
      <c r="M3986" s="21" t="n">
        <v>499</v>
      </c>
    </row>
    <row r="3987">
      <c r="A3987" s="9" t="inlineStr">
        <is>
          <t>HAIFENG</t>
        </is>
      </c>
      <c r="B3987" s="9" t="inlineStr">
        <is>
          <t>HAIFENG 06/05/2026</t>
        </is>
      </c>
      <c r="C3987" s="9" t="inlineStr">
        <is>
          <t>2026-05-06</t>
        </is>
      </c>
      <c r="D3987" s="9" t="inlineStr">
        <is>
          <t>77724991305581</t>
        </is>
      </c>
      <c r="E3987" s="9" t="inlineStr">
        <is>
          <t>PULSERA LOVE DELGADA SILVER</t>
        </is>
      </c>
      <c r="F3987" s="9" t="inlineStr">
        <is>
          <t>19cm</t>
        </is>
      </c>
      <c r="G3987" s="9" t="n">
        <v>4</v>
      </c>
      <c r="H3987" s="21" t="n">
        <v>5</v>
      </c>
      <c r="I3987" s="21" t="n">
        <v>106.09</v>
      </c>
      <c r="J3987" s="21" t="n">
        <v>318.28</v>
      </c>
      <c r="K3987" s="21" t="n">
        <v>371.33</v>
      </c>
      <c r="L3987" s="21" t="n">
        <v>424.37</v>
      </c>
      <c r="M3987" s="21" t="n">
        <v>499</v>
      </c>
    </row>
    <row r="3988">
      <c r="A3988" s="9" t="inlineStr">
        <is>
          <t>HAIFENG</t>
        </is>
      </c>
      <c r="B3988" s="9" t="inlineStr">
        <is>
          <t>HAIFENG 06/05/2026</t>
        </is>
      </c>
      <c r="C3988" s="9" t="inlineStr">
        <is>
          <t>2026-05-06</t>
        </is>
      </c>
      <c r="D3988" s="9" t="inlineStr">
        <is>
          <t>77724991272813</t>
        </is>
      </c>
      <c r="E3988" s="9" t="inlineStr">
        <is>
          <t>PULSERA LOVE DELGADA SILVER</t>
        </is>
      </c>
      <c r="F3988" s="9" t="inlineStr">
        <is>
          <t>18cm</t>
        </is>
      </c>
      <c r="G3988" s="9" t="n">
        <v>1</v>
      </c>
      <c r="H3988" s="21" t="n">
        <v>5</v>
      </c>
      <c r="I3988" s="21" t="n">
        <v>106.09</v>
      </c>
      <c r="J3988" s="21" t="n">
        <v>318.28</v>
      </c>
      <c r="K3988" s="21" t="n">
        <v>371.33</v>
      </c>
      <c r="L3988" s="21" t="n">
        <v>424.37</v>
      </c>
      <c r="M3988" s="21" t="n">
        <v>499</v>
      </c>
    </row>
    <row r="3989">
      <c r="A3989" s="9" t="inlineStr">
        <is>
          <t>HAIFENG</t>
        </is>
      </c>
      <c r="B3989" s="9" t="inlineStr">
        <is>
          <t>HAIFENG 06/05/2026</t>
        </is>
      </c>
      <c r="C3989" s="9" t="inlineStr">
        <is>
          <t>2026-05-06</t>
        </is>
      </c>
      <c r="D3989" s="9" t="inlineStr">
        <is>
          <t>66177008100f3</t>
        </is>
      </c>
      <c r="E3989" s="9" t="inlineStr">
        <is>
          <t>PULSERA LOVE GOLD</t>
        </is>
      </c>
      <c r="F3989" s="9" t="inlineStr">
        <is>
          <t>18 CM</t>
        </is>
      </c>
      <c r="G3989" s="9" t="n">
        <v>3</v>
      </c>
      <c r="H3989" s="21" t="n">
        <v>4.5</v>
      </c>
      <c r="I3989" s="21" t="n">
        <v>95.48</v>
      </c>
      <c r="J3989" s="21" t="n">
        <v>286.45</v>
      </c>
      <c r="K3989" s="21" t="n">
        <v>334.19</v>
      </c>
      <c r="L3989" s="21" t="n">
        <v>381.94</v>
      </c>
      <c r="M3989" s="21" t="n">
        <v>499</v>
      </c>
    </row>
    <row r="3990">
      <c r="A3990" s="9" t="inlineStr">
        <is>
          <t>HAIFENG</t>
        </is>
      </c>
      <c r="B3990" s="9" t="inlineStr">
        <is>
          <t>HAIFENG 06/05/2026</t>
        </is>
      </c>
      <c r="C3990" s="9" t="inlineStr">
        <is>
          <t>2026-05-06</t>
        </is>
      </c>
      <c r="D3990" s="9" t="inlineStr">
        <is>
          <t>47179791074049</t>
        </is>
      </c>
      <c r="E3990" s="9" t="inlineStr">
        <is>
          <t>PULSERA LOVE LOVE GOLD</t>
        </is>
      </c>
      <c r="F3990" s="9" t="inlineStr">
        <is>
          <t>16cm con 5cm de extensión</t>
        </is>
      </c>
      <c r="G3990" s="9" t="n">
        <v>7</v>
      </c>
      <c r="H3990" s="21" t="n">
        <v>5</v>
      </c>
      <c r="I3990" s="21" t="n">
        <v>106.09</v>
      </c>
      <c r="J3990" s="21" t="n">
        <v>318.28</v>
      </c>
      <c r="K3990" s="21" t="n">
        <v>371.33</v>
      </c>
      <c r="L3990" s="21" t="n">
        <v>424.37</v>
      </c>
      <c r="M3990" s="21" t="n">
        <v>499</v>
      </c>
    </row>
    <row r="3991">
      <c r="A3991" s="9" t="inlineStr">
        <is>
          <t>HAIFENG</t>
        </is>
      </c>
      <c r="B3991" s="9" t="inlineStr">
        <is>
          <t>HAIFENG 06/05/2026</t>
        </is>
      </c>
      <c r="C3991" s="9" t="inlineStr">
        <is>
          <t>2026-05-06</t>
        </is>
      </c>
      <c r="D3991" s="9" t="inlineStr">
        <is>
          <t>43728091279628</t>
        </is>
      </c>
      <c r="E3991" s="9" t="inlineStr">
        <is>
          <t>PULSERA LOVE SILVER</t>
        </is>
      </c>
      <c r="F3991" s="9" t="inlineStr">
        <is>
          <t>21cm</t>
        </is>
      </c>
      <c r="G3991" s="9" t="n">
        <v>3</v>
      </c>
      <c r="H3991" s="21" t="n">
        <v>4.5</v>
      </c>
      <c r="I3991" s="21" t="n">
        <v>95.48</v>
      </c>
      <c r="J3991" s="21" t="n">
        <v>286.45</v>
      </c>
      <c r="K3991" s="21" t="n">
        <v>334.19</v>
      </c>
      <c r="L3991" s="21" t="n">
        <v>381.94</v>
      </c>
      <c r="M3991" s="21" t="n">
        <v>499</v>
      </c>
    </row>
    <row r="3992">
      <c r="A3992" s="9" t="inlineStr">
        <is>
          <t>HAIFENG</t>
        </is>
      </c>
      <c r="B3992" s="9" t="inlineStr">
        <is>
          <t>HAIFENG 06/05/2026</t>
        </is>
      </c>
      <c r="C3992" s="9" t="inlineStr">
        <is>
          <t>2026-05-06</t>
        </is>
      </c>
      <c r="D3992" s="9" t="inlineStr">
        <is>
          <t>43728090715788</t>
        </is>
      </c>
      <c r="E3992" s="9" t="inlineStr">
        <is>
          <t>PULSERA LOVE SILVER</t>
        </is>
      </c>
      <c r="F3992" s="9" t="inlineStr">
        <is>
          <t>16cm</t>
        </is>
      </c>
      <c r="G3992" s="9" t="n">
        <v>4</v>
      </c>
      <c r="H3992" s="21" t="n">
        <v>4.5</v>
      </c>
      <c r="I3992" s="21" t="n">
        <v>95.48</v>
      </c>
      <c r="J3992" s="21" t="n">
        <v>286.45</v>
      </c>
      <c r="K3992" s="21" t="n">
        <v>334.19</v>
      </c>
      <c r="L3992" s="21" t="n">
        <v>381.94</v>
      </c>
      <c r="M3992" s="21" t="n">
        <v>499</v>
      </c>
    </row>
    <row r="3993">
      <c r="A3993" s="9" t="inlineStr">
        <is>
          <t>HAIFENG</t>
        </is>
      </c>
      <c r="B3993" s="9" t="inlineStr">
        <is>
          <t>HAIFENG 06/05/2026</t>
        </is>
      </c>
      <c r="C3993" s="9" t="inlineStr">
        <is>
          <t>2026-05-06</t>
        </is>
      </c>
      <c r="D3993" s="9" t="inlineStr">
        <is>
          <t>70975141082189</t>
        </is>
      </c>
      <c r="E3993" s="9" t="inlineStr">
        <is>
          <t>PULSERA LOVE UNLIMITED SILVER</t>
        </is>
      </c>
      <c r="F3993" s="9" t="inlineStr">
        <is>
          <t>17</t>
        </is>
      </c>
      <c r="G3993" s="9" t="n">
        <v>6</v>
      </c>
      <c r="H3993" s="21" t="n">
        <v>15</v>
      </c>
      <c r="I3993" s="21" t="n">
        <v>318.28</v>
      </c>
      <c r="J3993" s="21" t="n">
        <v>954.84</v>
      </c>
      <c r="K3993" s="21" t="n">
        <v>1113.98</v>
      </c>
      <c r="L3993" s="21" t="n">
        <v>1273.12</v>
      </c>
      <c r="M3993" s="21" t="n">
        <v>1399</v>
      </c>
    </row>
    <row r="3994">
      <c r="A3994" s="9" t="inlineStr">
        <is>
          <t>HAIFENG</t>
        </is>
      </c>
      <c r="B3994" s="9" t="inlineStr">
        <is>
          <t>HAIFENG 06/05/2026</t>
        </is>
      </c>
      <c r="C3994" s="9" t="inlineStr">
        <is>
          <t>2026-05-06</t>
        </is>
      </c>
      <c r="D3994" s="9" t="inlineStr">
        <is>
          <t>66360701088653</t>
        </is>
      </c>
      <c r="E3994" s="9" t="inlineStr">
        <is>
          <t>PULSERA LUCKY SILVER CD</t>
        </is>
      </c>
      <c r="F3994" s="9" t="inlineStr">
        <is>
          <t>Default Title</t>
        </is>
      </c>
      <c r="G3994" s="9" t="n">
        <v>4</v>
      </c>
      <c r="H3994" s="21" t="n">
        <v>6</v>
      </c>
      <c r="I3994" s="21" t="n">
        <v>127.31</v>
      </c>
      <c r="J3994" s="21" t="n">
        <v>381.94</v>
      </c>
      <c r="K3994" s="21" t="n">
        <v>445.59</v>
      </c>
      <c r="L3994" s="21" t="n">
        <v>509.25</v>
      </c>
      <c r="M3994" s="21" t="n">
        <v>500</v>
      </c>
    </row>
    <row r="3995">
      <c r="A3995" s="9" t="inlineStr">
        <is>
          <t>HAIFENG</t>
        </is>
      </c>
      <c r="B3995" s="9" t="inlineStr">
        <is>
          <t>HAIFENG 06/05/2026</t>
        </is>
      </c>
      <c r="C3995" s="9" t="inlineStr">
        <is>
          <t>2026-05-06</t>
        </is>
      </c>
      <c r="D3995" s="9" t="inlineStr">
        <is>
          <t>67201535214413</t>
        </is>
      </c>
      <c r="E3995" s="9" t="inlineStr">
        <is>
          <t>PULSERA LUCKY SPRING ROSE GOLD VF</t>
        </is>
      </c>
      <c r="F3995" s="9" t="inlineStr">
        <is>
          <t>Default Title</t>
        </is>
      </c>
      <c r="G3995" s="9" t="n">
        <v>6</v>
      </c>
      <c r="H3995" s="21" t="n">
        <v>7</v>
      </c>
      <c r="I3995" s="21" t="n">
        <v>148.53</v>
      </c>
      <c r="J3995" s="21" t="n">
        <v>445.59</v>
      </c>
      <c r="K3995" s="21" t="n">
        <v>519.86</v>
      </c>
      <c r="L3995" s="21" t="n">
        <v>594.12</v>
      </c>
      <c r="M3995" s="21" t="n">
        <v>599</v>
      </c>
    </row>
    <row r="3996">
      <c r="A3996" s="9" t="inlineStr">
        <is>
          <t>HAIFENG</t>
        </is>
      </c>
      <c r="B3996" s="9" t="inlineStr">
        <is>
          <t>HAIFENG 06/05/2026</t>
        </is>
      </c>
      <c r="C3996" s="9" t="inlineStr">
        <is>
          <t>2026-05-06</t>
        </is>
      </c>
      <c r="D3996" s="9" t="inlineStr">
        <is>
          <t>17964142743629</t>
        </is>
      </c>
      <c r="E3996" s="9" t="inlineStr">
        <is>
          <t>PULSERA LV DAMIER MONOGRAM</t>
        </is>
      </c>
      <c r="F3996" s="9" t="inlineStr">
        <is>
          <t>18CM</t>
        </is>
      </c>
      <c r="G3996" s="9" t="n">
        <v>2</v>
      </c>
      <c r="H3996" s="21" t="n">
        <v>15</v>
      </c>
      <c r="I3996" s="21" t="n">
        <v>318.28</v>
      </c>
      <c r="J3996" s="21" t="n">
        <v>954.84</v>
      </c>
      <c r="K3996" s="21" t="n">
        <v>1113.98</v>
      </c>
      <c r="L3996" s="21" t="n">
        <v>1273.12</v>
      </c>
      <c r="M3996" s="21" t="n">
        <v>1250</v>
      </c>
    </row>
    <row r="3997">
      <c r="A3997" s="9" t="inlineStr">
        <is>
          <t>HAIFENG</t>
        </is>
      </c>
      <c r="B3997" s="9" t="inlineStr">
        <is>
          <t>HAIFENG 06/05/2026</t>
        </is>
      </c>
      <c r="C3997" s="9" t="inlineStr">
        <is>
          <t>2026-05-06</t>
        </is>
      </c>
      <c r="D3997" s="9" t="inlineStr">
        <is>
          <t>17964141313165</t>
        </is>
      </c>
      <c r="E3997" s="9" t="inlineStr">
        <is>
          <t>PULSERA LV DAMIER STAPLES SOO</t>
        </is>
      </c>
      <c r="F3997" s="9" t="inlineStr">
        <is>
          <t>Default Title</t>
        </is>
      </c>
      <c r="G3997" s="9" t="n">
        <v>2</v>
      </c>
      <c r="H3997" s="21" t="n">
        <v>9</v>
      </c>
      <c r="I3997" s="21" t="n">
        <v>190.97</v>
      </c>
      <c r="J3997" s="21" t="n">
        <v>572.9</v>
      </c>
      <c r="K3997" s="21" t="n">
        <v>668.39</v>
      </c>
      <c r="L3997" s="21" t="n">
        <v>763.87</v>
      </c>
      <c r="M3997" s="21" t="n">
        <v>750</v>
      </c>
    </row>
    <row r="3998">
      <c r="A3998" s="9" t="inlineStr">
        <is>
          <t>HAIFENG</t>
        </is>
      </c>
      <c r="B3998" s="9" t="inlineStr">
        <is>
          <t>HAIFENG 06/05/2026</t>
        </is>
      </c>
      <c r="C3998" s="9" t="inlineStr">
        <is>
          <t>2026-05-06</t>
        </is>
      </c>
      <c r="D3998" s="9" t="inlineStr">
        <is>
          <t>17964141219949</t>
        </is>
      </c>
      <c r="E3998" s="9" t="inlineStr">
        <is>
          <t>PULSERA LV MONOGRAM BOLD SOO</t>
        </is>
      </c>
      <c r="F3998" s="9" t="inlineStr">
        <is>
          <t>Default Title</t>
        </is>
      </c>
      <c r="G3998" s="9" t="n">
        <v>2</v>
      </c>
      <c r="H3998" s="21" t="n">
        <v>8.99</v>
      </c>
      <c r="I3998" s="21" t="n">
        <v>190.76</v>
      </c>
      <c r="J3998" s="21" t="n">
        <v>572.27</v>
      </c>
      <c r="K3998" s="21" t="n">
        <v>667.64</v>
      </c>
      <c r="L3998" s="21" t="n">
        <v>763.02</v>
      </c>
      <c r="M3998" s="21" t="n">
        <v>750</v>
      </c>
    </row>
    <row r="3999">
      <c r="A3999" s="9" t="inlineStr">
        <is>
          <t>HAIFENG</t>
        </is>
      </c>
      <c r="B3999" s="9" t="inlineStr">
        <is>
          <t>HAIFENG 06/05/2026</t>
        </is>
      </c>
      <c r="C3999" s="9" t="inlineStr">
        <is>
          <t>2026-05-06</t>
        </is>
      </c>
      <c r="D3999" s="9" t="inlineStr">
        <is>
          <t>17964142645325</t>
        </is>
      </c>
      <c r="E3999" s="9" t="inlineStr">
        <is>
          <t>PULSERA LV MONOGRAM CHAIN SOO</t>
        </is>
      </c>
      <c r="F3999" s="9" t="inlineStr">
        <is>
          <t>18CM</t>
        </is>
      </c>
      <c r="G3999" s="9" t="n">
        <v>2</v>
      </c>
      <c r="H3999" s="21" t="n">
        <v>18</v>
      </c>
      <c r="I3999" s="21" t="n">
        <v>381.94</v>
      </c>
      <c r="J3999" s="21" t="n">
        <v>1145.81</v>
      </c>
      <c r="K3999" s="21" t="n">
        <v>1336.77</v>
      </c>
      <c r="L3999" s="21" t="n">
        <v>1527.74</v>
      </c>
      <c r="M3999" s="21" t="n">
        <v>1499</v>
      </c>
    </row>
    <row r="4000">
      <c r="A4000" s="9" t="inlineStr">
        <is>
          <t>HAIFENG</t>
        </is>
      </c>
      <c r="B4000" s="9" t="inlineStr">
        <is>
          <t>HAIFENG 06/05/2026</t>
        </is>
      </c>
      <c r="C4000" s="9" t="inlineStr">
        <is>
          <t>2026-05-06</t>
        </is>
      </c>
      <c r="D4000" s="9" t="inlineStr">
        <is>
          <t>12314363883437</t>
        </is>
      </c>
      <c r="E4000" s="9" t="inlineStr">
        <is>
          <t>PULSERA MM GOLD-WHITE</t>
        </is>
      </c>
      <c r="F4000" s="9" t="inlineStr"/>
      <c r="G4000" s="9" t="n">
        <v>3</v>
      </c>
      <c r="H4000" s="21" t="n">
        <v>6.99</v>
      </c>
      <c r="I4000" s="21" t="n">
        <v>148.32</v>
      </c>
      <c r="J4000" s="21" t="n">
        <v>444.95</v>
      </c>
      <c r="K4000" s="21" t="n">
        <v>519.11</v>
      </c>
      <c r="L4000" s="21" t="n">
        <v>593.27</v>
      </c>
      <c r="M4000" s="21" t="n"/>
    </row>
    <row r="4001">
      <c r="A4001" s="9" t="inlineStr">
        <is>
          <t>HAIFENG</t>
        </is>
      </c>
      <c r="B4001" s="9" t="inlineStr">
        <is>
          <t>HAIFENG 06/05/2026</t>
        </is>
      </c>
      <c r="C4001" s="9" t="inlineStr">
        <is>
          <t>2026-05-06</t>
        </is>
      </c>
      <c r="D4001" s="9" t="inlineStr">
        <is>
          <t>66075802259373</t>
        </is>
      </c>
      <c r="E4001" s="9" t="inlineStr">
        <is>
          <t>PULSERA MONTAIGNE GOLD CD</t>
        </is>
      </c>
      <c r="F4001" s="9" t="inlineStr">
        <is>
          <t>20 CM</t>
        </is>
      </c>
      <c r="G4001" s="9" t="n">
        <v>1</v>
      </c>
      <c r="H4001" s="21" t="n">
        <v>7</v>
      </c>
      <c r="I4001" s="21" t="n">
        <v>148.53</v>
      </c>
      <c r="J4001" s="21" t="n">
        <v>445.59</v>
      </c>
      <c r="K4001" s="21" t="n">
        <v>519.86</v>
      </c>
      <c r="L4001" s="21" t="n">
        <v>594.12</v>
      </c>
      <c r="M4001" s="21" t="n">
        <v>599</v>
      </c>
    </row>
    <row r="4002">
      <c r="A4002" s="9" t="inlineStr">
        <is>
          <t>HAIFENG</t>
        </is>
      </c>
      <c r="B4002" s="9" t="inlineStr">
        <is>
          <t>HAIFENG 06/05/2026</t>
        </is>
      </c>
      <c r="C4002" s="9" t="inlineStr">
        <is>
          <t>2026-05-06</t>
        </is>
      </c>
      <c r="D4002" s="9" t="inlineStr">
        <is>
          <t>67201532161837</t>
        </is>
      </c>
      <c r="E4002" s="9" t="inlineStr">
        <is>
          <t>PULSERA MSS GOLD</t>
        </is>
      </c>
      <c r="F4002" s="9" t="inlineStr">
        <is>
          <t>Default Title</t>
        </is>
      </c>
      <c r="G4002" s="9" t="n">
        <v>5</v>
      </c>
      <c r="H4002" s="21" t="n">
        <v>7</v>
      </c>
      <c r="I4002" s="21" t="n">
        <v>148.53</v>
      </c>
      <c r="J4002" s="21" t="n">
        <v>445.59</v>
      </c>
      <c r="K4002" s="21" t="n">
        <v>519.86</v>
      </c>
      <c r="L4002" s="21" t="n">
        <v>594.12</v>
      </c>
      <c r="M4002" s="21" t="n">
        <v>599</v>
      </c>
    </row>
    <row r="4003">
      <c r="A4003" s="9" t="inlineStr">
        <is>
          <t>HAIFENG</t>
        </is>
      </c>
      <c r="B4003" s="9" t="inlineStr">
        <is>
          <t>HAIFENG 06/05/2026</t>
        </is>
      </c>
      <c r="C4003" s="9" t="inlineStr">
        <is>
          <t>2026-05-06</t>
        </is>
      </c>
      <c r="D4003" s="9" t="inlineStr">
        <is>
          <t>67201532004237</t>
        </is>
      </c>
      <c r="E4003" s="9" t="inlineStr">
        <is>
          <t>PULSERA MSS SILVER</t>
        </is>
      </c>
      <c r="F4003" s="9" t="inlineStr">
        <is>
          <t>Default Title</t>
        </is>
      </c>
      <c r="G4003" s="9" t="n">
        <v>5</v>
      </c>
      <c r="H4003" s="21" t="n">
        <v>7</v>
      </c>
      <c r="I4003" s="21" t="n">
        <v>148.53</v>
      </c>
      <c r="J4003" s="21" t="n">
        <v>445.59</v>
      </c>
      <c r="K4003" s="21" t="n">
        <v>519.86</v>
      </c>
      <c r="L4003" s="21" t="n">
        <v>594.12</v>
      </c>
      <c r="M4003" s="21" t="n">
        <v>599</v>
      </c>
    </row>
    <row r="4004">
      <c r="A4004" s="9" t="inlineStr">
        <is>
          <t>HAIFENG</t>
        </is>
      </c>
      <c r="B4004" s="9" t="inlineStr">
        <is>
          <t>HAIFENG 06/05/2026</t>
        </is>
      </c>
      <c r="C4004" s="9" t="inlineStr">
        <is>
          <t>2026-05-06</t>
        </is>
      </c>
      <c r="D4004" s="9" t="inlineStr">
        <is>
          <t>53283371020909</t>
        </is>
      </c>
      <c r="E4004" s="9" t="inlineStr">
        <is>
          <t>PULSERA ONE TRÉBOL GOLD RED</t>
        </is>
      </c>
      <c r="F4004" s="9" t="inlineStr">
        <is>
          <t>Default Title</t>
        </is>
      </c>
      <c r="G4004" s="9" t="n">
        <v>2</v>
      </c>
      <c r="H4004" s="21" t="n">
        <v>4</v>
      </c>
      <c r="I4004" s="21" t="n">
        <v>84.87</v>
      </c>
      <c r="J4004" s="21" t="n">
        <v>254.62</v>
      </c>
      <c r="K4004" s="21" t="n">
        <v>297.06</v>
      </c>
      <c r="L4004" s="21" t="n">
        <v>339.5</v>
      </c>
      <c r="M4004" s="21" t="n">
        <v>500</v>
      </c>
    </row>
    <row r="4005">
      <c r="A4005" s="9" t="inlineStr">
        <is>
          <t>HAIFENG</t>
        </is>
      </c>
      <c r="B4005" s="9" t="inlineStr">
        <is>
          <t>HAIFENG 06/05/2026</t>
        </is>
      </c>
      <c r="C4005" s="9" t="inlineStr">
        <is>
          <t>2026-05-06</t>
        </is>
      </c>
      <c r="D4005" s="9" t="inlineStr">
        <is>
          <t>56481494507404</t>
        </is>
      </c>
      <c r="E4005" s="9" t="inlineStr">
        <is>
          <t>PULSERA PASADOR FULL HEART</t>
        </is>
      </c>
      <c r="F4005" s="9" t="inlineStr">
        <is>
          <t>17cm</t>
        </is>
      </c>
      <c r="G4005" s="9" t="n">
        <v>3</v>
      </c>
      <c r="H4005" s="21" t="n">
        <v>10</v>
      </c>
      <c r="I4005" s="21" t="n">
        <v>212.19</v>
      </c>
      <c r="J4005" s="21" t="n">
        <v>636.5599999999999</v>
      </c>
      <c r="K4005" s="21" t="n">
        <v>742.65</v>
      </c>
      <c r="L4005" s="21" t="n">
        <v>848.75</v>
      </c>
      <c r="M4005" s="21" t="n">
        <v>850</v>
      </c>
    </row>
    <row r="4006">
      <c r="A4006" s="9" t="inlineStr">
        <is>
          <t>HAIFENG</t>
        </is>
      </c>
      <c r="B4006" s="9" t="inlineStr">
        <is>
          <t>HAIFENG 06/05/2026</t>
        </is>
      </c>
      <c r="C4006" s="9" t="inlineStr">
        <is>
          <t>2026-05-06</t>
        </is>
      </c>
      <c r="D4006" s="9" t="inlineStr">
        <is>
          <t>17964141953261</t>
        </is>
      </c>
      <c r="E4006" s="9" t="inlineStr">
        <is>
          <t>PULSERA PR SYMBOLE</t>
        </is>
      </c>
      <c r="F4006" s="9" t="inlineStr">
        <is>
          <t>18CM</t>
        </is>
      </c>
      <c r="G4006" s="9" t="n">
        <v>2</v>
      </c>
      <c r="H4006" s="21" t="n">
        <v>8.99</v>
      </c>
      <c r="I4006" s="21" t="n">
        <v>190.76</v>
      </c>
      <c r="J4006" s="21" t="n">
        <v>572.27</v>
      </c>
      <c r="K4006" s="21" t="n">
        <v>667.64</v>
      </c>
      <c r="L4006" s="21" t="n">
        <v>763.02</v>
      </c>
      <c r="M4006" s="21" t="n">
        <v>750</v>
      </c>
    </row>
    <row r="4007">
      <c r="A4007" s="9" t="inlineStr">
        <is>
          <t>HAIFENG</t>
        </is>
      </c>
      <c r="B4007" s="9" t="inlineStr">
        <is>
          <t>HAIFENG 06/05/2026</t>
        </is>
      </c>
      <c r="C4007" s="9" t="inlineStr">
        <is>
          <t>2026-05-06</t>
        </is>
      </c>
      <c r="D4007" s="9" t="inlineStr">
        <is>
          <t>82014675495692</t>
        </is>
      </c>
      <c r="E4007" s="9" t="inlineStr">
        <is>
          <t>PULSERA SMILE SILVER</t>
        </is>
      </c>
      <c r="F4007" s="9" t="inlineStr">
        <is>
          <t>16cm con extensión de 5cm</t>
        </is>
      </c>
      <c r="G4007" s="9" t="n">
        <v>2</v>
      </c>
      <c r="H4007" s="21" t="n">
        <v>7.5</v>
      </c>
      <c r="I4007" s="21" t="n">
        <v>159.14</v>
      </c>
      <c r="J4007" s="21" t="n">
        <v>477.42</v>
      </c>
      <c r="K4007" s="21" t="n">
        <v>556.99</v>
      </c>
      <c r="L4007" s="21" t="n">
        <v>636.5599999999999</v>
      </c>
      <c r="M4007" s="21" t="n">
        <v>650</v>
      </c>
    </row>
    <row r="4008">
      <c r="A4008" s="9" t="inlineStr">
        <is>
          <t>HAIFENG</t>
        </is>
      </c>
      <c r="B4008" s="9" t="inlineStr">
        <is>
          <t>HAIFENG 06/05/2026</t>
        </is>
      </c>
      <c r="C4008" s="9" t="inlineStr">
        <is>
          <t>2026-05-06</t>
        </is>
      </c>
      <c r="D4008" s="9" t="inlineStr">
        <is>
          <t>67201535328333</t>
        </is>
      </c>
      <c r="E4008" s="9" t="inlineStr">
        <is>
          <t>PULSERA SWEET BUTTERFLY WHITE VF</t>
        </is>
      </c>
      <c r="F4008" s="9" t="inlineStr">
        <is>
          <t>Default Title</t>
        </is>
      </c>
      <c r="G4008" s="9" t="n">
        <v>1</v>
      </c>
      <c r="H4008" s="21" t="n">
        <v>6</v>
      </c>
      <c r="I4008" s="21" t="n">
        <v>127.31</v>
      </c>
      <c r="J4008" s="21" t="n">
        <v>381.94</v>
      </c>
      <c r="K4008" s="21" t="n">
        <v>445.59</v>
      </c>
      <c r="L4008" s="21" t="n">
        <v>509.25</v>
      </c>
      <c r="M4008" s="21" t="n">
        <v>499</v>
      </c>
    </row>
    <row r="4009">
      <c r="A4009" s="9" t="inlineStr">
        <is>
          <t>HAIFENG</t>
        </is>
      </c>
      <c r="B4009" s="9" t="inlineStr">
        <is>
          <t>HAIFENG 06/05/2026</t>
        </is>
      </c>
      <c r="C4009" s="9" t="inlineStr">
        <is>
          <t>2026-05-06</t>
        </is>
      </c>
      <c r="D4009" s="9" t="inlineStr">
        <is>
          <t>668eeccf75387</t>
        </is>
      </c>
      <c r="E4009" s="9" t="inlineStr">
        <is>
          <t>PULSERA T DORADA ZIRCONIA</t>
        </is>
      </c>
      <c r="F4009" s="9" t="inlineStr">
        <is>
          <t>16 cm</t>
        </is>
      </c>
      <c r="G4009" s="9" t="n">
        <v>2</v>
      </c>
      <c r="H4009" s="21" t="n">
        <v>5</v>
      </c>
      <c r="I4009" s="21" t="n">
        <v>106.09</v>
      </c>
      <c r="J4009" s="21" t="n">
        <v>318.28</v>
      </c>
      <c r="K4009" s="21" t="n">
        <v>371.33</v>
      </c>
      <c r="L4009" s="21" t="n">
        <v>424.37</v>
      </c>
      <c r="M4009" s="21" t="n">
        <v>499</v>
      </c>
    </row>
    <row r="4010">
      <c r="A4010" s="9" t="inlineStr">
        <is>
          <t>HAIFENG</t>
        </is>
      </c>
      <c r="B4010" s="9" t="inlineStr">
        <is>
          <t>HAIFENG 06/05/2026</t>
        </is>
      </c>
      <c r="C4010" s="9" t="inlineStr">
        <is>
          <t>2026-05-06</t>
        </is>
      </c>
      <c r="D4010" s="9" t="inlineStr">
        <is>
          <t>661774545334c</t>
        </is>
      </c>
      <c r="E4010" s="9" t="inlineStr">
        <is>
          <t>PULSERA TRÉBOL GOLD RED VF</t>
        </is>
      </c>
      <c r="F4010" s="9" t="inlineStr">
        <is>
          <t>18cm</t>
        </is>
      </c>
      <c r="G4010" s="9" t="n">
        <v>2</v>
      </c>
      <c r="H4010" s="21" t="n">
        <v>7</v>
      </c>
      <c r="I4010" s="21" t="n">
        <v>148.53</v>
      </c>
      <c r="J4010" s="21" t="n">
        <v>445.59</v>
      </c>
      <c r="K4010" s="21" t="n">
        <v>519.86</v>
      </c>
      <c r="L4010" s="21" t="n">
        <v>594.12</v>
      </c>
      <c r="M4010" s="21" t="n">
        <v>650</v>
      </c>
    </row>
    <row r="4011">
      <c r="A4011" s="9" t="inlineStr">
        <is>
          <t>HAIFENG</t>
        </is>
      </c>
      <c r="B4011" s="9" t="inlineStr">
        <is>
          <t>HAIFENG 06/05/2026</t>
        </is>
      </c>
      <c r="C4011" s="9" t="inlineStr">
        <is>
          <t>2026-05-06</t>
        </is>
      </c>
      <c r="D4011" s="9" t="inlineStr">
        <is>
          <t>668ef00538c27</t>
        </is>
      </c>
      <c r="E4011" s="9" t="inlineStr">
        <is>
          <t>PULSERA TRÉBOL SILVER RED</t>
        </is>
      </c>
      <c r="F4011" s="9" t="inlineStr">
        <is>
          <t>18cm</t>
        </is>
      </c>
      <c r="G4011" s="9" t="n">
        <v>2</v>
      </c>
      <c r="H4011" s="21" t="n">
        <v>7</v>
      </c>
      <c r="I4011" s="21" t="n">
        <v>148.53</v>
      </c>
      <c r="J4011" s="21" t="n">
        <v>445.59</v>
      </c>
      <c r="K4011" s="21" t="n">
        <v>519.86</v>
      </c>
      <c r="L4011" s="21" t="n">
        <v>594.12</v>
      </c>
      <c r="M4011" s="21" t="n">
        <v>650</v>
      </c>
    </row>
    <row r="4012">
      <c r="A4012" s="9" t="inlineStr">
        <is>
          <t>HAIFENG</t>
        </is>
      </c>
      <c r="B4012" s="9" t="inlineStr">
        <is>
          <t>HAIFENG 06/05/2026</t>
        </is>
      </c>
      <c r="C4012" s="9" t="inlineStr">
        <is>
          <t>2026-05-06</t>
        </is>
      </c>
      <c r="D4012" s="9" t="inlineStr">
        <is>
          <t>661774512157c</t>
        </is>
      </c>
      <c r="E4012" s="9" t="inlineStr">
        <is>
          <t>PULSERA TRÉBOL SILVER WHITE VF</t>
        </is>
      </c>
      <c r="F4012" s="9" t="inlineStr">
        <is>
          <t>18cm</t>
        </is>
      </c>
      <c r="G4012" s="9" t="n">
        <v>1</v>
      </c>
      <c r="H4012" s="21" t="n">
        <v>7</v>
      </c>
      <c r="I4012" s="21" t="n">
        <v>148.53</v>
      </c>
      <c r="J4012" s="21" t="n">
        <v>445.59</v>
      </c>
      <c r="K4012" s="21" t="n">
        <v>519.86</v>
      </c>
      <c r="L4012" s="21" t="n">
        <v>594.12</v>
      </c>
      <c r="M4012" s="21" t="n">
        <v>900</v>
      </c>
    </row>
    <row r="4013">
      <c r="A4013" s="9" t="inlineStr">
        <is>
          <t>NANCY</t>
        </is>
      </c>
      <c r="B4013" s="9" t="inlineStr">
        <is>
          <t>NANCY 08/05/2026</t>
        </is>
      </c>
      <c r="C4013" s="9" t="inlineStr">
        <is>
          <t>2026-05-08</t>
        </is>
      </c>
      <c r="D4013" s="9" t="inlineStr">
        <is>
          <t>42981628018828</t>
        </is>
      </c>
      <c r="E4013" s="9" t="inlineStr">
        <is>
          <t>ANILLO BLOSSOM STAR ROSEGOLD</t>
        </is>
      </c>
      <c r="F4013" s="9" t="inlineStr">
        <is>
          <t>Regular</t>
        </is>
      </c>
      <c r="G4013" s="9" t="n">
        <v>3</v>
      </c>
      <c r="H4013" s="21" t="n">
        <v>5.59</v>
      </c>
      <c r="I4013" s="21" t="n">
        <v>132.25</v>
      </c>
      <c r="J4013" s="21" t="n">
        <v>396.74</v>
      </c>
      <c r="K4013" s="21" t="n">
        <v>462.86</v>
      </c>
      <c r="L4013" s="21" t="n">
        <v>528.99</v>
      </c>
      <c r="M4013" s="21" t="n">
        <v>479</v>
      </c>
    </row>
    <row r="4014">
      <c r="A4014" s="9" t="inlineStr">
        <is>
          <t>NANCY</t>
        </is>
      </c>
      <c r="B4014" s="9" t="inlineStr">
        <is>
          <t>NANCY 08/05/2026</t>
        </is>
      </c>
      <c r="C4014" s="9" t="inlineStr">
        <is>
          <t>2026-05-08</t>
        </is>
      </c>
      <c r="D4014" s="9" t="inlineStr">
        <is>
          <t>71036863422220</t>
        </is>
      </c>
      <c r="E4014" s="9" t="inlineStr">
        <is>
          <t>ANILLO BV CON UNA ZIRCONIA GOLD</t>
        </is>
      </c>
      <c r="F4014" s="9" t="inlineStr">
        <is>
          <t>8</t>
        </is>
      </c>
      <c r="G4014" s="9" t="n">
        <v>1</v>
      </c>
      <c r="H4014" s="21" t="n">
        <v>3.99</v>
      </c>
      <c r="I4014" s="21" t="n">
        <v>94.39</v>
      </c>
      <c r="J4014" s="21" t="n">
        <v>283.18</v>
      </c>
      <c r="K4014" s="21" t="n">
        <v>330.38</v>
      </c>
      <c r="L4014" s="21" t="n">
        <v>377.58</v>
      </c>
      <c r="M4014" s="21" t="n">
        <v>489</v>
      </c>
    </row>
    <row r="4015">
      <c r="A4015" s="9" t="inlineStr">
        <is>
          <t>NANCY</t>
        </is>
      </c>
      <c r="B4015" s="9" t="inlineStr">
        <is>
          <t>NANCY 08/05/2026</t>
        </is>
      </c>
      <c r="C4015" s="9" t="inlineStr">
        <is>
          <t>2026-05-08</t>
        </is>
      </c>
      <c r="D4015" s="9" t="inlineStr">
        <is>
          <t>42951547486348</t>
        </is>
      </c>
      <c r="E4015" s="9" t="inlineStr">
        <is>
          <t>ANILLO CD REVOLUTION</t>
        </is>
      </c>
      <c r="F4015" s="9" t="inlineStr">
        <is>
          <t>8</t>
        </is>
      </c>
      <c r="G4015" s="9" t="n">
        <v>3</v>
      </c>
      <c r="H4015" s="21" t="n">
        <v>5.59</v>
      </c>
      <c r="I4015" s="21" t="n">
        <v>132.25</v>
      </c>
      <c r="J4015" s="21" t="n">
        <v>396.74</v>
      </c>
      <c r="K4015" s="21" t="n">
        <v>462.86</v>
      </c>
      <c r="L4015" s="21" t="n">
        <v>528.99</v>
      </c>
      <c r="M4015" s="21" t="n">
        <v>499</v>
      </c>
    </row>
    <row r="4016">
      <c r="A4016" s="9" t="inlineStr">
        <is>
          <t>NANCY</t>
        </is>
      </c>
      <c r="B4016" s="9" t="inlineStr">
        <is>
          <t>NANCY 08/05/2026</t>
        </is>
      </c>
      <c r="C4016" s="9" t="inlineStr">
        <is>
          <t>2026-05-08</t>
        </is>
      </c>
      <c r="D4016" s="9" t="inlineStr">
        <is>
          <t>2653027325964</t>
        </is>
      </c>
      <c r="E4016" s="9" t="inlineStr">
        <is>
          <t>ANILLO KNOT GOLD</t>
        </is>
      </c>
      <c r="F4016" s="9" t="inlineStr">
        <is>
          <t>8</t>
        </is>
      </c>
      <c r="G4016" s="9" t="n">
        <v>4</v>
      </c>
      <c r="H4016" s="21" t="n">
        <v>5.59</v>
      </c>
      <c r="I4016" s="21" t="n">
        <v>132.25</v>
      </c>
      <c r="J4016" s="21" t="n">
        <v>396.74</v>
      </c>
      <c r="K4016" s="21" t="n">
        <v>462.86</v>
      </c>
      <c r="L4016" s="21" t="n">
        <v>528.99</v>
      </c>
      <c r="M4016" s="21" t="n">
        <v>480</v>
      </c>
    </row>
    <row r="4017">
      <c r="A4017" s="9" t="inlineStr">
        <is>
          <t>NANCY</t>
        </is>
      </c>
      <c r="B4017" s="9" t="inlineStr">
        <is>
          <t>NANCY 08/05/2026</t>
        </is>
      </c>
      <c r="C4017" s="9" t="inlineStr">
        <is>
          <t>2026-05-08</t>
        </is>
      </c>
      <c r="D4017" s="9" t="inlineStr">
        <is>
          <t>66593a9c168cf</t>
        </is>
      </c>
      <c r="E4017" s="9" t="inlineStr">
        <is>
          <t>ANILLO KNOT GOLD</t>
        </is>
      </c>
      <c r="F4017" s="9" t="inlineStr">
        <is>
          <t>6</t>
        </is>
      </c>
      <c r="G4017" s="9" t="n">
        <v>4</v>
      </c>
      <c r="H4017" s="21" t="n">
        <v>5.59</v>
      </c>
      <c r="I4017" s="21" t="n">
        <v>132.25</v>
      </c>
      <c r="J4017" s="21" t="n">
        <v>396.74</v>
      </c>
      <c r="K4017" s="21" t="n">
        <v>462.86</v>
      </c>
      <c r="L4017" s="21" t="n">
        <v>528.99</v>
      </c>
      <c r="M4017" s="21" t="n">
        <v>480</v>
      </c>
    </row>
    <row r="4018">
      <c r="A4018" s="9" t="inlineStr">
        <is>
          <t>NANCY</t>
        </is>
      </c>
      <c r="B4018" s="9" t="inlineStr">
        <is>
          <t>NANCY 08/05/2026</t>
        </is>
      </c>
      <c r="C4018" s="9" t="inlineStr">
        <is>
          <t>2026-05-08</t>
        </is>
      </c>
      <c r="D4018" s="9" t="inlineStr">
        <is>
          <t>66593a9cc1aaa</t>
        </is>
      </c>
      <c r="E4018" s="9" t="inlineStr">
        <is>
          <t>ANILLO KNOT GOLD</t>
        </is>
      </c>
      <c r="F4018" s="9" t="inlineStr">
        <is>
          <t>7</t>
        </is>
      </c>
      <c r="G4018" s="9" t="n">
        <v>3</v>
      </c>
      <c r="H4018" s="21" t="n">
        <v>5.59</v>
      </c>
      <c r="I4018" s="21" t="n">
        <v>132.25</v>
      </c>
      <c r="J4018" s="21" t="n">
        <v>396.74</v>
      </c>
      <c r="K4018" s="21" t="n">
        <v>462.86</v>
      </c>
      <c r="L4018" s="21" t="n">
        <v>528.99</v>
      </c>
      <c r="M4018" s="21" t="n">
        <v>480</v>
      </c>
    </row>
    <row r="4019">
      <c r="A4019" s="9" t="inlineStr">
        <is>
          <t>NANCY</t>
        </is>
      </c>
      <c r="B4019" s="9" t="inlineStr">
        <is>
          <t>NANCY 08/05/2026</t>
        </is>
      </c>
      <c r="C4019" s="9" t="inlineStr">
        <is>
          <t>2026-05-08</t>
        </is>
      </c>
      <c r="D4019" s="9" t="inlineStr">
        <is>
          <t>42981806637196</t>
        </is>
      </c>
      <c r="E4019" s="9" t="inlineStr">
        <is>
          <t>ANILLO PANTHERE SILVER</t>
        </is>
      </c>
      <c r="F4019" s="9" t="inlineStr">
        <is>
          <t>Default Title</t>
        </is>
      </c>
      <c r="G4019" s="9" t="n">
        <v>2</v>
      </c>
      <c r="H4019" s="21" t="n">
        <v>5.59</v>
      </c>
      <c r="I4019" s="21" t="n">
        <v>132.25</v>
      </c>
      <c r="J4019" s="21" t="n">
        <v>396.74</v>
      </c>
      <c r="K4019" s="21" t="n">
        <v>462.86</v>
      </c>
      <c r="L4019" s="21" t="n">
        <v>528.99</v>
      </c>
      <c r="M4019" s="21" t="n">
        <v>499</v>
      </c>
    </row>
    <row r="4020">
      <c r="A4020" s="9" t="inlineStr">
        <is>
          <t>NANCY</t>
        </is>
      </c>
      <c r="B4020" s="9" t="inlineStr">
        <is>
          <t>NANCY 08/05/2026</t>
        </is>
      </c>
      <c r="C4020" s="9" t="inlineStr">
        <is>
          <t>2026-05-08</t>
        </is>
      </c>
      <c r="D4020" s="9" t="inlineStr">
        <is>
          <t>66593bd6d7885</t>
        </is>
      </c>
      <c r="E4020" s="9" t="inlineStr">
        <is>
          <t>ANILLO PERLEE GOLD</t>
        </is>
      </c>
      <c r="F4020" s="9" t="inlineStr">
        <is>
          <t>6</t>
        </is>
      </c>
      <c r="G4020" s="9" t="n">
        <v>3</v>
      </c>
      <c r="H4020" s="21" t="n">
        <v>5.59</v>
      </c>
      <c r="I4020" s="21" t="n">
        <v>132.25</v>
      </c>
      <c r="J4020" s="21" t="n">
        <v>396.74</v>
      </c>
      <c r="K4020" s="21" t="n">
        <v>462.86</v>
      </c>
      <c r="L4020" s="21" t="n">
        <v>528.99</v>
      </c>
      <c r="M4020" s="21" t="n">
        <v>499</v>
      </c>
    </row>
    <row r="4021">
      <c r="A4021" s="9" t="inlineStr">
        <is>
          <t>NANCY</t>
        </is>
      </c>
      <c r="B4021" s="9" t="inlineStr">
        <is>
          <t>NANCY 08/05/2026</t>
        </is>
      </c>
      <c r="C4021" s="9" t="inlineStr">
        <is>
          <t>2026-05-08</t>
        </is>
      </c>
      <c r="D4021" s="9" t="inlineStr">
        <is>
          <t>66593be00cc70</t>
        </is>
      </c>
      <c r="E4021" s="9" t="inlineStr">
        <is>
          <t>ANILLO PERLEE ROSEGOLD</t>
        </is>
      </c>
      <c r="F4021" s="9" t="inlineStr">
        <is>
          <t>7</t>
        </is>
      </c>
      <c r="G4021" s="9" t="n">
        <v>2</v>
      </c>
      <c r="H4021" s="21" t="n">
        <v>5.59</v>
      </c>
      <c r="I4021" s="21" t="n">
        <v>132.25</v>
      </c>
      <c r="J4021" s="21" t="n">
        <v>396.74</v>
      </c>
      <c r="K4021" s="21" t="n">
        <v>462.86</v>
      </c>
      <c r="L4021" s="21" t="n">
        <v>528.99</v>
      </c>
      <c r="M4021" s="21" t="n">
        <v>760</v>
      </c>
    </row>
    <row r="4022">
      <c r="A4022" s="9" t="inlineStr">
        <is>
          <t>NANCY</t>
        </is>
      </c>
      <c r="B4022" s="9" t="inlineStr">
        <is>
          <t>NANCY 08/05/2026</t>
        </is>
      </c>
      <c r="C4022" s="9" t="inlineStr">
        <is>
          <t>2026-05-08</t>
        </is>
      </c>
      <c r="D4022" s="9" t="inlineStr">
        <is>
          <t>42981955862668</t>
        </is>
      </c>
      <c r="E4022" s="9" t="inlineStr">
        <is>
          <t>ANILLO TB SILVER</t>
        </is>
      </c>
      <c r="F4022" s="9" t="inlineStr">
        <is>
          <t>6</t>
        </is>
      </c>
      <c r="G4022" s="9" t="n">
        <v>3</v>
      </c>
      <c r="H4022" s="21" t="n">
        <v>2.99</v>
      </c>
      <c r="I4022" s="21" t="n">
        <v>70.73999999999999</v>
      </c>
      <c r="J4022" s="21" t="n">
        <v>212.21</v>
      </c>
      <c r="K4022" s="21" t="n">
        <v>247.58</v>
      </c>
      <c r="L4022" s="21" t="n">
        <v>282.95</v>
      </c>
      <c r="M4022" s="21" t="n">
        <v>450</v>
      </c>
    </row>
    <row r="4023">
      <c r="A4023" s="9" t="inlineStr">
        <is>
          <t>NANCY</t>
        </is>
      </c>
      <c r="B4023" s="9" t="inlineStr">
        <is>
          <t>NANCY 08/05/2026</t>
        </is>
      </c>
      <c r="C4023" s="9" t="inlineStr">
        <is>
          <t>2026-05-08</t>
        </is>
      </c>
      <c r="D4023" s="9" t="inlineStr">
        <is>
          <t>42981955895436</t>
        </is>
      </c>
      <c r="E4023" s="9" t="inlineStr">
        <is>
          <t>ANILLO TB SILVER</t>
        </is>
      </c>
      <c r="F4023" s="9" t="inlineStr">
        <is>
          <t>7</t>
        </is>
      </c>
      <c r="G4023" s="9" t="n">
        <v>3</v>
      </c>
      <c r="H4023" s="21" t="n">
        <v>2.99</v>
      </c>
      <c r="I4023" s="21" t="n">
        <v>70.73999999999999</v>
      </c>
      <c r="J4023" s="21" t="n">
        <v>212.21</v>
      </c>
      <c r="K4023" s="21" t="n">
        <v>247.58</v>
      </c>
      <c r="L4023" s="21" t="n">
        <v>282.95</v>
      </c>
      <c r="M4023" s="21" t="n">
        <v>450</v>
      </c>
    </row>
    <row r="4024">
      <c r="A4024" s="9" t="inlineStr">
        <is>
          <t>NANCY</t>
        </is>
      </c>
      <c r="B4024" s="9" t="inlineStr">
        <is>
          <t>NANCY 08/05/2026</t>
        </is>
      </c>
      <c r="C4024" s="9" t="inlineStr">
        <is>
          <t>2026-05-08</t>
        </is>
      </c>
      <c r="D4024" s="9" t="inlineStr">
        <is>
          <t>42981955928204</t>
        </is>
      </c>
      <c r="E4024" s="9" t="inlineStr">
        <is>
          <t>ANILLO TB SILVER</t>
        </is>
      </c>
      <c r="F4024" s="9" t="inlineStr">
        <is>
          <t>8</t>
        </is>
      </c>
      <c r="G4024" s="9" t="n">
        <v>2</v>
      </c>
      <c r="H4024" s="21" t="n">
        <v>2.99</v>
      </c>
      <c r="I4024" s="21" t="n">
        <v>70.73999999999999</v>
      </c>
      <c r="J4024" s="21" t="n">
        <v>212.21</v>
      </c>
      <c r="K4024" s="21" t="n">
        <v>247.58</v>
      </c>
      <c r="L4024" s="21" t="n">
        <v>282.95</v>
      </c>
      <c r="M4024" s="21" t="n">
        <v>225</v>
      </c>
    </row>
    <row r="4025">
      <c r="A4025" s="9" t="inlineStr">
        <is>
          <t>NANCY</t>
        </is>
      </c>
      <c r="B4025" s="9" t="inlineStr">
        <is>
          <t>NANCY 08/05/2026</t>
        </is>
      </c>
      <c r="C4025" s="9" t="inlineStr">
        <is>
          <t>2026-05-08</t>
        </is>
      </c>
      <c r="D4025" s="9" t="inlineStr">
        <is>
          <t>2653020127500</t>
        </is>
      </c>
      <c r="E4025" s="9" t="inlineStr">
        <is>
          <t>ANILLO TREBOL GOLD BLACK</t>
        </is>
      </c>
      <c r="F4025" s="9" t="inlineStr">
        <is>
          <t>8</t>
        </is>
      </c>
      <c r="G4025" s="9" t="n">
        <v>2</v>
      </c>
      <c r="H4025" s="21" t="n">
        <v>5.59</v>
      </c>
      <c r="I4025" s="21" t="n">
        <v>132.25</v>
      </c>
      <c r="J4025" s="21" t="n">
        <v>396.74</v>
      </c>
      <c r="K4025" s="21" t="n">
        <v>462.86</v>
      </c>
      <c r="L4025" s="21" t="n">
        <v>528.99</v>
      </c>
      <c r="M4025" s="21" t="n">
        <v>599</v>
      </c>
    </row>
    <row r="4026">
      <c r="A4026" s="9" t="inlineStr">
        <is>
          <t>NANCY</t>
        </is>
      </c>
      <c r="B4026" s="9" t="inlineStr">
        <is>
          <t>NANCY 08/05/2026</t>
        </is>
      </c>
      <c r="C4026" s="9" t="inlineStr">
        <is>
          <t>2026-05-08</t>
        </is>
      </c>
      <c r="D4026" s="9" t="inlineStr">
        <is>
          <t>02653025069708</t>
        </is>
      </c>
      <c r="E4026" s="9" t="inlineStr">
        <is>
          <t>ANILLO TREBOL GOLD WHITE</t>
        </is>
      </c>
      <c r="F4026" s="9" t="inlineStr"/>
      <c r="G4026" s="9" t="n">
        <v>2</v>
      </c>
      <c r="H4026" s="21" t="n">
        <v>5.59</v>
      </c>
      <c r="I4026" s="21" t="n">
        <v>132.25</v>
      </c>
      <c r="J4026" s="21" t="n">
        <v>396.74</v>
      </c>
      <c r="K4026" s="21" t="n">
        <v>462.86</v>
      </c>
      <c r="L4026" s="21" t="n">
        <v>528.99</v>
      </c>
      <c r="M4026" s="21" t="n"/>
    </row>
    <row r="4027">
      <c r="A4027" s="9" t="inlineStr">
        <is>
          <t>NANCY</t>
        </is>
      </c>
      <c r="B4027" s="9" t="inlineStr">
        <is>
          <t>NANCY 08/05/2026</t>
        </is>
      </c>
      <c r="C4027" s="9" t="inlineStr">
        <is>
          <t>2026-05-08</t>
        </is>
      </c>
      <c r="D4027" s="9" t="inlineStr">
        <is>
          <t>673cd568aea80</t>
        </is>
      </c>
      <c r="E4027" s="9" t="inlineStr">
        <is>
          <t>ANILLO TRUE GOLD</t>
        </is>
      </c>
      <c r="F4027" s="9" t="inlineStr">
        <is>
          <t>8</t>
        </is>
      </c>
      <c r="G4027" s="9" t="n">
        <v>3</v>
      </c>
      <c r="H4027" s="21" t="n">
        <v>5.59</v>
      </c>
      <c r="I4027" s="21" t="n">
        <v>132.25</v>
      </c>
      <c r="J4027" s="21" t="n">
        <v>396.74</v>
      </c>
      <c r="K4027" s="21" t="n">
        <v>462.86</v>
      </c>
      <c r="L4027" s="21" t="n">
        <v>528.99</v>
      </c>
      <c r="M4027" s="21" t="n">
        <v>639</v>
      </c>
    </row>
    <row r="4028">
      <c r="A4028" s="9" t="inlineStr">
        <is>
          <t>NANCY</t>
        </is>
      </c>
      <c r="B4028" s="9" t="inlineStr">
        <is>
          <t>NANCY 08/05/2026</t>
        </is>
      </c>
      <c r="C4028" s="9" t="inlineStr">
        <is>
          <t>2026-05-08</t>
        </is>
      </c>
      <c r="D4028" s="9" t="inlineStr">
        <is>
          <t>646f84c300fa5</t>
        </is>
      </c>
      <c r="E4028" s="9" t="inlineStr">
        <is>
          <t>ARETES BV GOLD-BLACK</t>
        </is>
      </c>
      <c r="F4028" s="9" t="inlineStr">
        <is>
          <t>0.7cm</t>
        </is>
      </c>
      <c r="G4028" s="9" t="n">
        <v>2</v>
      </c>
      <c r="H4028" s="21" t="n">
        <v>3.69</v>
      </c>
      <c r="I4028" s="21" t="n">
        <v>87.3</v>
      </c>
      <c r="J4028" s="21" t="n">
        <v>261.89</v>
      </c>
      <c r="K4028" s="21" t="n">
        <v>305.54</v>
      </c>
      <c r="L4028" s="21" t="n">
        <v>349.19</v>
      </c>
      <c r="M4028" s="21" t="n">
        <v>450</v>
      </c>
    </row>
    <row r="4029">
      <c r="A4029" s="9" t="inlineStr">
        <is>
          <t>NANCY</t>
        </is>
      </c>
      <c r="B4029" s="9" t="inlineStr">
        <is>
          <t>NANCY 08/05/2026</t>
        </is>
      </c>
      <c r="C4029" s="9" t="inlineStr">
        <is>
          <t>2026-05-08</t>
        </is>
      </c>
      <c r="D4029" s="9" t="inlineStr">
        <is>
          <t>52064791097837</t>
        </is>
      </c>
      <c r="E4029" s="9" t="inlineStr">
        <is>
          <t>ARETES BV GOLD-WHITE</t>
        </is>
      </c>
      <c r="F4029" s="9" t="inlineStr">
        <is>
          <t>Default Title</t>
        </is>
      </c>
      <c r="G4029" s="9" t="n">
        <v>2</v>
      </c>
      <c r="H4029" s="21" t="n">
        <v>3.69</v>
      </c>
      <c r="I4029" s="21" t="n">
        <v>87.3</v>
      </c>
      <c r="J4029" s="21" t="n">
        <v>261.89</v>
      </c>
      <c r="K4029" s="21" t="n">
        <v>305.54</v>
      </c>
      <c r="L4029" s="21" t="n">
        <v>349.19</v>
      </c>
      <c r="M4029" s="21" t="n">
        <v>450</v>
      </c>
    </row>
    <row r="4030">
      <c r="A4030" s="9" t="inlineStr">
        <is>
          <t>NANCY</t>
        </is>
      </c>
      <c r="B4030" s="9" t="inlineStr">
        <is>
          <t>NANCY 08/05/2026</t>
        </is>
      </c>
      <c r="C4030" s="9" t="inlineStr">
        <is>
          <t>2026-05-08</t>
        </is>
      </c>
      <c r="D4030" s="9" t="inlineStr">
        <is>
          <t>63ebd619250f6</t>
        </is>
      </c>
      <c r="E4030" s="9" t="inlineStr">
        <is>
          <t>ARETES BV ROSE GOLD CON ZIRCONIA</t>
        </is>
      </c>
      <c r="F4030" s="9" t="inlineStr">
        <is>
          <t>Default Title</t>
        </is>
      </c>
      <c r="G4030" s="9" t="n">
        <v>2</v>
      </c>
      <c r="H4030" s="21" t="n">
        <v>5.59</v>
      </c>
      <c r="I4030" s="21" t="n">
        <v>132.25</v>
      </c>
      <c r="J4030" s="21" t="n">
        <v>396.74</v>
      </c>
      <c r="K4030" s="21" t="n">
        <v>462.86</v>
      </c>
      <c r="L4030" s="21" t="n">
        <v>528.99</v>
      </c>
      <c r="M4030" s="21" t="n">
        <v>499</v>
      </c>
    </row>
    <row r="4031">
      <c r="A4031" s="9" t="inlineStr">
        <is>
          <t>NANCY</t>
        </is>
      </c>
      <c r="B4031" s="9" t="inlineStr">
        <is>
          <t>NANCY 08/05/2026</t>
        </is>
      </c>
      <c r="C4031" s="9" t="inlineStr">
        <is>
          <t>2026-05-08</t>
        </is>
      </c>
      <c r="D4031" s="9" t="inlineStr">
        <is>
          <t>63ebd61958890</t>
        </is>
      </c>
      <c r="E4031" s="9" t="inlineStr">
        <is>
          <t>ARETES BV ROSE GOLD-BLACK</t>
        </is>
      </c>
      <c r="F4031" s="9" t="inlineStr">
        <is>
          <t>1cm</t>
        </is>
      </c>
      <c r="G4031" s="9" t="n">
        <v>2</v>
      </c>
      <c r="H4031" s="21" t="n">
        <v>3.69</v>
      </c>
      <c r="I4031" s="21" t="n">
        <v>87.3</v>
      </c>
      <c r="J4031" s="21" t="n">
        <v>261.89</v>
      </c>
      <c r="K4031" s="21" t="n">
        <v>305.54</v>
      </c>
      <c r="L4031" s="21" t="n">
        <v>349.19</v>
      </c>
      <c r="M4031" s="21" t="n">
        <v>499</v>
      </c>
    </row>
    <row r="4032">
      <c r="A4032" s="9" t="inlineStr">
        <is>
          <t>NANCY</t>
        </is>
      </c>
      <c r="B4032" s="9" t="inlineStr">
        <is>
          <t>NANCY 08/05/2026</t>
        </is>
      </c>
      <c r="C4032" s="9" t="inlineStr">
        <is>
          <t>2026-05-08</t>
        </is>
      </c>
      <c r="D4032" s="9" t="inlineStr">
        <is>
          <t>665bb4e91bcaf</t>
        </is>
      </c>
      <c r="E4032" s="9" t="inlineStr">
        <is>
          <t>ARETES CD GOLD BLACK</t>
        </is>
      </c>
      <c r="F4032" s="9" t="inlineStr">
        <is>
          <t>Default Title</t>
        </is>
      </c>
      <c r="G4032" s="9" t="n">
        <v>2</v>
      </c>
      <c r="H4032" s="21" t="n">
        <v>5.59</v>
      </c>
      <c r="I4032" s="21" t="n">
        <v>132.25</v>
      </c>
      <c r="J4032" s="21" t="n">
        <v>396.74</v>
      </c>
      <c r="K4032" s="21" t="n">
        <v>462.86</v>
      </c>
      <c r="L4032" s="21" t="n">
        <v>528.99</v>
      </c>
      <c r="M4032" s="21" t="n">
        <v>499</v>
      </c>
    </row>
    <row r="4033">
      <c r="A4033" s="9" t="inlineStr">
        <is>
          <t>NANCY</t>
        </is>
      </c>
      <c r="B4033" s="9" t="inlineStr">
        <is>
          <t>NANCY 08/05/2026</t>
        </is>
      </c>
      <c r="C4033" s="9" t="inlineStr">
        <is>
          <t>2026-05-08</t>
        </is>
      </c>
      <c r="D4033" s="9" t="inlineStr">
        <is>
          <t>42981640208524</t>
        </is>
      </c>
      <c r="E4033" s="9" t="inlineStr">
        <is>
          <t>ARETES CD GOLD CON PERLA COLGANTE</t>
        </is>
      </c>
      <c r="F4033" s="9" t="inlineStr">
        <is>
          <t>Default Title</t>
        </is>
      </c>
      <c r="G4033" s="9" t="n">
        <v>4</v>
      </c>
      <c r="H4033" s="21" t="n">
        <v>4.49</v>
      </c>
      <c r="I4033" s="21" t="n">
        <v>106.22</v>
      </c>
      <c r="J4033" s="21" t="n">
        <v>318.67</v>
      </c>
      <c r="K4033" s="21" t="n">
        <v>371.78</v>
      </c>
      <c r="L4033" s="21" t="n">
        <v>424.89</v>
      </c>
      <c r="M4033" s="21" t="n">
        <v>466</v>
      </c>
    </row>
    <row r="4034">
      <c r="A4034" s="9" t="inlineStr">
        <is>
          <t>NANCY</t>
        </is>
      </c>
      <c r="B4034" s="9" t="inlineStr">
        <is>
          <t>NANCY 08/05/2026</t>
        </is>
      </c>
      <c r="C4034" s="9" t="inlineStr">
        <is>
          <t>2026-05-08</t>
        </is>
      </c>
      <c r="D4034" s="9" t="inlineStr">
        <is>
          <t>668eee447fb3d</t>
        </is>
      </c>
      <c r="E4034" s="9" t="inlineStr">
        <is>
          <t>ARETES DE ESLABONES GOLD MZ</t>
        </is>
      </c>
      <c r="F4034" s="9" t="inlineStr">
        <is>
          <t>High Quality</t>
        </is>
      </c>
      <c r="G4034" s="9" t="n">
        <v>4</v>
      </c>
      <c r="H4034" s="21" t="n">
        <v>6.99</v>
      </c>
      <c r="I4034" s="21" t="n">
        <v>165.37</v>
      </c>
      <c r="J4034" s="21" t="n">
        <v>496.1</v>
      </c>
      <c r="K4034" s="21" t="n">
        <v>578.79</v>
      </c>
      <c r="L4034" s="21" t="n">
        <v>661.47</v>
      </c>
      <c r="M4034" s="21" t="n">
        <v>699</v>
      </c>
    </row>
    <row r="4035">
      <c r="A4035" s="9" t="inlineStr">
        <is>
          <t>NANCY</t>
        </is>
      </c>
      <c r="B4035" s="9" t="inlineStr">
        <is>
          <t>NANCY 08/05/2026</t>
        </is>
      </c>
      <c r="C4035" s="9" t="inlineStr">
        <is>
          <t>2026-05-08</t>
        </is>
      </c>
      <c r="D4035" s="9" t="inlineStr">
        <is>
          <t>43047216775308</t>
        </is>
      </c>
      <c r="E4035" s="9" t="inlineStr">
        <is>
          <t>ARETES ESLABON LISO  GOLD</t>
        </is>
      </c>
      <c r="F4035" s="9" t="inlineStr">
        <is>
          <t>Default Title</t>
        </is>
      </c>
      <c r="G4035" s="9" t="n">
        <v>5</v>
      </c>
      <c r="H4035" s="21" t="n">
        <v>5.79</v>
      </c>
      <c r="I4035" s="21" t="n">
        <v>136.98</v>
      </c>
      <c r="J4035" s="21" t="n">
        <v>410.94</v>
      </c>
      <c r="K4035" s="21" t="n">
        <v>479.42</v>
      </c>
      <c r="L4035" s="21" t="n">
        <v>547.91</v>
      </c>
      <c r="M4035" s="21" t="n">
        <v>650</v>
      </c>
    </row>
    <row r="4036">
      <c r="A4036" s="9" t="inlineStr">
        <is>
          <t>NANCY</t>
        </is>
      </c>
      <c r="B4036" s="9" t="inlineStr">
        <is>
          <t>NANCY 08/05/2026</t>
        </is>
      </c>
      <c r="C4036" s="9" t="inlineStr">
        <is>
          <t>2026-05-08</t>
        </is>
      </c>
      <c r="D4036" s="9" t="inlineStr">
        <is>
          <t>42981553012876</t>
        </is>
      </c>
      <c r="E4036" s="9" t="inlineStr">
        <is>
          <t>ARETES ESSENTIAL LV GOLD</t>
        </is>
      </c>
      <c r="F4036" s="9" t="inlineStr">
        <is>
          <t>Default Title</t>
        </is>
      </c>
      <c r="G4036" s="9" t="n">
        <v>2</v>
      </c>
      <c r="H4036" s="21" t="n">
        <v>5.59</v>
      </c>
      <c r="I4036" s="21" t="n">
        <v>132.25</v>
      </c>
      <c r="J4036" s="21" t="n">
        <v>396.74</v>
      </c>
      <c r="K4036" s="21" t="n">
        <v>462.86</v>
      </c>
      <c r="L4036" s="21" t="n">
        <v>528.99</v>
      </c>
      <c r="M4036" s="21" t="n">
        <v>499</v>
      </c>
    </row>
    <row r="4037">
      <c r="A4037" s="9" t="inlineStr">
        <is>
          <t>NANCY</t>
        </is>
      </c>
      <c r="B4037" s="9" t="inlineStr">
        <is>
          <t>NANCY 08/05/2026</t>
        </is>
      </c>
      <c r="C4037" s="9" t="inlineStr">
        <is>
          <t>2026-05-08</t>
        </is>
      </c>
      <c r="D4037" s="9" t="inlineStr">
        <is>
          <t>42981569396876</t>
        </is>
      </c>
      <c r="E4037" s="9" t="inlineStr">
        <is>
          <t>ARETES ESSENTIAL LV SILVER</t>
        </is>
      </c>
      <c r="F4037" s="9" t="inlineStr">
        <is>
          <t>Default Title</t>
        </is>
      </c>
      <c r="G4037" s="9" t="n">
        <v>6</v>
      </c>
      <c r="H4037" s="21" t="n">
        <v>5.59</v>
      </c>
      <c r="I4037" s="21" t="n">
        <v>132.25</v>
      </c>
      <c r="J4037" s="21" t="n">
        <v>396.74</v>
      </c>
      <c r="K4037" s="21" t="n">
        <v>462.86</v>
      </c>
      <c r="L4037" s="21" t="n">
        <v>528.99</v>
      </c>
      <c r="M4037" s="21" t="n">
        <v>499</v>
      </c>
    </row>
    <row r="4038">
      <c r="A4038" s="9" t="inlineStr">
        <is>
          <t>NANCY</t>
        </is>
      </c>
      <c r="B4038" s="9" t="inlineStr">
        <is>
          <t>NANCY 08/05/2026</t>
        </is>
      </c>
      <c r="C4038" s="9" t="inlineStr">
        <is>
          <t>2026-05-08</t>
        </is>
      </c>
      <c r="D4038" s="9" t="inlineStr">
        <is>
          <t>42982006882444</t>
        </is>
      </c>
      <c r="E4038" s="9" t="inlineStr">
        <is>
          <t>ARETES FR GOLD CON PERLA</t>
        </is>
      </c>
      <c r="F4038" s="9" t="inlineStr">
        <is>
          <t>Default Title</t>
        </is>
      </c>
      <c r="G4038" s="9" t="n">
        <v>8</v>
      </c>
      <c r="H4038" s="21" t="n">
        <v>4.49</v>
      </c>
      <c r="I4038" s="21" t="n">
        <v>106.22</v>
      </c>
      <c r="J4038" s="21" t="n">
        <v>318.67</v>
      </c>
      <c r="K4038" s="21" t="n">
        <v>371.78</v>
      </c>
      <c r="L4038" s="21" t="n">
        <v>424.89</v>
      </c>
      <c r="M4038" s="21" t="n">
        <v>499</v>
      </c>
    </row>
    <row r="4039">
      <c r="A4039" s="9" t="inlineStr">
        <is>
          <t>NANCY</t>
        </is>
      </c>
      <c r="B4039" s="9" t="inlineStr">
        <is>
          <t>NANCY 08/05/2026</t>
        </is>
      </c>
      <c r="C4039" s="9" t="inlineStr">
        <is>
          <t>2026-05-08</t>
        </is>
      </c>
      <c r="D4039" s="9" t="inlineStr">
        <is>
          <t>665bd22d2f1c6</t>
        </is>
      </c>
      <c r="E4039" s="9" t="inlineStr">
        <is>
          <t>ARETES FR GOLD CON ZIRCONIA</t>
        </is>
      </c>
      <c r="F4039" s="9" t="inlineStr">
        <is>
          <t>Regular</t>
        </is>
      </c>
      <c r="G4039" s="9" t="n">
        <v>16</v>
      </c>
      <c r="H4039" s="21" t="n">
        <v>5.59</v>
      </c>
      <c r="I4039" s="21" t="n">
        <v>132.25</v>
      </c>
      <c r="J4039" s="21" t="n">
        <v>396.74</v>
      </c>
      <c r="K4039" s="21" t="n">
        <v>462.86</v>
      </c>
      <c r="L4039" s="21" t="n">
        <v>528.99</v>
      </c>
      <c r="M4039" s="21" t="n">
        <v>550</v>
      </c>
    </row>
    <row r="4040">
      <c r="A4040" s="9" t="inlineStr">
        <is>
          <t>NANCY</t>
        </is>
      </c>
      <c r="B4040" s="9" t="inlineStr">
        <is>
          <t>NANCY 08/05/2026</t>
        </is>
      </c>
      <c r="C4040" s="9" t="inlineStr">
        <is>
          <t>2026-05-08</t>
        </is>
      </c>
      <c r="D4040" s="9" t="inlineStr">
        <is>
          <t>64e78ca83b5da-1</t>
        </is>
      </c>
      <c r="E4040" s="9" t="inlineStr">
        <is>
          <t>ARETES GC GOLD</t>
        </is>
      </c>
      <c r="F4040" s="9" t="inlineStr">
        <is>
          <t>Regular</t>
        </is>
      </c>
      <c r="G4040" s="9" t="n">
        <v>6</v>
      </c>
      <c r="H4040" s="21" t="n">
        <v>5.59</v>
      </c>
      <c r="I4040" s="21" t="n">
        <v>132.25</v>
      </c>
      <c r="J4040" s="21" t="n">
        <v>396.74</v>
      </c>
      <c r="K4040" s="21" t="n">
        <v>462.86</v>
      </c>
      <c r="L4040" s="21" t="n">
        <v>528.99</v>
      </c>
      <c r="M4040" s="21" t="n">
        <v>499</v>
      </c>
    </row>
    <row r="4041">
      <c r="A4041" s="9" t="inlineStr">
        <is>
          <t>NANCY</t>
        </is>
      </c>
      <c r="B4041" s="9" t="inlineStr">
        <is>
          <t>NANCY 08/05/2026</t>
        </is>
      </c>
      <c r="C4041" s="9" t="inlineStr">
        <is>
          <t>2026-05-08</t>
        </is>
      </c>
      <c r="D4041" s="9" t="inlineStr">
        <is>
          <t>665bb51372697</t>
        </is>
      </c>
      <c r="E4041" s="9" t="inlineStr">
        <is>
          <t>ARETES GC LOGO SILVER</t>
        </is>
      </c>
      <c r="F4041" s="9" t="inlineStr">
        <is>
          <t>Regular</t>
        </is>
      </c>
      <c r="G4041" s="9" t="n">
        <v>2</v>
      </c>
      <c r="H4041" s="21" t="n">
        <v>5.59</v>
      </c>
      <c r="I4041" s="21" t="n">
        <v>132.25</v>
      </c>
      <c r="J4041" s="21" t="n">
        <v>396.74</v>
      </c>
      <c r="K4041" s="21" t="n">
        <v>462.86</v>
      </c>
      <c r="L4041" s="21" t="n">
        <v>528.99</v>
      </c>
      <c r="M4041" s="21" t="n">
        <v>499</v>
      </c>
    </row>
    <row r="4042">
      <c r="A4042" s="9" t="inlineStr">
        <is>
          <t>NANCY</t>
        </is>
      </c>
      <c r="B4042" s="9" t="inlineStr">
        <is>
          <t>NANCY 08/05/2026</t>
        </is>
      </c>
      <c r="C4042" s="9" t="inlineStr">
        <is>
          <t>2026-05-08</t>
        </is>
      </c>
      <c r="D4042" s="9" t="inlineStr">
        <is>
          <t>665bb5192cc3b</t>
        </is>
      </c>
      <c r="E4042" s="9" t="inlineStr">
        <is>
          <t>ARETES LOCK GOLD</t>
        </is>
      </c>
      <c r="F4042" s="9" t="inlineStr">
        <is>
          <t>Default Title</t>
        </is>
      </c>
      <c r="G4042" s="9" t="n">
        <v>3</v>
      </c>
      <c r="H4042" s="21" t="n">
        <v>7.59</v>
      </c>
      <c r="I4042" s="21" t="n">
        <v>179.56</v>
      </c>
      <c r="J4042" s="21" t="n">
        <v>538.6900000000001</v>
      </c>
      <c r="K4042" s="21" t="n">
        <v>628.47</v>
      </c>
      <c r="L4042" s="21" t="n">
        <v>718.25</v>
      </c>
      <c r="M4042" s="21" t="n">
        <v>749</v>
      </c>
    </row>
    <row r="4043">
      <c r="A4043" s="9" t="inlineStr">
        <is>
          <t>NANCY</t>
        </is>
      </c>
      <c r="B4043" s="9" t="inlineStr">
        <is>
          <t>NANCY 08/05/2026</t>
        </is>
      </c>
      <c r="C4043" s="9" t="inlineStr">
        <is>
          <t>2026-05-08</t>
        </is>
      </c>
      <c r="D4043" s="9" t="inlineStr">
        <is>
          <t>64e78caddd8f1</t>
        </is>
      </c>
      <c r="E4043" s="9" t="inlineStr">
        <is>
          <t>ARETES LV CORAZÓN GOLD</t>
        </is>
      </c>
      <c r="F4043" s="9" t="inlineStr">
        <is>
          <t>Regular</t>
        </is>
      </c>
      <c r="G4043" s="9" t="n">
        <v>2</v>
      </c>
      <c r="H4043" s="21" t="n">
        <v>5.59</v>
      </c>
      <c r="I4043" s="21" t="n">
        <v>132.25</v>
      </c>
      <c r="J4043" s="21" t="n">
        <v>396.74</v>
      </c>
      <c r="K4043" s="21" t="n">
        <v>462.86</v>
      </c>
      <c r="L4043" s="21" t="n">
        <v>528.99</v>
      </c>
      <c r="M4043" s="21" t="n">
        <v>499</v>
      </c>
    </row>
    <row r="4044">
      <c r="A4044" s="9" t="inlineStr">
        <is>
          <t>NANCY</t>
        </is>
      </c>
      <c r="B4044" s="9" t="inlineStr">
        <is>
          <t>NANCY 08/05/2026</t>
        </is>
      </c>
      <c r="C4044" s="9" t="inlineStr">
        <is>
          <t>2026-05-08</t>
        </is>
      </c>
      <c r="D4044" s="9" t="inlineStr">
        <is>
          <t>665bb4fe45383</t>
        </is>
      </c>
      <c r="E4044" s="9" t="inlineStr">
        <is>
          <t>ARETES PERLA YSL</t>
        </is>
      </c>
      <c r="F4044" s="9" t="inlineStr">
        <is>
          <t>Regular</t>
        </is>
      </c>
      <c r="G4044" s="9" t="n">
        <v>4</v>
      </c>
      <c r="H4044" s="21" t="n">
        <v>4.19</v>
      </c>
      <c r="I4044" s="21" t="n">
        <v>99.13</v>
      </c>
      <c r="J4044" s="21" t="n">
        <v>297.38</v>
      </c>
      <c r="K4044" s="21" t="n">
        <v>346.94</v>
      </c>
      <c r="L4044" s="21" t="n">
        <v>396.5</v>
      </c>
      <c r="M4044" s="21" t="n">
        <v>499</v>
      </c>
    </row>
    <row r="4045">
      <c r="A4045" s="9" t="inlineStr">
        <is>
          <t>NANCY</t>
        </is>
      </c>
      <c r="B4045" s="9" t="inlineStr">
        <is>
          <t>NANCY 08/05/2026</t>
        </is>
      </c>
      <c r="C4045" s="9" t="inlineStr">
        <is>
          <t>2026-05-08</t>
        </is>
      </c>
      <c r="D4045" s="9" t="inlineStr">
        <is>
          <t>68431126327692</t>
        </is>
      </c>
      <c r="E4045" s="9" t="inlineStr">
        <is>
          <t>ARETES PERLEÉ GOLD</t>
        </is>
      </c>
      <c r="F4045" s="9" t="inlineStr">
        <is>
          <t>Default Title</t>
        </is>
      </c>
      <c r="G4045" s="9" t="n">
        <v>3</v>
      </c>
      <c r="H4045" s="21" t="n">
        <v>9.99</v>
      </c>
      <c r="I4045" s="21" t="n">
        <v>236.34</v>
      </c>
      <c r="J4045" s="21" t="n">
        <v>709.02</v>
      </c>
      <c r="K4045" s="21" t="n">
        <v>827.1900000000001</v>
      </c>
      <c r="L4045" s="21" t="n">
        <v>945.36</v>
      </c>
      <c r="M4045" s="21" t="n">
        <v>849</v>
      </c>
    </row>
    <row r="4046">
      <c r="A4046" s="9" t="inlineStr">
        <is>
          <t>NANCY</t>
        </is>
      </c>
      <c r="B4046" s="9" t="inlineStr">
        <is>
          <t>NANCY 08/05/2026</t>
        </is>
      </c>
      <c r="C4046" s="9" t="inlineStr">
        <is>
          <t>2026-05-08</t>
        </is>
      </c>
      <c r="D4046" s="9" t="inlineStr">
        <is>
          <t>665bb76e6de16</t>
        </is>
      </c>
      <c r="E4046" s="9" t="inlineStr">
        <is>
          <t>ARETES TB GOLD</t>
        </is>
      </c>
      <c r="F4046" s="9" t="inlineStr">
        <is>
          <t>Regular</t>
        </is>
      </c>
      <c r="G4046" s="9" t="n">
        <v>15</v>
      </c>
      <c r="H4046" s="21" t="n">
        <v>2.79</v>
      </c>
      <c r="I4046" s="21" t="n">
        <v>66.01000000000001</v>
      </c>
      <c r="J4046" s="21" t="n">
        <v>198.02</v>
      </c>
      <c r="K4046" s="21" t="n">
        <v>231.02</v>
      </c>
      <c r="L4046" s="21" t="n">
        <v>264.02</v>
      </c>
      <c r="M4046" s="21" t="n">
        <v>450</v>
      </c>
    </row>
    <row r="4047">
      <c r="A4047" s="9" t="inlineStr">
        <is>
          <t>NANCY</t>
        </is>
      </c>
      <c r="B4047" s="9" t="inlineStr">
        <is>
          <t>NANCY 08/05/2026</t>
        </is>
      </c>
      <c r="C4047" s="9" t="inlineStr">
        <is>
          <t>2026-05-08</t>
        </is>
      </c>
      <c r="D4047" s="9" t="inlineStr">
        <is>
          <t>64e78c9c19fe7</t>
        </is>
      </c>
      <c r="E4047" s="9" t="inlineStr">
        <is>
          <t>ARETES V CON PERLA COLGANTE</t>
        </is>
      </c>
      <c r="F4047" s="9" t="inlineStr">
        <is>
          <t>Regular</t>
        </is>
      </c>
      <c r="G4047" s="9" t="n">
        <v>5</v>
      </c>
      <c r="H4047" s="21" t="n">
        <v>6.59</v>
      </c>
      <c r="I4047" s="21" t="n">
        <v>155.9</v>
      </c>
      <c r="J4047" s="21" t="n">
        <v>467.71</v>
      </c>
      <c r="K4047" s="21" t="n">
        <v>545.67</v>
      </c>
      <c r="L4047" s="21" t="n">
        <v>623.62</v>
      </c>
      <c r="M4047" s="21" t="n">
        <v>599</v>
      </c>
    </row>
    <row r="4048">
      <c r="A4048" s="9" t="inlineStr">
        <is>
          <t>NANCY</t>
        </is>
      </c>
      <c r="B4048" s="9" t="inlineStr">
        <is>
          <t>NANCY 08/05/2026</t>
        </is>
      </c>
      <c r="C4048" s="9" t="inlineStr">
        <is>
          <t>2026-05-08</t>
        </is>
      </c>
      <c r="D4048" s="9" t="inlineStr">
        <is>
          <t>654bdb2332905</t>
        </is>
      </c>
      <c r="E4048" s="9" t="inlineStr">
        <is>
          <t>ARETES V GOLD</t>
        </is>
      </c>
      <c r="F4048" s="9" t="inlineStr">
        <is>
          <t>Regular</t>
        </is>
      </c>
      <c r="G4048" s="9" t="n">
        <v>4</v>
      </c>
      <c r="H4048" s="21" t="n">
        <v>5.59</v>
      </c>
      <c r="I4048" s="21" t="n">
        <v>132.25</v>
      </c>
      <c r="J4048" s="21" t="n">
        <v>396.74</v>
      </c>
      <c r="K4048" s="21" t="n">
        <v>462.86</v>
      </c>
      <c r="L4048" s="21" t="n">
        <v>528.99</v>
      </c>
      <c r="M4048" s="21" t="n">
        <v>550</v>
      </c>
    </row>
    <row r="4049">
      <c r="A4049" s="9" t="inlineStr">
        <is>
          <t>NANCY</t>
        </is>
      </c>
      <c r="B4049" s="9" t="inlineStr">
        <is>
          <t>NANCY 08/05/2026</t>
        </is>
      </c>
      <c r="C4049" s="9" t="inlineStr">
        <is>
          <t>2026-05-08</t>
        </is>
      </c>
      <c r="D4049" s="9" t="inlineStr">
        <is>
          <t>42981986795660</t>
        </is>
      </c>
      <c r="E4049" s="9" t="inlineStr">
        <is>
          <t>ARETES V ROUND GOLD</t>
        </is>
      </c>
      <c r="F4049" s="9" t="inlineStr">
        <is>
          <t>Regular</t>
        </is>
      </c>
      <c r="G4049" s="9" t="n">
        <v>2</v>
      </c>
      <c r="H4049" s="21" t="n">
        <v>5.59</v>
      </c>
      <c r="I4049" s="21" t="n">
        <v>132.25</v>
      </c>
      <c r="J4049" s="21" t="n">
        <v>396.74</v>
      </c>
      <c r="K4049" s="21" t="n">
        <v>462.86</v>
      </c>
      <c r="L4049" s="21" t="n">
        <v>528.99</v>
      </c>
      <c r="M4049" s="21" t="n">
        <v>550</v>
      </c>
    </row>
    <row r="4050">
      <c r="A4050" s="9" t="inlineStr">
        <is>
          <t>NANCY</t>
        </is>
      </c>
      <c r="B4050" s="9" t="inlineStr">
        <is>
          <t>NANCY 08/05/2026</t>
        </is>
      </c>
      <c r="C4050" s="9" t="inlineStr">
        <is>
          <t>2026-05-08</t>
        </is>
      </c>
      <c r="D4050" s="9" t="inlineStr">
        <is>
          <t>665bb78f1ae43</t>
        </is>
      </c>
      <c r="E4050" s="9" t="inlineStr">
        <is>
          <t>ARETES YSL GOLD CON ZIRCONIA</t>
        </is>
      </c>
      <c r="F4050" s="9" t="inlineStr">
        <is>
          <t>Regular</t>
        </is>
      </c>
      <c r="G4050" s="9" t="n">
        <v>2</v>
      </c>
      <c r="H4050" s="21" t="n">
        <v>6.99</v>
      </c>
      <c r="I4050" s="21" t="n">
        <v>165.37</v>
      </c>
      <c r="J4050" s="21" t="n">
        <v>496.1</v>
      </c>
      <c r="K4050" s="21" t="n">
        <v>578.79</v>
      </c>
      <c r="L4050" s="21" t="n">
        <v>661.47</v>
      </c>
      <c r="M4050" s="21" t="n">
        <v>650</v>
      </c>
    </row>
    <row r="4051">
      <c r="A4051" s="9" t="inlineStr">
        <is>
          <t>NANCY</t>
        </is>
      </c>
      <c r="B4051" s="9" t="inlineStr">
        <is>
          <t>NANCY 08/05/2026</t>
        </is>
      </c>
      <c r="C4051" s="9" t="inlineStr">
        <is>
          <t>2026-05-08</t>
        </is>
      </c>
      <c r="D4051" s="9" t="inlineStr">
        <is>
          <t>665bb79224272</t>
        </is>
      </c>
      <c r="E4051" s="9" t="inlineStr">
        <is>
          <t>ARRACADAS CD GOLD BLACK</t>
        </is>
      </c>
      <c r="F4051" s="9" t="inlineStr">
        <is>
          <t>Default Title</t>
        </is>
      </c>
      <c r="G4051" s="9" t="n">
        <v>2</v>
      </c>
      <c r="H4051" s="21" t="n">
        <v>5.59</v>
      </c>
      <c r="I4051" s="21" t="n">
        <v>132.25</v>
      </c>
      <c r="J4051" s="21" t="n">
        <v>396.74</v>
      </c>
      <c r="K4051" s="21" t="n">
        <v>462.86</v>
      </c>
      <c r="L4051" s="21" t="n">
        <v>528.99</v>
      </c>
      <c r="M4051" s="21" t="n">
        <v>649</v>
      </c>
    </row>
    <row r="4052">
      <c r="A4052" s="9" t="inlineStr">
        <is>
          <t>NANCY</t>
        </is>
      </c>
      <c r="B4052" s="9" t="inlineStr">
        <is>
          <t>NANCY 08/05/2026</t>
        </is>
      </c>
      <c r="C4052" s="9" t="inlineStr">
        <is>
          <t>2026-05-08</t>
        </is>
      </c>
      <c r="D4052" s="9" t="inlineStr">
        <is>
          <t>654bdb241005f</t>
        </is>
      </c>
      <c r="E4052" s="9" t="inlineStr">
        <is>
          <t>ARRACADAS GC GOLD</t>
        </is>
      </c>
      <c r="F4052" s="9" t="inlineStr">
        <is>
          <t>Default Title</t>
        </is>
      </c>
      <c r="G4052" s="9" t="n">
        <v>4</v>
      </c>
      <c r="H4052" s="21" t="n">
        <v>6.29</v>
      </c>
      <c r="I4052" s="21" t="n">
        <v>148.81</v>
      </c>
      <c r="J4052" s="21" t="n">
        <v>446.42</v>
      </c>
      <c r="K4052" s="21" t="n">
        <v>520.83</v>
      </c>
      <c r="L4052" s="21" t="n">
        <v>595.23</v>
      </c>
      <c r="M4052" s="21" t="n">
        <v>550</v>
      </c>
    </row>
    <row r="4053">
      <c r="A4053" s="9" t="inlineStr">
        <is>
          <t>NANCY</t>
        </is>
      </c>
      <c r="B4053" s="9" t="inlineStr">
        <is>
          <t>NANCY 08/05/2026</t>
        </is>
      </c>
      <c r="C4053" s="9" t="inlineStr">
        <is>
          <t>2026-05-08</t>
        </is>
      </c>
      <c r="D4053" s="9" t="inlineStr">
        <is>
          <t>43047204749452</t>
        </is>
      </c>
      <c r="E4053" s="9" t="inlineStr">
        <is>
          <t>ARRACADAS T CORAZÓN</t>
        </is>
      </c>
      <c r="F4053" s="9" t="inlineStr">
        <is>
          <t>Regular</t>
        </is>
      </c>
      <c r="G4053" s="9" t="n">
        <v>10</v>
      </c>
      <c r="H4053" s="21" t="n">
        <v>5.59</v>
      </c>
      <c r="I4053" s="21" t="n">
        <v>132.25</v>
      </c>
      <c r="J4053" s="21" t="n">
        <v>396.74</v>
      </c>
      <c r="K4053" s="21" t="n">
        <v>462.86</v>
      </c>
      <c r="L4053" s="21" t="n">
        <v>528.99</v>
      </c>
      <c r="M4053" s="21" t="n">
        <v>499</v>
      </c>
    </row>
    <row r="4054">
      <c r="A4054" s="9" t="inlineStr">
        <is>
          <t>NANCY</t>
        </is>
      </c>
      <c r="B4054" s="9" t="inlineStr">
        <is>
          <t>NANCY 08/05/2026</t>
        </is>
      </c>
      <c r="C4054" s="9" t="inlineStr">
        <is>
          <t>2026-05-08</t>
        </is>
      </c>
      <c r="D4054" s="9" t="inlineStr">
        <is>
          <t>665bb79d85c5b-1</t>
        </is>
      </c>
      <c r="E4054" s="9" t="inlineStr">
        <is>
          <t>ARRACADAS VC</t>
        </is>
      </c>
      <c r="F4054" s="9" t="inlineStr">
        <is>
          <t>Regular</t>
        </is>
      </c>
      <c r="G4054" s="9" t="n">
        <v>2</v>
      </c>
      <c r="H4054" s="21" t="n">
        <v>5.59</v>
      </c>
      <c r="I4054" s="21" t="n">
        <v>132.25</v>
      </c>
      <c r="J4054" s="21" t="n">
        <v>396.74</v>
      </c>
      <c r="K4054" s="21" t="n">
        <v>462.86</v>
      </c>
      <c r="L4054" s="21" t="n">
        <v>528.99</v>
      </c>
      <c r="M4054" s="21" t="n">
        <v>469</v>
      </c>
    </row>
    <row r="4055">
      <c r="A4055" s="9" t="inlineStr">
        <is>
          <t>NANCY</t>
        </is>
      </c>
      <c r="B4055" s="9" t="inlineStr">
        <is>
          <t>NANCY 08/05/2026</t>
        </is>
      </c>
      <c r="C4055" s="9" t="inlineStr">
        <is>
          <t>2026-05-08</t>
        </is>
      </c>
      <c r="D4055" s="9" t="inlineStr">
        <is>
          <t>64e78ca1ee3ac</t>
        </is>
      </c>
      <c r="E4055" s="9" t="inlineStr">
        <is>
          <t>BRAZALETE CD WHITE</t>
        </is>
      </c>
      <c r="F4055" s="9" t="inlineStr">
        <is>
          <t>AJUSTABLE</t>
        </is>
      </c>
      <c r="G4055" s="9" t="n">
        <v>2</v>
      </c>
      <c r="H4055" s="21" t="n">
        <v>6.59</v>
      </c>
      <c r="I4055" s="21" t="n">
        <v>155.9</v>
      </c>
      <c r="J4055" s="21" t="n">
        <v>467.71</v>
      </c>
      <c r="K4055" s="21" t="n">
        <v>545.67</v>
      </c>
      <c r="L4055" s="21" t="n">
        <v>623.62</v>
      </c>
      <c r="M4055" s="21" t="n">
        <v>599</v>
      </c>
    </row>
    <row r="4056">
      <c r="A4056" s="9" t="inlineStr">
        <is>
          <t>NANCY</t>
        </is>
      </c>
      <c r="B4056" s="9" t="inlineStr">
        <is>
          <t>NANCY 08/05/2026</t>
        </is>
      </c>
      <c r="C4056" s="9" t="inlineStr">
        <is>
          <t>2026-05-08</t>
        </is>
      </c>
      <c r="D4056" s="9" t="inlineStr">
        <is>
          <t>40049131275149</t>
        </is>
      </c>
      <c r="E4056" s="9" t="inlineStr">
        <is>
          <t>CARTERA LV VICTOIRE BICOLOR</t>
        </is>
      </c>
      <c r="F4056" s="9" t="inlineStr">
        <is>
          <t>Default Title</t>
        </is>
      </c>
      <c r="G4056" s="9" t="n">
        <v>2</v>
      </c>
      <c r="H4056" s="21" t="n">
        <v>16.79</v>
      </c>
      <c r="I4056" s="21" t="n">
        <v>397.21</v>
      </c>
      <c r="J4056" s="21" t="n">
        <v>1191.64</v>
      </c>
      <c r="K4056" s="21" t="n">
        <v>1390.25</v>
      </c>
      <c r="L4056" s="21" t="n">
        <v>1588.86</v>
      </c>
      <c r="M4056" s="21" t="n">
        <v>0</v>
      </c>
    </row>
    <row r="4057">
      <c r="A4057" s="9" t="inlineStr">
        <is>
          <t>NANCY</t>
        </is>
      </c>
      <c r="B4057" s="9" t="inlineStr">
        <is>
          <t>NANCY 08/05/2026</t>
        </is>
      </c>
      <c r="C4057" s="9" t="inlineStr">
        <is>
          <t>2026-05-08</t>
        </is>
      </c>
      <c r="D4057" s="9" t="inlineStr">
        <is>
          <t>40049131140685</t>
        </is>
      </c>
      <c r="E4057" s="9" t="inlineStr">
        <is>
          <t>CARTERA LV X MURKAMI</t>
        </is>
      </c>
      <c r="F4057" s="9" t="inlineStr">
        <is>
          <t>Default Title</t>
        </is>
      </c>
      <c r="G4057" s="9" t="n">
        <v>2</v>
      </c>
      <c r="H4057" s="21" t="n">
        <v>15.79</v>
      </c>
      <c r="I4057" s="21" t="n">
        <v>373.56</v>
      </c>
      <c r="J4057" s="21" t="n">
        <v>1120.67</v>
      </c>
      <c r="K4057" s="21" t="n">
        <v>1307.45</v>
      </c>
      <c r="L4057" s="21" t="n">
        <v>1494.22</v>
      </c>
      <c r="M4057" s="21" t="n">
        <v>0</v>
      </c>
    </row>
    <row r="4058">
      <c r="A4058" s="9" t="inlineStr">
        <is>
          <t>NANCY</t>
        </is>
      </c>
      <c r="B4058" s="9" t="inlineStr">
        <is>
          <t>NANCY 08/05/2026</t>
        </is>
      </c>
      <c r="C4058" s="9" t="inlineStr">
        <is>
          <t>2026-05-08</t>
        </is>
      </c>
      <c r="D4058" s="9" t="inlineStr">
        <is>
          <t>66745969cb7d0</t>
        </is>
      </c>
      <c r="E4058" s="9" t="inlineStr">
        <is>
          <t>COLLAR 20 TRÉBOLES GOLD GREEN</t>
        </is>
      </c>
      <c r="F4058" s="9" t="inlineStr">
        <is>
          <t>Default Title</t>
        </is>
      </c>
      <c r="G4058" s="9" t="n">
        <v>1</v>
      </c>
      <c r="H4058" s="21" t="n">
        <v>35.59</v>
      </c>
      <c r="I4058" s="21" t="n">
        <v>841.98</v>
      </c>
      <c r="J4058" s="21" t="n">
        <v>2525.94</v>
      </c>
      <c r="K4058" s="21" t="n">
        <v>2946.93</v>
      </c>
      <c r="L4058" s="21" t="n">
        <v>3367.92</v>
      </c>
      <c r="M4058" s="21" t="n">
        <v>2999</v>
      </c>
    </row>
    <row r="4059">
      <c r="A4059" s="9" t="inlineStr">
        <is>
          <t>NANCY</t>
        </is>
      </c>
      <c r="B4059" s="9" t="inlineStr">
        <is>
          <t>NANCY 08/05/2026</t>
        </is>
      </c>
      <c r="C4059" s="9" t="inlineStr">
        <is>
          <t>2026-05-08</t>
        </is>
      </c>
      <c r="D4059" s="9" t="inlineStr">
        <is>
          <t>66745973ed916</t>
        </is>
      </c>
      <c r="E4059" s="9" t="inlineStr">
        <is>
          <t>COLLAR 20 TRÉBOLES GOLD RED</t>
        </is>
      </c>
      <c r="F4059" s="9" t="inlineStr">
        <is>
          <t>Default Title</t>
        </is>
      </c>
      <c r="G4059" s="9" t="n">
        <v>1</v>
      </c>
      <c r="H4059" s="21" t="n">
        <v>35.59</v>
      </c>
      <c r="I4059" s="21" t="n">
        <v>841.98</v>
      </c>
      <c r="J4059" s="21" t="n">
        <v>2525.94</v>
      </c>
      <c r="K4059" s="21" t="n">
        <v>2946.93</v>
      </c>
      <c r="L4059" s="21" t="n">
        <v>3367.92</v>
      </c>
      <c r="M4059" s="21" t="n">
        <v>2999</v>
      </c>
    </row>
    <row r="4060">
      <c r="A4060" s="9" t="inlineStr">
        <is>
          <t>NANCY</t>
        </is>
      </c>
      <c r="B4060" s="9" t="inlineStr">
        <is>
          <t>NANCY 08/05/2026</t>
        </is>
      </c>
      <c r="C4060" s="9" t="inlineStr">
        <is>
          <t>2026-05-08</t>
        </is>
      </c>
      <c r="D4060" s="9" t="inlineStr">
        <is>
          <t>66b5a7ced89a8</t>
        </is>
      </c>
      <c r="E4060" s="9" t="inlineStr">
        <is>
          <t>COLLAR 20 TRÉBOLES SILVER BLACK</t>
        </is>
      </c>
      <c r="F4060" s="9" t="inlineStr">
        <is>
          <t>Default Title</t>
        </is>
      </c>
      <c r="G4060" s="9" t="n">
        <v>2</v>
      </c>
      <c r="H4060" s="21" t="n">
        <v>35.59</v>
      </c>
      <c r="I4060" s="21" t="n">
        <v>841.98</v>
      </c>
      <c r="J4060" s="21" t="n">
        <v>2525.94</v>
      </c>
      <c r="K4060" s="21" t="n">
        <v>2946.93</v>
      </c>
      <c r="L4060" s="21" t="n">
        <v>3367.92</v>
      </c>
      <c r="M4060" s="21" t="n">
        <v>2999</v>
      </c>
    </row>
    <row r="4061">
      <c r="A4061" s="9" t="inlineStr">
        <is>
          <t>NANCY</t>
        </is>
      </c>
      <c r="B4061" s="9" t="inlineStr">
        <is>
          <t>NANCY 08/05/2026</t>
        </is>
      </c>
      <c r="C4061" s="9" t="inlineStr">
        <is>
          <t>2026-05-08</t>
        </is>
      </c>
      <c r="D4061" s="9" t="inlineStr">
        <is>
          <t>43047205240972</t>
        </is>
      </c>
      <c r="E4061" s="9" t="inlineStr">
        <is>
          <t>COLLAR KNOT GOLD</t>
        </is>
      </c>
      <c r="F4061" s="9" t="inlineStr">
        <is>
          <t>Tamaño del dije: 4.5cm  40cm con extensión de 4cm</t>
        </is>
      </c>
      <c r="G4061" s="9" t="n">
        <v>6</v>
      </c>
      <c r="H4061" s="21" t="n">
        <v>5.59</v>
      </c>
      <c r="I4061" s="21" t="n">
        <v>132.25</v>
      </c>
      <c r="J4061" s="21" t="n">
        <v>396.74</v>
      </c>
      <c r="K4061" s="21" t="n">
        <v>462.86</v>
      </c>
      <c r="L4061" s="21" t="n">
        <v>528.99</v>
      </c>
      <c r="M4061" s="21" t="n">
        <v>550</v>
      </c>
    </row>
    <row r="4062">
      <c r="A4062" s="9" t="inlineStr">
        <is>
          <t>NANCY</t>
        </is>
      </c>
      <c r="B4062" s="9" t="inlineStr">
        <is>
          <t>NANCY 08/05/2026</t>
        </is>
      </c>
      <c r="C4062" s="9" t="inlineStr">
        <is>
          <t>2026-05-08</t>
        </is>
      </c>
      <c r="D4062" s="9" t="inlineStr">
        <is>
          <t>42981825511564</t>
        </is>
      </c>
      <c r="E4062" s="9" t="inlineStr">
        <is>
          <t>COLLAR LOCK CON ZIRCONIAS GOLD SILVER</t>
        </is>
      </c>
      <c r="F4062" s="9" t="inlineStr">
        <is>
          <t>Default Title</t>
        </is>
      </c>
      <c r="G4062" s="9" t="n">
        <v>6</v>
      </c>
      <c r="H4062" s="21" t="n">
        <v>8.59</v>
      </c>
      <c r="I4062" s="21" t="n">
        <v>203.22</v>
      </c>
      <c r="J4062" s="21" t="n">
        <v>609.66</v>
      </c>
      <c r="K4062" s="21" t="n">
        <v>711.27</v>
      </c>
      <c r="L4062" s="21" t="n">
        <v>812.88</v>
      </c>
      <c r="M4062" s="21" t="n">
        <v>750</v>
      </c>
    </row>
    <row r="4063">
      <c r="A4063" s="9" t="inlineStr">
        <is>
          <t>NANCY</t>
        </is>
      </c>
      <c r="B4063" s="9" t="inlineStr">
        <is>
          <t>NANCY 08/05/2026</t>
        </is>
      </c>
      <c r="C4063" s="9" t="inlineStr">
        <is>
          <t>2026-05-08</t>
        </is>
      </c>
      <c r="D4063" s="9" t="inlineStr">
        <is>
          <t>42981893177484</t>
        </is>
      </c>
      <c r="E4063" s="9" t="inlineStr">
        <is>
          <t>COLLAR LOCK CON ZIRCONIAS ROSEGOLD SILVER</t>
        </is>
      </c>
      <c r="F4063" s="9" t="inlineStr">
        <is>
          <t>Default Title</t>
        </is>
      </c>
      <c r="G4063" s="9" t="n">
        <v>3</v>
      </c>
      <c r="H4063" s="21" t="n">
        <v>8.59</v>
      </c>
      <c r="I4063" s="21" t="n">
        <v>203.22</v>
      </c>
      <c r="J4063" s="21" t="n">
        <v>609.66</v>
      </c>
      <c r="K4063" s="21" t="n">
        <v>711.27</v>
      </c>
      <c r="L4063" s="21" t="n">
        <v>812.88</v>
      </c>
      <c r="M4063" s="21" t="n">
        <v>750</v>
      </c>
    </row>
    <row r="4064">
      <c r="A4064" s="9" t="inlineStr">
        <is>
          <t>NANCY</t>
        </is>
      </c>
      <c r="B4064" s="9" t="inlineStr">
        <is>
          <t>NANCY 08/05/2026</t>
        </is>
      </c>
      <c r="C4064" s="9" t="inlineStr">
        <is>
          <t>2026-05-08</t>
        </is>
      </c>
      <c r="D4064" s="9" t="inlineStr">
        <is>
          <t>56481497298188</t>
        </is>
      </c>
      <c r="E4064" s="9" t="inlineStr">
        <is>
          <t>COLLAR LV OMBRE</t>
        </is>
      </c>
      <c r="F4064" s="9" t="inlineStr">
        <is>
          <t>39cm con extensión de 5cm</t>
        </is>
      </c>
      <c r="G4064" s="9" t="n">
        <v>3</v>
      </c>
      <c r="H4064" s="21" t="n">
        <v>6.59</v>
      </c>
      <c r="I4064" s="21" t="n">
        <v>155.9</v>
      </c>
      <c r="J4064" s="21" t="n">
        <v>467.71</v>
      </c>
      <c r="K4064" s="21" t="n">
        <v>545.67</v>
      </c>
      <c r="L4064" s="21" t="n">
        <v>623.62</v>
      </c>
      <c r="M4064" s="21" t="n">
        <v>550</v>
      </c>
    </row>
    <row r="4065">
      <c r="A4065" s="9" t="inlineStr">
        <is>
          <t>NANCY</t>
        </is>
      </c>
      <c r="B4065" s="9" t="inlineStr">
        <is>
          <t>NANCY 08/05/2026</t>
        </is>
      </c>
      <c r="C4065" s="9" t="inlineStr">
        <is>
          <t>2026-05-08</t>
        </is>
      </c>
      <c r="D4065" s="9" t="inlineStr">
        <is>
          <t>42981966872716</t>
        </is>
      </c>
      <c r="E4065" s="9" t="inlineStr">
        <is>
          <t>COLLAR POP H GOLD BLACK</t>
        </is>
      </c>
      <c r="F4065" s="9" t="inlineStr">
        <is>
          <t>MEDIUM QUALITY</t>
        </is>
      </c>
      <c r="G4065" s="9" t="n">
        <v>2</v>
      </c>
      <c r="H4065" s="21" t="n">
        <v>3.99</v>
      </c>
      <c r="I4065" s="21" t="n">
        <v>94.39</v>
      </c>
      <c r="J4065" s="21" t="n">
        <v>283.18</v>
      </c>
      <c r="K4065" s="21" t="n">
        <v>330.38</v>
      </c>
      <c r="L4065" s="21" t="n">
        <v>377.58</v>
      </c>
      <c r="M4065" s="21" t="n">
        <v>499</v>
      </c>
    </row>
    <row r="4066">
      <c r="A4066" s="9" t="inlineStr">
        <is>
          <t>NANCY</t>
        </is>
      </c>
      <c r="B4066" s="9" t="inlineStr">
        <is>
          <t>NANCY 08/05/2026</t>
        </is>
      </c>
      <c r="C4066" s="9" t="inlineStr">
        <is>
          <t>2026-05-08</t>
        </is>
      </c>
      <c r="D4066" s="9" t="inlineStr">
        <is>
          <t>42981975064716</t>
        </is>
      </c>
      <c r="E4066" s="9" t="inlineStr">
        <is>
          <t>COLLAR POP H GOLD WHITE</t>
        </is>
      </c>
      <c r="F4066" s="9" t="inlineStr">
        <is>
          <t>Regular</t>
        </is>
      </c>
      <c r="G4066" s="9" t="n">
        <v>3</v>
      </c>
      <c r="H4066" s="21" t="n">
        <v>3.99</v>
      </c>
      <c r="I4066" s="21" t="n">
        <v>94.39</v>
      </c>
      <c r="J4066" s="21" t="n">
        <v>283.18</v>
      </c>
      <c r="K4066" s="21" t="n">
        <v>330.38</v>
      </c>
      <c r="L4066" s="21" t="n">
        <v>377.58</v>
      </c>
      <c r="M4066" s="21" t="n">
        <v>550</v>
      </c>
    </row>
    <row r="4067">
      <c r="A4067" s="9" t="inlineStr">
        <is>
          <t>NANCY</t>
        </is>
      </c>
      <c r="B4067" s="9" t="inlineStr">
        <is>
          <t>NANCY 08/05/2026</t>
        </is>
      </c>
      <c r="C4067" s="9" t="inlineStr">
        <is>
          <t>2026-05-08</t>
        </is>
      </c>
      <c r="D4067" s="9" t="inlineStr">
        <is>
          <t>42981964578956</t>
        </is>
      </c>
      <c r="E4067" s="9" t="inlineStr">
        <is>
          <t>COLLAR POP H SILVER BLACK</t>
        </is>
      </c>
      <c r="F4067" s="9" t="inlineStr">
        <is>
          <t>MEDIUM QUALITY</t>
        </is>
      </c>
      <c r="G4067" s="9" t="n">
        <v>4</v>
      </c>
      <c r="H4067" s="21" t="n">
        <v>3.99</v>
      </c>
      <c r="I4067" s="21" t="n">
        <v>94.39</v>
      </c>
      <c r="J4067" s="21" t="n">
        <v>283.18</v>
      </c>
      <c r="K4067" s="21" t="n">
        <v>330.38</v>
      </c>
      <c r="L4067" s="21" t="n">
        <v>377.58</v>
      </c>
      <c r="M4067" s="21" t="n">
        <v>499</v>
      </c>
    </row>
    <row r="4068">
      <c r="A4068" s="9" t="inlineStr">
        <is>
          <t>NANCY</t>
        </is>
      </c>
      <c r="B4068" s="9" t="inlineStr">
        <is>
          <t>NANCY 08/05/2026</t>
        </is>
      </c>
      <c r="C4068" s="9" t="inlineStr">
        <is>
          <t>2026-05-08</t>
        </is>
      </c>
      <c r="D4068" s="9" t="inlineStr">
        <is>
          <t>65786751076141</t>
        </is>
      </c>
      <c r="E4068" s="9" t="inlineStr">
        <is>
          <t>COLLAR POP H SILVER WHITE</t>
        </is>
      </c>
      <c r="F4068" s="9" t="inlineStr">
        <is>
          <t>MEDIUM QUALITY</t>
        </is>
      </c>
      <c r="G4068" s="9" t="n">
        <v>3</v>
      </c>
      <c r="H4068" s="21" t="n">
        <v>3.99</v>
      </c>
      <c r="I4068" s="21" t="n">
        <v>94.39</v>
      </c>
      <c r="J4068" s="21" t="n">
        <v>283.18</v>
      </c>
      <c r="K4068" s="21" t="n">
        <v>330.38</v>
      </c>
      <c r="L4068" s="21" t="n">
        <v>377.58</v>
      </c>
      <c r="M4068" s="21" t="n">
        <v>499</v>
      </c>
    </row>
    <row r="4069">
      <c r="A4069" s="9" t="inlineStr">
        <is>
          <t>NANCY</t>
        </is>
      </c>
      <c r="B4069" s="9" t="inlineStr">
        <is>
          <t>NANCY 08/05/2026</t>
        </is>
      </c>
      <c r="C4069" s="9" t="inlineStr">
        <is>
          <t>2026-05-08</t>
        </is>
      </c>
      <c r="D4069" s="9" t="inlineStr">
        <is>
          <t>36002950539532</t>
        </is>
      </c>
      <c r="E4069" s="9" t="inlineStr">
        <is>
          <t>COLLAR T CORAZÓN</t>
        </is>
      </c>
      <c r="F4069" s="9" t="inlineStr">
        <is>
          <t>Default Title</t>
        </is>
      </c>
      <c r="G4069" s="9" t="n">
        <v>10</v>
      </c>
      <c r="H4069" s="21" t="n">
        <v>9.99</v>
      </c>
      <c r="I4069" s="21" t="n">
        <v>236.34</v>
      </c>
      <c r="J4069" s="21" t="n">
        <v>709.02</v>
      </c>
      <c r="K4069" s="21" t="n">
        <v>827.1900000000001</v>
      </c>
      <c r="L4069" s="21" t="n">
        <v>945.36</v>
      </c>
      <c r="M4069" s="21" t="n">
        <v>850</v>
      </c>
    </row>
    <row r="4070">
      <c r="A4070" s="9" t="inlineStr">
        <is>
          <t>NANCY</t>
        </is>
      </c>
      <c r="B4070" s="9" t="inlineStr">
        <is>
          <t>NANCY 08/05/2026</t>
        </is>
      </c>
      <c r="C4070" s="9" t="inlineStr">
        <is>
          <t>2026-05-08</t>
        </is>
      </c>
      <c r="D4070" s="9" t="inlineStr">
        <is>
          <t>648cc5ff73cd7</t>
        </is>
      </c>
      <c r="E4070" s="9" t="inlineStr">
        <is>
          <t>COLLAR YSL GOLD (NECKLACE)</t>
        </is>
      </c>
      <c r="F4070" s="9" t="inlineStr">
        <is>
          <t>20cm HIGH QUALITY</t>
        </is>
      </c>
      <c r="G4070" s="9" t="n">
        <v>11</v>
      </c>
      <c r="H4070" s="21" t="n">
        <v>6.29</v>
      </c>
      <c r="I4070" s="21" t="n">
        <v>148.81</v>
      </c>
      <c r="J4070" s="21" t="n">
        <v>446.42</v>
      </c>
      <c r="K4070" s="21" t="n">
        <v>520.83</v>
      </c>
      <c r="L4070" s="21" t="n">
        <v>595.23</v>
      </c>
      <c r="M4070" s="21" t="n">
        <v>550</v>
      </c>
    </row>
    <row r="4071">
      <c r="A4071" s="9" t="inlineStr">
        <is>
          <t>NANCY</t>
        </is>
      </c>
      <c r="B4071" s="9" t="inlineStr">
        <is>
          <t>NANCY 08/05/2026</t>
        </is>
      </c>
      <c r="C4071" s="9" t="inlineStr">
        <is>
          <t>2026-05-08</t>
        </is>
      </c>
      <c r="D4071" s="9" t="inlineStr">
        <is>
          <t>66745aa7a2ba5</t>
        </is>
      </c>
      <c r="E4071" s="9" t="inlineStr">
        <is>
          <t>GARGANTILLA 10 TRÉBOLES GOLD BLACK</t>
        </is>
      </c>
      <c r="F4071" s="9" t="inlineStr">
        <is>
          <t>15mm</t>
        </is>
      </c>
      <c r="G4071" s="9" t="n">
        <v>2</v>
      </c>
      <c r="H4071" s="21" t="n">
        <v>16.59</v>
      </c>
      <c r="I4071" s="21" t="n">
        <v>392.48</v>
      </c>
      <c r="J4071" s="21" t="n">
        <v>1177.45</v>
      </c>
      <c r="K4071" s="21" t="n">
        <v>1373.69</v>
      </c>
      <c r="L4071" s="21" t="n">
        <v>1569.93</v>
      </c>
      <c r="M4071" s="21" t="n">
        <v>1428</v>
      </c>
    </row>
    <row r="4072">
      <c r="A4072" s="9" t="inlineStr">
        <is>
          <t>NANCY</t>
        </is>
      </c>
      <c r="B4072" s="9" t="inlineStr">
        <is>
          <t>NANCY 08/05/2026</t>
        </is>
      </c>
      <c r="C4072" s="9" t="inlineStr">
        <is>
          <t>2026-05-08</t>
        </is>
      </c>
      <c r="D4072" s="9" t="inlineStr">
        <is>
          <t>66745adb8510f-1</t>
        </is>
      </c>
      <c r="E4072" s="9" t="inlineStr">
        <is>
          <t>GARGANTILLA 10 TRÉBOLES SILVER BLACK</t>
        </is>
      </c>
      <c r="F4072" s="9" t="inlineStr">
        <is>
          <t>15mm</t>
        </is>
      </c>
      <c r="G4072" s="9" t="n">
        <v>2</v>
      </c>
      <c r="H4072" s="21" t="n">
        <v>16.59</v>
      </c>
      <c r="I4072" s="21" t="n">
        <v>392.48</v>
      </c>
      <c r="J4072" s="21" t="n">
        <v>1177.45</v>
      </c>
      <c r="K4072" s="21" t="n">
        <v>1373.69</v>
      </c>
      <c r="L4072" s="21" t="n">
        <v>1569.93</v>
      </c>
      <c r="M4072" s="21" t="n">
        <v>1428</v>
      </c>
    </row>
    <row r="4073">
      <c r="A4073" s="9" t="inlineStr">
        <is>
          <t>NANCY</t>
        </is>
      </c>
      <c r="B4073" s="9" t="inlineStr">
        <is>
          <t>NANCY 08/05/2026</t>
        </is>
      </c>
      <c r="C4073" s="9" t="inlineStr">
        <is>
          <t>2026-05-08</t>
        </is>
      </c>
      <c r="D4073" s="9" t="inlineStr">
        <is>
          <t>40049131576845</t>
        </is>
      </c>
      <c r="E4073" s="9" t="inlineStr">
        <is>
          <t>MONEDERO LV MONOGRAM</t>
        </is>
      </c>
      <c r="F4073" s="9" t="inlineStr">
        <is>
          <t>Default Title</t>
        </is>
      </c>
      <c r="G4073" s="9" t="n">
        <v>2</v>
      </c>
      <c r="H4073" s="21" t="n">
        <v>11.69</v>
      </c>
      <c r="I4073" s="21" t="n">
        <v>276.56</v>
      </c>
      <c r="J4073" s="21" t="n">
        <v>829.6799999999999</v>
      </c>
      <c r="K4073" s="21" t="n">
        <v>967.96</v>
      </c>
      <c r="L4073" s="21" t="n">
        <v>1106.24</v>
      </c>
      <c r="M4073" s="21" t="n">
        <v>0</v>
      </c>
    </row>
    <row r="4074">
      <c r="A4074" s="9" t="inlineStr">
        <is>
          <t>NANCY</t>
        </is>
      </c>
      <c r="B4074" s="9" t="inlineStr">
        <is>
          <t>NANCY 08/05/2026</t>
        </is>
      </c>
      <c r="C4074" s="9" t="inlineStr">
        <is>
          <t>2026-05-08</t>
        </is>
      </c>
      <c r="D4074" s="9" t="inlineStr">
        <is>
          <t>40049131342381</t>
        </is>
      </c>
      <c r="E4074" s="9" t="inlineStr">
        <is>
          <t>MONEDERO LV MONOGRAM BLACK</t>
        </is>
      </c>
      <c r="F4074" s="9" t="inlineStr">
        <is>
          <t>Default Title</t>
        </is>
      </c>
      <c r="G4074" s="9" t="n">
        <v>2</v>
      </c>
      <c r="H4074" s="21" t="n">
        <v>9.390000000000001</v>
      </c>
      <c r="I4074" s="21" t="n">
        <v>222.15</v>
      </c>
      <c r="J4074" s="21" t="n">
        <v>666.4400000000001</v>
      </c>
      <c r="K4074" s="21" t="n">
        <v>777.51</v>
      </c>
      <c r="L4074" s="21" t="n">
        <v>888.59</v>
      </c>
      <c r="M4074" s="21" t="n">
        <v>0</v>
      </c>
    </row>
    <row r="4075">
      <c r="A4075" s="9" t="inlineStr">
        <is>
          <t>NANCY</t>
        </is>
      </c>
      <c r="B4075" s="9" t="inlineStr">
        <is>
          <t>NANCY 08/05/2026</t>
        </is>
      </c>
      <c r="C4075" s="9" t="inlineStr">
        <is>
          <t>2026-05-08</t>
        </is>
      </c>
      <c r="D4075" s="9" t="inlineStr">
        <is>
          <t>40049131409613</t>
        </is>
      </c>
      <c r="E4075" s="9" t="inlineStr">
        <is>
          <t>MONEDERO LV ROSALIE DAMIER</t>
        </is>
      </c>
      <c r="F4075" s="9" t="inlineStr">
        <is>
          <t>Default Title</t>
        </is>
      </c>
      <c r="G4075" s="9" t="n">
        <v>2</v>
      </c>
      <c r="H4075" s="21" t="n">
        <v>9.390000000000001</v>
      </c>
      <c r="I4075" s="21" t="n">
        <v>222.15</v>
      </c>
      <c r="J4075" s="21" t="n">
        <v>666.4400000000001</v>
      </c>
      <c r="K4075" s="21" t="n">
        <v>777.51</v>
      </c>
      <c r="L4075" s="21" t="n">
        <v>888.59</v>
      </c>
      <c r="M4075" s="21" t="n">
        <v>0</v>
      </c>
    </row>
    <row r="4076">
      <c r="A4076" s="9" t="inlineStr">
        <is>
          <t>NANCY</t>
        </is>
      </c>
      <c r="B4076" s="9" t="inlineStr">
        <is>
          <t>NANCY 08/05/2026</t>
        </is>
      </c>
      <c r="C4076" s="9" t="inlineStr">
        <is>
          <t>2026-05-08</t>
        </is>
      </c>
      <c r="D4076" s="9" t="inlineStr">
        <is>
          <t>63e0c0ed991c0</t>
        </is>
      </c>
      <c r="E4076" s="9" t="inlineStr">
        <is>
          <t>PULSERA CLAVO GOLD</t>
        </is>
      </c>
      <c r="F4076" s="9" t="inlineStr">
        <is>
          <t>17 cm</t>
        </is>
      </c>
      <c r="G4076" s="9" t="n">
        <v>20</v>
      </c>
      <c r="H4076" s="21" t="n">
        <v>2.99</v>
      </c>
      <c r="I4076" s="21" t="n">
        <v>70.73999999999999</v>
      </c>
      <c r="J4076" s="21" t="n">
        <v>212.21</v>
      </c>
      <c r="K4076" s="21" t="n">
        <v>247.58</v>
      </c>
      <c r="L4076" s="21" t="n">
        <v>282.95</v>
      </c>
      <c r="M4076" s="21" t="n">
        <v>450</v>
      </c>
    </row>
    <row r="4077">
      <c r="A4077" s="9" t="inlineStr">
        <is>
          <t>NANCY</t>
        </is>
      </c>
      <c r="B4077" s="9" t="inlineStr">
        <is>
          <t>NANCY 08/05/2026</t>
        </is>
      </c>
      <c r="C4077" s="9" t="inlineStr">
        <is>
          <t>2026-05-08</t>
        </is>
      </c>
      <c r="D4077" s="9" t="inlineStr">
        <is>
          <t>63e0c0ee76103</t>
        </is>
      </c>
      <c r="E4077" s="9" t="inlineStr">
        <is>
          <t>PULSERA CLAVO GOLD</t>
        </is>
      </c>
      <c r="F4077" s="9" t="inlineStr">
        <is>
          <t>19 cm</t>
        </is>
      </c>
      <c r="G4077" s="9" t="n">
        <v>10</v>
      </c>
      <c r="H4077" s="21" t="n">
        <v>2.99</v>
      </c>
      <c r="I4077" s="21" t="n">
        <v>70.73999999999999</v>
      </c>
      <c r="J4077" s="21" t="n">
        <v>212.21</v>
      </c>
      <c r="K4077" s="21" t="n">
        <v>247.58</v>
      </c>
      <c r="L4077" s="21" t="n">
        <v>282.95</v>
      </c>
      <c r="M4077" s="21" t="n">
        <v>450</v>
      </c>
    </row>
    <row r="4078">
      <c r="A4078" s="9" t="inlineStr">
        <is>
          <t>NANCY</t>
        </is>
      </c>
      <c r="B4078" s="9" t="inlineStr">
        <is>
          <t>NANCY 08/05/2026</t>
        </is>
      </c>
      <c r="C4078" s="9" t="inlineStr">
        <is>
          <t>2026-05-08</t>
        </is>
      </c>
      <c r="D4078" s="9" t="inlineStr">
        <is>
          <t>82224433269421</t>
        </is>
      </c>
      <c r="E4078" s="9" t="inlineStr">
        <is>
          <t>PULSERA CLAVO ROSEGOLD</t>
        </is>
      </c>
      <c r="F4078" s="9" t="inlineStr">
        <is>
          <t>19 cm</t>
        </is>
      </c>
      <c r="G4078" s="9" t="n">
        <v>5</v>
      </c>
      <c r="H4078" s="21" t="n">
        <v>2.99</v>
      </c>
      <c r="I4078" s="21" t="n">
        <v>70.73999999999999</v>
      </c>
      <c r="J4078" s="21" t="n">
        <v>212.21</v>
      </c>
      <c r="K4078" s="21" t="n">
        <v>247.58</v>
      </c>
      <c r="L4078" s="21" t="n">
        <v>282.95</v>
      </c>
      <c r="M4078" s="21" t="n">
        <v>450</v>
      </c>
    </row>
    <row r="4079">
      <c r="A4079" s="9" t="inlineStr">
        <is>
          <t>NANCY</t>
        </is>
      </c>
      <c r="B4079" s="9" t="inlineStr">
        <is>
          <t>NANCY 08/05/2026</t>
        </is>
      </c>
      <c r="C4079" s="9" t="inlineStr">
        <is>
          <t>2026-05-08</t>
        </is>
      </c>
      <c r="D4079" s="9" t="inlineStr">
        <is>
          <t>82224433136653</t>
        </is>
      </c>
      <c r="E4079" s="9" t="inlineStr">
        <is>
          <t>PULSERA CLAVO ROSEGOLD</t>
        </is>
      </c>
      <c r="F4079" s="9" t="inlineStr">
        <is>
          <t>17 cm</t>
        </is>
      </c>
      <c r="G4079" s="9" t="n">
        <v>2</v>
      </c>
      <c r="H4079" s="21" t="n">
        <v>2.99</v>
      </c>
      <c r="I4079" s="21" t="n">
        <v>70.73999999999999</v>
      </c>
      <c r="J4079" s="21" t="n">
        <v>212.21</v>
      </c>
      <c r="K4079" s="21" t="n">
        <v>247.58</v>
      </c>
      <c r="L4079" s="21" t="n">
        <v>282.95</v>
      </c>
      <c r="M4079" s="21" t="n">
        <v>450</v>
      </c>
    </row>
    <row r="4080">
      <c r="A4080" s="9" t="inlineStr">
        <is>
          <t>NANCY</t>
        </is>
      </c>
      <c r="B4080" s="9" t="inlineStr">
        <is>
          <t>NANCY 08/05/2026</t>
        </is>
      </c>
      <c r="C4080" s="9" t="inlineStr">
        <is>
          <t>2026-05-08</t>
        </is>
      </c>
      <c r="D4080" s="9" t="inlineStr">
        <is>
          <t>661774c181d21</t>
        </is>
      </c>
      <c r="E4080" s="9" t="inlineStr">
        <is>
          <t>PULSERA ECROU SILVER</t>
        </is>
      </c>
      <c r="F4080" s="9" t="inlineStr">
        <is>
          <t>16cm</t>
        </is>
      </c>
      <c r="G4080" s="9" t="n">
        <v>5</v>
      </c>
      <c r="H4080" s="21" t="n">
        <v>5.39</v>
      </c>
      <c r="I4080" s="21" t="n">
        <v>127.52</v>
      </c>
      <c r="J4080" s="21" t="n">
        <v>382.55</v>
      </c>
      <c r="K4080" s="21" t="n">
        <v>446.3</v>
      </c>
      <c r="L4080" s="21" t="n">
        <v>510.06</v>
      </c>
      <c r="M4080" s="21" t="n">
        <v>499</v>
      </c>
    </row>
    <row r="4081">
      <c r="A4081" s="9" t="inlineStr">
        <is>
          <t>NANCY</t>
        </is>
      </c>
      <c r="B4081" s="9" t="inlineStr">
        <is>
          <t>NANCY 08/05/2026</t>
        </is>
      </c>
      <c r="C4081" s="9" t="inlineStr">
        <is>
          <t>2026-05-08</t>
        </is>
      </c>
      <c r="D4081" s="9" t="inlineStr">
        <is>
          <t>661774c22d9a0</t>
        </is>
      </c>
      <c r="E4081" s="9" t="inlineStr">
        <is>
          <t>PULSERA ECROU SILVER</t>
        </is>
      </c>
      <c r="F4081" s="9" t="inlineStr">
        <is>
          <t>20cm</t>
        </is>
      </c>
      <c r="G4081" s="9" t="n">
        <v>5</v>
      </c>
      <c r="H4081" s="21" t="n">
        <v>5.39</v>
      </c>
      <c r="I4081" s="21" t="n">
        <v>127.52</v>
      </c>
      <c r="J4081" s="21" t="n">
        <v>382.55</v>
      </c>
      <c r="K4081" s="21" t="n">
        <v>446.3</v>
      </c>
      <c r="L4081" s="21" t="n">
        <v>510.06</v>
      </c>
      <c r="M4081" s="21" t="n">
        <v>499</v>
      </c>
    </row>
    <row r="4082">
      <c r="A4082" s="9" t="inlineStr">
        <is>
          <t>NANCY</t>
        </is>
      </c>
      <c r="B4082" s="9" t="inlineStr">
        <is>
          <t>NANCY 08/05/2026</t>
        </is>
      </c>
      <c r="C4082" s="9" t="inlineStr">
        <is>
          <t>2026-05-08</t>
        </is>
      </c>
      <c r="D4082" s="9" t="inlineStr">
        <is>
          <t>6617744996481</t>
        </is>
      </c>
      <c r="E4082" s="9" t="inlineStr">
        <is>
          <t>PULSERA ONE TRÉBOL GOLD BLACK</t>
        </is>
      </c>
      <c r="F4082" s="9" t="inlineStr">
        <is>
          <t>17cm con extensión de 3cm</t>
        </is>
      </c>
      <c r="G4082" s="9" t="n">
        <v>5</v>
      </c>
      <c r="H4082" s="21" t="n">
        <v>5.59</v>
      </c>
      <c r="I4082" s="21" t="n">
        <v>132.25</v>
      </c>
      <c r="J4082" s="21" t="n">
        <v>396.74</v>
      </c>
      <c r="K4082" s="21" t="n">
        <v>462.86</v>
      </c>
      <c r="L4082" s="21" t="n">
        <v>528.99</v>
      </c>
      <c r="M4082" s="21" t="n">
        <v>450</v>
      </c>
    </row>
    <row r="4083">
      <c r="A4083" s="9" t="inlineStr">
        <is>
          <t>NANCY</t>
        </is>
      </c>
      <c r="B4083" s="9" t="inlineStr">
        <is>
          <t>NANCY 08/05/2026</t>
        </is>
      </c>
      <c r="C4083" s="9" t="inlineStr">
        <is>
          <t>2026-05-08</t>
        </is>
      </c>
      <c r="D4083" s="9" t="inlineStr">
        <is>
          <t>6701d185cad9a</t>
        </is>
      </c>
      <c r="E4083" s="9" t="inlineStr">
        <is>
          <t>PULSERA ONE TRÉBOL ROSEGOLD RED</t>
        </is>
      </c>
      <c r="F4083" s="9" t="inlineStr">
        <is>
          <t>Talla 17 con extensión de 3cm</t>
        </is>
      </c>
      <c r="G4083" s="9" t="n">
        <v>2</v>
      </c>
      <c r="H4083" s="21" t="n">
        <v>5.59</v>
      </c>
      <c r="I4083" s="21" t="n">
        <v>132.25</v>
      </c>
      <c r="J4083" s="21" t="n">
        <v>396.74</v>
      </c>
      <c r="K4083" s="21" t="n">
        <v>462.86</v>
      </c>
      <c r="L4083" s="21" t="n">
        <v>528.99</v>
      </c>
      <c r="M4083" s="21" t="n">
        <v>599</v>
      </c>
    </row>
    <row r="4084">
      <c r="A4084" s="9" t="inlineStr">
        <is>
          <t>NANCY</t>
        </is>
      </c>
      <c r="B4084" s="9" t="inlineStr">
        <is>
          <t>NANCY 08/05/2026</t>
        </is>
      </c>
      <c r="C4084" s="9" t="inlineStr">
        <is>
          <t>2026-05-08</t>
        </is>
      </c>
      <c r="D4084" s="9" t="inlineStr">
        <is>
          <t>58501868312588</t>
        </is>
      </c>
      <c r="E4084" s="9" t="inlineStr">
        <is>
          <t>PULSERA PERLEÉ ROSEGOLD ANCHA</t>
        </is>
      </c>
      <c r="F4084" s="9" t="inlineStr">
        <is>
          <t>16cm</t>
        </is>
      </c>
      <c r="G4084" s="9" t="n">
        <v>1</v>
      </c>
      <c r="H4084" s="21" t="n">
        <v>14.39</v>
      </c>
      <c r="I4084" s="21" t="n">
        <v>340.44</v>
      </c>
      <c r="J4084" s="21" t="n">
        <v>1021.31</v>
      </c>
      <c r="K4084" s="21" t="n">
        <v>1191.52</v>
      </c>
      <c r="L4084" s="21" t="n">
        <v>1361.74</v>
      </c>
      <c r="M4084" s="21" t="n">
        <v>1199</v>
      </c>
    </row>
    <row r="4085">
      <c r="A4085" s="9" t="inlineStr">
        <is>
          <t>NANCY</t>
        </is>
      </c>
      <c r="B4085" s="9" t="inlineStr">
        <is>
          <t>NANCY 08/05/2026</t>
        </is>
      </c>
      <c r="C4085" s="9" t="inlineStr">
        <is>
          <t>2026-05-08</t>
        </is>
      </c>
      <c r="D4085" s="9" t="inlineStr">
        <is>
          <t>665bce4a7cf8d</t>
        </is>
      </c>
      <c r="E4085" s="9" t="inlineStr">
        <is>
          <t>PULSERA PERLEÉ SILVER</t>
        </is>
      </c>
      <c r="F4085" s="9" t="inlineStr">
        <is>
          <t>16cm</t>
        </is>
      </c>
      <c r="G4085" s="9" t="n">
        <v>2</v>
      </c>
      <c r="H4085" s="21" t="n">
        <v>10.99</v>
      </c>
      <c r="I4085" s="21" t="n">
        <v>260</v>
      </c>
      <c r="J4085" s="21" t="n">
        <v>780</v>
      </c>
      <c r="K4085" s="21" t="n">
        <v>910</v>
      </c>
      <c r="L4085" s="21" t="n">
        <v>1040</v>
      </c>
      <c r="M4085" s="21" t="n">
        <v>950</v>
      </c>
    </row>
    <row r="4086">
      <c r="A4086" s="9" t="inlineStr">
        <is>
          <t>NANCY</t>
        </is>
      </c>
      <c r="B4086" s="9" t="inlineStr">
        <is>
          <t>NANCY 08/05/2026</t>
        </is>
      </c>
      <c r="C4086" s="9" t="inlineStr">
        <is>
          <t>2026-05-08</t>
        </is>
      </c>
      <c r="D4086" s="9" t="inlineStr">
        <is>
          <t>665bce619b90b</t>
        </is>
      </c>
      <c r="E4086" s="9" t="inlineStr">
        <is>
          <t>PULSERA SERPENTI LISA ROSEGOLD</t>
        </is>
      </c>
      <c r="F4086" s="9" t="inlineStr">
        <is>
          <t>18cm</t>
        </is>
      </c>
      <c r="G4086" s="9" t="n">
        <v>3</v>
      </c>
      <c r="H4086" s="21" t="n">
        <v>9.390000000000001</v>
      </c>
      <c r="I4086" s="21" t="n">
        <v>222.15</v>
      </c>
      <c r="J4086" s="21" t="n">
        <v>666.4400000000001</v>
      </c>
      <c r="K4086" s="21" t="n">
        <v>777.51</v>
      </c>
      <c r="L4086" s="21" t="n">
        <v>888.59</v>
      </c>
      <c r="M4086" s="21" t="n">
        <v>789</v>
      </c>
    </row>
    <row r="4087">
      <c r="A4087" s="9" t="inlineStr">
        <is>
          <t>NANCY</t>
        </is>
      </c>
      <c r="B4087" s="9" t="inlineStr">
        <is>
          <t>NANCY 08/05/2026</t>
        </is>
      </c>
      <c r="C4087" s="9" t="inlineStr">
        <is>
          <t>2026-05-08</t>
        </is>
      </c>
      <c r="D4087" s="9" t="inlineStr">
        <is>
          <t>63ebe03ea2adc</t>
        </is>
      </c>
      <c r="E4087" s="9" t="inlineStr">
        <is>
          <t>PULSERA V GOLD CON ZIRCONIA</t>
        </is>
      </c>
      <c r="F4087" s="9" t="inlineStr">
        <is>
          <t>18cm</t>
        </is>
      </c>
      <c r="G4087" s="9" t="n">
        <v>3</v>
      </c>
      <c r="H4087" s="21" t="n">
        <v>6.19</v>
      </c>
      <c r="I4087" s="21" t="n">
        <v>146.44</v>
      </c>
      <c r="J4087" s="21" t="n">
        <v>439.32</v>
      </c>
      <c r="K4087" s="21" t="n">
        <v>512.55</v>
      </c>
      <c r="L4087" s="21" t="n">
        <v>585.77</v>
      </c>
      <c r="M4087" s="21" t="n">
        <v>599</v>
      </c>
    </row>
    <row r="4088">
      <c r="A4088" s="9" t="inlineStr">
        <is>
          <t>NANCY</t>
        </is>
      </c>
      <c r="B4088" s="9" t="inlineStr">
        <is>
          <t>NANCY 08/05/2026</t>
        </is>
      </c>
      <c r="C4088" s="9" t="inlineStr">
        <is>
          <t>2026-05-08</t>
        </is>
      </c>
      <c r="D4088" s="9" t="inlineStr">
        <is>
          <t>42981908742284</t>
        </is>
      </c>
      <c r="E4088" s="9" t="inlineStr">
        <is>
          <t>SET DE COLLAR Y PULSERA CORAZÓN (NECKLACE AND BRACALET)</t>
        </is>
      </c>
      <c r="F4088" s="9" t="inlineStr">
        <is>
          <t>42 cm / 17 cm</t>
        </is>
      </c>
      <c r="G4088" s="9" t="n">
        <v>8</v>
      </c>
      <c r="H4088" s="21" t="n">
        <v>18.58</v>
      </c>
      <c r="I4088" s="21" t="n">
        <v>439.56</v>
      </c>
      <c r="J4088" s="21" t="n">
        <v>1318.68</v>
      </c>
      <c r="K4088" s="21" t="n">
        <v>1538.46</v>
      </c>
      <c r="L4088" s="21" t="n">
        <v>1758.24</v>
      </c>
      <c r="M4088" s="21" t="n">
        <v>1238</v>
      </c>
    </row>
    <row r="4089">
      <c r="A4089" s="9" t="inlineStr">
        <is>
          <t>NANCY</t>
        </is>
      </c>
      <c r="B4089" s="9" t="inlineStr">
        <is>
          <t>NANCY 08/05/2026</t>
        </is>
      </c>
      <c r="C4089" s="9" t="inlineStr">
        <is>
          <t>2026-05-08</t>
        </is>
      </c>
      <c r="D4089" s="9" t="inlineStr">
        <is>
          <t>40049131038989</t>
        </is>
      </c>
      <c r="E4089" s="9" t="inlineStr">
        <is>
          <t>TARJETERO CD OBLIQUE BLACK</t>
        </is>
      </c>
      <c r="F4089" s="9" t="inlineStr">
        <is>
          <t>Default Title</t>
        </is>
      </c>
      <c r="G4089" s="9" t="n">
        <v>2</v>
      </c>
      <c r="H4089" s="21" t="n">
        <v>11.69</v>
      </c>
      <c r="I4089" s="21" t="n">
        <v>276.56</v>
      </c>
      <c r="J4089" s="21" t="n">
        <v>829.6799999999999</v>
      </c>
      <c r="K4089" s="21" t="n">
        <v>967.96</v>
      </c>
      <c r="L4089" s="21" t="n">
        <v>1106.24</v>
      </c>
      <c r="M4089" s="21" t="n">
        <v>0</v>
      </c>
    </row>
    <row r="4090">
      <c r="A4090" s="9" t="inlineStr">
        <is>
          <t>ZOEY</t>
        </is>
      </c>
      <c r="B4090" s="9" t="inlineStr">
        <is>
          <t>ZOEY 15/05/2026</t>
        </is>
      </c>
      <c r="C4090" s="9" t="inlineStr">
        <is>
          <t>2026-05-15</t>
        </is>
      </c>
      <c r="D4090" s="9" t="inlineStr">
        <is>
          <t>72142921022125</t>
        </is>
      </c>
      <c r="E4090" s="9" t="inlineStr">
        <is>
          <t>ANILLO CD GOLD WHITE CON ZIRCONIA</t>
        </is>
      </c>
      <c r="F4090" s="9" t="inlineStr">
        <is>
          <t>6</t>
        </is>
      </c>
      <c r="G4090" s="9" t="n">
        <v>2</v>
      </c>
      <c r="H4090" s="21" t="n">
        <v>9</v>
      </c>
      <c r="I4090" s="21" t="n">
        <v>238.54</v>
      </c>
      <c r="J4090" s="21" t="n">
        <v>715.62</v>
      </c>
      <c r="K4090" s="21" t="n">
        <v>834.9</v>
      </c>
      <c r="L4090" s="21" t="n">
        <v>954.17</v>
      </c>
      <c r="M4090" s="21" t="n">
        <v>975</v>
      </c>
    </row>
    <row r="4091">
      <c r="A4091" s="9" t="inlineStr">
        <is>
          <t>ZOEY</t>
        </is>
      </c>
      <c r="B4091" s="9" t="inlineStr">
        <is>
          <t>ZOEY 15/05/2026</t>
        </is>
      </c>
      <c r="C4091" s="9" t="inlineStr">
        <is>
          <t>2026-05-15</t>
        </is>
      </c>
      <c r="D4091" s="9" t="inlineStr">
        <is>
          <t>66593be00cc70</t>
        </is>
      </c>
      <c r="E4091" s="9" t="inlineStr">
        <is>
          <t>ANILLO PERLEE ROSEGOLD</t>
        </is>
      </c>
      <c r="F4091" s="9" t="inlineStr">
        <is>
          <t>7</t>
        </is>
      </c>
      <c r="G4091" s="9" t="n">
        <v>2</v>
      </c>
      <c r="H4091" s="21" t="n">
        <v>7</v>
      </c>
      <c r="I4091" s="21" t="n">
        <v>185.53</v>
      </c>
      <c r="J4091" s="21" t="n">
        <v>556.6</v>
      </c>
      <c r="K4091" s="21" t="n">
        <v>649.36</v>
      </c>
      <c r="L4091" s="21" t="n">
        <v>742.13</v>
      </c>
      <c r="M4091" s="21" t="n">
        <v>760</v>
      </c>
    </row>
    <row r="4092">
      <c r="A4092" s="9" t="inlineStr">
        <is>
          <t>ZOEY</t>
        </is>
      </c>
      <c r="B4092" s="9" t="inlineStr">
        <is>
          <t>ZOEY 15/05/2026</t>
        </is>
      </c>
      <c r="C4092" s="9" t="inlineStr">
        <is>
          <t>2026-05-15</t>
        </is>
      </c>
      <c r="D4092" s="9" t="inlineStr">
        <is>
          <t>15857685585804</t>
        </is>
      </c>
      <c r="E4092" s="9" t="inlineStr">
        <is>
          <t>ANILLO TRES AROS</t>
        </is>
      </c>
      <c r="F4092" s="9" t="inlineStr">
        <is>
          <t>6</t>
        </is>
      </c>
      <c r="G4092" s="9" t="n">
        <v>2</v>
      </c>
      <c r="H4092" s="21" t="n">
        <v>6</v>
      </c>
      <c r="I4092" s="21" t="n">
        <v>159.03</v>
      </c>
      <c r="J4092" s="21" t="n">
        <v>477.08</v>
      </c>
      <c r="K4092" s="21" t="n">
        <v>556.6</v>
      </c>
      <c r="L4092" s="21" t="n">
        <v>636.11</v>
      </c>
      <c r="M4092" s="21" t="n">
        <v>650</v>
      </c>
    </row>
    <row r="4093">
      <c r="A4093" s="9" t="inlineStr">
        <is>
          <t>ZOEY</t>
        </is>
      </c>
      <c r="B4093" s="9" t="inlineStr">
        <is>
          <t>ZOEY 15/05/2026</t>
        </is>
      </c>
      <c r="C4093" s="9" t="inlineStr">
        <is>
          <t>2026-05-15</t>
        </is>
      </c>
      <c r="D4093" s="9" t="inlineStr">
        <is>
          <t>56481488554124</t>
        </is>
      </c>
      <c r="E4093" s="9" t="inlineStr">
        <is>
          <t>ANILLO TRES AROS CON ZIRCONIA</t>
        </is>
      </c>
      <c r="F4093" s="9" t="inlineStr">
        <is>
          <t>6</t>
        </is>
      </c>
      <c r="G4093" s="9" t="n">
        <v>2</v>
      </c>
      <c r="H4093" s="21" t="n">
        <v>13</v>
      </c>
      <c r="I4093" s="21" t="n">
        <v>344.56</v>
      </c>
      <c r="J4093" s="21" t="n">
        <v>1033.68</v>
      </c>
      <c r="K4093" s="21" t="n">
        <v>1205.96</v>
      </c>
      <c r="L4093" s="21" t="n">
        <v>1378.24</v>
      </c>
      <c r="M4093" s="21" t="n">
        <v>1405</v>
      </c>
    </row>
    <row r="4094">
      <c r="A4094" s="9" t="inlineStr">
        <is>
          <t>ZOEY</t>
        </is>
      </c>
      <c r="B4094" s="9" t="inlineStr">
        <is>
          <t>ZOEY 15/05/2026</t>
        </is>
      </c>
      <c r="C4094" s="9" t="inlineStr">
        <is>
          <t>2026-05-15</t>
        </is>
      </c>
      <c r="D4094" s="9" t="inlineStr">
        <is>
          <t>56481485030668</t>
        </is>
      </c>
      <c r="E4094" s="9" t="inlineStr">
        <is>
          <t>ANILLO TRES AROS SILVER/BLACK</t>
        </is>
      </c>
      <c r="F4094" s="9" t="inlineStr">
        <is>
          <t>8</t>
        </is>
      </c>
      <c r="G4094" s="9" t="n">
        <v>2</v>
      </c>
      <c r="H4094" s="21" t="n">
        <v>6</v>
      </c>
      <c r="I4094" s="21" t="n">
        <v>159.03</v>
      </c>
      <c r="J4094" s="21" t="n">
        <v>477.08</v>
      </c>
      <c r="K4094" s="21" t="n">
        <v>556.6</v>
      </c>
      <c r="L4094" s="21" t="n">
        <v>636.11</v>
      </c>
      <c r="M4094" s="21" t="n">
        <v>639</v>
      </c>
    </row>
    <row r="4095">
      <c r="A4095" s="9" t="inlineStr">
        <is>
          <t>ZOEY</t>
        </is>
      </c>
      <c r="B4095" s="9" t="inlineStr">
        <is>
          <t>ZOEY 15/05/2026</t>
        </is>
      </c>
      <c r="C4095" s="9" t="inlineStr">
        <is>
          <t>2026-05-15</t>
        </is>
      </c>
      <c r="D4095" s="9" t="inlineStr">
        <is>
          <t>69612281066221</t>
        </is>
      </c>
      <c r="E4095" s="9" t="inlineStr">
        <is>
          <t>ARETES CD GOLD WHITE CON ZIRCONIA</t>
        </is>
      </c>
      <c r="F4095" s="9" t="inlineStr">
        <is>
          <t>Default Title</t>
        </is>
      </c>
      <c r="G4095" s="9" t="n">
        <v>3</v>
      </c>
      <c r="H4095" s="21" t="n">
        <v>9</v>
      </c>
      <c r="I4095" s="21" t="n">
        <v>238.54</v>
      </c>
      <c r="J4095" s="21" t="n">
        <v>715.62</v>
      </c>
      <c r="K4095" s="21" t="n">
        <v>834.9</v>
      </c>
      <c r="L4095" s="21" t="n">
        <v>954.17</v>
      </c>
      <c r="M4095" s="21" t="n">
        <v>959</v>
      </c>
    </row>
    <row r="4096">
      <c r="A4096" s="9" t="inlineStr">
        <is>
          <t>ZOEY</t>
        </is>
      </c>
      <c r="B4096" s="9" t="inlineStr">
        <is>
          <t>ZOEY 15/05/2026</t>
        </is>
      </c>
      <c r="C4096" s="9" t="inlineStr">
        <is>
          <t>2026-05-15</t>
        </is>
      </c>
      <c r="D4096" s="9" t="inlineStr">
        <is>
          <t>85409401017325</t>
        </is>
      </c>
      <c r="E4096" s="9" t="inlineStr">
        <is>
          <t>ARETES F OVAL GOLD CON ZIRCONIA</t>
        </is>
      </c>
      <c r="F4096" s="9" t="inlineStr">
        <is>
          <t>Default Title</t>
        </is>
      </c>
      <c r="G4096" s="9" t="n">
        <v>2</v>
      </c>
      <c r="H4096" s="21" t="n">
        <v>8</v>
      </c>
      <c r="I4096" s="21" t="n">
        <v>212.04</v>
      </c>
      <c r="J4096" s="21" t="n">
        <v>636.11</v>
      </c>
      <c r="K4096" s="21" t="n">
        <v>742.13</v>
      </c>
      <c r="L4096" s="21" t="n">
        <v>848.15</v>
      </c>
      <c r="M4096" s="21" t="n">
        <v>850</v>
      </c>
    </row>
    <row r="4097">
      <c r="A4097" s="9" t="inlineStr">
        <is>
          <t>ZOEY</t>
        </is>
      </c>
      <c r="B4097" s="9" t="inlineStr">
        <is>
          <t>ZOEY 15/05/2026</t>
        </is>
      </c>
      <c r="C4097" s="9" t="inlineStr">
        <is>
          <t>2026-05-15</t>
        </is>
      </c>
      <c r="D4097" s="9" t="inlineStr">
        <is>
          <t>77275241042893</t>
        </is>
      </c>
      <c r="E4097" s="9" t="inlineStr">
        <is>
          <t>ARETES MM HEART GOLD WHITE</t>
        </is>
      </c>
      <c r="F4097" s="9" t="inlineStr">
        <is>
          <t>2cm</t>
        </is>
      </c>
      <c r="G4097" s="9" t="n">
        <v>10</v>
      </c>
      <c r="H4097" s="21" t="n">
        <v>8</v>
      </c>
      <c r="I4097" s="21" t="n">
        <v>212.04</v>
      </c>
      <c r="J4097" s="21" t="n">
        <v>636.11</v>
      </c>
      <c r="K4097" s="21" t="n">
        <v>742.13</v>
      </c>
      <c r="L4097" s="21" t="n">
        <v>848.15</v>
      </c>
      <c r="M4097" s="21" t="n">
        <v>850</v>
      </c>
    </row>
    <row r="4098">
      <c r="A4098" s="9" t="inlineStr">
        <is>
          <t>ZOEY</t>
        </is>
      </c>
      <c r="B4098" s="9" t="inlineStr">
        <is>
          <t>ZOEY 15/05/2026</t>
        </is>
      </c>
      <c r="C4098" s="9" t="inlineStr">
        <is>
          <t>2026-05-15</t>
        </is>
      </c>
      <c r="D4098" s="9" t="inlineStr">
        <is>
          <t>93378831084685</t>
        </is>
      </c>
      <c r="E4098" s="9" t="inlineStr">
        <is>
          <t>BALLERINAS CC BEIGE BLACK</t>
        </is>
      </c>
      <c r="F4098" s="9" t="inlineStr">
        <is>
          <t>23cm</t>
        </is>
      </c>
      <c r="G4098" s="9" t="n">
        <v>2</v>
      </c>
      <c r="H4098" s="21" t="n">
        <v>55</v>
      </c>
      <c r="I4098" s="21" t="n">
        <v>1457.75</v>
      </c>
      <c r="J4098" s="21" t="n">
        <v>4373.26</v>
      </c>
      <c r="K4098" s="21" t="n">
        <v>5102.14</v>
      </c>
      <c r="L4098" s="21" t="n">
        <v>5831.02</v>
      </c>
      <c r="M4098" s="21" t="n">
        <v>5840</v>
      </c>
    </row>
    <row r="4099">
      <c r="A4099" s="9" t="inlineStr">
        <is>
          <t>ZOEY</t>
        </is>
      </c>
      <c r="B4099" s="9" t="inlineStr">
        <is>
          <t>ZOEY 15/05/2026</t>
        </is>
      </c>
      <c r="C4099" s="9" t="inlineStr">
        <is>
          <t>2026-05-15</t>
        </is>
      </c>
      <c r="D4099" s="9" t="inlineStr">
        <is>
          <t>94350549840780</t>
        </is>
      </c>
      <c r="E4099" s="9" t="inlineStr">
        <is>
          <t>BOLSO A TIEDIE</t>
        </is>
      </c>
      <c r="F4099" s="9" t="inlineStr">
        <is>
          <t>31cm de alto x 45.5cm de largo x 18cm de ancho</t>
        </is>
      </c>
      <c r="G4099" s="9" t="n">
        <v>8</v>
      </c>
      <c r="H4099" s="21" t="n">
        <v>10</v>
      </c>
      <c r="I4099" s="21" t="n">
        <v>265.05</v>
      </c>
      <c r="J4099" s="21" t="n">
        <v>795.14</v>
      </c>
      <c r="K4099" s="21" t="n">
        <v>927.66</v>
      </c>
      <c r="L4099" s="21" t="n">
        <v>1060.18</v>
      </c>
      <c r="M4099" s="21" t="n">
        <v>1069</v>
      </c>
    </row>
    <row r="4100">
      <c r="A4100" s="9" t="inlineStr">
        <is>
          <t>ZOEY</t>
        </is>
      </c>
      <c r="B4100" s="9" t="inlineStr">
        <is>
          <t>ZOEY 15/05/2026</t>
        </is>
      </c>
      <c r="C4100" s="9" t="inlineStr">
        <is>
          <t>2026-05-15</t>
        </is>
      </c>
      <c r="D4100" s="9" t="inlineStr">
        <is>
          <t>99781782573645</t>
        </is>
      </c>
      <c r="E4100" s="9" t="inlineStr">
        <is>
          <t>BOLSO C TANK TOP</t>
        </is>
      </c>
      <c r="F4100" s="9" t="inlineStr">
        <is>
          <t>Default Title</t>
        </is>
      </c>
      <c r="G4100" s="9" t="n">
        <v>3</v>
      </c>
      <c r="H4100" s="21" t="n">
        <v>55</v>
      </c>
      <c r="I4100" s="21" t="n">
        <v>1457.75</v>
      </c>
      <c r="J4100" s="21" t="n">
        <v>4373.26</v>
      </c>
      <c r="K4100" s="21" t="n">
        <v>5102.14</v>
      </c>
      <c r="L4100" s="21" t="n">
        <v>5831.02</v>
      </c>
      <c r="M4100" s="21" t="n">
        <v>5839</v>
      </c>
    </row>
    <row r="4101">
      <c r="A4101" s="9" t="inlineStr">
        <is>
          <t>ZOEY</t>
        </is>
      </c>
      <c r="B4101" s="9" t="inlineStr">
        <is>
          <t>ZOEY 15/05/2026</t>
        </is>
      </c>
      <c r="C4101" s="9" t="inlineStr">
        <is>
          <t>2026-05-15</t>
        </is>
      </c>
      <c r="D4101" s="9" t="inlineStr">
        <is>
          <t>64571791072897</t>
        </is>
      </c>
      <c r="E4101" s="9" t="inlineStr">
        <is>
          <t>BOLSO CC BLACK</t>
        </is>
      </c>
      <c r="F4101" s="9" t="inlineStr">
        <is>
          <t>25cm de largo x 17cm de alto x 6cm de ancho</t>
        </is>
      </c>
      <c r="G4101" s="9" t="n">
        <v>5</v>
      </c>
      <c r="H4101" s="21" t="n">
        <v>48</v>
      </c>
      <c r="I4101" s="21" t="n">
        <v>1272.22</v>
      </c>
      <c r="J4101" s="21" t="n">
        <v>3816.67</v>
      </c>
      <c r="K4101" s="21" t="n">
        <v>4452.78</v>
      </c>
      <c r="L4101" s="21" t="n">
        <v>5088.89</v>
      </c>
      <c r="M4101" s="21" t="n">
        <v>5089</v>
      </c>
    </row>
    <row r="4102">
      <c r="A4102" s="9" t="inlineStr">
        <is>
          <t>ZOEY</t>
        </is>
      </c>
      <c r="B4102" s="9" t="inlineStr">
        <is>
          <t>ZOEY 15/05/2026</t>
        </is>
      </c>
      <c r="C4102" s="9" t="inlineStr">
        <is>
          <t>2026-05-15</t>
        </is>
      </c>
      <c r="D4102" s="9" t="inlineStr">
        <is>
          <t>43728087914796</t>
        </is>
      </c>
      <c r="E4102" s="9" t="inlineStr">
        <is>
          <t>BOLSO CD 30 MONTAIGNE BLACK</t>
        </is>
      </c>
      <c r="F4102" s="9" t="inlineStr">
        <is>
          <t>12cm de alto x 20cm de largo x 4cm de ancho</t>
        </is>
      </c>
      <c r="G4102" s="9" t="n">
        <v>2</v>
      </c>
      <c r="H4102" s="21" t="n">
        <v>52</v>
      </c>
      <c r="I4102" s="21" t="n">
        <v>1378.24</v>
      </c>
      <c r="J4102" s="21" t="n">
        <v>4134.72</v>
      </c>
      <c r="K4102" s="21" t="n">
        <v>4823.84</v>
      </c>
      <c r="L4102" s="21" t="n">
        <v>5512.96</v>
      </c>
      <c r="M4102" s="21" t="n">
        <v>5520</v>
      </c>
    </row>
    <row r="4103">
      <c r="A4103" s="9" t="inlineStr">
        <is>
          <t>ZOEY</t>
        </is>
      </c>
      <c r="B4103" s="9" t="inlineStr">
        <is>
          <t>ZOEY 15/05/2026</t>
        </is>
      </c>
      <c r="C4103" s="9" t="inlineStr">
        <is>
          <t>2026-05-15</t>
        </is>
      </c>
      <c r="D4103" s="9" t="inlineStr">
        <is>
          <t>73794531662733</t>
        </is>
      </c>
      <c r="E4103" s="9" t="inlineStr">
        <is>
          <t>BOLSO CD MY TOP HANDLE</t>
        </is>
      </c>
      <c r="F4103" s="9" t="inlineStr">
        <is>
          <t>Default Title</t>
        </is>
      </c>
      <c r="G4103" s="9" t="n">
        <v>2</v>
      </c>
      <c r="H4103" s="21" t="n">
        <v>55</v>
      </c>
      <c r="I4103" s="21" t="n">
        <v>1457.75</v>
      </c>
      <c r="J4103" s="21" t="n">
        <v>4373.26</v>
      </c>
      <c r="K4103" s="21" t="n">
        <v>5102.14</v>
      </c>
      <c r="L4103" s="21" t="n">
        <v>5831.02</v>
      </c>
      <c r="M4103" s="21" t="n">
        <v>5832</v>
      </c>
    </row>
    <row r="4104">
      <c r="A4104" s="9" t="inlineStr">
        <is>
          <t>ZOEY</t>
        </is>
      </c>
      <c r="B4104" s="9" t="inlineStr">
        <is>
          <t>ZOEY 15/05/2026</t>
        </is>
      </c>
      <c r="C4104" s="9" t="inlineStr">
        <is>
          <t>2026-05-15</t>
        </is>
      </c>
      <c r="D4104" s="9" t="inlineStr">
        <is>
          <t>99781782406413</t>
        </is>
      </c>
      <c r="E4104" s="9" t="inlineStr">
        <is>
          <t>BOLSO GC BUCKET EMBLEM</t>
        </is>
      </c>
      <c r="F4104" s="9" t="inlineStr">
        <is>
          <t>Default Title</t>
        </is>
      </c>
      <c r="G4104" s="9" t="n">
        <v>2</v>
      </c>
      <c r="H4104" s="21" t="n">
        <v>58</v>
      </c>
      <c r="I4104" s="21" t="n">
        <v>1537.27</v>
      </c>
      <c r="J4104" s="21" t="n">
        <v>4611.8</v>
      </c>
      <c r="K4104" s="21" t="n">
        <v>5380.44</v>
      </c>
      <c r="L4104" s="21" t="n">
        <v>6149.07</v>
      </c>
      <c r="M4104" s="21" t="n">
        <v>5699</v>
      </c>
    </row>
    <row r="4105">
      <c r="A4105" s="9" t="inlineStr">
        <is>
          <t>ZOEY</t>
        </is>
      </c>
      <c r="B4105" s="9" t="inlineStr">
        <is>
          <t>ZOEY 15/05/2026</t>
        </is>
      </c>
      <c r="C4105" s="9" t="inlineStr">
        <is>
          <t>2026-05-15</t>
        </is>
      </c>
      <c r="D4105" s="9" t="inlineStr">
        <is>
          <t>99781782370253</t>
        </is>
      </c>
      <c r="E4105" s="9" t="inlineStr">
        <is>
          <t>BOLSO GC BUCKET MARMONT</t>
        </is>
      </c>
      <c r="F4105" s="9" t="inlineStr">
        <is>
          <t>Default Title</t>
        </is>
      </c>
      <c r="G4105" s="9" t="n">
        <v>4</v>
      </c>
      <c r="H4105" s="21" t="n">
        <v>42</v>
      </c>
      <c r="I4105" s="21" t="n">
        <v>1113.19</v>
      </c>
      <c r="J4105" s="21" t="n">
        <v>3339.58</v>
      </c>
      <c r="K4105" s="21" t="n">
        <v>3896.18</v>
      </c>
      <c r="L4105" s="21" t="n">
        <v>4452.78</v>
      </c>
      <c r="M4105" s="21" t="n">
        <v>4453</v>
      </c>
    </row>
    <row r="4106">
      <c r="A4106" s="9" t="inlineStr">
        <is>
          <t>ZOEY</t>
        </is>
      </c>
      <c r="B4106" s="9" t="inlineStr">
        <is>
          <t>ZOEY 15/05/2026</t>
        </is>
      </c>
      <c r="C4106" s="9" t="inlineStr">
        <is>
          <t>2026-05-15</t>
        </is>
      </c>
      <c r="D4106" s="9" t="inlineStr">
        <is>
          <t>6701d27d41def</t>
        </is>
      </c>
      <c r="E4106" s="9" t="inlineStr">
        <is>
          <t>BOLSO GC NUDE</t>
        </is>
      </c>
      <c r="F4106" s="9" t="inlineStr">
        <is>
          <t>14.5cm de alto x 25.2cm de largo x 6.7cm de ancho</t>
        </is>
      </c>
      <c r="G4106" s="9" t="n">
        <v>5</v>
      </c>
      <c r="H4106" s="21" t="n">
        <v>56</v>
      </c>
      <c r="I4106" s="21" t="n">
        <v>1484.26</v>
      </c>
      <c r="J4106" s="21" t="n">
        <v>4452.78</v>
      </c>
      <c r="K4106" s="21" t="n">
        <v>5194.91</v>
      </c>
      <c r="L4106" s="21" t="n">
        <v>5937.04</v>
      </c>
      <c r="M4106" s="21" t="n">
        <v>5940</v>
      </c>
    </row>
    <row r="4107">
      <c r="A4107" s="9" t="inlineStr">
        <is>
          <t>ZOEY</t>
        </is>
      </c>
      <c r="B4107" s="9" t="inlineStr">
        <is>
          <t>ZOEY 15/05/2026</t>
        </is>
      </c>
      <c r="C4107" s="9" t="inlineStr">
        <is>
          <t>2026-05-15</t>
        </is>
      </c>
      <c r="D4107" s="9" t="inlineStr">
        <is>
          <t>66df5ec1b9bcc</t>
        </is>
      </c>
      <c r="E4107" s="9" t="inlineStr">
        <is>
          <t>BOLSO LADY D CHAROL DUSTY PINK</t>
        </is>
      </c>
      <c r="F4107" s="9" t="inlineStr">
        <is>
          <t>23.5cm de largo x 21cm de alto x 12cm de ancho</t>
        </is>
      </c>
      <c r="G4107" s="9" t="n">
        <v>1</v>
      </c>
      <c r="H4107" s="21" t="n">
        <v>56</v>
      </c>
      <c r="I4107" s="21" t="n">
        <v>1484.26</v>
      </c>
      <c r="J4107" s="21" t="n">
        <v>4452.78</v>
      </c>
      <c r="K4107" s="21" t="n">
        <v>5194.91</v>
      </c>
      <c r="L4107" s="21" t="n">
        <v>5937.04</v>
      </c>
      <c r="M4107" s="21" t="n">
        <v>5940</v>
      </c>
    </row>
    <row r="4108">
      <c r="A4108" s="9" t="inlineStr">
        <is>
          <t>ZOEY</t>
        </is>
      </c>
      <c r="B4108" s="9" t="inlineStr">
        <is>
          <t>ZOEY 15/05/2026</t>
        </is>
      </c>
      <c r="C4108" s="9" t="inlineStr">
        <is>
          <t>2026-05-15</t>
        </is>
      </c>
      <c r="D4108" s="9" t="inlineStr">
        <is>
          <t>66df5ec68a185</t>
        </is>
      </c>
      <c r="E4108" s="9" t="inlineStr">
        <is>
          <t>BOLSO LADY D CHAROL OFF WHITE</t>
        </is>
      </c>
      <c r="F4108" s="9" t="inlineStr">
        <is>
          <t>23.5cm de largo x 21cm de alto x 12cm de ancho</t>
        </is>
      </c>
      <c r="G4108" s="9" t="n">
        <v>2</v>
      </c>
      <c r="H4108" s="21" t="n">
        <v>56</v>
      </c>
      <c r="I4108" s="21" t="n">
        <v>1484.26</v>
      </c>
      <c r="J4108" s="21" t="n">
        <v>4452.78</v>
      </c>
      <c r="K4108" s="21" t="n">
        <v>5194.91</v>
      </c>
      <c r="L4108" s="21" t="n">
        <v>5937.04</v>
      </c>
      <c r="M4108" s="21" t="n">
        <v>5940</v>
      </c>
    </row>
    <row r="4109">
      <c r="A4109" s="9" t="inlineStr">
        <is>
          <t>ZOEY</t>
        </is>
      </c>
      <c r="B4109" s="9" t="inlineStr">
        <is>
          <t>ZOEY 15/05/2026</t>
        </is>
      </c>
      <c r="C4109" s="9" t="inlineStr">
        <is>
          <t>2026-05-15</t>
        </is>
      </c>
      <c r="D4109" s="9" t="inlineStr">
        <is>
          <t>66581dfb2f7ce</t>
        </is>
      </c>
      <c r="E4109" s="9" t="inlineStr">
        <is>
          <t>BOLSO LADY D NUDE</t>
        </is>
      </c>
      <c r="F4109" s="9" t="inlineStr">
        <is>
          <t>17cm de largo x 20cm largo x 8cm de ancho</t>
        </is>
      </c>
      <c r="G4109" s="9" t="n">
        <v>1</v>
      </c>
      <c r="H4109" s="21" t="n">
        <v>56</v>
      </c>
      <c r="I4109" s="21" t="n">
        <v>1484.26</v>
      </c>
      <c r="J4109" s="21" t="n">
        <v>4452.78</v>
      </c>
      <c r="K4109" s="21" t="n">
        <v>5194.91</v>
      </c>
      <c r="L4109" s="21" t="n">
        <v>5937.04</v>
      </c>
      <c r="M4109" s="21" t="n">
        <v>5940</v>
      </c>
    </row>
    <row r="4110">
      <c r="A4110" s="9" t="inlineStr">
        <is>
          <t>ZOEY</t>
        </is>
      </c>
      <c r="B4110" s="9" t="inlineStr">
        <is>
          <t>ZOEY 15/05/2026</t>
        </is>
      </c>
      <c r="C4110" s="9" t="inlineStr">
        <is>
          <t>2026-05-15</t>
        </is>
      </c>
      <c r="D4110" s="9" t="inlineStr">
        <is>
          <t>66581dfdba9ed</t>
        </is>
      </c>
      <c r="E4110" s="9" t="inlineStr">
        <is>
          <t>BOLSO LADY D RED</t>
        </is>
      </c>
      <c r="F4110" s="9" t="inlineStr">
        <is>
          <t>23.5cm de largo x 20.5cm alto x 12.5cm de ancho</t>
        </is>
      </c>
      <c r="G4110" s="9" t="n">
        <v>1</v>
      </c>
      <c r="H4110" s="21" t="n">
        <v>56</v>
      </c>
      <c r="I4110" s="21" t="n">
        <v>1484.26</v>
      </c>
      <c r="J4110" s="21" t="n">
        <v>4452.78</v>
      </c>
      <c r="K4110" s="21" t="n">
        <v>5194.91</v>
      </c>
      <c r="L4110" s="21" t="n">
        <v>5937.04</v>
      </c>
      <c r="M4110" s="21" t="n">
        <v>5940</v>
      </c>
    </row>
    <row r="4111">
      <c r="A4111" s="9" t="inlineStr">
        <is>
          <t>ZOEY</t>
        </is>
      </c>
      <c r="B4111" s="9" t="inlineStr">
        <is>
          <t>ZOEY 15/05/2026</t>
        </is>
      </c>
      <c r="C4111" s="9" t="inlineStr">
        <is>
          <t>2026-05-15</t>
        </is>
      </c>
      <c r="D4111" s="9" t="inlineStr">
        <is>
          <t>93098782243181</t>
        </is>
      </c>
      <c r="E4111" s="9" t="inlineStr">
        <is>
          <t>BOLSO LV ALMA BB BLACK</t>
        </is>
      </c>
      <c r="F4111" s="9" t="inlineStr">
        <is>
          <t>Default Title</t>
        </is>
      </c>
      <c r="G4111" s="9" t="n">
        <v>4</v>
      </c>
      <c r="H4111" s="21" t="n">
        <v>47</v>
      </c>
      <c r="I4111" s="21" t="n">
        <v>1245.72</v>
      </c>
      <c r="J4111" s="21" t="n">
        <v>3737.15</v>
      </c>
      <c r="K4111" s="21" t="n">
        <v>4360.01</v>
      </c>
      <c r="L4111" s="21" t="n">
        <v>4982.87</v>
      </c>
      <c r="M4111" s="21" t="n">
        <v>4989</v>
      </c>
    </row>
    <row r="4112">
      <c r="A4112" s="9" t="inlineStr">
        <is>
          <t>ZOEY</t>
        </is>
      </c>
      <c r="B4112" s="9" t="inlineStr">
        <is>
          <t>ZOEY 15/05/2026</t>
        </is>
      </c>
      <c r="C4112" s="9" t="inlineStr">
        <is>
          <t>2026-05-15</t>
        </is>
      </c>
      <c r="D4112" s="9" t="inlineStr">
        <is>
          <t>93098782074253</t>
        </is>
      </c>
      <c r="E4112" s="9" t="inlineStr">
        <is>
          <t>BOLSO LV CHRISTOPHER MESSENGER</t>
        </is>
      </c>
      <c r="F4112" s="9" t="inlineStr">
        <is>
          <t>Default Title</t>
        </is>
      </c>
      <c r="G4112" s="9" t="n">
        <v>1</v>
      </c>
      <c r="H4112" s="21" t="n">
        <v>45</v>
      </c>
      <c r="I4112" s="21" t="n">
        <v>1192.71</v>
      </c>
      <c r="J4112" s="21" t="n">
        <v>3578.12</v>
      </c>
      <c r="K4112" s="21" t="n">
        <v>4174.48</v>
      </c>
      <c r="L4112" s="21" t="n">
        <v>4770.83</v>
      </c>
      <c r="M4112" s="21" t="n">
        <v>4779</v>
      </c>
    </row>
    <row r="4113">
      <c r="A4113" s="9" t="inlineStr">
        <is>
          <t>ZOEY</t>
        </is>
      </c>
      <c r="B4113" s="9" t="inlineStr">
        <is>
          <t>ZOEY 15/05/2026</t>
        </is>
      </c>
      <c r="C4113" s="9" t="inlineStr">
        <is>
          <t>2026-05-15</t>
        </is>
      </c>
      <c r="D4113" s="9" t="inlineStr">
        <is>
          <t>6701d2559565d</t>
        </is>
      </c>
      <c r="E4113" s="9" t="inlineStr">
        <is>
          <t>BOLSO LV DAUPHINE</t>
        </is>
      </c>
      <c r="F4113" s="9" t="inlineStr">
        <is>
          <t>25.3cm de largo x 19.5cm de alto x 9cm de ancho</t>
        </is>
      </c>
      <c r="G4113" s="9" t="n">
        <v>2</v>
      </c>
      <c r="H4113" s="21" t="n">
        <v>55</v>
      </c>
      <c r="I4113" s="21" t="n">
        <v>1457.75</v>
      </c>
      <c r="J4113" s="21" t="n">
        <v>4373.26</v>
      </c>
      <c r="K4113" s="21" t="n">
        <v>5102.14</v>
      </c>
      <c r="L4113" s="21" t="n">
        <v>5831.02</v>
      </c>
      <c r="M4113" s="21" t="n">
        <v>5839</v>
      </c>
    </row>
    <row r="4114">
      <c r="A4114" s="9" t="inlineStr">
        <is>
          <t>ZOEY</t>
        </is>
      </c>
      <c r="B4114" s="9" t="inlineStr">
        <is>
          <t>ZOEY 15/05/2026</t>
        </is>
      </c>
      <c r="C4114" s="9" t="inlineStr">
        <is>
          <t>2026-05-15</t>
        </is>
      </c>
      <c r="D4114" s="9" t="inlineStr">
        <is>
          <t>93098782381037</t>
        </is>
      </c>
      <c r="E4114" s="9" t="inlineStr">
        <is>
          <t>BOLSO LV LOW KEY HOBO</t>
        </is>
      </c>
      <c r="F4114" s="9" t="inlineStr">
        <is>
          <t>Default Title</t>
        </is>
      </c>
      <c r="G4114" s="9" t="n">
        <v>5</v>
      </c>
      <c r="H4114" s="21" t="n">
        <v>54</v>
      </c>
      <c r="I4114" s="21" t="n">
        <v>1431.25</v>
      </c>
      <c r="J4114" s="21" t="n">
        <v>4293.75</v>
      </c>
      <c r="K4114" s="21" t="n">
        <v>5009.37</v>
      </c>
      <c r="L4114" s="21" t="n">
        <v>5725</v>
      </c>
      <c r="M4114" s="21" t="n">
        <v>5729</v>
      </c>
    </row>
    <row r="4115">
      <c r="A4115" s="9" t="inlineStr">
        <is>
          <t>ZOEY</t>
        </is>
      </c>
      <c r="B4115" s="9" t="inlineStr">
        <is>
          <t>ZOEY 15/05/2026</t>
        </is>
      </c>
      <c r="C4115" s="9" t="inlineStr">
        <is>
          <t>2026-05-15</t>
        </is>
      </c>
      <c r="D4115" s="9" t="inlineStr">
        <is>
          <t>93098783094061</t>
        </is>
      </c>
      <c r="E4115" s="9" t="inlineStr">
        <is>
          <t>BOLSO LV POCHETTE FELICIE</t>
        </is>
      </c>
      <c r="F4115" s="9" t="inlineStr">
        <is>
          <t>Default Title</t>
        </is>
      </c>
      <c r="G4115" s="9" t="n">
        <v>8</v>
      </c>
      <c r="H4115" s="21" t="n">
        <v>21</v>
      </c>
      <c r="I4115" s="21" t="n">
        <v>556.6</v>
      </c>
      <c r="J4115" s="21" t="n">
        <v>1669.79</v>
      </c>
      <c r="K4115" s="21" t="n">
        <v>1948.09</v>
      </c>
      <c r="L4115" s="21" t="n">
        <v>2226.39</v>
      </c>
      <c r="M4115" s="21" t="n">
        <v>2500</v>
      </c>
    </row>
    <row r="4116">
      <c r="A4116" s="9" t="inlineStr">
        <is>
          <t>ZOEY</t>
        </is>
      </c>
      <c r="B4116" s="9" t="inlineStr">
        <is>
          <t>ZOEY 15/05/2026</t>
        </is>
      </c>
      <c r="C4116" s="9" t="inlineStr">
        <is>
          <t>2026-05-15</t>
        </is>
      </c>
      <c r="D4116" s="9" t="inlineStr">
        <is>
          <t>93098783161293</t>
        </is>
      </c>
      <c r="E4116" s="9" t="inlineStr">
        <is>
          <t>BOLSO LV POCHETTE HILLS</t>
        </is>
      </c>
      <c r="F4116" s="9" t="inlineStr">
        <is>
          <t>Default Title</t>
        </is>
      </c>
      <c r="G4116" s="9" t="n">
        <v>2</v>
      </c>
      <c r="H4116" s="21" t="n">
        <v>41</v>
      </c>
      <c r="I4116" s="21" t="n">
        <v>1086.69</v>
      </c>
      <c r="J4116" s="21" t="n">
        <v>3260.07</v>
      </c>
      <c r="K4116" s="21" t="n">
        <v>3803.41</v>
      </c>
      <c r="L4116" s="21" t="n">
        <v>4346.76</v>
      </c>
      <c r="M4116" s="21" t="n">
        <v>4349</v>
      </c>
    </row>
    <row r="4117">
      <c r="A4117" s="9" t="inlineStr">
        <is>
          <t>ZOEY</t>
        </is>
      </c>
      <c r="B4117" s="9" t="inlineStr">
        <is>
          <t>ZOEY 15/05/2026</t>
        </is>
      </c>
      <c r="C4117" s="9" t="inlineStr">
        <is>
          <t>2026-05-15</t>
        </is>
      </c>
      <c r="D4117" s="9" t="inlineStr">
        <is>
          <t>89631571079533</t>
        </is>
      </c>
      <c r="E4117" s="9" t="inlineStr">
        <is>
          <t>BOLSO LV TOTE PILLOW BLACK</t>
        </is>
      </c>
      <c r="F4117" s="9" t="inlineStr">
        <is>
          <t>Default Title</t>
        </is>
      </c>
      <c r="G4117" s="9" t="n">
        <v>3</v>
      </c>
      <c r="H4117" s="21" t="n">
        <v>48</v>
      </c>
      <c r="I4117" s="21" t="n">
        <v>1272.22</v>
      </c>
      <c r="J4117" s="21" t="n">
        <v>3816.67</v>
      </c>
      <c r="K4117" s="21" t="n">
        <v>4452.78</v>
      </c>
      <c r="L4117" s="21" t="n">
        <v>5088.89</v>
      </c>
      <c r="M4117" s="21" t="n">
        <v>5090</v>
      </c>
    </row>
    <row r="4118">
      <c r="A4118" s="9" t="inlineStr">
        <is>
          <t>ZOEY</t>
        </is>
      </c>
      <c r="B4118" s="9" t="inlineStr">
        <is>
          <t>ZOEY 15/05/2026</t>
        </is>
      </c>
      <c r="C4118" s="9" t="inlineStr">
        <is>
          <t>2026-05-15</t>
        </is>
      </c>
      <c r="D4118" s="9" t="inlineStr">
        <is>
          <t>17872087535244</t>
        </is>
      </c>
      <c r="E4118" s="9" t="inlineStr">
        <is>
          <t>BOLSO LW ANAGRAM</t>
        </is>
      </c>
      <c r="F4118" s="9" t="inlineStr">
        <is>
          <t>50cm x 26cm x 15cm</t>
        </is>
      </c>
      <c r="G4118" s="9" t="n">
        <v>6</v>
      </c>
      <c r="H4118" s="21" t="n">
        <v>35</v>
      </c>
      <c r="I4118" s="21" t="n">
        <v>927.66</v>
      </c>
      <c r="J4118" s="21" t="n">
        <v>2782.99</v>
      </c>
      <c r="K4118" s="21" t="n">
        <v>3246.82</v>
      </c>
      <c r="L4118" s="21" t="n">
        <v>3710.65</v>
      </c>
      <c r="M4118" s="21" t="n">
        <v>3780</v>
      </c>
    </row>
    <row r="4119">
      <c r="A4119" s="9" t="inlineStr">
        <is>
          <t>ZOEY</t>
        </is>
      </c>
      <c r="B4119" s="9" t="inlineStr">
        <is>
          <t>ZOEY 15/05/2026</t>
        </is>
      </c>
      <c r="C4119" s="9" t="inlineStr">
        <is>
          <t>2026-05-15</t>
        </is>
      </c>
      <c r="D4119" s="9" t="inlineStr">
        <is>
          <t>6701d2533c12e</t>
        </is>
      </c>
      <c r="E4119" s="9" t="inlineStr">
        <is>
          <t>BOLSO PR BLACK RE-EDITION 2000</t>
        </is>
      </c>
      <c r="F4119" s="9" t="inlineStr">
        <is>
          <t>21cm de largo x 15cm de alto x 6cm de ancho</t>
        </is>
      </c>
      <c r="G4119" s="9" t="n">
        <v>3</v>
      </c>
      <c r="H4119" s="21" t="n">
        <v>39</v>
      </c>
      <c r="I4119" s="21" t="n">
        <v>1033.68</v>
      </c>
      <c r="J4119" s="21" t="n">
        <v>3101.04</v>
      </c>
      <c r="K4119" s="21" t="n">
        <v>3617.88</v>
      </c>
      <c r="L4119" s="21" t="n">
        <v>4134.72</v>
      </c>
      <c r="M4119" s="21" t="n">
        <v>4139</v>
      </c>
    </row>
    <row r="4120">
      <c r="A4120" s="9" t="inlineStr">
        <is>
          <t>ZOEY</t>
        </is>
      </c>
      <c r="B4120" s="9" t="inlineStr">
        <is>
          <t>ZOEY 15/05/2026</t>
        </is>
      </c>
      <c r="C4120" s="9" t="inlineStr">
        <is>
          <t>2026-05-15</t>
        </is>
      </c>
      <c r="D4120" s="9" t="inlineStr">
        <is>
          <t>93098782175949</t>
        </is>
      </c>
      <c r="E4120" s="9" t="inlineStr">
        <is>
          <t>CANGURERA LV HIGH RISE PM</t>
        </is>
      </c>
      <c r="F4120" s="9" t="inlineStr">
        <is>
          <t>Default Title</t>
        </is>
      </c>
      <c r="G4120" s="9" t="n">
        <v>2</v>
      </c>
      <c r="H4120" s="21" t="n">
        <v>40</v>
      </c>
      <c r="I4120" s="21" t="n">
        <v>1060.18</v>
      </c>
      <c r="J4120" s="21" t="n">
        <v>3180.55</v>
      </c>
      <c r="K4120" s="21" t="n">
        <v>3710.65</v>
      </c>
      <c r="L4120" s="21" t="n">
        <v>4240.74</v>
      </c>
      <c r="M4120" s="21" t="n">
        <v>4249</v>
      </c>
    </row>
    <row r="4121">
      <c r="A4121" s="9" t="inlineStr">
        <is>
          <t>ZOEY</t>
        </is>
      </c>
      <c r="B4121" s="9" t="inlineStr">
        <is>
          <t>ZOEY 15/05/2026</t>
        </is>
      </c>
      <c r="C4121" s="9" t="inlineStr">
        <is>
          <t>2026-05-15</t>
        </is>
      </c>
      <c r="D4121" s="9" t="inlineStr">
        <is>
          <t>95662171066189</t>
        </is>
      </c>
      <c r="E4121" s="9" t="inlineStr">
        <is>
          <t>CARTERA C TRIOMPHE CON SOLAPA</t>
        </is>
      </c>
      <c r="F4121" s="9" t="inlineStr">
        <is>
          <t>Default Title</t>
        </is>
      </c>
      <c r="G4121" s="9" t="n">
        <v>2</v>
      </c>
      <c r="H4121" s="21" t="n">
        <v>22</v>
      </c>
      <c r="I4121" s="21" t="n">
        <v>583.1</v>
      </c>
      <c r="J4121" s="21" t="n">
        <v>1749.31</v>
      </c>
      <c r="K4121" s="21" t="n">
        <v>2040.86</v>
      </c>
      <c r="L4121" s="21" t="n">
        <v>2332.41</v>
      </c>
      <c r="M4121" s="21" t="n">
        <v>2339</v>
      </c>
    </row>
    <row r="4122">
      <c r="A4122" s="9" t="inlineStr">
        <is>
          <t>ZOEY</t>
        </is>
      </c>
      <c r="B4122" s="9" t="inlineStr">
        <is>
          <t>ZOEY 15/05/2026</t>
        </is>
      </c>
      <c r="C4122" s="9" t="inlineStr">
        <is>
          <t>2026-05-15</t>
        </is>
      </c>
      <c r="D4122" s="9" t="inlineStr">
        <is>
          <t>94758097365260</t>
        </is>
      </c>
      <c r="E4122" s="9" t="inlineStr">
        <is>
          <t>CARTERA G SAINT-MARC GREY</t>
        </is>
      </c>
      <c r="F4122" s="9" t="inlineStr">
        <is>
          <t>11cm x 8cm</t>
        </is>
      </c>
      <c r="G4122" s="9" t="n">
        <v>10</v>
      </c>
      <c r="H4122" s="21" t="n">
        <v>15</v>
      </c>
      <c r="I4122" s="21" t="n">
        <v>397.57</v>
      </c>
      <c r="J4122" s="21" t="n">
        <v>1192.71</v>
      </c>
      <c r="K4122" s="21" t="n">
        <v>1391.49</v>
      </c>
      <c r="L4122" s="21" t="n">
        <v>1590.28</v>
      </c>
      <c r="M4122" s="21" t="n">
        <v>1599</v>
      </c>
    </row>
    <row r="4123">
      <c r="A4123" s="9" t="inlineStr">
        <is>
          <t>ZOEY</t>
        </is>
      </c>
      <c r="B4123" s="9" t="inlineStr">
        <is>
          <t>ZOEY 15/05/2026</t>
        </is>
      </c>
      <c r="C4123" s="9" t="inlineStr">
        <is>
          <t>2026-05-15</t>
        </is>
      </c>
      <c r="D4123" s="9" t="inlineStr">
        <is>
          <t>99781782263469</t>
        </is>
      </c>
      <c r="E4123" s="9" t="inlineStr">
        <is>
          <t>CARTERA GC ALARGADA</t>
        </is>
      </c>
      <c r="F4123" s="9" t="inlineStr">
        <is>
          <t>Default Title</t>
        </is>
      </c>
      <c r="G4123" s="9" t="n">
        <v>4</v>
      </c>
      <c r="H4123" s="21" t="n">
        <v>17</v>
      </c>
      <c r="I4123" s="21" t="n">
        <v>450.58</v>
      </c>
      <c r="J4123" s="21" t="n">
        <v>1351.74</v>
      </c>
      <c r="K4123" s="21" t="n">
        <v>1577.03</v>
      </c>
      <c r="L4123" s="21" t="n">
        <v>1802.31</v>
      </c>
      <c r="M4123" s="21" t="n">
        <v>1800</v>
      </c>
    </row>
    <row r="4124">
      <c r="A4124" s="9" t="inlineStr">
        <is>
          <t>ZOEY</t>
        </is>
      </c>
      <c r="B4124" s="9" t="inlineStr">
        <is>
          <t>ZOEY 15/05/2026</t>
        </is>
      </c>
      <c r="C4124" s="9" t="inlineStr">
        <is>
          <t>2026-05-15</t>
        </is>
      </c>
      <c r="D4124" s="9" t="inlineStr">
        <is>
          <t>99781781554989</t>
        </is>
      </c>
      <c r="E4124" s="9" t="inlineStr">
        <is>
          <t>CARTERA GC CADENA OPHIDIA</t>
        </is>
      </c>
      <c r="F4124" s="9" t="inlineStr">
        <is>
          <t>Default Title</t>
        </is>
      </c>
      <c r="G4124" s="9" t="n">
        <v>3</v>
      </c>
      <c r="H4124" s="21" t="n">
        <v>27</v>
      </c>
      <c r="I4124" s="21" t="n">
        <v>715.62</v>
      </c>
      <c r="J4124" s="21" t="n">
        <v>2146.87</v>
      </c>
      <c r="K4124" s="21" t="n">
        <v>2504.69</v>
      </c>
      <c r="L4124" s="21" t="n">
        <v>2862.5</v>
      </c>
      <c r="M4124" s="21" t="n">
        <v>2869</v>
      </c>
    </row>
    <row r="4125">
      <c r="A4125" s="9" t="inlineStr">
        <is>
          <t>ZOEY</t>
        </is>
      </c>
      <c r="B4125" s="9" t="inlineStr">
        <is>
          <t>ZOEY 15/05/2026</t>
        </is>
      </c>
      <c r="C4125" s="9" t="inlineStr">
        <is>
          <t>2026-05-15</t>
        </is>
      </c>
      <c r="D4125" s="9" t="inlineStr">
        <is>
          <t>99781781282669</t>
        </is>
      </c>
      <c r="E4125" s="9" t="inlineStr">
        <is>
          <t>CARTERA GC CONTINENTAL BICOLOR</t>
        </is>
      </c>
      <c r="F4125" s="9" t="inlineStr">
        <is>
          <t>Default Title</t>
        </is>
      </c>
      <c r="G4125" s="9" t="n">
        <v>3</v>
      </c>
      <c r="H4125" s="21" t="n">
        <v>27</v>
      </c>
      <c r="I4125" s="21" t="n">
        <v>715.62</v>
      </c>
      <c r="J4125" s="21" t="n">
        <v>2146.87</v>
      </c>
      <c r="K4125" s="21" t="n">
        <v>2504.69</v>
      </c>
      <c r="L4125" s="21" t="n">
        <v>2862.5</v>
      </c>
      <c r="M4125" s="21" t="n">
        <v>2869</v>
      </c>
    </row>
    <row r="4126">
      <c r="A4126" s="9" t="inlineStr">
        <is>
          <t>ZOEY</t>
        </is>
      </c>
      <c r="B4126" s="9" t="inlineStr">
        <is>
          <t>ZOEY 15/05/2026</t>
        </is>
      </c>
      <c r="C4126" s="9" t="inlineStr">
        <is>
          <t>2026-05-15</t>
        </is>
      </c>
      <c r="D4126" s="9" t="inlineStr">
        <is>
          <t>99781781725613</t>
        </is>
      </c>
      <c r="E4126" s="9" t="inlineStr">
        <is>
          <t>CARTERA GC LEATHER</t>
        </is>
      </c>
      <c r="F4126" s="9" t="inlineStr">
        <is>
          <t>Default Title</t>
        </is>
      </c>
      <c r="G4126" s="9" t="n">
        <v>4</v>
      </c>
      <c r="H4126" s="21" t="n">
        <v>19</v>
      </c>
      <c r="I4126" s="21" t="n">
        <v>503.59</v>
      </c>
      <c r="J4126" s="21" t="n">
        <v>1510.76</v>
      </c>
      <c r="K4126" s="21" t="n">
        <v>1762.56</v>
      </c>
      <c r="L4126" s="21" t="n">
        <v>2014.35</v>
      </c>
      <c r="M4126" s="21" t="n">
        <v>2020</v>
      </c>
    </row>
    <row r="4127">
      <c r="A4127" s="9" t="inlineStr">
        <is>
          <t>ZOEY</t>
        </is>
      </c>
      <c r="B4127" s="9" t="inlineStr">
        <is>
          <t>ZOEY 15/05/2026</t>
        </is>
      </c>
      <c r="C4127" s="9" t="inlineStr">
        <is>
          <t>2026-05-15</t>
        </is>
      </c>
      <c r="D4127" s="9" t="inlineStr">
        <is>
          <t>93098781770861</t>
        </is>
      </c>
      <c r="E4127" s="9" t="inlineStr">
        <is>
          <t>CARTERA LV EMPREINTE BLACK</t>
        </is>
      </c>
      <c r="F4127" s="9" t="inlineStr">
        <is>
          <t>Default Title</t>
        </is>
      </c>
      <c r="G4127" s="9" t="n">
        <v>5</v>
      </c>
      <c r="H4127" s="21" t="n">
        <v>17</v>
      </c>
      <c r="I4127" s="21" t="n">
        <v>450.58</v>
      </c>
      <c r="J4127" s="21" t="n">
        <v>1351.74</v>
      </c>
      <c r="K4127" s="21" t="n">
        <v>1577.03</v>
      </c>
      <c r="L4127" s="21" t="n">
        <v>1802.31</v>
      </c>
      <c r="M4127" s="21" t="n">
        <v>1810</v>
      </c>
    </row>
    <row r="4128">
      <c r="A4128" s="9" t="inlineStr">
        <is>
          <t>ZOEY</t>
        </is>
      </c>
      <c r="B4128" s="9" t="inlineStr">
        <is>
          <t>ZOEY 15/05/2026</t>
        </is>
      </c>
      <c r="C4128" s="9" t="inlineStr">
        <is>
          <t>2026-05-15</t>
        </is>
      </c>
      <c r="D4128" s="9" t="inlineStr">
        <is>
          <t>93098781907021</t>
        </is>
      </c>
      <c r="E4128" s="9" t="inlineStr">
        <is>
          <t>CARTERA LV GASTON MONOGRAM</t>
        </is>
      </c>
      <c r="F4128" s="9" t="inlineStr">
        <is>
          <t>Default Title</t>
        </is>
      </c>
      <c r="G4128" s="9" t="n">
        <v>4</v>
      </c>
      <c r="H4128" s="21" t="n">
        <v>45</v>
      </c>
      <c r="I4128" s="21" t="n">
        <v>1192.71</v>
      </c>
      <c r="J4128" s="21" t="n">
        <v>3578.12</v>
      </c>
      <c r="K4128" s="21" t="n">
        <v>4174.48</v>
      </c>
      <c r="L4128" s="21" t="n">
        <v>4770.83</v>
      </c>
      <c r="M4128" s="21" t="n">
        <v>4779</v>
      </c>
    </row>
    <row r="4129">
      <c r="A4129" s="9" t="inlineStr">
        <is>
          <t>ZOEY</t>
        </is>
      </c>
      <c r="B4129" s="9" t="inlineStr">
        <is>
          <t>ZOEY 15/05/2026</t>
        </is>
      </c>
      <c r="C4129" s="9" t="inlineStr">
        <is>
          <t>2026-05-15</t>
        </is>
      </c>
      <c r="D4129" s="9" t="inlineStr">
        <is>
          <t>93098783399149</t>
        </is>
      </c>
      <c r="E4129" s="9" t="inlineStr">
        <is>
          <t>CARTERA LV ZIPPY CLIP</t>
        </is>
      </c>
      <c r="F4129" s="9" t="inlineStr">
        <is>
          <t>Default Title</t>
        </is>
      </c>
      <c r="G4129" s="9" t="n">
        <v>6</v>
      </c>
      <c r="H4129" s="21" t="n">
        <v>14</v>
      </c>
      <c r="I4129" s="21" t="n">
        <v>371.06</v>
      </c>
      <c r="J4129" s="21" t="n">
        <v>1113.19</v>
      </c>
      <c r="K4129" s="21" t="n">
        <v>1298.73</v>
      </c>
      <c r="L4129" s="21" t="n">
        <v>1484.26</v>
      </c>
      <c r="M4129" s="21" t="n">
        <v>1499</v>
      </c>
    </row>
    <row r="4130">
      <c r="A4130" s="9" t="inlineStr">
        <is>
          <t>ZOEY</t>
        </is>
      </c>
      <c r="B4130" s="9" t="inlineStr">
        <is>
          <t>ZOEY 15/05/2026</t>
        </is>
      </c>
      <c r="C4130" s="9" t="inlineStr">
        <is>
          <t>2026-05-15</t>
        </is>
      </c>
      <c r="D4130" s="9" t="inlineStr">
        <is>
          <t>23794532108653</t>
        </is>
      </c>
      <c r="E4130" s="9" t="inlineStr">
        <is>
          <t>CARTERA MM MATELASSE</t>
        </is>
      </c>
      <c r="F4130" s="9" t="inlineStr">
        <is>
          <t>Default Title</t>
        </is>
      </c>
      <c r="G4130" s="9" t="n">
        <v>2</v>
      </c>
      <c r="H4130" s="21" t="n">
        <v>22</v>
      </c>
      <c r="I4130" s="21" t="n">
        <v>583.1</v>
      </c>
      <c r="J4130" s="21" t="n">
        <v>1749.31</v>
      </c>
      <c r="K4130" s="21" t="n">
        <v>2040.86</v>
      </c>
      <c r="L4130" s="21" t="n">
        <v>2332.41</v>
      </c>
      <c r="M4130" s="21" t="n">
        <v>2339</v>
      </c>
    </row>
    <row r="4131">
      <c r="A4131" s="9" t="inlineStr">
        <is>
          <t>ZOEY</t>
        </is>
      </c>
      <c r="B4131" s="9" t="inlineStr">
        <is>
          <t>ZOEY 15/05/2026</t>
        </is>
      </c>
      <c r="C4131" s="9" t="inlineStr">
        <is>
          <t>2026-05-15</t>
        </is>
      </c>
      <c r="D4131" s="9" t="inlineStr">
        <is>
          <t>43794532275885</t>
        </is>
      </c>
      <c r="E4131" s="9" t="inlineStr">
        <is>
          <t>CARTERA MM NAPA BLACK</t>
        </is>
      </c>
      <c r="F4131" s="9" t="inlineStr">
        <is>
          <t>Default Title</t>
        </is>
      </c>
      <c r="G4131" s="9" t="n">
        <v>2</v>
      </c>
      <c r="H4131" s="21" t="n">
        <v>23</v>
      </c>
      <c r="I4131" s="21" t="n">
        <v>609.61</v>
      </c>
      <c r="J4131" s="21" t="n">
        <v>1828.82</v>
      </c>
      <c r="K4131" s="21" t="n">
        <v>2133.62</v>
      </c>
      <c r="L4131" s="21" t="n">
        <v>2438.43</v>
      </c>
      <c r="M4131" s="21" t="n">
        <v>2440</v>
      </c>
    </row>
    <row r="4132">
      <c r="A4132" s="9" t="inlineStr">
        <is>
          <t>ZOEY</t>
        </is>
      </c>
      <c r="B4132" s="9" t="inlineStr">
        <is>
          <t>ZOEY 15/05/2026</t>
        </is>
      </c>
      <c r="C4132" s="9" t="inlineStr">
        <is>
          <t>2026-05-15</t>
        </is>
      </c>
      <c r="D4132" s="9" t="inlineStr">
        <is>
          <t>13794532310349</t>
        </is>
      </c>
      <c r="E4132" s="9" t="inlineStr">
        <is>
          <t>CARTERA MM NAPA PINK</t>
        </is>
      </c>
      <c r="F4132" s="9" t="inlineStr">
        <is>
          <t>Default Title</t>
        </is>
      </c>
      <c r="G4132" s="9" t="n">
        <v>1</v>
      </c>
      <c r="H4132" s="21" t="n">
        <v>23</v>
      </c>
      <c r="I4132" s="21" t="n">
        <v>609.61</v>
      </c>
      <c r="J4132" s="21" t="n">
        <v>1828.82</v>
      </c>
      <c r="K4132" s="21" t="n">
        <v>2133.62</v>
      </c>
      <c r="L4132" s="21" t="n">
        <v>2438.43</v>
      </c>
      <c r="M4132" s="21" t="n">
        <v>2440</v>
      </c>
    </row>
    <row r="4133">
      <c r="A4133" s="9" t="inlineStr">
        <is>
          <t>ZOEY</t>
        </is>
      </c>
      <c r="B4133" s="9" t="inlineStr">
        <is>
          <t>ZOEY 15/05/2026</t>
        </is>
      </c>
      <c r="C4133" s="9" t="inlineStr">
        <is>
          <t>2026-05-15</t>
        </is>
      </c>
      <c r="D4133" s="9" t="inlineStr">
        <is>
          <t>43794531982605</t>
        </is>
      </c>
      <c r="E4133" s="9" t="inlineStr">
        <is>
          <t>CARTERA PR LOGO TRIANGULAR</t>
        </is>
      </c>
      <c r="F4133" s="9" t="inlineStr">
        <is>
          <t>Default Title</t>
        </is>
      </c>
      <c r="G4133" s="9" t="n">
        <v>4</v>
      </c>
      <c r="H4133" s="21" t="n">
        <v>23</v>
      </c>
      <c r="I4133" s="21" t="n">
        <v>609.61</v>
      </c>
      <c r="J4133" s="21" t="n">
        <v>1828.82</v>
      </c>
      <c r="K4133" s="21" t="n">
        <v>2133.62</v>
      </c>
      <c r="L4133" s="21" t="n">
        <v>2438.43</v>
      </c>
      <c r="M4133" s="21" t="n">
        <v>2440</v>
      </c>
    </row>
    <row r="4134">
      <c r="A4134" s="9" t="inlineStr">
        <is>
          <t>ZOEY</t>
        </is>
      </c>
      <c r="B4134" s="9" t="inlineStr">
        <is>
          <t>ZOEY 15/05/2026</t>
        </is>
      </c>
      <c r="C4134" s="9" t="inlineStr">
        <is>
          <t>2026-05-15</t>
        </is>
      </c>
      <c r="D4134" s="9" t="inlineStr">
        <is>
          <t>52394691183086</t>
        </is>
      </c>
      <c r="E4134" s="9" t="inlineStr">
        <is>
          <t>CARTERA ZIPPY LV BROWN</t>
        </is>
      </c>
      <c r="F4134" s="9" t="inlineStr">
        <is>
          <t>HIGH QUALITY</t>
        </is>
      </c>
      <c r="G4134" s="9" t="n">
        <v>4</v>
      </c>
      <c r="H4134" s="21" t="n">
        <v>13</v>
      </c>
      <c r="I4134" s="21" t="n">
        <v>344.56</v>
      </c>
      <c r="J4134" s="21" t="n">
        <v>1033.68</v>
      </c>
      <c r="K4134" s="21" t="n">
        <v>1205.96</v>
      </c>
      <c r="L4134" s="21" t="n">
        <v>1378.24</v>
      </c>
      <c r="M4134" s="21" t="n">
        <v>1500</v>
      </c>
    </row>
    <row r="4135">
      <c r="A4135" s="9" t="inlineStr">
        <is>
          <t>ZOEY</t>
        </is>
      </c>
      <c r="B4135" s="9" t="inlineStr">
        <is>
          <t>ZOEY 15/05/2026</t>
        </is>
      </c>
      <c r="C4135" s="9" t="inlineStr">
        <is>
          <t>2026-05-15</t>
        </is>
      </c>
      <c r="D4135" s="9" t="inlineStr">
        <is>
          <t>99781782880429</t>
        </is>
      </c>
      <c r="E4135" s="9" t="inlineStr">
        <is>
          <t>CINTO C HERITAGE</t>
        </is>
      </c>
      <c r="F4135" s="9" t="inlineStr">
        <is>
          <t>100CM</t>
        </is>
      </c>
      <c r="G4135" s="9" t="n">
        <v>4</v>
      </c>
      <c r="H4135" s="21" t="n">
        <v>45</v>
      </c>
      <c r="I4135" s="21" t="n">
        <v>1192.71</v>
      </c>
      <c r="J4135" s="21" t="n">
        <v>3578.12</v>
      </c>
      <c r="K4135" s="21" t="n">
        <v>4174.48</v>
      </c>
      <c r="L4135" s="21" t="n">
        <v>4770.83</v>
      </c>
      <c r="M4135" s="21" t="n">
        <v>4779</v>
      </c>
    </row>
    <row r="4136">
      <c r="A4136" s="9" t="inlineStr">
        <is>
          <t>ZOEY</t>
        </is>
      </c>
      <c r="B4136" s="9" t="inlineStr">
        <is>
          <t>ZOEY 15/05/2026</t>
        </is>
      </c>
      <c r="C4136" s="9" t="inlineStr">
        <is>
          <t>2026-05-15</t>
        </is>
      </c>
      <c r="D4136" s="9" t="inlineStr">
        <is>
          <t>99781782675341</t>
        </is>
      </c>
      <c r="E4136" s="9" t="inlineStr">
        <is>
          <t>CINTO C TRIOMPHIE BUCKLE</t>
        </is>
      </c>
      <c r="F4136" s="9" t="inlineStr">
        <is>
          <t>100CM</t>
        </is>
      </c>
      <c r="G4136" s="9" t="n">
        <v>3</v>
      </c>
      <c r="H4136" s="21" t="n">
        <v>45</v>
      </c>
      <c r="I4136" s="21" t="n">
        <v>1192.71</v>
      </c>
      <c r="J4136" s="21" t="n">
        <v>3578.12</v>
      </c>
      <c r="K4136" s="21" t="n">
        <v>4174.48</v>
      </c>
      <c r="L4136" s="21" t="n">
        <v>4770.83</v>
      </c>
      <c r="M4136" s="21" t="n">
        <v>4779</v>
      </c>
    </row>
    <row r="4137">
      <c r="A4137" s="9" t="inlineStr">
        <is>
          <t>ZOEY</t>
        </is>
      </c>
      <c r="B4137" s="9" t="inlineStr">
        <is>
          <t>ZOEY 15/05/2026</t>
        </is>
      </c>
      <c r="C4137" s="9" t="inlineStr">
        <is>
          <t>2026-05-15</t>
        </is>
      </c>
      <c r="D4137" s="9" t="inlineStr">
        <is>
          <t>42340124661388</t>
        </is>
      </c>
      <c r="E4137" s="9" t="inlineStr">
        <is>
          <t>CINTO CD OBLIQUE</t>
        </is>
      </c>
      <c r="F4137" s="9" t="inlineStr">
        <is>
          <t>110cm</t>
        </is>
      </c>
      <c r="G4137" s="9" t="n">
        <v>2</v>
      </c>
      <c r="H4137" s="21" t="n">
        <v>45</v>
      </c>
      <c r="I4137" s="21" t="n">
        <v>1192.71</v>
      </c>
      <c r="J4137" s="21" t="n">
        <v>3578.12</v>
      </c>
      <c r="K4137" s="21" t="n">
        <v>4174.48</v>
      </c>
      <c r="L4137" s="21" t="n">
        <v>4770.83</v>
      </c>
      <c r="M4137" s="21" t="n">
        <v>4779</v>
      </c>
    </row>
    <row r="4138">
      <c r="A4138" s="9" t="inlineStr">
        <is>
          <t>ZOEY</t>
        </is>
      </c>
      <c r="B4138" s="9" t="inlineStr">
        <is>
          <t>ZOEY 15/05/2026</t>
        </is>
      </c>
      <c r="C4138" s="9" t="inlineStr">
        <is>
          <t>2026-05-15</t>
        </is>
      </c>
      <c r="D4138" s="9" t="inlineStr">
        <is>
          <t>99781781012045</t>
        </is>
      </c>
      <c r="E4138" s="9" t="inlineStr">
        <is>
          <t>CINTO GC DELGADO MARMONT</t>
        </is>
      </c>
      <c r="F4138" s="9" t="inlineStr">
        <is>
          <t>100CM</t>
        </is>
      </c>
      <c r="G4138" s="9" t="n">
        <v>3</v>
      </c>
      <c r="H4138" s="21" t="n">
        <v>45</v>
      </c>
      <c r="I4138" s="21" t="n">
        <v>1192.71</v>
      </c>
      <c r="J4138" s="21" t="n">
        <v>3578.12</v>
      </c>
      <c r="K4138" s="21" t="n">
        <v>4174.48</v>
      </c>
      <c r="L4138" s="21" t="n">
        <v>4770.83</v>
      </c>
      <c r="M4138" s="21" t="n">
        <v>4779</v>
      </c>
    </row>
    <row r="4139">
      <c r="A4139" s="9" t="inlineStr">
        <is>
          <t>ZOEY</t>
        </is>
      </c>
      <c r="B4139" s="9" t="inlineStr">
        <is>
          <t>ZOEY 15/05/2026</t>
        </is>
      </c>
      <c r="C4139" s="9" t="inlineStr">
        <is>
          <t>2026-05-15</t>
        </is>
      </c>
      <c r="D4139" s="9" t="inlineStr">
        <is>
          <t>99781781126317</t>
        </is>
      </c>
      <c r="E4139" s="9" t="inlineStr">
        <is>
          <t>CINTO GC REVERSIBLE HEBILLA</t>
        </is>
      </c>
      <c r="F4139" s="9" t="inlineStr">
        <is>
          <t>100CM</t>
        </is>
      </c>
      <c r="G4139" s="9" t="n">
        <v>3</v>
      </c>
      <c r="H4139" s="21" t="n">
        <v>45</v>
      </c>
      <c r="I4139" s="21" t="n">
        <v>1192.71</v>
      </c>
      <c r="J4139" s="21" t="n">
        <v>3578.12</v>
      </c>
      <c r="K4139" s="21" t="n">
        <v>4174.48</v>
      </c>
      <c r="L4139" s="21" t="n">
        <v>4770.83</v>
      </c>
      <c r="M4139" s="21" t="n">
        <v>4779</v>
      </c>
    </row>
    <row r="4140">
      <c r="A4140" s="9" t="inlineStr">
        <is>
          <t>ZOEY</t>
        </is>
      </c>
      <c r="B4140" s="9" t="inlineStr">
        <is>
          <t>ZOEY 15/05/2026</t>
        </is>
      </c>
      <c r="C4140" s="9" t="inlineStr">
        <is>
          <t>2026-05-15</t>
        </is>
      </c>
      <c r="D4140" s="9" t="inlineStr">
        <is>
          <t>93098782758445</t>
        </is>
      </c>
      <c r="E4140" s="9" t="inlineStr">
        <is>
          <t>CINTO LV REVERSIBLE INITIALES</t>
        </is>
      </c>
      <c r="F4140" s="9" t="inlineStr">
        <is>
          <t>100CM</t>
        </is>
      </c>
      <c r="G4140" s="9" t="n">
        <v>3</v>
      </c>
      <c r="H4140" s="21" t="n">
        <v>35</v>
      </c>
      <c r="I4140" s="21" t="n">
        <v>927.66</v>
      </c>
      <c r="J4140" s="21" t="n">
        <v>2782.99</v>
      </c>
      <c r="K4140" s="21" t="n">
        <v>3246.82</v>
      </c>
      <c r="L4140" s="21" t="n">
        <v>3710.65</v>
      </c>
      <c r="M4140" s="21" t="n">
        <v>3720</v>
      </c>
    </row>
    <row r="4141">
      <c r="A4141" s="9" t="inlineStr">
        <is>
          <t>ZOEY</t>
        </is>
      </c>
      <c r="B4141" s="9" t="inlineStr">
        <is>
          <t>ZOEY 15/05/2026</t>
        </is>
      </c>
      <c r="C4141" s="9" t="inlineStr">
        <is>
          <t>2026-05-15</t>
        </is>
      </c>
      <c r="D4141" s="9" t="inlineStr">
        <is>
          <t>63264441047757</t>
        </is>
      </c>
      <c r="E4141" s="9" t="inlineStr">
        <is>
          <t>COLLAR CD GOLD CON PERLAS</t>
        </is>
      </c>
      <c r="F4141" s="9" t="inlineStr">
        <is>
          <t>Default Title</t>
        </is>
      </c>
      <c r="G4141" s="9" t="n">
        <v>2</v>
      </c>
      <c r="H4141" s="21" t="n">
        <v>9</v>
      </c>
      <c r="I4141" s="21" t="n">
        <v>238.54</v>
      </c>
      <c r="J4141" s="21" t="n">
        <v>715.62</v>
      </c>
      <c r="K4141" s="21" t="n">
        <v>834.9</v>
      </c>
      <c r="L4141" s="21" t="n">
        <v>954.17</v>
      </c>
      <c r="M4141" s="21" t="n">
        <v>959</v>
      </c>
    </row>
    <row r="4142">
      <c r="A4142" s="9" t="inlineStr">
        <is>
          <t>ZOEY</t>
        </is>
      </c>
      <c r="B4142" s="9" t="inlineStr">
        <is>
          <t>ZOEY 15/05/2026</t>
        </is>
      </c>
      <c r="C4142" s="9" t="inlineStr">
        <is>
          <t>2026-05-15</t>
        </is>
      </c>
      <c r="D4142" s="9" t="inlineStr">
        <is>
          <t>67319253498892</t>
        </is>
      </c>
      <c r="E4142" s="9" t="inlineStr">
        <is>
          <t>COLLAR CD REVOLUTION</t>
        </is>
      </c>
      <c r="F4142" s="9" t="inlineStr">
        <is>
          <t>41cm con 6cm de extensión</t>
        </is>
      </c>
      <c r="G4142" s="9" t="n">
        <v>3</v>
      </c>
      <c r="H4142" s="21" t="n">
        <v>8</v>
      </c>
      <c r="I4142" s="21" t="n">
        <v>212.04</v>
      </c>
      <c r="J4142" s="21" t="n">
        <v>636.11</v>
      </c>
      <c r="K4142" s="21" t="n">
        <v>742.13</v>
      </c>
      <c r="L4142" s="21" t="n">
        <v>848.15</v>
      </c>
      <c r="M4142" s="21" t="n">
        <v>899</v>
      </c>
    </row>
    <row r="4143">
      <c r="A4143" s="9" t="inlineStr">
        <is>
          <t>ZOEY</t>
        </is>
      </c>
      <c r="B4143" s="9" t="inlineStr">
        <is>
          <t>ZOEY 15/05/2026</t>
        </is>
      </c>
      <c r="C4143" s="9" t="inlineStr">
        <is>
          <t>2026-05-15</t>
        </is>
      </c>
      <c r="D4143" s="9" t="inlineStr">
        <is>
          <t>43047194886284</t>
        </is>
      </c>
      <c r="E4143" s="9" t="inlineStr">
        <is>
          <t>COLLAR CORAZÓN GOLD</t>
        </is>
      </c>
      <c r="F4143" s="9" t="inlineStr">
        <is>
          <t>40cm con 6.5cm de extensión.</t>
        </is>
      </c>
      <c r="G4143" s="9" t="n">
        <v>3</v>
      </c>
      <c r="H4143" s="21" t="n">
        <v>9</v>
      </c>
      <c r="I4143" s="21" t="n">
        <v>238.54</v>
      </c>
      <c r="J4143" s="21" t="n">
        <v>715.62</v>
      </c>
      <c r="K4143" s="21" t="n">
        <v>834.9</v>
      </c>
      <c r="L4143" s="21" t="n">
        <v>954.17</v>
      </c>
      <c r="M4143" s="21" t="n">
        <v>975</v>
      </c>
    </row>
    <row r="4144">
      <c r="A4144" s="9" t="inlineStr">
        <is>
          <t>ZOEY</t>
        </is>
      </c>
      <c r="B4144" s="9" t="inlineStr">
        <is>
          <t>ZOEY 15/05/2026</t>
        </is>
      </c>
      <c r="C4144" s="9" t="inlineStr">
        <is>
          <t>2026-05-15</t>
        </is>
      </c>
      <c r="D4144" s="9" t="inlineStr">
        <is>
          <t>86290411075053</t>
        </is>
      </c>
      <c r="E4144" s="9" t="inlineStr">
        <is>
          <t>COLLAR LV EVER BLOSSOM GOLD BLACK</t>
        </is>
      </c>
      <c r="F4144" s="9" t="inlineStr">
        <is>
          <t>Default Title</t>
        </is>
      </c>
      <c r="G4144" s="9" t="n">
        <v>2</v>
      </c>
      <c r="H4144" s="21" t="n">
        <v>8</v>
      </c>
      <c r="I4144" s="21" t="n">
        <v>212.04</v>
      </c>
      <c r="J4144" s="21" t="n">
        <v>636.11</v>
      </c>
      <c r="K4144" s="21" t="n">
        <v>742.13</v>
      </c>
      <c r="L4144" s="21" t="n">
        <v>848.15</v>
      </c>
      <c r="M4144" s="21" t="n">
        <v>850</v>
      </c>
    </row>
    <row r="4145">
      <c r="A4145" s="9" t="inlineStr">
        <is>
          <t>ZOEY</t>
        </is>
      </c>
      <c r="B4145" s="9" t="inlineStr">
        <is>
          <t>ZOEY 15/05/2026</t>
        </is>
      </c>
      <c r="C4145" s="9" t="inlineStr">
        <is>
          <t>2026-05-15</t>
        </is>
      </c>
      <c r="D4145" s="9" t="inlineStr">
        <is>
          <t>90883811004365</t>
        </is>
      </c>
      <c r="E4145" s="9" t="inlineStr">
        <is>
          <t>COLLAR T CORAZÓN CON ZIRCONIA</t>
        </is>
      </c>
      <c r="F4145" s="9" t="inlineStr">
        <is>
          <t>HIGH QUALITY</t>
        </is>
      </c>
      <c r="G4145" s="9" t="n">
        <v>2</v>
      </c>
      <c r="H4145" s="21" t="n">
        <v>9</v>
      </c>
      <c r="I4145" s="21" t="n">
        <v>238.54</v>
      </c>
      <c r="J4145" s="21" t="n">
        <v>715.62</v>
      </c>
      <c r="K4145" s="21" t="n">
        <v>834.9</v>
      </c>
      <c r="L4145" s="21" t="n">
        <v>954.17</v>
      </c>
      <c r="M4145" s="21" t="n">
        <v>1100</v>
      </c>
    </row>
    <row r="4146">
      <c r="A4146" s="9" t="inlineStr">
        <is>
          <t>ZOEY</t>
        </is>
      </c>
      <c r="B4146" s="9" t="inlineStr">
        <is>
          <t>ZOEY 15/05/2026</t>
        </is>
      </c>
      <c r="C4146" s="9" t="inlineStr">
        <is>
          <t>2026-05-15</t>
        </is>
      </c>
      <c r="D4146" s="9" t="inlineStr">
        <is>
          <t>40071861011917</t>
        </is>
      </c>
      <c r="E4146" s="9" t="inlineStr">
        <is>
          <t>CONJUNTO DEPORTIVO A NEGRO</t>
        </is>
      </c>
      <c r="F4146" s="9" t="inlineStr">
        <is>
          <t>M</t>
        </is>
      </c>
      <c r="G4146" s="9" t="n">
        <v>2</v>
      </c>
      <c r="H4146" s="21" t="n">
        <v>24</v>
      </c>
      <c r="I4146" s="21" t="n">
        <v>636.11</v>
      </c>
      <c r="J4146" s="21" t="n">
        <v>1908.33</v>
      </c>
      <c r="K4146" s="21" t="n">
        <v>2226.39</v>
      </c>
      <c r="L4146" s="21" t="n">
        <v>2544.44</v>
      </c>
      <c r="M4146" s="21" t="n">
        <v>2599</v>
      </c>
    </row>
    <row r="4147">
      <c r="A4147" s="9" t="inlineStr">
        <is>
          <t>ZOEY</t>
        </is>
      </c>
      <c r="B4147" s="9" t="inlineStr">
        <is>
          <t>ZOEY 15/05/2026</t>
        </is>
      </c>
      <c r="C4147" s="9" t="inlineStr">
        <is>
          <t>2026-05-15</t>
        </is>
      </c>
      <c r="D4147" s="9" t="inlineStr">
        <is>
          <t>87904131075277</t>
        </is>
      </c>
      <c r="E4147" s="9" t="inlineStr">
        <is>
          <t>GORRA A BLACK</t>
        </is>
      </c>
      <c r="F4147" s="9" t="inlineStr">
        <is>
          <t>Default Title</t>
        </is>
      </c>
      <c r="G4147" s="9" t="n">
        <v>2</v>
      </c>
      <c r="H4147" s="21" t="n">
        <v>10</v>
      </c>
      <c r="I4147" s="21" t="n">
        <v>265.05</v>
      </c>
      <c r="J4147" s="21" t="n">
        <v>795.14</v>
      </c>
      <c r="K4147" s="21" t="n">
        <v>927.66</v>
      </c>
      <c r="L4147" s="21" t="n">
        <v>1060.18</v>
      </c>
      <c r="M4147" s="21" t="n">
        <v>1069</v>
      </c>
    </row>
    <row r="4148">
      <c r="A4148" s="9" t="inlineStr">
        <is>
          <t>ZOEY</t>
        </is>
      </c>
      <c r="B4148" s="9" t="inlineStr">
        <is>
          <t>ZOEY 15/05/2026</t>
        </is>
      </c>
      <c r="C4148" s="9" t="inlineStr">
        <is>
          <t>2026-05-15</t>
        </is>
      </c>
      <c r="D4148" s="9" t="inlineStr">
        <is>
          <t>69943351015917</t>
        </is>
      </c>
      <c r="E4148" s="9" t="inlineStr">
        <is>
          <t>GORRA A BROWN</t>
        </is>
      </c>
      <c r="F4148" s="9" t="inlineStr">
        <is>
          <t>Default Title</t>
        </is>
      </c>
      <c r="G4148" s="9" t="n">
        <v>2</v>
      </c>
      <c r="H4148" s="21" t="n">
        <v>10</v>
      </c>
      <c r="I4148" s="21" t="n">
        <v>265.05</v>
      </c>
      <c r="J4148" s="21" t="n">
        <v>795.14</v>
      </c>
      <c r="K4148" s="21" t="n">
        <v>927.66</v>
      </c>
      <c r="L4148" s="21" t="n">
        <v>1060.18</v>
      </c>
      <c r="M4148" s="21" t="n">
        <v>1069</v>
      </c>
    </row>
    <row r="4149">
      <c r="A4149" s="9" t="inlineStr">
        <is>
          <t>ZOEY</t>
        </is>
      </c>
      <c r="B4149" s="9" t="inlineStr">
        <is>
          <t>ZOEY 15/05/2026</t>
        </is>
      </c>
      <c r="C4149" s="9" t="inlineStr">
        <is>
          <t>2026-05-15</t>
        </is>
      </c>
      <c r="D4149" s="9" t="inlineStr">
        <is>
          <t>19874081084045</t>
        </is>
      </c>
      <c r="E4149" s="9" t="inlineStr">
        <is>
          <t>GORRA A WHITE</t>
        </is>
      </c>
      <c r="F4149" s="9" t="inlineStr">
        <is>
          <t>Default Title</t>
        </is>
      </c>
      <c r="G4149" s="9" t="n">
        <v>4</v>
      </c>
      <c r="H4149" s="21" t="n">
        <v>10</v>
      </c>
      <c r="I4149" s="21" t="n">
        <v>265.05</v>
      </c>
      <c r="J4149" s="21" t="n">
        <v>795.14</v>
      </c>
      <c r="K4149" s="21" t="n">
        <v>927.66</v>
      </c>
      <c r="L4149" s="21" t="n">
        <v>1060.18</v>
      </c>
      <c r="M4149" s="21" t="n">
        <v>1069</v>
      </c>
    </row>
    <row r="4150">
      <c r="A4150" s="9" t="inlineStr">
        <is>
          <t>ZOEY</t>
        </is>
      </c>
      <c r="B4150" s="9" t="inlineStr">
        <is>
          <t>ZOEY 15/05/2026</t>
        </is>
      </c>
      <c r="C4150" s="9" t="inlineStr">
        <is>
          <t>2026-05-15</t>
        </is>
      </c>
      <c r="D4150" s="9" t="inlineStr">
        <is>
          <t>93098782449965</t>
        </is>
      </c>
      <c r="E4150" s="9" t="inlineStr">
        <is>
          <t>GORRA LV MY PARIS</t>
        </is>
      </c>
      <c r="F4150" s="9" t="inlineStr">
        <is>
          <t>Default Title</t>
        </is>
      </c>
      <c r="G4150" s="9" t="n">
        <v>2</v>
      </c>
      <c r="H4150" s="21" t="n">
        <v>20</v>
      </c>
      <c r="I4150" s="21" t="n">
        <v>530.09</v>
      </c>
      <c r="J4150" s="21" t="n">
        <v>1590.28</v>
      </c>
      <c r="K4150" s="21" t="n">
        <v>1855.32</v>
      </c>
      <c r="L4150" s="21" t="n">
        <v>2120.37</v>
      </c>
      <c r="M4150" s="21" t="n">
        <v>2125</v>
      </c>
    </row>
    <row r="4151">
      <c r="A4151" s="9" t="inlineStr">
        <is>
          <t>ZOEY</t>
        </is>
      </c>
      <c r="B4151" s="9" t="inlineStr">
        <is>
          <t>ZOEY 15/05/2026</t>
        </is>
      </c>
      <c r="C4151" s="9" t="inlineStr">
        <is>
          <t>2026-05-15</t>
        </is>
      </c>
      <c r="D4151" s="9" t="inlineStr">
        <is>
          <t>61050601014957</t>
        </is>
      </c>
      <c r="E4151" s="9" t="inlineStr">
        <is>
          <t>LEGGINGS LLM BLACK</t>
        </is>
      </c>
      <c r="F4151" s="9" t="inlineStr">
        <is>
          <t>2M ,1L</t>
        </is>
      </c>
      <c r="G4151" s="9" t="n">
        <v>3</v>
      </c>
      <c r="H4151" s="21" t="n">
        <v>25</v>
      </c>
      <c r="I4151" s="21" t="n">
        <v>662.62</v>
      </c>
      <c r="J4151" s="21" t="n">
        <v>1987.85</v>
      </c>
      <c r="K4151" s="21" t="n">
        <v>2319.15</v>
      </c>
      <c r="L4151" s="21" t="n">
        <v>2650.46</v>
      </c>
      <c r="M4151" s="21" t="n">
        <v>2660</v>
      </c>
    </row>
    <row r="4152">
      <c r="A4152" s="9" t="inlineStr">
        <is>
          <t>ZOEY</t>
        </is>
      </c>
      <c r="B4152" s="9" t="inlineStr">
        <is>
          <t>ZOEY 15/05/2026</t>
        </is>
      </c>
      <c r="C4152" s="9" t="inlineStr">
        <is>
          <t>2026-05-15</t>
        </is>
      </c>
      <c r="D4152" s="9" t="inlineStr">
        <is>
          <t>33794531202829</t>
        </is>
      </c>
      <c r="E4152" s="9" t="inlineStr">
        <is>
          <t>LENTES CD GLOW S1</t>
        </is>
      </c>
      <c r="F4152" s="9" t="inlineStr">
        <is>
          <t>Default Title</t>
        </is>
      </c>
      <c r="G4152" s="9" t="n">
        <v>4</v>
      </c>
      <c r="H4152" s="21" t="n">
        <v>32</v>
      </c>
      <c r="I4152" s="21" t="n">
        <v>848.15</v>
      </c>
      <c r="J4152" s="21" t="n">
        <v>2544.44</v>
      </c>
      <c r="K4152" s="21" t="n">
        <v>2968.52</v>
      </c>
      <c r="L4152" s="21" t="n">
        <v>3392.59</v>
      </c>
      <c r="M4152" s="21" t="n">
        <v>3399</v>
      </c>
    </row>
    <row r="4153">
      <c r="A4153" s="9" t="inlineStr">
        <is>
          <t>ZOEY</t>
        </is>
      </c>
      <c r="B4153" s="9" t="inlineStr">
        <is>
          <t>ZOEY 15/05/2026</t>
        </is>
      </c>
      <c r="C4153" s="9" t="inlineStr">
        <is>
          <t>2026-05-15</t>
        </is>
      </c>
      <c r="D4153" s="9" t="inlineStr">
        <is>
          <t>93098781536397</t>
        </is>
      </c>
      <c r="E4153" s="9" t="inlineStr">
        <is>
          <t>LENTES LV ATTITUDE SOO</t>
        </is>
      </c>
      <c r="F4153" s="9" t="inlineStr">
        <is>
          <t>Default Title</t>
        </is>
      </c>
      <c r="G4153" s="9" t="n">
        <v>4</v>
      </c>
      <c r="H4153" s="21" t="n">
        <v>32</v>
      </c>
      <c r="I4153" s="21" t="n">
        <v>848.15</v>
      </c>
      <c r="J4153" s="21" t="n">
        <v>2544.44</v>
      </c>
      <c r="K4153" s="21" t="n">
        <v>2968.52</v>
      </c>
      <c r="L4153" s="21" t="n">
        <v>3392.59</v>
      </c>
      <c r="M4153" s="21" t="n">
        <v>3399</v>
      </c>
    </row>
    <row r="4154">
      <c r="A4154" s="9" t="inlineStr">
        <is>
          <t>ZOEY</t>
        </is>
      </c>
      <c r="B4154" s="9" t="inlineStr">
        <is>
          <t>ZOEY 15/05/2026</t>
        </is>
      </c>
      <c r="C4154" s="9" t="inlineStr">
        <is>
          <t>2026-05-15</t>
        </is>
      </c>
      <c r="D4154" s="9" t="inlineStr">
        <is>
          <t>71417611050957</t>
        </is>
      </c>
      <c r="E4154" s="9" t="inlineStr">
        <is>
          <t>LENTES LV ESCAPE SQUARE SILVER</t>
        </is>
      </c>
      <c r="F4154" s="9" t="inlineStr">
        <is>
          <t>HIGH QUALITY</t>
        </is>
      </c>
      <c r="G4154" s="9" t="n">
        <v>4</v>
      </c>
      <c r="H4154" s="21" t="n">
        <v>32</v>
      </c>
      <c r="I4154" s="21" t="n">
        <v>848.15</v>
      </c>
      <c r="J4154" s="21" t="n">
        <v>2544.44</v>
      </c>
      <c r="K4154" s="21" t="n">
        <v>2968.52</v>
      </c>
      <c r="L4154" s="21" t="n">
        <v>3392.59</v>
      </c>
      <c r="M4154" s="21" t="n">
        <v>3399</v>
      </c>
    </row>
    <row r="4155">
      <c r="A4155" s="9" t="inlineStr">
        <is>
          <t>ZOEY</t>
        </is>
      </c>
      <c r="B4155" s="9" t="inlineStr">
        <is>
          <t>ZOEY 15/05/2026</t>
        </is>
      </c>
      <c r="C4155" s="9" t="inlineStr">
        <is>
          <t>2026-05-15</t>
        </is>
      </c>
      <c r="D4155" s="9" t="inlineStr">
        <is>
          <t>93098781301933</t>
        </is>
      </c>
      <c r="E4155" s="9" t="inlineStr">
        <is>
          <t>LENTES LV HIT SOO</t>
        </is>
      </c>
      <c r="F4155" s="9" t="inlineStr">
        <is>
          <t>Default Title</t>
        </is>
      </c>
      <c r="G4155" s="9" t="n">
        <v>4</v>
      </c>
      <c r="H4155" s="21" t="n">
        <v>32</v>
      </c>
      <c r="I4155" s="21" t="n">
        <v>848.15</v>
      </c>
      <c r="J4155" s="21" t="n">
        <v>2544.44</v>
      </c>
      <c r="K4155" s="21" t="n">
        <v>2968.52</v>
      </c>
      <c r="L4155" s="21" t="n">
        <v>3392.59</v>
      </c>
      <c r="M4155" s="21" t="n">
        <v>3399</v>
      </c>
    </row>
    <row r="4156">
      <c r="A4156" s="9" t="inlineStr">
        <is>
          <t>ZOEY</t>
        </is>
      </c>
      <c r="B4156" s="9" t="inlineStr">
        <is>
          <t>ZOEY 15/05/2026</t>
        </is>
      </c>
      <c r="C4156" s="9" t="inlineStr">
        <is>
          <t>2026-05-15</t>
        </is>
      </c>
      <c r="D4156" s="9" t="inlineStr">
        <is>
          <t>23025461724461</t>
        </is>
      </c>
      <c r="E4156" s="9" t="inlineStr">
        <is>
          <t>MOCASINES GC HORSEBIT</t>
        </is>
      </c>
      <c r="F4156" s="9" t="inlineStr">
        <is>
          <t>42/8MX</t>
        </is>
      </c>
      <c r="G4156" s="9" t="n">
        <v>1</v>
      </c>
      <c r="H4156" s="21" t="n">
        <v>58</v>
      </c>
      <c r="I4156" s="21" t="n">
        <v>1537.27</v>
      </c>
      <c r="J4156" s="21" t="n">
        <v>4611.8</v>
      </c>
      <c r="K4156" s="21" t="n">
        <v>5380.44</v>
      </c>
      <c r="L4156" s="21" t="n">
        <v>6149.07</v>
      </c>
      <c r="M4156" s="21" t="n">
        <v>6150</v>
      </c>
    </row>
    <row r="4157">
      <c r="A4157" s="9" t="inlineStr">
        <is>
          <t>ZOEY</t>
        </is>
      </c>
      <c r="B4157" s="9" t="inlineStr">
        <is>
          <t>ZOEY 15/05/2026</t>
        </is>
      </c>
      <c r="C4157" s="9" t="inlineStr">
        <is>
          <t>2026-05-15</t>
        </is>
      </c>
      <c r="D4157" s="9" t="inlineStr">
        <is>
          <t>23025461857229</t>
        </is>
      </c>
      <c r="E4157" s="9" t="inlineStr">
        <is>
          <t>MOCASINES GC HORSEBIT</t>
        </is>
      </c>
      <c r="F4157" s="9" t="inlineStr">
        <is>
          <t>44/9MX</t>
        </is>
      </c>
      <c r="G4157" s="9" t="n">
        <v>1</v>
      </c>
      <c r="H4157" s="21" t="n">
        <v>58</v>
      </c>
      <c r="I4157" s="21" t="n">
        <v>1537.27</v>
      </c>
      <c r="J4157" s="21" t="n">
        <v>4611.8</v>
      </c>
      <c r="K4157" s="21" t="n">
        <v>5380.44</v>
      </c>
      <c r="L4157" s="21" t="n">
        <v>6149.07</v>
      </c>
      <c r="M4157" s="21" t="n">
        <v>6150</v>
      </c>
    </row>
    <row r="4158">
      <c r="A4158" s="9" t="inlineStr">
        <is>
          <t>ZOEY</t>
        </is>
      </c>
      <c r="B4158" s="9" t="inlineStr">
        <is>
          <t>ZOEY 15/05/2026</t>
        </is>
      </c>
      <c r="C4158" s="9" t="inlineStr">
        <is>
          <t>2026-05-15</t>
        </is>
      </c>
      <c r="D4158" s="9" t="inlineStr">
        <is>
          <t>93098783231917</t>
        </is>
      </c>
      <c r="E4158" s="9" t="inlineStr">
        <is>
          <t>MONEDERO LV ROSALIE BLACK</t>
        </is>
      </c>
      <c r="F4158" s="9" t="inlineStr">
        <is>
          <t>Default Title</t>
        </is>
      </c>
      <c r="G4158" s="9" t="n">
        <v>3</v>
      </c>
      <c r="H4158" s="21" t="n">
        <v>17</v>
      </c>
      <c r="I4158" s="21" t="n">
        <v>450.58</v>
      </c>
      <c r="J4158" s="21" t="n">
        <v>1351.74</v>
      </c>
      <c r="K4158" s="21" t="n">
        <v>1577.03</v>
      </c>
      <c r="L4158" s="21" t="n">
        <v>1802.31</v>
      </c>
      <c r="M4158" s="21" t="n">
        <v>1810</v>
      </c>
    </row>
    <row r="4159">
      <c r="A4159" s="9" t="inlineStr">
        <is>
          <t>ZOEY</t>
        </is>
      </c>
      <c r="B4159" s="9" t="inlineStr">
        <is>
          <t>ZOEY 15/05/2026</t>
        </is>
      </c>
      <c r="C4159" s="9" t="inlineStr">
        <is>
          <t>2026-05-15</t>
        </is>
      </c>
      <c r="D4159" s="9" t="inlineStr">
        <is>
          <t>15711173203885</t>
        </is>
      </c>
      <c r="E4159" s="9" t="inlineStr">
        <is>
          <t>PERFUME LES SABLES ROSES</t>
        </is>
      </c>
      <c r="F4159" s="9" t="inlineStr">
        <is>
          <t>Default Title</t>
        </is>
      </c>
      <c r="G4159" s="9" t="n">
        <v>1</v>
      </c>
      <c r="H4159" s="21" t="n">
        <v>34</v>
      </c>
      <c r="I4159" s="21" t="n">
        <v>901.16</v>
      </c>
      <c r="J4159" s="21" t="n">
        <v>2703.47</v>
      </c>
      <c r="K4159" s="21" t="n">
        <v>3154.05</v>
      </c>
      <c r="L4159" s="21" t="n">
        <v>3604.63</v>
      </c>
      <c r="M4159" s="21" t="n">
        <v>3610</v>
      </c>
    </row>
    <row r="4160">
      <c r="A4160" s="9" t="inlineStr">
        <is>
          <t>ZOEY</t>
        </is>
      </c>
      <c r="B4160" s="9" t="inlineStr">
        <is>
          <t>ZOEY 15/05/2026</t>
        </is>
      </c>
      <c r="C4160" s="9" t="inlineStr">
        <is>
          <t>2026-05-15</t>
        </is>
      </c>
      <c r="D4160" s="9" t="inlineStr">
        <is>
          <t>15711173374893</t>
        </is>
      </c>
      <c r="E4160" s="9" t="inlineStr">
        <is>
          <t>PERFUME PARADOXE, EAU DE PARFUM 90ML</t>
        </is>
      </c>
      <c r="F4160" s="9" t="inlineStr">
        <is>
          <t>90 ml</t>
        </is>
      </c>
      <c r="G4160" s="9" t="n">
        <v>2</v>
      </c>
      <c r="H4160" s="21" t="n">
        <v>18</v>
      </c>
      <c r="I4160" s="21" t="n">
        <v>477.08</v>
      </c>
      <c r="J4160" s="21" t="n">
        <v>1431.25</v>
      </c>
      <c r="K4160" s="21" t="n">
        <v>1669.79</v>
      </c>
      <c r="L4160" s="21" t="n">
        <v>1908.33</v>
      </c>
      <c r="M4160" s="21" t="n">
        <v>1910</v>
      </c>
    </row>
    <row r="4161">
      <c r="A4161" s="9" t="inlineStr">
        <is>
          <t>ZOEY</t>
        </is>
      </c>
      <c r="B4161" s="9" t="inlineStr">
        <is>
          <t>ZOEY 15/05/2026</t>
        </is>
      </c>
      <c r="C4161" s="9" t="inlineStr">
        <is>
          <t>2026-05-15</t>
        </is>
      </c>
      <c r="D4161" s="9" t="inlineStr">
        <is>
          <t>48321437841036</t>
        </is>
      </c>
      <c r="E4161" s="9" t="inlineStr">
        <is>
          <t>PERFUME SAUVAGE</t>
        </is>
      </c>
      <c r="F4161" s="9" t="inlineStr">
        <is>
          <t>100ml</t>
        </is>
      </c>
      <c r="G4161" s="9" t="n">
        <v>3</v>
      </c>
      <c r="H4161" s="21" t="n">
        <v>18</v>
      </c>
      <c r="I4161" s="21" t="n">
        <v>477.08</v>
      </c>
      <c r="J4161" s="21" t="n">
        <v>1431.25</v>
      </c>
      <c r="K4161" s="21" t="n">
        <v>1669.79</v>
      </c>
      <c r="L4161" s="21" t="n">
        <v>1908.33</v>
      </c>
      <c r="M4161" s="21" t="n">
        <v>1910</v>
      </c>
    </row>
    <row r="4162">
      <c r="A4162" s="9" t="inlineStr">
        <is>
          <t>ZOEY</t>
        </is>
      </c>
      <c r="B4162" s="9" t="inlineStr">
        <is>
          <t>ZOEY 15/05/2026</t>
        </is>
      </c>
      <c r="C4162" s="9" t="inlineStr">
        <is>
          <t>2026-05-15</t>
        </is>
      </c>
      <c r="D4162" s="9" t="inlineStr">
        <is>
          <t>48321439631756</t>
        </is>
      </c>
      <c r="E4162" s="9" t="inlineStr">
        <is>
          <t>PERFUME TF LOST CHERRY</t>
        </is>
      </c>
      <c r="F4162" s="9" t="inlineStr">
        <is>
          <t>100ml</t>
        </is>
      </c>
      <c r="G4162" s="9" t="n">
        <v>2</v>
      </c>
      <c r="H4162" s="21" t="n">
        <v>18</v>
      </c>
      <c r="I4162" s="21" t="n">
        <v>477.08</v>
      </c>
      <c r="J4162" s="21" t="n">
        <v>1431.25</v>
      </c>
      <c r="K4162" s="21" t="n">
        <v>1669.79</v>
      </c>
      <c r="L4162" s="21" t="n">
        <v>1908.33</v>
      </c>
      <c r="M4162" s="21" t="n">
        <v>1910</v>
      </c>
    </row>
    <row r="4163">
      <c r="A4163" s="9" t="inlineStr">
        <is>
          <t>ZOEY</t>
        </is>
      </c>
      <c r="B4163" s="9" t="inlineStr">
        <is>
          <t>ZOEY 15/05/2026</t>
        </is>
      </c>
      <c r="C4163" s="9" t="inlineStr">
        <is>
          <t>2026-05-15</t>
        </is>
      </c>
      <c r="D4163" s="9" t="inlineStr">
        <is>
          <t>40495211254925</t>
        </is>
      </c>
      <c r="E4163" s="9" t="inlineStr">
        <is>
          <t>PERFUME V BORN IN ROMA THE GOLD DONNA</t>
        </is>
      </c>
      <c r="F4163" s="9" t="inlineStr">
        <is>
          <t>100 ml</t>
        </is>
      </c>
      <c r="G4163" s="9" t="n">
        <v>3</v>
      </c>
      <c r="H4163" s="21" t="n">
        <v>18</v>
      </c>
      <c r="I4163" s="21" t="n">
        <v>477.08</v>
      </c>
      <c r="J4163" s="21" t="n">
        <v>1431.25</v>
      </c>
      <c r="K4163" s="21" t="n">
        <v>1669.79</v>
      </c>
      <c r="L4163" s="21" t="n">
        <v>1908.33</v>
      </c>
      <c r="M4163" s="21" t="n">
        <v>1910</v>
      </c>
    </row>
    <row r="4164">
      <c r="A4164" s="9" t="inlineStr">
        <is>
          <t>ZOEY</t>
        </is>
      </c>
      <c r="B4164" s="9" t="inlineStr">
        <is>
          <t>ZOEY 15/05/2026</t>
        </is>
      </c>
      <c r="C4164" s="9" t="inlineStr">
        <is>
          <t>2026-05-15</t>
        </is>
      </c>
      <c r="D4164" s="9" t="inlineStr">
        <is>
          <t>15711173666157</t>
        </is>
      </c>
      <c r="E4164" s="9" t="inlineStr">
        <is>
          <t>PERFUME, DELINA EXCLUSIF EAU DE PARFUM, 75 ML</t>
        </is>
      </c>
      <c r="F4164" s="9" t="inlineStr">
        <is>
          <t>Default Title</t>
        </is>
      </c>
      <c r="G4164" s="9" t="n">
        <v>5</v>
      </c>
      <c r="H4164" s="21" t="n">
        <v>18</v>
      </c>
      <c r="I4164" s="21" t="n">
        <v>477.08</v>
      </c>
      <c r="J4164" s="21" t="n">
        <v>1431.25</v>
      </c>
      <c r="K4164" s="21" t="n">
        <v>1669.79</v>
      </c>
      <c r="L4164" s="21" t="n">
        <v>1908.33</v>
      </c>
      <c r="M4164" s="21" t="n">
        <v>1910</v>
      </c>
    </row>
    <row r="4165">
      <c r="A4165" s="9" t="inlineStr">
        <is>
          <t>ZOEY</t>
        </is>
      </c>
      <c r="B4165" s="9" t="inlineStr">
        <is>
          <t>ZOEY 15/05/2026</t>
        </is>
      </c>
      <c r="C4165" s="9" t="inlineStr">
        <is>
          <t>2026-05-15</t>
        </is>
      </c>
      <c r="D4165" s="9" t="inlineStr">
        <is>
          <t>93098781839789</t>
        </is>
      </c>
      <c r="E4165" s="9" t="inlineStr">
        <is>
          <t>PORTADOCUMENTOS LV VOYAGE</t>
        </is>
      </c>
      <c r="F4165" s="9" t="inlineStr">
        <is>
          <t>Default Title</t>
        </is>
      </c>
      <c r="G4165" s="9" t="n">
        <v>2</v>
      </c>
      <c r="H4165" s="21" t="n">
        <v>55</v>
      </c>
      <c r="I4165" s="21" t="n">
        <v>1457.75</v>
      </c>
      <c r="J4165" s="21" t="n">
        <v>4373.26</v>
      </c>
      <c r="K4165" s="21" t="n">
        <v>5102.14</v>
      </c>
      <c r="L4165" s="21" t="n">
        <v>5831.02</v>
      </c>
      <c r="M4165" s="21" t="n">
        <v>5839</v>
      </c>
    </row>
    <row r="4166">
      <c r="A4166" s="9" t="inlineStr">
        <is>
          <t>ZOEY</t>
        </is>
      </c>
      <c r="B4166" s="9" t="inlineStr">
        <is>
          <t>ZOEY 15/05/2026</t>
        </is>
      </c>
      <c r="C4166" s="9" t="inlineStr">
        <is>
          <t>2026-05-15</t>
        </is>
      </c>
      <c r="D4166" s="9" t="inlineStr">
        <is>
          <t>62328733504652</t>
        </is>
      </c>
      <c r="E4166" s="9" t="inlineStr">
        <is>
          <t>PULSERA CD PETIT</t>
        </is>
      </c>
      <c r="F4166" s="9" t="inlineStr">
        <is>
          <t>16cm con 5cm de extensión</t>
        </is>
      </c>
      <c r="G4166" s="9" t="n">
        <v>3</v>
      </c>
      <c r="H4166" s="21" t="n">
        <v>7</v>
      </c>
      <c r="I4166" s="21" t="n">
        <v>185.53</v>
      </c>
      <c r="J4166" s="21" t="n">
        <v>556.6</v>
      </c>
      <c r="K4166" s="21" t="n">
        <v>649.36</v>
      </c>
      <c r="L4166" s="21" t="n">
        <v>742.13</v>
      </c>
      <c r="M4166" s="21" t="n">
        <v>760</v>
      </c>
    </row>
    <row r="4167">
      <c r="A4167" s="9" t="inlineStr">
        <is>
          <t>ZOEY</t>
        </is>
      </c>
      <c r="B4167" s="9" t="inlineStr">
        <is>
          <t>ZOEY 15/05/2026</t>
        </is>
      </c>
      <c r="C4167" s="9" t="inlineStr">
        <is>
          <t>2026-05-15</t>
        </is>
      </c>
      <c r="D4167" s="9" t="inlineStr">
        <is>
          <t>84911031092013</t>
        </is>
      </c>
      <c r="E4167" s="9" t="inlineStr">
        <is>
          <t>PULSERA GC GOLD BLONDIE CON ZIRCONIAS</t>
        </is>
      </c>
      <c r="F4167" s="9" t="inlineStr">
        <is>
          <t>Default Title</t>
        </is>
      </c>
      <c r="G4167" s="9" t="n">
        <v>2</v>
      </c>
      <c r="H4167" s="21" t="n">
        <v>15</v>
      </c>
      <c r="I4167" s="21" t="n">
        <v>397.57</v>
      </c>
      <c r="J4167" s="21" t="n">
        <v>1192.71</v>
      </c>
      <c r="K4167" s="21" t="n">
        <v>1391.49</v>
      </c>
      <c r="L4167" s="21" t="n">
        <v>1590.28</v>
      </c>
      <c r="M4167" s="21" t="n">
        <v>1599</v>
      </c>
    </row>
    <row r="4168">
      <c r="A4168" s="9" t="inlineStr">
        <is>
          <t>ZOEY</t>
        </is>
      </c>
      <c r="B4168" s="9" t="inlineStr">
        <is>
          <t>ZOEY 15/05/2026</t>
        </is>
      </c>
      <c r="C4168" s="9" t="inlineStr">
        <is>
          <t>2026-05-15</t>
        </is>
      </c>
      <c r="D4168" s="9" t="inlineStr">
        <is>
          <t>43047213301900</t>
        </is>
      </c>
      <c r="E4168" s="9" t="inlineStr">
        <is>
          <t>PULSERA KNOT GOLD</t>
        </is>
      </c>
      <c r="F4168" s="9" t="inlineStr"/>
      <c r="G4168" s="9" t="n">
        <v>2</v>
      </c>
      <c r="H4168" s="21" t="n">
        <v>13</v>
      </c>
      <c r="I4168" s="21" t="n">
        <v>344.56</v>
      </c>
      <c r="J4168" s="21" t="n">
        <v>1033.68</v>
      </c>
      <c r="K4168" s="21" t="n">
        <v>1205.96</v>
      </c>
      <c r="L4168" s="21" t="n">
        <v>1378.24</v>
      </c>
      <c r="M4168" s="21" t="n">
        <v>1405</v>
      </c>
    </row>
    <row r="4169">
      <c r="A4169" s="9" t="inlineStr">
        <is>
          <t>ZOEY</t>
        </is>
      </c>
      <c r="B4169" s="9" t="inlineStr">
        <is>
          <t>ZOEY 15/05/2026</t>
        </is>
      </c>
      <c r="C4169" s="9" t="inlineStr">
        <is>
          <t>2026-05-15</t>
        </is>
      </c>
      <c r="D4169" s="9" t="inlineStr">
        <is>
          <t>87401991025249</t>
        </is>
      </c>
      <c r="E4169" s="9" t="inlineStr">
        <is>
          <t>PULSERA LOVESTRUCK</t>
        </is>
      </c>
      <c r="F4169" s="9" t="inlineStr">
        <is>
          <t>18 cm</t>
        </is>
      </c>
      <c r="G4169" s="9" t="n">
        <v>5</v>
      </c>
      <c r="H4169" s="21" t="n">
        <v>7.75</v>
      </c>
      <c r="I4169" s="21" t="n">
        <v>205.41</v>
      </c>
      <c r="J4169" s="21" t="n">
        <v>616.23</v>
      </c>
      <c r="K4169" s="21" t="n">
        <v>718.9400000000001</v>
      </c>
      <c r="L4169" s="21" t="n">
        <v>821.64</v>
      </c>
      <c r="M4169" s="21" t="n">
        <v>850</v>
      </c>
    </row>
    <row r="4170">
      <c r="A4170" s="9" t="inlineStr">
        <is>
          <t>ZOEY</t>
        </is>
      </c>
      <c r="B4170" s="9" t="inlineStr">
        <is>
          <t>ZOEY 15/05/2026</t>
        </is>
      </c>
      <c r="C4170" s="9" t="inlineStr">
        <is>
          <t>2026-05-15</t>
        </is>
      </c>
      <c r="D4170" s="9" t="inlineStr">
        <is>
          <t>87045211023629</t>
        </is>
      </c>
      <c r="E4170" s="9" t="inlineStr">
        <is>
          <t>PULSERA LV BLOSSOM TWIST GOLD</t>
        </is>
      </c>
      <c r="F4170" s="9" t="inlineStr">
        <is>
          <t>Default Title</t>
        </is>
      </c>
      <c r="G4170" s="9" t="n">
        <v>2</v>
      </c>
      <c r="H4170" s="21" t="n">
        <v>9</v>
      </c>
      <c r="I4170" s="21" t="n">
        <v>238.54</v>
      </c>
      <c r="J4170" s="21" t="n">
        <v>715.62</v>
      </c>
      <c r="K4170" s="21" t="n">
        <v>834.9</v>
      </c>
      <c r="L4170" s="21" t="n">
        <v>954.17</v>
      </c>
      <c r="M4170" s="21" t="n">
        <v>975</v>
      </c>
    </row>
    <row r="4171">
      <c r="A4171" s="9" t="inlineStr">
        <is>
          <t>ZOEY</t>
        </is>
      </c>
      <c r="B4171" s="9" t="inlineStr">
        <is>
          <t>ZOEY 15/05/2026</t>
        </is>
      </c>
      <c r="C4171" s="9" t="inlineStr">
        <is>
          <t>2026-05-15</t>
        </is>
      </c>
      <c r="D4171" s="9" t="inlineStr">
        <is>
          <t>93098781469165</t>
        </is>
      </c>
      <c r="E4171" s="9" t="inlineStr">
        <is>
          <t>PULSERA LV CATCH IT BLACK</t>
        </is>
      </c>
      <c r="F4171" s="9" t="inlineStr">
        <is>
          <t>Default Title</t>
        </is>
      </c>
      <c r="G4171" s="9" t="n">
        <v>2</v>
      </c>
      <c r="H4171" s="21" t="n">
        <v>10</v>
      </c>
      <c r="I4171" s="21" t="n">
        <v>265.05</v>
      </c>
      <c r="J4171" s="21" t="n">
        <v>795.14</v>
      </c>
      <c r="K4171" s="21" t="n">
        <v>927.66</v>
      </c>
      <c r="L4171" s="21" t="n">
        <v>1060.18</v>
      </c>
      <c r="M4171" s="21" t="n">
        <v>1069</v>
      </c>
    </row>
    <row r="4172">
      <c r="A4172" s="9" t="inlineStr">
        <is>
          <t>ZOEY</t>
        </is>
      </c>
      <c r="B4172" s="9" t="inlineStr">
        <is>
          <t>ZOEY 15/05/2026</t>
        </is>
      </c>
      <c r="C4172" s="9" t="inlineStr">
        <is>
          <t>2026-05-15</t>
        </is>
      </c>
      <c r="D4172" s="9" t="inlineStr">
        <is>
          <t>87725181046765</t>
        </is>
      </c>
      <c r="E4172" s="9" t="inlineStr">
        <is>
          <t>PULSERA LV IDYLLE BLOSSOM TRES OROS</t>
        </is>
      </c>
      <c r="F4172" s="9" t="inlineStr">
        <is>
          <t>Default Title</t>
        </is>
      </c>
      <c r="G4172" s="9" t="n">
        <v>2</v>
      </c>
      <c r="H4172" s="21" t="n">
        <v>9</v>
      </c>
      <c r="I4172" s="21" t="n">
        <v>238.54</v>
      </c>
      <c r="J4172" s="21" t="n">
        <v>715.62</v>
      </c>
      <c r="K4172" s="21" t="n">
        <v>834.9</v>
      </c>
      <c r="L4172" s="21" t="n">
        <v>954.17</v>
      </c>
      <c r="M4172" s="21" t="n">
        <v>975</v>
      </c>
    </row>
    <row r="4173">
      <c r="A4173" s="9" t="inlineStr">
        <is>
          <t>ZOEY</t>
        </is>
      </c>
      <c r="B4173" s="9" t="inlineStr">
        <is>
          <t>ZOEY 15/05/2026</t>
        </is>
      </c>
      <c r="C4173" s="9" t="inlineStr">
        <is>
          <t>2026-05-15</t>
        </is>
      </c>
      <c r="D4173" s="9" t="inlineStr">
        <is>
          <t>87729331097505</t>
        </is>
      </c>
      <c r="E4173" s="9" t="inlineStr">
        <is>
          <t>PULSERA T BLANCA CON ZIRCONIA</t>
        </is>
      </c>
      <c r="F4173" s="9" t="inlineStr">
        <is>
          <t>16 cm</t>
        </is>
      </c>
      <c r="G4173" s="9" t="n">
        <v>3</v>
      </c>
      <c r="H4173" s="21" t="n">
        <v>8</v>
      </c>
      <c r="I4173" s="21" t="n">
        <v>212.04</v>
      </c>
      <c r="J4173" s="21" t="n">
        <v>636.11</v>
      </c>
      <c r="K4173" s="21" t="n">
        <v>742.13</v>
      </c>
      <c r="L4173" s="21" t="n">
        <v>848.15</v>
      </c>
      <c r="M4173" s="21" t="n">
        <v>850</v>
      </c>
    </row>
    <row r="4174">
      <c r="A4174" s="9" t="inlineStr">
        <is>
          <t>ZOEY</t>
        </is>
      </c>
      <c r="B4174" s="9" t="inlineStr">
        <is>
          <t>ZOEY 15/05/2026</t>
        </is>
      </c>
      <c r="C4174" s="9" t="inlineStr">
        <is>
          <t>2026-05-15</t>
        </is>
      </c>
      <c r="D4174" s="9" t="inlineStr">
        <is>
          <t>17360611212238</t>
        </is>
      </c>
      <c r="E4174" s="9" t="inlineStr">
        <is>
          <t>RELOJ BALLON BLUE C</t>
        </is>
      </c>
      <c r="F4174" s="9" t="inlineStr">
        <is>
          <t>RELOJ CON CAJA</t>
        </is>
      </c>
      <c r="G4174" s="9" t="n">
        <v>4</v>
      </c>
      <c r="H4174" s="21" t="n">
        <v>28</v>
      </c>
      <c r="I4174" s="21" t="n">
        <v>742.13</v>
      </c>
      <c r="J4174" s="21" t="n">
        <v>2226.39</v>
      </c>
      <c r="K4174" s="21" t="n">
        <v>2597.45</v>
      </c>
      <c r="L4174" s="21" t="n">
        <v>2968.52</v>
      </c>
      <c r="M4174" s="21" t="n">
        <v>4100</v>
      </c>
    </row>
    <row r="4175">
      <c r="A4175" s="9" t="inlineStr">
        <is>
          <t>ZOEY</t>
        </is>
      </c>
      <c r="B4175" s="9" t="inlineStr">
        <is>
          <t>ZOEY 15/05/2026</t>
        </is>
      </c>
      <c r="C4175" s="9" t="inlineStr">
        <is>
          <t>2026-05-15</t>
        </is>
      </c>
      <c r="D4175" s="9" t="inlineStr">
        <is>
          <t>679be1fa82b97</t>
        </is>
      </c>
      <c r="E4175" s="9" t="inlineStr">
        <is>
          <t>RELOJ C SANTOS BLACK</t>
        </is>
      </c>
      <c r="F4175" s="9" t="inlineStr">
        <is>
          <t>RELOJ SIN CAJA MUJER 27mm</t>
        </is>
      </c>
      <c r="G4175" s="9" t="n">
        <v>3</v>
      </c>
      <c r="H4175" s="21" t="n">
        <v>35</v>
      </c>
      <c r="I4175" s="21" t="n">
        <v>927.66</v>
      </c>
      <c r="J4175" s="21" t="n">
        <v>2782.99</v>
      </c>
      <c r="K4175" s="21" t="n">
        <v>3246.82</v>
      </c>
      <c r="L4175" s="21" t="n">
        <v>3710.65</v>
      </c>
      <c r="M4175" s="21" t="n">
        <v>3899</v>
      </c>
    </row>
    <row r="4176">
      <c r="A4176" s="9" t="inlineStr">
        <is>
          <t>ZOEY</t>
        </is>
      </c>
      <c r="B4176" s="9" t="inlineStr">
        <is>
          <t>ZOEY 15/05/2026</t>
        </is>
      </c>
      <c r="C4176" s="9" t="inlineStr">
        <is>
          <t>2026-05-15</t>
        </is>
      </c>
      <c r="D4176" s="9" t="inlineStr">
        <is>
          <t>17360611377166</t>
        </is>
      </c>
      <c r="E4176" s="9" t="inlineStr">
        <is>
          <t>RELOJ COSMOGRAPH DAYTONA GREEN DIAL R</t>
        </is>
      </c>
      <c r="F4176" s="9" t="inlineStr">
        <is>
          <t>RELOJ CON CAJA</t>
        </is>
      </c>
      <c r="G4176" s="9" t="n">
        <v>2</v>
      </c>
      <c r="H4176" s="21" t="n">
        <v>48</v>
      </c>
      <c r="I4176" s="21" t="n">
        <v>1272.22</v>
      </c>
      <c r="J4176" s="21" t="n">
        <v>3816.67</v>
      </c>
      <c r="K4176" s="21" t="n">
        <v>4452.78</v>
      </c>
      <c r="L4176" s="21" t="n">
        <v>5088.89</v>
      </c>
      <c r="M4176" s="21" t="n">
        <v>6150</v>
      </c>
    </row>
    <row r="4177">
      <c r="A4177" s="9" t="inlineStr">
        <is>
          <t>ZOEY</t>
        </is>
      </c>
      <c r="B4177" s="9" t="inlineStr">
        <is>
          <t>ZOEY 15/05/2026</t>
        </is>
      </c>
      <c r="C4177" s="9" t="inlineStr">
        <is>
          <t>2026-05-15</t>
        </is>
      </c>
      <c r="D4177" s="9" t="inlineStr">
        <is>
          <t>17360611631597</t>
        </is>
      </c>
      <c r="E4177" s="9" t="inlineStr">
        <is>
          <t>RELOJ GENEVA PP</t>
        </is>
      </c>
      <c r="F4177" s="9" t="inlineStr">
        <is>
          <t>RELOJ CON CAJA</t>
        </is>
      </c>
      <c r="G4177" s="9" t="n">
        <v>2</v>
      </c>
      <c r="H4177" s="21" t="n">
        <v>68</v>
      </c>
      <c r="I4177" s="21" t="n">
        <v>1802.31</v>
      </c>
      <c r="J4177" s="21" t="n">
        <v>5406.94</v>
      </c>
      <c r="K4177" s="21" t="n">
        <v>6308.1</v>
      </c>
      <c r="L4177" s="21" t="n">
        <v>7209.26</v>
      </c>
      <c r="M4177" s="21" t="n">
        <v>7209</v>
      </c>
    </row>
    <row r="4178">
      <c r="A4178" s="9" t="inlineStr">
        <is>
          <t>ZOEY</t>
        </is>
      </c>
      <c r="B4178" s="9" t="inlineStr">
        <is>
          <t>ZOEY 15/05/2026</t>
        </is>
      </c>
      <c r="C4178" s="9" t="inlineStr">
        <is>
          <t>2026-05-15</t>
        </is>
      </c>
      <c r="D4178" s="9" t="inlineStr">
        <is>
          <t>65332801087437</t>
        </is>
      </c>
      <c r="E4178" s="9" t="inlineStr">
        <is>
          <t>RELOJ PANTHERE GOLD ZIRCONIA</t>
        </is>
      </c>
      <c r="F4178" s="9" t="inlineStr">
        <is>
          <t>HIGH QUALITY CON CAJA</t>
        </is>
      </c>
      <c r="G4178" s="9" t="n">
        <v>1</v>
      </c>
      <c r="H4178" s="21" t="n">
        <v>60</v>
      </c>
      <c r="I4178" s="21" t="n">
        <v>1590.28</v>
      </c>
      <c r="J4178" s="21" t="n">
        <v>4770.83</v>
      </c>
      <c r="K4178" s="21" t="n">
        <v>5565.97</v>
      </c>
      <c r="L4178" s="21" t="n">
        <v>6361.11</v>
      </c>
      <c r="M4178" s="21" t="n">
        <v>6369</v>
      </c>
    </row>
    <row r="4179">
      <c r="A4179" s="9" t="inlineStr">
        <is>
          <t>ZOEY</t>
        </is>
      </c>
      <c r="B4179" s="9" t="inlineStr">
        <is>
          <t>ZOEY 15/05/2026</t>
        </is>
      </c>
      <c r="C4179" s="9" t="inlineStr">
        <is>
          <t>2026-05-15</t>
        </is>
      </c>
      <c r="D4179" s="9" t="inlineStr">
        <is>
          <t>71264750638476</t>
        </is>
      </c>
      <c r="E4179" s="9" t="inlineStr">
        <is>
          <t>RELOJ RX OYSTER PERPETUAL GREEN</t>
        </is>
      </c>
      <c r="F4179" s="9" t="inlineStr">
        <is>
          <t>RELOJ CON CAJA</t>
        </is>
      </c>
      <c r="G4179" s="9" t="n">
        <v>2</v>
      </c>
      <c r="H4179" s="21" t="n">
        <v>42</v>
      </c>
      <c r="I4179" s="21" t="n">
        <v>1113.19</v>
      </c>
      <c r="J4179" s="21" t="n">
        <v>3339.58</v>
      </c>
      <c r="K4179" s="21" t="n">
        <v>3896.18</v>
      </c>
      <c r="L4179" s="21" t="n">
        <v>4452.78</v>
      </c>
      <c r="M4179" s="21" t="n">
        <v>5510</v>
      </c>
    </row>
    <row r="4180">
      <c r="A4180" s="9" t="inlineStr">
        <is>
          <t>ZOEY</t>
        </is>
      </c>
      <c r="B4180" s="9" t="inlineStr">
        <is>
          <t>ZOEY 15/05/2026</t>
        </is>
      </c>
      <c r="C4180" s="9" t="inlineStr">
        <is>
          <t>2026-05-15</t>
        </is>
      </c>
      <c r="D4180" s="9" t="inlineStr">
        <is>
          <t>67535d35b8818</t>
        </is>
      </c>
      <c r="E4180" s="9" t="inlineStr">
        <is>
          <t>RELOJ SERPENTI SEDUTTORI</t>
        </is>
      </c>
      <c r="F4180" s="9" t="inlineStr">
        <is>
          <t>RELOJ SIN CAJA</t>
        </is>
      </c>
      <c r="G4180" s="9" t="n">
        <v>6</v>
      </c>
      <c r="H4180" s="21" t="n">
        <v>58</v>
      </c>
      <c r="I4180" s="21" t="n">
        <v>1537.27</v>
      </c>
      <c r="J4180" s="21" t="n">
        <v>4611.8</v>
      </c>
      <c r="K4180" s="21" t="n">
        <v>5380.44</v>
      </c>
      <c r="L4180" s="21" t="n">
        <v>6149.07</v>
      </c>
      <c r="M4180" s="21" t="n">
        <v>5380.44</v>
      </c>
    </row>
    <row r="4181">
      <c r="A4181" s="9" t="inlineStr">
        <is>
          <t>ZOEY</t>
        </is>
      </c>
      <c r="B4181" s="9" t="inlineStr">
        <is>
          <t>ZOEY 15/05/2026</t>
        </is>
      </c>
      <c r="C4181" s="9" t="inlineStr">
        <is>
          <t>2026-05-15</t>
        </is>
      </c>
      <c r="D4181" s="9" t="inlineStr">
        <is>
          <t>34762981018093</t>
        </is>
      </c>
      <c r="E4181" s="9" t="inlineStr">
        <is>
          <t>RELOJ TANK CR BLACK GOLD CROCODILE</t>
        </is>
      </c>
      <c r="F4181" s="9" t="inlineStr"/>
      <c r="G4181" s="9" t="n">
        <v>3</v>
      </c>
      <c r="H4181" s="21" t="n">
        <v>35</v>
      </c>
      <c r="I4181" s="21" t="n">
        <v>927.66</v>
      </c>
      <c r="J4181" s="21" t="n">
        <v>2782.99</v>
      </c>
      <c r="K4181" s="21" t="n">
        <v>3246.82</v>
      </c>
      <c r="L4181" s="21" t="n">
        <v>3710.65</v>
      </c>
      <c r="M4181" s="21" t="n">
        <v>3720</v>
      </c>
    </row>
    <row r="4182">
      <c r="A4182" s="9" t="inlineStr">
        <is>
          <t>ZOEY</t>
        </is>
      </c>
      <c r="B4182" s="9" t="inlineStr">
        <is>
          <t>ZOEY 15/05/2026</t>
        </is>
      </c>
      <c r="C4182" s="9" t="inlineStr">
        <is>
          <t>2026-05-15</t>
        </is>
      </c>
      <c r="D4182" s="9" t="inlineStr">
        <is>
          <t>42834310237836</t>
        </is>
      </c>
      <c r="E4182" s="9" t="inlineStr">
        <is>
          <t>SANDALIAS CD MULE</t>
        </is>
      </c>
      <c r="F4182" s="9" t="inlineStr">
        <is>
          <t>25cm</t>
        </is>
      </c>
      <c r="G4182" s="9" t="n">
        <v>2</v>
      </c>
      <c r="H4182" s="21" t="n">
        <v>35</v>
      </c>
      <c r="I4182" s="21" t="n">
        <v>927.66</v>
      </c>
      <c r="J4182" s="21" t="n">
        <v>2782.99</v>
      </c>
      <c r="K4182" s="21" t="n">
        <v>3246.82</v>
      </c>
      <c r="L4182" s="21" t="n">
        <v>3710.65</v>
      </c>
      <c r="M4182" s="21" t="n">
        <v>3719</v>
      </c>
    </row>
    <row r="4183">
      <c r="A4183" s="9" t="inlineStr">
        <is>
          <t>ZOEY</t>
        </is>
      </c>
      <c r="B4183" s="9" t="inlineStr">
        <is>
          <t>ZOEY 15/05/2026</t>
        </is>
      </c>
      <c r="C4183" s="9" t="inlineStr">
        <is>
          <t>2026-05-15</t>
        </is>
      </c>
      <c r="D4183" s="9" t="inlineStr">
        <is>
          <t>42834310205068</t>
        </is>
      </c>
      <c r="E4183" s="9" t="inlineStr">
        <is>
          <t>SANDALIAS CD MULE</t>
        </is>
      </c>
      <c r="F4183" s="9" t="inlineStr">
        <is>
          <t>24cm</t>
        </is>
      </c>
      <c r="G4183" s="9" t="n">
        <v>3</v>
      </c>
      <c r="H4183" s="21" t="n">
        <v>35</v>
      </c>
      <c r="I4183" s="21" t="n">
        <v>927.66</v>
      </c>
      <c r="J4183" s="21" t="n">
        <v>2782.99</v>
      </c>
      <c r="K4183" s="21" t="n">
        <v>3246.82</v>
      </c>
      <c r="L4183" s="21" t="n">
        <v>3710.65</v>
      </c>
      <c r="M4183" s="21" t="n">
        <v>3719</v>
      </c>
    </row>
    <row r="4184">
      <c r="A4184" s="9" t="inlineStr">
        <is>
          <t>ZOEY</t>
        </is>
      </c>
      <c r="B4184" s="9" t="inlineStr">
        <is>
          <t>ZOEY 15/05/2026</t>
        </is>
      </c>
      <c r="C4184" s="9" t="inlineStr">
        <is>
          <t>2026-05-15</t>
        </is>
      </c>
      <c r="D4184" s="9" t="inlineStr">
        <is>
          <t>23025461105261</t>
        </is>
      </c>
      <c r="E4184" s="9" t="inlineStr">
        <is>
          <t>SANDALIAS H CHYPRE</t>
        </is>
      </c>
      <c r="F4184" s="9" t="inlineStr">
        <is>
          <t>42/8MX</t>
        </is>
      </c>
      <c r="G4184" s="9" t="n">
        <v>1</v>
      </c>
      <c r="H4184" s="21" t="n">
        <v>45</v>
      </c>
      <c r="I4184" s="21" t="n">
        <v>1192.71</v>
      </c>
      <c r="J4184" s="21" t="n">
        <v>3578.12</v>
      </c>
      <c r="K4184" s="21" t="n">
        <v>4174.48</v>
      </c>
      <c r="L4184" s="21" t="n">
        <v>4770.83</v>
      </c>
      <c r="M4184" s="21" t="n">
        <v>4775</v>
      </c>
    </row>
    <row r="4185">
      <c r="A4185" s="9" t="inlineStr">
        <is>
          <t>ZOEY</t>
        </is>
      </c>
      <c r="B4185" s="9" t="inlineStr">
        <is>
          <t>ZOEY 15/05/2026</t>
        </is>
      </c>
      <c r="C4185" s="9" t="inlineStr">
        <is>
          <t>2026-05-15</t>
        </is>
      </c>
      <c r="D4185" s="9" t="inlineStr">
        <is>
          <t>23025461238029</t>
        </is>
      </c>
      <c r="E4185" s="9" t="inlineStr">
        <is>
          <t>SANDALIAS H CHYPRE</t>
        </is>
      </c>
      <c r="F4185" s="9" t="inlineStr">
        <is>
          <t>44/9MX</t>
        </is>
      </c>
      <c r="G4185" s="9" t="n">
        <v>1</v>
      </c>
      <c r="H4185" s="21" t="n">
        <v>45</v>
      </c>
      <c r="I4185" s="21" t="n">
        <v>1192.71</v>
      </c>
      <c r="J4185" s="21" t="n">
        <v>3578.12</v>
      </c>
      <c r="K4185" s="21" t="n">
        <v>4174.48</v>
      </c>
      <c r="L4185" s="21" t="n">
        <v>4770.83</v>
      </c>
      <c r="M4185" s="21" t="n">
        <v>4775</v>
      </c>
    </row>
    <row r="4186">
      <c r="A4186" s="9" t="inlineStr">
        <is>
          <t>ZOEY</t>
        </is>
      </c>
      <c r="B4186" s="9" t="inlineStr">
        <is>
          <t>ZOEY 15/05/2026</t>
        </is>
      </c>
      <c r="C4186" s="9" t="inlineStr">
        <is>
          <t>2026-05-15</t>
        </is>
      </c>
      <c r="D4186" s="9" t="inlineStr">
        <is>
          <t>33794532055533</t>
        </is>
      </c>
      <c r="E4186" s="9" t="inlineStr">
        <is>
          <t>TARJETERO MM NAPA</t>
        </is>
      </c>
      <c r="F4186" s="9" t="inlineStr">
        <is>
          <t>Default Title</t>
        </is>
      </c>
      <c r="G4186" s="9" t="n">
        <v>2</v>
      </c>
      <c r="H4186" s="21" t="n">
        <v>15</v>
      </c>
      <c r="I4186" s="21" t="n">
        <v>397.57</v>
      </c>
      <c r="J4186" s="21" t="n">
        <v>1192.71</v>
      </c>
      <c r="K4186" s="21" t="n">
        <v>1391.49</v>
      </c>
      <c r="L4186" s="21" t="n">
        <v>1590.28</v>
      </c>
      <c r="M4186" s="21" t="n">
        <v>1599</v>
      </c>
    </row>
    <row r="4187">
      <c r="A4187" s="9" t="inlineStr">
        <is>
          <t>ZOEY</t>
        </is>
      </c>
      <c r="B4187" s="9" t="inlineStr">
        <is>
          <t>ZOEY 15/05/2026</t>
        </is>
      </c>
      <c r="C4187" s="9" t="inlineStr">
        <is>
          <t>2026-05-15</t>
        </is>
      </c>
      <c r="D4187" s="9" t="inlineStr">
        <is>
          <t>23025461529549</t>
        </is>
      </c>
      <c r="E4187" s="9" t="inlineStr">
        <is>
          <t>TENIS H BOUNCING BLACK</t>
        </is>
      </c>
      <c r="F4187" s="9" t="inlineStr">
        <is>
          <t>42/8MX</t>
        </is>
      </c>
      <c r="G4187" s="9" t="n">
        <v>1</v>
      </c>
      <c r="H4187" s="21" t="n">
        <v>60</v>
      </c>
      <c r="I4187" s="21" t="n">
        <v>1590.28</v>
      </c>
      <c r="J4187" s="21" t="n">
        <v>4770.83</v>
      </c>
      <c r="K4187" s="21" t="n">
        <v>5565.97</v>
      </c>
      <c r="L4187" s="21" t="n">
        <v>6361.11</v>
      </c>
      <c r="M4187" s="21" t="n">
        <v>6369</v>
      </c>
    </row>
    <row r="4188">
      <c r="A4188" s="9" t="inlineStr">
        <is>
          <t>ZOEY</t>
        </is>
      </c>
      <c r="B4188" s="9" t="inlineStr">
        <is>
          <t>ZOEY 15/05/2026</t>
        </is>
      </c>
      <c r="C4188" s="9" t="inlineStr">
        <is>
          <t>2026-05-15</t>
        </is>
      </c>
      <c r="D4188" s="9" t="inlineStr">
        <is>
          <t>23025461662317</t>
        </is>
      </c>
      <c r="E4188" s="9" t="inlineStr">
        <is>
          <t>TENIS H BOUNCING BLACK</t>
        </is>
      </c>
      <c r="F4188" s="9" t="inlineStr">
        <is>
          <t>44/9MX</t>
        </is>
      </c>
      <c r="G4188" s="9" t="n">
        <v>1</v>
      </c>
      <c r="H4188" s="21" t="n">
        <v>60</v>
      </c>
      <c r="I4188" s="21" t="n">
        <v>1590.28</v>
      </c>
      <c r="J4188" s="21" t="n">
        <v>4770.83</v>
      </c>
      <c r="K4188" s="21" t="n">
        <v>5565.97</v>
      </c>
      <c r="L4188" s="21" t="n">
        <v>6361.11</v>
      </c>
      <c r="M4188" s="21" t="n">
        <v>6369</v>
      </c>
    </row>
    <row r="4189">
      <c r="A4189" s="9" t="inlineStr">
        <is>
          <t>ZOEY</t>
        </is>
      </c>
      <c r="B4189" s="9" t="inlineStr">
        <is>
          <t>ZOEY 15/05/2026</t>
        </is>
      </c>
      <c r="C4189" s="9" t="inlineStr">
        <is>
          <t>2026-05-15</t>
        </is>
      </c>
      <c r="D4189" s="9" t="inlineStr">
        <is>
          <t>23025461332941</t>
        </is>
      </c>
      <c r="E4189" s="9" t="inlineStr">
        <is>
          <t>TENIS H BOUNCING WHITE</t>
        </is>
      </c>
      <c r="F4189" s="9" t="inlineStr">
        <is>
          <t>42/8MX</t>
        </is>
      </c>
      <c r="G4189" s="9" t="n">
        <v>1</v>
      </c>
      <c r="H4189" s="21" t="n">
        <v>60</v>
      </c>
      <c r="I4189" s="21" t="n">
        <v>1590.28</v>
      </c>
      <c r="J4189" s="21" t="n">
        <v>4770.83</v>
      </c>
      <c r="K4189" s="21" t="n">
        <v>5565.97</v>
      </c>
      <c r="L4189" s="21" t="n">
        <v>6361.11</v>
      </c>
      <c r="M4189" s="21" t="n">
        <v>6369</v>
      </c>
    </row>
    <row r="4190">
      <c r="A4190" s="9" t="inlineStr">
        <is>
          <t>ZOEY</t>
        </is>
      </c>
      <c r="B4190" s="9" t="inlineStr">
        <is>
          <t>ZOEY 15/05/2026</t>
        </is>
      </c>
      <c r="C4190" s="9" t="inlineStr">
        <is>
          <t>2026-05-15</t>
        </is>
      </c>
      <c r="D4190" s="9" t="inlineStr">
        <is>
          <t>23025461465709</t>
        </is>
      </c>
      <c r="E4190" s="9" t="inlineStr">
        <is>
          <t>TENIS H BOUNCING WHITE</t>
        </is>
      </c>
      <c r="F4190" s="9" t="inlineStr">
        <is>
          <t>44/9MX</t>
        </is>
      </c>
      <c r="G4190" s="9" t="n">
        <v>1</v>
      </c>
      <c r="H4190" s="21" t="n">
        <v>60</v>
      </c>
      <c r="I4190" s="21" t="n">
        <v>1590.28</v>
      </c>
      <c r="J4190" s="21" t="n">
        <v>4770.83</v>
      </c>
      <c r="K4190" s="21" t="n">
        <v>5565.97</v>
      </c>
      <c r="L4190" s="21" t="n">
        <v>6361.11</v>
      </c>
      <c r="M4190" s="21" t="n">
        <v>6369</v>
      </c>
    </row>
    <row r="4191">
      <c r="A4191" s="9" t="inlineStr">
        <is>
          <t>ZOEY</t>
        </is>
      </c>
      <c r="B4191" s="9" t="inlineStr">
        <is>
          <t>ZOEY 15/05/2026</t>
        </is>
      </c>
      <c r="C4191" s="9" t="inlineStr">
        <is>
          <t>2026-05-15</t>
        </is>
      </c>
      <c r="D4191" s="9" t="inlineStr">
        <is>
          <t>23025461018285</t>
        </is>
      </c>
      <c r="E4191" s="9" t="inlineStr">
        <is>
          <t>TENIS LV CLASSIC</t>
        </is>
      </c>
      <c r="F4191" s="9" t="inlineStr">
        <is>
          <t>42/8MX</t>
        </is>
      </c>
      <c r="G4191" s="9" t="n">
        <v>1</v>
      </c>
      <c r="H4191" s="21" t="n">
        <v>63</v>
      </c>
      <c r="I4191" s="21" t="n">
        <v>1669.79</v>
      </c>
      <c r="J4191" s="21" t="n">
        <v>5009.37</v>
      </c>
      <c r="K4191" s="21" t="n">
        <v>5844.27</v>
      </c>
      <c r="L4191" s="21" t="n">
        <v>6679.17</v>
      </c>
      <c r="M4191" s="21" t="n">
        <v>6680</v>
      </c>
    </row>
    <row r="4192">
      <c r="A4192" s="9" t="inlineStr">
        <is>
          <t>ZOEY</t>
        </is>
      </c>
      <c r="B4192" s="9" t="inlineStr">
        <is>
          <t>ZOEY 15/05/2026</t>
        </is>
      </c>
      <c r="C4192" s="9" t="inlineStr">
        <is>
          <t>2026-05-15</t>
        </is>
      </c>
      <c r="D4192" s="9" t="inlineStr">
        <is>
          <t>47685124125580</t>
        </is>
      </c>
      <c r="E4192" s="9" t="inlineStr">
        <is>
          <t>TRAJE DE BAÑO CD</t>
        </is>
      </c>
      <c r="F4192" s="9" t="inlineStr">
        <is>
          <t>M</t>
        </is>
      </c>
      <c r="G4192" s="9" t="n">
        <v>2</v>
      </c>
      <c r="H4192" s="21" t="n">
        <v>25</v>
      </c>
      <c r="I4192" s="21" t="n">
        <v>662.62</v>
      </c>
      <c r="J4192" s="21" t="n">
        <v>1987.85</v>
      </c>
      <c r="K4192" s="21" t="n">
        <v>2319.15</v>
      </c>
      <c r="L4192" s="21" t="n">
        <v>2650.46</v>
      </c>
      <c r="M4192" s="21" t="n">
        <v>2659</v>
      </c>
    </row>
    <row r="4193">
      <c r="A4193" s="9" t="inlineStr">
        <is>
          <t>ZOEY</t>
        </is>
      </c>
      <c r="B4193" s="9" t="inlineStr">
        <is>
          <t>ZOEY 15/05/2026</t>
        </is>
      </c>
      <c r="C4193" s="9" t="inlineStr">
        <is>
          <t>2026-05-15</t>
        </is>
      </c>
      <c r="D4193" s="9" t="inlineStr">
        <is>
          <t>47685114092812</t>
        </is>
      </c>
      <c r="E4193" s="9" t="inlineStr">
        <is>
          <t>TRAJE DE BAÑO CD</t>
        </is>
      </c>
      <c r="F4193" s="9" t="inlineStr">
        <is>
          <t>S</t>
        </is>
      </c>
      <c r="G4193" s="9" t="n">
        <v>1</v>
      </c>
      <c r="H4193" s="21" t="n">
        <v>25</v>
      </c>
      <c r="I4193" s="21" t="n">
        <v>662.62</v>
      </c>
      <c r="J4193" s="21" t="n">
        <v>1987.85</v>
      </c>
      <c r="K4193" s="21" t="n">
        <v>2319.15</v>
      </c>
      <c r="L4193" s="21" t="n">
        <v>2650.46</v>
      </c>
      <c r="M4193" s="21" t="n">
        <v>2659</v>
      </c>
    </row>
    <row r="4194">
      <c r="A4194" s="9" t="inlineStr">
        <is>
          <t>ZOEY</t>
        </is>
      </c>
      <c r="B4194" s="9" t="inlineStr">
        <is>
          <t>ZOEY 15/05/2026</t>
        </is>
      </c>
      <c r="C4194" s="9" t="inlineStr">
        <is>
          <t>2026-05-15</t>
        </is>
      </c>
      <c r="D4194" s="9" t="inlineStr">
        <is>
          <t>70693391064173</t>
        </is>
      </c>
      <c r="E4194" s="9" t="inlineStr">
        <is>
          <t>TRAJE DE BAÑO COMPLETO DG</t>
        </is>
      </c>
      <c r="F4194" s="9" t="inlineStr">
        <is>
          <t>L</t>
        </is>
      </c>
      <c r="G4194" s="9" t="n">
        <v>2</v>
      </c>
      <c r="H4194" s="21" t="n">
        <v>25</v>
      </c>
      <c r="I4194" s="21" t="n">
        <v>662.62</v>
      </c>
      <c r="J4194" s="21" t="n">
        <v>1987.85</v>
      </c>
      <c r="K4194" s="21" t="n">
        <v>2319.15</v>
      </c>
      <c r="L4194" s="21" t="n">
        <v>2650.46</v>
      </c>
      <c r="M4194" s="21" t="n">
        <v>2659</v>
      </c>
    </row>
    <row r="4195">
      <c r="A4195" s="9" t="inlineStr">
        <is>
          <t>ZOEY</t>
        </is>
      </c>
      <c r="B4195" s="9" t="inlineStr">
        <is>
          <t>ZOEY 15/05/2026</t>
        </is>
      </c>
      <c r="C4195" s="9" t="inlineStr">
        <is>
          <t>2026-05-15</t>
        </is>
      </c>
      <c r="D4195" s="9" t="inlineStr">
        <is>
          <t>77590344914188</t>
        </is>
      </c>
      <c r="E4195" s="9" t="inlineStr">
        <is>
          <t>TRAJE DE BAÑO COMPLETO DG</t>
        </is>
      </c>
      <c r="F4195" s="9" t="inlineStr">
        <is>
          <t>M</t>
        </is>
      </c>
      <c r="G4195" s="9" t="n">
        <v>1</v>
      </c>
      <c r="H4195" s="21" t="n">
        <v>25</v>
      </c>
      <c r="I4195" s="21" t="n">
        <v>662.62</v>
      </c>
      <c r="J4195" s="21" t="n">
        <v>1987.85</v>
      </c>
      <c r="K4195" s="21" t="n">
        <v>2319.15</v>
      </c>
      <c r="L4195" s="21" t="n">
        <v>2650.46</v>
      </c>
      <c r="M4195" s="21" t="n">
        <v>2659</v>
      </c>
    </row>
    <row r="4196">
      <c r="A4196" s="9" t="inlineStr">
        <is>
          <t>ZOEY</t>
        </is>
      </c>
      <c r="B4196" s="9" t="inlineStr">
        <is>
          <t>ZOEY 15/05/2026</t>
        </is>
      </c>
      <c r="C4196" s="9" t="inlineStr">
        <is>
          <t>2026-05-15</t>
        </is>
      </c>
      <c r="D4196" s="9" t="inlineStr">
        <is>
          <t>69428801043277</t>
        </is>
      </c>
      <c r="E4196" s="9" t="inlineStr">
        <is>
          <t>TRAJE DE BAÑO F</t>
        </is>
      </c>
      <c r="F4196" s="9" t="inlineStr">
        <is>
          <t>L</t>
        </is>
      </c>
      <c r="G4196" s="9" t="n">
        <v>3</v>
      </c>
      <c r="H4196" s="21" t="n">
        <v>25</v>
      </c>
      <c r="I4196" s="21" t="n">
        <v>662.62</v>
      </c>
      <c r="J4196" s="21" t="n">
        <v>1987.85</v>
      </c>
      <c r="K4196" s="21" t="n">
        <v>2319.15</v>
      </c>
      <c r="L4196" s="21" t="n">
        <v>2650.46</v>
      </c>
      <c r="M4196" s="21" t="n">
        <v>2659</v>
      </c>
    </row>
    <row r="4197">
      <c r="A4197" s="9" t="inlineStr">
        <is>
          <t>ZOEY</t>
        </is>
      </c>
      <c r="B4197" s="9" t="inlineStr">
        <is>
          <t>ZOEY 15/05/2026</t>
        </is>
      </c>
      <c r="C4197" s="9" t="inlineStr">
        <is>
          <t>2026-05-15</t>
        </is>
      </c>
      <c r="D4197" s="9" t="inlineStr">
        <is>
          <t>77590343909900</t>
        </is>
      </c>
      <c r="E4197" s="9" t="inlineStr">
        <is>
          <t>TRAJE DE BAÑO F</t>
        </is>
      </c>
      <c r="F4197" s="9" t="inlineStr">
        <is>
          <t>S</t>
        </is>
      </c>
      <c r="G4197" s="9" t="n">
        <v>2</v>
      </c>
      <c r="H4197" s="21" t="n">
        <v>25</v>
      </c>
      <c r="I4197" s="21" t="n">
        <v>662.62</v>
      </c>
      <c r="J4197" s="21" t="n">
        <v>1987.85</v>
      </c>
      <c r="K4197" s="21" t="n">
        <v>2319.15</v>
      </c>
      <c r="L4197" s="21" t="n">
        <v>2650.46</v>
      </c>
      <c r="M4197" s="21" t="n">
        <v>2659</v>
      </c>
    </row>
    <row r="4198">
      <c r="A4198" s="9" t="inlineStr">
        <is>
          <t>ZOEY</t>
        </is>
      </c>
      <c r="B4198" s="9" t="inlineStr">
        <is>
          <t>ZOEY 15/05/2026</t>
        </is>
      </c>
      <c r="C4198" s="9" t="inlineStr">
        <is>
          <t>2026-05-15</t>
        </is>
      </c>
      <c r="D4198" s="9" t="inlineStr">
        <is>
          <t>77590341729932</t>
        </is>
      </c>
      <c r="E4198" s="9" t="inlineStr">
        <is>
          <t>TRAJE DE BAÑO F MEN</t>
        </is>
      </c>
      <c r="F4198" s="9" t="inlineStr">
        <is>
          <t>L</t>
        </is>
      </c>
      <c r="G4198" s="9" t="n">
        <v>2</v>
      </c>
      <c r="H4198" s="21" t="n">
        <v>30</v>
      </c>
      <c r="I4198" s="21" t="n">
        <v>795.14</v>
      </c>
      <c r="J4198" s="21" t="n">
        <v>2385.42</v>
      </c>
      <c r="K4198" s="21" t="n">
        <v>2782.99</v>
      </c>
      <c r="L4198" s="21" t="n">
        <v>3180.55</v>
      </c>
      <c r="M4198" s="21" t="n">
        <v>3189</v>
      </c>
    </row>
    <row r="4199">
      <c r="A4199" s="9" t="inlineStr">
        <is>
          <t>ZOEY</t>
        </is>
      </c>
      <c r="B4199" s="9" t="inlineStr">
        <is>
          <t>ZOEY 15/05/2026</t>
        </is>
      </c>
      <c r="C4199" s="9" t="inlineStr">
        <is>
          <t>2026-05-15</t>
        </is>
      </c>
      <c r="D4199" s="9" t="inlineStr">
        <is>
          <t>77590341697164</t>
        </is>
      </c>
      <c r="E4199" s="9" t="inlineStr">
        <is>
          <t>TRAJE DE BAÑO F MEN</t>
        </is>
      </c>
      <c r="F4199" s="9" t="inlineStr">
        <is>
          <t>M</t>
        </is>
      </c>
      <c r="G4199" s="9" t="n">
        <v>1</v>
      </c>
      <c r="H4199" s="21" t="n">
        <v>30</v>
      </c>
      <c r="I4199" s="21" t="n">
        <v>795.14</v>
      </c>
      <c r="J4199" s="21" t="n">
        <v>2385.42</v>
      </c>
      <c r="K4199" s="21" t="n">
        <v>2782.99</v>
      </c>
      <c r="L4199" s="21" t="n">
        <v>3180.55</v>
      </c>
      <c r="M4199" s="21" t="n">
        <v>3189</v>
      </c>
    </row>
    <row r="4200">
      <c r="A4200" s="9" t="inlineStr">
        <is>
          <t>ZOEY</t>
        </is>
      </c>
      <c r="B4200" s="9" t="inlineStr">
        <is>
          <t>ZOEY 15/05/2026</t>
        </is>
      </c>
      <c r="C4200" s="9" t="inlineStr">
        <is>
          <t>2026-05-15</t>
        </is>
      </c>
      <c r="D4200" s="9" t="inlineStr">
        <is>
          <t>72002488652044</t>
        </is>
      </c>
      <c r="E4200" s="9" t="inlineStr">
        <is>
          <t>ZAPATILLA J’ADIOR</t>
        </is>
      </c>
      <c r="F4200" s="9" t="inlineStr">
        <is>
          <t>24cm</t>
        </is>
      </c>
      <c r="G4200" s="9" t="n">
        <v>2</v>
      </c>
      <c r="H4200" s="21" t="n">
        <v>58</v>
      </c>
      <c r="I4200" s="21" t="n">
        <v>1537.27</v>
      </c>
      <c r="J4200" s="21" t="n">
        <v>4611.8</v>
      </c>
      <c r="K4200" s="21" t="n">
        <v>5380.44</v>
      </c>
      <c r="L4200" s="21" t="n">
        <v>6149.07</v>
      </c>
      <c r="M4200" s="21" t="n">
        <v>6150</v>
      </c>
    </row>
    <row r="4201">
      <c r="A4201" s="9" t="inlineStr">
        <is>
          <t>HAIFENG</t>
        </is>
      </c>
      <c r="B4201" s="9" t="inlineStr">
        <is>
          <t>HAIFENG 26/05/2026</t>
        </is>
      </c>
      <c r="C4201" s="9" t="inlineStr">
        <is>
          <t>2026-05-26</t>
        </is>
      </c>
      <c r="D4201" s="9" t="inlineStr">
        <is>
          <t>64085742576813</t>
        </is>
      </c>
      <c r="E4201" s="9" t="inlineStr">
        <is>
          <t>ANILLO ALLIANCE CON ZIRCONIA ROSE GOLD C</t>
        </is>
      </c>
      <c r="F4201" s="9" t="inlineStr">
        <is>
          <t>7</t>
        </is>
      </c>
      <c r="G4201" s="9" t="n">
        <v>2</v>
      </c>
      <c r="H4201" s="21" t="n">
        <v>2</v>
      </c>
      <c r="I4201" s="21" t="n">
        <v>41.98</v>
      </c>
      <c r="J4201" s="21" t="n">
        <v>125.94</v>
      </c>
      <c r="K4201" s="21" t="n">
        <v>146.93</v>
      </c>
      <c r="L4201" s="21" t="n">
        <v>167.91</v>
      </c>
      <c r="M4201" s="21" t="n">
        <v>450</v>
      </c>
    </row>
    <row r="4202">
      <c r="A4202" s="9" t="inlineStr">
        <is>
          <t>HAIFENG</t>
        </is>
      </c>
      <c r="B4202" s="9" t="inlineStr">
        <is>
          <t>HAIFENG 26/05/2026</t>
        </is>
      </c>
      <c r="C4202" s="9" t="inlineStr">
        <is>
          <t>2026-05-26</t>
        </is>
      </c>
      <c r="D4202" s="9" t="inlineStr">
        <is>
          <t>64085742826829</t>
        </is>
      </c>
      <c r="E4202" s="9" t="inlineStr">
        <is>
          <t>ANILLO ALLIANCE ROSE GOLD C</t>
        </is>
      </c>
      <c r="F4202" s="9" t="inlineStr">
        <is>
          <t>7</t>
        </is>
      </c>
      <c r="G4202" s="9" t="n">
        <v>2</v>
      </c>
      <c r="H4202" s="21" t="n">
        <v>2</v>
      </c>
      <c r="I4202" s="21" t="n">
        <v>41.98</v>
      </c>
      <c r="J4202" s="21" t="n">
        <v>125.94</v>
      </c>
      <c r="K4202" s="21" t="n">
        <v>146.93</v>
      </c>
      <c r="L4202" s="21" t="n">
        <v>167.91</v>
      </c>
      <c r="M4202" s="21" t="n">
        <v>400</v>
      </c>
    </row>
    <row r="4203">
      <c r="A4203" s="9" t="inlineStr">
        <is>
          <t>HAIFENG</t>
        </is>
      </c>
      <c r="B4203" s="9" t="inlineStr">
        <is>
          <t>HAIFENG 26/05/2026</t>
        </is>
      </c>
      <c r="C4203" s="9" t="inlineStr">
        <is>
          <t>2026-05-26</t>
        </is>
      </c>
      <c r="D4203" s="9" t="inlineStr">
        <is>
          <t>21605774283693</t>
        </is>
      </c>
      <c r="E4203" s="9" t="inlineStr">
        <is>
          <t>ANILLO BACK SOON T SILVER</t>
        </is>
      </c>
      <c r="F4203" s="9" t="inlineStr">
        <is>
          <t>6</t>
        </is>
      </c>
      <c r="G4203" s="9" t="n">
        <v>2</v>
      </c>
      <c r="H4203" s="21" t="n">
        <v>3</v>
      </c>
      <c r="I4203" s="21" t="n">
        <v>62.97</v>
      </c>
      <c r="J4203" s="21" t="n">
        <v>188.9</v>
      </c>
      <c r="K4203" s="21" t="n">
        <v>220.39</v>
      </c>
      <c r="L4203" s="21" t="n">
        <v>251.87</v>
      </c>
      <c r="M4203" s="21" t="n">
        <v>450</v>
      </c>
    </row>
    <row r="4204">
      <c r="A4204" s="9" t="inlineStr">
        <is>
          <t>HAIFENG</t>
        </is>
      </c>
      <c r="B4204" s="9" t="inlineStr">
        <is>
          <t>HAIFENG 26/05/2026</t>
        </is>
      </c>
      <c r="C4204" s="9" t="inlineStr">
        <is>
          <t>2026-05-26</t>
        </is>
      </c>
      <c r="D4204" s="9" t="inlineStr">
        <is>
          <t>22064322713293</t>
        </is>
      </c>
      <c r="E4204" s="9" t="inlineStr">
        <is>
          <t>ANILLO BV ROSE GOLD PEARL</t>
        </is>
      </c>
      <c r="F4204" s="9" t="inlineStr">
        <is>
          <t>7</t>
        </is>
      </c>
      <c r="G4204" s="9" t="n">
        <v>2</v>
      </c>
      <c r="H4204" s="21" t="n">
        <v>8</v>
      </c>
      <c r="I4204" s="21" t="n">
        <v>167.91</v>
      </c>
      <c r="J4204" s="21" t="n">
        <v>503.74</v>
      </c>
      <c r="K4204" s="21" t="n">
        <v>587.7</v>
      </c>
      <c r="L4204" s="21" t="n">
        <v>671.66</v>
      </c>
      <c r="M4204" s="21" t="n">
        <v>750</v>
      </c>
    </row>
    <row r="4205">
      <c r="A4205" s="9" t="inlineStr">
        <is>
          <t>HAIFENG</t>
        </is>
      </c>
      <c r="B4205" s="9" t="inlineStr">
        <is>
          <t>HAIFENG 26/05/2026</t>
        </is>
      </c>
      <c r="C4205" s="9" t="inlineStr">
        <is>
          <t>2026-05-26</t>
        </is>
      </c>
      <c r="D4205" s="9" t="inlineStr">
        <is>
          <t>35432871441773</t>
        </is>
      </c>
      <c r="E4205" s="9" t="inlineStr">
        <is>
          <t>ANILLO CC COCO CRUSH ROSE GOLD-SILVER</t>
        </is>
      </c>
      <c r="F4205" s="9" t="inlineStr">
        <is>
          <t>6</t>
        </is>
      </c>
      <c r="G4205" s="9" t="n">
        <v>2</v>
      </c>
      <c r="H4205" s="21" t="n">
        <v>10</v>
      </c>
      <c r="I4205" s="21" t="n">
        <v>209.89</v>
      </c>
      <c r="J4205" s="21" t="n">
        <v>629.6799999999999</v>
      </c>
      <c r="K4205" s="21" t="n">
        <v>734.63</v>
      </c>
      <c r="L4205" s="21" t="n">
        <v>839.5700000000001</v>
      </c>
      <c r="M4205" s="21" t="n">
        <v>850</v>
      </c>
    </row>
    <row r="4206">
      <c r="A4206" s="9" t="inlineStr">
        <is>
          <t>HAIFENG</t>
        </is>
      </c>
      <c r="B4206" s="9" t="inlineStr">
        <is>
          <t>HAIFENG 26/05/2026</t>
        </is>
      </c>
      <c r="C4206" s="9" t="inlineStr">
        <is>
          <t>2026-05-26</t>
        </is>
      </c>
      <c r="D4206" s="9" t="inlineStr">
        <is>
          <t>35432871574541</t>
        </is>
      </c>
      <c r="E4206" s="9" t="inlineStr">
        <is>
          <t>ANILLO CC COCO CRUSH ROSE GOLD-SILVER</t>
        </is>
      </c>
      <c r="F4206" s="9" t="inlineStr">
        <is>
          <t>7</t>
        </is>
      </c>
      <c r="G4206" s="9" t="n">
        <v>2</v>
      </c>
      <c r="H4206" s="21" t="n">
        <v>10</v>
      </c>
      <c r="I4206" s="21" t="n">
        <v>209.89</v>
      </c>
      <c r="J4206" s="21" t="n">
        <v>629.6799999999999</v>
      </c>
      <c r="K4206" s="21" t="n">
        <v>734.63</v>
      </c>
      <c r="L4206" s="21" t="n">
        <v>839.5700000000001</v>
      </c>
      <c r="M4206" s="21" t="n">
        <v>850</v>
      </c>
    </row>
    <row r="4207">
      <c r="A4207" s="9" t="inlineStr">
        <is>
          <t>HAIFENG</t>
        </is>
      </c>
      <c r="B4207" s="9" t="inlineStr">
        <is>
          <t>HAIFENG 26/05/2026</t>
        </is>
      </c>
      <c r="C4207" s="9" t="inlineStr">
        <is>
          <t>2026-05-26</t>
        </is>
      </c>
      <c r="D4207" s="9" t="inlineStr">
        <is>
          <t>86347032550093</t>
        </is>
      </c>
      <c r="E4207" s="9" t="inlineStr">
        <is>
          <t>ANILLO CD DIAMOND ZIRCONIAS</t>
        </is>
      </c>
      <c r="F4207" s="9" t="inlineStr">
        <is>
          <t>7</t>
        </is>
      </c>
      <c r="G4207" s="9" t="n">
        <v>3</v>
      </c>
      <c r="H4207" s="21" t="n">
        <v>4.9</v>
      </c>
      <c r="I4207" s="21" t="n">
        <v>102.85</v>
      </c>
      <c r="J4207" s="21" t="n">
        <v>308.54</v>
      </c>
      <c r="K4207" s="21" t="n">
        <v>359.97</v>
      </c>
      <c r="L4207" s="21" t="n">
        <v>411.39</v>
      </c>
      <c r="M4207" s="21" t="n">
        <v>499</v>
      </c>
    </row>
    <row r="4208">
      <c r="A4208" s="9" t="inlineStr">
        <is>
          <t>HAIFENG</t>
        </is>
      </c>
      <c r="B4208" s="9" t="inlineStr">
        <is>
          <t>HAIFENG 26/05/2026</t>
        </is>
      </c>
      <c r="C4208" s="9" t="inlineStr">
        <is>
          <t>2026-05-26</t>
        </is>
      </c>
      <c r="D4208" s="9" t="inlineStr">
        <is>
          <t>61222821166797</t>
        </is>
      </c>
      <c r="E4208" s="9" t="inlineStr">
        <is>
          <t>ANILLO CD GRABADO GOLD BLACK ZIRCONIAS</t>
        </is>
      </c>
      <c r="F4208" s="9" t="inlineStr">
        <is>
          <t>8</t>
        </is>
      </c>
      <c r="G4208" s="9" t="n">
        <v>2</v>
      </c>
      <c r="H4208" s="21" t="n">
        <v>7.9</v>
      </c>
      <c r="I4208" s="21" t="n">
        <v>165.82</v>
      </c>
      <c r="J4208" s="21" t="n">
        <v>497.45</v>
      </c>
      <c r="K4208" s="21" t="n">
        <v>580.35</v>
      </c>
      <c r="L4208" s="21" t="n">
        <v>663.26</v>
      </c>
      <c r="M4208" s="21" t="n">
        <v>660</v>
      </c>
    </row>
    <row r="4209">
      <c r="A4209" s="9" t="inlineStr">
        <is>
          <t>HAIFENG</t>
        </is>
      </c>
      <c r="B4209" s="9" t="inlineStr">
        <is>
          <t>HAIFENG 26/05/2026</t>
        </is>
      </c>
      <c r="C4209" s="9" t="inlineStr">
        <is>
          <t>2026-05-26</t>
        </is>
      </c>
      <c r="D4209" s="9" t="inlineStr">
        <is>
          <t>29736662234765</t>
        </is>
      </c>
      <c r="E4209" s="9" t="inlineStr">
        <is>
          <t>ANILLO CD TRIBALES GOLD</t>
        </is>
      </c>
      <c r="F4209" s="9" t="inlineStr">
        <is>
          <t>7</t>
        </is>
      </c>
      <c r="G4209" s="9" t="n">
        <v>2</v>
      </c>
      <c r="H4209" s="21" t="n">
        <v>6.99</v>
      </c>
      <c r="I4209" s="21" t="n">
        <v>146.72</v>
      </c>
      <c r="J4209" s="21" t="n">
        <v>440.15</v>
      </c>
      <c r="K4209" s="21" t="n">
        <v>513.5</v>
      </c>
      <c r="L4209" s="21" t="n">
        <v>586.86</v>
      </c>
      <c r="M4209" s="21" t="n">
        <v>599</v>
      </c>
    </row>
    <row r="4210">
      <c r="A4210" s="9" t="inlineStr">
        <is>
          <t>HAIFENG</t>
        </is>
      </c>
      <c r="B4210" s="9" t="inlineStr">
        <is>
          <t>HAIFENG 26/05/2026</t>
        </is>
      </c>
      <c r="C4210" s="9" t="inlineStr">
        <is>
          <t>2026-05-26</t>
        </is>
      </c>
      <c r="D4210" s="9" t="inlineStr">
        <is>
          <t>63ebd3f2335dc</t>
        </is>
      </c>
      <c r="E4210" s="9" t="inlineStr">
        <is>
          <t>ANILLO CLASH SILVER</t>
        </is>
      </c>
      <c r="F4210" s="9" t="inlineStr">
        <is>
          <t>6</t>
        </is>
      </c>
      <c r="G4210" s="9" t="n">
        <v>4</v>
      </c>
      <c r="H4210" s="21" t="n">
        <v>10</v>
      </c>
      <c r="I4210" s="21" t="n">
        <v>209.89</v>
      </c>
      <c r="J4210" s="21" t="n">
        <v>629.6799999999999</v>
      </c>
      <c r="K4210" s="21" t="n">
        <v>734.63</v>
      </c>
      <c r="L4210" s="21" t="n">
        <v>839.5700000000001</v>
      </c>
      <c r="M4210" s="21" t="n">
        <v>850</v>
      </c>
    </row>
    <row r="4211">
      <c r="A4211" s="9" t="inlineStr">
        <is>
          <t>HAIFENG</t>
        </is>
      </c>
      <c r="B4211" s="9" t="inlineStr">
        <is>
          <t>HAIFENG 26/05/2026</t>
        </is>
      </c>
      <c r="C4211" s="9" t="inlineStr">
        <is>
          <t>2026-05-26</t>
        </is>
      </c>
      <c r="D4211" s="9" t="inlineStr">
        <is>
          <t>40154173692877</t>
        </is>
      </c>
      <c r="E4211" s="9" t="inlineStr">
        <is>
          <t>ANILLO CLAVO DOBLE GOLD ZIRCONIAS</t>
        </is>
      </c>
      <c r="F4211" s="9" t="inlineStr">
        <is>
          <t>7</t>
        </is>
      </c>
      <c r="G4211" s="9" t="n">
        <v>2</v>
      </c>
      <c r="H4211" s="21" t="n">
        <v>5</v>
      </c>
      <c r="I4211" s="21" t="n">
        <v>104.95</v>
      </c>
      <c r="J4211" s="21" t="n">
        <v>314.84</v>
      </c>
      <c r="K4211" s="21" t="n">
        <v>367.31</v>
      </c>
      <c r="L4211" s="21" t="n">
        <v>419.79</v>
      </c>
      <c r="M4211" s="21" t="n">
        <v>600</v>
      </c>
    </row>
    <row r="4212">
      <c r="A4212" s="9" t="inlineStr">
        <is>
          <t>HAIFENG</t>
        </is>
      </c>
      <c r="B4212" s="9" t="inlineStr">
        <is>
          <t>HAIFENG 26/05/2026</t>
        </is>
      </c>
      <c r="C4212" s="9" t="inlineStr">
        <is>
          <t>2026-05-26</t>
        </is>
      </c>
      <c r="D4212" s="9" t="inlineStr">
        <is>
          <t>66176cdb9f129</t>
        </is>
      </c>
      <c r="E4212" s="9" t="inlineStr">
        <is>
          <t>ANILLO CLAVO GOLD</t>
        </is>
      </c>
      <c r="F4212" s="9" t="inlineStr">
        <is>
          <t>6 HIGH QUALITY</t>
        </is>
      </c>
      <c r="G4212" s="9" t="n">
        <v>6</v>
      </c>
      <c r="H4212" s="21" t="n">
        <v>2.5</v>
      </c>
      <c r="I4212" s="21" t="n">
        <v>52.47</v>
      </c>
      <c r="J4212" s="21" t="n">
        <v>157.42</v>
      </c>
      <c r="K4212" s="21" t="n">
        <v>183.66</v>
      </c>
      <c r="L4212" s="21" t="n">
        <v>209.89</v>
      </c>
      <c r="M4212" s="21" t="n">
        <v>400</v>
      </c>
    </row>
    <row r="4213">
      <c r="A4213" s="9" t="inlineStr">
        <is>
          <t>HAIFENG</t>
        </is>
      </c>
      <c r="B4213" s="9" t="inlineStr">
        <is>
          <t>HAIFENG 26/05/2026</t>
        </is>
      </c>
      <c r="C4213" s="9" t="inlineStr">
        <is>
          <t>2026-05-26</t>
        </is>
      </c>
      <c r="D4213" s="9" t="inlineStr">
        <is>
          <t>66176ce1d817d</t>
        </is>
      </c>
      <c r="E4213" s="9" t="inlineStr">
        <is>
          <t>ANILLO CLAVO ROSE GOLD</t>
        </is>
      </c>
      <c r="F4213" s="9" t="inlineStr">
        <is>
          <t>7 HIGH QUALITY</t>
        </is>
      </c>
      <c r="G4213" s="9" t="n">
        <v>1</v>
      </c>
      <c r="H4213" s="21" t="n">
        <v>2.5</v>
      </c>
      <c r="I4213" s="21" t="n">
        <v>52.47</v>
      </c>
      <c r="J4213" s="21" t="n">
        <v>157.42</v>
      </c>
      <c r="K4213" s="21" t="n">
        <v>183.66</v>
      </c>
      <c r="L4213" s="21" t="n">
        <v>209.89</v>
      </c>
      <c r="M4213" s="21" t="n">
        <v>400</v>
      </c>
    </row>
    <row r="4214">
      <c r="A4214" s="9" t="inlineStr">
        <is>
          <t>HAIFENG</t>
        </is>
      </c>
      <c r="B4214" s="9" t="inlineStr">
        <is>
          <t>HAIFENG 26/05/2026</t>
        </is>
      </c>
      <c r="C4214" s="9" t="inlineStr">
        <is>
          <t>2026-05-26</t>
        </is>
      </c>
      <c r="D4214" s="9" t="inlineStr">
        <is>
          <t>66176ce532532</t>
        </is>
      </c>
      <c r="E4214" s="9" t="inlineStr">
        <is>
          <t>ANILLO CLAVO SILVER CON ZIRCONIA</t>
        </is>
      </c>
      <c r="F4214" s="9" t="inlineStr">
        <is>
          <t>5</t>
        </is>
      </c>
      <c r="G4214" s="9" t="n">
        <v>2</v>
      </c>
      <c r="H4214" s="21" t="n">
        <v>2.5</v>
      </c>
      <c r="I4214" s="21" t="n">
        <v>52.47</v>
      </c>
      <c r="J4214" s="21" t="n">
        <v>157.42</v>
      </c>
      <c r="K4214" s="21" t="n">
        <v>183.66</v>
      </c>
      <c r="L4214" s="21" t="n">
        <v>209.89</v>
      </c>
      <c r="M4214" s="21" t="n">
        <v>450</v>
      </c>
    </row>
    <row r="4215">
      <c r="A4215" s="9" t="inlineStr">
        <is>
          <t>HAIFENG</t>
        </is>
      </c>
      <c r="B4215" s="9" t="inlineStr">
        <is>
          <t>HAIFENG 26/05/2026</t>
        </is>
      </c>
      <c r="C4215" s="9" t="inlineStr">
        <is>
          <t>2026-05-26</t>
        </is>
      </c>
      <c r="D4215" s="9" t="inlineStr">
        <is>
          <t>47396161022509</t>
        </is>
      </c>
      <c r="E4215" s="9" t="inlineStr">
        <is>
          <t>ANILLO CLAVO SPIRAL GOLD CON ZIRCONIA</t>
        </is>
      </c>
      <c r="F4215" s="9" t="inlineStr">
        <is>
          <t>7</t>
        </is>
      </c>
      <c r="G4215" s="9" t="n">
        <v>2</v>
      </c>
      <c r="H4215" s="21" t="n">
        <v>7.5</v>
      </c>
      <c r="I4215" s="21" t="n">
        <v>157.42</v>
      </c>
      <c r="J4215" s="21" t="n">
        <v>472.26</v>
      </c>
      <c r="K4215" s="21" t="n">
        <v>550.97</v>
      </c>
      <c r="L4215" s="21" t="n">
        <v>629.6799999999999</v>
      </c>
      <c r="M4215" s="21" t="n">
        <v>650</v>
      </c>
    </row>
    <row r="4216">
      <c r="A4216" s="9" t="inlineStr">
        <is>
          <t>HAIFENG</t>
        </is>
      </c>
      <c r="B4216" s="9" t="inlineStr">
        <is>
          <t>HAIFENG 26/05/2026</t>
        </is>
      </c>
      <c r="C4216" s="9" t="inlineStr">
        <is>
          <t>2026-05-26</t>
        </is>
      </c>
      <c r="D4216" s="9" t="inlineStr">
        <is>
          <t>66176cdd1243a</t>
        </is>
      </c>
      <c r="E4216" s="9" t="inlineStr">
        <is>
          <t>ANILLO CLAVO ZIRCONIA GOLD</t>
        </is>
      </c>
      <c r="F4216" s="9" t="inlineStr">
        <is>
          <t>9</t>
        </is>
      </c>
      <c r="G4216" s="9" t="n">
        <v>4</v>
      </c>
      <c r="H4216" s="21" t="n">
        <v>2.5</v>
      </c>
      <c r="I4216" s="21" t="n">
        <v>52.47</v>
      </c>
      <c r="J4216" s="21" t="n">
        <v>157.42</v>
      </c>
      <c r="K4216" s="21" t="n">
        <v>183.66</v>
      </c>
      <c r="L4216" s="21" t="n">
        <v>209.89</v>
      </c>
      <c r="M4216" s="21" t="n">
        <v>450</v>
      </c>
    </row>
    <row r="4217">
      <c r="A4217" s="9" t="inlineStr">
        <is>
          <t>HAIFENG</t>
        </is>
      </c>
      <c r="B4217" s="9" t="inlineStr">
        <is>
          <t>HAIFENG 26/05/2026</t>
        </is>
      </c>
      <c r="C4217" s="9" t="inlineStr">
        <is>
          <t>2026-05-26</t>
        </is>
      </c>
      <c r="D4217" s="9" t="inlineStr">
        <is>
          <t>66176cdc74210</t>
        </is>
      </c>
      <c r="E4217" s="9" t="inlineStr">
        <is>
          <t>ANILLO CLAVO ZIRCONIA GOLD</t>
        </is>
      </c>
      <c r="F4217" s="9" t="inlineStr">
        <is>
          <t>8</t>
        </is>
      </c>
      <c r="G4217" s="9" t="n">
        <v>4</v>
      </c>
      <c r="H4217" s="21" t="n">
        <v>2.5</v>
      </c>
      <c r="I4217" s="21" t="n">
        <v>52.47</v>
      </c>
      <c r="J4217" s="21" t="n">
        <v>157.42</v>
      </c>
      <c r="K4217" s="21" t="n">
        <v>183.66</v>
      </c>
      <c r="L4217" s="21" t="n">
        <v>209.89</v>
      </c>
      <c r="M4217" s="21" t="n">
        <v>450</v>
      </c>
    </row>
    <row r="4218">
      <c r="A4218" s="9" t="inlineStr">
        <is>
          <t>HAIFENG</t>
        </is>
      </c>
      <c r="B4218" s="9" t="inlineStr">
        <is>
          <t>HAIFENG 26/05/2026</t>
        </is>
      </c>
      <c r="C4218" s="9" t="inlineStr">
        <is>
          <t>2026-05-26</t>
        </is>
      </c>
      <c r="D4218" s="9" t="inlineStr">
        <is>
          <t>66176cdbe0e8a</t>
        </is>
      </c>
      <c r="E4218" s="9" t="inlineStr">
        <is>
          <t>ANILLO CLAVO ZIRCONIA GOLD</t>
        </is>
      </c>
      <c r="F4218" s="9" t="inlineStr">
        <is>
          <t>7</t>
        </is>
      </c>
      <c r="G4218" s="9" t="n">
        <v>3</v>
      </c>
      <c r="H4218" s="21" t="n">
        <v>2.5</v>
      </c>
      <c r="I4218" s="21" t="n">
        <v>52.47</v>
      </c>
      <c r="J4218" s="21" t="n">
        <v>157.42</v>
      </c>
      <c r="K4218" s="21" t="n">
        <v>183.66</v>
      </c>
      <c r="L4218" s="21" t="n">
        <v>209.89</v>
      </c>
      <c r="M4218" s="21" t="n">
        <v>450</v>
      </c>
    </row>
    <row r="4219">
      <c r="A4219" s="9" t="inlineStr">
        <is>
          <t>HAIFENG</t>
        </is>
      </c>
      <c r="B4219" s="9" t="inlineStr">
        <is>
          <t>HAIFENG 26/05/2026</t>
        </is>
      </c>
      <c r="C4219" s="9" t="inlineStr">
        <is>
          <t>2026-05-26</t>
        </is>
      </c>
      <c r="D4219" s="9" t="inlineStr">
        <is>
          <t>66176cdf23c82</t>
        </is>
      </c>
      <c r="E4219" s="9" t="inlineStr">
        <is>
          <t>ANILLO CLAVO ZIRCONIA ROSE GOLD</t>
        </is>
      </c>
      <c r="F4219" s="9" t="inlineStr">
        <is>
          <t>7</t>
        </is>
      </c>
      <c r="G4219" s="9" t="n">
        <v>2</v>
      </c>
      <c r="H4219" s="21" t="n">
        <v>2.5</v>
      </c>
      <c r="I4219" s="21" t="n">
        <v>52.47</v>
      </c>
      <c r="J4219" s="21" t="n">
        <v>157.42</v>
      </c>
      <c r="K4219" s="21" t="n">
        <v>183.66</v>
      </c>
      <c r="L4219" s="21" t="n">
        <v>209.89</v>
      </c>
      <c r="M4219" s="21" t="n">
        <v>450</v>
      </c>
    </row>
    <row r="4220">
      <c r="A4220" s="9" t="inlineStr">
        <is>
          <t>HAIFENG</t>
        </is>
      </c>
      <c r="B4220" s="9" t="inlineStr">
        <is>
          <t>HAIFENG 26/05/2026</t>
        </is>
      </c>
      <c r="C4220" s="9" t="inlineStr">
        <is>
          <t>2026-05-26</t>
        </is>
      </c>
      <c r="D4220" s="9" t="inlineStr">
        <is>
          <t>63e0b72e8ae97</t>
        </is>
      </c>
      <c r="E4220" s="9" t="inlineStr">
        <is>
          <t>ANILLO COCO GOLD</t>
        </is>
      </c>
      <c r="F4220" s="9" t="inlineStr">
        <is>
          <t>9</t>
        </is>
      </c>
      <c r="G4220" s="9" t="n">
        <v>1</v>
      </c>
      <c r="H4220" s="21" t="n">
        <v>1.8</v>
      </c>
      <c r="I4220" s="21" t="n">
        <v>37.78</v>
      </c>
      <c r="J4220" s="21" t="n">
        <v>113.34</v>
      </c>
      <c r="K4220" s="21" t="n">
        <v>132.23</v>
      </c>
      <c r="L4220" s="21" t="n">
        <v>151.12</v>
      </c>
      <c r="M4220" s="21" t="n">
        <v>400</v>
      </c>
    </row>
    <row r="4221">
      <c r="A4221" s="9" t="inlineStr">
        <is>
          <t>HAIFENG</t>
        </is>
      </c>
      <c r="B4221" s="9" t="inlineStr">
        <is>
          <t>HAIFENG 26/05/2026</t>
        </is>
      </c>
      <c r="C4221" s="9" t="inlineStr">
        <is>
          <t>2026-05-26</t>
        </is>
      </c>
      <c r="D4221" s="9" t="inlineStr">
        <is>
          <t>63e0b72b646a2</t>
        </is>
      </c>
      <c r="E4221" s="9" t="inlineStr">
        <is>
          <t>ANILLO COCO GOLD</t>
        </is>
      </c>
      <c r="F4221" s="9" t="inlineStr">
        <is>
          <t>6</t>
        </is>
      </c>
      <c r="G4221" s="9" t="n">
        <v>6</v>
      </c>
      <c r="H4221" s="21" t="n">
        <v>1.8</v>
      </c>
      <c r="I4221" s="21" t="n">
        <v>37.78</v>
      </c>
      <c r="J4221" s="21" t="n">
        <v>113.34</v>
      </c>
      <c r="K4221" s="21" t="n">
        <v>132.23</v>
      </c>
      <c r="L4221" s="21" t="n">
        <v>151.12</v>
      </c>
      <c r="M4221" s="21" t="n">
        <v>400</v>
      </c>
    </row>
    <row r="4222">
      <c r="A4222" s="9" t="inlineStr">
        <is>
          <t>HAIFENG</t>
        </is>
      </c>
      <c r="B4222" s="9" t="inlineStr">
        <is>
          <t>HAIFENG 26/05/2026</t>
        </is>
      </c>
      <c r="C4222" s="9" t="inlineStr">
        <is>
          <t>2026-05-26</t>
        </is>
      </c>
      <c r="D4222" s="9" t="inlineStr">
        <is>
          <t>63e0b72d387b2</t>
        </is>
      </c>
      <c r="E4222" s="9" t="inlineStr">
        <is>
          <t>ANILLO COCO GOLD</t>
        </is>
      </c>
      <c r="F4222" s="9" t="inlineStr">
        <is>
          <t>8</t>
        </is>
      </c>
      <c r="G4222" s="9" t="n">
        <v>3</v>
      </c>
      <c r="H4222" s="21" t="n">
        <v>1.8</v>
      </c>
      <c r="I4222" s="21" t="n">
        <v>37.78</v>
      </c>
      <c r="J4222" s="21" t="n">
        <v>113.34</v>
      </c>
      <c r="K4222" s="21" t="n">
        <v>132.23</v>
      </c>
      <c r="L4222" s="21" t="n">
        <v>151.12</v>
      </c>
      <c r="M4222" s="21" t="n">
        <v>400</v>
      </c>
    </row>
    <row r="4223">
      <c r="A4223" s="9" t="inlineStr">
        <is>
          <t>HAIFENG</t>
        </is>
      </c>
      <c r="B4223" s="9" t="inlineStr">
        <is>
          <t>HAIFENG 26/05/2026</t>
        </is>
      </c>
      <c r="C4223" s="9" t="inlineStr">
        <is>
          <t>2026-05-26</t>
        </is>
      </c>
      <c r="D4223" s="9" t="inlineStr">
        <is>
          <t>63e0b72f8b602</t>
        </is>
      </c>
      <c r="E4223" s="9" t="inlineStr">
        <is>
          <t>ANILLO COCO SILVER</t>
        </is>
      </c>
      <c r="F4223" s="9" t="inlineStr">
        <is>
          <t>5</t>
        </is>
      </c>
      <c r="G4223" s="9" t="n">
        <v>2</v>
      </c>
      <c r="H4223" s="21" t="n">
        <v>1.8</v>
      </c>
      <c r="I4223" s="21" t="n">
        <v>37.78</v>
      </c>
      <c r="J4223" s="21" t="n">
        <v>113.34</v>
      </c>
      <c r="K4223" s="21" t="n">
        <v>132.23</v>
      </c>
      <c r="L4223" s="21" t="n">
        <v>151.12</v>
      </c>
      <c r="M4223" s="21" t="n">
        <v>400</v>
      </c>
    </row>
    <row r="4224">
      <c r="A4224" s="9" t="inlineStr">
        <is>
          <t>HAIFENG</t>
        </is>
      </c>
      <c r="B4224" s="9" t="inlineStr">
        <is>
          <t>HAIFENG 26/05/2026</t>
        </is>
      </c>
      <c r="C4224" s="9" t="inlineStr">
        <is>
          <t>2026-05-26</t>
        </is>
      </c>
      <c r="D4224" s="9" t="inlineStr">
        <is>
          <t>17360611172685</t>
        </is>
      </c>
      <c r="E4224" s="9" t="inlineStr">
        <is>
          <t>ANILLO DOBLE T CON ZIRCONIAS SILVER</t>
        </is>
      </c>
      <c r="F4224" s="9" t="inlineStr">
        <is>
          <t>8</t>
        </is>
      </c>
      <c r="G4224" s="9" t="n">
        <v>2</v>
      </c>
      <c r="H4224" s="21" t="n">
        <v>6</v>
      </c>
      <c r="I4224" s="21" t="n">
        <v>125.94</v>
      </c>
      <c r="J4224" s="21" t="n">
        <v>377.81</v>
      </c>
      <c r="K4224" s="21" t="n">
        <v>440.78</v>
      </c>
      <c r="L4224" s="21" t="n">
        <v>503.74</v>
      </c>
      <c r="M4224" s="21" t="n">
        <v>580</v>
      </c>
    </row>
    <row r="4225">
      <c r="A4225" s="9" t="inlineStr">
        <is>
          <t>HAIFENG</t>
        </is>
      </c>
      <c r="B4225" s="9" t="inlineStr">
        <is>
          <t>HAIFENG 26/05/2026</t>
        </is>
      </c>
      <c r="C4225" s="9" t="inlineStr">
        <is>
          <t>2026-05-26</t>
        </is>
      </c>
      <c r="D4225" s="9" t="inlineStr">
        <is>
          <t>56481473264780</t>
        </is>
      </c>
      <c r="E4225" s="9" t="inlineStr">
        <is>
          <t>ANILLO ESLABÓN GOLD</t>
        </is>
      </c>
      <c r="F4225" s="9" t="inlineStr">
        <is>
          <t>8</t>
        </is>
      </c>
      <c r="G4225" s="9" t="n">
        <v>1</v>
      </c>
      <c r="H4225" s="21" t="n">
        <v>6</v>
      </c>
      <c r="I4225" s="21" t="n">
        <v>125.94</v>
      </c>
      <c r="J4225" s="21" t="n">
        <v>377.81</v>
      </c>
      <c r="K4225" s="21" t="n">
        <v>440.78</v>
      </c>
      <c r="L4225" s="21" t="n">
        <v>503.74</v>
      </c>
      <c r="M4225" s="21" t="n">
        <v>520</v>
      </c>
    </row>
    <row r="4226">
      <c r="A4226" s="9" t="inlineStr">
        <is>
          <t>HAIFENG</t>
        </is>
      </c>
      <c r="B4226" s="9" t="inlineStr">
        <is>
          <t>HAIFENG 26/05/2026</t>
        </is>
      </c>
      <c r="C4226" s="9" t="inlineStr">
        <is>
          <t>2026-05-26</t>
        </is>
      </c>
      <c r="D4226" s="9" t="inlineStr">
        <is>
          <t>22064323404269</t>
        </is>
      </c>
      <c r="E4226" s="9" t="inlineStr">
        <is>
          <t>ANILLO FLOWER DOBLE SILVER</t>
        </is>
      </c>
      <c r="F4226" s="9" t="inlineStr">
        <is>
          <t>Default Title</t>
        </is>
      </c>
      <c r="G4226" s="9" t="n">
        <v>2</v>
      </c>
      <c r="H4226" s="21" t="n">
        <v>8.9</v>
      </c>
      <c r="I4226" s="21" t="n">
        <v>186.8</v>
      </c>
      <c r="J4226" s="21" t="n">
        <v>560.41</v>
      </c>
      <c r="K4226" s="21" t="n">
        <v>653.8200000000001</v>
      </c>
      <c r="L4226" s="21" t="n">
        <v>747.22</v>
      </c>
      <c r="M4226" s="21" t="n">
        <v>799</v>
      </c>
    </row>
    <row r="4227">
      <c r="A4227" s="9" t="inlineStr">
        <is>
          <t>HAIFENG</t>
        </is>
      </c>
      <c r="B4227" s="9" t="inlineStr">
        <is>
          <t>HAIFENG 26/05/2026</t>
        </is>
      </c>
      <c r="C4227" s="9" t="inlineStr">
        <is>
          <t>2026-05-26</t>
        </is>
      </c>
      <c r="D4227" s="9" t="inlineStr">
        <is>
          <t>22064323778285</t>
        </is>
      </c>
      <c r="E4227" s="9" t="inlineStr">
        <is>
          <t>ANILLO FLOWER HALF ZIRCONIAS GOLD</t>
        </is>
      </c>
      <c r="F4227" s="9" t="inlineStr">
        <is>
          <t>Default Title</t>
        </is>
      </c>
      <c r="G4227" s="9" t="n">
        <v>2</v>
      </c>
      <c r="H4227" s="21" t="n">
        <v>8.9</v>
      </c>
      <c r="I4227" s="21" t="n">
        <v>186.8</v>
      </c>
      <c r="J4227" s="21" t="n">
        <v>560.41</v>
      </c>
      <c r="K4227" s="21" t="n">
        <v>653.8200000000001</v>
      </c>
      <c r="L4227" s="21" t="n">
        <v>747.22</v>
      </c>
      <c r="M4227" s="21" t="n">
        <v>799</v>
      </c>
    </row>
    <row r="4228">
      <c r="A4228" s="9" t="inlineStr">
        <is>
          <t>HAIFENG</t>
        </is>
      </c>
      <c r="B4228" s="9" t="inlineStr">
        <is>
          <t>HAIFENG 26/05/2026</t>
        </is>
      </c>
      <c r="C4228" s="9" t="inlineStr">
        <is>
          <t>2026-05-26</t>
        </is>
      </c>
      <c r="D4228" s="9" t="inlineStr">
        <is>
          <t>86347033399725</t>
        </is>
      </c>
      <c r="E4228" s="9" t="inlineStr">
        <is>
          <t>ANILLO KNOT DOBLE GOLD ZIRCONIAS</t>
        </is>
      </c>
      <c r="F4228" s="9" t="inlineStr">
        <is>
          <t>7</t>
        </is>
      </c>
      <c r="G4228" s="9" t="n">
        <v>3</v>
      </c>
      <c r="H4228" s="21" t="n">
        <v>6.5</v>
      </c>
      <c r="I4228" s="21" t="n">
        <v>136.43</v>
      </c>
      <c r="J4228" s="21" t="n">
        <v>409.29</v>
      </c>
      <c r="K4228" s="21" t="n">
        <v>477.51</v>
      </c>
      <c r="L4228" s="21" t="n">
        <v>545.72</v>
      </c>
      <c r="M4228" s="21" t="n">
        <v>550</v>
      </c>
    </row>
    <row r="4229">
      <c r="A4229" s="9" t="inlineStr">
        <is>
          <t>HAIFENG</t>
        </is>
      </c>
      <c r="B4229" s="9" t="inlineStr">
        <is>
          <t>HAIFENG 26/05/2026</t>
        </is>
      </c>
      <c r="C4229" s="9" t="inlineStr">
        <is>
          <t>2026-05-26</t>
        </is>
      </c>
      <c r="D4229" s="9" t="inlineStr">
        <is>
          <t>86347033266957</t>
        </is>
      </c>
      <c r="E4229" s="9" t="inlineStr">
        <is>
          <t>ANILLO KNOT DOBLE GOLD ZIRCONIAS</t>
        </is>
      </c>
      <c r="F4229" s="9" t="inlineStr">
        <is>
          <t>6</t>
        </is>
      </c>
      <c r="G4229" s="9" t="n">
        <v>2</v>
      </c>
      <c r="H4229" s="21" t="n">
        <v>6.5</v>
      </c>
      <c r="I4229" s="21" t="n">
        <v>136.43</v>
      </c>
      <c r="J4229" s="21" t="n">
        <v>409.29</v>
      </c>
      <c r="K4229" s="21" t="n">
        <v>477.51</v>
      </c>
      <c r="L4229" s="21" t="n">
        <v>545.72</v>
      </c>
      <c r="M4229" s="21" t="n">
        <v>550</v>
      </c>
    </row>
    <row r="4230">
      <c r="A4230" s="9" t="inlineStr">
        <is>
          <t>HAIFENG</t>
        </is>
      </c>
      <c r="B4230" s="9" t="inlineStr">
        <is>
          <t>HAIFENG 26/05/2026</t>
        </is>
      </c>
      <c r="C4230" s="9" t="inlineStr">
        <is>
          <t>2026-05-26</t>
        </is>
      </c>
      <c r="D4230" s="9" t="inlineStr">
        <is>
          <t>71036874481164</t>
        </is>
      </c>
      <c r="E4230" s="9" t="inlineStr">
        <is>
          <t>ANILLO LOCK GOLD</t>
        </is>
      </c>
      <c r="F4230" s="9" t="inlineStr">
        <is>
          <t>8</t>
        </is>
      </c>
      <c r="G4230" s="9" t="n">
        <v>4</v>
      </c>
      <c r="H4230" s="21" t="n">
        <v>5</v>
      </c>
      <c r="I4230" s="21" t="n">
        <v>104.95</v>
      </c>
      <c r="J4230" s="21" t="n">
        <v>314.84</v>
      </c>
      <c r="K4230" s="21" t="n">
        <v>367.31</v>
      </c>
      <c r="L4230" s="21" t="n">
        <v>419.79</v>
      </c>
      <c r="M4230" s="21" t="n">
        <v>455</v>
      </c>
    </row>
    <row r="4231">
      <c r="A4231" s="9" t="inlineStr">
        <is>
          <t>HAIFENG</t>
        </is>
      </c>
      <c r="B4231" s="9" t="inlineStr">
        <is>
          <t>HAIFENG 26/05/2026</t>
        </is>
      </c>
      <c r="C4231" s="9" t="inlineStr">
        <is>
          <t>2026-05-26</t>
        </is>
      </c>
      <c r="D4231" s="9" t="inlineStr">
        <is>
          <t>71036864415628</t>
        </is>
      </c>
      <c r="E4231" s="9" t="inlineStr">
        <is>
          <t>ANILLO LOCK GOLD</t>
        </is>
      </c>
      <c r="F4231" s="9" t="inlineStr">
        <is>
          <t>6</t>
        </is>
      </c>
      <c r="G4231" s="9" t="n">
        <v>3</v>
      </c>
      <c r="H4231" s="21" t="n">
        <v>5</v>
      </c>
      <c r="I4231" s="21" t="n">
        <v>104.95</v>
      </c>
      <c r="J4231" s="21" t="n">
        <v>314.84</v>
      </c>
      <c r="K4231" s="21" t="n">
        <v>367.31</v>
      </c>
      <c r="L4231" s="21" t="n">
        <v>419.79</v>
      </c>
      <c r="M4231" s="21" t="n">
        <v>455</v>
      </c>
    </row>
    <row r="4232">
      <c r="A4232" s="9" t="inlineStr">
        <is>
          <t>HAIFENG</t>
        </is>
      </c>
      <c r="B4232" s="9" t="inlineStr">
        <is>
          <t>HAIFENG 26/05/2026</t>
        </is>
      </c>
      <c r="C4232" s="9" t="inlineStr">
        <is>
          <t>2026-05-26</t>
        </is>
      </c>
      <c r="D4232" s="9" t="inlineStr">
        <is>
          <t>71036876283404</t>
        </is>
      </c>
      <c r="E4232" s="9" t="inlineStr">
        <is>
          <t>ANILLO LOCK SILVER</t>
        </is>
      </c>
      <c r="F4232" s="9" t="inlineStr">
        <is>
          <t>8</t>
        </is>
      </c>
      <c r="G4232" s="9" t="n">
        <v>5</v>
      </c>
      <c r="H4232" s="21" t="n">
        <v>5</v>
      </c>
      <c r="I4232" s="21" t="n">
        <v>104.95</v>
      </c>
      <c r="J4232" s="21" t="n">
        <v>314.84</v>
      </c>
      <c r="K4232" s="21" t="n">
        <v>367.31</v>
      </c>
      <c r="L4232" s="21" t="n">
        <v>419.79</v>
      </c>
      <c r="M4232" s="21" t="n">
        <v>454</v>
      </c>
    </row>
    <row r="4233">
      <c r="A4233" s="9" t="inlineStr">
        <is>
          <t>HAIFENG</t>
        </is>
      </c>
      <c r="B4233" s="9" t="inlineStr">
        <is>
          <t>HAIFENG 26/05/2026</t>
        </is>
      </c>
      <c r="C4233" s="9" t="inlineStr">
        <is>
          <t>2026-05-26</t>
        </is>
      </c>
      <c r="D4233" s="9" t="inlineStr">
        <is>
          <t>71036876250636</t>
        </is>
      </c>
      <c r="E4233" s="9" t="inlineStr">
        <is>
          <t>ANILLO LOCK SILVER</t>
        </is>
      </c>
      <c r="F4233" s="9" t="inlineStr">
        <is>
          <t>7</t>
        </is>
      </c>
      <c r="G4233" s="9" t="n">
        <v>5</v>
      </c>
      <c r="H4233" s="21" t="n">
        <v>5</v>
      </c>
      <c r="I4233" s="21" t="n">
        <v>104.95</v>
      </c>
      <c r="J4233" s="21" t="n">
        <v>314.84</v>
      </c>
      <c r="K4233" s="21" t="n">
        <v>367.31</v>
      </c>
      <c r="L4233" s="21" t="n">
        <v>419.79</v>
      </c>
      <c r="M4233" s="21" t="n">
        <v>455</v>
      </c>
    </row>
    <row r="4234">
      <c r="A4234" s="9" t="inlineStr">
        <is>
          <t>HAIFENG</t>
        </is>
      </c>
      <c r="B4234" s="9" t="inlineStr">
        <is>
          <t>HAIFENG 26/05/2026</t>
        </is>
      </c>
      <c r="C4234" s="9" t="inlineStr">
        <is>
          <t>2026-05-26</t>
        </is>
      </c>
      <c r="D4234" s="9" t="inlineStr">
        <is>
          <t>71036876217868</t>
        </is>
      </c>
      <c r="E4234" s="9" t="inlineStr">
        <is>
          <t>ANILLO LOCK SILVER</t>
        </is>
      </c>
      <c r="F4234" s="9" t="inlineStr">
        <is>
          <t>6</t>
        </is>
      </c>
      <c r="G4234" s="9" t="n">
        <v>3</v>
      </c>
      <c r="H4234" s="21" t="n">
        <v>5</v>
      </c>
      <c r="I4234" s="21" t="n">
        <v>104.95</v>
      </c>
      <c r="J4234" s="21" t="n">
        <v>314.84</v>
      </c>
      <c r="K4234" s="21" t="n">
        <v>367.31</v>
      </c>
      <c r="L4234" s="21" t="n">
        <v>419.79</v>
      </c>
      <c r="M4234" s="21" t="n">
        <v>455</v>
      </c>
    </row>
    <row r="4235">
      <c r="A4235" s="9" t="inlineStr">
        <is>
          <t>HAIFENG</t>
        </is>
      </c>
      <c r="B4235" s="9" t="inlineStr">
        <is>
          <t>HAIFENG 26/05/2026</t>
        </is>
      </c>
      <c r="C4235" s="9" t="inlineStr">
        <is>
          <t>2026-05-26</t>
        </is>
      </c>
      <c r="D4235" s="9" t="inlineStr">
        <is>
          <t>82224433798797</t>
        </is>
      </c>
      <c r="E4235" s="9" t="inlineStr">
        <is>
          <t>ANILLO LOVE CON ZIRCONIA GOLD</t>
        </is>
      </c>
      <c r="F4235" s="9" t="inlineStr">
        <is>
          <t>8</t>
        </is>
      </c>
      <c r="G4235" s="9" t="n">
        <v>2</v>
      </c>
      <c r="H4235" s="21" t="n">
        <v>1.8</v>
      </c>
      <c r="I4235" s="21" t="n">
        <v>37.78</v>
      </c>
      <c r="J4235" s="21" t="n">
        <v>113.34</v>
      </c>
      <c r="K4235" s="21" t="n">
        <v>132.23</v>
      </c>
      <c r="L4235" s="21" t="n">
        <v>151.12</v>
      </c>
      <c r="M4235" s="21" t="n">
        <v>450</v>
      </c>
    </row>
    <row r="4236">
      <c r="A4236" s="9" t="inlineStr">
        <is>
          <t>HAIFENG</t>
        </is>
      </c>
      <c r="B4236" s="9" t="inlineStr">
        <is>
          <t>HAIFENG 26/05/2026</t>
        </is>
      </c>
      <c r="C4236" s="9" t="inlineStr">
        <is>
          <t>2026-05-26</t>
        </is>
      </c>
      <c r="D4236" s="9" t="inlineStr">
        <is>
          <t>82224433666029</t>
        </is>
      </c>
      <c r="E4236" s="9" t="inlineStr">
        <is>
          <t>ANILLO LOVE CON ZIRCONIA GOLD</t>
        </is>
      </c>
      <c r="F4236" s="9" t="inlineStr">
        <is>
          <t>7</t>
        </is>
      </c>
      <c r="G4236" s="9" t="n">
        <v>2</v>
      </c>
      <c r="H4236" s="21" t="n">
        <v>1.8</v>
      </c>
      <c r="I4236" s="21" t="n">
        <v>37.78</v>
      </c>
      <c r="J4236" s="21" t="n">
        <v>113.34</v>
      </c>
      <c r="K4236" s="21" t="n">
        <v>132.23</v>
      </c>
      <c r="L4236" s="21" t="n">
        <v>151.12</v>
      </c>
      <c r="M4236" s="21" t="n">
        <v>450</v>
      </c>
    </row>
    <row r="4237">
      <c r="A4237" s="9" t="inlineStr">
        <is>
          <t>HAIFENG</t>
        </is>
      </c>
      <c r="B4237" s="9" t="inlineStr">
        <is>
          <t>HAIFENG 26/05/2026</t>
        </is>
      </c>
      <c r="C4237" s="9" t="inlineStr">
        <is>
          <t>2026-05-26</t>
        </is>
      </c>
      <c r="D4237" s="9" t="inlineStr">
        <is>
          <t>59436481328173</t>
        </is>
      </c>
      <c r="E4237" s="9" t="inlineStr">
        <is>
          <t>ANILLO LOVE CON ZIRCONIA SILVER</t>
        </is>
      </c>
      <c r="F4237" s="9" t="inlineStr">
        <is>
          <t>8</t>
        </is>
      </c>
      <c r="G4237" s="9" t="n">
        <v>2</v>
      </c>
      <c r="H4237" s="21" t="n">
        <v>1.8</v>
      </c>
      <c r="I4237" s="21" t="n">
        <v>37.78</v>
      </c>
      <c r="J4237" s="21" t="n">
        <v>113.34</v>
      </c>
      <c r="K4237" s="21" t="n">
        <v>132.23</v>
      </c>
      <c r="L4237" s="21" t="n">
        <v>151.12</v>
      </c>
      <c r="M4237" s="21" t="n">
        <v>450</v>
      </c>
    </row>
    <row r="4238">
      <c r="A4238" s="9" t="inlineStr">
        <is>
          <t>HAIFENG</t>
        </is>
      </c>
      <c r="B4238" s="9" t="inlineStr">
        <is>
          <t>HAIFENG 26/05/2026</t>
        </is>
      </c>
      <c r="C4238" s="9" t="inlineStr">
        <is>
          <t>2026-05-26</t>
        </is>
      </c>
      <c r="D4238" s="9" t="inlineStr">
        <is>
          <t>59436481295405</t>
        </is>
      </c>
      <c r="E4238" s="9" t="inlineStr">
        <is>
          <t>ANILLO LOVE CON ZIRCONIA SILVER</t>
        </is>
      </c>
      <c r="F4238" s="9" t="inlineStr">
        <is>
          <t>7</t>
        </is>
      </c>
      <c r="G4238" s="9" t="n">
        <v>4</v>
      </c>
      <c r="H4238" s="21" t="n">
        <v>1.8</v>
      </c>
      <c r="I4238" s="21" t="n">
        <v>37.78</v>
      </c>
      <c r="J4238" s="21" t="n">
        <v>113.34</v>
      </c>
      <c r="K4238" s="21" t="n">
        <v>132.23</v>
      </c>
      <c r="L4238" s="21" t="n">
        <v>151.12</v>
      </c>
      <c r="M4238" s="21" t="n">
        <v>450</v>
      </c>
    </row>
    <row r="4239">
      <c r="A4239" s="9" t="inlineStr">
        <is>
          <t>HAIFENG</t>
        </is>
      </c>
      <c r="B4239" s="9" t="inlineStr">
        <is>
          <t>HAIFENG 26/05/2026</t>
        </is>
      </c>
      <c r="C4239" s="9" t="inlineStr">
        <is>
          <t>2026-05-26</t>
        </is>
      </c>
      <c r="D4239" s="9" t="inlineStr">
        <is>
          <t>59436481029869</t>
        </is>
      </c>
      <c r="E4239" s="9" t="inlineStr">
        <is>
          <t>ANILLO LOVE CON ZIRCONIA SILVER</t>
        </is>
      </c>
      <c r="F4239" s="9" t="inlineStr">
        <is>
          <t>5</t>
        </is>
      </c>
      <c r="G4239" s="9" t="n">
        <v>3</v>
      </c>
      <c r="H4239" s="21" t="n">
        <v>1.8</v>
      </c>
      <c r="I4239" s="21" t="n">
        <v>37.78</v>
      </c>
      <c r="J4239" s="21" t="n">
        <v>113.34</v>
      </c>
      <c r="K4239" s="21" t="n">
        <v>132.23</v>
      </c>
      <c r="L4239" s="21" t="n">
        <v>151.12</v>
      </c>
      <c r="M4239" s="21" t="n">
        <v>450</v>
      </c>
    </row>
    <row r="4240">
      <c r="A4240" s="9" t="inlineStr">
        <is>
          <t>HAIFENG</t>
        </is>
      </c>
      <c r="B4240" s="9" t="inlineStr">
        <is>
          <t>HAIFENG 26/05/2026</t>
        </is>
      </c>
      <c r="C4240" s="9" t="inlineStr">
        <is>
          <t>2026-05-26</t>
        </is>
      </c>
      <c r="D4240" s="9" t="inlineStr">
        <is>
          <t>66176a393a025</t>
        </is>
      </c>
      <c r="E4240" s="9" t="inlineStr">
        <is>
          <t>ANILLO LOVE GOLD</t>
        </is>
      </c>
      <c r="F4240" s="9" t="inlineStr">
        <is>
          <t>5</t>
        </is>
      </c>
      <c r="G4240" s="9" t="n">
        <v>4</v>
      </c>
      <c r="H4240" s="21" t="n">
        <v>1.8</v>
      </c>
      <c r="I4240" s="21" t="n">
        <v>37.78</v>
      </c>
      <c r="J4240" s="21" t="n">
        <v>113.34</v>
      </c>
      <c r="K4240" s="21" t="n">
        <v>132.23</v>
      </c>
      <c r="L4240" s="21" t="n">
        <v>151.12</v>
      </c>
      <c r="M4240" s="21" t="n">
        <v>400</v>
      </c>
    </row>
    <row r="4241">
      <c r="A4241" s="9" t="inlineStr">
        <is>
          <t>HAIFENG</t>
        </is>
      </c>
      <c r="B4241" s="9" t="inlineStr">
        <is>
          <t>HAIFENG 26/05/2026</t>
        </is>
      </c>
      <c r="C4241" s="9" t="inlineStr">
        <is>
          <t>2026-05-26</t>
        </is>
      </c>
      <c r="D4241" s="9" t="inlineStr">
        <is>
          <t>66176a3a6e732</t>
        </is>
      </c>
      <c r="E4241" s="9" t="inlineStr">
        <is>
          <t>ANILLO LOVE GOLD</t>
        </is>
      </c>
      <c r="F4241" s="9" t="inlineStr">
        <is>
          <t>7</t>
        </is>
      </c>
      <c r="G4241" s="9" t="n">
        <v>10</v>
      </c>
      <c r="H4241" s="21" t="n">
        <v>1.8</v>
      </c>
      <c r="I4241" s="21" t="n">
        <v>37.78</v>
      </c>
      <c r="J4241" s="21" t="n">
        <v>113.34</v>
      </c>
      <c r="K4241" s="21" t="n">
        <v>132.23</v>
      </c>
      <c r="L4241" s="21" t="n">
        <v>151.12</v>
      </c>
      <c r="M4241" s="21" t="n">
        <v>400</v>
      </c>
    </row>
    <row r="4242">
      <c r="A4242" s="9" t="inlineStr">
        <is>
          <t>HAIFENG</t>
        </is>
      </c>
      <c r="B4242" s="9" t="inlineStr">
        <is>
          <t>HAIFENG 26/05/2026</t>
        </is>
      </c>
      <c r="C4242" s="9" t="inlineStr">
        <is>
          <t>2026-05-26</t>
        </is>
      </c>
      <c r="D4242" s="9" t="inlineStr">
        <is>
          <t>2653021614604</t>
        </is>
      </c>
      <c r="E4242" s="9" t="inlineStr">
        <is>
          <t>ANILLO LOVE GOLD ANCHO</t>
        </is>
      </c>
      <c r="F4242" s="9" t="inlineStr">
        <is>
          <t>11</t>
        </is>
      </c>
      <c r="G4242" s="9" t="n">
        <v>3</v>
      </c>
      <c r="H4242" s="21" t="n">
        <v>1.8</v>
      </c>
      <c r="I4242" s="21" t="n">
        <v>37.78</v>
      </c>
      <c r="J4242" s="21" t="n">
        <v>113.34</v>
      </c>
      <c r="K4242" s="21" t="n">
        <v>132.23</v>
      </c>
      <c r="L4242" s="21" t="n">
        <v>151.12</v>
      </c>
      <c r="M4242" s="21" t="n">
        <v>400</v>
      </c>
    </row>
    <row r="4243">
      <c r="A4243" s="9" t="inlineStr">
        <is>
          <t>HAIFENG</t>
        </is>
      </c>
      <c r="B4243" s="9" t="inlineStr">
        <is>
          <t>HAIFENG 26/05/2026</t>
        </is>
      </c>
      <c r="C4243" s="9" t="inlineStr">
        <is>
          <t>2026-05-26</t>
        </is>
      </c>
      <c r="D4243" s="9" t="inlineStr">
        <is>
          <t>66176c92ddb57</t>
        </is>
      </c>
      <c r="E4243" s="9" t="inlineStr">
        <is>
          <t>ANILLO LOVE GOLD ANCHO CON ZIRCONIA</t>
        </is>
      </c>
      <c r="F4243" s="9" t="inlineStr">
        <is>
          <t>9</t>
        </is>
      </c>
      <c r="G4243" s="9" t="n">
        <v>2</v>
      </c>
      <c r="H4243" s="21" t="n">
        <v>1.8</v>
      </c>
      <c r="I4243" s="21" t="n">
        <v>37.78</v>
      </c>
      <c r="J4243" s="21" t="n">
        <v>113.34</v>
      </c>
      <c r="K4243" s="21" t="n">
        <v>132.23</v>
      </c>
      <c r="L4243" s="21" t="n">
        <v>151.12</v>
      </c>
      <c r="M4243" s="21" t="n">
        <v>450</v>
      </c>
    </row>
    <row r="4244">
      <c r="A4244" s="9" t="inlineStr">
        <is>
          <t>HAIFENG</t>
        </is>
      </c>
      <c r="B4244" s="9" t="inlineStr">
        <is>
          <t>HAIFENG 26/05/2026</t>
        </is>
      </c>
      <c r="C4244" s="9" t="inlineStr">
        <is>
          <t>2026-05-26</t>
        </is>
      </c>
      <c r="D4244" s="9" t="inlineStr">
        <is>
          <t>66593bc1df809</t>
        </is>
      </c>
      <c r="E4244" s="9" t="inlineStr">
        <is>
          <t>ANILLO LOVE MZ GOLD</t>
        </is>
      </c>
      <c r="F4244" s="9" t="inlineStr">
        <is>
          <t>5</t>
        </is>
      </c>
      <c r="G4244" s="9" t="n">
        <v>7</v>
      </c>
      <c r="H4244" s="21" t="n">
        <v>5.8</v>
      </c>
      <c r="I4244" s="21" t="n">
        <v>121.74</v>
      </c>
      <c r="J4244" s="21" t="n">
        <v>365.21</v>
      </c>
      <c r="K4244" s="21" t="n">
        <v>426.08</v>
      </c>
      <c r="L4244" s="21" t="n">
        <v>486.95</v>
      </c>
      <c r="M4244" s="21" t="n">
        <v>550</v>
      </c>
    </row>
    <row r="4245">
      <c r="A4245" s="9" t="inlineStr">
        <is>
          <t>HAIFENG</t>
        </is>
      </c>
      <c r="B4245" s="9" t="inlineStr">
        <is>
          <t>HAIFENG 26/05/2026</t>
        </is>
      </c>
      <c r="C4245" s="9" t="inlineStr">
        <is>
          <t>2026-05-26</t>
        </is>
      </c>
      <c r="D4245" s="9" t="inlineStr">
        <is>
          <t>66593bc4595bd</t>
        </is>
      </c>
      <c r="E4245" s="9" t="inlineStr">
        <is>
          <t>ANILLO LOVE MZ GOLD</t>
        </is>
      </c>
      <c r="F4245" s="9" t="inlineStr">
        <is>
          <t>9</t>
        </is>
      </c>
      <c r="G4245" s="9" t="n">
        <v>2</v>
      </c>
      <c r="H4245" s="21" t="n">
        <v>5.8</v>
      </c>
      <c r="I4245" s="21" t="n">
        <v>121.74</v>
      </c>
      <c r="J4245" s="21" t="n">
        <v>365.21</v>
      </c>
      <c r="K4245" s="21" t="n">
        <v>426.08</v>
      </c>
      <c r="L4245" s="21" t="n">
        <v>486.95</v>
      </c>
      <c r="M4245" s="21" t="n">
        <v>550</v>
      </c>
    </row>
    <row r="4246">
      <c r="A4246" s="9" t="inlineStr">
        <is>
          <t>HAIFENG</t>
        </is>
      </c>
      <c r="B4246" s="9" t="inlineStr">
        <is>
          <t>HAIFENG 26/05/2026</t>
        </is>
      </c>
      <c r="C4246" s="9" t="inlineStr">
        <is>
          <t>2026-05-26</t>
        </is>
      </c>
      <c r="D4246" s="9" t="inlineStr">
        <is>
          <t>66593bc1ef37c</t>
        </is>
      </c>
      <c r="E4246" s="9" t="inlineStr">
        <is>
          <t>ANILLO LOVE MZ SILVER</t>
        </is>
      </c>
      <c r="F4246" s="9" t="inlineStr">
        <is>
          <t>5</t>
        </is>
      </c>
      <c r="G4246" s="9" t="n">
        <v>2</v>
      </c>
      <c r="H4246" s="21" t="n">
        <v>5.8</v>
      </c>
      <c r="I4246" s="21" t="n">
        <v>121.74</v>
      </c>
      <c r="J4246" s="21" t="n">
        <v>365.21</v>
      </c>
      <c r="K4246" s="21" t="n">
        <v>426.08</v>
      </c>
      <c r="L4246" s="21" t="n">
        <v>486.95</v>
      </c>
      <c r="M4246" s="21" t="n">
        <v>550</v>
      </c>
    </row>
    <row r="4247">
      <c r="A4247" s="9" t="inlineStr">
        <is>
          <t>HAIFENG</t>
        </is>
      </c>
      <c r="B4247" s="9" t="inlineStr">
        <is>
          <t>HAIFENG 26/05/2026</t>
        </is>
      </c>
      <c r="C4247" s="9" t="inlineStr">
        <is>
          <t>2026-05-26</t>
        </is>
      </c>
      <c r="D4247" s="9" t="inlineStr">
        <is>
          <t>66593bc3df025</t>
        </is>
      </c>
      <c r="E4247" s="9" t="inlineStr">
        <is>
          <t>ANILLO LOVE MZ SILVER</t>
        </is>
      </c>
      <c r="F4247" s="9" t="inlineStr">
        <is>
          <t>8</t>
        </is>
      </c>
      <c r="G4247" s="9" t="n">
        <v>3</v>
      </c>
      <c r="H4247" s="21" t="n">
        <v>5.8</v>
      </c>
      <c r="I4247" s="21" t="n">
        <v>121.74</v>
      </c>
      <c r="J4247" s="21" t="n">
        <v>365.21</v>
      </c>
      <c r="K4247" s="21" t="n">
        <v>426.08</v>
      </c>
      <c r="L4247" s="21" t="n">
        <v>486.95</v>
      </c>
      <c r="M4247" s="21" t="n">
        <v>550</v>
      </c>
    </row>
    <row r="4248">
      <c r="A4248" s="9" t="inlineStr">
        <is>
          <t>HAIFENG</t>
        </is>
      </c>
      <c r="B4248" s="9" t="inlineStr">
        <is>
          <t>HAIFENG 26/05/2026</t>
        </is>
      </c>
      <c r="C4248" s="9" t="inlineStr">
        <is>
          <t>2026-05-26</t>
        </is>
      </c>
      <c r="D4248" s="9" t="inlineStr">
        <is>
          <t>66176c8482af4</t>
        </is>
      </c>
      <c r="E4248" s="9" t="inlineStr">
        <is>
          <t>ANILLO LOVE SILVER</t>
        </is>
      </c>
      <c r="F4248" s="9" t="inlineStr">
        <is>
          <t>6</t>
        </is>
      </c>
      <c r="G4248" s="9" t="n">
        <v>5</v>
      </c>
      <c r="H4248" s="21" t="n">
        <v>1.8</v>
      </c>
      <c r="I4248" s="21" t="n">
        <v>37.78</v>
      </c>
      <c r="J4248" s="21" t="n">
        <v>113.34</v>
      </c>
      <c r="K4248" s="21" t="n">
        <v>132.23</v>
      </c>
      <c r="L4248" s="21" t="n">
        <v>151.12</v>
      </c>
      <c r="M4248" s="21" t="n">
        <v>400</v>
      </c>
    </row>
    <row r="4249">
      <c r="A4249" s="9" t="inlineStr">
        <is>
          <t>HAIFENG</t>
        </is>
      </c>
      <c r="B4249" s="9" t="inlineStr">
        <is>
          <t>HAIFENG 26/05/2026</t>
        </is>
      </c>
      <c r="C4249" s="9" t="inlineStr">
        <is>
          <t>2026-05-26</t>
        </is>
      </c>
      <c r="D4249" s="9" t="inlineStr">
        <is>
          <t>66176c8628af3</t>
        </is>
      </c>
      <c r="E4249" s="9" t="inlineStr">
        <is>
          <t>ANILLO LOVE SILVER</t>
        </is>
      </c>
      <c r="F4249" s="9" t="inlineStr">
        <is>
          <t>9</t>
        </is>
      </c>
      <c r="G4249" s="9" t="n">
        <v>3</v>
      </c>
      <c r="H4249" s="21" t="n">
        <v>1.8</v>
      </c>
      <c r="I4249" s="21" t="n">
        <v>37.78</v>
      </c>
      <c r="J4249" s="21" t="n">
        <v>113.34</v>
      </c>
      <c r="K4249" s="21" t="n">
        <v>132.23</v>
      </c>
      <c r="L4249" s="21" t="n">
        <v>151.12</v>
      </c>
      <c r="M4249" s="21" t="n">
        <v>400</v>
      </c>
    </row>
    <row r="4250">
      <c r="A4250" s="9" t="inlineStr">
        <is>
          <t>HAIFENG</t>
        </is>
      </c>
      <c r="B4250" s="9" t="inlineStr">
        <is>
          <t>HAIFENG 26/05/2026</t>
        </is>
      </c>
      <c r="C4250" s="9" t="inlineStr">
        <is>
          <t>2026-05-26</t>
        </is>
      </c>
      <c r="D4250" s="9" t="inlineStr">
        <is>
          <t>2653036267660</t>
        </is>
      </c>
      <c r="E4250" s="9" t="inlineStr">
        <is>
          <t>ANILLO LOVE SILVER ANCHO</t>
        </is>
      </c>
      <c r="F4250" s="9" t="inlineStr">
        <is>
          <t>11</t>
        </is>
      </c>
      <c r="G4250" s="9" t="n">
        <v>2</v>
      </c>
      <c r="H4250" s="21" t="n">
        <v>1.8</v>
      </c>
      <c r="I4250" s="21" t="n">
        <v>37.78</v>
      </c>
      <c r="J4250" s="21" t="n">
        <v>113.34</v>
      </c>
      <c r="K4250" s="21" t="n">
        <v>132.23</v>
      </c>
      <c r="L4250" s="21" t="n">
        <v>151.12</v>
      </c>
      <c r="M4250" s="21" t="n">
        <v>400</v>
      </c>
    </row>
    <row r="4251">
      <c r="A4251" s="9" t="inlineStr">
        <is>
          <t>HAIFENG</t>
        </is>
      </c>
      <c r="B4251" s="9" t="inlineStr">
        <is>
          <t>HAIFENG 26/05/2026</t>
        </is>
      </c>
      <c r="C4251" s="9" t="inlineStr">
        <is>
          <t>2026-05-26</t>
        </is>
      </c>
      <c r="D4251" s="9" t="inlineStr">
        <is>
          <t>22064321319469</t>
        </is>
      </c>
      <c r="E4251" s="9" t="inlineStr">
        <is>
          <t>ANILLO LOVE SILVER-BLACK MICROZIRCONIAS</t>
        </is>
      </c>
      <c r="F4251" s="9" t="inlineStr">
        <is>
          <t>8</t>
        </is>
      </c>
      <c r="G4251" s="9" t="n">
        <v>2</v>
      </c>
      <c r="H4251" s="21" t="n">
        <v>12</v>
      </c>
      <c r="I4251" s="21" t="n">
        <v>251.87</v>
      </c>
      <c r="J4251" s="21" t="n">
        <v>755.61</v>
      </c>
      <c r="K4251" s="21" t="n">
        <v>881.55</v>
      </c>
      <c r="L4251" s="21" t="n">
        <v>1007.49</v>
      </c>
      <c r="M4251" s="21" t="n">
        <v>999</v>
      </c>
    </row>
    <row r="4252">
      <c r="A4252" s="9" t="inlineStr">
        <is>
          <t>HAIFENG</t>
        </is>
      </c>
      <c r="B4252" s="9" t="inlineStr">
        <is>
          <t>HAIFENG 26/05/2026</t>
        </is>
      </c>
      <c r="C4252" s="9" t="inlineStr">
        <is>
          <t>2026-05-26</t>
        </is>
      </c>
      <c r="D4252" s="9" t="inlineStr">
        <is>
          <t>21206411294893</t>
        </is>
      </c>
      <c r="E4252" s="9" t="inlineStr">
        <is>
          <t>ANILLO LOVE UNLIMITED GOLD</t>
        </is>
      </c>
      <c r="F4252" s="9" t="inlineStr">
        <is>
          <t>6</t>
        </is>
      </c>
      <c r="G4252" s="9" t="n">
        <v>3</v>
      </c>
      <c r="H4252" s="21" t="n">
        <v>5</v>
      </c>
      <c r="I4252" s="21" t="n">
        <v>104.95</v>
      </c>
      <c r="J4252" s="21" t="n">
        <v>314.84</v>
      </c>
      <c r="K4252" s="21" t="n">
        <v>367.31</v>
      </c>
      <c r="L4252" s="21" t="n">
        <v>419.79</v>
      </c>
      <c r="M4252" s="21" t="n">
        <v>550</v>
      </c>
    </row>
    <row r="4253">
      <c r="A4253" s="9" t="inlineStr">
        <is>
          <t>HAIFENG</t>
        </is>
      </c>
      <c r="B4253" s="9" t="inlineStr">
        <is>
          <t>HAIFENG 26/05/2026</t>
        </is>
      </c>
      <c r="C4253" s="9" t="inlineStr">
        <is>
          <t>2026-05-26</t>
        </is>
      </c>
      <c r="D4253" s="9" t="inlineStr">
        <is>
          <t>21206421781325</t>
        </is>
      </c>
      <c r="E4253" s="9" t="inlineStr">
        <is>
          <t>ANILLO LOVE UNLIMITED SILVER</t>
        </is>
      </c>
      <c r="F4253" s="9" t="inlineStr">
        <is>
          <t>8</t>
        </is>
      </c>
      <c r="G4253" s="9" t="n">
        <v>3</v>
      </c>
      <c r="H4253" s="21" t="n">
        <v>5</v>
      </c>
      <c r="I4253" s="21" t="n">
        <v>104.95</v>
      </c>
      <c r="J4253" s="21" t="n">
        <v>314.84</v>
      </c>
      <c r="K4253" s="21" t="n">
        <v>367.31</v>
      </c>
      <c r="L4253" s="21" t="n">
        <v>419.79</v>
      </c>
      <c r="M4253" s="21" t="n">
        <v>550</v>
      </c>
    </row>
    <row r="4254">
      <c r="A4254" s="9" t="inlineStr">
        <is>
          <t>HAIFENG</t>
        </is>
      </c>
      <c r="B4254" s="9" t="inlineStr">
        <is>
          <t>HAIFENG 26/05/2026</t>
        </is>
      </c>
      <c r="C4254" s="9" t="inlineStr">
        <is>
          <t>2026-05-26</t>
        </is>
      </c>
      <c r="D4254" s="9" t="inlineStr">
        <is>
          <t>21206411515789</t>
        </is>
      </c>
      <c r="E4254" s="9" t="inlineStr">
        <is>
          <t>ANILLO LOVE UNLIMITED SILVER</t>
        </is>
      </c>
      <c r="F4254" s="9" t="inlineStr">
        <is>
          <t>6</t>
        </is>
      </c>
      <c r="G4254" s="9" t="n">
        <v>3</v>
      </c>
      <c r="H4254" s="21" t="n">
        <v>5</v>
      </c>
      <c r="I4254" s="21" t="n">
        <v>104.95</v>
      </c>
      <c r="J4254" s="21" t="n">
        <v>314.84</v>
      </c>
      <c r="K4254" s="21" t="n">
        <v>367.31</v>
      </c>
      <c r="L4254" s="21" t="n">
        <v>419.79</v>
      </c>
      <c r="M4254" s="21" t="n">
        <v>550</v>
      </c>
    </row>
    <row r="4255">
      <c r="A4255" s="9" t="inlineStr">
        <is>
          <t>HAIFENG</t>
        </is>
      </c>
      <c r="B4255" s="9" t="inlineStr">
        <is>
          <t>HAIFENG 26/05/2026</t>
        </is>
      </c>
      <c r="C4255" s="9" t="inlineStr">
        <is>
          <t>2026-05-26</t>
        </is>
      </c>
      <c r="D4255" s="9" t="inlineStr">
        <is>
          <t>41078751514701</t>
        </is>
      </c>
      <c r="E4255" s="9" t="inlineStr">
        <is>
          <t>ANILLO LV GRABADO SILVER</t>
        </is>
      </c>
      <c r="F4255" s="9" t="inlineStr">
        <is>
          <t>9</t>
        </is>
      </c>
      <c r="G4255" s="9" t="n">
        <v>2</v>
      </c>
      <c r="H4255" s="21" t="n">
        <v>6.99</v>
      </c>
      <c r="I4255" s="21" t="n">
        <v>146.72</v>
      </c>
      <c r="J4255" s="21" t="n">
        <v>440.15</v>
      </c>
      <c r="K4255" s="21" t="n">
        <v>513.5</v>
      </c>
      <c r="L4255" s="21" t="n">
        <v>586.86</v>
      </c>
      <c r="M4255" s="21" t="n">
        <v>599</v>
      </c>
    </row>
    <row r="4256">
      <c r="A4256" s="9" t="inlineStr">
        <is>
          <t>HAIFENG</t>
        </is>
      </c>
      <c r="B4256" s="9" t="inlineStr">
        <is>
          <t>HAIFENG 26/05/2026</t>
        </is>
      </c>
      <c r="C4256" s="9" t="inlineStr">
        <is>
          <t>2026-05-26</t>
        </is>
      </c>
      <c r="D4256" s="9" t="inlineStr">
        <is>
          <t>15104861469261</t>
        </is>
      </c>
      <c r="E4256" s="9" t="inlineStr">
        <is>
          <t>ANILLO LV GREEN BLOSSOM STAR ROSE GOLD</t>
        </is>
      </c>
      <c r="F4256" s="9" t="inlineStr">
        <is>
          <t>7</t>
        </is>
      </c>
      <c r="G4256" s="9" t="n">
        <v>2</v>
      </c>
      <c r="H4256" s="21" t="n">
        <v>8.99</v>
      </c>
      <c r="I4256" s="21" t="n">
        <v>188.69</v>
      </c>
      <c r="J4256" s="21" t="n">
        <v>566.08</v>
      </c>
      <c r="K4256" s="21" t="n">
        <v>660.4299999999999</v>
      </c>
      <c r="L4256" s="21" t="n">
        <v>754.78</v>
      </c>
      <c r="M4256" s="21" t="n">
        <v>820</v>
      </c>
    </row>
    <row r="4257">
      <c r="A4257" s="9" t="inlineStr">
        <is>
          <t>HAIFENG</t>
        </is>
      </c>
      <c r="B4257" s="9" t="inlineStr">
        <is>
          <t>HAIFENG 26/05/2026</t>
        </is>
      </c>
      <c r="C4257" s="9" t="inlineStr">
        <is>
          <t>2026-05-26</t>
        </is>
      </c>
      <c r="D4257" s="9" t="inlineStr">
        <is>
          <t>15104861228013</t>
        </is>
      </c>
      <c r="E4257" s="9" t="inlineStr">
        <is>
          <t>ANILLO LV RED BLOSSOM STAR ROSE GOLD</t>
        </is>
      </c>
      <c r="F4257" s="9" t="inlineStr">
        <is>
          <t>7</t>
        </is>
      </c>
      <c r="G4257" s="9" t="n">
        <v>2</v>
      </c>
      <c r="H4257" s="21" t="n">
        <v>8.99</v>
      </c>
      <c r="I4257" s="21" t="n">
        <v>188.69</v>
      </c>
      <c r="J4257" s="21" t="n">
        <v>566.08</v>
      </c>
      <c r="K4257" s="21" t="n">
        <v>660.4299999999999</v>
      </c>
      <c r="L4257" s="21" t="n">
        <v>754.78</v>
      </c>
      <c r="M4257" s="21" t="n">
        <v>820</v>
      </c>
    </row>
    <row r="4258">
      <c r="A4258" s="9" t="inlineStr">
        <is>
          <t>HAIFENG</t>
        </is>
      </c>
      <c r="B4258" s="9" t="inlineStr">
        <is>
          <t>HAIFENG 26/05/2026</t>
        </is>
      </c>
      <c r="C4258" s="9" t="inlineStr">
        <is>
          <t>2026-05-26</t>
        </is>
      </c>
      <c r="D4258" s="9" t="inlineStr">
        <is>
          <t>22064323607661</t>
        </is>
      </c>
      <c r="E4258" s="9" t="inlineStr">
        <is>
          <t>ANILLO MARIPOSA DOBLE SILVER</t>
        </is>
      </c>
      <c r="F4258" s="9" t="inlineStr">
        <is>
          <t>Default Title</t>
        </is>
      </c>
      <c r="G4258" s="9" t="n">
        <v>1</v>
      </c>
      <c r="H4258" s="21" t="n">
        <v>8.9</v>
      </c>
      <c r="I4258" s="21" t="n">
        <v>186.8</v>
      </c>
      <c r="J4258" s="21" t="n">
        <v>560.41</v>
      </c>
      <c r="K4258" s="21" t="n">
        <v>653.8200000000001</v>
      </c>
      <c r="L4258" s="21" t="n">
        <v>747.22</v>
      </c>
      <c r="M4258" s="21" t="n">
        <v>750</v>
      </c>
    </row>
    <row r="4259">
      <c r="A4259" s="9" t="inlineStr">
        <is>
          <t>HAIFENG</t>
        </is>
      </c>
      <c r="B4259" s="9" t="inlineStr">
        <is>
          <t>HAIFENG 26/05/2026</t>
        </is>
      </c>
      <c r="C4259" s="9" t="inlineStr">
        <is>
          <t>2026-05-26</t>
        </is>
      </c>
      <c r="D4259" s="9" t="inlineStr">
        <is>
          <t>22064323845517</t>
        </is>
      </c>
      <c r="E4259" s="9" t="inlineStr">
        <is>
          <t>ANILLO MARIQUITA ROSE GOLD</t>
        </is>
      </c>
      <c r="F4259" s="9" t="inlineStr">
        <is>
          <t>Default Title</t>
        </is>
      </c>
      <c r="G4259" s="9" t="n">
        <v>3</v>
      </c>
      <c r="H4259" s="21" t="n">
        <v>8.9</v>
      </c>
      <c r="I4259" s="21" t="n">
        <v>186.8</v>
      </c>
      <c r="J4259" s="21" t="n">
        <v>560.41</v>
      </c>
      <c r="K4259" s="21" t="n">
        <v>653.8200000000001</v>
      </c>
      <c r="L4259" s="21" t="n">
        <v>747.22</v>
      </c>
      <c r="M4259" s="21" t="n">
        <v>799</v>
      </c>
    </row>
    <row r="4260">
      <c r="A4260" s="9" t="inlineStr">
        <is>
          <t>HAIFENG</t>
        </is>
      </c>
      <c r="B4260" s="9" t="inlineStr">
        <is>
          <t>HAIFENG 26/05/2026</t>
        </is>
      </c>
      <c r="C4260" s="9" t="inlineStr">
        <is>
          <t>2026-05-26</t>
        </is>
      </c>
      <c r="D4260" s="9" t="inlineStr">
        <is>
          <t>673cd55cc4ae5</t>
        </is>
      </c>
      <c r="E4260" s="9" t="inlineStr">
        <is>
          <t>ANILLO ONE T ROSEGOLD</t>
        </is>
      </c>
      <c r="F4260" s="9" t="inlineStr">
        <is>
          <t>6</t>
        </is>
      </c>
      <c r="G4260" s="9" t="n">
        <v>3</v>
      </c>
      <c r="H4260" s="21" t="n">
        <v>4</v>
      </c>
      <c r="I4260" s="21" t="n">
        <v>83.95999999999999</v>
      </c>
      <c r="J4260" s="21" t="n">
        <v>251.87</v>
      </c>
      <c r="K4260" s="21" t="n">
        <v>293.85</v>
      </c>
      <c r="L4260" s="21" t="n">
        <v>335.83</v>
      </c>
      <c r="M4260" s="21" t="n">
        <v>400</v>
      </c>
    </row>
    <row r="4261">
      <c r="A4261" s="9" t="inlineStr">
        <is>
          <t>HAIFENG</t>
        </is>
      </c>
      <c r="B4261" s="9" t="inlineStr">
        <is>
          <t>HAIFENG 26/05/2026</t>
        </is>
      </c>
      <c r="C4261" s="9" t="inlineStr">
        <is>
          <t>2026-05-26</t>
        </is>
      </c>
      <c r="D4261" s="9" t="inlineStr">
        <is>
          <t>29736662661357</t>
        </is>
      </c>
      <c r="E4261" s="9" t="inlineStr">
        <is>
          <t>ANILLO OPEN HEART SILVER</t>
        </is>
      </c>
      <c r="F4261" s="9" t="inlineStr">
        <is>
          <t>8</t>
        </is>
      </c>
      <c r="G4261" s="9" t="n">
        <v>2</v>
      </c>
      <c r="H4261" s="21" t="n">
        <v>6.99</v>
      </c>
      <c r="I4261" s="21" t="n">
        <v>146.72</v>
      </c>
      <c r="J4261" s="21" t="n">
        <v>440.15</v>
      </c>
      <c r="K4261" s="21" t="n">
        <v>513.5</v>
      </c>
      <c r="L4261" s="21" t="n">
        <v>586.86</v>
      </c>
      <c r="M4261" s="21" t="n">
        <v>599</v>
      </c>
    </row>
    <row r="4262">
      <c r="A4262" s="9" t="inlineStr">
        <is>
          <t>HAIFENG</t>
        </is>
      </c>
      <c r="B4262" s="9" t="inlineStr">
        <is>
          <t>HAIFENG 26/05/2026</t>
        </is>
      </c>
      <c r="C4262" s="9" t="inlineStr">
        <is>
          <t>2026-05-26</t>
        </is>
      </c>
      <c r="D4262" s="9" t="inlineStr">
        <is>
          <t>43047226605708</t>
        </is>
      </c>
      <c r="E4262" s="9" t="inlineStr">
        <is>
          <t>ANILLO SIXTEEN STONE</t>
        </is>
      </c>
      <c r="F4262" s="9" t="inlineStr">
        <is>
          <t>HIGH QUALITY 8</t>
        </is>
      </c>
      <c r="G4262" s="9" t="n">
        <v>2</v>
      </c>
      <c r="H4262" s="21" t="n">
        <v>6</v>
      </c>
      <c r="I4262" s="21" t="n">
        <v>125.94</v>
      </c>
      <c r="J4262" s="21" t="n">
        <v>377.81</v>
      </c>
      <c r="K4262" s="21" t="n">
        <v>440.78</v>
      </c>
      <c r="L4262" s="21" t="n">
        <v>503.74</v>
      </c>
      <c r="M4262" s="21" t="n">
        <v>550</v>
      </c>
    </row>
    <row r="4263">
      <c r="A4263" s="9" t="inlineStr">
        <is>
          <t>HAIFENG</t>
        </is>
      </c>
      <c r="B4263" s="9" t="inlineStr">
        <is>
          <t>HAIFENG 26/05/2026</t>
        </is>
      </c>
      <c r="C4263" s="9" t="inlineStr">
        <is>
          <t>2026-05-26</t>
        </is>
      </c>
      <c r="D4263" s="9" t="inlineStr">
        <is>
          <t>43047226638476</t>
        </is>
      </c>
      <c r="E4263" s="9" t="inlineStr">
        <is>
          <t>ANILLO SIXTEEN STONE</t>
        </is>
      </c>
      <c r="F4263" s="9" t="inlineStr">
        <is>
          <t>HIGH QUALITY 9</t>
        </is>
      </c>
      <c r="G4263" s="9" t="n">
        <v>5</v>
      </c>
      <c r="H4263" s="21" t="n">
        <v>6</v>
      </c>
      <c r="I4263" s="21" t="n">
        <v>125.94</v>
      </c>
      <c r="J4263" s="21" t="n">
        <v>377.81</v>
      </c>
      <c r="K4263" s="21" t="n">
        <v>440.78</v>
      </c>
      <c r="L4263" s="21" t="n">
        <v>503.74</v>
      </c>
      <c r="M4263" s="21" t="n">
        <v>550</v>
      </c>
    </row>
    <row r="4264">
      <c r="A4264" s="9" t="inlineStr">
        <is>
          <t>HAIFENG</t>
        </is>
      </c>
      <c r="B4264" s="9" t="inlineStr">
        <is>
          <t>HAIFENG 26/05/2026</t>
        </is>
      </c>
      <c r="C4264" s="9" t="inlineStr">
        <is>
          <t>2026-05-26</t>
        </is>
      </c>
      <c r="D4264" s="9" t="inlineStr">
        <is>
          <t>56481484246028</t>
        </is>
      </c>
      <c r="E4264" s="9" t="inlineStr">
        <is>
          <t>ANILLO SIXTEEN STONE GOLD/RED</t>
        </is>
      </c>
      <c r="F4264" s="9" t="inlineStr">
        <is>
          <t>6</t>
        </is>
      </c>
      <c r="G4264" s="9" t="n">
        <v>4</v>
      </c>
      <c r="H4264" s="21" t="n">
        <v>6</v>
      </c>
      <c r="I4264" s="21" t="n">
        <v>125.94</v>
      </c>
      <c r="J4264" s="21" t="n">
        <v>377.81</v>
      </c>
      <c r="K4264" s="21" t="n">
        <v>440.78</v>
      </c>
      <c r="L4264" s="21" t="n">
        <v>503.74</v>
      </c>
      <c r="M4264" s="21" t="n">
        <v>550</v>
      </c>
    </row>
    <row r="4265">
      <c r="A4265" s="9" t="inlineStr">
        <is>
          <t>HAIFENG</t>
        </is>
      </c>
      <c r="B4265" s="9" t="inlineStr">
        <is>
          <t>HAIFENG 26/05/2026</t>
        </is>
      </c>
      <c r="C4265" s="9" t="inlineStr">
        <is>
          <t>2026-05-26</t>
        </is>
      </c>
      <c r="D4265" s="9" t="inlineStr">
        <is>
          <t>76843721024525</t>
        </is>
      </c>
      <c r="E4265" s="9" t="inlineStr">
        <is>
          <t>ANILLO SIXTEEN STONE GOLD/RED</t>
        </is>
      </c>
      <c r="F4265" s="9" t="inlineStr">
        <is>
          <t>9</t>
        </is>
      </c>
      <c r="G4265" s="9" t="n">
        <v>2</v>
      </c>
      <c r="H4265" s="21" t="n">
        <v>6</v>
      </c>
      <c r="I4265" s="21" t="n">
        <v>125.94</v>
      </c>
      <c r="J4265" s="21" t="n">
        <v>377.81</v>
      </c>
      <c r="K4265" s="21" t="n">
        <v>440.78</v>
      </c>
      <c r="L4265" s="21" t="n">
        <v>503.74</v>
      </c>
      <c r="M4265" s="21" t="n">
        <v>550</v>
      </c>
    </row>
    <row r="4266">
      <c r="A4266" s="9" t="inlineStr">
        <is>
          <t>HAIFENG</t>
        </is>
      </c>
      <c r="B4266" s="9" t="inlineStr">
        <is>
          <t>HAIFENG 26/05/2026</t>
        </is>
      </c>
      <c r="C4266" s="9" t="inlineStr">
        <is>
          <t>2026-05-26</t>
        </is>
      </c>
      <c r="D4266" s="9" t="inlineStr">
        <is>
          <t>59109723011725</t>
        </is>
      </c>
      <c r="E4266" s="9" t="inlineStr">
        <is>
          <t>ANILLO SIXTEEN STONE SCHLUM</t>
        </is>
      </c>
      <c r="F4266" s="9" t="inlineStr">
        <is>
          <t>6</t>
        </is>
      </c>
      <c r="G4266" s="9" t="n">
        <v>2</v>
      </c>
      <c r="H4266" s="21" t="n">
        <v>5.5</v>
      </c>
      <c r="I4266" s="21" t="n">
        <v>115.44</v>
      </c>
      <c r="J4266" s="21" t="n">
        <v>346.32</v>
      </c>
      <c r="K4266" s="21" t="n">
        <v>404.04</v>
      </c>
      <c r="L4266" s="21" t="n">
        <v>461.76</v>
      </c>
      <c r="M4266" s="21" t="n">
        <v>460</v>
      </c>
    </row>
    <row r="4267">
      <c r="A4267" s="9" t="inlineStr">
        <is>
          <t>HAIFENG</t>
        </is>
      </c>
      <c r="B4267" s="9" t="inlineStr">
        <is>
          <t>HAIFENG 26/05/2026</t>
        </is>
      </c>
      <c r="C4267" s="9" t="inlineStr">
        <is>
          <t>2026-05-26</t>
        </is>
      </c>
      <c r="D4267" s="9" t="inlineStr">
        <is>
          <t>59109723144493</t>
        </is>
      </c>
      <c r="E4267" s="9" t="inlineStr">
        <is>
          <t>ANILLO SIXTEEN STONE SCHLUM</t>
        </is>
      </c>
      <c r="F4267" s="9" t="inlineStr">
        <is>
          <t>7</t>
        </is>
      </c>
      <c r="G4267" s="9" t="n">
        <v>2</v>
      </c>
      <c r="H4267" s="21" t="n">
        <v>5.5</v>
      </c>
      <c r="I4267" s="21" t="n">
        <v>115.44</v>
      </c>
      <c r="J4267" s="21" t="n">
        <v>346.32</v>
      </c>
      <c r="K4267" s="21" t="n">
        <v>404.04</v>
      </c>
      <c r="L4267" s="21" t="n">
        <v>461.76</v>
      </c>
      <c r="M4267" s="21" t="n">
        <v>460</v>
      </c>
    </row>
    <row r="4268">
      <c r="A4268" s="9" t="inlineStr">
        <is>
          <t>HAIFENG</t>
        </is>
      </c>
      <c r="B4268" s="9" t="inlineStr">
        <is>
          <t>HAIFENG 26/05/2026</t>
        </is>
      </c>
      <c r="C4268" s="9" t="inlineStr">
        <is>
          <t>2026-05-26</t>
        </is>
      </c>
      <c r="D4268" s="9" t="inlineStr">
        <is>
          <t>59109723277261</t>
        </is>
      </c>
      <c r="E4268" s="9" t="inlineStr">
        <is>
          <t>ANILLO SIXTEEN STONE SCHLUM</t>
        </is>
      </c>
      <c r="F4268" s="9" t="inlineStr">
        <is>
          <t>8</t>
        </is>
      </c>
      <c r="G4268" s="9" t="n">
        <v>2</v>
      </c>
      <c r="H4268" s="21" t="n">
        <v>5.5</v>
      </c>
      <c r="I4268" s="21" t="n">
        <v>115.44</v>
      </c>
      <c r="J4268" s="21" t="n">
        <v>346.32</v>
      </c>
      <c r="K4268" s="21" t="n">
        <v>404.04</v>
      </c>
      <c r="L4268" s="21" t="n">
        <v>461.76</v>
      </c>
      <c r="M4268" s="21" t="n">
        <v>460</v>
      </c>
    </row>
    <row r="4269">
      <c r="A4269" s="9" t="inlineStr">
        <is>
          <t>HAIFENG</t>
        </is>
      </c>
      <c r="B4269" s="9" t="inlineStr">
        <is>
          <t>HAIFENG 26/05/2026</t>
        </is>
      </c>
      <c r="C4269" s="9" t="inlineStr">
        <is>
          <t>2026-05-26</t>
        </is>
      </c>
      <c r="D4269" s="9" t="inlineStr">
        <is>
          <t>59109722620205</t>
        </is>
      </c>
      <c r="E4269" s="9" t="inlineStr">
        <is>
          <t>ANILLO T BUGS BUTTERFLY</t>
        </is>
      </c>
      <c r="F4269" s="9" t="inlineStr">
        <is>
          <t>6</t>
        </is>
      </c>
      <c r="G4269" s="9" t="n">
        <v>2</v>
      </c>
      <c r="H4269" s="21" t="n">
        <v>5</v>
      </c>
      <c r="I4269" s="21" t="n">
        <v>104.95</v>
      </c>
      <c r="J4269" s="21" t="n">
        <v>314.84</v>
      </c>
      <c r="K4269" s="21" t="n">
        <v>367.31</v>
      </c>
      <c r="L4269" s="21" t="n">
        <v>419.79</v>
      </c>
      <c r="M4269" s="21" t="n">
        <v>450</v>
      </c>
    </row>
    <row r="4270">
      <c r="A4270" s="9" t="inlineStr">
        <is>
          <t>HAIFENG</t>
        </is>
      </c>
      <c r="B4270" s="9" t="inlineStr">
        <is>
          <t>HAIFENG 26/05/2026</t>
        </is>
      </c>
      <c r="C4270" s="9" t="inlineStr">
        <is>
          <t>2026-05-26</t>
        </is>
      </c>
      <c r="D4270" s="9" t="inlineStr">
        <is>
          <t>59109722752973</t>
        </is>
      </c>
      <c r="E4270" s="9" t="inlineStr">
        <is>
          <t>ANILLO T BUGS BUTTERFLY</t>
        </is>
      </c>
      <c r="F4270" s="9" t="inlineStr">
        <is>
          <t>7</t>
        </is>
      </c>
      <c r="G4270" s="9" t="n">
        <v>2</v>
      </c>
      <c r="H4270" s="21" t="n">
        <v>5</v>
      </c>
      <c r="I4270" s="21" t="n">
        <v>104.95</v>
      </c>
      <c r="J4270" s="21" t="n">
        <v>314.84</v>
      </c>
      <c r="K4270" s="21" t="n">
        <v>367.31</v>
      </c>
      <c r="L4270" s="21" t="n">
        <v>419.79</v>
      </c>
      <c r="M4270" s="21" t="n">
        <v>450</v>
      </c>
    </row>
    <row r="4271">
      <c r="A4271" s="9" t="inlineStr">
        <is>
          <t>HAIFENG</t>
        </is>
      </c>
      <c r="B4271" s="9" t="inlineStr">
        <is>
          <t>HAIFENG 26/05/2026</t>
        </is>
      </c>
      <c r="C4271" s="9" t="inlineStr">
        <is>
          <t>2026-05-26</t>
        </is>
      </c>
      <c r="D4271" s="9" t="inlineStr">
        <is>
          <t>668eee497dfb4</t>
        </is>
      </c>
      <c r="E4271" s="9" t="inlineStr">
        <is>
          <t>ANILLO T CON TURQUESA Y ZIRCONIA</t>
        </is>
      </c>
      <c r="F4271" s="9" t="inlineStr">
        <is>
          <t>AJUSTABLE</t>
        </is>
      </c>
      <c r="G4271" s="9" t="n">
        <v>5</v>
      </c>
      <c r="H4271" s="21" t="n">
        <v>5</v>
      </c>
      <c r="I4271" s="21" t="n">
        <v>104.95</v>
      </c>
      <c r="J4271" s="21" t="n">
        <v>314.84</v>
      </c>
      <c r="K4271" s="21" t="n">
        <v>367.31</v>
      </c>
      <c r="L4271" s="21" t="n">
        <v>419.79</v>
      </c>
      <c r="M4271" s="21" t="n">
        <v>450</v>
      </c>
    </row>
    <row r="4272">
      <c r="A4272" s="9" t="inlineStr">
        <is>
          <t>HAIFENG</t>
        </is>
      </c>
      <c r="B4272" s="9" t="inlineStr">
        <is>
          <t>HAIFENG 26/05/2026</t>
        </is>
      </c>
      <c r="C4272" s="9" t="inlineStr">
        <is>
          <t>2026-05-26</t>
        </is>
      </c>
      <c r="D4272" s="9" t="inlineStr">
        <is>
          <t>668eecd447a15</t>
        </is>
      </c>
      <c r="E4272" s="9" t="inlineStr">
        <is>
          <t>ANILLO T GOLD</t>
        </is>
      </c>
      <c r="F4272" s="9" t="inlineStr">
        <is>
          <t>6</t>
        </is>
      </c>
      <c r="G4272" s="9" t="n">
        <v>8</v>
      </c>
      <c r="H4272" s="21" t="n">
        <v>5</v>
      </c>
      <c r="I4272" s="21" t="n">
        <v>104.95</v>
      </c>
      <c r="J4272" s="21" t="n">
        <v>314.84</v>
      </c>
      <c r="K4272" s="21" t="n">
        <v>367.31</v>
      </c>
      <c r="L4272" s="21" t="n">
        <v>419.79</v>
      </c>
      <c r="M4272" s="21" t="n">
        <v>450</v>
      </c>
    </row>
    <row r="4273">
      <c r="A4273" s="9" t="inlineStr">
        <is>
          <t>HAIFENG</t>
        </is>
      </c>
      <c r="B4273" s="9" t="inlineStr">
        <is>
          <t>HAIFENG 26/05/2026</t>
        </is>
      </c>
      <c r="C4273" s="9" t="inlineStr">
        <is>
          <t>2026-05-26</t>
        </is>
      </c>
      <c r="D4273" s="9" t="inlineStr">
        <is>
          <t>668eecd4df850</t>
        </is>
      </c>
      <c r="E4273" s="9" t="inlineStr">
        <is>
          <t>ANILLO T GOLD</t>
        </is>
      </c>
      <c r="F4273" s="9" t="inlineStr">
        <is>
          <t>7</t>
        </is>
      </c>
      <c r="G4273" s="9" t="n">
        <v>10</v>
      </c>
      <c r="H4273" s="21" t="n">
        <v>5</v>
      </c>
      <c r="I4273" s="21" t="n">
        <v>104.95</v>
      </c>
      <c r="J4273" s="21" t="n">
        <v>314.84</v>
      </c>
      <c r="K4273" s="21" t="n">
        <v>367.31</v>
      </c>
      <c r="L4273" s="21" t="n">
        <v>419.79</v>
      </c>
      <c r="M4273" s="21" t="n">
        <v>450</v>
      </c>
    </row>
    <row r="4274">
      <c r="A4274" s="9" t="inlineStr">
        <is>
          <t>HAIFENG</t>
        </is>
      </c>
      <c r="B4274" s="9" t="inlineStr">
        <is>
          <t>HAIFENG 26/05/2026</t>
        </is>
      </c>
      <c r="C4274" s="9" t="inlineStr">
        <is>
          <t>2026-05-26</t>
        </is>
      </c>
      <c r="D4274" s="9" t="inlineStr">
        <is>
          <t>59109722815117</t>
        </is>
      </c>
      <c r="E4274" s="9" t="inlineStr">
        <is>
          <t>ANILLO T LADY BUG</t>
        </is>
      </c>
      <c r="F4274" s="9" t="inlineStr">
        <is>
          <t>6</t>
        </is>
      </c>
      <c r="G4274" s="9" t="n">
        <v>2</v>
      </c>
      <c r="H4274" s="21" t="n">
        <v>5</v>
      </c>
      <c r="I4274" s="21" t="n">
        <v>104.95</v>
      </c>
      <c r="J4274" s="21" t="n">
        <v>314.84</v>
      </c>
      <c r="K4274" s="21" t="n">
        <v>367.31</v>
      </c>
      <c r="L4274" s="21" t="n">
        <v>419.79</v>
      </c>
      <c r="M4274" s="21" t="n">
        <v>450</v>
      </c>
    </row>
    <row r="4275">
      <c r="A4275" s="9" t="inlineStr">
        <is>
          <t>HAIFENG</t>
        </is>
      </c>
      <c r="B4275" s="9" t="inlineStr">
        <is>
          <t>HAIFENG 26/05/2026</t>
        </is>
      </c>
      <c r="C4275" s="9" t="inlineStr">
        <is>
          <t>2026-05-26</t>
        </is>
      </c>
      <c r="D4275" s="9" t="inlineStr">
        <is>
          <t>59109722947885</t>
        </is>
      </c>
      <c r="E4275" s="9" t="inlineStr">
        <is>
          <t>ANILLO T LADY BUG</t>
        </is>
      </c>
      <c r="F4275" s="9" t="inlineStr">
        <is>
          <t>7</t>
        </is>
      </c>
      <c r="G4275" s="9" t="n">
        <v>2</v>
      </c>
      <c r="H4275" s="21" t="n">
        <v>5</v>
      </c>
      <c r="I4275" s="21" t="n">
        <v>104.95</v>
      </c>
      <c r="J4275" s="21" t="n">
        <v>314.84</v>
      </c>
      <c r="K4275" s="21" t="n">
        <v>367.31</v>
      </c>
      <c r="L4275" s="21" t="n">
        <v>419.79</v>
      </c>
      <c r="M4275" s="21" t="n">
        <v>450</v>
      </c>
    </row>
    <row r="4276">
      <c r="A4276" s="9" t="inlineStr">
        <is>
          <t>HAIFENG</t>
        </is>
      </c>
      <c r="B4276" s="9" t="inlineStr">
        <is>
          <t>HAIFENG 26/05/2026</t>
        </is>
      </c>
      <c r="C4276" s="9" t="inlineStr">
        <is>
          <t>2026-05-26</t>
        </is>
      </c>
      <c r="D4276" s="9" t="inlineStr">
        <is>
          <t>59109722426989</t>
        </is>
      </c>
      <c r="E4276" s="9" t="inlineStr">
        <is>
          <t>ANILLO T LOVE HEART</t>
        </is>
      </c>
      <c r="F4276" s="9" t="inlineStr">
        <is>
          <t>6</t>
        </is>
      </c>
      <c r="G4276" s="9" t="n">
        <v>2</v>
      </c>
      <c r="H4276" s="21" t="n">
        <v>5.5</v>
      </c>
      <c r="I4276" s="21" t="n">
        <v>115.44</v>
      </c>
      <c r="J4276" s="21" t="n">
        <v>346.32</v>
      </c>
      <c r="K4276" s="21" t="n">
        <v>404.04</v>
      </c>
      <c r="L4276" s="21" t="n">
        <v>461.76</v>
      </c>
      <c r="M4276" s="21" t="n">
        <v>500</v>
      </c>
    </row>
    <row r="4277">
      <c r="A4277" s="9" t="inlineStr">
        <is>
          <t>HAIFENG</t>
        </is>
      </c>
      <c r="B4277" s="9" t="inlineStr">
        <is>
          <t>HAIFENG 26/05/2026</t>
        </is>
      </c>
      <c r="C4277" s="9" t="inlineStr">
        <is>
          <t>2026-05-26</t>
        </is>
      </c>
      <c r="D4277" s="9" t="inlineStr">
        <is>
          <t>59109722559757</t>
        </is>
      </c>
      <c r="E4277" s="9" t="inlineStr">
        <is>
          <t>ANILLO T LOVE HEART</t>
        </is>
      </c>
      <c r="F4277" s="9" t="inlineStr">
        <is>
          <t>7</t>
        </is>
      </c>
      <c r="G4277" s="9" t="n">
        <v>2</v>
      </c>
      <c r="H4277" s="21" t="n">
        <v>5.5</v>
      </c>
      <c r="I4277" s="21" t="n">
        <v>115.44</v>
      </c>
      <c r="J4277" s="21" t="n">
        <v>346.32</v>
      </c>
      <c r="K4277" s="21" t="n">
        <v>404.04</v>
      </c>
      <c r="L4277" s="21" t="n">
        <v>461.76</v>
      </c>
      <c r="M4277" s="21" t="n">
        <v>500</v>
      </c>
    </row>
    <row r="4278">
      <c r="A4278" s="9" t="inlineStr">
        <is>
          <t>HAIFENG</t>
        </is>
      </c>
      <c r="B4278" s="9" t="inlineStr">
        <is>
          <t>HAIFENG 26/05/2026</t>
        </is>
      </c>
      <c r="C4278" s="9" t="inlineStr">
        <is>
          <t>2026-05-26</t>
        </is>
      </c>
      <c r="D4278" s="9" t="inlineStr">
        <is>
          <t>59109722266541</t>
        </is>
      </c>
      <c r="E4278" s="9" t="inlineStr">
        <is>
          <t>ANILLO T PADLOCK SILVER</t>
        </is>
      </c>
      <c r="F4278" s="9" t="inlineStr">
        <is>
          <t>7</t>
        </is>
      </c>
      <c r="G4278" s="9" t="n">
        <v>2</v>
      </c>
      <c r="H4278" s="21" t="n">
        <v>5</v>
      </c>
      <c r="I4278" s="21" t="n">
        <v>104.95</v>
      </c>
      <c r="J4278" s="21" t="n">
        <v>314.84</v>
      </c>
      <c r="K4278" s="21" t="n">
        <v>367.31</v>
      </c>
      <c r="L4278" s="21" t="n">
        <v>419.79</v>
      </c>
      <c r="M4278" s="21" t="n">
        <v>450</v>
      </c>
    </row>
    <row r="4279">
      <c r="A4279" s="9" t="inlineStr">
        <is>
          <t>HAIFENG</t>
        </is>
      </c>
      <c r="B4279" s="9" t="inlineStr">
        <is>
          <t>HAIFENG 26/05/2026</t>
        </is>
      </c>
      <c r="C4279" s="9" t="inlineStr">
        <is>
          <t>2026-05-26</t>
        </is>
      </c>
      <c r="D4279" s="9" t="inlineStr">
        <is>
          <t>59109722399309</t>
        </is>
      </c>
      <c r="E4279" s="9" t="inlineStr">
        <is>
          <t>ANILLO T PADLOCK SILVER</t>
        </is>
      </c>
      <c r="F4279" s="9" t="inlineStr">
        <is>
          <t>8</t>
        </is>
      </c>
      <c r="G4279" s="9" t="n">
        <v>2</v>
      </c>
      <c r="H4279" s="21" t="n">
        <v>5</v>
      </c>
      <c r="I4279" s="21" t="n">
        <v>104.95</v>
      </c>
      <c r="J4279" s="21" t="n">
        <v>314.84</v>
      </c>
      <c r="K4279" s="21" t="n">
        <v>367.31</v>
      </c>
      <c r="L4279" s="21" t="n">
        <v>419.79</v>
      </c>
      <c r="M4279" s="21" t="n">
        <v>450</v>
      </c>
    </row>
    <row r="4280">
      <c r="A4280" s="9" t="inlineStr">
        <is>
          <t>HAIFENG</t>
        </is>
      </c>
      <c r="B4280" s="9" t="inlineStr">
        <is>
          <t>HAIFENG 26/05/2026</t>
        </is>
      </c>
      <c r="C4280" s="9" t="inlineStr">
        <is>
          <t>2026-05-26</t>
        </is>
      </c>
      <c r="D4280" s="9" t="inlineStr">
        <is>
          <t>29736662086733</t>
        </is>
      </c>
      <c r="E4280" s="9" t="inlineStr">
        <is>
          <t>ANILLO T SERPIENTE GOLD</t>
        </is>
      </c>
      <c r="F4280" s="9" t="inlineStr">
        <is>
          <t>7</t>
        </is>
      </c>
      <c r="G4280" s="9" t="n">
        <v>2</v>
      </c>
      <c r="H4280" s="21" t="n">
        <v>5</v>
      </c>
      <c r="I4280" s="21" t="n">
        <v>104.95</v>
      </c>
      <c r="J4280" s="21" t="n">
        <v>314.84</v>
      </c>
      <c r="K4280" s="21" t="n">
        <v>367.31</v>
      </c>
      <c r="L4280" s="21" t="n">
        <v>419.79</v>
      </c>
      <c r="M4280" s="21" t="n">
        <v>600</v>
      </c>
    </row>
    <row r="4281">
      <c r="A4281" s="9" t="inlineStr">
        <is>
          <t>HAIFENG</t>
        </is>
      </c>
      <c r="B4281" s="9" t="inlineStr">
        <is>
          <t>HAIFENG 26/05/2026</t>
        </is>
      </c>
      <c r="C4281" s="9" t="inlineStr">
        <is>
          <t>2026-05-26</t>
        </is>
      </c>
      <c r="D4281" s="9" t="inlineStr">
        <is>
          <t>29736662752941</t>
        </is>
      </c>
      <c r="E4281" s="9" t="inlineStr">
        <is>
          <t>ANILLO T SILVER CON ZIRCONIA</t>
        </is>
      </c>
      <c r="F4281" s="9" t="inlineStr">
        <is>
          <t>7</t>
        </is>
      </c>
      <c r="G4281" s="9" t="n">
        <v>3</v>
      </c>
      <c r="H4281" s="21" t="n">
        <v>4</v>
      </c>
      <c r="I4281" s="21" t="n">
        <v>83.95999999999999</v>
      </c>
      <c r="J4281" s="21" t="n">
        <v>251.87</v>
      </c>
      <c r="K4281" s="21" t="n">
        <v>293.85</v>
      </c>
      <c r="L4281" s="21" t="n">
        <v>335.83</v>
      </c>
      <c r="M4281" s="21" t="n">
        <v>650</v>
      </c>
    </row>
    <row r="4282">
      <c r="A4282" s="9" t="inlineStr">
        <is>
          <t>HAIFENG</t>
        </is>
      </c>
      <c r="B4282" s="9" t="inlineStr">
        <is>
          <t>HAIFENG 26/05/2026</t>
        </is>
      </c>
      <c r="C4282" s="9" t="inlineStr">
        <is>
          <t>2026-05-26</t>
        </is>
      </c>
      <c r="D4282" s="9" t="inlineStr">
        <is>
          <t>59109723572173</t>
        </is>
      </c>
      <c r="E4282" s="9" t="inlineStr">
        <is>
          <t>ANILLO T STERLING SILVER</t>
        </is>
      </c>
      <c r="F4282" s="9" t="inlineStr">
        <is>
          <t>8</t>
        </is>
      </c>
      <c r="G4282" s="9" t="n">
        <v>2</v>
      </c>
      <c r="H4282" s="21" t="n">
        <v>6</v>
      </c>
      <c r="I4282" s="21" t="n">
        <v>125.94</v>
      </c>
      <c r="J4282" s="21" t="n">
        <v>377.81</v>
      </c>
      <c r="K4282" s="21" t="n">
        <v>440.78</v>
      </c>
      <c r="L4282" s="21" t="n">
        <v>503.74</v>
      </c>
      <c r="M4282" s="21" t="n">
        <v>0</v>
      </c>
    </row>
    <row r="4283">
      <c r="A4283" s="9" t="inlineStr">
        <is>
          <t>HAIFENG</t>
        </is>
      </c>
      <c r="B4283" s="9" t="inlineStr">
        <is>
          <t>HAIFENG 26/05/2026</t>
        </is>
      </c>
      <c r="C4283" s="9" t="inlineStr">
        <is>
          <t>2026-05-26</t>
        </is>
      </c>
      <c r="D4283" s="9" t="inlineStr">
        <is>
          <t>59109723604941</t>
        </is>
      </c>
      <c r="E4283" s="9" t="inlineStr">
        <is>
          <t>ANILLO T STERLING SILVER</t>
        </is>
      </c>
      <c r="F4283" s="9" t="inlineStr">
        <is>
          <t>9</t>
        </is>
      </c>
      <c r="G4283" s="9" t="n">
        <v>1</v>
      </c>
      <c r="H4283" s="21" t="n">
        <v>6</v>
      </c>
      <c r="I4283" s="21" t="n">
        <v>125.94</v>
      </c>
      <c r="J4283" s="21" t="n">
        <v>377.81</v>
      </c>
      <c r="K4283" s="21" t="n">
        <v>440.78</v>
      </c>
      <c r="L4283" s="21" t="n">
        <v>503.74</v>
      </c>
      <c r="M4283" s="21" t="n">
        <v>0</v>
      </c>
    </row>
    <row r="4284">
      <c r="A4284" s="9" t="inlineStr">
        <is>
          <t>HAIFENG</t>
        </is>
      </c>
      <c r="B4284" s="9" t="inlineStr">
        <is>
          <t>HAIFENG 26/05/2026</t>
        </is>
      </c>
      <c r="C4284" s="9" t="inlineStr">
        <is>
          <t>2026-05-26</t>
        </is>
      </c>
      <c r="D4284" s="9" t="inlineStr">
        <is>
          <t>59109723341101</t>
        </is>
      </c>
      <c r="E4284" s="9" t="inlineStr">
        <is>
          <t>ANILLO T VICTORIA VINE</t>
        </is>
      </c>
      <c r="F4284" s="9" t="inlineStr">
        <is>
          <t>6</t>
        </is>
      </c>
      <c r="G4284" s="9" t="n">
        <v>2</v>
      </c>
      <c r="H4284" s="21" t="n">
        <v>6.5</v>
      </c>
      <c r="I4284" s="21" t="n">
        <v>136.43</v>
      </c>
      <c r="J4284" s="21" t="n">
        <v>409.29</v>
      </c>
      <c r="K4284" s="21" t="n">
        <v>477.51</v>
      </c>
      <c r="L4284" s="21" t="n">
        <v>545.72</v>
      </c>
      <c r="M4284" s="21" t="n">
        <v>550</v>
      </c>
    </row>
    <row r="4285">
      <c r="A4285" s="9" t="inlineStr">
        <is>
          <t>HAIFENG</t>
        </is>
      </c>
      <c r="B4285" s="9" t="inlineStr">
        <is>
          <t>HAIFENG 26/05/2026</t>
        </is>
      </c>
      <c r="C4285" s="9" t="inlineStr">
        <is>
          <t>2026-05-26</t>
        </is>
      </c>
      <c r="D4285" s="9" t="inlineStr">
        <is>
          <t>59109723473869</t>
        </is>
      </c>
      <c r="E4285" s="9" t="inlineStr">
        <is>
          <t>ANILLO T VICTORIA VINE</t>
        </is>
      </c>
      <c r="F4285" s="9" t="inlineStr">
        <is>
          <t>7</t>
        </is>
      </c>
      <c r="G4285" s="9" t="n">
        <v>2</v>
      </c>
      <c r="H4285" s="21" t="n">
        <v>6.5</v>
      </c>
      <c r="I4285" s="21" t="n">
        <v>136.43</v>
      </c>
      <c r="J4285" s="21" t="n">
        <v>409.29</v>
      </c>
      <c r="K4285" s="21" t="n">
        <v>477.51</v>
      </c>
      <c r="L4285" s="21" t="n">
        <v>545.72</v>
      </c>
      <c r="M4285" s="21" t="n">
        <v>550</v>
      </c>
    </row>
    <row r="4286">
      <c r="A4286" s="9" t="inlineStr">
        <is>
          <t>HAIFENG</t>
        </is>
      </c>
      <c r="B4286" s="9" t="inlineStr">
        <is>
          <t>HAIFENG 26/05/2026</t>
        </is>
      </c>
      <c r="C4286" s="9" t="inlineStr">
        <is>
          <t>2026-05-26</t>
        </is>
      </c>
      <c r="D4286" s="9" t="inlineStr">
        <is>
          <t>29736661818349</t>
        </is>
      </c>
      <c r="E4286" s="9" t="inlineStr">
        <is>
          <t>ANILLO T X GOLD</t>
        </is>
      </c>
      <c r="F4286" s="9" t="inlineStr">
        <is>
          <t>6</t>
        </is>
      </c>
      <c r="G4286" s="9" t="n">
        <v>3</v>
      </c>
      <c r="H4286" s="21" t="n">
        <v>6</v>
      </c>
      <c r="I4286" s="21" t="n">
        <v>125.94</v>
      </c>
      <c r="J4286" s="21" t="n">
        <v>377.81</v>
      </c>
      <c r="K4286" s="21" t="n">
        <v>440.78</v>
      </c>
      <c r="L4286" s="21" t="n">
        <v>503.74</v>
      </c>
      <c r="M4286" s="21" t="n">
        <v>550</v>
      </c>
    </row>
    <row r="4287">
      <c r="A4287" s="9" t="inlineStr">
        <is>
          <t>HAIFENG</t>
        </is>
      </c>
      <c r="B4287" s="9" t="inlineStr">
        <is>
          <t>HAIFENG 26/05/2026</t>
        </is>
      </c>
      <c r="C4287" s="9" t="inlineStr">
        <is>
          <t>2026-05-26</t>
        </is>
      </c>
      <c r="D4287" s="9" t="inlineStr">
        <is>
          <t>15857683908876</t>
        </is>
      </c>
      <c r="E4287" s="9" t="inlineStr">
        <is>
          <t>ANILLO TRES AROS</t>
        </is>
      </c>
      <c r="F4287" s="9" t="inlineStr">
        <is>
          <t>7</t>
        </is>
      </c>
      <c r="G4287" s="9" t="n">
        <v>8</v>
      </c>
      <c r="H4287" s="21" t="n">
        <v>4.7</v>
      </c>
      <c r="I4287" s="21" t="n">
        <v>98.65000000000001</v>
      </c>
      <c r="J4287" s="21" t="n">
        <v>295.95</v>
      </c>
      <c r="K4287" s="21" t="n">
        <v>345.27</v>
      </c>
      <c r="L4287" s="21" t="n">
        <v>394.6</v>
      </c>
      <c r="M4287" s="21" t="n">
        <v>650</v>
      </c>
    </row>
    <row r="4288">
      <c r="A4288" s="9" t="inlineStr">
        <is>
          <t>HAIFENG</t>
        </is>
      </c>
      <c r="B4288" s="9" t="inlineStr">
        <is>
          <t>HAIFENG 26/05/2026</t>
        </is>
      </c>
      <c r="C4288" s="9" t="inlineStr">
        <is>
          <t>2026-05-26</t>
        </is>
      </c>
      <c r="D4288" s="9" t="inlineStr">
        <is>
          <t>15857685585804</t>
        </is>
      </c>
      <c r="E4288" s="9" t="inlineStr">
        <is>
          <t>ANILLO TRES AROS</t>
        </is>
      </c>
      <c r="F4288" s="9" t="inlineStr">
        <is>
          <t>6</t>
        </is>
      </c>
      <c r="G4288" s="9" t="n">
        <v>2</v>
      </c>
      <c r="H4288" s="21" t="n">
        <v>4.7</v>
      </c>
      <c r="I4288" s="21" t="n">
        <v>98.65000000000001</v>
      </c>
      <c r="J4288" s="21" t="n">
        <v>295.95</v>
      </c>
      <c r="K4288" s="21" t="n">
        <v>345.27</v>
      </c>
      <c r="L4288" s="21" t="n">
        <v>394.6</v>
      </c>
      <c r="M4288" s="21" t="n">
        <v>650</v>
      </c>
    </row>
    <row r="4289">
      <c r="A4289" s="9" t="inlineStr">
        <is>
          <t>HAIFENG</t>
        </is>
      </c>
      <c r="B4289" s="9" t="inlineStr">
        <is>
          <t>HAIFENG 26/05/2026</t>
        </is>
      </c>
      <c r="C4289" s="9" t="inlineStr">
        <is>
          <t>2026-05-26</t>
        </is>
      </c>
      <c r="D4289" s="9" t="inlineStr">
        <is>
          <t>99824591015117</t>
        </is>
      </c>
      <c r="E4289" s="9" t="inlineStr">
        <is>
          <t>ANILLO TRES AROS CON ZIRCONIA</t>
        </is>
      </c>
      <c r="F4289" s="9" t="inlineStr">
        <is>
          <t>5</t>
        </is>
      </c>
      <c r="G4289" s="9" t="n">
        <v>2</v>
      </c>
      <c r="H4289" s="21" t="n">
        <v>10</v>
      </c>
      <c r="I4289" s="21" t="n">
        <v>209.89</v>
      </c>
      <c r="J4289" s="21" t="n">
        <v>629.6799999999999</v>
      </c>
      <c r="K4289" s="21" t="n">
        <v>734.63</v>
      </c>
      <c r="L4289" s="21" t="n">
        <v>839.5700000000001</v>
      </c>
      <c r="M4289" s="21" t="n">
        <v>850</v>
      </c>
    </row>
    <row r="4290">
      <c r="A4290" s="9" t="inlineStr">
        <is>
          <t>HAIFENG</t>
        </is>
      </c>
      <c r="B4290" s="9" t="inlineStr">
        <is>
          <t>HAIFENG 26/05/2026</t>
        </is>
      </c>
      <c r="C4290" s="9" t="inlineStr">
        <is>
          <t>2026-05-26</t>
        </is>
      </c>
      <c r="D4290" s="9" t="inlineStr">
        <is>
          <t>56481485030668</t>
        </is>
      </c>
      <c r="E4290" s="9" t="inlineStr">
        <is>
          <t>ANILLO TRES AROS SILVER/BLACK</t>
        </is>
      </c>
      <c r="F4290" s="9" t="inlineStr">
        <is>
          <t>8</t>
        </is>
      </c>
      <c r="G4290" s="9" t="n">
        <v>2</v>
      </c>
      <c r="H4290" s="21" t="n">
        <v>5</v>
      </c>
      <c r="I4290" s="21" t="n">
        <v>104.95</v>
      </c>
      <c r="J4290" s="21" t="n">
        <v>314.84</v>
      </c>
      <c r="K4290" s="21" t="n">
        <v>367.31</v>
      </c>
      <c r="L4290" s="21" t="n">
        <v>419.79</v>
      </c>
      <c r="M4290" s="21" t="n">
        <v>639</v>
      </c>
    </row>
    <row r="4291">
      <c r="A4291" s="9" t="inlineStr">
        <is>
          <t>HAIFENG</t>
        </is>
      </c>
      <c r="B4291" s="9" t="inlineStr">
        <is>
          <t>HAIFENG 26/05/2026</t>
        </is>
      </c>
      <c r="C4291" s="9" t="inlineStr">
        <is>
          <t>2026-05-26</t>
        </is>
      </c>
      <c r="D4291" s="9" t="inlineStr">
        <is>
          <t>33943761064813</t>
        </is>
      </c>
      <c r="E4291" s="9" t="inlineStr">
        <is>
          <t>ANILLO TRES AROS SILVER/BLACK</t>
        </is>
      </c>
      <c r="F4291" s="9" t="inlineStr">
        <is>
          <t>7</t>
        </is>
      </c>
      <c r="G4291" s="9" t="n">
        <v>2</v>
      </c>
      <c r="H4291" s="21" t="n">
        <v>5</v>
      </c>
      <c r="I4291" s="21" t="n">
        <v>104.95</v>
      </c>
      <c r="J4291" s="21" t="n">
        <v>314.84</v>
      </c>
      <c r="K4291" s="21" t="n">
        <v>367.31</v>
      </c>
      <c r="L4291" s="21" t="n">
        <v>419.79</v>
      </c>
      <c r="M4291" s="21" t="n">
        <v>500</v>
      </c>
    </row>
    <row r="4292">
      <c r="A4292" s="9" t="inlineStr">
        <is>
          <t>HAIFENG</t>
        </is>
      </c>
      <c r="B4292" s="9" t="inlineStr">
        <is>
          <t>HAIFENG 26/05/2026</t>
        </is>
      </c>
      <c r="C4292" s="9" t="inlineStr">
        <is>
          <t>2026-05-26</t>
        </is>
      </c>
      <c r="D4292" s="9" t="inlineStr">
        <is>
          <t>38334521007073</t>
        </is>
      </c>
      <c r="E4292" s="9" t="inlineStr">
        <is>
          <t>ANILLO TRÉBOL GOLD</t>
        </is>
      </c>
      <c r="F4292" s="9" t="inlineStr">
        <is>
          <t>7</t>
        </is>
      </c>
      <c r="G4292" s="9" t="n">
        <v>3</v>
      </c>
      <c r="H4292" s="21" t="n">
        <v>5.99</v>
      </c>
      <c r="I4292" s="21" t="n">
        <v>125.73</v>
      </c>
      <c r="J4292" s="21" t="n">
        <v>377.18</v>
      </c>
      <c r="K4292" s="21" t="n">
        <v>440.04</v>
      </c>
      <c r="L4292" s="21" t="n">
        <v>502.9</v>
      </c>
      <c r="M4292" s="21" t="n">
        <v>599</v>
      </c>
    </row>
    <row r="4293">
      <c r="A4293" s="9" t="inlineStr">
        <is>
          <t>HAIFENG</t>
        </is>
      </c>
      <c r="B4293" s="9" t="inlineStr">
        <is>
          <t>HAIFENG 26/05/2026</t>
        </is>
      </c>
      <c r="C4293" s="9" t="inlineStr">
        <is>
          <t>2026-05-26</t>
        </is>
      </c>
      <c r="D4293" s="9" t="inlineStr">
        <is>
          <t>86347032724109</t>
        </is>
      </c>
      <c r="E4293" s="9" t="inlineStr">
        <is>
          <t>ANILLO TWO-ROW GOLD</t>
        </is>
      </c>
      <c r="F4293" s="9" t="inlineStr">
        <is>
          <t>7</t>
        </is>
      </c>
      <c r="G4293" s="9" t="n">
        <v>2</v>
      </c>
      <c r="H4293" s="21" t="n">
        <v>5.5</v>
      </c>
      <c r="I4293" s="21" t="n">
        <v>115.44</v>
      </c>
      <c r="J4293" s="21" t="n">
        <v>346.32</v>
      </c>
      <c r="K4293" s="21" t="n">
        <v>404.04</v>
      </c>
      <c r="L4293" s="21" t="n">
        <v>461.76</v>
      </c>
      <c r="M4293" s="21" t="n">
        <v>580</v>
      </c>
    </row>
    <row r="4294">
      <c r="A4294" s="9" t="inlineStr">
        <is>
          <t>HAIFENG</t>
        </is>
      </c>
      <c r="B4294" s="9" t="inlineStr">
        <is>
          <t>HAIFENG 26/05/2026</t>
        </is>
      </c>
      <c r="C4294" s="9" t="inlineStr">
        <is>
          <t>2026-05-26</t>
        </is>
      </c>
      <c r="D4294" s="9" t="inlineStr">
        <is>
          <t>64085742023341</t>
        </is>
      </c>
      <c r="E4294" s="9" t="inlineStr">
        <is>
          <t>ANILLO VENDOME TRICOLOR C</t>
        </is>
      </c>
      <c r="F4294" s="9" t="inlineStr">
        <is>
          <t>5</t>
        </is>
      </c>
      <c r="G4294" s="9" t="n">
        <v>6</v>
      </c>
      <c r="H4294" s="21" t="n">
        <v>6</v>
      </c>
      <c r="I4294" s="21" t="n">
        <v>125.94</v>
      </c>
      <c r="J4294" s="21" t="n">
        <v>377.81</v>
      </c>
      <c r="K4294" s="21" t="n">
        <v>440.78</v>
      </c>
      <c r="L4294" s="21" t="n">
        <v>503.74</v>
      </c>
      <c r="M4294" s="21" t="n">
        <v>499</v>
      </c>
    </row>
    <row r="4295">
      <c r="A4295" s="9" t="inlineStr">
        <is>
          <t>HAIFENG</t>
        </is>
      </c>
      <c r="B4295" s="9" t="inlineStr">
        <is>
          <t>HAIFENG 26/05/2026</t>
        </is>
      </c>
      <c r="C4295" s="9" t="inlineStr">
        <is>
          <t>2026-05-26</t>
        </is>
      </c>
      <c r="D4295" s="9" t="inlineStr">
        <is>
          <t>64085742247629</t>
        </is>
      </c>
      <c r="E4295" s="9" t="inlineStr">
        <is>
          <t>ANILLO VENDOME TRICOLOR C</t>
        </is>
      </c>
      <c r="F4295" s="9" t="inlineStr">
        <is>
          <t>7</t>
        </is>
      </c>
      <c r="G4295" s="9" t="n">
        <v>6</v>
      </c>
      <c r="H4295" s="21" t="n">
        <v>6</v>
      </c>
      <c r="I4295" s="21" t="n">
        <v>125.94</v>
      </c>
      <c r="J4295" s="21" t="n">
        <v>377.81</v>
      </c>
      <c r="K4295" s="21" t="n">
        <v>440.78</v>
      </c>
      <c r="L4295" s="21" t="n">
        <v>503.74</v>
      </c>
      <c r="M4295" s="21" t="n">
        <v>499</v>
      </c>
    </row>
    <row r="4296">
      <c r="A4296" s="9" t="inlineStr">
        <is>
          <t>HAIFENG</t>
        </is>
      </c>
      <c r="B4296" s="9" t="inlineStr">
        <is>
          <t>HAIFENG 26/05/2026</t>
        </is>
      </c>
      <c r="C4296" s="9" t="inlineStr">
        <is>
          <t>2026-05-26</t>
        </is>
      </c>
      <c r="D4296" s="9" t="inlineStr">
        <is>
          <t>64085742114861</t>
        </is>
      </c>
      <c r="E4296" s="9" t="inlineStr">
        <is>
          <t>ANILLO VENDOME TRICOLOR C</t>
        </is>
      </c>
      <c r="F4296" s="9" t="inlineStr">
        <is>
          <t>6</t>
        </is>
      </c>
      <c r="G4296" s="9" t="n">
        <v>2</v>
      </c>
      <c r="H4296" s="21" t="n">
        <v>6</v>
      </c>
      <c r="I4296" s="21" t="n">
        <v>125.94</v>
      </c>
      <c r="J4296" s="21" t="n">
        <v>377.81</v>
      </c>
      <c r="K4296" s="21" t="n">
        <v>440.78</v>
      </c>
      <c r="L4296" s="21" t="n">
        <v>503.74</v>
      </c>
      <c r="M4296" s="21" t="n">
        <v>499</v>
      </c>
    </row>
    <row r="4297">
      <c r="A4297" s="9" t="inlineStr">
        <is>
          <t>HAIFENG</t>
        </is>
      </c>
      <c r="B4297" s="9" t="inlineStr">
        <is>
          <t>HAIFENG 26/05/2026</t>
        </is>
      </c>
      <c r="C4297" s="9" t="inlineStr">
        <is>
          <t>2026-05-26</t>
        </is>
      </c>
      <c r="D4297" s="9" t="inlineStr">
        <is>
          <t>81078751345773</t>
        </is>
      </c>
      <c r="E4297" s="9" t="inlineStr">
        <is>
          <t>ARETES BLOSSOM COLGANTES ROSEGOLD</t>
        </is>
      </c>
      <c r="F4297" s="9" t="inlineStr">
        <is>
          <t>Default Title</t>
        </is>
      </c>
      <c r="G4297" s="9" t="n">
        <v>4</v>
      </c>
      <c r="H4297" s="21" t="n">
        <v>11</v>
      </c>
      <c r="I4297" s="21" t="n">
        <v>230.88</v>
      </c>
      <c r="J4297" s="21" t="n">
        <v>692.65</v>
      </c>
      <c r="K4297" s="21" t="n">
        <v>808.09</v>
      </c>
      <c r="L4297" s="21" t="n">
        <v>923.53</v>
      </c>
      <c r="M4297" s="21" t="n">
        <v>950</v>
      </c>
    </row>
    <row r="4298">
      <c r="A4298" s="9" t="inlineStr">
        <is>
          <t>HAIFENG</t>
        </is>
      </c>
      <c r="B4298" s="9" t="inlineStr">
        <is>
          <t>HAIFENG 26/05/2026</t>
        </is>
      </c>
      <c r="C4298" s="9" t="inlineStr">
        <is>
          <t>2026-05-26</t>
        </is>
      </c>
      <c r="D4298" s="9" t="inlineStr">
        <is>
          <t>89205551641453</t>
        </is>
      </c>
      <c r="E4298" s="9" t="inlineStr">
        <is>
          <t>ARETES BV ROSEGOLD-WHITE</t>
        </is>
      </c>
      <c r="F4298" s="9" t="inlineStr">
        <is>
          <t>Default Title</t>
        </is>
      </c>
      <c r="G4298" s="9" t="n">
        <v>2</v>
      </c>
      <c r="H4298" s="21" t="n">
        <v>6</v>
      </c>
      <c r="I4298" s="21" t="n">
        <v>125.94</v>
      </c>
      <c r="J4298" s="21" t="n">
        <v>377.81</v>
      </c>
      <c r="K4298" s="21" t="n">
        <v>440.78</v>
      </c>
      <c r="L4298" s="21" t="n">
        <v>503.74</v>
      </c>
      <c r="M4298" s="21" t="n">
        <v>575</v>
      </c>
    </row>
    <row r="4299">
      <c r="A4299" s="9" t="inlineStr">
        <is>
          <t>HAIFENG</t>
        </is>
      </c>
      <c r="B4299" s="9" t="inlineStr">
        <is>
          <t>HAIFENG 26/05/2026</t>
        </is>
      </c>
      <c r="C4299" s="9" t="inlineStr">
        <is>
          <t>2026-05-26</t>
        </is>
      </c>
      <c r="D4299" s="9" t="inlineStr">
        <is>
          <t>51078752492301</t>
        </is>
      </c>
      <c r="E4299" s="9" t="inlineStr">
        <is>
          <t>ARETES C GOLD</t>
        </is>
      </c>
      <c r="F4299" s="9" t="inlineStr">
        <is>
          <t>Default Title</t>
        </is>
      </c>
      <c r="G4299" s="9" t="n">
        <v>11</v>
      </c>
      <c r="H4299" s="21" t="n">
        <v>5.99</v>
      </c>
      <c r="I4299" s="21" t="n">
        <v>125.73</v>
      </c>
      <c r="J4299" s="21" t="n">
        <v>377.18</v>
      </c>
      <c r="K4299" s="21" t="n">
        <v>440.04</v>
      </c>
      <c r="L4299" s="21" t="n">
        <v>502.9</v>
      </c>
      <c r="M4299" s="21" t="n">
        <v>575</v>
      </c>
    </row>
    <row r="4300">
      <c r="A4300" s="9" t="inlineStr">
        <is>
          <t>HAIFENG</t>
        </is>
      </c>
      <c r="B4300" s="9" t="inlineStr">
        <is>
          <t>HAIFENG 26/05/2026</t>
        </is>
      </c>
      <c r="C4300" s="9" t="inlineStr">
        <is>
          <t>2026-05-26</t>
        </is>
      </c>
      <c r="D4300" s="9" t="inlineStr">
        <is>
          <t>11078751910221</t>
        </is>
      </c>
      <c r="E4300" s="9" t="inlineStr">
        <is>
          <t>ARETES C GOLD ZIRCONIAS</t>
        </is>
      </c>
      <c r="F4300" s="9" t="inlineStr">
        <is>
          <t>Default Title</t>
        </is>
      </c>
      <c r="G4300" s="9" t="n">
        <v>3</v>
      </c>
      <c r="H4300" s="21" t="n">
        <v>5.99</v>
      </c>
      <c r="I4300" s="21" t="n">
        <v>125.73</v>
      </c>
      <c r="J4300" s="21" t="n">
        <v>377.18</v>
      </c>
      <c r="K4300" s="21" t="n">
        <v>440.04</v>
      </c>
      <c r="L4300" s="21" t="n">
        <v>502.9</v>
      </c>
      <c r="M4300" s="21" t="n">
        <v>575</v>
      </c>
    </row>
    <row r="4301">
      <c r="A4301" s="9" t="inlineStr">
        <is>
          <t>HAIFENG</t>
        </is>
      </c>
      <c r="B4301" s="9" t="inlineStr">
        <is>
          <t>HAIFENG 26/05/2026</t>
        </is>
      </c>
      <c r="C4301" s="9" t="inlineStr">
        <is>
          <t>2026-05-26</t>
        </is>
      </c>
      <c r="D4301" s="9" t="inlineStr">
        <is>
          <t>29736661558989</t>
        </is>
      </c>
      <c r="E4301" s="9" t="inlineStr">
        <is>
          <t>ARETES CD D-LUCK GOLD</t>
        </is>
      </c>
      <c r="F4301" s="9" t="inlineStr">
        <is>
          <t>Default Title</t>
        </is>
      </c>
      <c r="G4301" s="9" t="n">
        <v>6</v>
      </c>
      <c r="H4301" s="21" t="n">
        <v>6</v>
      </c>
      <c r="I4301" s="21" t="n">
        <v>125.94</v>
      </c>
      <c r="J4301" s="21" t="n">
        <v>377.81</v>
      </c>
      <c r="K4301" s="21" t="n">
        <v>440.78</v>
      </c>
      <c r="L4301" s="21" t="n">
        <v>503.74</v>
      </c>
      <c r="M4301" s="21" t="n">
        <v>620</v>
      </c>
    </row>
    <row r="4302">
      <c r="A4302" s="9" t="inlineStr">
        <is>
          <t>HAIFENG</t>
        </is>
      </c>
      <c r="B4302" s="9" t="inlineStr">
        <is>
          <t>HAIFENG 26/05/2026</t>
        </is>
      </c>
      <c r="C4302" s="9" t="inlineStr">
        <is>
          <t>2026-05-26</t>
        </is>
      </c>
      <c r="D4302" s="9" t="inlineStr">
        <is>
          <t>29736661440333</t>
        </is>
      </c>
      <c r="E4302" s="9" t="inlineStr">
        <is>
          <t>ARETES CD PETIT DUO GOLD</t>
        </is>
      </c>
      <c r="F4302" s="9" t="inlineStr">
        <is>
          <t>Default Title</t>
        </is>
      </c>
      <c r="G4302" s="9" t="n">
        <v>6</v>
      </c>
      <c r="H4302" s="21" t="n">
        <v>10</v>
      </c>
      <c r="I4302" s="21" t="n">
        <v>209.89</v>
      </c>
      <c r="J4302" s="21" t="n">
        <v>629.6799999999999</v>
      </c>
      <c r="K4302" s="21" t="n">
        <v>734.63</v>
      </c>
      <c r="L4302" s="21" t="n">
        <v>839.5700000000001</v>
      </c>
      <c r="M4302" s="21" t="n">
        <v>850</v>
      </c>
    </row>
    <row r="4303">
      <c r="A4303" s="9" t="inlineStr">
        <is>
          <t>HAIFENG</t>
        </is>
      </c>
      <c r="B4303" s="9" t="inlineStr">
        <is>
          <t>HAIFENG 26/05/2026</t>
        </is>
      </c>
      <c r="C4303" s="9" t="inlineStr">
        <is>
          <t>2026-05-26</t>
        </is>
      </c>
      <c r="D4303" s="9" t="inlineStr">
        <is>
          <t>66075801971917</t>
        </is>
      </c>
      <c r="E4303" s="9" t="inlineStr">
        <is>
          <t>ARETES CD PETIT GOLD</t>
        </is>
      </c>
      <c r="F4303" s="9" t="inlineStr">
        <is>
          <t>Default Title</t>
        </is>
      </c>
      <c r="G4303" s="9" t="n">
        <v>2</v>
      </c>
      <c r="H4303" s="21" t="n">
        <v>3.8</v>
      </c>
      <c r="I4303" s="21" t="n">
        <v>79.76000000000001</v>
      </c>
      <c r="J4303" s="21" t="n">
        <v>239.28</v>
      </c>
      <c r="K4303" s="21" t="n">
        <v>279.16</v>
      </c>
      <c r="L4303" s="21" t="n">
        <v>319.04</v>
      </c>
      <c r="M4303" s="21" t="n">
        <v>350</v>
      </c>
    </row>
    <row r="4304">
      <c r="A4304" s="9" t="inlineStr">
        <is>
          <t>HAIFENG</t>
        </is>
      </c>
      <c r="B4304" s="9" t="inlineStr">
        <is>
          <t>HAIFENG 26/05/2026</t>
        </is>
      </c>
      <c r="C4304" s="9" t="inlineStr">
        <is>
          <t>2026-05-26</t>
        </is>
      </c>
      <c r="D4304" s="9" t="inlineStr">
        <is>
          <t>64085741294285</t>
        </is>
      </c>
      <c r="E4304" s="9" t="inlineStr">
        <is>
          <t>ARETES CLASH GOLD C</t>
        </is>
      </c>
      <c r="F4304" s="9" t="inlineStr">
        <is>
          <t>Default Title</t>
        </is>
      </c>
      <c r="G4304" s="9" t="n">
        <v>5</v>
      </c>
      <c r="H4304" s="21" t="n">
        <v>9</v>
      </c>
      <c r="I4304" s="21" t="n">
        <v>188.9</v>
      </c>
      <c r="J4304" s="21" t="n">
        <v>566.71</v>
      </c>
      <c r="K4304" s="21" t="n">
        <v>661.16</v>
      </c>
      <c r="L4304" s="21" t="n">
        <v>755.61</v>
      </c>
      <c r="M4304" s="21" t="n">
        <v>750</v>
      </c>
    </row>
    <row r="4305">
      <c r="A4305" s="9" t="inlineStr">
        <is>
          <t>HAIFENG</t>
        </is>
      </c>
      <c r="B4305" s="9" t="inlineStr">
        <is>
          <t>HAIFENG 26/05/2026</t>
        </is>
      </c>
      <c r="C4305" s="9" t="inlineStr">
        <is>
          <t>2026-05-26</t>
        </is>
      </c>
      <c r="D4305" s="9" t="inlineStr">
        <is>
          <t>665bd4a63435b</t>
        </is>
      </c>
      <c r="E4305" s="9" t="inlineStr">
        <is>
          <t>ARETES CLAVO GOLD</t>
        </is>
      </c>
      <c r="F4305" s="9" t="inlineStr">
        <is>
          <t>Default Title</t>
        </is>
      </c>
      <c r="G4305" s="9" t="n">
        <v>6</v>
      </c>
      <c r="H4305" s="21" t="n">
        <v>2.99</v>
      </c>
      <c r="I4305" s="21" t="n">
        <v>62.76</v>
      </c>
      <c r="J4305" s="21" t="n">
        <v>188.27</v>
      </c>
      <c r="K4305" s="21" t="n">
        <v>219.65</v>
      </c>
      <c r="L4305" s="21" t="n">
        <v>251.03</v>
      </c>
      <c r="M4305" s="21" t="n">
        <v>400</v>
      </c>
    </row>
    <row r="4306">
      <c r="A4306" s="9" t="inlineStr">
        <is>
          <t>HAIFENG</t>
        </is>
      </c>
      <c r="B4306" s="9" t="inlineStr">
        <is>
          <t>HAIFENG 26/05/2026</t>
        </is>
      </c>
      <c r="C4306" s="9" t="inlineStr">
        <is>
          <t>2026-05-26</t>
        </is>
      </c>
      <c r="D4306" s="9" t="inlineStr">
        <is>
          <t>86347031100845</t>
        </is>
      </c>
      <c r="E4306" s="9" t="inlineStr">
        <is>
          <t>ARETES CLAVO GOLD ZIRCONIAS</t>
        </is>
      </c>
      <c r="F4306" s="9" t="inlineStr">
        <is>
          <t>HIGH QUALITY</t>
        </is>
      </c>
      <c r="G4306" s="9" t="n">
        <v>3</v>
      </c>
      <c r="H4306" s="21" t="n">
        <v>7</v>
      </c>
      <c r="I4306" s="21" t="n">
        <v>146.93</v>
      </c>
      <c r="J4306" s="21" t="n">
        <v>440.78</v>
      </c>
      <c r="K4306" s="21" t="n">
        <v>514.24</v>
      </c>
      <c r="L4306" s="21" t="n">
        <v>587.7</v>
      </c>
      <c r="M4306" s="21" t="n">
        <v>599</v>
      </c>
    </row>
    <row r="4307">
      <c r="A4307" s="9" t="inlineStr">
        <is>
          <t>HAIFENG</t>
        </is>
      </c>
      <c r="B4307" s="9" t="inlineStr">
        <is>
          <t>HAIFENG 26/05/2026</t>
        </is>
      </c>
      <c r="C4307" s="9" t="inlineStr">
        <is>
          <t>2026-05-26</t>
        </is>
      </c>
      <c r="D4307" s="9" t="inlineStr">
        <is>
          <t>12314361469741</t>
        </is>
      </c>
      <c r="E4307" s="9" t="inlineStr">
        <is>
          <t>ARETES F FILO GOLD</t>
        </is>
      </c>
      <c r="F4307" s="9" t="inlineStr">
        <is>
          <t>Default Title</t>
        </is>
      </c>
      <c r="G4307" s="9" t="n">
        <v>2</v>
      </c>
      <c r="H4307" s="21" t="n">
        <v>7.99</v>
      </c>
      <c r="I4307" s="21" t="n">
        <v>167.7</v>
      </c>
      <c r="J4307" s="21" t="n">
        <v>503.11</v>
      </c>
      <c r="K4307" s="21" t="n">
        <v>586.97</v>
      </c>
      <c r="L4307" s="21" t="n">
        <v>670.8200000000001</v>
      </c>
      <c r="M4307" s="21" t="n">
        <v>699</v>
      </c>
    </row>
    <row r="4308">
      <c r="A4308" s="9" t="inlineStr">
        <is>
          <t>HAIFENG</t>
        </is>
      </c>
      <c r="B4308" s="9" t="inlineStr">
        <is>
          <t>HAIFENG 26/05/2026</t>
        </is>
      </c>
      <c r="C4308" s="9" t="inlineStr">
        <is>
          <t>2026-05-26</t>
        </is>
      </c>
      <c r="D4308" s="9" t="inlineStr">
        <is>
          <t>12314362492941</t>
        </is>
      </c>
      <c r="E4308" s="9" t="inlineStr">
        <is>
          <t>ARETES F GOLD</t>
        </is>
      </c>
      <c r="F4308" s="9" t="inlineStr">
        <is>
          <t>Default Title</t>
        </is>
      </c>
      <c r="G4308" s="9" t="n">
        <v>2</v>
      </c>
      <c r="H4308" s="21" t="n">
        <v>6</v>
      </c>
      <c r="I4308" s="21" t="n">
        <v>125.94</v>
      </c>
      <c r="J4308" s="21" t="n">
        <v>377.81</v>
      </c>
      <c r="K4308" s="21" t="n">
        <v>440.78</v>
      </c>
      <c r="L4308" s="21" t="n">
        <v>503.74</v>
      </c>
      <c r="M4308" s="21" t="n">
        <v>499</v>
      </c>
    </row>
    <row r="4309">
      <c r="A4309" s="9" t="inlineStr">
        <is>
          <t>HAIFENG</t>
        </is>
      </c>
      <c r="B4309" s="9" t="inlineStr">
        <is>
          <t>HAIFENG 26/05/2026</t>
        </is>
      </c>
      <c r="C4309" s="9" t="inlineStr">
        <is>
          <t>2026-05-26</t>
        </is>
      </c>
      <c r="D4309" s="9" t="inlineStr">
        <is>
          <t>12314361364653</t>
        </is>
      </c>
      <c r="E4309" s="9" t="inlineStr">
        <is>
          <t>ARETES F GOLD PEARL</t>
        </is>
      </c>
      <c r="F4309" s="9" t="inlineStr">
        <is>
          <t>Default Title</t>
        </is>
      </c>
      <c r="G4309" s="9" t="n">
        <v>2</v>
      </c>
      <c r="H4309" s="21" t="n">
        <v>8</v>
      </c>
      <c r="I4309" s="21" t="n">
        <v>167.91</v>
      </c>
      <c r="J4309" s="21" t="n">
        <v>503.74</v>
      </c>
      <c r="K4309" s="21" t="n">
        <v>587.7</v>
      </c>
      <c r="L4309" s="21" t="n">
        <v>671.66</v>
      </c>
      <c r="M4309" s="21" t="n">
        <v>699</v>
      </c>
    </row>
    <row r="4310">
      <c r="A4310" s="9" t="inlineStr">
        <is>
          <t>HAIFENG</t>
        </is>
      </c>
      <c r="B4310" s="9" t="inlineStr">
        <is>
          <t>HAIFENG 26/05/2026</t>
        </is>
      </c>
      <c r="C4310" s="9" t="inlineStr">
        <is>
          <t>2026-05-26</t>
        </is>
      </c>
      <c r="D4310" s="9" t="inlineStr">
        <is>
          <t>37491250366220</t>
        </is>
      </c>
      <c r="E4310" s="9" t="inlineStr">
        <is>
          <t>ARETES FLOWER VF</t>
        </is>
      </c>
      <c r="F4310" s="9" t="inlineStr">
        <is>
          <t>Default Title</t>
        </is>
      </c>
      <c r="G4310" s="9" t="n">
        <v>1</v>
      </c>
      <c r="H4310" s="21" t="n">
        <v>8</v>
      </c>
      <c r="I4310" s="21" t="n">
        <v>167.91</v>
      </c>
      <c r="J4310" s="21" t="n">
        <v>503.74</v>
      </c>
      <c r="K4310" s="21" t="n">
        <v>587.7</v>
      </c>
      <c r="L4310" s="21" t="n">
        <v>671.66</v>
      </c>
      <c r="M4310" s="21" t="n">
        <v>699</v>
      </c>
    </row>
    <row r="4311">
      <c r="A4311" s="9" t="inlineStr">
        <is>
          <t>HAIFENG</t>
        </is>
      </c>
      <c r="B4311" s="9" t="inlineStr">
        <is>
          <t>HAIFENG 26/05/2026</t>
        </is>
      </c>
      <c r="C4311" s="9" t="inlineStr">
        <is>
          <t>2026-05-26</t>
        </is>
      </c>
      <c r="D4311" s="9" t="inlineStr">
        <is>
          <t>59109721776717</t>
        </is>
      </c>
      <c r="E4311" s="9" t="inlineStr">
        <is>
          <t>ARETES LV X TM CERISE</t>
        </is>
      </c>
      <c r="F4311" s="9" t="inlineStr">
        <is>
          <t>Default Title</t>
        </is>
      </c>
      <c r="G4311" s="9" t="n">
        <v>1</v>
      </c>
      <c r="H4311" s="21" t="n">
        <v>8</v>
      </c>
      <c r="I4311" s="21" t="n">
        <v>167.91</v>
      </c>
      <c r="J4311" s="21" t="n">
        <v>503.74</v>
      </c>
      <c r="K4311" s="21" t="n">
        <v>587.7</v>
      </c>
      <c r="L4311" s="21" t="n">
        <v>671.66</v>
      </c>
      <c r="M4311" s="21" t="n">
        <v>699</v>
      </c>
    </row>
    <row r="4312">
      <c r="A4312" s="9" t="inlineStr">
        <is>
          <t>HAIFENG</t>
        </is>
      </c>
      <c r="B4312" s="9" t="inlineStr">
        <is>
          <t>HAIFENG 26/05/2026</t>
        </is>
      </c>
      <c r="C4312" s="9" t="inlineStr">
        <is>
          <t>2026-05-26</t>
        </is>
      </c>
      <c r="D4312" s="9" t="inlineStr">
        <is>
          <t>67201535108205</t>
        </is>
      </c>
      <c r="E4312" s="9" t="inlineStr">
        <is>
          <t>ARETES MARIPOSA BICOLOR GOLD BLUE VF</t>
        </is>
      </c>
      <c r="F4312" s="9" t="inlineStr">
        <is>
          <t>Default Title</t>
        </is>
      </c>
      <c r="G4312" s="9" t="n">
        <v>8</v>
      </c>
      <c r="H4312" s="21" t="n">
        <v>7</v>
      </c>
      <c r="I4312" s="21" t="n">
        <v>146.93</v>
      </c>
      <c r="J4312" s="21" t="n">
        <v>440.78</v>
      </c>
      <c r="K4312" s="21" t="n">
        <v>514.24</v>
      </c>
      <c r="L4312" s="21" t="n">
        <v>587.7</v>
      </c>
      <c r="M4312" s="21" t="n">
        <v>599</v>
      </c>
    </row>
    <row r="4313">
      <c r="A4313" s="9" t="inlineStr">
        <is>
          <t>HAIFENG</t>
        </is>
      </c>
      <c r="B4313" s="9" t="inlineStr">
        <is>
          <t>HAIFENG 26/05/2026</t>
        </is>
      </c>
      <c r="C4313" s="9" t="inlineStr">
        <is>
          <t>2026-05-26</t>
        </is>
      </c>
      <c r="D4313" s="9" t="inlineStr">
        <is>
          <t>67201535022509</t>
        </is>
      </c>
      <c r="E4313" s="9" t="inlineStr">
        <is>
          <t>ARETES MARIPOSA ROSE GOLD WHITE VF</t>
        </is>
      </c>
      <c r="F4313" s="9" t="inlineStr">
        <is>
          <t>Default Title</t>
        </is>
      </c>
      <c r="G4313" s="9" t="n">
        <v>5</v>
      </c>
      <c r="H4313" s="21" t="n">
        <v>7</v>
      </c>
      <c r="I4313" s="21" t="n">
        <v>146.93</v>
      </c>
      <c r="J4313" s="21" t="n">
        <v>440.78</v>
      </c>
      <c r="K4313" s="21" t="n">
        <v>514.24</v>
      </c>
      <c r="L4313" s="21" t="n">
        <v>587.7</v>
      </c>
      <c r="M4313" s="21" t="n">
        <v>599</v>
      </c>
    </row>
    <row r="4314">
      <c r="A4314" s="9" t="inlineStr">
        <is>
          <t>HAIFENG</t>
        </is>
      </c>
      <c r="B4314" s="9" t="inlineStr">
        <is>
          <t>HAIFENG 26/05/2026</t>
        </is>
      </c>
      <c r="C4314" s="9" t="inlineStr">
        <is>
          <t>2026-05-26</t>
        </is>
      </c>
      <c r="D4314" s="9" t="inlineStr">
        <is>
          <t>74011331080589</t>
        </is>
      </c>
      <c r="E4314" s="9" t="inlineStr">
        <is>
          <t>ARETES MM GOLD</t>
        </is>
      </c>
      <c r="F4314" s="9" t="inlineStr">
        <is>
          <t>Default Title</t>
        </is>
      </c>
      <c r="G4314" s="9" t="n">
        <v>17</v>
      </c>
      <c r="H4314" s="21" t="n">
        <v>7</v>
      </c>
      <c r="I4314" s="21" t="n">
        <v>146.93</v>
      </c>
      <c r="J4314" s="21" t="n">
        <v>440.78</v>
      </c>
      <c r="K4314" s="21" t="n">
        <v>514.24</v>
      </c>
      <c r="L4314" s="21" t="n">
        <v>587.7</v>
      </c>
      <c r="M4314" s="21" t="n">
        <v>599</v>
      </c>
    </row>
    <row r="4315">
      <c r="A4315" s="9" t="inlineStr">
        <is>
          <t>HAIFENG</t>
        </is>
      </c>
      <c r="B4315" s="9" t="inlineStr">
        <is>
          <t>HAIFENG 26/05/2026</t>
        </is>
      </c>
      <c r="C4315" s="9" t="inlineStr">
        <is>
          <t>2026-05-26</t>
        </is>
      </c>
      <c r="D4315" s="9" t="inlineStr">
        <is>
          <t>59109721938861</t>
        </is>
      </c>
      <c r="E4315" s="9" t="inlineStr">
        <is>
          <t>ARETES MM HEART PINK</t>
        </is>
      </c>
      <c r="F4315" s="9" t="inlineStr">
        <is>
          <t>Default Title</t>
        </is>
      </c>
      <c r="G4315" s="9" t="n">
        <v>3</v>
      </c>
      <c r="H4315" s="21" t="n">
        <v>8.99</v>
      </c>
      <c r="I4315" s="21" t="n">
        <v>188.69</v>
      </c>
      <c r="J4315" s="21" t="n">
        <v>566.08</v>
      </c>
      <c r="K4315" s="21" t="n">
        <v>660.4299999999999</v>
      </c>
      <c r="L4315" s="21" t="n">
        <v>754.78</v>
      </c>
      <c r="M4315" s="21" t="n">
        <v>750</v>
      </c>
    </row>
    <row r="4316">
      <c r="A4316" s="9" t="inlineStr">
        <is>
          <t>HAIFENG</t>
        </is>
      </c>
      <c r="B4316" s="9" t="inlineStr">
        <is>
          <t>HAIFENG 26/05/2026</t>
        </is>
      </c>
      <c r="C4316" s="9" t="inlineStr">
        <is>
          <t>2026-05-26</t>
        </is>
      </c>
      <c r="D4316" s="9" t="inlineStr">
        <is>
          <t>94663831026189</t>
        </is>
      </c>
      <c r="E4316" s="9" t="inlineStr">
        <is>
          <t>ARETES MM ROSEGOLD</t>
        </is>
      </c>
      <c r="F4316" s="9" t="inlineStr">
        <is>
          <t>Default Title</t>
        </is>
      </c>
      <c r="G4316" s="9" t="n">
        <v>3</v>
      </c>
      <c r="H4316" s="21" t="n">
        <v>7</v>
      </c>
      <c r="I4316" s="21" t="n">
        <v>146.93</v>
      </c>
      <c r="J4316" s="21" t="n">
        <v>440.78</v>
      </c>
      <c r="K4316" s="21" t="n">
        <v>514.24</v>
      </c>
      <c r="L4316" s="21" t="n">
        <v>587.7</v>
      </c>
      <c r="M4316" s="21" t="n">
        <v>599</v>
      </c>
    </row>
    <row r="4317">
      <c r="A4317" s="9" t="inlineStr">
        <is>
          <t>HAIFENG</t>
        </is>
      </c>
      <c r="B4317" s="9" t="inlineStr">
        <is>
          <t>HAIFENG 26/05/2026</t>
        </is>
      </c>
      <c r="C4317" s="9" t="inlineStr">
        <is>
          <t>2026-05-26</t>
        </is>
      </c>
      <c r="D4317" s="9" t="inlineStr">
        <is>
          <t>36568531067821</t>
        </is>
      </c>
      <c r="E4317" s="9" t="inlineStr">
        <is>
          <t>ARETES MM SILVER</t>
        </is>
      </c>
      <c r="F4317" s="9" t="inlineStr">
        <is>
          <t>Default Title</t>
        </is>
      </c>
      <c r="G4317" s="9" t="n">
        <v>3</v>
      </c>
      <c r="H4317" s="21" t="n">
        <v>7</v>
      </c>
      <c r="I4317" s="21" t="n">
        <v>146.93</v>
      </c>
      <c r="J4317" s="21" t="n">
        <v>440.78</v>
      </c>
      <c r="K4317" s="21" t="n">
        <v>514.24</v>
      </c>
      <c r="L4317" s="21" t="n">
        <v>587.7</v>
      </c>
      <c r="M4317" s="21" t="n">
        <v>599</v>
      </c>
    </row>
    <row r="4318">
      <c r="A4318" s="9" t="inlineStr">
        <is>
          <t>HAIFENG</t>
        </is>
      </c>
      <c r="B4318" s="9" t="inlineStr">
        <is>
          <t>HAIFENG 26/05/2026</t>
        </is>
      </c>
      <c r="C4318" s="9" t="inlineStr">
        <is>
          <t>2026-05-26</t>
        </is>
      </c>
      <c r="D4318" s="9" t="inlineStr">
        <is>
          <t>665bb7668ef3c</t>
        </is>
      </c>
      <c r="E4318" s="9" t="inlineStr">
        <is>
          <t>ARETES SCREW LOVE SILVER</t>
        </is>
      </c>
      <c r="F4318" s="9" t="inlineStr">
        <is>
          <t>MEDIUM</t>
        </is>
      </c>
      <c r="G4318" s="9" t="n">
        <v>3</v>
      </c>
      <c r="H4318" s="21" t="n">
        <v>2.99</v>
      </c>
      <c r="I4318" s="21" t="n">
        <v>62.76</v>
      </c>
      <c r="J4318" s="21" t="n">
        <v>188.27</v>
      </c>
      <c r="K4318" s="21" t="n">
        <v>219.65</v>
      </c>
      <c r="L4318" s="21" t="n">
        <v>251.03</v>
      </c>
      <c r="M4318" s="21" t="n">
        <v>550</v>
      </c>
    </row>
    <row r="4319">
      <c r="A4319" s="9" t="inlineStr">
        <is>
          <t>HAIFENG</t>
        </is>
      </c>
      <c r="B4319" s="9" t="inlineStr">
        <is>
          <t>HAIFENG 26/05/2026</t>
        </is>
      </c>
      <c r="C4319" s="9" t="inlineStr">
        <is>
          <t>2026-05-26</t>
        </is>
      </c>
      <c r="D4319" s="9" t="inlineStr">
        <is>
          <t>15118061083949</t>
        </is>
      </c>
      <c r="E4319" s="9" t="inlineStr">
        <is>
          <t>ARETES T CORAZÓN CON FLECHA</t>
        </is>
      </c>
      <c r="F4319" s="9" t="inlineStr">
        <is>
          <t>Default Title</t>
        </is>
      </c>
      <c r="G4319" s="9" t="n">
        <v>4</v>
      </c>
      <c r="H4319" s="21" t="n">
        <v>5</v>
      </c>
      <c r="I4319" s="21" t="n">
        <v>104.95</v>
      </c>
      <c r="J4319" s="21" t="n">
        <v>314.84</v>
      </c>
      <c r="K4319" s="21" t="n">
        <v>367.31</v>
      </c>
      <c r="L4319" s="21" t="n">
        <v>419.79</v>
      </c>
      <c r="M4319" s="21" t="n">
        <v>450</v>
      </c>
    </row>
    <row r="4320">
      <c r="A4320" s="9" t="inlineStr">
        <is>
          <t>HAIFENG</t>
        </is>
      </c>
      <c r="B4320" s="9" t="inlineStr">
        <is>
          <t>HAIFENG 26/05/2026</t>
        </is>
      </c>
      <c r="C4320" s="9" t="inlineStr">
        <is>
          <t>2026-05-26</t>
        </is>
      </c>
      <c r="D4320" s="9" t="inlineStr">
        <is>
          <t>89790741157517</t>
        </is>
      </c>
      <c r="E4320" s="9" t="inlineStr">
        <is>
          <t>ARETES T GOLD LISO</t>
        </is>
      </c>
      <c r="F4320" s="9" t="inlineStr">
        <is>
          <t>Default Title</t>
        </is>
      </c>
      <c r="G4320" s="9" t="n">
        <v>3</v>
      </c>
      <c r="H4320" s="21" t="n">
        <v>7</v>
      </c>
      <c r="I4320" s="21" t="n">
        <v>146.93</v>
      </c>
      <c r="J4320" s="21" t="n">
        <v>440.78</v>
      </c>
      <c r="K4320" s="21" t="n">
        <v>514.24</v>
      </c>
      <c r="L4320" s="21" t="n">
        <v>587.7</v>
      </c>
      <c r="M4320" s="21" t="n">
        <v>599</v>
      </c>
    </row>
    <row r="4321">
      <c r="A4321" s="9" t="inlineStr">
        <is>
          <t>HAIFENG</t>
        </is>
      </c>
      <c r="B4321" s="9" t="inlineStr">
        <is>
          <t>HAIFENG 26/05/2026</t>
        </is>
      </c>
      <c r="C4321" s="9" t="inlineStr">
        <is>
          <t>2026-05-26</t>
        </is>
      </c>
      <c r="D4321" s="9" t="inlineStr">
        <is>
          <t>46636991009581</t>
        </is>
      </c>
      <c r="E4321" s="9" t="inlineStr">
        <is>
          <t>ARETES T SILVER CON ZIRCONIA</t>
        </is>
      </c>
      <c r="F4321" s="9" t="inlineStr">
        <is>
          <t>Default Title</t>
        </is>
      </c>
      <c r="G4321" s="9" t="n">
        <v>2</v>
      </c>
      <c r="H4321" s="21" t="n">
        <v>7</v>
      </c>
      <c r="I4321" s="21" t="n">
        <v>146.93</v>
      </c>
      <c r="J4321" s="21" t="n">
        <v>440.78</v>
      </c>
      <c r="K4321" s="21" t="n">
        <v>514.24</v>
      </c>
      <c r="L4321" s="21" t="n">
        <v>587.7</v>
      </c>
      <c r="M4321" s="21" t="n">
        <v>749</v>
      </c>
    </row>
    <row r="4322">
      <c r="A4322" s="9" t="inlineStr">
        <is>
          <t>HAIFENG</t>
        </is>
      </c>
      <c r="B4322" s="9" t="inlineStr">
        <is>
          <t>HAIFENG 26/05/2026</t>
        </is>
      </c>
      <c r="C4322" s="9" t="inlineStr">
        <is>
          <t>2026-05-26</t>
        </is>
      </c>
      <c r="D4322" s="9" t="inlineStr">
        <is>
          <t>29736673659245</t>
        </is>
      </c>
      <c r="E4322" s="9" t="inlineStr">
        <is>
          <t>ARETES T SMILE HALF ZIRCONIAS GOLD</t>
        </is>
      </c>
      <c r="F4322" s="9" t="inlineStr">
        <is>
          <t>Default Title</t>
        </is>
      </c>
      <c r="G4322" s="9" t="n">
        <v>3</v>
      </c>
      <c r="H4322" s="21" t="n">
        <v>4.99</v>
      </c>
      <c r="I4322" s="21" t="n">
        <v>104.74</v>
      </c>
      <c r="J4322" s="21" t="n">
        <v>314.21</v>
      </c>
      <c r="K4322" s="21" t="n">
        <v>366.58</v>
      </c>
      <c r="L4322" s="21" t="n">
        <v>418.95</v>
      </c>
      <c r="M4322" s="21" t="n">
        <v>450</v>
      </c>
    </row>
    <row r="4323">
      <c r="A4323" s="9" t="inlineStr">
        <is>
          <t>HAIFENG</t>
        </is>
      </c>
      <c r="B4323" s="9" t="inlineStr">
        <is>
          <t>HAIFENG 26/05/2026</t>
        </is>
      </c>
      <c r="C4323" s="9" t="inlineStr">
        <is>
          <t>2026-05-26</t>
        </is>
      </c>
      <c r="D4323" s="9" t="inlineStr">
        <is>
          <t>29736673779597</t>
        </is>
      </c>
      <c r="E4323" s="9" t="inlineStr">
        <is>
          <t>ARETES T VICTORIA</t>
        </is>
      </c>
      <c r="F4323" s="9" t="inlineStr">
        <is>
          <t>Default Title</t>
        </is>
      </c>
      <c r="G4323" s="9" t="n">
        <v>5</v>
      </c>
      <c r="H4323" s="21" t="n">
        <v>6</v>
      </c>
      <c r="I4323" s="21" t="n">
        <v>125.94</v>
      </c>
      <c r="J4323" s="21" t="n">
        <v>377.81</v>
      </c>
      <c r="K4323" s="21" t="n">
        <v>440.78</v>
      </c>
      <c r="L4323" s="21" t="n">
        <v>503.74</v>
      </c>
      <c r="M4323" s="21" t="n">
        <v>699</v>
      </c>
    </row>
    <row r="4324">
      <c r="A4324" s="9" t="inlineStr">
        <is>
          <t>HAIFENG</t>
        </is>
      </c>
      <c r="B4324" s="9" t="inlineStr">
        <is>
          <t>HAIFENG 26/05/2026</t>
        </is>
      </c>
      <c r="C4324" s="9" t="inlineStr">
        <is>
          <t>2026-05-26</t>
        </is>
      </c>
      <c r="D4324" s="9" t="inlineStr">
        <is>
          <t>661784a190a7f</t>
        </is>
      </c>
      <c r="E4324" s="9" t="inlineStr">
        <is>
          <t>ARETES TREBOL GOLD-RED</t>
        </is>
      </c>
      <c r="F4324" s="9" t="inlineStr">
        <is>
          <t>HIGH QUALITY</t>
        </is>
      </c>
      <c r="G4324" s="9" t="n">
        <v>3</v>
      </c>
      <c r="H4324" s="21" t="n">
        <v>8</v>
      </c>
      <c r="I4324" s="21" t="n">
        <v>167.91</v>
      </c>
      <c r="J4324" s="21" t="n">
        <v>503.74</v>
      </c>
      <c r="K4324" s="21" t="n">
        <v>587.7</v>
      </c>
      <c r="L4324" s="21" t="n">
        <v>671.66</v>
      </c>
      <c r="M4324" s="21" t="n">
        <v>832</v>
      </c>
    </row>
    <row r="4325">
      <c r="A4325" s="9" t="inlineStr">
        <is>
          <t>HAIFENG</t>
        </is>
      </c>
      <c r="B4325" s="9" t="inlineStr">
        <is>
          <t>HAIFENG 26/05/2026</t>
        </is>
      </c>
      <c r="C4325" s="9" t="inlineStr">
        <is>
          <t>2026-05-26</t>
        </is>
      </c>
      <c r="D4325" s="9" t="inlineStr">
        <is>
          <t>37491258087948</t>
        </is>
      </c>
      <c r="E4325" s="9" t="inlineStr">
        <is>
          <t>ARETES TRINITY DIAMOND</t>
        </is>
      </c>
      <c r="F4325" s="9" t="inlineStr">
        <is>
          <t>Default Title</t>
        </is>
      </c>
      <c r="G4325" s="9" t="n">
        <v>2</v>
      </c>
      <c r="H4325" s="21" t="n">
        <v>7</v>
      </c>
      <c r="I4325" s="21" t="n">
        <v>146.93</v>
      </c>
      <c r="J4325" s="21" t="n">
        <v>440.78</v>
      </c>
      <c r="K4325" s="21" t="n">
        <v>514.24</v>
      </c>
      <c r="L4325" s="21" t="n">
        <v>587.7</v>
      </c>
      <c r="M4325" s="21" t="n">
        <v>599</v>
      </c>
    </row>
    <row r="4326">
      <c r="A4326" s="9" t="inlineStr">
        <is>
          <t>HAIFENG</t>
        </is>
      </c>
      <c r="B4326" s="9" t="inlineStr">
        <is>
          <t>HAIFENG 26/05/2026</t>
        </is>
      </c>
      <c r="C4326" s="9" t="inlineStr">
        <is>
          <t>2026-05-26</t>
        </is>
      </c>
      <c r="D4326" s="9" t="inlineStr">
        <is>
          <t>661784a18007c</t>
        </is>
      </c>
      <c r="E4326" s="9" t="inlineStr">
        <is>
          <t>ARETES TRÉBOL GOLD-GREEN</t>
        </is>
      </c>
      <c r="F4326" s="9" t="inlineStr">
        <is>
          <t>HIGH QUALITY</t>
        </is>
      </c>
      <c r="G4326" s="9" t="n">
        <v>3</v>
      </c>
      <c r="H4326" s="21" t="n">
        <v>8</v>
      </c>
      <c r="I4326" s="21" t="n">
        <v>167.91</v>
      </c>
      <c r="J4326" s="21" t="n">
        <v>503.74</v>
      </c>
      <c r="K4326" s="21" t="n">
        <v>587.7</v>
      </c>
      <c r="L4326" s="21" t="n">
        <v>671.66</v>
      </c>
      <c r="M4326" s="21" t="n">
        <v>850</v>
      </c>
    </row>
    <row r="4327">
      <c r="A4327" s="9" t="inlineStr">
        <is>
          <t>HAIFENG</t>
        </is>
      </c>
      <c r="B4327" s="9" t="inlineStr">
        <is>
          <t>HAIFENG 26/05/2026</t>
        </is>
      </c>
      <c r="C4327" s="9" t="inlineStr">
        <is>
          <t>2026-05-26</t>
        </is>
      </c>
      <c r="D4327" s="9" t="inlineStr">
        <is>
          <t>665bb779989a5</t>
        </is>
      </c>
      <c r="E4327" s="9" t="inlineStr">
        <is>
          <t>ARETES TRÉBOL GOLD-WHITE</t>
        </is>
      </c>
      <c r="F4327" s="9" t="inlineStr">
        <is>
          <t>HIGH QUALITY</t>
        </is>
      </c>
      <c r="G4327" s="9" t="n">
        <v>4</v>
      </c>
      <c r="H4327" s="21" t="n">
        <v>8</v>
      </c>
      <c r="I4327" s="21" t="n">
        <v>167.91</v>
      </c>
      <c r="J4327" s="21" t="n">
        <v>503.74</v>
      </c>
      <c r="K4327" s="21" t="n">
        <v>587.7</v>
      </c>
      <c r="L4327" s="21" t="n">
        <v>671.66</v>
      </c>
      <c r="M4327" s="21" t="n">
        <v>699</v>
      </c>
    </row>
    <row r="4328">
      <c r="A4328" s="9" t="inlineStr">
        <is>
          <t>HAIFENG</t>
        </is>
      </c>
      <c r="B4328" s="9" t="inlineStr">
        <is>
          <t>HAIFENG 26/05/2026</t>
        </is>
      </c>
      <c r="C4328" s="9" t="inlineStr">
        <is>
          <t>2026-05-26</t>
        </is>
      </c>
      <c r="D4328" s="9" t="inlineStr">
        <is>
          <t>6617849bc365a</t>
        </is>
      </c>
      <c r="E4328" s="9" t="inlineStr">
        <is>
          <t>ARETES TRÉBOL ROSE GOLD RED</t>
        </is>
      </c>
      <c r="F4328" s="9" t="inlineStr">
        <is>
          <t>Default Title</t>
        </is>
      </c>
      <c r="G4328" s="9" t="n">
        <v>3</v>
      </c>
      <c r="H4328" s="21" t="n">
        <v>8</v>
      </c>
      <c r="I4328" s="21" t="n">
        <v>167.91</v>
      </c>
      <c r="J4328" s="21" t="n">
        <v>503.74</v>
      </c>
      <c r="K4328" s="21" t="n">
        <v>587.7</v>
      </c>
      <c r="L4328" s="21" t="n">
        <v>671.66</v>
      </c>
      <c r="M4328" s="21" t="n">
        <v>750</v>
      </c>
    </row>
    <row r="4329">
      <c r="A4329" s="9" t="inlineStr">
        <is>
          <t>HAIFENG</t>
        </is>
      </c>
      <c r="B4329" s="9" t="inlineStr">
        <is>
          <t>HAIFENG 26/05/2026</t>
        </is>
      </c>
      <c r="C4329" s="9" t="inlineStr">
        <is>
          <t>2026-05-26</t>
        </is>
      </c>
      <c r="D4329" s="9" t="inlineStr">
        <is>
          <t>665bb919e080e</t>
        </is>
      </c>
      <c r="E4329" s="9" t="inlineStr">
        <is>
          <t>BRAZALETE CLASH GOLD</t>
        </is>
      </c>
      <c r="F4329" s="9" t="inlineStr">
        <is>
          <t>Default Title</t>
        </is>
      </c>
      <c r="G4329" s="9" t="n">
        <v>2</v>
      </c>
      <c r="H4329" s="21" t="n">
        <v>22</v>
      </c>
      <c r="I4329" s="21" t="n">
        <v>461.76</v>
      </c>
      <c r="J4329" s="21" t="n">
        <v>1385.29</v>
      </c>
      <c r="K4329" s="21" t="n">
        <v>1616.18</v>
      </c>
      <c r="L4329" s="21" t="n">
        <v>1847.06</v>
      </c>
      <c r="M4329" s="21" t="n">
        <v>1850</v>
      </c>
    </row>
    <row r="4330">
      <c r="A4330" s="9" t="inlineStr">
        <is>
          <t>HAIFENG</t>
        </is>
      </c>
      <c r="B4330" s="9" t="inlineStr">
        <is>
          <t>HAIFENG 26/05/2026</t>
        </is>
      </c>
      <c r="C4330" s="9" t="inlineStr">
        <is>
          <t>2026-05-26</t>
        </is>
      </c>
      <c r="D4330" s="9" t="inlineStr">
        <is>
          <t>665bb920c632c</t>
        </is>
      </c>
      <c r="E4330" s="9" t="inlineStr">
        <is>
          <t>BRAZALETE CLASH SILVER</t>
        </is>
      </c>
      <c r="F4330" s="9" t="inlineStr">
        <is>
          <t>16CM</t>
        </is>
      </c>
      <c r="G4330" s="9" t="n">
        <v>3</v>
      </c>
      <c r="H4330" s="21" t="n">
        <v>22</v>
      </c>
      <c r="I4330" s="21" t="n">
        <v>461.76</v>
      </c>
      <c r="J4330" s="21" t="n">
        <v>1385.29</v>
      </c>
      <c r="K4330" s="21" t="n">
        <v>1616.18</v>
      </c>
      <c r="L4330" s="21" t="n">
        <v>1847.06</v>
      </c>
      <c r="M4330" s="21" t="n">
        <v>1850</v>
      </c>
    </row>
    <row r="4331">
      <c r="A4331" s="9" t="inlineStr">
        <is>
          <t>HAIFENG</t>
        </is>
      </c>
      <c r="B4331" s="9" t="inlineStr">
        <is>
          <t>HAIFENG 26/05/2026</t>
        </is>
      </c>
      <c r="C4331" s="9" t="inlineStr">
        <is>
          <t>2026-05-26</t>
        </is>
      </c>
      <c r="D4331" s="9" t="inlineStr">
        <is>
          <t>66768001116909</t>
        </is>
      </c>
      <c r="E4331" s="9" t="inlineStr">
        <is>
          <t>BRAZALETE H GOLD ZIRCONIAS</t>
        </is>
      </c>
      <c r="F4331" s="9" t="inlineStr">
        <is>
          <t>Default Title</t>
        </is>
      </c>
      <c r="G4331" s="9" t="n">
        <v>2</v>
      </c>
      <c r="H4331" s="21" t="n">
        <v>15</v>
      </c>
      <c r="I4331" s="21" t="n">
        <v>314.84</v>
      </c>
      <c r="J4331" s="21" t="n">
        <v>944.52</v>
      </c>
      <c r="K4331" s="21" t="n">
        <v>1101.94</v>
      </c>
      <c r="L4331" s="21" t="n">
        <v>1259.36</v>
      </c>
      <c r="M4331" s="21" t="n">
        <v>1250</v>
      </c>
    </row>
    <row r="4332">
      <c r="A4332" s="9" t="inlineStr">
        <is>
          <t>HAIFENG</t>
        </is>
      </c>
      <c r="B4332" s="9" t="inlineStr">
        <is>
          <t>HAIFENG 26/05/2026</t>
        </is>
      </c>
      <c r="C4332" s="9" t="inlineStr">
        <is>
          <t>2026-05-26</t>
        </is>
      </c>
      <c r="D4332" s="9" t="inlineStr">
        <is>
          <t>15104861551757</t>
        </is>
      </c>
      <c r="E4332" s="9" t="inlineStr">
        <is>
          <t>BRAZALETE IDYLLE ROSE GOLD ZIRCONIAS</t>
        </is>
      </c>
      <c r="F4332" s="9" t="inlineStr">
        <is>
          <t>Default Title</t>
        </is>
      </c>
      <c r="G4332" s="9" t="n">
        <v>2</v>
      </c>
      <c r="H4332" s="21" t="n">
        <v>15</v>
      </c>
      <c r="I4332" s="21" t="n">
        <v>314.84</v>
      </c>
      <c r="J4332" s="21" t="n">
        <v>944.52</v>
      </c>
      <c r="K4332" s="21" t="n">
        <v>1101.94</v>
      </c>
      <c r="L4332" s="21" t="n">
        <v>1259.36</v>
      </c>
      <c r="M4332" s="21" t="n">
        <v>1299</v>
      </c>
    </row>
    <row r="4333">
      <c r="A4333" s="9" t="inlineStr">
        <is>
          <t>HAIFENG</t>
        </is>
      </c>
      <c r="B4333" s="9" t="inlineStr">
        <is>
          <t>HAIFENG 26/05/2026</t>
        </is>
      </c>
      <c r="C4333" s="9" t="inlineStr">
        <is>
          <t>2026-05-26</t>
        </is>
      </c>
      <c r="D4333" s="9" t="inlineStr">
        <is>
          <t>22064321023405</t>
        </is>
      </c>
      <c r="E4333" s="9" t="inlineStr">
        <is>
          <t>BRAZALETE LOVE GOLD</t>
        </is>
      </c>
      <c r="F4333" s="9" t="inlineStr">
        <is>
          <t>16CM</t>
        </is>
      </c>
      <c r="G4333" s="9" t="n">
        <v>3</v>
      </c>
      <c r="H4333" s="21" t="n">
        <v>2.99</v>
      </c>
      <c r="I4333" s="21" t="n">
        <v>62.76</v>
      </c>
      <c r="J4333" s="21" t="n">
        <v>188.27</v>
      </c>
      <c r="K4333" s="21" t="n">
        <v>219.65</v>
      </c>
      <c r="L4333" s="21" t="n">
        <v>251.03</v>
      </c>
      <c r="M4333" s="21" t="n">
        <v>450</v>
      </c>
    </row>
    <row r="4334">
      <c r="A4334" s="9" t="inlineStr">
        <is>
          <t>HAIFENG</t>
        </is>
      </c>
      <c r="B4334" s="9" t="inlineStr">
        <is>
          <t>HAIFENG 26/05/2026</t>
        </is>
      </c>
      <c r="C4334" s="9" t="inlineStr">
        <is>
          <t>2026-05-26</t>
        </is>
      </c>
      <c r="D4334" s="9" t="inlineStr">
        <is>
          <t>59109721657165</t>
        </is>
      </c>
      <c r="E4334" s="9" t="inlineStr">
        <is>
          <t>BRAZALETE LOVE GOLD</t>
        </is>
      </c>
      <c r="F4334" s="9" t="inlineStr">
        <is>
          <t>19CM</t>
        </is>
      </c>
      <c r="G4334" s="9" t="n">
        <v>2</v>
      </c>
      <c r="H4334" s="21" t="n">
        <v>2.99</v>
      </c>
      <c r="I4334" s="21" t="n">
        <v>62.76</v>
      </c>
      <c r="J4334" s="21" t="n">
        <v>188.27</v>
      </c>
      <c r="K4334" s="21" t="n">
        <v>219.65</v>
      </c>
      <c r="L4334" s="21" t="n">
        <v>251.03</v>
      </c>
      <c r="M4334" s="21" t="n">
        <v>292</v>
      </c>
    </row>
    <row r="4335">
      <c r="A4335" s="9" t="inlineStr">
        <is>
          <t>HAIFENG</t>
        </is>
      </c>
      <c r="B4335" s="9" t="inlineStr">
        <is>
          <t>HAIFENG 26/05/2026</t>
        </is>
      </c>
      <c r="C4335" s="9" t="inlineStr">
        <is>
          <t>2026-05-26</t>
        </is>
      </c>
      <c r="D4335" s="9" t="inlineStr">
        <is>
          <t>35432872669581</t>
        </is>
      </c>
      <c r="E4335" s="9" t="inlineStr">
        <is>
          <t>BRAZALETE MINI CLIC KELLY ROSE GOLD</t>
        </is>
      </c>
      <c r="F4335" s="9" t="inlineStr">
        <is>
          <t>Default Title</t>
        </is>
      </c>
      <c r="G4335" s="9" t="n">
        <v>5</v>
      </c>
      <c r="H4335" s="21" t="n">
        <v>18</v>
      </c>
      <c r="I4335" s="21" t="n">
        <v>377.81</v>
      </c>
      <c r="J4335" s="21" t="n">
        <v>1133.42</v>
      </c>
      <c r="K4335" s="21" t="n">
        <v>1322.33</v>
      </c>
      <c r="L4335" s="21" t="n">
        <v>1511.23</v>
      </c>
      <c r="M4335" s="21" t="n">
        <v>1499</v>
      </c>
    </row>
    <row r="4336">
      <c r="A4336" s="9" t="inlineStr">
        <is>
          <t>HAIFENG</t>
        </is>
      </c>
      <c r="B4336" s="9" t="inlineStr">
        <is>
          <t>HAIFENG 26/05/2026</t>
        </is>
      </c>
      <c r="C4336" s="9" t="inlineStr">
        <is>
          <t>2026-05-26</t>
        </is>
      </c>
      <c r="D4336" s="9" t="inlineStr">
        <is>
          <t>13798161017037</t>
        </is>
      </c>
      <c r="E4336" s="9" t="inlineStr">
        <is>
          <t>CADENA H GOLD</t>
        </is>
      </c>
      <c r="F4336" s="9" t="inlineStr">
        <is>
          <t>Default Title</t>
        </is>
      </c>
      <c r="G4336" s="9" t="n">
        <v>2</v>
      </c>
      <c r="H4336" s="21" t="n">
        <v>12.99</v>
      </c>
      <c r="I4336" s="21" t="n">
        <v>272.65</v>
      </c>
      <c r="J4336" s="21" t="n">
        <v>817.95</v>
      </c>
      <c r="K4336" s="21" t="n">
        <v>954.28</v>
      </c>
      <c r="L4336" s="21" t="n">
        <v>1090.6</v>
      </c>
      <c r="M4336" s="21" t="n">
        <v>1099</v>
      </c>
    </row>
    <row r="4337">
      <c r="A4337" s="9" t="inlineStr">
        <is>
          <t>HAIFENG</t>
        </is>
      </c>
      <c r="B4337" s="9" t="inlineStr">
        <is>
          <t>HAIFENG 26/05/2026</t>
        </is>
      </c>
      <c r="C4337" s="9" t="inlineStr">
        <is>
          <t>2026-05-26</t>
        </is>
      </c>
      <c r="D4337" s="9" t="inlineStr">
        <is>
          <t>22649971041005</t>
        </is>
      </c>
      <c r="E4337" s="9" t="inlineStr">
        <is>
          <t>CADENA H SILVER</t>
        </is>
      </c>
      <c r="F4337" s="9" t="inlineStr">
        <is>
          <t>Default Title</t>
        </is>
      </c>
      <c r="G4337" s="9" t="n">
        <v>3</v>
      </c>
      <c r="H4337" s="21" t="n">
        <v>12.99</v>
      </c>
      <c r="I4337" s="21" t="n">
        <v>272.65</v>
      </c>
      <c r="J4337" s="21" t="n">
        <v>817.95</v>
      </c>
      <c r="K4337" s="21" t="n">
        <v>954.28</v>
      </c>
      <c r="L4337" s="21" t="n">
        <v>1090.6</v>
      </c>
      <c r="M4337" s="21" t="n">
        <v>1099</v>
      </c>
    </row>
    <row r="4338">
      <c r="A4338" s="9" t="inlineStr">
        <is>
          <t>HAIFENG</t>
        </is>
      </c>
      <c r="B4338" s="9" t="inlineStr">
        <is>
          <t>HAIFENG 26/05/2026</t>
        </is>
      </c>
      <c r="C4338" s="9" t="inlineStr">
        <is>
          <t>2026-05-26</t>
        </is>
      </c>
      <c r="D4338" s="9" t="inlineStr">
        <is>
          <t>63e0bdd7637c5</t>
        </is>
      </c>
      <c r="E4338" s="9" t="inlineStr">
        <is>
          <t>COLLAR ARO LOVE GOLD</t>
        </is>
      </c>
      <c r="F4338" s="9" t="inlineStr">
        <is>
          <t>42cm</t>
        </is>
      </c>
      <c r="G4338" s="9" t="n">
        <v>5</v>
      </c>
      <c r="H4338" s="21" t="n">
        <v>4.7</v>
      </c>
      <c r="I4338" s="21" t="n">
        <v>98.65000000000001</v>
      </c>
      <c r="J4338" s="21" t="n">
        <v>295.95</v>
      </c>
      <c r="K4338" s="21" t="n">
        <v>345.27</v>
      </c>
      <c r="L4338" s="21" t="n">
        <v>394.6</v>
      </c>
      <c r="M4338" s="21" t="n">
        <v>460</v>
      </c>
    </row>
    <row r="4339">
      <c r="A4339" s="9" t="inlineStr">
        <is>
          <t>HAIFENG</t>
        </is>
      </c>
      <c r="B4339" s="9" t="inlineStr">
        <is>
          <t>HAIFENG 26/05/2026</t>
        </is>
      </c>
      <c r="C4339" s="9" t="inlineStr">
        <is>
          <t>2026-05-26</t>
        </is>
      </c>
      <c r="D4339" s="9" t="inlineStr">
        <is>
          <t>56481482264076</t>
        </is>
      </c>
      <c r="E4339" s="9" t="inlineStr">
        <is>
          <t>COLLAR BEAN SILVER</t>
        </is>
      </c>
      <c r="F4339" s="9" t="inlineStr">
        <is>
          <t>41cm con 5cm de extensión</t>
        </is>
      </c>
      <c r="G4339" s="9" t="n">
        <v>2</v>
      </c>
      <c r="H4339" s="21" t="n">
        <v>6</v>
      </c>
      <c r="I4339" s="21" t="n">
        <v>125.94</v>
      </c>
      <c r="J4339" s="21" t="n">
        <v>377.81</v>
      </c>
      <c r="K4339" s="21" t="n">
        <v>440.78</v>
      </c>
      <c r="L4339" s="21" t="n">
        <v>503.74</v>
      </c>
      <c r="M4339" s="21" t="n">
        <v>520</v>
      </c>
    </row>
    <row r="4340">
      <c r="A4340" s="9" t="inlineStr">
        <is>
          <t>HAIFENG</t>
        </is>
      </c>
      <c r="B4340" s="9" t="inlineStr">
        <is>
          <t>HAIFENG 26/05/2026</t>
        </is>
      </c>
      <c r="C4340" s="9" t="inlineStr">
        <is>
          <t>2026-05-26</t>
        </is>
      </c>
      <c r="D4340" s="9" t="inlineStr">
        <is>
          <t>89790741679565</t>
        </is>
      </c>
      <c r="E4340" s="9" t="inlineStr">
        <is>
          <t>COLLAR BV GOLD PEARL ZIRCONIA</t>
        </is>
      </c>
      <c r="F4340" s="9" t="inlineStr">
        <is>
          <t>Default Title</t>
        </is>
      </c>
      <c r="G4340" s="9" t="n">
        <v>2</v>
      </c>
      <c r="H4340" s="21" t="n">
        <v>7</v>
      </c>
      <c r="I4340" s="21" t="n">
        <v>146.93</v>
      </c>
      <c r="J4340" s="21" t="n">
        <v>440.78</v>
      </c>
      <c r="K4340" s="21" t="n">
        <v>514.24</v>
      </c>
      <c r="L4340" s="21" t="n">
        <v>587.7</v>
      </c>
      <c r="M4340" s="21" t="n">
        <v>599</v>
      </c>
    </row>
    <row r="4341">
      <c r="A4341" s="9" t="inlineStr">
        <is>
          <t>HAIFENG</t>
        </is>
      </c>
      <c r="B4341" s="9" t="inlineStr">
        <is>
          <t>HAIFENG 26/05/2026</t>
        </is>
      </c>
      <c r="C4341" s="9" t="inlineStr">
        <is>
          <t>2026-05-26</t>
        </is>
      </c>
      <c r="D4341" s="9" t="inlineStr">
        <is>
          <t>59109721807789</t>
        </is>
      </c>
      <c r="E4341" s="9" t="inlineStr">
        <is>
          <t>COLLAR BV PARENTESI SILVER</t>
        </is>
      </c>
      <c r="F4341" s="9" t="inlineStr">
        <is>
          <t>Default Title</t>
        </is>
      </c>
      <c r="G4341" s="9" t="n">
        <v>2</v>
      </c>
      <c r="H4341" s="21" t="n">
        <v>8.5</v>
      </c>
      <c r="I4341" s="21" t="n">
        <v>178.41</v>
      </c>
      <c r="J4341" s="21" t="n">
        <v>535.23</v>
      </c>
      <c r="K4341" s="21" t="n">
        <v>624.4299999999999</v>
      </c>
      <c r="L4341" s="21" t="n">
        <v>713.64</v>
      </c>
      <c r="M4341" s="21" t="n">
        <v>750</v>
      </c>
    </row>
    <row r="4342">
      <c r="A4342" s="9" t="inlineStr">
        <is>
          <t>HAIFENG</t>
        </is>
      </c>
      <c r="B4342" s="9" t="inlineStr">
        <is>
          <t>HAIFENG 26/05/2026</t>
        </is>
      </c>
      <c r="C4342" s="9" t="inlineStr">
        <is>
          <t>2026-05-26</t>
        </is>
      </c>
      <c r="D4342" s="9" t="inlineStr">
        <is>
          <t>648cc31f234b1</t>
        </is>
      </c>
      <c r="E4342" s="9" t="inlineStr">
        <is>
          <t>COLLAR BV ROSE GOLD</t>
        </is>
      </c>
      <c r="F4342" s="9" t="inlineStr">
        <is>
          <t>Largo de cadena total 40cm  Extensión 8 cm  Dije 1 cm</t>
        </is>
      </c>
      <c r="G4342" s="9" t="n">
        <v>2</v>
      </c>
      <c r="H4342" s="21" t="n">
        <v>6</v>
      </c>
      <c r="I4342" s="21" t="n">
        <v>125.94</v>
      </c>
      <c r="J4342" s="21" t="n">
        <v>377.81</v>
      </c>
      <c r="K4342" s="21" t="n">
        <v>440.78</v>
      </c>
      <c r="L4342" s="21" t="n">
        <v>503.74</v>
      </c>
      <c r="M4342" s="21" t="n">
        <v>499</v>
      </c>
    </row>
    <row r="4343">
      <c r="A4343" s="9" t="inlineStr">
        <is>
          <t>HAIFENG</t>
        </is>
      </c>
      <c r="B4343" s="9" t="inlineStr">
        <is>
          <t>HAIFENG 26/05/2026</t>
        </is>
      </c>
      <c r="C4343" s="9" t="inlineStr">
        <is>
          <t>2026-05-26</t>
        </is>
      </c>
      <c r="D4343" s="9" t="inlineStr">
        <is>
          <t>89790741719597</t>
        </is>
      </c>
      <c r="E4343" s="9" t="inlineStr">
        <is>
          <t>COLLAR BV SILVER PEARL ZIRCONIA</t>
        </is>
      </c>
      <c r="F4343" s="9" t="inlineStr">
        <is>
          <t>Default Title</t>
        </is>
      </c>
      <c r="G4343" s="9" t="n">
        <v>2</v>
      </c>
      <c r="H4343" s="21" t="n">
        <v>7</v>
      </c>
      <c r="I4343" s="21" t="n">
        <v>146.93</v>
      </c>
      <c r="J4343" s="21" t="n">
        <v>440.78</v>
      </c>
      <c r="K4343" s="21" t="n">
        <v>514.24</v>
      </c>
      <c r="L4343" s="21" t="n">
        <v>587.7</v>
      </c>
      <c r="M4343" s="21" t="n">
        <v>599</v>
      </c>
    </row>
    <row r="4344">
      <c r="A4344" s="9" t="inlineStr">
        <is>
          <t>HAIFENG</t>
        </is>
      </c>
      <c r="B4344" s="9" t="inlineStr">
        <is>
          <t>HAIFENG 26/05/2026</t>
        </is>
      </c>
      <c r="C4344" s="9" t="inlineStr">
        <is>
          <t>2026-05-26</t>
        </is>
      </c>
      <c r="D4344" s="9" t="inlineStr">
        <is>
          <t>43728082231852</t>
        </is>
      </c>
      <c r="E4344" s="9" t="inlineStr">
        <is>
          <t>COLLAR C D’AMOUR SILVER</t>
        </is>
      </c>
      <c r="F4344" s="9" t="inlineStr">
        <is>
          <t>44cm con 5cm de extensión</t>
        </is>
      </c>
      <c r="G4344" s="9" t="n">
        <v>5</v>
      </c>
      <c r="H4344" s="21" t="n">
        <v>2.99</v>
      </c>
      <c r="I4344" s="21" t="n">
        <v>62.76</v>
      </c>
      <c r="J4344" s="21" t="n">
        <v>188.27</v>
      </c>
      <c r="K4344" s="21" t="n">
        <v>219.65</v>
      </c>
      <c r="L4344" s="21" t="n">
        <v>251.03</v>
      </c>
      <c r="M4344" s="21" t="n">
        <v>399</v>
      </c>
    </row>
    <row r="4345">
      <c r="A4345" s="9" t="inlineStr">
        <is>
          <t>HAIFENG</t>
        </is>
      </c>
      <c r="B4345" s="9" t="inlineStr">
        <is>
          <t>HAIFENG 26/05/2026</t>
        </is>
      </c>
      <c r="C4345" s="9" t="inlineStr">
        <is>
          <t>2026-05-26</t>
        </is>
      </c>
      <c r="D4345" s="9" t="inlineStr">
        <is>
          <t>11078751761037</t>
        </is>
      </c>
      <c r="E4345" s="9" t="inlineStr">
        <is>
          <t>COLLAR C GOLD ZIRCONIAS</t>
        </is>
      </c>
      <c r="F4345" s="9" t="inlineStr">
        <is>
          <t>Default Title</t>
        </is>
      </c>
      <c r="G4345" s="9" t="n">
        <v>5</v>
      </c>
      <c r="H4345" s="21" t="n">
        <v>5.99</v>
      </c>
      <c r="I4345" s="21" t="n">
        <v>125.73</v>
      </c>
      <c r="J4345" s="21" t="n">
        <v>377.18</v>
      </c>
      <c r="K4345" s="21" t="n">
        <v>440.04</v>
      </c>
      <c r="L4345" s="21" t="n">
        <v>502.9</v>
      </c>
      <c r="M4345" s="21" t="n">
        <v>550</v>
      </c>
    </row>
    <row r="4346">
      <c r="A4346" s="9" t="inlineStr">
        <is>
          <t>HAIFENG</t>
        </is>
      </c>
      <c r="B4346" s="9" t="inlineStr">
        <is>
          <t>HAIFENG 26/05/2026</t>
        </is>
      </c>
      <c r="C4346" s="9" t="inlineStr">
        <is>
          <t>2026-05-26</t>
        </is>
      </c>
      <c r="D4346" s="9" t="inlineStr">
        <is>
          <t>56481489561612</t>
        </is>
      </c>
      <c r="E4346" s="9" t="inlineStr">
        <is>
          <t>COLLAR DOBLE PLACA ROSEGOLD</t>
        </is>
      </c>
      <c r="F4346" s="9" t="inlineStr">
        <is>
          <t>39cm con 5cm de extensión</t>
        </is>
      </c>
      <c r="G4346" s="9" t="n">
        <v>6</v>
      </c>
      <c r="H4346" s="21" t="n">
        <v>5</v>
      </c>
      <c r="I4346" s="21" t="n">
        <v>104.95</v>
      </c>
      <c r="J4346" s="21" t="n">
        <v>314.84</v>
      </c>
      <c r="K4346" s="21" t="n">
        <v>367.31</v>
      </c>
      <c r="L4346" s="21" t="n">
        <v>419.79</v>
      </c>
      <c r="M4346" s="21" t="n">
        <v>550</v>
      </c>
    </row>
    <row r="4347">
      <c r="A4347" s="9" t="inlineStr">
        <is>
          <t>HAIFENG</t>
        </is>
      </c>
      <c r="B4347" s="9" t="inlineStr">
        <is>
          <t>HAIFENG 26/05/2026</t>
        </is>
      </c>
      <c r="C4347" s="9" t="inlineStr">
        <is>
          <t>2026-05-26</t>
        </is>
      </c>
      <c r="D4347" s="9" t="inlineStr">
        <is>
          <t>56481497508748</t>
        </is>
      </c>
      <c r="E4347" s="9" t="inlineStr">
        <is>
          <t>COLLAR DOBLE PLACA ROSEGOLD PLATA</t>
        </is>
      </c>
      <c r="F4347" s="9" t="inlineStr">
        <is>
          <t>40cm con 5cm de extensión</t>
        </is>
      </c>
      <c r="G4347" s="9" t="n">
        <v>6</v>
      </c>
      <c r="H4347" s="21" t="n">
        <v>5</v>
      </c>
      <c r="I4347" s="21" t="n">
        <v>104.95</v>
      </c>
      <c r="J4347" s="21" t="n">
        <v>314.84</v>
      </c>
      <c r="K4347" s="21" t="n">
        <v>367.31</v>
      </c>
      <c r="L4347" s="21" t="n">
        <v>419.79</v>
      </c>
      <c r="M4347" s="21" t="n">
        <v>550</v>
      </c>
    </row>
    <row r="4348">
      <c r="A4348" s="9" t="inlineStr">
        <is>
          <t>HAIFENG</t>
        </is>
      </c>
      <c r="B4348" s="9" t="inlineStr">
        <is>
          <t>HAIFENG 26/05/2026</t>
        </is>
      </c>
      <c r="C4348" s="9" t="inlineStr">
        <is>
          <t>2026-05-26</t>
        </is>
      </c>
      <c r="D4348" s="9" t="inlineStr">
        <is>
          <t>59109721516269</t>
        </is>
      </c>
      <c r="E4348" s="9" t="inlineStr">
        <is>
          <t>COLLAR F O'LOCK CRYSTALS</t>
        </is>
      </c>
      <c r="F4348" s="9" t="inlineStr">
        <is>
          <t>Default Title</t>
        </is>
      </c>
      <c r="G4348" s="9" t="n">
        <v>2</v>
      </c>
      <c r="H4348" s="21" t="n">
        <v>8.99</v>
      </c>
      <c r="I4348" s="21" t="n">
        <v>188.69</v>
      </c>
      <c r="J4348" s="21" t="n">
        <v>566.08</v>
      </c>
      <c r="K4348" s="21" t="n">
        <v>660.4299999999999</v>
      </c>
      <c r="L4348" s="21" t="n">
        <v>754.78</v>
      </c>
      <c r="M4348" s="21" t="n">
        <v>750</v>
      </c>
    </row>
    <row r="4349">
      <c r="A4349" s="9" t="inlineStr">
        <is>
          <t>HAIFENG</t>
        </is>
      </c>
      <c r="B4349" s="9" t="inlineStr">
        <is>
          <t>HAIFENG 26/05/2026</t>
        </is>
      </c>
      <c r="C4349" s="9" t="inlineStr">
        <is>
          <t>2026-05-26</t>
        </is>
      </c>
      <c r="D4349" s="9" t="inlineStr">
        <is>
          <t>59109721331533</t>
        </is>
      </c>
      <c r="E4349" s="9" t="inlineStr">
        <is>
          <t>COLLAR F O'LOCK TRIPLE GOLD</t>
        </is>
      </c>
      <c r="F4349" s="9" t="inlineStr">
        <is>
          <t>Default Title</t>
        </is>
      </c>
      <c r="G4349" s="9" t="n">
        <v>2</v>
      </c>
      <c r="H4349" s="21" t="n">
        <v>9</v>
      </c>
      <c r="I4349" s="21" t="n">
        <v>188.9</v>
      </c>
      <c r="J4349" s="21" t="n">
        <v>566.71</v>
      </c>
      <c r="K4349" s="21" t="n">
        <v>661.16</v>
      </c>
      <c r="L4349" s="21" t="n">
        <v>755.61</v>
      </c>
      <c r="M4349" s="21" t="n">
        <v>750</v>
      </c>
    </row>
    <row r="4350">
      <c r="A4350" s="9" t="inlineStr">
        <is>
          <t>HAIFENG</t>
        </is>
      </c>
      <c r="B4350" s="9" t="inlineStr">
        <is>
          <t>HAIFENG 26/05/2026</t>
        </is>
      </c>
      <c r="C4350" s="9" t="inlineStr">
        <is>
          <t>2026-05-26</t>
        </is>
      </c>
      <c r="D4350" s="9" t="inlineStr">
        <is>
          <t>59109721417965</t>
        </is>
      </c>
      <c r="E4350" s="9" t="inlineStr">
        <is>
          <t>COLLAR F TRIPLE GOLD</t>
        </is>
      </c>
      <c r="F4350" s="9" t="inlineStr">
        <is>
          <t>Default Title</t>
        </is>
      </c>
      <c r="G4350" s="9" t="n">
        <v>2</v>
      </c>
      <c r="H4350" s="21" t="n">
        <v>8.99</v>
      </c>
      <c r="I4350" s="21" t="n">
        <v>188.69</v>
      </c>
      <c r="J4350" s="21" t="n">
        <v>566.08</v>
      </c>
      <c r="K4350" s="21" t="n">
        <v>660.4299999999999</v>
      </c>
      <c r="L4350" s="21" t="n">
        <v>754.78</v>
      </c>
      <c r="M4350" s="21" t="n">
        <v>750</v>
      </c>
    </row>
    <row r="4351">
      <c r="A4351" s="9" t="inlineStr">
        <is>
          <t>HAIFENG</t>
        </is>
      </c>
      <c r="B4351" s="9" t="inlineStr">
        <is>
          <t>HAIFENG 26/05/2026</t>
        </is>
      </c>
      <c r="C4351" s="9" t="inlineStr">
        <is>
          <t>2026-05-26</t>
        </is>
      </c>
      <c r="D4351" s="9" t="inlineStr">
        <is>
          <t>15104862668173</t>
        </is>
      </c>
      <c r="E4351" s="9" t="inlineStr">
        <is>
          <t>COLLAR KELLY ROSE GOLD</t>
        </is>
      </c>
      <c r="F4351" s="9" t="inlineStr">
        <is>
          <t>Default Title</t>
        </is>
      </c>
      <c r="G4351" s="9" t="n">
        <v>2</v>
      </c>
      <c r="H4351" s="21" t="n">
        <v>6</v>
      </c>
      <c r="I4351" s="21" t="n">
        <v>125.94</v>
      </c>
      <c r="J4351" s="21" t="n">
        <v>377.81</v>
      </c>
      <c r="K4351" s="21" t="n">
        <v>440.78</v>
      </c>
      <c r="L4351" s="21" t="n">
        <v>503.74</v>
      </c>
      <c r="M4351" s="21" t="n">
        <v>499</v>
      </c>
    </row>
    <row r="4352">
      <c r="A4352" s="9" t="inlineStr">
        <is>
          <t>HAIFENG</t>
        </is>
      </c>
      <c r="B4352" s="9" t="inlineStr">
        <is>
          <t>HAIFENG 26/05/2026</t>
        </is>
      </c>
      <c r="C4352" s="9" t="inlineStr">
        <is>
          <t>2026-05-26</t>
        </is>
      </c>
      <c r="D4352" s="9" t="inlineStr">
        <is>
          <t>63e0beee6c617</t>
        </is>
      </c>
      <c r="E4352" s="9" t="inlineStr">
        <is>
          <t>COLLAR LOVE GOLD</t>
        </is>
      </c>
      <c r="F4352" s="9" t="inlineStr">
        <is>
          <t>45cm</t>
        </is>
      </c>
      <c r="G4352" s="9" t="n">
        <v>1</v>
      </c>
      <c r="H4352" s="21" t="n">
        <v>5</v>
      </c>
      <c r="I4352" s="21" t="n">
        <v>104.95</v>
      </c>
      <c r="J4352" s="21" t="n">
        <v>314.84</v>
      </c>
      <c r="K4352" s="21" t="n">
        <v>367.31</v>
      </c>
      <c r="L4352" s="21" t="n">
        <v>419.79</v>
      </c>
      <c r="M4352" s="21" t="n">
        <v>550</v>
      </c>
    </row>
    <row r="4353">
      <c r="A4353" s="9" t="inlineStr">
        <is>
          <t>HAIFENG</t>
        </is>
      </c>
      <c r="B4353" s="9" t="inlineStr">
        <is>
          <t>HAIFENG 26/05/2026</t>
        </is>
      </c>
      <c r="C4353" s="9" t="inlineStr">
        <is>
          <t>2026-05-26</t>
        </is>
      </c>
      <c r="D4353" s="9" t="inlineStr">
        <is>
          <t>17964142322733</t>
        </is>
      </c>
      <c r="E4353" s="9" t="inlineStr">
        <is>
          <t>COLLAR LV SPIKE SILVER</t>
        </is>
      </c>
      <c r="F4353" s="9" t="inlineStr">
        <is>
          <t>Default Title</t>
        </is>
      </c>
      <c r="G4353" s="9" t="n">
        <v>2</v>
      </c>
      <c r="H4353" s="21" t="n">
        <v>12</v>
      </c>
      <c r="I4353" s="21" t="n">
        <v>251.87</v>
      </c>
      <c r="J4353" s="21" t="n">
        <v>755.61</v>
      </c>
      <c r="K4353" s="21" t="n">
        <v>881.55</v>
      </c>
      <c r="L4353" s="21" t="n">
        <v>1007.49</v>
      </c>
      <c r="M4353" s="21" t="n">
        <v>999</v>
      </c>
    </row>
    <row r="4354">
      <c r="A4354" s="9" t="inlineStr">
        <is>
          <t>HAIFENG</t>
        </is>
      </c>
      <c r="B4354" s="9" t="inlineStr">
        <is>
          <t>HAIFENG 26/05/2026</t>
        </is>
      </c>
      <c r="C4354" s="9" t="inlineStr">
        <is>
          <t>2026-05-26</t>
        </is>
      </c>
      <c r="D4354" s="9" t="inlineStr">
        <is>
          <t>22064324048909</t>
        </is>
      </c>
      <c r="E4354" s="9" t="inlineStr">
        <is>
          <t>COLLAR MARIPOSA ROSE GOLD WHITE</t>
        </is>
      </c>
      <c r="F4354" s="9" t="inlineStr">
        <is>
          <t>Default Title</t>
        </is>
      </c>
      <c r="G4354" s="9" t="n">
        <v>6</v>
      </c>
      <c r="H4354" s="21" t="n">
        <v>6</v>
      </c>
      <c r="I4354" s="21" t="n">
        <v>125.94</v>
      </c>
      <c r="J4354" s="21" t="n">
        <v>377.81</v>
      </c>
      <c r="K4354" s="21" t="n">
        <v>440.78</v>
      </c>
      <c r="L4354" s="21" t="n">
        <v>503.74</v>
      </c>
      <c r="M4354" s="21" t="n">
        <v>499</v>
      </c>
    </row>
    <row r="4355">
      <c r="A4355" s="9" t="inlineStr">
        <is>
          <t>HAIFENG</t>
        </is>
      </c>
      <c r="B4355" s="9" t="inlineStr">
        <is>
          <t>HAIFENG 26/05/2026</t>
        </is>
      </c>
      <c r="C4355" s="9" t="inlineStr">
        <is>
          <t>2026-05-26</t>
        </is>
      </c>
      <c r="D4355" s="9" t="inlineStr">
        <is>
          <t>22064324293549</t>
        </is>
      </c>
      <c r="E4355" s="9" t="inlineStr">
        <is>
          <t>COLLAR MARIPOSA TURQUESA GOLD</t>
        </is>
      </c>
      <c r="F4355" s="9" t="inlineStr">
        <is>
          <t>Default Title</t>
        </is>
      </c>
      <c r="G4355" s="9" t="n">
        <v>6</v>
      </c>
      <c r="H4355" s="21" t="n">
        <v>6</v>
      </c>
      <c r="I4355" s="21" t="n">
        <v>125.94</v>
      </c>
      <c r="J4355" s="21" t="n">
        <v>377.81</v>
      </c>
      <c r="K4355" s="21" t="n">
        <v>440.78</v>
      </c>
      <c r="L4355" s="21" t="n">
        <v>503.74</v>
      </c>
      <c r="M4355" s="21" t="n">
        <v>499</v>
      </c>
    </row>
    <row r="4356">
      <c r="A4356" s="9" t="inlineStr">
        <is>
          <t>HAIFENG</t>
        </is>
      </c>
      <c r="B4356" s="9" t="inlineStr">
        <is>
          <t>HAIFENG 26/05/2026</t>
        </is>
      </c>
      <c r="C4356" s="9" t="inlineStr">
        <is>
          <t>2026-05-26</t>
        </is>
      </c>
      <c r="D4356" s="9" t="inlineStr">
        <is>
          <t>59109722069933</t>
        </is>
      </c>
      <c r="E4356" s="9" t="inlineStr">
        <is>
          <t>COLLAR MM GOLD-PINK</t>
        </is>
      </c>
      <c r="F4356" s="9" t="inlineStr">
        <is>
          <t>Default Title</t>
        </is>
      </c>
      <c r="G4356" s="9" t="n">
        <v>3</v>
      </c>
      <c r="H4356" s="21" t="n">
        <v>8.99</v>
      </c>
      <c r="I4356" s="21" t="n">
        <v>188.69</v>
      </c>
      <c r="J4356" s="21" t="n">
        <v>566.08</v>
      </c>
      <c r="K4356" s="21" t="n">
        <v>660.4299999999999</v>
      </c>
      <c r="L4356" s="21" t="n">
        <v>754.78</v>
      </c>
      <c r="M4356" s="21" t="n">
        <v>750</v>
      </c>
    </row>
    <row r="4357">
      <c r="A4357" s="9" t="inlineStr">
        <is>
          <t>HAIFENG</t>
        </is>
      </c>
      <c r="B4357" s="9" t="inlineStr">
        <is>
          <t>HAIFENG 26/05/2026</t>
        </is>
      </c>
      <c r="C4357" s="9" t="inlineStr">
        <is>
          <t>2026-05-26</t>
        </is>
      </c>
      <c r="D4357" s="9" t="inlineStr">
        <is>
          <t>59109722102701</t>
        </is>
      </c>
      <c r="E4357" s="9" t="inlineStr">
        <is>
          <t>COLLAR MM GOLD-WHITE</t>
        </is>
      </c>
      <c r="F4357" s="9" t="inlineStr">
        <is>
          <t>Default Title</t>
        </is>
      </c>
      <c r="G4357" s="9" t="n">
        <v>1</v>
      </c>
      <c r="H4357" s="21" t="n">
        <v>8.99</v>
      </c>
      <c r="I4357" s="21" t="n">
        <v>188.69</v>
      </c>
      <c r="J4357" s="21" t="n">
        <v>566.08</v>
      </c>
      <c r="K4357" s="21" t="n">
        <v>660.4299999999999</v>
      </c>
      <c r="L4357" s="21" t="n">
        <v>754.78</v>
      </c>
      <c r="M4357" s="21" t="n">
        <v>750</v>
      </c>
    </row>
    <row r="4358">
      <c r="A4358" s="9" t="inlineStr">
        <is>
          <t>HAIFENG</t>
        </is>
      </c>
      <c r="B4358" s="9" t="inlineStr">
        <is>
          <t>HAIFENG 26/05/2026</t>
        </is>
      </c>
      <c r="C4358" s="9" t="inlineStr">
        <is>
          <t>2026-05-26</t>
        </is>
      </c>
      <c r="D4358" s="9" t="inlineStr">
        <is>
          <t>79024851004397</t>
        </is>
      </c>
      <c r="E4358" s="9" t="inlineStr">
        <is>
          <t>COLLAR MSS MOVE GOLD LISO</t>
        </is>
      </c>
      <c r="F4358" s="9" t="inlineStr">
        <is>
          <t>Default Title</t>
        </is>
      </c>
      <c r="G4358" s="9" t="n">
        <v>5</v>
      </c>
      <c r="H4358" s="21" t="n">
        <v>8</v>
      </c>
      <c r="I4358" s="21" t="n">
        <v>167.91</v>
      </c>
      <c r="J4358" s="21" t="n">
        <v>503.74</v>
      </c>
      <c r="K4358" s="21" t="n">
        <v>587.7</v>
      </c>
      <c r="L4358" s="21" t="n">
        <v>671.66</v>
      </c>
      <c r="M4358" s="21" t="n">
        <v>699</v>
      </c>
    </row>
    <row r="4359">
      <c r="A4359" s="9" t="inlineStr">
        <is>
          <t>HAIFENG</t>
        </is>
      </c>
      <c r="B4359" s="9" t="inlineStr">
        <is>
          <t>HAIFENG 26/05/2026</t>
        </is>
      </c>
      <c r="C4359" s="9" t="inlineStr">
        <is>
          <t>2026-05-26</t>
        </is>
      </c>
      <c r="D4359" s="9" t="inlineStr">
        <is>
          <t>54479961098957</t>
        </is>
      </c>
      <c r="E4359" s="9" t="inlineStr">
        <is>
          <t>COLLAR MSS SILVER CON ZIRCONIA</t>
        </is>
      </c>
      <c r="F4359" s="9" t="inlineStr">
        <is>
          <t>Default Title</t>
        </is>
      </c>
      <c r="G4359" s="9" t="n">
        <v>5</v>
      </c>
      <c r="H4359" s="21" t="n">
        <v>8</v>
      </c>
      <c r="I4359" s="21" t="n">
        <v>167.91</v>
      </c>
      <c r="J4359" s="21" t="n">
        <v>503.74</v>
      </c>
      <c r="K4359" s="21" t="n">
        <v>587.7</v>
      </c>
      <c r="L4359" s="21" t="n">
        <v>671.66</v>
      </c>
      <c r="M4359" s="21" t="n">
        <v>699</v>
      </c>
    </row>
    <row r="4360">
      <c r="A4360" s="9" t="inlineStr">
        <is>
          <t>HAIFENG</t>
        </is>
      </c>
      <c r="B4360" s="9" t="inlineStr">
        <is>
          <t>HAIFENG 26/05/2026</t>
        </is>
      </c>
      <c r="C4360" s="9" t="inlineStr">
        <is>
          <t>2026-05-26</t>
        </is>
      </c>
      <c r="D4360" s="9" t="inlineStr">
        <is>
          <t>54479961098957</t>
        </is>
      </c>
      <c r="E4360" s="9" t="inlineStr">
        <is>
          <t>COLLAR MSS SILVER CON ZIRCONIA</t>
        </is>
      </c>
      <c r="F4360" s="9" t="inlineStr">
        <is>
          <t>Default Title</t>
        </is>
      </c>
      <c r="G4360" s="9" t="n">
        <v>1</v>
      </c>
      <c r="H4360" s="21" t="n">
        <v>8</v>
      </c>
      <c r="I4360" s="21" t="n">
        <v>167.91</v>
      </c>
      <c r="J4360" s="21" t="n">
        <v>503.74</v>
      </c>
      <c r="K4360" s="21" t="n">
        <v>587.7</v>
      </c>
      <c r="L4360" s="21" t="n">
        <v>671.66</v>
      </c>
      <c r="M4360" s="21" t="n">
        <v>699</v>
      </c>
    </row>
    <row r="4361">
      <c r="A4361" s="9" t="inlineStr">
        <is>
          <t>HAIFENG</t>
        </is>
      </c>
      <c r="B4361" s="9" t="inlineStr">
        <is>
          <t>HAIFENG 26/05/2026</t>
        </is>
      </c>
      <c r="C4361" s="9" t="inlineStr">
        <is>
          <t>2026-05-26</t>
        </is>
      </c>
      <c r="D4361" s="9" t="inlineStr">
        <is>
          <t>82014673288716</t>
        </is>
      </c>
      <c r="E4361" s="9" t="inlineStr">
        <is>
          <t>COLLAR SIXTEEN STONE</t>
        </is>
      </c>
      <c r="F4361" s="9" t="inlineStr">
        <is>
          <t>43cm con extensión de 5cm</t>
        </is>
      </c>
      <c r="G4361" s="9" t="n">
        <v>2</v>
      </c>
      <c r="H4361" s="21" t="n">
        <v>7.5</v>
      </c>
      <c r="I4361" s="21" t="n">
        <v>157.42</v>
      </c>
      <c r="J4361" s="21" t="n">
        <v>472.26</v>
      </c>
      <c r="K4361" s="21" t="n">
        <v>550.97</v>
      </c>
      <c r="L4361" s="21" t="n">
        <v>629.6799999999999</v>
      </c>
      <c r="M4361" s="21" t="n">
        <v>650</v>
      </c>
    </row>
    <row r="4362">
      <c r="A4362" s="9" t="inlineStr">
        <is>
          <t>HAIFENG</t>
        </is>
      </c>
      <c r="B4362" s="9" t="inlineStr">
        <is>
          <t>HAIFENG 26/05/2026</t>
        </is>
      </c>
      <c r="C4362" s="9" t="inlineStr">
        <is>
          <t>2026-05-26</t>
        </is>
      </c>
      <c r="D4362" s="9" t="inlineStr">
        <is>
          <t>63e0bf8dbe95e</t>
        </is>
      </c>
      <c r="E4362" s="9" t="inlineStr">
        <is>
          <t>COLLAR SMILE DORADO</t>
        </is>
      </c>
      <c r="F4362" s="9" t="inlineStr">
        <is>
          <t>MEDIUM</t>
        </is>
      </c>
      <c r="G4362" s="9" t="n">
        <v>8</v>
      </c>
      <c r="H4362" s="21" t="n">
        <v>3.8</v>
      </c>
      <c r="I4362" s="21" t="n">
        <v>79.76000000000001</v>
      </c>
      <c r="J4362" s="21" t="n">
        <v>239.28</v>
      </c>
      <c r="K4362" s="21" t="n">
        <v>279.16</v>
      </c>
      <c r="L4362" s="21" t="n">
        <v>319.04</v>
      </c>
      <c r="M4362" s="21" t="n">
        <v>460</v>
      </c>
    </row>
    <row r="4363">
      <c r="A4363" s="9" t="inlineStr">
        <is>
          <t>HAIFENG</t>
        </is>
      </c>
      <c r="B4363" s="9" t="inlineStr">
        <is>
          <t>HAIFENG 26/05/2026</t>
        </is>
      </c>
      <c r="C4363" s="9" t="inlineStr">
        <is>
          <t>2026-05-26</t>
        </is>
      </c>
      <c r="D4363" s="9" t="inlineStr">
        <is>
          <t>668eee443df70</t>
        </is>
      </c>
      <c r="E4363" s="9" t="inlineStr">
        <is>
          <t>COLLAR SMILE SILVER</t>
        </is>
      </c>
      <c r="F4363" s="9" t="inlineStr">
        <is>
          <t>Cadena ajustable de 40.6 a 45.7 cm</t>
        </is>
      </c>
      <c r="G4363" s="9" t="n">
        <v>5</v>
      </c>
      <c r="H4363" s="21" t="n">
        <v>3.8</v>
      </c>
      <c r="I4363" s="21" t="n">
        <v>79.76000000000001</v>
      </c>
      <c r="J4363" s="21" t="n">
        <v>239.28</v>
      </c>
      <c r="K4363" s="21" t="n">
        <v>279.16</v>
      </c>
      <c r="L4363" s="21" t="n">
        <v>319.04</v>
      </c>
      <c r="M4363" s="21" t="n">
        <v>460</v>
      </c>
    </row>
    <row r="4364">
      <c r="A4364" s="9" t="inlineStr">
        <is>
          <t>HAIFENG</t>
        </is>
      </c>
      <c r="B4364" s="9" t="inlineStr">
        <is>
          <t>HAIFENG 26/05/2026</t>
        </is>
      </c>
      <c r="C4364" s="9" t="inlineStr">
        <is>
          <t>2026-05-26</t>
        </is>
      </c>
      <c r="D4364" s="9" t="inlineStr">
        <is>
          <t>15104861829165</t>
        </is>
      </c>
      <c r="E4364" s="9" t="inlineStr">
        <is>
          <t>COLLAR SUN BLACK BLOSSOM GOLD</t>
        </is>
      </c>
      <c r="F4364" s="9" t="inlineStr">
        <is>
          <t>Default Title</t>
        </is>
      </c>
      <c r="G4364" s="9" t="n">
        <v>2</v>
      </c>
      <c r="H4364" s="21" t="n">
        <v>5.99</v>
      </c>
      <c r="I4364" s="21" t="n">
        <v>125.73</v>
      </c>
      <c r="J4364" s="21" t="n">
        <v>377.18</v>
      </c>
      <c r="K4364" s="21" t="n">
        <v>440.04</v>
      </c>
      <c r="L4364" s="21" t="n">
        <v>502.9</v>
      </c>
      <c r="M4364" s="21" t="n">
        <v>680</v>
      </c>
    </row>
    <row r="4365">
      <c r="A4365" s="9" t="inlineStr">
        <is>
          <t>HAIFENG</t>
        </is>
      </c>
      <c r="B4365" s="9" t="inlineStr">
        <is>
          <t>HAIFENG 26/05/2026</t>
        </is>
      </c>
      <c r="C4365" s="9" t="inlineStr">
        <is>
          <t>2026-05-26</t>
        </is>
      </c>
      <c r="D4365" s="9" t="inlineStr">
        <is>
          <t>15104862051213</t>
        </is>
      </c>
      <c r="E4365" s="9" t="inlineStr">
        <is>
          <t>COLLAR SUN GREEN BLOSSOM GOLD</t>
        </is>
      </c>
      <c r="F4365" s="9" t="inlineStr">
        <is>
          <t>Default Title</t>
        </is>
      </c>
      <c r="G4365" s="9" t="n">
        <v>2</v>
      </c>
      <c r="H4365" s="21" t="n">
        <v>5.99</v>
      </c>
      <c r="I4365" s="21" t="n">
        <v>125.73</v>
      </c>
      <c r="J4365" s="21" t="n">
        <v>377.18</v>
      </c>
      <c r="K4365" s="21" t="n">
        <v>440.04</v>
      </c>
      <c r="L4365" s="21" t="n">
        <v>502.9</v>
      </c>
      <c r="M4365" s="21" t="n">
        <v>680</v>
      </c>
    </row>
    <row r="4366">
      <c r="A4366" s="9" t="inlineStr">
        <is>
          <t>HAIFENG</t>
        </is>
      </c>
      <c r="B4366" s="9" t="inlineStr">
        <is>
          <t>HAIFENG 26/05/2026</t>
        </is>
      </c>
      <c r="C4366" s="9" t="inlineStr">
        <is>
          <t>2026-05-26</t>
        </is>
      </c>
      <c r="D4366" s="9" t="inlineStr">
        <is>
          <t>15104862263629</t>
        </is>
      </c>
      <c r="E4366" s="9" t="inlineStr">
        <is>
          <t>COLLAR SUN RED BLOSSOM GOLD</t>
        </is>
      </c>
      <c r="F4366" s="9" t="inlineStr">
        <is>
          <t>Default Title</t>
        </is>
      </c>
      <c r="G4366" s="9" t="n">
        <v>3</v>
      </c>
      <c r="H4366" s="21" t="n">
        <v>5.99</v>
      </c>
      <c r="I4366" s="21" t="n">
        <v>125.73</v>
      </c>
      <c r="J4366" s="21" t="n">
        <v>377.18</v>
      </c>
      <c r="K4366" s="21" t="n">
        <v>440.04</v>
      </c>
      <c r="L4366" s="21" t="n">
        <v>502.9</v>
      </c>
      <c r="M4366" s="21" t="n">
        <v>680</v>
      </c>
    </row>
    <row r="4367">
      <c r="A4367" s="9" t="inlineStr">
        <is>
          <t>HAIFENG</t>
        </is>
      </c>
      <c r="B4367" s="9" t="inlineStr">
        <is>
          <t>HAIFENG 26/05/2026</t>
        </is>
      </c>
      <c r="C4367" s="9" t="inlineStr">
        <is>
          <t>2026-05-26</t>
        </is>
      </c>
      <c r="D4367" s="9" t="inlineStr">
        <is>
          <t>59109724067085</t>
        </is>
      </c>
      <c r="E4367" s="9" t="inlineStr">
        <is>
          <t>COLLAR T BUGS BUTTERFLY ROSE GOLD</t>
        </is>
      </c>
      <c r="F4367" s="9" t="inlineStr">
        <is>
          <t>Default Title</t>
        </is>
      </c>
      <c r="G4367" s="9" t="n">
        <v>2</v>
      </c>
      <c r="H4367" s="21" t="n">
        <v>6</v>
      </c>
      <c r="I4367" s="21" t="n">
        <v>125.94</v>
      </c>
      <c r="J4367" s="21" t="n">
        <v>377.81</v>
      </c>
      <c r="K4367" s="21" t="n">
        <v>440.78</v>
      </c>
      <c r="L4367" s="21" t="n">
        <v>503.74</v>
      </c>
      <c r="M4367" s="21" t="n">
        <v>0</v>
      </c>
    </row>
    <row r="4368">
      <c r="A4368" s="9" t="inlineStr">
        <is>
          <t>HAIFENG</t>
        </is>
      </c>
      <c r="B4368" s="9" t="inlineStr">
        <is>
          <t>HAIFENG 26/05/2026</t>
        </is>
      </c>
      <c r="C4368" s="9" t="inlineStr">
        <is>
          <t>2026-05-26</t>
        </is>
      </c>
      <c r="D4368" s="9" t="inlineStr">
        <is>
          <t>59109724194765</t>
        </is>
      </c>
      <c r="E4368" s="9" t="inlineStr">
        <is>
          <t>COLLAR T ENAMEL LADYBUG</t>
        </is>
      </c>
      <c r="F4368" s="9" t="inlineStr">
        <is>
          <t>Default Title</t>
        </is>
      </c>
      <c r="G4368" s="9" t="n">
        <v>2</v>
      </c>
      <c r="H4368" s="21" t="n">
        <v>6</v>
      </c>
      <c r="I4368" s="21" t="n">
        <v>125.94</v>
      </c>
      <c r="J4368" s="21" t="n">
        <v>377.81</v>
      </c>
      <c r="K4368" s="21" t="n">
        <v>440.78</v>
      </c>
      <c r="L4368" s="21" t="n">
        <v>503.74</v>
      </c>
      <c r="M4368" s="21" t="n">
        <v>0</v>
      </c>
    </row>
    <row r="4369">
      <c r="A4369" s="9" t="inlineStr">
        <is>
          <t>HAIFENG</t>
        </is>
      </c>
      <c r="B4369" s="9" t="inlineStr">
        <is>
          <t>HAIFENG 26/05/2026</t>
        </is>
      </c>
      <c r="C4369" s="9" t="inlineStr">
        <is>
          <t>2026-05-26</t>
        </is>
      </c>
      <c r="D4369" s="9" t="inlineStr">
        <is>
          <t>40154172721645</t>
        </is>
      </c>
      <c r="E4369" s="9" t="inlineStr">
        <is>
          <t>COLLAR T ENVOLVENTE</t>
        </is>
      </c>
      <c r="F4369" s="9" t="inlineStr">
        <is>
          <t>Default Title</t>
        </is>
      </c>
      <c r="G4369" s="9" t="n">
        <v>6</v>
      </c>
      <c r="H4369" s="21" t="n">
        <v>12</v>
      </c>
      <c r="I4369" s="21" t="n">
        <v>251.87</v>
      </c>
      <c r="J4369" s="21" t="n">
        <v>755.61</v>
      </c>
      <c r="K4369" s="21" t="n">
        <v>881.55</v>
      </c>
      <c r="L4369" s="21" t="n">
        <v>1007.49</v>
      </c>
      <c r="M4369" s="21" t="n">
        <v>999</v>
      </c>
    </row>
    <row r="4370">
      <c r="A4370" s="9" t="inlineStr">
        <is>
          <t>HAIFENG</t>
        </is>
      </c>
      <c r="B4370" s="9" t="inlineStr">
        <is>
          <t>HAIFENG 26/05/2026</t>
        </is>
      </c>
      <c r="C4370" s="9" t="inlineStr">
        <is>
          <t>2026-05-26</t>
        </is>
      </c>
      <c r="D4370" s="9" t="inlineStr">
        <is>
          <t>40154171145741</t>
        </is>
      </c>
      <c r="E4370" s="9" t="inlineStr">
        <is>
          <t>COLLAR T ESLABONES HARDWEAR</t>
        </is>
      </c>
      <c r="F4370" s="9" t="inlineStr">
        <is>
          <t>Default Title</t>
        </is>
      </c>
      <c r="G4370" s="9" t="n">
        <v>3</v>
      </c>
      <c r="H4370" s="21" t="n">
        <v>7</v>
      </c>
      <c r="I4370" s="21" t="n">
        <v>146.93</v>
      </c>
      <c r="J4370" s="21" t="n">
        <v>440.78</v>
      </c>
      <c r="K4370" s="21" t="n">
        <v>514.24</v>
      </c>
      <c r="L4370" s="21" t="n">
        <v>587.7</v>
      </c>
      <c r="M4370" s="21" t="n">
        <v>599</v>
      </c>
    </row>
    <row r="4371">
      <c r="A4371" s="9" t="inlineStr">
        <is>
          <t>HAIFENG</t>
        </is>
      </c>
      <c r="B4371" s="9" t="inlineStr">
        <is>
          <t>HAIFENG 26/05/2026</t>
        </is>
      </c>
      <c r="C4371" s="9" t="inlineStr">
        <is>
          <t>2026-05-26</t>
        </is>
      </c>
      <c r="D4371" s="9" t="inlineStr">
        <is>
          <t>59109723934317</t>
        </is>
      </c>
      <c r="E4371" s="9" t="inlineStr">
        <is>
          <t>COLLAR T FLOWER SILVER</t>
        </is>
      </c>
      <c r="F4371" s="9" t="inlineStr">
        <is>
          <t>Default Title</t>
        </is>
      </c>
      <c r="G4371" s="9" t="n">
        <v>2</v>
      </c>
      <c r="H4371" s="21" t="n">
        <v>6</v>
      </c>
      <c r="I4371" s="21" t="n">
        <v>125.94</v>
      </c>
      <c r="J4371" s="21" t="n">
        <v>377.81</v>
      </c>
      <c r="K4371" s="21" t="n">
        <v>440.78</v>
      </c>
      <c r="L4371" s="21" t="n">
        <v>503.74</v>
      </c>
      <c r="M4371" s="21" t="n">
        <v>0</v>
      </c>
    </row>
    <row r="4372">
      <c r="A4372" s="9" t="inlineStr">
        <is>
          <t>HAIFENG</t>
        </is>
      </c>
      <c r="B4372" s="9" t="inlineStr">
        <is>
          <t>HAIFENG 26/05/2026</t>
        </is>
      </c>
      <c r="C4372" s="9" t="inlineStr">
        <is>
          <t>2026-05-26</t>
        </is>
      </c>
      <c r="D4372" s="9" t="inlineStr">
        <is>
          <t>59109723868781</t>
        </is>
      </c>
      <c r="E4372" s="9" t="inlineStr">
        <is>
          <t>COLLAR T LOVE ENTRELAZADOS</t>
        </is>
      </c>
      <c r="F4372" s="9" t="inlineStr">
        <is>
          <t>Default Title</t>
        </is>
      </c>
      <c r="G4372" s="9" t="n">
        <v>1</v>
      </c>
      <c r="H4372" s="21" t="n">
        <v>6</v>
      </c>
      <c r="I4372" s="21" t="n">
        <v>125.94</v>
      </c>
      <c r="J4372" s="21" t="n">
        <v>377.81</v>
      </c>
      <c r="K4372" s="21" t="n">
        <v>440.78</v>
      </c>
      <c r="L4372" s="21" t="n">
        <v>503.74</v>
      </c>
      <c r="M4372" s="21" t="n">
        <v>0</v>
      </c>
    </row>
    <row r="4373">
      <c r="A4373" s="9" t="inlineStr">
        <is>
          <t>HAIFENG</t>
        </is>
      </c>
      <c r="B4373" s="9" t="inlineStr">
        <is>
          <t>HAIFENG 26/05/2026</t>
        </is>
      </c>
      <c r="C4373" s="9" t="inlineStr">
        <is>
          <t>2026-05-26</t>
        </is>
      </c>
      <c r="D4373" s="9" t="inlineStr">
        <is>
          <t>43010669576332</t>
        </is>
      </c>
      <c r="E4373" s="9" t="inlineStr">
        <is>
          <t>COLLAR TREBOL GREEN-ROSE GOLD</t>
        </is>
      </c>
      <c r="F4373" s="9" t="inlineStr">
        <is>
          <t>HIGH QUALITY 45cm</t>
        </is>
      </c>
      <c r="G4373" s="9" t="n">
        <v>3</v>
      </c>
      <c r="H4373" s="21" t="n">
        <v>4</v>
      </c>
      <c r="I4373" s="21" t="n">
        <v>83.95999999999999</v>
      </c>
      <c r="J4373" s="21" t="n">
        <v>251.87</v>
      </c>
      <c r="K4373" s="21" t="n">
        <v>293.85</v>
      </c>
      <c r="L4373" s="21" t="n">
        <v>335.83</v>
      </c>
      <c r="M4373" s="21" t="n">
        <v>899</v>
      </c>
    </row>
    <row r="4374">
      <c r="A4374" s="9" t="inlineStr">
        <is>
          <t>HAIFENG</t>
        </is>
      </c>
      <c r="B4374" s="9" t="inlineStr">
        <is>
          <t>HAIFENG 26/05/2026</t>
        </is>
      </c>
      <c r="C4374" s="9" t="inlineStr">
        <is>
          <t>2026-05-26</t>
        </is>
      </c>
      <c r="D4374" s="9" t="inlineStr">
        <is>
          <t>66177b50250a5</t>
        </is>
      </c>
      <c r="E4374" s="9" t="inlineStr">
        <is>
          <t>COLLAR TREBOL SILVER WHITE</t>
        </is>
      </c>
      <c r="F4374" s="9" t="inlineStr">
        <is>
          <t>45cm</t>
        </is>
      </c>
      <c r="G4374" s="9" t="n">
        <v>2</v>
      </c>
      <c r="H4374" s="21" t="n">
        <v>4</v>
      </c>
      <c r="I4374" s="21" t="n">
        <v>83.95999999999999</v>
      </c>
      <c r="J4374" s="21" t="n">
        <v>251.87</v>
      </c>
      <c r="K4374" s="21" t="n">
        <v>293.85</v>
      </c>
      <c r="L4374" s="21" t="n">
        <v>335.83</v>
      </c>
      <c r="M4374" s="21" t="n">
        <v>899</v>
      </c>
    </row>
    <row r="4375">
      <c r="A4375" s="9" t="inlineStr">
        <is>
          <t>HAIFENG</t>
        </is>
      </c>
      <c r="B4375" s="9" t="inlineStr">
        <is>
          <t>HAIFENG 26/05/2026</t>
        </is>
      </c>
      <c r="C4375" s="9" t="inlineStr">
        <is>
          <t>2026-05-26</t>
        </is>
      </c>
      <c r="D4375" s="9" t="inlineStr">
        <is>
          <t>66177b50c9a71</t>
        </is>
      </c>
      <c r="E4375" s="9" t="inlineStr">
        <is>
          <t>COLLAR TRÉBOL BLACK-GOLD</t>
        </is>
      </c>
      <c r="F4375" s="9" t="inlineStr">
        <is>
          <t>HIGH QUALITY (45CM)</t>
        </is>
      </c>
      <c r="G4375" s="9" t="n">
        <v>5</v>
      </c>
      <c r="H4375" s="21" t="n">
        <v>4</v>
      </c>
      <c r="I4375" s="21" t="n">
        <v>83.95999999999999</v>
      </c>
      <c r="J4375" s="21" t="n">
        <v>251.87</v>
      </c>
      <c r="K4375" s="21" t="n">
        <v>293.85</v>
      </c>
      <c r="L4375" s="21" t="n">
        <v>335.83</v>
      </c>
      <c r="M4375" s="21" t="n">
        <v>550</v>
      </c>
    </row>
    <row r="4376">
      <c r="A4376" s="9" t="inlineStr">
        <is>
          <t>HAIFENG</t>
        </is>
      </c>
      <c r="B4376" s="9" t="inlineStr">
        <is>
          <t>HAIFENG 26/05/2026</t>
        </is>
      </c>
      <c r="C4376" s="9" t="inlineStr">
        <is>
          <t>2026-05-26</t>
        </is>
      </c>
      <c r="D4376" s="9" t="inlineStr">
        <is>
          <t>59109721202157</t>
        </is>
      </c>
      <c r="E4376" s="9" t="inlineStr">
        <is>
          <t>GARGANTILLA F O'LOCK GOLD</t>
        </is>
      </c>
      <c r="F4376" s="9" t="inlineStr">
        <is>
          <t>Default Title</t>
        </is>
      </c>
      <c r="G4376" s="9" t="n">
        <v>2</v>
      </c>
      <c r="H4376" s="21" t="n">
        <v>14</v>
      </c>
      <c r="I4376" s="21" t="n">
        <v>293.85</v>
      </c>
      <c r="J4376" s="21" t="n">
        <v>881.55</v>
      </c>
      <c r="K4376" s="21" t="n">
        <v>1028.48</v>
      </c>
      <c r="L4376" s="21" t="n">
        <v>1175.4</v>
      </c>
      <c r="M4376" s="21" t="n">
        <v>1199</v>
      </c>
    </row>
    <row r="4377">
      <c r="A4377" s="9" t="inlineStr">
        <is>
          <t>HAIFENG</t>
        </is>
      </c>
      <c r="B4377" s="9" t="inlineStr">
        <is>
          <t>HAIFENG 26/05/2026</t>
        </is>
      </c>
      <c r="C4377" s="9" t="inlineStr">
        <is>
          <t>2026-05-26</t>
        </is>
      </c>
      <c r="D4377" s="9" t="inlineStr">
        <is>
          <t>59109721071085</t>
        </is>
      </c>
      <c r="E4377" s="9" t="inlineStr">
        <is>
          <t>GORRA CD BEIS BLACK</t>
        </is>
      </c>
      <c r="F4377" s="9" t="inlineStr">
        <is>
          <t>Default Title</t>
        </is>
      </c>
      <c r="G4377" s="9" t="n">
        <v>2</v>
      </c>
      <c r="H4377" s="21" t="n">
        <v>28</v>
      </c>
      <c r="I4377" s="21" t="n">
        <v>587.7</v>
      </c>
      <c r="J4377" s="21" t="n">
        <v>1763.1</v>
      </c>
      <c r="K4377" s="21" t="n">
        <v>2056.95</v>
      </c>
      <c r="L4377" s="21" t="n">
        <v>2350.8</v>
      </c>
      <c r="M4377" s="21" t="n">
        <v>2350</v>
      </c>
    </row>
    <row r="4378">
      <c r="A4378" s="9" t="inlineStr">
        <is>
          <t>HAIFENG</t>
        </is>
      </c>
      <c r="B4378" s="9" t="inlineStr">
        <is>
          <t>HAIFENG 26/05/2026</t>
        </is>
      </c>
      <c r="C4378" s="9" t="inlineStr">
        <is>
          <t>2026-05-26</t>
        </is>
      </c>
      <c r="D4378" s="9" t="inlineStr">
        <is>
          <t>17964143087117</t>
        </is>
      </c>
      <c r="E4378" s="9" t="inlineStr">
        <is>
          <t>GORRA MM DRILL PINK</t>
        </is>
      </c>
      <c r="F4378" s="9" t="inlineStr">
        <is>
          <t>Default Title</t>
        </is>
      </c>
      <c r="G4378" s="9" t="n">
        <v>2</v>
      </c>
      <c r="H4378" s="21" t="n">
        <v>24</v>
      </c>
      <c r="I4378" s="21" t="n">
        <v>503.74</v>
      </c>
      <c r="J4378" s="21" t="n">
        <v>1511.23</v>
      </c>
      <c r="K4378" s="21" t="n">
        <v>1763.1</v>
      </c>
      <c r="L4378" s="21" t="n">
        <v>2014.97</v>
      </c>
      <c r="M4378" s="21" t="n">
        <v>1999</v>
      </c>
    </row>
    <row r="4379">
      <c r="A4379" s="9" t="inlineStr">
        <is>
          <t>HAIFENG</t>
        </is>
      </c>
      <c r="B4379" s="9" t="inlineStr">
        <is>
          <t>HAIFENG 26/05/2026</t>
        </is>
      </c>
      <c r="C4379" s="9" t="inlineStr">
        <is>
          <t>2026-05-26</t>
        </is>
      </c>
      <c r="D4379" s="9" t="inlineStr">
        <is>
          <t>67201531268621</t>
        </is>
      </c>
      <c r="E4379" s="9" t="inlineStr">
        <is>
          <t>LENTES EYEWEAR BROWN MM</t>
        </is>
      </c>
      <c r="F4379" s="9" t="inlineStr">
        <is>
          <t>Default Title</t>
        </is>
      </c>
      <c r="G4379" s="9" t="n">
        <v>2</v>
      </c>
      <c r="H4379" s="21" t="n">
        <v>42</v>
      </c>
      <c r="I4379" s="21" t="n">
        <v>881.55</v>
      </c>
      <c r="J4379" s="21" t="n">
        <v>2644.65</v>
      </c>
      <c r="K4379" s="21" t="n">
        <v>3085.43</v>
      </c>
      <c r="L4379" s="21" t="n">
        <v>3526.2</v>
      </c>
      <c r="M4379" s="21" t="n">
        <v>3499</v>
      </c>
    </row>
    <row r="4380">
      <c r="A4380" s="9" t="inlineStr">
        <is>
          <t>HAIFENG</t>
        </is>
      </c>
      <c r="B4380" s="9" t="inlineStr">
        <is>
          <t>HAIFENG 26/05/2026</t>
        </is>
      </c>
      <c r="C4380" s="9" t="inlineStr">
        <is>
          <t>2026-05-26</t>
        </is>
      </c>
      <c r="D4380" s="9" t="inlineStr">
        <is>
          <t>22064322363565</t>
        </is>
      </c>
      <c r="E4380" s="9" t="inlineStr">
        <is>
          <t>LENTES LV SQUARE</t>
        </is>
      </c>
      <c r="F4380" s="9" t="inlineStr">
        <is>
          <t>Default Title</t>
        </is>
      </c>
      <c r="G4380" s="9" t="n">
        <v>2</v>
      </c>
      <c r="H4380" s="21" t="n">
        <v>58</v>
      </c>
      <c r="I4380" s="21" t="n">
        <v>1217.38</v>
      </c>
      <c r="J4380" s="21" t="n">
        <v>3652.14</v>
      </c>
      <c r="K4380" s="21" t="n">
        <v>4260.83</v>
      </c>
      <c r="L4380" s="21" t="n">
        <v>4869.52</v>
      </c>
      <c r="M4380" s="21" t="n">
        <v>4799</v>
      </c>
    </row>
    <row r="4381">
      <c r="A4381" s="9" t="inlineStr">
        <is>
          <t>HAIFENG</t>
        </is>
      </c>
      <c r="B4381" s="9" t="inlineStr">
        <is>
          <t>HAIFENG 26/05/2026</t>
        </is>
      </c>
      <c r="C4381" s="9" t="inlineStr">
        <is>
          <t>2026-05-26</t>
        </is>
      </c>
      <c r="D4381" s="9" t="inlineStr">
        <is>
          <t>67201531422989</t>
        </is>
      </c>
      <c r="E4381" s="9" t="inlineStr">
        <is>
          <t>LENTES TRIOMPHE C BROWN</t>
        </is>
      </c>
      <c r="F4381" s="9" t="inlineStr">
        <is>
          <t>Brown</t>
        </is>
      </c>
      <c r="G4381" s="9" t="n">
        <v>2</v>
      </c>
      <c r="H4381" s="21" t="n">
        <v>32</v>
      </c>
      <c r="I4381" s="21" t="n">
        <v>671.66</v>
      </c>
      <c r="J4381" s="21" t="n">
        <v>2014.97</v>
      </c>
      <c r="K4381" s="21" t="n">
        <v>2350.8</v>
      </c>
      <c r="L4381" s="21" t="n">
        <v>2686.63</v>
      </c>
      <c r="M4381" s="21" t="n">
        <v>2699</v>
      </c>
    </row>
    <row r="4382">
      <c r="A4382" s="9" t="inlineStr">
        <is>
          <t>HAIFENG</t>
        </is>
      </c>
      <c r="B4382" s="9" t="inlineStr">
        <is>
          <t>HAIFENG 26/05/2026</t>
        </is>
      </c>
      <c r="C4382" s="9" t="inlineStr">
        <is>
          <t>2026-05-26</t>
        </is>
      </c>
      <c r="D4382" s="9" t="inlineStr">
        <is>
          <t>22731921054541</t>
        </is>
      </c>
      <c r="E4382" s="9" t="inlineStr">
        <is>
          <t>PULSERA BV ROSEGOLD BLACK CON ZIRCONIA</t>
        </is>
      </c>
      <c r="F4382" s="9" t="inlineStr">
        <is>
          <t>Default Title</t>
        </is>
      </c>
      <c r="G4382" s="9" t="n">
        <v>2</v>
      </c>
      <c r="H4382" s="21" t="n">
        <v>8</v>
      </c>
      <c r="I4382" s="21" t="n">
        <v>167.91</v>
      </c>
      <c r="J4382" s="21" t="n">
        <v>503.74</v>
      </c>
      <c r="K4382" s="21" t="n">
        <v>587.7</v>
      </c>
      <c r="L4382" s="21" t="n">
        <v>671.66</v>
      </c>
      <c r="M4382" s="21" t="n">
        <v>670</v>
      </c>
    </row>
    <row r="4383">
      <c r="A4383" s="9" t="inlineStr">
        <is>
          <t>HAIFENG</t>
        </is>
      </c>
      <c r="B4383" s="9" t="inlineStr">
        <is>
          <t>HAIFENG 26/05/2026</t>
        </is>
      </c>
      <c r="C4383" s="9" t="inlineStr">
        <is>
          <t>2026-05-26</t>
        </is>
      </c>
      <c r="D4383" s="9" t="inlineStr">
        <is>
          <t>89205551757581</t>
        </is>
      </c>
      <c r="E4383" s="9" t="inlineStr">
        <is>
          <t>PULSERA BV ROSEGOLD PEARL ZIRCONIA</t>
        </is>
      </c>
      <c r="F4383" s="9" t="inlineStr">
        <is>
          <t>Default Title</t>
        </is>
      </c>
      <c r="G4383" s="9" t="n">
        <v>2</v>
      </c>
      <c r="H4383" s="21" t="n">
        <v>7.5</v>
      </c>
      <c r="I4383" s="21" t="n">
        <v>157.42</v>
      </c>
      <c r="J4383" s="21" t="n">
        <v>472.26</v>
      </c>
      <c r="K4383" s="21" t="n">
        <v>550.97</v>
      </c>
      <c r="L4383" s="21" t="n">
        <v>629.6799999999999</v>
      </c>
      <c r="M4383" s="21" t="n">
        <v>650</v>
      </c>
    </row>
    <row r="4384">
      <c r="A4384" s="9" t="inlineStr">
        <is>
          <t>HAIFENG</t>
        </is>
      </c>
      <c r="B4384" s="9" t="inlineStr">
        <is>
          <t>HAIFENG 26/05/2026</t>
        </is>
      </c>
      <c r="C4384" s="9" t="inlineStr">
        <is>
          <t>2026-05-26</t>
        </is>
      </c>
      <c r="D4384" s="9" t="inlineStr">
        <is>
          <t>22351461089709</t>
        </is>
      </c>
      <c r="E4384" s="9" t="inlineStr">
        <is>
          <t>PULSERA BV ROSEGOLD WHITE CON ZIRCONIA</t>
        </is>
      </c>
      <c r="F4384" s="9" t="inlineStr">
        <is>
          <t>high quality</t>
        </is>
      </c>
      <c r="G4384" s="9" t="n">
        <v>2</v>
      </c>
      <c r="H4384" s="21" t="n">
        <v>8</v>
      </c>
      <c r="I4384" s="21" t="n">
        <v>167.91</v>
      </c>
      <c r="J4384" s="21" t="n">
        <v>503.74</v>
      </c>
      <c r="K4384" s="21" t="n">
        <v>587.7</v>
      </c>
      <c r="L4384" s="21" t="n">
        <v>671.66</v>
      </c>
      <c r="M4384" s="21" t="n">
        <v>699</v>
      </c>
    </row>
    <row r="4385">
      <c r="A4385" s="9" t="inlineStr">
        <is>
          <t>HAIFENG</t>
        </is>
      </c>
      <c r="B4385" s="9" t="inlineStr">
        <is>
          <t>HAIFENG 26/05/2026</t>
        </is>
      </c>
      <c r="C4385" s="9" t="inlineStr">
        <is>
          <t>2026-05-26</t>
        </is>
      </c>
      <c r="D4385" s="9" t="inlineStr">
        <is>
          <t>37491240998540</t>
        </is>
      </c>
      <c r="E4385" s="9" t="inlineStr">
        <is>
          <t>PULSERA C D’AMOUR GOLD</t>
        </is>
      </c>
      <c r="F4385" s="9" t="inlineStr">
        <is>
          <t>16cm con 3cm de extensión</t>
        </is>
      </c>
      <c r="G4385" s="9" t="n">
        <v>3</v>
      </c>
      <c r="H4385" s="21" t="n">
        <v>5</v>
      </c>
      <c r="I4385" s="21" t="n">
        <v>104.95</v>
      </c>
      <c r="J4385" s="21" t="n">
        <v>314.84</v>
      </c>
      <c r="K4385" s="21" t="n">
        <v>367.31</v>
      </c>
      <c r="L4385" s="21" t="n">
        <v>419.79</v>
      </c>
      <c r="M4385" s="21" t="n">
        <v>450</v>
      </c>
    </row>
    <row r="4386">
      <c r="A4386" s="9" t="inlineStr">
        <is>
          <t>HAIFENG</t>
        </is>
      </c>
      <c r="B4386" s="9" t="inlineStr">
        <is>
          <t>HAIFENG 26/05/2026</t>
        </is>
      </c>
      <c r="C4386" s="9" t="inlineStr">
        <is>
          <t>2026-05-26</t>
        </is>
      </c>
      <c r="D4386" s="9" t="inlineStr">
        <is>
          <t>63e0c23442e74</t>
        </is>
      </c>
      <c r="E4386" s="9" t="inlineStr">
        <is>
          <t>PULSERA CLIC H GOLD BLACK</t>
        </is>
      </c>
      <c r="F4386" s="9" t="inlineStr">
        <is>
          <t>16.8 cm</t>
        </is>
      </c>
      <c r="G4386" s="9" t="n">
        <v>4</v>
      </c>
      <c r="H4386" s="21" t="n">
        <v>5</v>
      </c>
      <c r="I4386" s="21" t="n">
        <v>104.95</v>
      </c>
      <c r="J4386" s="21" t="n">
        <v>314.84</v>
      </c>
      <c r="K4386" s="21" t="n">
        <v>367.31</v>
      </c>
      <c r="L4386" s="21" t="n">
        <v>419.79</v>
      </c>
      <c r="M4386" s="21" t="n">
        <v>569</v>
      </c>
    </row>
    <row r="4387">
      <c r="A4387" s="9" t="inlineStr">
        <is>
          <t>HAIFENG</t>
        </is>
      </c>
      <c r="B4387" s="9" t="inlineStr">
        <is>
          <t>HAIFENG 26/05/2026</t>
        </is>
      </c>
      <c r="C4387" s="9" t="inlineStr">
        <is>
          <t>2026-05-26</t>
        </is>
      </c>
      <c r="D4387" s="9" t="inlineStr">
        <is>
          <t>63ebde48917bc</t>
        </is>
      </c>
      <c r="E4387" s="9" t="inlineStr">
        <is>
          <t>PULSERA CLIC H GOLD BLUE</t>
        </is>
      </c>
      <c r="F4387" s="9" t="inlineStr">
        <is>
          <t>16.8 cm</t>
        </is>
      </c>
      <c r="G4387" s="9" t="n">
        <v>4</v>
      </c>
      <c r="H4387" s="21" t="n">
        <v>5</v>
      </c>
      <c r="I4387" s="21" t="n">
        <v>104.95</v>
      </c>
      <c r="J4387" s="21" t="n">
        <v>314.84</v>
      </c>
      <c r="K4387" s="21" t="n">
        <v>367.31</v>
      </c>
      <c r="L4387" s="21" t="n">
        <v>419.79</v>
      </c>
      <c r="M4387" s="21" t="n">
        <v>550</v>
      </c>
    </row>
    <row r="4388">
      <c r="A4388" s="9" t="inlineStr">
        <is>
          <t>HAIFENG</t>
        </is>
      </c>
      <c r="B4388" s="9" t="inlineStr">
        <is>
          <t>HAIFENG 26/05/2026</t>
        </is>
      </c>
      <c r="C4388" s="9" t="inlineStr">
        <is>
          <t>2026-05-26</t>
        </is>
      </c>
      <c r="D4388" s="9" t="inlineStr">
        <is>
          <t>63e0c23142764</t>
        </is>
      </c>
      <c r="E4388" s="9" t="inlineStr">
        <is>
          <t>PULSERA CLIC H GOLD PINK</t>
        </is>
      </c>
      <c r="F4388" s="9" t="inlineStr">
        <is>
          <t>16.8 cm</t>
        </is>
      </c>
      <c r="G4388" s="9" t="n">
        <v>8</v>
      </c>
      <c r="H4388" s="21" t="n">
        <v>5</v>
      </c>
      <c r="I4388" s="21" t="n">
        <v>104.95</v>
      </c>
      <c r="J4388" s="21" t="n">
        <v>314.84</v>
      </c>
      <c r="K4388" s="21" t="n">
        <v>367.31</v>
      </c>
      <c r="L4388" s="21" t="n">
        <v>419.79</v>
      </c>
      <c r="M4388" s="21" t="n">
        <v>550</v>
      </c>
    </row>
    <row r="4389">
      <c r="A4389" s="9" t="inlineStr">
        <is>
          <t>HAIFENG</t>
        </is>
      </c>
      <c r="B4389" s="9" t="inlineStr">
        <is>
          <t>HAIFENG 26/05/2026</t>
        </is>
      </c>
      <c r="C4389" s="9" t="inlineStr">
        <is>
          <t>2026-05-26</t>
        </is>
      </c>
      <c r="D4389" s="9" t="inlineStr">
        <is>
          <t>63e0c234b0e65</t>
        </is>
      </c>
      <c r="E4389" s="9" t="inlineStr">
        <is>
          <t>PULSERA CLIC H SILVER BLACK</t>
        </is>
      </c>
      <c r="F4389" s="9" t="inlineStr">
        <is>
          <t>16.8 cm</t>
        </is>
      </c>
      <c r="G4389" s="9" t="n">
        <v>8</v>
      </c>
      <c r="H4389" s="21" t="n">
        <v>5</v>
      </c>
      <c r="I4389" s="21" t="n">
        <v>104.95</v>
      </c>
      <c r="J4389" s="21" t="n">
        <v>314.84</v>
      </c>
      <c r="K4389" s="21" t="n">
        <v>367.31</v>
      </c>
      <c r="L4389" s="21" t="n">
        <v>419.79</v>
      </c>
      <c r="M4389" s="21" t="n">
        <v>550</v>
      </c>
    </row>
    <row r="4390">
      <c r="A4390" s="9" t="inlineStr">
        <is>
          <t>HAIFENG</t>
        </is>
      </c>
      <c r="B4390" s="9" t="inlineStr">
        <is>
          <t>HAIFENG 26/05/2026</t>
        </is>
      </c>
      <c r="C4390" s="9" t="inlineStr">
        <is>
          <t>2026-05-26</t>
        </is>
      </c>
      <c r="D4390" s="9" t="inlineStr">
        <is>
          <t>63e0c23519a54</t>
        </is>
      </c>
      <c r="E4390" s="9" t="inlineStr">
        <is>
          <t>PULSERA CLIC H SILVER PINK</t>
        </is>
      </c>
      <c r="F4390" s="9" t="inlineStr">
        <is>
          <t>16.8 cm</t>
        </is>
      </c>
      <c r="G4390" s="9" t="n">
        <v>2</v>
      </c>
      <c r="H4390" s="21" t="n">
        <v>5</v>
      </c>
      <c r="I4390" s="21" t="n">
        <v>104.95</v>
      </c>
      <c r="J4390" s="21" t="n">
        <v>314.84</v>
      </c>
      <c r="K4390" s="21" t="n">
        <v>367.31</v>
      </c>
      <c r="L4390" s="21" t="n">
        <v>419.79</v>
      </c>
      <c r="M4390" s="21" t="n">
        <v>550</v>
      </c>
    </row>
    <row r="4391">
      <c r="A4391" s="9" t="inlineStr">
        <is>
          <t>HAIFENG</t>
        </is>
      </c>
      <c r="B4391" s="9" t="inlineStr">
        <is>
          <t>HAIFENG 26/05/2026</t>
        </is>
      </c>
      <c r="C4391" s="9" t="inlineStr">
        <is>
          <t>2026-05-26</t>
        </is>
      </c>
      <c r="D4391" s="9" t="inlineStr">
        <is>
          <t>43728081992652</t>
        </is>
      </c>
      <c r="E4391" s="9" t="inlineStr">
        <is>
          <t>PULSERA CON PASADOR Y PLACA ESTILO CORAZON SILVER</t>
        </is>
      </c>
      <c r="F4391" s="9" t="inlineStr">
        <is>
          <t>17cm</t>
        </is>
      </c>
      <c r="G4391" s="9" t="n">
        <v>10</v>
      </c>
      <c r="H4391" s="21" t="n">
        <v>7</v>
      </c>
      <c r="I4391" s="21" t="n">
        <v>146.93</v>
      </c>
      <c r="J4391" s="21" t="n">
        <v>440.78</v>
      </c>
      <c r="K4391" s="21" t="n">
        <v>514.24</v>
      </c>
      <c r="L4391" s="21" t="n">
        <v>587.7</v>
      </c>
      <c r="M4391" s="21" t="n">
        <v>699</v>
      </c>
    </row>
    <row r="4392">
      <c r="A4392" s="9" t="inlineStr">
        <is>
          <t>HAIFENG</t>
        </is>
      </c>
      <c r="B4392" s="9" t="inlineStr">
        <is>
          <t>HAIFENG 26/05/2026</t>
        </is>
      </c>
      <c r="C4392" s="9" t="inlineStr">
        <is>
          <t>2026-05-26</t>
        </is>
      </c>
      <c r="D4392" s="9" t="inlineStr">
        <is>
          <t>668eee357952c</t>
        </is>
      </c>
      <c r="E4392" s="9" t="inlineStr">
        <is>
          <t>PULSERA DE CUENTAS CON INSIGNIA DE CORAZÓN BLUE</t>
        </is>
      </c>
      <c r="F4392" s="9" t="inlineStr">
        <is>
          <t>17 cm</t>
        </is>
      </c>
      <c r="G4392" s="9" t="n">
        <v>20</v>
      </c>
      <c r="H4392" s="21" t="n">
        <v>5</v>
      </c>
      <c r="I4392" s="21" t="n">
        <v>104.95</v>
      </c>
      <c r="J4392" s="21" t="n">
        <v>314.84</v>
      </c>
      <c r="K4392" s="21" t="n">
        <v>367.31</v>
      </c>
      <c r="L4392" s="21" t="n">
        <v>419.79</v>
      </c>
      <c r="M4392" s="21" t="n">
        <v>550</v>
      </c>
    </row>
    <row r="4393">
      <c r="A4393" s="9" t="inlineStr">
        <is>
          <t>HAIFENG</t>
        </is>
      </c>
      <c r="B4393" s="9" t="inlineStr">
        <is>
          <t>HAIFENG 26/05/2026</t>
        </is>
      </c>
      <c r="C4393" s="9" t="inlineStr">
        <is>
          <t>2026-05-26</t>
        </is>
      </c>
      <c r="D4393" s="9" t="inlineStr">
        <is>
          <t>668eee360a47c</t>
        </is>
      </c>
      <c r="E4393" s="9" t="inlineStr">
        <is>
          <t>PULSERA DE CUENTAS CON INSIGNIA DE CORAZÓN BLUE</t>
        </is>
      </c>
      <c r="F4393" s="9" t="inlineStr">
        <is>
          <t>18 cm</t>
        </is>
      </c>
      <c r="G4393" s="9" t="n">
        <v>8</v>
      </c>
      <c r="H4393" s="21" t="n">
        <v>5</v>
      </c>
      <c r="I4393" s="21" t="n">
        <v>104.95</v>
      </c>
      <c r="J4393" s="21" t="n">
        <v>314.84</v>
      </c>
      <c r="K4393" s="21" t="n">
        <v>367.31</v>
      </c>
      <c r="L4393" s="21" t="n">
        <v>419.79</v>
      </c>
      <c r="M4393" s="21" t="n">
        <v>550</v>
      </c>
    </row>
    <row r="4394">
      <c r="A4394" s="9" t="inlineStr">
        <is>
          <t>HAIFENG</t>
        </is>
      </c>
      <c r="B4394" s="9" t="inlineStr">
        <is>
          <t>HAIFENG 26/05/2026</t>
        </is>
      </c>
      <c r="C4394" s="9" t="inlineStr">
        <is>
          <t>2026-05-26</t>
        </is>
      </c>
      <c r="D4394" s="9" t="inlineStr">
        <is>
          <t>668eee369b9c1</t>
        </is>
      </c>
      <c r="E4394" s="9" t="inlineStr">
        <is>
          <t>PULSERA DE CUENTAS CON INSIGNIA DE CORAZÓN BLUE</t>
        </is>
      </c>
      <c r="F4394" s="9" t="inlineStr">
        <is>
          <t>19 cm</t>
        </is>
      </c>
      <c r="G4394" s="9" t="n">
        <v>3</v>
      </c>
      <c r="H4394" s="21" t="n">
        <v>5</v>
      </c>
      <c r="I4394" s="21" t="n">
        <v>104.95</v>
      </c>
      <c r="J4394" s="21" t="n">
        <v>314.84</v>
      </c>
      <c r="K4394" s="21" t="n">
        <v>367.31</v>
      </c>
      <c r="L4394" s="21" t="n">
        <v>419.79</v>
      </c>
      <c r="M4394" s="21" t="n">
        <v>550</v>
      </c>
    </row>
    <row r="4395">
      <c r="A4395" s="9" t="inlineStr">
        <is>
          <t>HAIFENG</t>
        </is>
      </c>
      <c r="B4395" s="9" t="inlineStr">
        <is>
          <t>HAIFENG 26/05/2026</t>
        </is>
      </c>
      <c r="C4395" s="9" t="inlineStr">
        <is>
          <t>2026-05-26</t>
        </is>
      </c>
      <c r="D4395" s="9" t="inlineStr">
        <is>
          <t>43047224541324</t>
        </is>
      </c>
      <c r="E4395" s="9" t="inlineStr">
        <is>
          <t>PULSERA DE CUENTAS CON INSIGNIA DE CORAZÓN PINK</t>
        </is>
      </c>
      <c r="F4395" s="9" t="inlineStr">
        <is>
          <t>17 cm</t>
        </is>
      </c>
      <c r="G4395" s="9" t="n">
        <v>2</v>
      </c>
      <c r="H4395" s="21" t="n">
        <v>5</v>
      </c>
      <c r="I4395" s="21" t="n">
        <v>104.95</v>
      </c>
      <c r="J4395" s="21" t="n">
        <v>314.84</v>
      </c>
      <c r="K4395" s="21" t="n">
        <v>367.31</v>
      </c>
      <c r="L4395" s="21" t="n">
        <v>419.79</v>
      </c>
      <c r="M4395" s="21" t="n">
        <v>550</v>
      </c>
    </row>
    <row r="4396">
      <c r="A4396" s="9" t="inlineStr">
        <is>
          <t>HAIFENG</t>
        </is>
      </c>
      <c r="B4396" s="9" t="inlineStr">
        <is>
          <t>HAIFENG 26/05/2026</t>
        </is>
      </c>
      <c r="C4396" s="9" t="inlineStr">
        <is>
          <t>2026-05-26</t>
        </is>
      </c>
      <c r="D4396" s="9" t="inlineStr">
        <is>
          <t>668eee51ba91b</t>
        </is>
      </c>
      <c r="E4396" s="9" t="inlineStr">
        <is>
          <t>PULSERA DE CUENTAS CON INSIGNIA DE CORAZÓN RED</t>
        </is>
      </c>
      <c r="F4396" s="9" t="inlineStr">
        <is>
          <t>17 cm</t>
        </is>
      </c>
      <c r="G4396" s="9" t="n">
        <v>4</v>
      </c>
      <c r="H4396" s="21" t="n">
        <v>5</v>
      </c>
      <c r="I4396" s="21" t="n">
        <v>104.95</v>
      </c>
      <c r="J4396" s="21" t="n">
        <v>314.84</v>
      </c>
      <c r="K4396" s="21" t="n">
        <v>367.31</v>
      </c>
      <c r="L4396" s="21" t="n">
        <v>419.79</v>
      </c>
      <c r="M4396" s="21" t="n">
        <v>550</v>
      </c>
    </row>
    <row r="4397">
      <c r="A4397" s="9" t="inlineStr">
        <is>
          <t>HAIFENG</t>
        </is>
      </c>
      <c r="B4397" s="9" t="inlineStr">
        <is>
          <t>HAIFENG 26/05/2026</t>
        </is>
      </c>
      <c r="C4397" s="9" t="inlineStr">
        <is>
          <t>2026-05-26</t>
        </is>
      </c>
      <c r="D4397" s="9" t="inlineStr">
        <is>
          <t>85245863092492</t>
        </is>
      </c>
      <c r="E4397" s="9" t="inlineStr">
        <is>
          <t>PULSERA DE TELA TRES AROS RED</t>
        </is>
      </c>
      <c r="F4397" s="9" t="inlineStr">
        <is>
          <t>AJUSTABLE</t>
        </is>
      </c>
      <c r="G4397" s="9" t="n">
        <v>4</v>
      </c>
      <c r="H4397" s="21" t="n">
        <v>4.7</v>
      </c>
      <c r="I4397" s="21" t="n">
        <v>98.65000000000001</v>
      </c>
      <c r="J4397" s="21" t="n">
        <v>295.95</v>
      </c>
      <c r="K4397" s="21" t="n">
        <v>345.27</v>
      </c>
      <c r="L4397" s="21" t="n">
        <v>394.6</v>
      </c>
      <c r="M4397" s="21" t="n">
        <v>399</v>
      </c>
    </row>
    <row r="4398">
      <c r="A4398" s="9" t="inlineStr">
        <is>
          <t>HAIFENG</t>
        </is>
      </c>
      <c r="B4398" s="9" t="inlineStr">
        <is>
          <t>HAIFENG 26/05/2026</t>
        </is>
      </c>
      <c r="C4398" s="9" t="inlineStr">
        <is>
          <t>2026-05-26</t>
        </is>
      </c>
      <c r="D4398" s="9" t="inlineStr">
        <is>
          <t>98043701215213</t>
        </is>
      </c>
      <c r="E4398" s="9" t="inlineStr">
        <is>
          <t>PULSERA DE TENNIS ESSENTIAL SILVER</t>
        </is>
      </c>
      <c r="F4398" s="9" t="inlineStr">
        <is>
          <t>16.5</t>
        </is>
      </c>
      <c r="G4398" s="9" t="n">
        <v>2</v>
      </c>
      <c r="H4398" s="21" t="n">
        <v>6</v>
      </c>
      <c r="I4398" s="21" t="n">
        <v>125.94</v>
      </c>
      <c r="J4398" s="21" t="n">
        <v>377.81</v>
      </c>
      <c r="K4398" s="21" t="n">
        <v>440.78</v>
      </c>
      <c r="L4398" s="21" t="n">
        <v>503.74</v>
      </c>
      <c r="M4398" s="21" t="n">
        <v>540</v>
      </c>
    </row>
    <row r="4399">
      <c r="A4399" s="9" t="inlineStr">
        <is>
          <t>HAIFENG</t>
        </is>
      </c>
      <c r="B4399" s="9" t="inlineStr">
        <is>
          <t>HAIFENG 26/05/2026</t>
        </is>
      </c>
      <c r="C4399" s="9" t="inlineStr">
        <is>
          <t>2026-05-26</t>
        </is>
      </c>
      <c r="D4399" s="9" t="inlineStr">
        <is>
          <t>63e0c53833f26</t>
        </is>
      </c>
      <c r="E4399" s="9" t="inlineStr">
        <is>
          <t>PULSERA LOVE CON ZIRCONIA GOLD</t>
        </is>
      </c>
      <c r="F4399" s="9" t="inlineStr">
        <is>
          <t>16 cm</t>
        </is>
      </c>
      <c r="G4399" s="9" t="n">
        <v>2</v>
      </c>
      <c r="H4399" s="21" t="n">
        <v>4.5</v>
      </c>
      <c r="I4399" s="21" t="n">
        <v>94.45</v>
      </c>
      <c r="J4399" s="21" t="n">
        <v>283.36</v>
      </c>
      <c r="K4399" s="21" t="n">
        <v>330.58</v>
      </c>
      <c r="L4399" s="21" t="n">
        <v>377.81</v>
      </c>
      <c r="M4399" s="21" t="n">
        <v>499</v>
      </c>
    </row>
    <row r="4400">
      <c r="A4400" s="9" t="inlineStr">
        <is>
          <t>HAIFENG</t>
        </is>
      </c>
      <c r="B4400" s="9" t="inlineStr">
        <is>
          <t>HAIFENG 26/05/2026</t>
        </is>
      </c>
      <c r="C4400" s="9" t="inlineStr">
        <is>
          <t>2026-05-26</t>
        </is>
      </c>
      <c r="D4400" s="9" t="inlineStr">
        <is>
          <t>63e0c5387bab1</t>
        </is>
      </c>
      <c r="E4400" s="9" t="inlineStr">
        <is>
          <t>PULSERA LOVE CON ZIRCONIA ROSE GOLD</t>
        </is>
      </c>
      <c r="F4400" s="9" t="inlineStr">
        <is>
          <t>16 cm</t>
        </is>
      </c>
      <c r="G4400" s="9" t="n">
        <v>3</v>
      </c>
      <c r="H4400" s="21" t="n">
        <v>4.5</v>
      </c>
      <c r="I4400" s="21" t="n">
        <v>94.45</v>
      </c>
      <c r="J4400" s="21" t="n">
        <v>283.36</v>
      </c>
      <c r="K4400" s="21" t="n">
        <v>330.58</v>
      </c>
      <c r="L4400" s="21" t="n">
        <v>377.81</v>
      </c>
      <c r="M4400" s="21" t="n">
        <v>499</v>
      </c>
    </row>
    <row r="4401">
      <c r="A4401" s="9" t="inlineStr">
        <is>
          <t>HAIFENG</t>
        </is>
      </c>
      <c r="B4401" s="9" t="inlineStr">
        <is>
          <t>HAIFENG 26/05/2026</t>
        </is>
      </c>
      <c r="C4401" s="9" t="inlineStr">
        <is>
          <t>2026-05-26</t>
        </is>
      </c>
      <c r="D4401" s="9" t="inlineStr">
        <is>
          <t>79274691076205</t>
        </is>
      </c>
      <c r="E4401" s="9" t="inlineStr">
        <is>
          <t>PULSERA LOVE DELGADA GOLD</t>
        </is>
      </c>
      <c r="F4401" s="9" t="inlineStr">
        <is>
          <t>16cm</t>
        </is>
      </c>
      <c r="G4401" s="9" t="n">
        <v>11</v>
      </c>
      <c r="H4401" s="21" t="n">
        <v>5</v>
      </c>
      <c r="I4401" s="21" t="n">
        <v>104.95</v>
      </c>
      <c r="J4401" s="21" t="n">
        <v>314.84</v>
      </c>
      <c r="K4401" s="21" t="n">
        <v>367.31</v>
      </c>
      <c r="L4401" s="21" t="n">
        <v>419.79</v>
      </c>
      <c r="M4401" s="21" t="n">
        <v>499</v>
      </c>
    </row>
    <row r="4402">
      <c r="A4402" s="9" t="inlineStr">
        <is>
          <t>HAIFENG</t>
        </is>
      </c>
      <c r="B4402" s="9" t="inlineStr">
        <is>
          <t>HAIFENG 26/05/2026</t>
        </is>
      </c>
      <c r="C4402" s="9" t="inlineStr">
        <is>
          <t>2026-05-26</t>
        </is>
      </c>
      <c r="D4402" s="9" t="inlineStr">
        <is>
          <t>79274691108973</t>
        </is>
      </c>
      <c r="E4402" s="9" t="inlineStr">
        <is>
          <t>PULSERA LOVE DELGADA GOLD</t>
        </is>
      </c>
      <c r="F4402" s="9" t="inlineStr">
        <is>
          <t>17cm</t>
        </is>
      </c>
      <c r="G4402" s="9" t="n">
        <v>15</v>
      </c>
      <c r="H4402" s="21" t="n">
        <v>5</v>
      </c>
      <c r="I4402" s="21" t="n">
        <v>104.95</v>
      </c>
      <c r="J4402" s="21" t="n">
        <v>314.84</v>
      </c>
      <c r="K4402" s="21" t="n">
        <v>367.31</v>
      </c>
      <c r="L4402" s="21" t="n">
        <v>419.79</v>
      </c>
      <c r="M4402" s="21" t="n">
        <v>499</v>
      </c>
    </row>
    <row r="4403">
      <c r="A4403" s="9" t="inlineStr">
        <is>
          <t>HAIFENG</t>
        </is>
      </c>
      <c r="B4403" s="9" t="inlineStr">
        <is>
          <t>HAIFENG 26/05/2026</t>
        </is>
      </c>
      <c r="C4403" s="9" t="inlineStr">
        <is>
          <t>2026-05-26</t>
        </is>
      </c>
      <c r="D4403" s="9" t="inlineStr">
        <is>
          <t>79274691241741</t>
        </is>
      </c>
      <c r="E4403" s="9" t="inlineStr">
        <is>
          <t>PULSERA LOVE DELGADA GOLD</t>
        </is>
      </c>
      <c r="F4403" s="9" t="inlineStr">
        <is>
          <t>18cm</t>
        </is>
      </c>
      <c r="G4403" s="9" t="n">
        <v>6</v>
      </c>
      <c r="H4403" s="21" t="n">
        <v>5</v>
      </c>
      <c r="I4403" s="21" t="n">
        <v>104.95</v>
      </c>
      <c r="J4403" s="21" t="n">
        <v>314.84</v>
      </c>
      <c r="K4403" s="21" t="n">
        <v>367.31</v>
      </c>
      <c r="L4403" s="21" t="n">
        <v>419.79</v>
      </c>
      <c r="M4403" s="21" t="n">
        <v>499</v>
      </c>
    </row>
    <row r="4404">
      <c r="A4404" s="9" t="inlineStr">
        <is>
          <t>HAIFENG</t>
        </is>
      </c>
      <c r="B4404" s="9" t="inlineStr">
        <is>
          <t>HAIFENG 26/05/2026</t>
        </is>
      </c>
      <c r="C4404" s="9" t="inlineStr">
        <is>
          <t>2026-05-26</t>
        </is>
      </c>
      <c r="D4404" s="9" t="inlineStr">
        <is>
          <t>63e0c58ca26ac</t>
        </is>
      </c>
      <c r="E4404" s="9" t="inlineStr">
        <is>
          <t>PULSERA LOVE DELGADA ROSE GOLD</t>
        </is>
      </c>
      <c r="F4404" s="9" t="inlineStr">
        <is>
          <t>16 cm</t>
        </is>
      </c>
      <c r="G4404" s="9" t="n">
        <v>7</v>
      </c>
      <c r="H4404" s="21" t="n">
        <v>5</v>
      </c>
      <c r="I4404" s="21" t="n">
        <v>104.95</v>
      </c>
      <c r="J4404" s="21" t="n">
        <v>314.84</v>
      </c>
      <c r="K4404" s="21" t="n">
        <v>367.31</v>
      </c>
      <c r="L4404" s="21" t="n">
        <v>419.79</v>
      </c>
      <c r="M4404" s="21" t="n">
        <v>499</v>
      </c>
    </row>
    <row r="4405">
      <c r="A4405" s="9" t="inlineStr">
        <is>
          <t>HAIFENG</t>
        </is>
      </c>
      <c r="B4405" s="9" t="inlineStr">
        <is>
          <t>HAIFENG 26/05/2026</t>
        </is>
      </c>
      <c r="C4405" s="9" t="inlineStr">
        <is>
          <t>2026-05-26</t>
        </is>
      </c>
      <c r="D4405" s="9" t="inlineStr">
        <is>
          <t>63e0c58e84d6e</t>
        </is>
      </c>
      <c r="E4405" s="9" t="inlineStr">
        <is>
          <t>PULSERA LOVE DELGADA ROSE GOLD</t>
        </is>
      </c>
      <c r="F4405" s="9" t="inlineStr">
        <is>
          <t>18 cm</t>
        </is>
      </c>
      <c r="G4405" s="9" t="n">
        <v>2</v>
      </c>
      <c r="H4405" s="21" t="n">
        <v>5</v>
      </c>
      <c r="I4405" s="21" t="n">
        <v>104.95</v>
      </c>
      <c r="J4405" s="21" t="n">
        <v>314.84</v>
      </c>
      <c r="K4405" s="21" t="n">
        <v>367.31</v>
      </c>
      <c r="L4405" s="21" t="n">
        <v>419.79</v>
      </c>
      <c r="M4405" s="21" t="n">
        <v>499</v>
      </c>
    </row>
    <row r="4406">
      <c r="A4406" s="9" t="inlineStr">
        <is>
          <t>HAIFENG</t>
        </is>
      </c>
      <c r="B4406" s="9" t="inlineStr">
        <is>
          <t>HAIFENG 26/05/2026</t>
        </is>
      </c>
      <c r="C4406" s="9" t="inlineStr">
        <is>
          <t>2026-05-26</t>
        </is>
      </c>
      <c r="D4406" s="9" t="inlineStr">
        <is>
          <t>77724991007277</t>
        </is>
      </c>
      <c r="E4406" s="9" t="inlineStr">
        <is>
          <t>PULSERA LOVE DELGADA SILVER</t>
        </is>
      </c>
      <c r="F4406" s="9" t="inlineStr">
        <is>
          <t>16cm</t>
        </is>
      </c>
      <c r="G4406" s="9" t="n">
        <v>10</v>
      </c>
      <c r="H4406" s="21" t="n">
        <v>5</v>
      </c>
      <c r="I4406" s="21" t="n">
        <v>104.95</v>
      </c>
      <c r="J4406" s="21" t="n">
        <v>314.84</v>
      </c>
      <c r="K4406" s="21" t="n">
        <v>367.31</v>
      </c>
      <c r="L4406" s="21" t="n">
        <v>419.79</v>
      </c>
      <c r="M4406" s="21" t="n">
        <v>499</v>
      </c>
    </row>
    <row r="4407">
      <c r="A4407" s="9" t="inlineStr">
        <is>
          <t>HAIFENG</t>
        </is>
      </c>
      <c r="B4407" s="9" t="inlineStr">
        <is>
          <t>HAIFENG 26/05/2026</t>
        </is>
      </c>
      <c r="C4407" s="9" t="inlineStr">
        <is>
          <t>2026-05-26</t>
        </is>
      </c>
      <c r="D4407" s="9" t="inlineStr">
        <is>
          <t>77724991272813</t>
        </is>
      </c>
      <c r="E4407" s="9" t="inlineStr">
        <is>
          <t>PULSERA LOVE DELGADA SILVER</t>
        </is>
      </c>
      <c r="F4407" s="9" t="inlineStr">
        <is>
          <t>18cm</t>
        </is>
      </c>
      <c r="G4407" s="9" t="n">
        <v>3</v>
      </c>
      <c r="H4407" s="21" t="n">
        <v>5</v>
      </c>
      <c r="I4407" s="21" t="n">
        <v>104.95</v>
      </c>
      <c r="J4407" s="21" t="n">
        <v>314.84</v>
      </c>
      <c r="K4407" s="21" t="n">
        <v>367.31</v>
      </c>
      <c r="L4407" s="21" t="n">
        <v>419.79</v>
      </c>
      <c r="M4407" s="21" t="n">
        <v>499</v>
      </c>
    </row>
    <row r="4408">
      <c r="A4408" s="9" t="inlineStr">
        <is>
          <t>HAIFENG</t>
        </is>
      </c>
      <c r="B4408" s="9" t="inlineStr">
        <is>
          <t>HAIFENG 26/05/2026</t>
        </is>
      </c>
      <c r="C4408" s="9" t="inlineStr">
        <is>
          <t>2026-05-26</t>
        </is>
      </c>
      <c r="D4408" s="9" t="inlineStr">
        <is>
          <t>63ebdf2503ebb</t>
        </is>
      </c>
      <c r="E4408" s="9" t="inlineStr">
        <is>
          <t>PULSERA LOVE DELGADA SILVER CON MICRO ZIRCONIAS</t>
        </is>
      </c>
      <c r="F4408" s="9" t="inlineStr">
        <is>
          <t>18 cm</t>
        </is>
      </c>
      <c r="G4408" s="9" t="n">
        <v>6</v>
      </c>
      <c r="H4408" s="21" t="n">
        <v>13</v>
      </c>
      <c r="I4408" s="21" t="n">
        <v>272.86</v>
      </c>
      <c r="J4408" s="21" t="n">
        <v>818.58</v>
      </c>
      <c r="K4408" s="21" t="n">
        <v>955.01</v>
      </c>
      <c r="L4408" s="21" t="n">
        <v>1091.44</v>
      </c>
      <c r="M4408" s="21" t="n">
        <v>1099</v>
      </c>
    </row>
    <row r="4409">
      <c r="A4409" s="9" t="inlineStr">
        <is>
          <t>HAIFENG</t>
        </is>
      </c>
      <c r="B4409" s="9" t="inlineStr">
        <is>
          <t>HAIFENG 26/05/2026</t>
        </is>
      </c>
      <c r="C4409" s="9" t="inlineStr">
        <is>
          <t>2026-05-26</t>
        </is>
      </c>
      <c r="D4409" s="9" t="inlineStr">
        <is>
          <t>663528bd8c9d8</t>
        </is>
      </c>
      <c r="E4409" s="9" t="inlineStr">
        <is>
          <t>PULSERA LOVE DELGADA SILVER CON MICRO ZIRCONIAS</t>
        </is>
      </c>
      <c r="F4409" s="9" t="inlineStr">
        <is>
          <t>17 cm</t>
        </is>
      </c>
      <c r="G4409" s="9" t="n">
        <v>5</v>
      </c>
      <c r="H4409" s="21" t="n">
        <v>13</v>
      </c>
      <c r="I4409" s="21" t="n">
        <v>272.86</v>
      </c>
      <c r="J4409" s="21" t="n">
        <v>818.58</v>
      </c>
      <c r="K4409" s="21" t="n">
        <v>955.01</v>
      </c>
      <c r="L4409" s="21" t="n">
        <v>1091.44</v>
      </c>
      <c r="M4409" s="21" t="n">
        <v>1099</v>
      </c>
    </row>
    <row r="4410">
      <c r="A4410" s="9" t="inlineStr">
        <is>
          <t>HAIFENG</t>
        </is>
      </c>
      <c r="B4410" s="9" t="inlineStr">
        <is>
          <t>HAIFENG 26/05/2026</t>
        </is>
      </c>
      <c r="C4410" s="9" t="inlineStr">
        <is>
          <t>2026-05-26</t>
        </is>
      </c>
      <c r="D4410" s="9" t="inlineStr">
        <is>
          <t>66177008100f3</t>
        </is>
      </c>
      <c r="E4410" s="9" t="inlineStr">
        <is>
          <t>PULSERA LOVE GOLD</t>
        </is>
      </c>
      <c r="F4410" s="9" t="inlineStr">
        <is>
          <t>18 CM</t>
        </is>
      </c>
      <c r="G4410" s="9" t="n">
        <v>15</v>
      </c>
      <c r="H4410" s="21" t="n">
        <v>4.5</v>
      </c>
      <c r="I4410" s="21" t="n">
        <v>94.45</v>
      </c>
      <c r="J4410" s="21" t="n">
        <v>283.36</v>
      </c>
      <c r="K4410" s="21" t="n">
        <v>330.58</v>
      </c>
      <c r="L4410" s="21" t="n">
        <v>377.81</v>
      </c>
      <c r="M4410" s="21" t="n">
        <v>499</v>
      </c>
    </row>
    <row r="4411">
      <c r="A4411" s="9" t="inlineStr">
        <is>
          <t>HAIFENG</t>
        </is>
      </c>
      <c r="B4411" s="9" t="inlineStr">
        <is>
          <t>HAIFENG 26/05/2026</t>
        </is>
      </c>
      <c r="C4411" s="9" t="inlineStr">
        <is>
          <t>2026-05-26</t>
        </is>
      </c>
      <c r="D4411" s="9" t="inlineStr">
        <is>
          <t>66177006d3573</t>
        </is>
      </c>
      <c r="E4411" s="9" t="inlineStr">
        <is>
          <t>PULSERA LOVE GOLD</t>
        </is>
      </c>
      <c r="F4411" s="9" t="inlineStr">
        <is>
          <t>16 CM</t>
        </is>
      </c>
      <c r="G4411" s="9" t="n">
        <v>20</v>
      </c>
      <c r="H4411" s="21" t="n">
        <v>4.5</v>
      </c>
      <c r="I4411" s="21" t="n">
        <v>94.45</v>
      </c>
      <c r="J4411" s="21" t="n">
        <v>283.36</v>
      </c>
      <c r="K4411" s="21" t="n">
        <v>330.58</v>
      </c>
      <c r="L4411" s="21" t="n">
        <v>377.81</v>
      </c>
      <c r="M4411" s="21" t="n">
        <v>499</v>
      </c>
    </row>
    <row r="4412">
      <c r="A4412" s="9" t="inlineStr">
        <is>
          <t>HAIFENG</t>
        </is>
      </c>
      <c r="B4412" s="9" t="inlineStr">
        <is>
          <t>HAIFENG 26/05/2026</t>
        </is>
      </c>
      <c r="C4412" s="9" t="inlineStr">
        <is>
          <t>2026-05-26</t>
        </is>
      </c>
      <c r="D4412" s="9" t="inlineStr">
        <is>
          <t>66177007689da</t>
        </is>
      </c>
      <c r="E4412" s="9" t="inlineStr">
        <is>
          <t>PULSERA LOVE GOLD</t>
        </is>
      </c>
      <c r="F4412" s="9" t="inlineStr">
        <is>
          <t>17 CM</t>
        </is>
      </c>
      <c r="G4412" s="9" t="n">
        <v>15</v>
      </c>
      <c r="H4412" s="21" t="n">
        <v>4.5</v>
      </c>
      <c r="I4412" s="21" t="n">
        <v>94.45</v>
      </c>
      <c r="J4412" s="21" t="n">
        <v>283.36</v>
      </c>
      <c r="K4412" s="21" t="n">
        <v>330.58</v>
      </c>
      <c r="L4412" s="21" t="n">
        <v>377.81</v>
      </c>
      <c r="M4412" s="21" t="n">
        <v>499</v>
      </c>
    </row>
    <row r="4413">
      <c r="A4413" s="9" t="inlineStr">
        <is>
          <t>HAIFENG</t>
        </is>
      </c>
      <c r="B4413" s="9" t="inlineStr">
        <is>
          <t>HAIFENG 26/05/2026</t>
        </is>
      </c>
      <c r="C4413" s="9" t="inlineStr">
        <is>
          <t>2026-05-26</t>
        </is>
      </c>
      <c r="D4413" s="9" t="inlineStr">
        <is>
          <t>66177008afe90</t>
        </is>
      </c>
      <c r="E4413" s="9" t="inlineStr">
        <is>
          <t>PULSERA LOVE GOLD</t>
        </is>
      </c>
      <c r="F4413" s="9" t="inlineStr">
        <is>
          <t>19 CM</t>
        </is>
      </c>
      <c r="G4413" s="9" t="n">
        <v>8</v>
      </c>
      <c r="H4413" s="21" t="n">
        <v>4.5</v>
      </c>
      <c r="I4413" s="21" t="n">
        <v>94.45</v>
      </c>
      <c r="J4413" s="21" t="n">
        <v>283.36</v>
      </c>
      <c r="K4413" s="21" t="n">
        <v>330.58</v>
      </c>
      <c r="L4413" s="21" t="n">
        <v>377.81</v>
      </c>
      <c r="M4413" s="21" t="n">
        <v>499</v>
      </c>
    </row>
    <row r="4414">
      <c r="A4414" s="9" t="inlineStr">
        <is>
          <t>HAIFENG</t>
        </is>
      </c>
      <c r="B4414" s="9" t="inlineStr">
        <is>
          <t>HAIFENG 26/05/2026</t>
        </is>
      </c>
      <c r="C4414" s="9" t="inlineStr">
        <is>
          <t>2026-05-26</t>
        </is>
      </c>
      <c r="D4414" s="9" t="inlineStr">
        <is>
          <t>63e0c59aab12a</t>
        </is>
      </c>
      <c r="E4414" s="9" t="inlineStr">
        <is>
          <t>PULSERA LOVE ROSE GOLD</t>
        </is>
      </c>
      <c r="F4414" s="9" t="inlineStr">
        <is>
          <t>21 cm</t>
        </is>
      </c>
      <c r="G4414" s="9" t="n">
        <v>1</v>
      </c>
      <c r="H4414" s="21" t="n">
        <v>4.5</v>
      </c>
      <c r="I4414" s="21" t="n">
        <v>94.45</v>
      </c>
      <c r="J4414" s="21" t="n">
        <v>283.36</v>
      </c>
      <c r="K4414" s="21" t="n">
        <v>330.58</v>
      </c>
      <c r="L4414" s="21" t="n">
        <v>377.81</v>
      </c>
      <c r="M4414" s="21" t="n">
        <v>499</v>
      </c>
    </row>
    <row r="4415">
      <c r="A4415" s="9" t="inlineStr">
        <is>
          <t>HAIFENG</t>
        </is>
      </c>
      <c r="B4415" s="9" t="inlineStr">
        <is>
          <t>HAIFENG 26/05/2026</t>
        </is>
      </c>
      <c r="C4415" s="9" t="inlineStr">
        <is>
          <t>2026-05-26</t>
        </is>
      </c>
      <c r="D4415" s="9" t="inlineStr">
        <is>
          <t>43728090848556</t>
        </is>
      </c>
      <c r="E4415" s="9" t="inlineStr">
        <is>
          <t>PULSERA LOVE SILVER</t>
        </is>
      </c>
      <c r="F4415" s="9" t="inlineStr">
        <is>
          <t>17cm</t>
        </is>
      </c>
      <c r="G4415" s="9" t="n">
        <v>12</v>
      </c>
      <c r="H4415" s="21" t="n">
        <v>4.5</v>
      </c>
      <c r="I4415" s="21" t="n">
        <v>94.45</v>
      </c>
      <c r="J4415" s="21" t="n">
        <v>283.36</v>
      </c>
      <c r="K4415" s="21" t="n">
        <v>330.58</v>
      </c>
      <c r="L4415" s="21" t="n">
        <v>377.81</v>
      </c>
      <c r="M4415" s="21" t="n">
        <v>499</v>
      </c>
    </row>
    <row r="4416">
      <c r="A4416" s="9" t="inlineStr">
        <is>
          <t>HAIFENG</t>
        </is>
      </c>
      <c r="B4416" s="9" t="inlineStr">
        <is>
          <t>HAIFENG 26/05/2026</t>
        </is>
      </c>
      <c r="C4416" s="9" t="inlineStr">
        <is>
          <t>2026-05-26</t>
        </is>
      </c>
      <c r="D4416" s="9" t="inlineStr">
        <is>
          <t>43728091146860</t>
        </is>
      </c>
      <c r="E4416" s="9" t="inlineStr">
        <is>
          <t>PULSERA LOVE SILVER</t>
        </is>
      </c>
      <c r="F4416" s="9" t="inlineStr">
        <is>
          <t>20cm</t>
        </is>
      </c>
      <c r="G4416" s="9" t="n">
        <v>5</v>
      </c>
      <c r="H4416" s="21" t="n">
        <v>4.5</v>
      </c>
      <c r="I4416" s="21" t="n">
        <v>94.45</v>
      </c>
      <c r="J4416" s="21" t="n">
        <v>283.36</v>
      </c>
      <c r="K4416" s="21" t="n">
        <v>330.58</v>
      </c>
      <c r="L4416" s="21" t="n">
        <v>377.81</v>
      </c>
      <c r="M4416" s="21" t="n">
        <v>499</v>
      </c>
    </row>
    <row r="4417">
      <c r="A4417" s="9" t="inlineStr">
        <is>
          <t>HAIFENG</t>
        </is>
      </c>
      <c r="B4417" s="9" t="inlineStr">
        <is>
          <t>HAIFENG 26/05/2026</t>
        </is>
      </c>
      <c r="C4417" s="9" t="inlineStr">
        <is>
          <t>2026-05-26</t>
        </is>
      </c>
      <c r="D4417" s="9" t="inlineStr">
        <is>
          <t>43728091014092</t>
        </is>
      </c>
      <c r="E4417" s="9" t="inlineStr">
        <is>
          <t>PULSERA LOVE SILVER</t>
        </is>
      </c>
      <c r="F4417" s="9" t="inlineStr">
        <is>
          <t>19cm</t>
        </is>
      </c>
      <c r="G4417" s="9" t="n">
        <v>8</v>
      </c>
      <c r="H4417" s="21" t="n">
        <v>4.5</v>
      </c>
      <c r="I4417" s="21" t="n">
        <v>94.45</v>
      </c>
      <c r="J4417" s="21" t="n">
        <v>283.36</v>
      </c>
      <c r="K4417" s="21" t="n">
        <v>330.58</v>
      </c>
      <c r="L4417" s="21" t="n">
        <v>377.81</v>
      </c>
      <c r="M4417" s="21" t="n">
        <v>499</v>
      </c>
    </row>
    <row r="4418">
      <c r="A4418" s="9" t="inlineStr">
        <is>
          <t>HAIFENG</t>
        </is>
      </c>
      <c r="B4418" s="9" t="inlineStr">
        <is>
          <t>HAIFENG 26/05/2026</t>
        </is>
      </c>
      <c r="C4418" s="9" t="inlineStr">
        <is>
          <t>2026-05-26</t>
        </is>
      </c>
      <c r="D4418" s="9" t="inlineStr">
        <is>
          <t>73379601029069</t>
        </is>
      </c>
      <c r="E4418" s="9" t="inlineStr">
        <is>
          <t>PULSERA LOVE UNLIMITED GOLD</t>
        </is>
      </c>
      <c r="F4418" s="9" t="inlineStr">
        <is>
          <t>19</t>
        </is>
      </c>
      <c r="G4418" s="9" t="n">
        <v>2</v>
      </c>
      <c r="H4418" s="21" t="n">
        <v>15</v>
      </c>
      <c r="I4418" s="21" t="n">
        <v>314.84</v>
      </c>
      <c r="J4418" s="21" t="n">
        <v>944.52</v>
      </c>
      <c r="K4418" s="21" t="n">
        <v>1101.94</v>
      </c>
      <c r="L4418" s="21" t="n">
        <v>1259.36</v>
      </c>
      <c r="M4418" s="21" t="n">
        <v>1399</v>
      </c>
    </row>
    <row r="4419">
      <c r="A4419" s="9" t="inlineStr">
        <is>
          <t>HAIFENG</t>
        </is>
      </c>
      <c r="B4419" s="9" t="inlineStr">
        <is>
          <t>HAIFENG 26/05/2026</t>
        </is>
      </c>
      <c r="C4419" s="9" t="inlineStr">
        <is>
          <t>2026-05-26</t>
        </is>
      </c>
      <c r="D4419" s="9" t="inlineStr">
        <is>
          <t>73379601161837</t>
        </is>
      </c>
      <c r="E4419" s="9" t="inlineStr">
        <is>
          <t>PULSERA LOVE UNLIMITED GOLD</t>
        </is>
      </c>
      <c r="F4419" s="9" t="inlineStr">
        <is>
          <t>21</t>
        </is>
      </c>
      <c r="G4419" s="9" t="n">
        <v>2</v>
      </c>
      <c r="H4419" s="21" t="n">
        <v>15</v>
      </c>
      <c r="I4419" s="21" t="n">
        <v>314.84</v>
      </c>
      <c r="J4419" s="21" t="n">
        <v>944.52</v>
      </c>
      <c r="K4419" s="21" t="n">
        <v>1101.94</v>
      </c>
      <c r="L4419" s="21" t="n">
        <v>1259.36</v>
      </c>
      <c r="M4419" s="21" t="n">
        <v>1399</v>
      </c>
    </row>
    <row r="4420">
      <c r="A4420" s="9" t="inlineStr">
        <is>
          <t>HAIFENG</t>
        </is>
      </c>
      <c r="B4420" s="9" t="inlineStr">
        <is>
          <t>HAIFENG 26/05/2026</t>
        </is>
      </c>
      <c r="C4420" s="9" t="inlineStr">
        <is>
          <t>2026-05-26</t>
        </is>
      </c>
      <c r="D4420" s="9" t="inlineStr">
        <is>
          <t>74289381073037</t>
        </is>
      </c>
      <c r="E4420" s="9" t="inlineStr">
        <is>
          <t>PULSERA LOVE UNLIMITED ROSEGOLD</t>
        </is>
      </c>
      <c r="F4420" s="9" t="inlineStr">
        <is>
          <t>17</t>
        </is>
      </c>
      <c r="G4420" s="9" t="n">
        <v>9</v>
      </c>
      <c r="H4420" s="21" t="n">
        <v>15</v>
      </c>
      <c r="I4420" s="21" t="n">
        <v>314.84</v>
      </c>
      <c r="J4420" s="21" t="n">
        <v>944.52</v>
      </c>
      <c r="K4420" s="21" t="n">
        <v>1101.94</v>
      </c>
      <c r="L4420" s="21" t="n">
        <v>1259.36</v>
      </c>
      <c r="M4420" s="21" t="n">
        <v>1399</v>
      </c>
    </row>
    <row r="4421">
      <c r="A4421" s="9" t="inlineStr">
        <is>
          <t>HAIFENG</t>
        </is>
      </c>
      <c r="B4421" s="9" t="inlineStr">
        <is>
          <t>HAIFENG 26/05/2026</t>
        </is>
      </c>
      <c r="C4421" s="9" t="inlineStr">
        <is>
          <t>2026-05-26</t>
        </is>
      </c>
      <c r="D4421" s="9" t="inlineStr">
        <is>
          <t>70975141082189</t>
        </is>
      </c>
      <c r="E4421" s="9" t="inlineStr">
        <is>
          <t>PULSERA LOVE UNLIMITED SILVER</t>
        </is>
      </c>
      <c r="F4421" s="9" t="inlineStr">
        <is>
          <t>17</t>
        </is>
      </c>
      <c r="G4421" s="9" t="n">
        <v>3</v>
      </c>
      <c r="H4421" s="21" t="n">
        <v>15</v>
      </c>
      <c r="I4421" s="21" t="n">
        <v>314.84</v>
      </c>
      <c r="J4421" s="21" t="n">
        <v>944.52</v>
      </c>
      <c r="K4421" s="21" t="n">
        <v>1101.94</v>
      </c>
      <c r="L4421" s="21" t="n">
        <v>1259.36</v>
      </c>
      <c r="M4421" s="21" t="n">
        <v>1399</v>
      </c>
    </row>
    <row r="4422">
      <c r="A4422" s="9" t="inlineStr">
        <is>
          <t>HAIFENG</t>
        </is>
      </c>
      <c r="B4422" s="9" t="inlineStr">
        <is>
          <t>HAIFENG 26/05/2026</t>
        </is>
      </c>
      <c r="C4422" s="9" t="inlineStr">
        <is>
          <t>2026-05-26</t>
        </is>
      </c>
      <c r="D4422" s="9" t="inlineStr">
        <is>
          <t>67201531075373</t>
        </is>
      </c>
      <c r="E4422" s="9" t="inlineStr">
        <is>
          <t>PULSERA LUCKY GOLD CD</t>
        </is>
      </c>
      <c r="F4422" s="9" t="inlineStr">
        <is>
          <t>HIGH QUALITY</t>
        </is>
      </c>
      <c r="G4422" s="9" t="n">
        <v>3</v>
      </c>
      <c r="H4422" s="21" t="n">
        <v>6</v>
      </c>
      <c r="I4422" s="21" t="n">
        <v>125.94</v>
      </c>
      <c r="J4422" s="21" t="n">
        <v>377.81</v>
      </c>
      <c r="K4422" s="21" t="n">
        <v>440.78</v>
      </c>
      <c r="L4422" s="21" t="n">
        <v>503.74</v>
      </c>
      <c r="M4422" s="21" t="n">
        <v>499</v>
      </c>
    </row>
    <row r="4423">
      <c r="A4423" s="9" t="inlineStr">
        <is>
          <t>HAIFENG</t>
        </is>
      </c>
      <c r="B4423" s="9" t="inlineStr">
        <is>
          <t>HAIFENG 26/05/2026</t>
        </is>
      </c>
      <c r="C4423" s="9" t="inlineStr">
        <is>
          <t>2026-05-26</t>
        </is>
      </c>
      <c r="D4423" s="9" t="inlineStr">
        <is>
          <t>17964142743629</t>
        </is>
      </c>
      <c r="E4423" s="9" t="inlineStr">
        <is>
          <t>PULSERA LV DAMIER MONOGRAM</t>
        </is>
      </c>
      <c r="F4423" s="9" t="inlineStr">
        <is>
          <t>18CM</t>
        </is>
      </c>
      <c r="G4423" s="9" t="n">
        <v>2</v>
      </c>
      <c r="H4423" s="21" t="n">
        <v>15</v>
      </c>
      <c r="I4423" s="21" t="n">
        <v>314.84</v>
      </c>
      <c r="J4423" s="21" t="n">
        <v>944.52</v>
      </c>
      <c r="K4423" s="21" t="n">
        <v>1101.94</v>
      </c>
      <c r="L4423" s="21" t="n">
        <v>1259.36</v>
      </c>
      <c r="M4423" s="21" t="n">
        <v>1250</v>
      </c>
    </row>
    <row r="4424">
      <c r="A4424" s="9" t="inlineStr">
        <is>
          <t>HAIFENG</t>
        </is>
      </c>
      <c r="B4424" s="9" t="inlineStr">
        <is>
          <t>HAIFENG 26/05/2026</t>
        </is>
      </c>
      <c r="C4424" s="9" t="inlineStr">
        <is>
          <t>2026-05-26</t>
        </is>
      </c>
      <c r="D4424" s="9" t="inlineStr">
        <is>
          <t>17964142645325</t>
        </is>
      </c>
      <c r="E4424" s="9" t="inlineStr">
        <is>
          <t>PULSERA LV MONOGRAM CHAIN SOO</t>
        </is>
      </c>
      <c r="F4424" s="9" t="inlineStr">
        <is>
          <t>18CM</t>
        </is>
      </c>
      <c r="G4424" s="9" t="n">
        <v>2</v>
      </c>
      <c r="H4424" s="21" t="n">
        <v>18</v>
      </c>
      <c r="I4424" s="21" t="n">
        <v>377.81</v>
      </c>
      <c r="J4424" s="21" t="n">
        <v>1133.42</v>
      </c>
      <c r="K4424" s="21" t="n">
        <v>1322.33</v>
      </c>
      <c r="L4424" s="21" t="n">
        <v>1511.23</v>
      </c>
      <c r="M4424" s="21" t="n">
        <v>1499</v>
      </c>
    </row>
    <row r="4425">
      <c r="A4425" s="9" t="inlineStr">
        <is>
          <t>HAIFENG</t>
        </is>
      </c>
      <c r="B4425" s="9" t="inlineStr">
        <is>
          <t>HAIFENG 26/05/2026</t>
        </is>
      </c>
      <c r="C4425" s="9" t="inlineStr">
        <is>
          <t>2026-05-26</t>
        </is>
      </c>
      <c r="D4425" s="9" t="inlineStr">
        <is>
          <t>57529861058989</t>
        </is>
      </c>
      <c r="E4425" s="9" t="inlineStr">
        <is>
          <t>PULSERA MM GOLD-BLACK</t>
        </is>
      </c>
      <c r="F4425" s="9" t="inlineStr">
        <is>
          <t>Default Title</t>
        </is>
      </c>
      <c r="G4425" s="9" t="n">
        <v>2</v>
      </c>
      <c r="H4425" s="21" t="n">
        <v>7.99</v>
      </c>
      <c r="I4425" s="21" t="n">
        <v>167.7</v>
      </c>
      <c r="J4425" s="21" t="n">
        <v>503.11</v>
      </c>
      <c r="K4425" s="21" t="n">
        <v>586.97</v>
      </c>
      <c r="L4425" s="21" t="n">
        <v>670.8200000000001</v>
      </c>
      <c r="M4425" s="21" t="n">
        <v>699</v>
      </c>
    </row>
    <row r="4426">
      <c r="A4426" s="9" t="inlineStr">
        <is>
          <t>HAIFENG</t>
        </is>
      </c>
      <c r="B4426" s="9" t="inlineStr">
        <is>
          <t>HAIFENG 26/05/2026</t>
        </is>
      </c>
      <c r="C4426" s="9" t="inlineStr">
        <is>
          <t>2026-05-26</t>
        </is>
      </c>
      <c r="D4426" s="9" t="inlineStr">
        <is>
          <t>67201532161837</t>
        </is>
      </c>
      <c r="E4426" s="9" t="inlineStr">
        <is>
          <t>PULSERA MSS GOLD</t>
        </is>
      </c>
      <c r="F4426" s="9" t="inlineStr">
        <is>
          <t>Default Title</t>
        </is>
      </c>
      <c r="G4426" s="9" t="n">
        <v>6</v>
      </c>
      <c r="H4426" s="21" t="n">
        <v>7</v>
      </c>
      <c r="I4426" s="21" t="n">
        <v>146.93</v>
      </c>
      <c r="J4426" s="21" t="n">
        <v>440.78</v>
      </c>
      <c r="K4426" s="21" t="n">
        <v>514.24</v>
      </c>
      <c r="L4426" s="21" t="n">
        <v>587.7</v>
      </c>
      <c r="M4426" s="21" t="n">
        <v>599</v>
      </c>
    </row>
    <row r="4427">
      <c r="A4427" s="9" t="inlineStr">
        <is>
          <t>HAIFENG</t>
        </is>
      </c>
      <c r="B4427" s="9" t="inlineStr">
        <is>
          <t>HAIFENG 26/05/2026</t>
        </is>
      </c>
      <c r="C4427" s="9" t="inlineStr">
        <is>
          <t>2026-05-26</t>
        </is>
      </c>
      <c r="D4427" s="9" t="inlineStr">
        <is>
          <t>67201532004237</t>
        </is>
      </c>
      <c r="E4427" s="9" t="inlineStr">
        <is>
          <t>PULSERA MSS SILVER</t>
        </is>
      </c>
      <c r="F4427" s="9" t="inlineStr">
        <is>
          <t>Default Title</t>
        </is>
      </c>
      <c r="G4427" s="9" t="n">
        <v>8</v>
      </c>
      <c r="H4427" s="21" t="n">
        <v>7</v>
      </c>
      <c r="I4427" s="21" t="n">
        <v>146.93</v>
      </c>
      <c r="J4427" s="21" t="n">
        <v>440.78</v>
      </c>
      <c r="K4427" s="21" t="n">
        <v>514.24</v>
      </c>
      <c r="L4427" s="21" t="n">
        <v>587.7</v>
      </c>
      <c r="M4427" s="21" t="n">
        <v>599</v>
      </c>
    </row>
    <row r="4428">
      <c r="A4428" s="9" t="inlineStr">
        <is>
          <t>HAIFENG</t>
        </is>
      </c>
      <c r="B4428" s="9" t="inlineStr">
        <is>
          <t>HAIFENG 26/05/2026</t>
        </is>
      </c>
      <c r="C4428" s="9" t="inlineStr">
        <is>
          <t>2026-05-26</t>
        </is>
      </c>
      <c r="D4428" s="9" t="inlineStr">
        <is>
          <t>75012331065165</t>
        </is>
      </c>
      <c r="E4428" s="9" t="inlineStr">
        <is>
          <t>PULSERA SIGNATURE ROSEGOLD VF</t>
        </is>
      </c>
      <c r="F4428" s="9" t="inlineStr">
        <is>
          <t>16CM</t>
        </is>
      </c>
      <c r="G4428" s="9" t="n">
        <v>5</v>
      </c>
      <c r="H4428" s="21" t="n">
        <v>12</v>
      </c>
      <c r="I4428" s="21" t="n">
        <v>251.87</v>
      </c>
      <c r="J4428" s="21" t="n">
        <v>755.61</v>
      </c>
      <c r="K4428" s="21" t="n">
        <v>881.55</v>
      </c>
      <c r="L4428" s="21" t="n">
        <v>1007.49</v>
      </c>
      <c r="M4428" s="21" t="n">
        <v>999</v>
      </c>
    </row>
    <row r="4429">
      <c r="A4429" s="9" t="inlineStr">
        <is>
          <t>HAIFENG</t>
        </is>
      </c>
      <c r="B4429" s="9" t="inlineStr">
        <is>
          <t>HAIFENG 26/05/2026</t>
        </is>
      </c>
      <c r="C4429" s="9" t="inlineStr">
        <is>
          <t>2026-05-26</t>
        </is>
      </c>
      <c r="D4429" s="9" t="inlineStr">
        <is>
          <t>59109723736013</t>
        </is>
      </c>
      <c r="E4429" s="9" t="inlineStr">
        <is>
          <t>PULSERA T DOUBLE CHAIN SILVER</t>
        </is>
      </c>
      <c r="F4429" s="9" t="inlineStr">
        <is>
          <t>Default Title</t>
        </is>
      </c>
      <c r="G4429" s="9" t="n">
        <v>2</v>
      </c>
      <c r="H4429" s="21" t="n">
        <v>6</v>
      </c>
      <c r="I4429" s="21" t="n">
        <v>125.94</v>
      </c>
      <c r="J4429" s="21" t="n">
        <v>377.81</v>
      </c>
      <c r="K4429" s="21" t="n">
        <v>440.78</v>
      </c>
      <c r="L4429" s="21" t="n">
        <v>503.74</v>
      </c>
      <c r="M4429" s="21" t="n">
        <v>0</v>
      </c>
    </row>
    <row r="4430">
      <c r="A4430" s="9" t="inlineStr">
        <is>
          <t>HAIFENG</t>
        </is>
      </c>
      <c r="B4430" s="9" t="inlineStr">
        <is>
          <t>HAIFENG 26/05/2026</t>
        </is>
      </c>
      <c r="C4430" s="9" t="inlineStr">
        <is>
          <t>2026-05-26</t>
        </is>
      </c>
      <c r="D4430" s="9" t="inlineStr">
        <is>
          <t>15104863595501</t>
        </is>
      </c>
      <c r="E4430" s="9" t="inlineStr">
        <is>
          <t>PULSERA T HEART</t>
        </is>
      </c>
      <c r="F4430" s="9" t="inlineStr">
        <is>
          <t>Default Title</t>
        </is>
      </c>
      <c r="G4430" s="9" t="n">
        <v>3</v>
      </c>
      <c r="H4430" s="21" t="n">
        <v>7</v>
      </c>
      <c r="I4430" s="21" t="n">
        <v>146.93</v>
      </c>
      <c r="J4430" s="21" t="n">
        <v>440.78</v>
      </c>
      <c r="K4430" s="21" t="n">
        <v>514.24</v>
      </c>
      <c r="L4430" s="21" t="n">
        <v>587.7</v>
      </c>
      <c r="M4430" s="21" t="n">
        <v>599</v>
      </c>
    </row>
    <row r="4431">
      <c r="A4431" s="9" t="inlineStr">
        <is>
          <t>HAIFENG</t>
        </is>
      </c>
      <c r="B4431" s="9" t="inlineStr">
        <is>
          <t>HAIFENG 26/05/2026</t>
        </is>
      </c>
      <c r="C4431" s="9" t="inlineStr">
        <is>
          <t>2026-05-26</t>
        </is>
      </c>
      <c r="D4431" s="9" t="inlineStr">
        <is>
          <t>22064324357101</t>
        </is>
      </c>
      <c r="E4431" s="9" t="inlineStr">
        <is>
          <t>PULSERA T SILVER PADLOCK</t>
        </is>
      </c>
      <c r="F4431" s="9" t="inlineStr">
        <is>
          <t>Default Title</t>
        </is>
      </c>
      <c r="G4431" s="9" t="n">
        <v>2</v>
      </c>
      <c r="H4431" s="21" t="n">
        <v>6</v>
      </c>
      <c r="I4431" s="21" t="n">
        <v>125.94</v>
      </c>
      <c r="J4431" s="21" t="n">
        <v>377.81</v>
      </c>
      <c r="K4431" s="21" t="n">
        <v>440.78</v>
      </c>
      <c r="L4431" s="21" t="n">
        <v>503.74</v>
      </c>
      <c r="M4431" s="21" t="n">
        <v>499</v>
      </c>
    </row>
    <row r="4432">
      <c r="A4432" s="9" t="inlineStr">
        <is>
          <t>HAIFENG</t>
        </is>
      </c>
      <c r="B4432" s="9" t="inlineStr">
        <is>
          <t>HAIFENG 26/05/2026</t>
        </is>
      </c>
      <c r="C4432" s="9" t="inlineStr">
        <is>
          <t>2026-05-26</t>
        </is>
      </c>
      <c r="D4432" s="9" t="inlineStr">
        <is>
          <t>29852177262732</t>
        </is>
      </c>
      <c r="E4432" s="9" t="inlineStr">
        <is>
          <t>PULSERA TREBOL GOLD VF</t>
        </is>
      </c>
      <c r="F4432" s="9" t="inlineStr">
        <is>
          <t>18cm</t>
        </is>
      </c>
      <c r="G4432" s="9" t="n">
        <v>4</v>
      </c>
      <c r="H4432" s="21" t="n">
        <v>7</v>
      </c>
      <c r="I4432" s="21" t="n">
        <v>146.93</v>
      </c>
      <c r="J4432" s="21" t="n">
        <v>440.78</v>
      </c>
      <c r="K4432" s="21" t="n">
        <v>514.24</v>
      </c>
      <c r="L4432" s="21" t="n">
        <v>587.7</v>
      </c>
      <c r="M4432" s="21" t="n">
        <v>900</v>
      </c>
    </row>
    <row r="4433">
      <c r="A4433" s="9" t="inlineStr">
        <is>
          <t>HAIFENG</t>
        </is>
      </c>
      <c r="B4433" s="9" t="inlineStr">
        <is>
          <t>HAIFENG 26/05/2026</t>
        </is>
      </c>
      <c r="C4433" s="9" t="inlineStr">
        <is>
          <t>2026-05-26</t>
        </is>
      </c>
      <c r="D4433" s="9" t="inlineStr">
        <is>
          <t>66075801824557</t>
        </is>
      </c>
      <c r="E4433" s="9" t="inlineStr">
        <is>
          <t>PULSERA TRES AROS</t>
        </is>
      </c>
      <c r="F4433" s="9" t="inlineStr">
        <is>
          <t>Default Title</t>
        </is>
      </c>
      <c r="G4433" s="9" t="n">
        <v>3</v>
      </c>
      <c r="H4433" s="21" t="n">
        <v>7.5</v>
      </c>
      <c r="I4433" s="21" t="n">
        <v>157.42</v>
      </c>
      <c r="J4433" s="21" t="n">
        <v>472.26</v>
      </c>
      <c r="K4433" s="21" t="n">
        <v>550.97</v>
      </c>
      <c r="L4433" s="21" t="n">
        <v>629.6799999999999</v>
      </c>
      <c r="M4433" s="21" t="n">
        <v>650</v>
      </c>
    </row>
    <row r="4434">
      <c r="A4434" s="9" t="inlineStr">
        <is>
          <t>HAIFENG</t>
        </is>
      </c>
      <c r="B4434" s="9" t="inlineStr">
        <is>
          <t>HAIFENG 26/05/2026</t>
        </is>
      </c>
      <c r="C4434" s="9" t="inlineStr">
        <is>
          <t>2026-05-26</t>
        </is>
      </c>
      <c r="D4434" s="9" t="inlineStr">
        <is>
          <t>661774545334c</t>
        </is>
      </c>
      <c r="E4434" s="9" t="inlineStr">
        <is>
          <t>PULSERA TRÉBOL GOLD RED VF</t>
        </is>
      </c>
      <c r="F4434" s="9" t="inlineStr">
        <is>
          <t>18cm</t>
        </is>
      </c>
      <c r="G4434" s="9" t="n">
        <v>7</v>
      </c>
      <c r="H4434" s="21" t="n">
        <v>7</v>
      </c>
      <c r="I4434" s="21" t="n">
        <v>146.93</v>
      </c>
      <c r="J4434" s="21" t="n">
        <v>440.78</v>
      </c>
      <c r="K4434" s="21" t="n">
        <v>514.24</v>
      </c>
      <c r="L4434" s="21" t="n">
        <v>587.7</v>
      </c>
      <c r="M4434" s="21" t="n">
        <v>650</v>
      </c>
    </row>
    <row r="4435">
      <c r="A4435" s="9" t="inlineStr">
        <is>
          <t>HAIFENG</t>
        </is>
      </c>
      <c r="B4435" s="9" t="inlineStr">
        <is>
          <t>HAIFENG 26/05/2026</t>
        </is>
      </c>
      <c r="C4435" s="9" t="inlineStr">
        <is>
          <t>2026-05-26</t>
        </is>
      </c>
      <c r="D4435" s="9" t="inlineStr">
        <is>
          <t>43728135385740</t>
        </is>
      </c>
      <c r="E4435" s="9" t="inlineStr">
        <is>
          <t>PULSERA TRÉBOL GOLD-GREEN VF</t>
        </is>
      </c>
      <c r="F4435" s="9" t="inlineStr">
        <is>
          <t>18cm</t>
        </is>
      </c>
      <c r="G4435" s="9" t="n">
        <v>7</v>
      </c>
      <c r="H4435" s="21" t="n">
        <v>7</v>
      </c>
      <c r="I4435" s="21" t="n">
        <v>146.93</v>
      </c>
      <c r="J4435" s="21" t="n">
        <v>440.78</v>
      </c>
      <c r="K4435" s="21" t="n">
        <v>514.24</v>
      </c>
      <c r="L4435" s="21" t="n">
        <v>587.7</v>
      </c>
      <c r="M4435" s="21" t="n">
        <v>599</v>
      </c>
    </row>
    <row r="4436">
      <c r="A4436" s="9" t="inlineStr">
        <is>
          <t>HAIFENG</t>
        </is>
      </c>
      <c r="B4436" s="9" t="inlineStr">
        <is>
          <t>HAIFENG 26/05/2026</t>
        </is>
      </c>
      <c r="C4436" s="9" t="inlineStr">
        <is>
          <t>2026-05-26</t>
        </is>
      </c>
      <c r="D4436" s="9" t="inlineStr">
        <is>
          <t>63e0c5f8a96a2</t>
        </is>
      </c>
      <c r="E4436" s="9" t="inlineStr">
        <is>
          <t>PULSERA TRÉBOL ROSEGOLD BLACK VF</t>
        </is>
      </c>
      <c r="F4436" s="9" t="inlineStr">
        <is>
          <t>18cm</t>
        </is>
      </c>
      <c r="G4436" s="9" t="n">
        <v>2</v>
      </c>
      <c r="H4436" s="21" t="n">
        <v>7</v>
      </c>
      <c r="I4436" s="21" t="n">
        <v>146.93</v>
      </c>
      <c r="J4436" s="21" t="n">
        <v>440.78</v>
      </c>
      <c r="K4436" s="21" t="n">
        <v>514.24</v>
      </c>
      <c r="L4436" s="21" t="n">
        <v>587.7</v>
      </c>
      <c r="M4436" s="21" t="n">
        <v>900</v>
      </c>
    </row>
    <row r="4437">
      <c r="A4437" s="9" t="inlineStr">
        <is>
          <t>HAIFENG</t>
        </is>
      </c>
      <c r="B4437" s="9" t="inlineStr">
        <is>
          <t>HAIFENG 26/05/2026</t>
        </is>
      </c>
      <c r="C4437" s="9" t="inlineStr">
        <is>
          <t>2026-05-26</t>
        </is>
      </c>
      <c r="D4437" s="9" t="inlineStr">
        <is>
          <t>661774512157c</t>
        </is>
      </c>
      <c r="E4437" s="9" t="inlineStr">
        <is>
          <t>PULSERA TRÉBOL SILVER WHITE VF</t>
        </is>
      </c>
      <c r="F4437" s="9" t="inlineStr">
        <is>
          <t>18cm</t>
        </is>
      </c>
      <c r="G4437" s="9" t="n">
        <v>2</v>
      </c>
      <c r="H4437" s="21" t="n">
        <v>7</v>
      </c>
      <c r="I4437" s="21" t="n">
        <v>146.93</v>
      </c>
      <c r="J4437" s="21" t="n">
        <v>440.78</v>
      </c>
      <c r="K4437" s="21" t="n">
        <v>514.24</v>
      </c>
      <c r="L4437" s="21" t="n">
        <v>587.7</v>
      </c>
      <c r="M4437" s="21" t="n">
        <v>900</v>
      </c>
    </row>
    <row r="4438">
      <c r="A4438" s="9" t="inlineStr">
        <is>
          <t>HAIFENG</t>
        </is>
      </c>
      <c r="B4438" s="9" t="inlineStr">
        <is>
          <t>HAIFENG 26/05/2026</t>
        </is>
      </c>
      <c r="C4438" s="9" t="inlineStr">
        <is>
          <t>2026-05-26</t>
        </is>
      </c>
      <c r="D4438" s="9" t="inlineStr">
        <is>
          <t>59109721136621</t>
        </is>
      </c>
      <c r="E4438" s="9" t="inlineStr">
        <is>
          <t>VISERA CD V1U</t>
        </is>
      </c>
      <c r="F4438" s="9" t="inlineStr">
        <is>
          <t>Default Title</t>
        </is>
      </c>
      <c r="G4438" s="9" t="n">
        <v>1</v>
      </c>
      <c r="H4438" s="21" t="n">
        <v>30</v>
      </c>
      <c r="I4438" s="21" t="n">
        <v>629.6799999999999</v>
      </c>
      <c r="J4438" s="21" t="n">
        <v>1889.04</v>
      </c>
      <c r="K4438" s="21" t="n">
        <v>2203.88</v>
      </c>
      <c r="L4438" s="21" t="n">
        <v>2518.72</v>
      </c>
      <c r="M4438" s="21" t="n">
        <v>2499</v>
      </c>
    </row>
    <row r="4439">
      <c r="A4439" s="9" t="inlineStr">
        <is>
          <t>CYNTHIA</t>
        </is>
      </c>
      <c r="B4439" s="9" t="inlineStr">
        <is>
          <t>CYNTHIA 31/05/2026</t>
        </is>
      </c>
      <c r="C4439" s="9" t="inlineStr">
        <is>
          <t>2026-05-31</t>
        </is>
      </c>
      <c r="D4439" s="9" t="inlineStr">
        <is>
          <t>43047206289548</t>
        </is>
      </c>
      <c r="E4439" s="9" t="inlineStr">
        <is>
          <t>ANILLO LOCK GOLD-SILVER CON ZIRCONIAS</t>
        </is>
      </c>
      <c r="F4439" s="9" t="inlineStr">
        <is>
          <t>7</t>
        </is>
      </c>
      <c r="G4439" s="9" t="n">
        <v>1</v>
      </c>
      <c r="H4439" s="21" t="n">
        <v>12.8</v>
      </c>
      <c r="I4439" s="21" t="n">
        <v>339.21</v>
      </c>
      <c r="J4439" s="21" t="n">
        <v>1017.64</v>
      </c>
      <c r="K4439" s="21" t="n">
        <v>1187.25</v>
      </c>
      <c r="L4439" s="21" t="n">
        <v>1356.85</v>
      </c>
      <c r="M4439" s="21" t="n">
        <v>1189</v>
      </c>
    </row>
    <row r="4440">
      <c r="A4440" s="9" t="inlineStr">
        <is>
          <t>CYNTHIA</t>
        </is>
      </c>
      <c r="B4440" s="9" t="inlineStr">
        <is>
          <t>CYNTHIA 31/05/2026</t>
        </is>
      </c>
      <c r="C4440" s="9" t="inlineStr">
        <is>
          <t>2026-05-31</t>
        </is>
      </c>
      <c r="D4440" s="9" t="inlineStr">
        <is>
          <t>43047228014732</t>
        </is>
      </c>
      <c r="E4440" s="9" t="inlineStr">
        <is>
          <t>ANILLO ONE T SILVER CON ZIRCONIA</t>
        </is>
      </c>
      <c r="F4440" s="9" t="inlineStr">
        <is>
          <t>6</t>
        </is>
      </c>
      <c r="G4440" s="9" t="n">
        <v>3</v>
      </c>
      <c r="H4440" s="21" t="n">
        <v>9.800000000000001</v>
      </c>
      <c r="I4440" s="21" t="n">
        <v>259.71</v>
      </c>
      <c r="J4440" s="21" t="n">
        <v>779.13</v>
      </c>
      <c r="K4440" s="21" t="n">
        <v>908.99</v>
      </c>
      <c r="L4440" s="21" t="n">
        <v>1038.84</v>
      </c>
      <c r="M4440" s="21" t="n">
        <v>1039.33</v>
      </c>
    </row>
    <row r="4441">
      <c r="A4441" s="9" t="inlineStr">
        <is>
          <t>CYNTHIA</t>
        </is>
      </c>
      <c r="B4441" s="9" t="inlineStr">
        <is>
          <t>CYNTHIA 31/05/2026</t>
        </is>
      </c>
      <c r="C4441" s="9" t="inlineStr">
        <is>
          <t>2026-05-31</t>
        </is>
      </c>
      <c r="D4441" s="9" t="inlineStr">
        <is>
          <t>81836202265453</t>
        </is>
      </c>
      <c r="E4441" s="9" t="inlineStr">
        <is>
          <t>ANILLO P STARS</t>
        </is>
      </c>
      <c r="F4441" s="9" t="inlineStr">
        <is>
          <t>9</t>
        </is>
      </c>
      <c r="G4441" s="9" t="n">
        <v>2</v>
      </c>
      <c r="H4441" s="21" t="n">
        <v>1.7</v>
      </c>
      <c r="I4441" s="21" t="n">
        <v>45.05</v>
      </c>
      <c r="J4441" s="21" t="n">
        <v>135.16</v>
      </c>
      <c r="K4441" s="21" t="n">
        <v>157.68</v>
      </c>
      <c r="L4441" s="21" t="n">
        <v>180.21</v>
      </c>
      <c r="M4441" s="21" t="n">
        <v>250</v>
      </c>
    </row>
    <row r="4442">
      <c r="A4442" s="9" t="inlineStr">
        <is>
          <t>CYNTHIA</t>
        </is>
      </c>
      <c r="B4442" s="9" t="inlineStr">
        <is>
          <t>CYNTHIA 31/05/2026</t>
        </is>
      </c>
      <c r="C4442" s="9" t="inlineStr">
        <is>
          <t>2026-05-31</t>
        </is>
      </c>
      <c r="D4442" s="9" t="inlineStr">
        <is>
          <t>43071835963532</t>
        </is>
      </c>
      <c r="E4442" s="9" t="inlineStr">
        <is>
          <t>ANILLO P STARS</t>
        </is>
      </c>
      <c r="F4442" s="9" t="inlineStr">
        <is>
          <t>8</t>
        </is>
      </c>
      <c r="G4442" s="9" t="n">
        <v>2</v>
      </c>
      <c r="H4442" s="21" t="n">
        <v>1.7</v>
      </c>
      <c r="I4442" s="21" t="n">
        <v>45.05</v>
      </c>
      <c r="J4442" s="21" t="n">
        <v>135.16</v>
      </c>
      <c r="K4442" s="21" t="n">
        <v>157.68</v>
      </c>
      <c r="L4442" s="21" t="n">
        <v>180.21</v>
      </c>
      <c r="M4442" s="21" t="n">
        <v>250</v>
      </c>
    </row>
    <row r="4443">
      <c r="A4443" s="9" t="inlineStr">
        <is>
          <t>CYNTHIA</t>
        </is>
      </c>
      <c r="B4443" s="9" t="inlineStr">
        <is>
          <t>CYNTHIA 31/05/2026</t>
        </is>
      </c>
      <c r="C4443" s="9" t="inlineStr">
        <is>
          <t>2026-05-31</t>
        </is>
      </c>
      <c r="D4443" s="9" t="inlineStr">
        <is>
          <t>43728071182284</t>
        </is>
      </c>
      <c r="E4443" s="9" t="inlineStr">
        <is>
          <t>ANILLO SERPENTI LISO SILVER</t>
        </is>
      </c>
      <c r="F4443" s="9" t="inlineStr">
        <is>
          <t>AJUSTABLE</t>
        </is>
      </c>
      <c r="G4443" s="9" t="n">
        <v>3</v>
      </c>
      <c r="H4443" s="21" t="n">
        <v>6.8</v>
      </c>
      <c r="I4443" s="21" t="n">
        <v>180.21</v>
      </c>
      <c r="J4443" s="21" t="n">
        <v>540.62</v>
      </c>
      <c r="K4443" s="21" t="n">
        <v>630.72</v>
      </c>
      <c r="L4443" s="21" t="n">
        <v>720.83</v>
      </c>
      <c r="M4443" s="21" t="n">
        <v>729</v>
      </c>
    </row>
    <row r="4444">
      <c r="A4444" s="9" t="inlineStr">
        <is>
          <t>CYNTHIA</t>
        </is>
      </c>
      <c r="B4444" s="9" t="inlineStr">
        <is>
          <t>CYNTHIA 31/05/2026</t>
        </is>
      </c>
      <c r="C4444" s="9" t="inlineStr">
        <is>
          <t>2026-05-31</t>
        </is>
      </c>
      <c r="D4444" s="9" t="inlineStr">
        <is>
          <t>38332091054029</t>
        </is>
      </c>
      <c r="E4444" s="9" t="inlineStr">
        <is>
          <t>ANILLO T EDGE SILVER</t>
        </is>
      </c>
      <c r="F4444" s="9" t="inlineStr">
        <is>
          <t>6</t>
        </is>
      </c>
      <c r="G4444" s="9" t="n">
        <v>2</v>
      </c>
      <c r="H4444" s="21" t="n">
        <v>10.8</v>
      </c>
      <c r="I4444" s="21" t="n">
        <v>286.21</v>
      </c>
      <c r="J4444" s="21" t="n">
        <v>858.63</v>
      </c>
      <c r="K4444" s="21" t="n">
        <v>1001.74</v>
      </c>
      <c r="L4444" s="21" t="n">
        <v>1144.85</v>
      </c>
      <c r="M4444" s="21" t="n">
        <v>1149</v>
      </c>
    </row>
    <row r="4445">
      <c r="A4445" s="9" t="inlineStr">
        <is>
          <t>CYNTHIA</t>
        </is>
      </c>
      <c r="B4445" s="9" t="inlineStr">
        <is>
          <t>CYNTHIA 31/05/2026</t>
        </is>
      </c>
      <c r="C4445" s="9" t="inlineStr">
        <is>
          <t>2026-05-31</t>
        </is>
      </c>
      <c r="D4445" s="9" t="inlineStr">
        <is>
          <t>665bb4c20b268</t>
        </is>
      </c>
      <c r="E4445" s="9" t="inlineStr">
        <is>
          <t>ANILLO V GOLD</t>
        </is>
      </c>
      <c r="F4445" s="9" t="inlineStr">
        <is>
          <t>AJUSTABLE</t>
        </is>
      </c>
      <c r="G4445" s="9" t="n">
        <v>5</v>
      </c>
      <c r="H4445" s="21" t="n">
        <v>6.8</v>
      </c>
      <c r="I4445" s="21" t="n">
        <v>180.21</v>
      </c>
      <c r="J4445" s="21" t="n">
        <v>540.62</v>
      </c>
      <c r="K4445" s="21" t="n">
        <v>630.72</v>
      </c>
      <c r="L4445" s="21" t="n">
        <v>720.83</v>
      </c>
      <c r="M4445" s="21" t="n">
        <v>635</v>
      </c>
    </row>
    <row r="4446">
      <c r="A4446" s="9" t="inlineStr">
        <is>
          <t>CYNTHIA</t>
        </is>
      </c>
      <c r="B4446" s="9" t="inlineStr">
        <is>
          <t>CYNTHIA 31/05/2026</t>
        </is>
      </c>
      <c r="C4446" s="9" t="inlineStr">
        <is>
          <t>2026-05-31</t>
        </is>
      </c>
      <c r="D4446" s="9" t="inlineStr">
        <is>
          <t>15711172030349</t>
        </is>
      </c>
      <c r="E4446" s="9" t="inlineStr">
        <is>
          <t>ARETES BEAN GOLD T</t>
        </is>
      </c>
      <c r="F4446" s="9" t="inlineStr">
        <is>
          <t>Default Title</t>
        </is>
      </c>
      <c r="G4446" s="9" t="n">
        <v>5</v>
      </c>
      <c r="H4446" s="21" t="n">
        <v>8.800000000000001</v>
      </c>
      <c r="I4446" s="21" t="n">
        <v>233.21</v>
      </c>
      <c r="J4446" s="21" t="n">
        <v>699.63</v>
      </c>
      <c r="K4446" s="21" t="n">
        <v>816.23</v>
      </c>
      <c r="L4446" s="21" t="n">
        <v>932.84</v>
      </c>
      <c r="M4446" s="21" t="n">
        <v>935</v>
      </c>
    </row>
    <row r="4447">
      <c r="A4447" s="9" t="inlineStr">
        <is>
          <t>CYNTHIA</t>
        </is>
      </c>
      <c r="B4447" s="9" t="inlineStr">
        <is>
          <t>CYNTHIA 31/05/2026</t>
        </is>
      </c>
      <c r="C4447" s="9" t="inlineStr">
        <is>
          <t>2026-05-31</t>
        </is>
      </c>
      <c r="D4447" s="9" t="inlineStr">
        <is>
          <t>62101481140653</t>
        </is>
      </c>
      <c r="E4447" s="9" t="inlineStr">
        <is>
          <t>ARETES BEAN SILVER T</t>
        </is>
      </c>
      <c r="F4447" s="9" t="inlineStr">
        <is>
          <t>Default Title</t>
        </is>
      </c>
      <c r="G4447" s="9" t="n">
        <v>2</v>
      </c>
      <c r="H4447" s="21" t="n">
        <v>8</v>
      </c>
      <c r="I4447" s="21" t="n">
        <v>212.01</v>
      </c>
      <c r="J4447" s="21" t="n">
        <v>636.03</v>
      </c>
      <c r="K4447" s="21" t="n">
        <v>742.03</v>
      </c>
      <c r="L4447" s="21" t="n">
        <v>848.03</v>
      </c>
      <c r="M4447" s="21" t="n">
        <v>849</v>
      </c>
    </row>
    <row r="4448">
      <c r="A4448" s="9" t="inlineStr">
        <is>
          <t>CYNTHIA</t>
        </is>
      </c>
      <c r="B4448" s="9" t="inlineStr">
        <is>
          <t>CYNTHIA 31/05/2026</t>
        </is>
      </c>
      <c r="C4448" s="9" t="inlineStr">
        <is>
          <t>2026-05-31</t>
        </is>
      </c>
      <c r="D4448" s="9" t="inlineStr">
        <is>
          <t>94792221051565</t>
        </is>
      </c>
      <c r="E4448" s="9" t="inlineStr">
        <is>
          <t>ARETES BLOSSOM STAR GOLD</t>
        </is>
      </c>
      <c r="F4448" s="9" t="inlineStr">
        <is>
          <t>REGULAR</t>
        </is>
      </c>
      <c r="G4448" s="9" t="n">
        <v>2</v>
      </c>
      <c r="H4448" s="21" t="n">
        <v>6.8</v>
      </c>
      <c r="I4448" s="21" t="n">
        <v>180.21</v>
      </c>
      <c r="J4448" s="21" t="n">
        <v>540.62</v>
      </c>
      <c r="K4448" s="21" t="n">
        <v>630.72</v>
      </c>
      <c r="L4448" s="21" t="n">
        <v>720.83</v>
      </c>
      <c r="M4448" s="21" t="n">
        <v>722</v>
      </c>
    </row>
    <row r="4449">
      <c r="A4449" s="9" t="inlineStr">
        <is>
          <t>CYNTHIA</t>
        </is>
      </c>
      <c r="B4449" s="9" t="inlineStr">
        <is>
          <t>CYNTHIA 31/05/2026</t>
        </is>
      </c>
      <c r="C4449" s="9" t="inlineStr">
        <is>
          <t>2026-05-31</t>
        </is>
      </c>
      <c r="D4449" s="9" t="inlineStr">
        <is>
          <t>665bb4e06b7c8</t>
        </is>
      </c>
      <c r="E4449" s="9" t="inlineStr">
        <is>
          <t>ARETES CC DORADO</t>
        </is>
      </c>
      <c r="F4449" s="9" t="inlineStr">
        <is>
          <t>Regular</t>
        </is>
      </c>
      <c r="G4449" s="9" t="n">
        <v>20</v>
      </c>
      <c r="H4449" s="21" t="n">
        <v>2</v>
      </c>
      <c r="I4449" s="21" t="n">
        <v>53</v>
      </c>
      <c r="J4449" s="21" t="n">
        <v>159.01</v>
      </c>
      <c r="K4449" s="21" t="n">
        <v>185.51</v>
      </c>
      <c r="L4449" s="21" t="n">
        <v>212.01</v>
      </c>
      <c r="M4449" s="21" t="n">
        <v>220</v>
      </c>
    </row>
    <row r="4450">
      <c r="A4450" s="9" t="inlineStr">
        <is>
          <t>CYNTHIA</t>
        </is>
      </c>
      <c r="B4450" s="9" t="inlineStr">
        <is>
          <t>CYNTHIA 31/05/2026</t>
        </is>
      </c>
      <c r="C4450" s="9" t="inlineStr">
        <is>
          <t>2026-05-31</t>
        </is>
      </c>
      <c r="D4450" s="9" t="inlineStr">
        <is>
          <t>63ebd72976d60</t>
        </is>
      </c>
      <c r="E4450" s="9" t="inlineStr">
        <is>
          <t>ARETES CC ROSE GOLD</t>
        </is>
      </c>
      <c r="F4450" s="9" t="inlineStr">
        <is>
          <t>HIGH QUALITY</t>
        </is>
      </c>
      <c r="G4450" s="9" t="n">
        <v>2</v>
      </c>
      <c r="H4450" s="21" t="n">
        <v>2</v>
      </c>
      <c r="I4450" s="21" t="n">
        <v>53</v>
      </c>
      <c r="J4450" s="21" t="n">
        <v>159.01</v>
      </c>
      <c r="K4450" s="21" t="n">
        <v>185.51</v>
      </c>
      <c r="L4450" s="21" t="n">
        <v>212.01</v>
      </c>
      <c r="M4450" s="21" t="n">
        <v>220</v>
      </c>
    </row>
    <row r="4451">
      <c r="A4451" s="9" t="inlineStr">
        <is>
          <t>CYNTHIA</t>
        </is>
      </c>
      <c r="B4451" s="9" t="inlineStr">
        <is>
          <t>CYNTHIA 31/05/2026</t>
        </is>
      </c>
      <c r="C4451" s="9" t="inlineStr">
        <is>
          <t>2026-05-31</t>
        </is>
      </c>
      <c r="D4451" s="9" t="inlineStr">
        <is>
          <t>63e0bb0816c62</t>
        </is>
      </c>
      <c r="E4451" s="9" t="inlineStr">
        <is>
          <t>ARETES CC SILVER</t>
        </is>
      </c>
      <c r="F4451" s="9" t="inlineStr">
        <is>
          <t>Default Title</t>
        </is>
      </c>
      <c r="G4451" s="9" t="n">
        <v>2</v>
      </c>
      <c r="H4451" s="21" t="n">
        <v>2</v>
      </c>
      <c r="I4451" s="21" t="n">
        <v>53</v>
      </c>
      <c r="J4451" s="21" t="n">
        <v>159.01</v>
      </c>
      <c r="K4451" s="21" t="n">
        <v>185.51</v>
      </c>
      <c r="L4451" s="21" t="n">
        <v>212.01</v>
      </c>
      <c r="M4451" s="21" t="n">
        <v>220</v>
      </c>
    </row>
    <row r="4452">
      <c r="A4452" s="9" t="inlineStr">
        <is>
          <t>CYNTHIA</t>
        </is>
      </c>
      <c r="B4452" s="9" t="inlineStr">
        <is>
          <t>CYNTHIA 31/05/2026</t>
        </is>
      </c>
      <c r="C4452" s="9" t="inlineStr">
        <is>
          <t>2026-05-31</t>
        </is>
      </c>
      <c r="D4452" s="9" t="inlineStr">
        <is>
          <t>8275727247244</t>
        </is>
      </c>
      <c r="E4452" s="9" t="inlineStr">
        <is>
          <t>ARETES CD COLGANTES</t>
        </is>
      </c>
      <c r="F4452" s="9" t="inlineStr">
        <is>
          <t>Default Title</t>
        </is>
      </c>
      <c r="G4452" s="9" t="n">
        <v>2</v>
      </c>
      <c r="H4452" s="21" t="n">
        <v>8.800000000000001</v>
      </c>
      <c r="I4452" s="21" t="n">
        <v>233.21</v>
      </c>
      <c r="J4452" s="21" t="n">
        <v>699.63</v>
      </c>
      <c r="K4452" s="21" t="n">
        <v>816.23</v>
      </c>
      <c r="L4452" s="21" t="n">
        <v>932.84</v>
      </c>
      <c r="M4452" s="21" t="n">
        <v>935</v>
      </c>
    </row>
    <row r="4453">
      <c r="A4453" s="9" t="inlineStr">
        <is>
          <t>CYNTHIA</t>
        </is>
      </c>
      <c r="B4453" s="9" t="inlineStr">
        <is>
          <t>CYNTHIA 31/05/2026</t>
        </is>
      </c>
      <c r="C4453" s="9" t="inlineStr">
        <is>
          <t>2026-05-31</t>
        </is>
      </c>
      <c r="D4453" s="9" t="inlineStr">
        <is>
          <t>64e78e725d8db</t>
        </is>
      </c>
      <c r="E4453" s="9" t="inlineStr">
        <is>
          <t>ARETES CD CON PERLA GOLD DR</t>
        </is>
      </c>
      <c r="F4453" s="9" t="inlineStr">
        <is>
          <t>Default Title</t>
        </is>
      </c>
      <c r="G4453" s="9" t="n">
        <v>1</v>
      </c>
      <c r="H4453" s="21" t="n">
        <v>6.08</v>
      </c>
      <c r="I4453" s="21" t="n">
        <v>161.13</v>
      </c>
      <c r="J4453" s="21" t="n">
        <v>483.38</v>
      </c>
      <c r="K4453" s="21" t="n">
        <v>563.9400000000001</v>
      </c>
      <c r="L4453" s="21" t="n">
        <v>644.51</v>
      </c>
      <c r="M4453" s="21" t="n">
        <v>650</v>
      </c>
    </row>
    <row r="4454">
      <c r="A4454" s="9" t="inlineStr">
        <is>
          <t>CYNTHIA</t>
        </is>
      </c>
      <c r="B4454" s="9" t="inlineStr">
        <is>
          <t>CYNTHIA 31/05/2026</t>
        </is>
      </c>
      <c r="C4454" s="9" t="inlineStr">
        <is>
          <t>2026-05-31</t>
        </is>
      </c>
      <c r="D4454" s="9" t="inlineStr">
        <is>
          <t>665bb4e678422</t>
        </is>
      </c>
      <c r="E4454" s="9" t="inlineStr">
        <is>
          <t>ARETES CD GOLD</t>
        </is>
      </c>
      <c r="F4454" s="9" t="inlineStr">
        <is>
          <t>Default Title</t>
        </is>
      </c>
      <c r="G4454" s="9" t="n">
        <v>5</v>
      </c>
      <c r="H4454" s="21" t="n">
        <v>7</v>
      </c>
      <c r="I4454" s="21" t="n">
        <v>185.51</v>
      </c>
      <c r="J4454" s="21" t="n">
        <v>556.52</v>
      </c>
      <c r="K4454" s="21" t="n">
        <v>649.28</v>
      </c>
      <c r="L4454" s="21" t="n">
        <v>742.03</v>
      </c>
      <c r="M4454" s="21" t="n">
        <v>745</v>
      </c>
    </row>
    <row r="4455">
      <c r="A4455" s="9" t="inlineStr">
        <is>
          <t>CYNTHIA</t>
        </is>
      </c>
      <c r="B4455" s="9" t="inlineStr">
        <is>
          <t>CYNTHIA 31/05/2026</t>
        </is>
      </c>
      <c r="C4455" s="9" t="inlineStr">
        <is>
          <t>2026-05-31</t>
        </is>
      </c>
      <c r="D4455" s="9" t="inlineStr">
        <is>
          <t>665bd4aee8cb5</t>
        </is>
      </c>
      <c r="E4455" s="9" t="inlineStr">
        <is>
          <t>ARETES CD PERLAS/ ZIRCONIAS</t>
        </is>
      </c>
      <c r="F4455" s="9" t="inlineStr">
        <is>
          <t>Default Title</t>
        </is>
      </c>
      <c r="G4455" s="9" t="n">
        <v>3</v>
      </c>
      <c r="H4455" s="21" t="n">
        <v>8.800000000000001</v>
      </c>
      <c r="I4455" s="21" t="n">
        <v>233.21</v>
      </c>
      <c r="J4455" s="21" t="n">
        <v>699.63</v>
      </c>
      <c r="K4455" s="21" t="n">
        <v>816.23</v>
      </c>
      <c r="L4455" s="21" t="n">
        <v>932.84</v>
      </c>
      <c r="M4455" s="21" t="n">
        <v>850</v>
      </c>
    </row>
    <row r="4456">
      <c r="A4456" s="9" t="inlineStr">
        <is>
          <t>CYNTHIA</t>
        </is>
      </c>
      <c r="B4456" s="9" t="inlineStr">
        <is>
          <t>CYNTHIA 31/05/2026</t>
        </is>
      </c>
      <c r="C4456" s="9" t="inlineStr">
        <is>
          <t>2026-05-31</t>
        </is>
      </c>
      <c r="D4456" s="9" t="inlineStr">
        <is>
          <t>677c26b6bfd93</t>
        </is>
      </c>
      <c r="E4456" s="9" t="inlineStr">
        <is>
          <t>ARETES CD SILVER</t>
        </is>
      </c>
      <c r="F4456" s="9" t="inlineStr">
        <is>
          <t>Default Title</t>
        </is>
      </c>
      <c r="G4456" s="9" t="n">
        <v>2</v>
      </c>
      <c r="H4456" s="21" t="n">
        <v>7</v>
      </c>
      <c r="I4456" s="21" t="n">
        <v>185.51</v>
      </c>
      <c r="J4456" s="21" t="n">
        <v>556.52</v>
      </c>
      <c r="K4456" s="21" t="n">
        <v>649.28</v>
      </c>
      <c r="L4456" s="21" t="n">
        <v>742.03</v>
      </c>
      <c r="M4456" s="21" t="n">
        <v>745</v>
      </c>
    </row>
    <row r="4457">
      <c r="A4457" s="9" t="inlineStr">
        <is>
          <t>CYNTHIA</t>
        </is>
      </c>
      <c r="B4457" s="9" t="inlineStr">
        <is>
          <t>CYNTHIA 31/05/2026</t>
        </is>
      </c>
      <c r="C4457" s="9" t="inlineStr">
        <is>
          <t>2026-05-31</t>
        </is>
      </c>
      <c r="D4457" s="9" t="inlineStr">
        <is>
          <t>17235661006529</t>
        </is>
      </c>
      <c r="E4457" s="9" t="inlineStr">
        <is>
          <t>ARETES CD TRIBALES</t>
        </is>
      </c>
      <c r="F4457" s="9" t="inlineStr">
        <is>
          <t>Default Title</t>
        </is>
      </c>
      <c r="G4457" s="9" t="n">
        <v>6</v>
      </c>
      <c r="H4457" s="21" t="n">
        <v>8.800000000000001</v>
      </c>
      <c r="I4457" s="21" t="n">
        <v>233.21</v>
      </c>
      <c r="J4457" s="21" t="n">
        <v>699.63</v>
      </c>
      <c r="K4457" s="21" t="n">
        <v>816.23</v>
      </c>
      <c r="L4457" s="21" t="n">
        <v>932.84</v>
      </c>
      <c r="M4457" s="21" t="n">
        <v>935</v>
      </c>
    </row>
    <row r="4458">
      <c r="A4458" s="9" t="inlineStr">
        <is>
          <t>CYNTHIA</t>
        </is>
      </c>
      <c r="B4458" s="9" t="inlineStr">
        <is>
          <t>CYNTHIA 31/05/2026</t>
        </is>
      </c>
      <c r="C4458" s="9" t="inlineStr">
        <is>
          <t>2026-05-31</t>
        </is>
      </c>
      <c r="D4458" s="9" t="inlineStr">
        <is>
          <t>66178b9555250</t>
        </is>
      </c>
      <c r="E4458" s="9" t="inlineStr">
        <is>
          <t>ARETES CLASH ROSEGOLD ZIRCONIA</t>
        </is>
      </c>
      <c r="F4458" s="9" t="inlineStr">
        <is>
          <t>Default Title</t>
        </is>
      </c>
      <c r="G4458" s="9" t="n">
        <v>5</v>
      </c>
      <c r="H4458" s="21" t="n">
        <v>5.3</v>
      </c>
      <c r="I4458" s="21" t="n">
        <v>140.46</v>
      </c>
      <c r="J4458" s="21" t="n">
        <v>421.37</v>
      </c>
      <c r="K4458" s="21" t="n">
        <v>491.59</v>
      </c>
      <c r="L4458" s="21" t="n">
        <v>561.8200000000001</v>
      </c>
      <c r="M4458" s="21" t="n">
        <v>569</v>
      </c>
    </row>
    <row r="4459">
      <c r="A4459" s="9" t="inlineStr">
        <is>
          <t>CYNTHIA</t>
        </is>
      </c>
      <c r="B4459" s="9" t="inlineStr">
        <is>
          <t>CYNTHIA 31/05/2026</t>
        </is>
      </c>
      <c r="C4459" s="9" t="inlineStr">
        <is>
          <t>2026-05-31</t>
        </is>
      </c>
      <c r="D4459" s="9" t="inlineStr">
        <is>
          <t>43047217758348</t>
        </is>
      </c>
      <c r="E4459" s="9" t="inlineStr">
        <is>
          <t>ARETES CORAZÓN GRABADO GOLD</t>
        </is>
      </c>
      <c r="F4459" s="9" t="inlineStr">
        <is>
          <t>Default Title</t>
        </is>
      </c>
      <c r="G4459" s="9" t="n">
        <v>3</v>
      </c>
      <c r="H4459" s="21" t="n">
        <v>5.88</v>
      </c>
      <c r="I4459" s="21" t="n">
        <v>155.83</v>
      </c>
      <c r="J4459" s="21" t="n">
        <v>467.48</v>
      </c>
      <c r="K4459" s="21" t="n">
        <v>545.39</v>
      </c>
      <c r="L4459" s="21" t="n">
        <v>623.3</v>
      </c>
      <c r="M4459" s="21" t="n">
        <v>550</v>
      </c>
    </row>
    <row r="4460">
      <c r="A4460" s="9" t="inlineStr">
        <is>
          <t>CYNTHIA</t>
        </is>
      </c>
      <c r="B4460" s="9" t="inlineStr">
        <is>
          <t>CYNTHIA 31/05/2026</t>
        </is>
      </c>
      <c r="C4460" s="9" t="inlineStr">
        <is>
          <t>2026-05-31</t>
        </is>
      </c>
      <c r="D4460" s="9" t="inlineStr">
        <is>
          <t>43047196360844</t>
        </is>
      </c>
      <c r="E4460" s="9" t="inlineStr">
        <is>
          <t>ARETES CORAZÓN GRABADO SILVER</t>
        </is>
      </c>
      <c r="F4460" s="9" t="inlineStr">
        <is>
          <t>Default Title</t>
        </is>
      </c>
      <c r="G4460" s="9" t="n">
        <v>2</v>
      </c>
      <c r="H4460" s="21" t="n">
        <v>5.88</v>
      </c>
      <c r="I4460" s="21" t="n">
        <v>155.83</v>
      </c>
      <c r="J4460" s="21" t="n">
        <v>467.48</v>
      </c>
      <c r="K4460" s="21" t="n">
        <v>545.39</v>
      </c>
      <c r="L4460" s="21" t="n">
        <v>623.3</v>
      </c>
      <c r="M4460" s="21" t="n">
        <v>550</v>
      </c>
    </row>
    <row r="4461">
      <c r="A4461" s="9" t="inlineStr">
        <is>
          <t>CYNTHIA</t>
        </is>
      </c>
      <c r="B4461" s="9" t="inlineStr">
        <is>
          <t>CYNTHIA 31/05/2026</t>
        </is>
      </c>
      <c r="C4461" s="9" t="inlineStr">
        <is>
          <t>2026-05-31</t>
        </is>
      </c>
      <c r="D4461" s="9" t="inlineStr">
        <is>
          <t>43047211597964</t>
        </is>
      </c>
      <c r="E4461" s="9" t="inlineStr">
        <is>
          <t>ARETES CORAZÓN PLACA GRABADO GOLD</t>
        </is>
      </c>
      <c r="F4461" s="9" t="inlineStr">
        <is>
          <t>Regular</t>
        </is>
      </c>
      <c r="G4461" s="9" t="n">
        <v>2</v>
      </c>
      <c r="H4461" s="21" t="n">
        <v>7</v>
      </c>
      <c r="I4461" s="21" t="n">
        <v>185.51</v>
      </c>
      <c r="J4461" s="21" t="n">
        <v>556.52</v>
      </c>
      <c r="K4461" s="21" t="n">
        <v>649.28</v>
      </c>
      <c r="L4461" s="21" t="n">
        <v>742.03</v>
      </c>
      <c r="M4461" s="21" t="n">
        <v>745</v>
      </c>
    </row>
    <row r="4462">
      <c r="A4462" s="9" t="inlineStr">
        <is>
          <t>CYNTHIA</t>
        </is>
      </c>
      <c r="B4462" s="9" t="inlineStr">
        <is>
          <t>CYNTHIA 31/05/2026</t>
        </is>
      </c>
      <c r="C4462" s="9" t="inlineStr">
        <is>
          <t>2026-05-31</t>
        </is>
      </c>
      <c r="D4462" s="9" t="inlineStr">
        <is>
          <t>38332091970605</t>
        </is>
      </c>
      <c r="E4462" s="9" t="inlineStr">
        <is>
          <t>ARETES DG CON PERLA GOLD</t>
        </is>
      </c>
      <c r="F4462" s="9" t="inlineStr">
        <is>
          <t>Default Title</t>
        </is>
      </c>
      <c r="G4462" s="9" t="n">
        <v>3</v>
      </c>
      <c r="H4462" s="21" t="n">
        <v>8.800000000000001</v>
      </c>
      <c r="I4462" s="21" t="n">
        <v>233.21</v>
      </c>
      <c r="J4462" s="21" t="n">
        <v>699.63</v>
      </c>
      <c r="K4462" s="21" t="n">
        <v>816.23</v>
      </c>
      <c r="L4462" s="21" t="n">
        <v>932.84</v>
      </c>
      <c r="M4462" s="21" t="n">
        <v>850</v>
      </c>
    </row>
    <row r="4463">
      <c r="A4463" s="9" t="inlineStr">
        <is>
          <t>CYNTHIA</t>
        </is>
      </c>
      <c r="B4463" s="9" t="inlineStr">
        <is>
          <t>CYNTHIA 31/05/2026</t>
        </is>
      </c>
      <c r="C4463" s="9" t="inlineStr">
        <is>
          <t>2026-05-31</t>
        </is>
      </c>
      <c r="D4463" s="9" t="inlineStr">
        <is>
          <t>43071800901772</t>
        </is>
      </c>
      <c r="E4463" s="9" t="inlineStr">
        <is>
          <t>ARETES F GOLD BLACK</t>
        </is>
      </c>
      <c r="F4463" s="9" t="inlineStr">
        <is>
          <t>Regular</t>
        </is>
      </c>
      <c r="G4463" s="9" t="n">
        <v>5</v>
      </c>
      <c r="H4463" s="21" t="n">
        <v>8.800000000000001</v>
      </c>
      <c r="I4463" s="21" t="n">
        <v>233.21</v>
      </c>
      <c r="J4463" s="21" t="n">
        <v>699.63</v>
      </c>
      <c r="K4463" s="21" t="n">
        <v>816.23</v>
      </c>
      <c r="L4463" s="21" t="n">
        <v>932.84</v>
      </c>
      <c r="M4463" s="21" t="n">
        <v>879</v>
      </c>
    </row>
    <row r="4464">
      <c r="A4464" s="9" t="inlineStr">
        <is>
          <t>CYNTHIA</t>
        </is>
      </c>
      <c r="B4464" s="9" t="inlineStr">
        <is>
          <t>CYNTHIA 31/05/2026</t>
        </is>
      </c>
      <c r="C4464" s="9" t="inlineStr">
        <is>
          <t>2026-05-31</t>
        </is>
      </c>
      <c r="D4464" s="9" t="inlineStr">
        <is>
          <t>665bb51b8f87b-1</t>
        </is>
      </c>
      <c r="E4464" s="9" t="inlineStr">
        <is>
          <t>ARETES LOVE DORADOS</t>
        </is>
      </c>
      <c r="F4464" s="9" t="inlineStr">
        <is>
          <t>Regular</t>
        </is>
      </c>
      <c r="G4464" s="9" t="n">
        <v>8</v>
      </c>
      <c r="H4464" s="21" t="n">
        <v>2.6</v>
      </c>
      <c r="I4464" s="21" t="n">
        <v>68.90000000000001</v>
      </c>
      <c r="J4464" s="21" t="n">
        <v>206.71</v>
      </c>
      <c r="K4464" s="21" t="n">
        <v>241.16</v>
      </c>
      <c r="L4464" s="21" t="n">
        <v>275.61</v>
      </c>
      <c r="M4464" s="21" t="n">
        <v>400</v>
      </c>
    </row>
    <row r="4465">
      <c r="A4465" s="9" t="inlineStr">
        <is>
          <t>CYNTHIA</t>
        </is>
      </c>
      <c r="B4465" s="9" t="inlineStr">
        <is>
          <t>CYNTHIA 31/05/2026</t>
        </is>
      </c>
      <c r="C4465" s="9" t="inlineStr">
        <is>
          <t>2026-05-31</t>
        </is>
      </c>
      <c r="D4465" s="9" t="inlineStr">
        <is>
          <t>43071645614220</t>
        </is>
      </c>
      <c r="E4465" s="9" t="inlineStr">
        <is>
          <t>ARETES LV CON ZIRCONIA</t>
        </is>
      </c>
      <c r="F4465" s="9" t="inlineStr">
        <is>
          <t>Default Title</t>
        </is>
      </c>
      <c r="G4465" s="9" t="n">
        <v>3</v>
      </c>
      <c r="H4465" s="21" t="n">
        <v>8.800000000000001</v>
      </c>
      <c r="I4465" s="21" t="n">
        <v>233.21</v>
      </c>
      <c r="J4465" s="21" t="n">
        <v>699.63</v>
      </c>
      <c r="K4465" s="21" t="n">
        <v>816.23</v>
      </c>
      <c r="L4465" s="21" t="n">
        <v>932.84</v>
      </c>
      <c r="M4465" s="21" t="n">
        <v>935</v>
      </c>
    </row>
    <row r="4466">
      <c r="A4466" s="9" t="inlineStr">
        <is>
          <t>CYNTHIA</t>
        </is>
      </c>
      <c r="B4466" s="9" t="inlineStr">
        <is>
          <t>CYNTHIA 31/05/2026</t>
        </is>
      </c>
      <c r="C4466" s="9" t="inlineStr">
        <is>
          <t>2026-05-31</t>
        </is>
      </c>
      <c r="D4466" s="9" t="inlineStr">
        <is>
          <t>64e78e740ecaf-1</t>
        </is>
      </c>
      <c r="E4466" s="9" t="inlineStr">
        <is>
          <t>ARETES LV LOGO GOLD</t>
        </is>
      </c>
      <c r="F4466" s="9" t="inlineStr">
        <is>
          <t>Stainless steel</t>
        </is>
      </c>
      <c r="G4466" s="9" t="n">
        <v>5</v>
      </c>
      <c r="H4466" s="21" t="n">
        <v>6.8</v>
      </c>
      <c r="I4466" s="21" t="n">
        <v>180.21</v>
      </c>
      <c r="J4466" s="21" t="n">
        <v>540.62</v>
      </c>
      <c r="K4466" s="21" t="n">
        <v>630.72</v>
      </c>
      <c r="L4466" s="21" t="n">
        <v>720.83</v>
      </c>
      <c r="M4466" s="21" t="n">
        <v>722</v>
      </c>
    </row>
    <row r="4467">
      <c r="A4467" s="9" t="inlineStr">
        <is>
          <t>CYNTHIA</t>
        </is>
      </c>
      <c r="B4467" s="9" t="inlineStr">
        <is>
          <t>CYNTHIA 31/05/2026</t>
        </is>
      </c>
      <c r="C4467" s="9" t="inlineStr">
        <is>
          <t>2026-05-31</t>
        </is>
      </c>
      <c r="D4467" s="9" t="inlineStr">
        <is>
          <t>654bdb81039f7</t>
        </is>
      </c>
      <c r="E4467" s="9" t="inlineStr">
        <is>
          <t>ARETES LV LOGO SILVER</t>
        </is>
      </c>
      <c r="F4467" s="9" t="inlineStr">
        <is>
          <t>Stainless steel</t>
        </is>
      </c>
      <c r="G4467" s="9" t="n">
        <v>12</v>
      </c>
      <c r="H4467" s="21" t="n">
        <v>6.8</v>
      </c>
      <c r="I4467" s="21" t="n">
        <v>180.21</v>
      </c>
      <c r="J4467" s="21" t="n">
        <v>540.62</v>
      </c>
      <c r="K4467" s="21" t="n">
        <v>630.72</v>
      </c>
      <c r="L4467" s="21" t="n">
        <v>720.83</v>
      </c>
      <c r="M4467" s="21" t="n">
        <v>722</v>
      </c>
    </row>
    <row r="4468">
      <c r="A4468" s="9" t="inlineStr">
        <is>
          <t>CYNTHIA</t>
        </is>
      </c>
      <c r="B4468" s="9" t="inlineStr">
        <is>
          <t>CYNTHIA 31/05/2026</t>
        </is>
      </c>
      <c r="C4468" s="9" t="inlineStr">
        <is>
          <t>2026-05-31</t>
        </is>
      </c>
      <c r="D4468" s="9" t="inlineStr">
        <is>
          <t>38332091841901</t>
        </is>
      </c>
      <c r="E4468" s="9" t="inlineStr">
        <is>
          <t>ARETES LW ANAGRAM GOLD</t>
        </is>
      </c>
      <c r="F4468" s="9" t="inlineStr">
        <is>
          <t>Default Title</t>
        </is>
      </c>
      <c r="G4468" s="9" t="n">
        <v>15</v>
      </c>
      <c r="H4468" s="21" t="n">
        <v>4</v>
      </c>
      <c r="I4468" s="21" t="n">
        <v>106</v>
      </c>
      <c r="J4468" s="21" t="n">
        <v>318.01</v>
      </c>
      <c r="K4468" s="21" t="n">
        <v>371.01</v>
      </c>
      <c r="L4468" s="21" t="n">
        <v>424.02</v>
      </c>
      <c r="M4468" s="21" t="n">
        <v>450</v>
      </c>
    </row>
    <row r="4469">
      <c r="A4469" s="9" t="inlineStr">
        <is>
          <t>CYNTHIA</t>
        </is>
      </c>
      <c r="B4469" s="9" t="inlineStr">
        <is>
          <t>CYNTHIA 31/05/2026</t>
        </is>
      </c>
      <c r="C4469" s="9" t="inlineStr">
        <is>
          <t>2026-05-31</t>
        </is>
      </c>
      <c r="D4469" s="9" t="inlineStr">
        <is>
          <t>665bd4b01f958</t>
        </is>
      </c>
      <c r="E4469" s="9" t="inlineStr">
        <is>
          <t>ARETES PR SILVER</t>
        </is>
      </c>
      <c r="F4469" s="9" t="inlineStr">
        <is>
          <t>Default Title</t>
        </is>
      </c>
      <c r="G4469" s="9" t="n">
        <v>7</v>
      </c>
      <c r="H4469" s="21" t="n">
        <v>6.8</v>
      </c>
      <c r="I4469" s="21" t="n">
        <v>180.21</v>
      </c>
      <c r="J4469" s="21" t="n">
        <v>540.62</v>
      </c>
      <c r="K4469" s="21" t="n">
        <v>630.72</v>
      </c>
      <c r="L4469" s="21" t="n">
        <v>720.83</v>
      </c>
      <c r="M4469" s="21" t="n">
        <v>750</v>
      </c>
    </row>
    <row r="4470">
      <c r="A4470" s="9" t="inlineStr">
        <is>
          <t>CYNTHIA</t>
        </is>
      </c>
      <c r="B4470" s="9" t="inlineStr">
        <is>
          <t>CYNTHIA 31/05/2026</t>
        </is>
      </c>
      <c r="C4470" s="9" t="inlineStr">
        <is>
          <t>2026-05-31</t>
        </is>
      </c>
      <c r="D4470" s="9" t="inlineStr">
        <is>
          <t>34876761251373</t>
        </is>
      </c>
      <c r="E4470" s="9" t="inlineStr">
        <is>
          <t>ARETES T SQUARE SIXTEEN STONE</t>
        </is>
      </c>
      <c r="F4470" s="9" t="inlineStr">
        <is>
          <t>Default Title</t>
        </is>
      </c>
      <c r="G4470" s="9" t="n">
        <v>8</v>
      </c>
      <c r="H4470" s="21" t="n">
        <v>7</v>
      </c>
      <c r="I4470" s="21" t="n">
        <v>185.51</v>
      </c>
      <c r="J4470" s="21" t="n">
        <v>556.52</v>
      </c>
      <c r="K4470" s="21" t="n">
        <v>649.28</v>
      </c>
      <c r="L4470" s="21" t="n">
        <v>742.03</v>
      </c>
      <c r="M4470" s="21" t="n">
        <v>750</v>
      </c>
    </row>
    <row r="4471">
      <c r="A4471" s="9" t="inlineStr">
        <is>
          <t>CYNTHIA</t>
        </is>
      </c>
      <c r="B4471" s="9" t="inlineStr">
        <is>
          <t>CYNTHIA 31/05/2026</t>
        </is>
      </c>
      <c r="C4471" s="9" t="inlineStr">
        <is>
          <t>2026-05-31</t>
        </is>
      </c>
      <c r="D4471" s="9" t="inlineStr">
        <is>
          <t>63ebd921017f7</t>
        </is>
      </c>
      <c r="E4471" s="9" t="inlineStr">
        <is>
          <t>ARETES T-SMILE SILVER CON ZIRCONIA</t>
        </is>
      </c>
      <c r="F4471" s="9" t="inlineStr">
        <is>
          <t>Default Title</t>
        </is>
      </c>
      <c r="G4471" s="9" t="n">
        <v>3</v>
      </c>
      <c r="H4471" s="21" t="n">
        <v>6.8</v>
      </c>
      <c r="I4471" s="21" t="n">
        <v>180.21</v>
      </c>
      <c r="J4471" s="21" t="n">
        <v>540.62</v>
      </c>
      <c r="K4471" s="21" t="n">
        <v>630.72</v>
      </c>
      <c r="L4471" s="21" t="n">
        <v>720.83</v>
      </c>
      <c r="M4471" s="21" t="n">
        <v>722</v>
      </c>
    </row>
    <row r="4472">
      <c r="A4472" s="9" t="inlineStr">
        <is>
          <t>CYNTHIA</t>
        </is>
      </c>
      <c r="B4472" s="9" t="inlineStr">
        <is>
          <t>CYNTHIA 31/05/2026</t>
        </is>
      </c>
      <c r="C4472" s="9" t="inlineStr">
        <is>
          <t>2026-05-31</t>
        </is>
      </c>
      <c r="D4472" s="9" t="inlineStr">
        <is>
          <t>64e78ed3b6948</t>
        </is>
      </c>
      <c r="E4472" s="9" t="inlineStr">
        <is>
          <t>ARETES YSL</t>
        </is>
      </c>
      <c r="F4472" s="9" t="inlineStr">
        <is>
          <t>Default Title</t>
        </is>
      </c>
      <c r="G4472" s="9" t="n">
        <v>4</v>
      </c>
      <c r="H4472" s="21" t="n">
        <v>9.800000000000001</v>
      </c>
      <c r="I4472" s="21" t="n">
        <v>259.71</v>
      </c>
      <c r="J4472" s="21" t="n">
        <v>779.13</v>
      </c>
      <c r="K4472" s="21" t="n">
        <v>908.99</v>
      </c>
      <c r="L4472" s="21" t="n">
        <v>1038.84</v>
      </c>
      <c r="M4472" s="21" t="n">
        <v>1049</v>
      </c>
    </row>
    <row r="4473">
      <c r="A4473" s="9" t="inlineStr">
        <is>
          <t>CYNTHIA</t>
        </is>
      </c>
      <c r="B4473" s="9" t="inlineStr">
        <is>
          <t>CYNTHIA 31/05/2026</t>
        </is>
      </c>
      <c r="C4473" s="9" t="inlineStr">
        <is>
          <t>2026-05-31</t>
        </is>
      </c>
      <c r="D4473" s="9" t="inlineStr">
        <is>
          <t>39252671787533</t>
        </is>
      </c>
      <c r="E4473" s="9" t="inlineStr">
        <is>
          <t>ARRACADAS F GOLD</t>
        </is>
      </c>
      <c r="F4473" s="9" t="inlineStr">
        <is>
          <t>Default Title</t>
        </is>
      </c>
      <c r="G4473" s="9" t="n">
        <v>2</v>
      </c>
      <c r="H4473" s="21" t="n">
        <v>9.800000000000001</v>
      </c>
      <c r="I4473" s="21" t="n">
        <v>259.71</v>
      </c>
      <c r="J4473" s="21" t="n">
        <v>779.13</v>
      </c>
      <c r="K4473" s="21" t="n">
        <v>908.99</v>
      </c>
      <c r="L4473" s="21" t="n">
        <v>1038.84</v>
      </c>
      <c r="M4473" s="21" t="n">
        <v>910</v>
      </c>
    </row>
    <row r="4474">
      <c r="A4474" s="9" t="inlineStr">
        <is>
          <t>CYNTHIA</t>
        </is>
      </c>
      <c r="B4474" s="9" t="inlineStr">
        <is>
          <t>CYNTHIA 31/05/2026</t>
        </is>
      </c>
      <c r="C4474" s="9" t="inlineStr">
        <is>
          <t>2026-05-31</t>
        </is>
      </c>
      <c r="D4474" s="9" t="inlineStr">
        <is>
          <t>98269341115213</t>
        </is>
      </c>
      <c r="E4474" s="9" t="inlineStr">
        <is>
          <t>BOLSA CC Nº25 BURDEOS</t>
        </is>
      </c>
      <c r="F4474" s="9" t="inlineStr">
        <is>
          <t>Default Title</t>
        </is>
      </c>
      <c r="G4474" s="9" t="n">
        <v>4</v>
      </c>
      <c r="H4474" s="21" t="n">
        <v>66</v>
      </c>
      <c r="I4474" s="21" t="n">
        <v>1749.07</v>
      </c>
      <c r="J4474" s="21" t="n">
        <v>5247.21</v>
      </c>
      <c r="K4474" s="21" t="n">
        <v>6121.74</v>
      </c>
      <c r="L4474" s="21" t="n">
        <v>6996.28</v>
      </c>
      <c r="M4474" s="21" t="n">
        <v>6999.6</v>
      </c>
    </row>
    <row r="4475">
      <c r="A4475" s="9" t="inlineStr">
        <is>
          <t>CYNTHIA</t>
        </is>
      </c>
      <c r="B4475" s="9" t="inlineStr">
        <is>
          <t>CYNTHIA 31/05/2026</t>
        </is>
      </c>
      <c r="C4475" s="9" t="inlineStr">
        <is>
          <t>2026-05-31</t>
        </is>
      </c>
      <c r="D4475" s="9" t="inlineStr">
        <is>
          <t>98269341115213</t>
        </is>
      </c>
      <c r="E4475" s="9" t="inlineStr">
        <is>
          <t>BOLSA CC Nº25 BURDEOS</t>
        </is>
      </c>
      <c r="F4475" s="9" t="inlineStr">
        <is>
          <t>Default Title</t>
        </is>
      </c>
      <c r="G4475" s="9" t="n">
        <v>6</v>
      </c>
      <c r="H4475" s="21" t="n">
        <v>66</v>
      </c>
      <c r="I4475" s="21" t="n">
        <v>1749.07</v>
      </c>
      <c r="J4475" s="21" t="n">
        <v>5247.21</v>
      </c>
      <c r="K4475" s="21" t="n">
        <v>6121.74</v>
      </c>
      <c r="L4475" s="21" t="n">
        <v>6996.28</v>
      </c>
      <c r="M4475" s="21" t="n">
        <v>6999.6</v>
      </c>
    </row>
    <row r="4476">
      <c r="A4476" s="9" t="inlineStr">
        <is>
          <t>CYNTHIA</t>
        </is>
      </c>
      <c r="B4476" s="9" t="inlineStr">
        <is>
          <t>CYNTHIA 31/05/2026</t>
        </is>
      </c>
      <c r="C4476" s="9" t="inlineStr">
        <is>
          <t>2026-05-31</t>
        </is>
      </c>
      <c r="D4476" s="9" t="inlineStr">
        <is>
          <t>43897301090413</t>
        </is>
      </c>
      <c r="E4476" s="9" t="inlineStr">
        <is>
          <t>BOLSA CC Nº25 YELLOW</t>
        </is>
      </c>
      <c r="F4476" s="9" t="inlineStr">
        <is>
          <t>Default Title</t>
        </is>
      </c>
      <c r="G4476" s="9" t="n">
        <v>2</v>
      </c>
      <c r="H4476" s="21" t="n">
        <v>65</v>
      </c>
      <c r="I4476" s="21" t="n">
        <v>1722.57</v>
      </c>
      <c r="J4476" s="21" t="n">
        <v>5167.7</v>
      </c>
      <c r="K4476" s="21" t="n">
        <v>6028.99</v>
      </c>
      <c r="L4476" s="21" t="n">
        <v>6890.27</v>
      </c>
      <c r="M4476" s="21" t="n">
        <v>6899</v>
      </c>
    </row>
    <row r="4477">
      <c r="A4477" s="9" t="inlineStr">
        <is>
          <t>CYNTHIA</t>
        </is>
      </c>
      <c r="B4477" s="9" t="inlineStr">
        <is>
          <t>CYNTHIA 31/05/2026</t>
        </is>
      </c>
      <c r="C4477" s="9" t="inlineStr">
        <is>
          <t>2026-05-31</t>
        </is>
      </c>
      <c r="D4477" s="9" t="inlineStr">
        <is>
          <t>66581e33ea15d</t>
        </is>
      </c>
      <c r="E4477" s="9" t="inlineStr">
        <is>
          <t>BOLSA G GREEN</t>
        </is>
      </c>
      <c r="F4477" s="9" t="inlineStr">
        <is>
          <t>34cm largo x 27cm ancho</t>
        </is>
      </c>
      <c r="G4477" s="9" t="n">
        <v>12</v>
      </c>
      <c r="H4477" s="21" t="n">
        <v>40</v>
      </c>
      <c r="I4477" s="21" t="n">
        <v>1060.04</v>
      </c>
      <c r="J4477" s="21" t="n">
        <v>3180.13</v>
      </c>
      <c r="K4477" s="21" t="n">
        <v>3710.15</v>
      </c>
      <c r="L4477" s="21" t="n">
        <v>4240.17</v>
      </c>
      <c r="M4477" s="21" t="n">
        <v>4250</v>
      </c>
    </row>
    <row r="4478">
      <c r="A4478" s="9" t="inlineStr">
        <is>
          <t>CYNTHIA</t>
        </is>
      </c>
      <c r="B4478" s="9" t="inlineStr">
        <is>
          <t>CYNTHIA 31/05/2026</t>
        </is>
      </c>
      <c r="C4478" s="9" t="inlineStr">
        <is>
          <t>2026-05-31</t>
        </is>
      </c>
      <c r="D4478" s="9" t="inlineStr">
        <is>
          <t>66581e37d7ef3</t>
        </is>
      </c>
      <c r="E4478" s="9" t="inlineStr">
        <is>
          <t>BOLSA LV BROWN</t>
        </is>
      </c>
      <c r="F4478" s="9" t="inlineStr">
        <is>
          <t>21.5cm de largo x 12cm de alto x 5cm de ancho</t>
        </is>
      </c>
      <c r="G4478" s="9" t="n">
        <v>3</v>
      </c>
      <c r="H4478" s="21" t="n">
        <v>57</v>
      </c>
      <c r="I4478" s="21" t="n">
        <v>1510.56</v>
      </c>
      <c r="J4478" s="21" t="n">
        <v>4531.68</v>
      </c>
      <c r="K4478" s="21" t="n">
        <v>5286.96</v>
      </c>
      <c r="L4478" s="21" t="n">
        <v>6042.24</v>
      </c>
      <c r="M4478" s="21" t="n">
        <v>6050</v>
      </c>
    </row>
    <row r="4479">
      <c r="A4479" s="9" t="inlineStr">
        <is>
          <t>CYNTHIA</t>
        </is>
      </c>
      <c r="B4479" s="9" t="inlineStr">
        <is>
          <t>CYNTHIA 31/05/2026</t>
        </is>
      </c>
      <c r="C4479" s="9" t="inlineStr">
        <is>
          <t>2026-05-31</t>
        </is>
      </c>
      <c r="D4479" s="9" t="inlineStr">
        <is>
          <t>68374516907020</t>
        </is>
      </c>
      <c r="E4479" s="9" t="inlineStr">
        <is>
          <t>BOLSO C CLAUDE BLACK</t>
        </is>
      </c>
      <c r="F4479" s="9" t="inlineStr">
        <is>
          <t>21.5cm de largo x 11.5cm de alto x 4.5cm de ancho</t>
        </is>
      </c>
      <c r="G4479" s="9" t="n">
        <v>3</v>
      </c>
      <c r="H4479" s="21" t="n">
        <v>48</v>
      </c>
      <c r="I4479" s="21" t="n">
        <v>1272.05</v>
      </c>
      <c r="J4479" s="21" t="n">
        <v>3816.15</v>
      </c>
      <c r="K4479" s="21" t="n">
        <v>4452.18</v>
      </c>
      <c r="L4479" s="21" t="n">
        <v>5088.2</v>
      </c>
      <c r="M4479" s="21" t="n">
        <v>5095</v>
      </c>
    </row>
    <row r="4480">
      <c r="A4480" s="9" t="inlineStr">
        <is>
          <t>CYNTHIA</t>
        </is>
      </c>
      <c r="B4480" s="9" t="inlineStr">
        <is>
          <t>CYNTHIA 31/05/2026</t>
        </is>
      </c>
      <c r="C4480" s="9" t="inlineStr">
        <is>
          <t>2026-05-31</t>
        </is>
      </c>
      <c r="D4480" s="9" t="inlineStr">
        <is>
          <t>98269351492173</t>
        </is>
      </c>
      <c r="E4480" s="9" t="inlineStr">
        <is>
          <t>BOLSO C CLAUDE BURDEOS</t>
        </is>
      </c>
      <c r="F4480" s="9" t="inlineStr">
        <is>
          <t>Default Title</t>
        </is>
      </c>
      <c r="G4480" s="9" t="n">
        <v>2</v>
      </c>
      <c r="H4480" s="21" t="n">
        <v>49</v>
      </c>
      <c r="I4480" s="21" t="n">
        <v>1298.55</v>
      </c>
      <c r="J4480" s="21" t="n">
        <v>3895.65</v>
      </c>
      <c r="K4480" s="21" t="n">
        <v>4544.93</v>
      </c>
      <c r="L4480" s="21" t="n">
        <v>5194.2</v>
      </c>
      <c r="M4480" s="21" t="n">
        <v>5200</v>
      </c>
    </row>
    <row r="4481">
      <c r="A4481" s="9" t="inlineStr">
        <is>
          <t>CYNTHIA</t>
        </is>
      </c>
      <c r="B4481" s="9" t="inlineStr">
        <is>
          <t>CYNTHIA 31/05/2026</t>
        </is>
      </c>
      <c r="C4481" s="9" t="inlineStr">
        <is>
          <t>2026-05-31</t>
        </is>
      </c>
      <c r="D4481" s="9" t="inlineStr">
        <is>
          <t>81712809885196</t>
        </is>
      </c>
      <c r="E4481" s="9" t="inlineStr">
        <is>
          <t>BOLSO C CLAUDE SILVER BLACK</t>
        </is>
      </c>
      <c r="F4481" s="9" t="inlineStr">
        <is>
          <t>20.5cm de largo x 11.5cm de alto x 3.5cm de ancho</t>
        </is>
      </c>
      <c r="G4481" s="9" t="n">
        <v>3</v>
      </c>
      <c r="H4481" s="21" t="n">
        <v>48</v>
      </c>
      <c r="I4481" s="21" t="n">
        <v>1272.05</v>
      </c>
      <c r="J4481" s="21" t="n">
        <v>3816.15</v>
      </c>
      <c r="K4481" s="21" t="n">
        <v>4452.18</v>
      </c>
      <c r="L4481" s="21" t="n">
        <v>5088.2</v>
      </c>
      <c r="M4481" s="21" t="n">
        <v>5095</v>
      </c>
    </row>
    <row r="4482">
      <c r="A4482" s="9" t="inlineStr">
        <is>
          <t>CYNTHIA</t>
        </is>
      </c>
      <c r="B4482" s="9" t="inlineStr">
        <is>
          <t>CYNTHIA 31/05/2026</t>
        </is>
      </c>
      <c r="C4482" s="9" t="inlineStr">
        <is>
          <t>2026-05-31</t>
        </is>
      </c>
      <c r="D4482" s="9" t="inlineStr">
        <is>
          <t>DANAHE, CELESTE</t>
        </is>
      </c>
      <c r="E4482" s="9" t="inlineStr">
        <is>
          <t>BOLSO C CLAUDE SILVER BLACK</t>
        </is>
      </c>
      <c r="F4482" s="9" t="inlineStr">
        <is>
          <t>DANAHE, CELESTE</t>
        </is>
      </c>
      <c r="G4482" s="9" t="n">
        <v>2</v>
      </c>
      <c r="H4482" s="21" t="n">
        <v>48</v>
      </c>
      <c r="I4482" s="21" t="n">
        <v>1272.05</v>
      </c>
      <c r="J4482" s="21" t="n"/>
      <c r="K4482" s="21" t="n"/>
      <c r="L4482" s="21" t="n"/>
      <c r="M4482" s="21" t="n"/>
    </row>
    <row r="4483">
      <c r="A4483" s="9" t="inlineStr">
        <is>
          <t>CYNTHIA</t>
        </is>
      </c>
      <c r="B4483" s="9" t="inlineStr">
        <is>
          <t>CYNTHIA 31/05/2026</t>
        </is>
      </c>
      <c r="C4483" s="9" t="inlineStr">
        <is>
          <t>2026-05-31</t>
        </is>
      </c>
      <c r="D4483" s="9" t="inlineStr">
        <is>
          <t>14401521612909</t>
        </is>
      </c>
      <c r="E4483" s="9" t="inlineStr">
        <is>
          <t>BOLSO C PANIER HOBO</t>
        </is>
      </c>
      <c r="F4483" s="9" t="inlineStr">
        <is>
          <t>Default Title</t>
        </is>
      </c>
      <c r="G4483" s="9" t="n">
        <v>3</v>
      </c>
      <c r="H4483" s="21" t="n">
        <v>42</v>
      </c>
      <c r="I4483" s="21" t="n">
        <v>1113.04</v>
      </c>
      <c r="J4483" s="21" t="n">
        <v>3339.13</v>
      </c>
      <c r="K4483" s="21" t="n">
        <v>3895.65</v>
      </c>
      <c r="L4483" s="21" t="n">
        <v>4452.18</v>
      </c>
      <c r="M4483" s="21" t="n">
        <v>4459</v>
      </c>
    </row>
    <row r="4484">
      <c r="A4484" s="9" t="inlineStr">
        <is>
          <t>CYNTHIA</t>
        </is>
      </c>
      <c r="B4484" s="9" t="inlineStr">
        <is>
          <t>CYNTHIA 31/05/2026</t>
        </is>
      </c>
      <c r="C4484" s="9" t="inlineStr">
        <is>
          <t>2026-05-31</t>
        </is>
      </c>
      <c r="D4484" s="9" t="inlineStr">
        <is>
          <t>71092951532237</t>
        </is>
      </c>
      <c r="E4484" s="9" t="inlineStr">
        <is>
          <t>BOLSO C TRIOMPHE TEEN</t>
        </is>
      </c>
      <c r="F4484" s="9" t="inlineStr">
        <is>
          <t>Default Title</t>
        </is>
      </c>
      <c r="G4484" s="9" t="n">
        <v>5</v>
      </c>
      <c r="H4484" s="21" t="n">
        <v>59</v>
      </c>
      <c r="I4484" s="21" t="n">
        <v>1563.56</v>
      </c>
      <c r="J4484" s="21" t="n">
        <v>4690.68</v>
      </c>
      <c r="K4484" s="21" t="n">
        <v>5472.47</v>
      </c>
      <c r="L4484" s="21" t="n">
        <v>6254.25</v>
      </c>
      <c r="M4484" s="21" t="n">
        <v>6259</v>
      </c>
    </row>
    <row r="4485">
      <c r="A4485" s="9" t="inlineStr">
        <is>
          <t>CYNTHIA</t>
        </is>
      </c>
      <c r="B4485" s="9" t="inlineStr">
        <is>
          <t>CYNTHIA 31/05/2026</t>
        </is>
      </c>
      <c r="C4485" s="9" t="inlineStr">
        <is>
          <t>2026-05-31</t>
        </is>
      </c>
      <c r="D4485" s="9" t="inlineStr">
        <is>
          <t>654bdc4810167</t>
        </is>
      </c>
      <c r="E4485" s="9" t="inlineStr">
        <is>
          <t>BOLSO CC BLACK SILVER</t>
        </is>
      </c>
      <c r="F4485" s="9" t="inlineStr">
        <is>
          <t>16cm de alto x 25cm de largo x 7cm de ancho</t>
        </is>
      </c>
      <c r="G4485" s="9" t="n">
        <v>1</v>
      </c>
      <c r="H4485" s="21" t="n">
        <v>54</v>
      </c>
      <c r="I4485" s="21" t="n">
        <v>1431.06</v>
      </c>
      <c r="J4485" s="21" t="n">
        <v>4293.17</v>
      </c>
      <c r="K4485" s="21" t="n">
        <v>5008.7</v>
      </c>
      <c r="L4485" s="21" t="n">
        <v>5724.23</v>
      </c>
      <c r="M4485" s="21" t="n">
        <v>5730</v>
      </c>
    </row>
    <row r="4486">
      <c r="A4486" s="9" t="inlineStr">
        <is>
          <t>CYNTHIA</t>
        </is>
      </c>
      <c r="B4486" s="9" t="inlineStr">
        <is>
          <t>CYNTHIA 31/05/2026</t>
        </is>
      </c>
      <c r="C4486" s="9" t="inlineStr">
        <is>
          <t>2026-05-31</t>
        </is>
      </c>
      <c r="D4486" s="9" t="inlineStr">
        <is>
          <t>DANAHE</t>
        </is>
      </c>
      <c r="E4486" s="9" t="inlineStr">
        <is>
          <t>BOLSO CC BLACK SILVER</t>
        </is>
      </c>
      <c r="F4486" s="9" t="inlineStr">
        <is>
          <t>DANAHE</t>
        </is>
      </c>
      <c r="G4486" s="9" t="n">
        <v>1</v>
      </c>
      <c r="H4486" s="21" t="n">
        <v>54</v>
      </c>
      <c r="I4486" s="21" t="n">
        <v>1431.06</v>
      </c>
      <c r="J4486" s="21" t="n"/>
      <c r="K4486" s="21" t="n"/>
      <c r="L4486" s="21" t="n"/>
      <c r="M4486" s="21" t="n"/>
    </row>
    <row r="4487">
      <c r="A4487" s="9" t="inlineStr">
        <is>
          <t>CYNTHIA</t>
        </is>
      </c>
      <c r="B4487" s="9" t="inlineStr">
        <is>
          <t>CYNTHIA 31/05/2026</t>
        </is>
      </c>
      <c r="C4487" s="9" t="inlineStr">
        <is>
          <t>2026-05-31</t>
        </is>
      </c>
      <c r="D4487" s="9" t="inlineStr">
        <is>
          <t>98269351344877</t>
        </is>
      </c>
      <c r="E4487" s="9" t="inlineStr">
        <is>
          <t>BOLSO CC MINI KELLY BURDEOS</t>
        </is>
      </c>
      <c r="F4487" s="9" t="inlineStr">
        <is>
          <t>Default Title</t>
        </is>
      </c>
      <c r="G4487" s="9" t="n">
        <v>1</v>
      </c>
      <c r="H4487" s="21" t="n">
        <v>53</v>
      </c>
      <c r="I4487" s="21" t="n">
        <v>1404.56</v>
      </c>
      <c r="J4487" s="21" t="n">
        <v>4213.67</v>
      </c>
      <c r="K4487" s="21" t="n">
        <v>4915.94</v>
      </c>
      <c r="L4487" s="21" t="n">
        <v>5618.22</v>
      </c>
      <c r="M4487" s="21" t="n">
        <v>5629</v>
      </c>
    </row>
    <row r="4488">
      <c r="A4488" s="9" t="inlineStr">
        <is>
          <t>CYNTHIA</t>
        </is>
      </c>
      <c r="B4488" s="9" t="inlineStr">
        <is>
          <t>CYNTHIA 31/05/2026</t>
        </is>
      </c>
      <c r="C4488" s="9" t="inlineStr">
        <is>
          <t>2026-05-31</t>
        </is>
      </c>
      <c r="D4488" s="9" t="inlineStr">
        <is>
          <t>24072851084557</t>
        </is>
      </c>
      <c r="E4488" s="9" t="inlineStr">
        <is>
          <t>BOLSO CC MINI KELLY WHITE</t>
        </is>
      </c>
      <c r="F4488" s="9" t="inlineStr">
        <is>
          <t>Default Title</t>
        </is>
      </c>
      <c r="G4488" s="9" t="n">
        <v>3</v>
      </c>
      <c r="H4488" s="21" t="n">
        <v>53</v>
      </c>
      <c r="I4488" s="21" t="n">
        <v>1404.56</v>
      </c>
      <c r="J4488" s="21" t="n">
        <v>4213.67</v>
      </c>
      <c r="K4488" s="21" t="n">
        <v>4915.94</v>
      </c>
      <c r="L4488" s="21" t="n">
        <v>5618.22</v>
      </c>
      <c r="M4488" s="21" t="n">
        <v>5629</v>
      </c>
    </row>
    <row r="4489">
      <c r="A4489" s="9" t="inlineStr">
        <is>
          <t>CYNTHIA</t>
        </is>
      </c>
      <c r="B4489" s="9" t="inlineStr">
        <is>
          <t>CYNTHIA 31/05/2026</t>
        </is>
      </c>
      <c r="C4489" s="9" t="inlineStr">
        <is>
          <t>2026-05-31</t>
        </is>
      </c>
      <c r="D4489" s="9" t="inlineStr">
        <is>
          <t>14401523449613</t>
        </is>
      </c>
      <c r="E4489" s="9" t="inlineStr">
        <is>
          <t>BOLSO CD CON CREMALLERA</t>
        </is>
      </c>
      <c r="F4489" s="9" t="inlineStr">
        <is>
          <t>Default Title</t>
        </is>
      </c>
      <c r="G4489" s="9" t="n">
        <v>3</v>
      </c>
      <c r="H4489" s="21" t="n">
        <v>48</v>
      </c>
      <c r="I4489" s="21" t="n">
        <v>1272.05</v>
      </c>
      <c r="J4489" s="21" t="n">
        <v>3816.15</v>
      </c>
      <c r="K4489" s="21" t="n">
        <v>4452.18</v>
      </c>
      <c r="L4489" s="21" t="n">
        <v>5088.2</v>
      </c>
      <c r="M4489" s="21" t="n">
        <v>5095</v>
      </c>
    </row>
    <row r="4490">
      <c r="A4490" s="9" t="inlineStr">
        <is>
          <t>CYNTHIA</t>
        </is>
      </c>
      <c r="B4490" s="9" t="inlineStr">
        <is>
          <t>CYNTHIA 31/05/2026</t>
        </is>
      </c>
      <c r="C4490" s="9" t="inlineStr">
        <is>
          <t>2026-05-31</t>
        </is>
      </c>
      <c r="D4490" s="9" t="inlineStr">
        <is>
          <t>98043701458157</t>
        </is>
      </c>
      <c r="E4490" s="9" t="inlineStr">
        <is>
          <t>BOLSO CD HOBO DIORSTAR</t>
        </is>
      </c>
      <c r="F4490" s="9" t="inlineStr">
        <is>
          <t>Default Title</t>
        </is>
      </c>
      <c r="G4490" s="9" t="n">
        <v>3</v>
      </c>
      <c r="H4490" s="21" t="n">
        <v>67</v>
      </c>
      <c r="I4490" s="21" t="n">
        <v>1775.57</v>
      </c>
      <c r="J4490" s="21" t="n">
        <v>5326.71</v>
      </c>
      <c r="K4490" s="21" t="n">
        <v>6214.5</v>
      </c>
      <c r="L4490" s="21" t="n">
        <v>7102.28</v>
      </c>
      <c r="M4490" s="21" t="n">
        <v>6500</v>
      </c>
    </row>
    <row r="4491">
      <c r="A4491" s="9" t="inlineStr">
        <is>
          <t>CYNTHIA</t>
        </is>
      </c>
      <c r="B4491" s="9" t="inlineStr">
        <is>
          <t>CYNTHIA 31/05/2026</t>
        </is>
      </c>
      <c r="C4491" s="9" t="inlineStr">
        <is>
          <t>2026-05-31</t>
        </is>
      </c>
      <c r="D4491" s="9" t="inlineStr">
        <is>
          <t>654bdc4220c7b</t>
        </is>
      </c>
      <c r="E4491" s="9" t="inlineStr">
        <is>
          <t>BOLSO DE VIAJE BLACK PÉGASE LV</t>
        </is>
      </c>
      <c r="F4491" s="9" t="inlineStr">
        <is>
          <t>54cm de largo x 37cm de alto x 26cm de ancho</t>
        </is>
      </c>
      <c r="G4491" s="9" t="n">
        <v>2</v>
      </c>
      <c r="H4491" s="21" t="n">
        <v>54</v>
      </c>
      <c r="I4491" s="21" t="n">
        <v>1431.06</v>
      </c>
      <c r="J4491" s="21" t="n">
        <v>4293.17</v>
      </c>
      <c r="K4491" s="21" t="n">
        <v>5008.7</v>
      </c>
      <c r="L4491" s="21" t="n">
        <v>5724.23</v>
      </c>
      <c r="M4491" s="21" t="n">
        <v>6000</v>
      </c>
    </row>
    <row r="4492">
      <c r="A4492" s="9" t="inlineStr">
        <is>
          <t>CYNTHIA</t>
        </is>
      </c>
      <c r="B4492" s="9" t="inlineStr">
        <is>
          <t>CYNTHIA 31/05/2026</t>
        </is>
      </c>
      <c r="C4492" s="9" t="inlineStr">
        <is>
          <t>2026-05-31</t>
        </is>
      </c>
      <c r="D4492" s="9" t="inlineStr">
        <is>
          <t>6701d26d1f472</t>
        </is>
      </c>
      <c r="E4492" s="9" t="inlineStr">
        <is>
          <t>BOLSO DE VIAJE G BLACK</t>
        </is>
      </c>
      <c r="F4492" s="9" t="inlineStr">
        <is>
          <t>49cm de largo x 28cm de alto x 22.5cm de ancho</t>
        </is>
      </c>
      <c r="G4492" s="9" t="n">
        <v>3</v>
      </c>
      <c r="H4492" s="21" t="n">
        <v>93</v>
      </c>
      <c r="I4492" s="21" t="n">
        <v>2464.6</v>
      </c>
      <c r="J4492" s="21" t="n">
        <v>7393.79</v>
      </c>
      <c r="K4492" s="21" t="n">
        <v>8626.09</v>
      </c>
      <c r="L4492" s="21" t="n">
        <v>9858.389999999999</v>
      </c>
      <c r="M4492" s="21" t="n">
        <v>9869</v>
      </c>
    </row>
    <row r="4493">
      <c r="A4493" s="9" t="inlineStr">
        <is>
          <t>CYNTHIA</t>
        </is>
      </c>
      <c r="B4493" s="9" t="inlineStr">
        <is>
          <t>CYNTHIA 31/05/2026</t>
        </is>
      </c>
      <c r="C4493" s="9" t="inlineStr">
        <is>
          <t>2026-05-31</t>
        </is>
      </c>
      <c r="D4493" s="9" t="inlineStr">
        <is>
          <t>11915828032299</t>
        </is>
      </c>
      <c r="E4493" s="9" t="inlineStr">
        <is>
          <t>BOLSO DE VIAJE G BOWLING 55 GREEN</t>
        </is>
      </c>
      <c r="F4493" s="9" t="inlineStr">
        <is>
          <t>Default Title</t>
        </is>
      </c>
      <c r="G4493" s="9" t="n">
        <v>2</v>
      </c>
      <c r="H4493" s="21" t="n">
        <v>75</v>
      </c>
      <c r="I4493" s="21" t="n">
        <v>1987.58</v>
      </c>
      <c r="J4493" s="21" t="n">
        <v>5962.74</v>
      </c>
      <c r="K4493" s="21" t="n">
        <v>6956.52</v>
      </c>
      <c r="L4493" s="21" t="n">
        <v>7950.31</v>
      </c>
      <c r="M4493" s="21" t="n">
        <v>7999</v>
      </c>
    </row>
    <row r="4494">
      <c r="A4494" s="9" t="inlineStr">
        <is>
          <t>CYNTHIA</t>
        </is>
      </c>
      <c r="B4494" s="9" t="inlineStr">
        <is>
          <t>CYNTHIA 31/05/2026</t>
        </is>
      </c>
      <c r="C4494" s="9" t="inlineStr">
        <is>
          <t>2026-05-31</t>
        </is>
      </c>
      <c r="D4494" s="9" t="inlineStr">
        <is>
          <t>6701d26ca0522</t>
        </is>
      </c>
      <c r="E4494" s="9" t="inlineStr">
        <is>
          <t>BOLSO DE VIAJE G GREEN</t>
        </is>
      </c>
      <c r="F4494" s="9" t="inlineStr">
        <is>
          <t>49cm de largo x 28cm de alto x 22.5cm de ancho</t>
        </is>
      </c>
      <c r="G4494" s="9" t="n">
        <v>2</v>
      </c>
      <c r="H4494" s="21" t="n">
        <v>93</v>
      </c>
      <c r="I4494" s="21" t="n">
        <v>2464.6</v>
      </c>
      <c r="J4494" s="21" t="n">
        <v>7393.79</v>
      </c>
      <c r="K4494" s="21" t="n">
        <v>8626.09</v>
      </c>
      <c r="L4494" s="21" t="n">
        <v>9858.389999999999</v>
      </c>
      <c r="M4494" s="21" t="n">
        <v>9869</v>
      </c>
    </row>
    <row r="4495">
      <c r="A4495" s="9" t="inlineStr">
        <is>
          <t>CYNTHIA</t>
        </is>
      </c>
      <c r="B4495" s="9" t="inlineStr">
        <is>
          <t>CYNTHIA 31/05/2026</t>
        </is>
      </c>
      <c r="C4495" s="9" t="inlineStr">
        <is>
          <t>2026-05-31</t>
        </is>
      </c>
      <c r="D4495" s="9" t="inlineStr">
        <is>
          <t>43026605146252</t>
        </is>
      </c>
      <c r="E4495" s="9" t="inlineStr">
        <is>
          <t>BOLSO G BLACK</t>
        </is>
      </c>
      <c r="F4495" s="9" t="inlineStr">
        <is>
          <t>Default Title</t>
        </is>
      </c>
      <c r="G4495" s="9" t="n">
        <v>7</v>
      </c>
      <c r="H4495" s="21" t="n">
        <v>49</v>
      </c>
      <c r="I4495" s="21" t="n">
        <v>1298.55</v>
      </c>
      <c r="J4495" s="21" t="n">
        <v>3895.65</v>
      </c>
      <c r="K4495" s="21" t="n">
        <v>4544.93</v>
      </c>
      <c r="L4495" s="21" t="n">
        <v>5194.2</v>
      </c>
      <c r="M4495" s="21" t="n">
        <v>5200</v>
      </c>
    </row>
    <row r="4496">
      <c r="A4496" s="9" t="inlineStr">
        <is>
          <t>CYNTHIA</t>
        </is>
      </c>
      <c r="B4496" s="9" t="inlineStr">
        <is>
          <t>CYNTHIA 31/05/2026</t>
        </is>
      </c>
      <c r="C4496" s="9" t="inlineStr">
        <is>
          <t>2026-05-31</t>
        </is>
      </c>
      <c r="D4496" s="9" t="inlineStr">
        <is>
          <t>6701d2610aff8</t>
        </is>
      </c>
      <c r="E4496" s="9" t="inlineStr">
        <is>
          <t>BOLSO G BROWN</t>
        </is>
      </c>
      <c r="F4496" s="9" t="inlineStr">
        <is>
          <t>54cm de largo x 29.8cm de alto</t>
        </is>
      </c>
      <c r="G4496" s="9" t="n">
        <v>5</v>
      </c>
      <c r="H4496" s="21" t="n">
        <v>49</v>
      </c>
      <c r="I4496" s="21" t="n">
        <v>1298.55</v>
      </c>
      <c r="J4496" s="21" t="n">
        <v>3895.65</v>
      </c>
      <c r="K4496" s="21" t="n">
        <v>4544.93</v>
      </c>
      <c r="L4496" s="21" t="n">
        <v>5194.2</v>
      </c>
      <c r="M4496" s="21" t="n">
        <v>5200</v>
      </c>
    </row>
    <row r="4497">
      <c r="A4497" s="9" t="inlineStr">
        <is>
          <t>CYNTHIA</t>
        </is>
      </c>
      <c r="B4497" s="9" t="inlineStr">
        <is>
          <t>CYNTHIA 31/05/2026</t>
        </is>
      </c>
      <c r="C4497" s="9" t="inlineStr">
        <is>
          <t>2026-05-31</t>
        </is>
      </c>
      <c r="D4497" s="9" t="inlineStr">
        <is>
          <t>98269341208877</t>
        </is>
      </c>
      <c r="E4497" s="9" t="inlineStr">
        <is>
          <t>BOLSO GC APHRODITE BROWN</t>
        </is>
      </c>
      <c r="F4497" s="9" t="inlineStr">
        <is>
          <t>Default Title</t>
        </is>
      </c>
      <c r="G4497" s="9" t="n">
        <v>3</v>
      </c>
      <c r="H4497" s="21" t="n">
        <v>69</v>
      </c>
      <c r="I4497" s="21" t="n">
        <v>1828.57</v>
      </c>
      <c r="J4497" s="21" t="n">
        <v>5485.72</v>
      </c>
      <c r="K4497" s="21" t="n">
        <v>6400</v>
      </c>
      <c r="L4497" s="21" t="n">
        <v>7314.29</v>
      </c>
      <c r="M4497" s="21" t="n">
        <v>6500</v>
      </c>
    </row>
    <row r="4498">
      <c r="A4498" s="9" t="inlineStr">
        <is>
          <t>CYNTHIA</t>
        </is>
      </c>
      <c r="B4498" s="9" t="inlineStr">
        <is>
          <t>CYNTHIA 31/05/2026</t>
        </is>
      </c>
      <c r="C4498" s="9" t="inlineStr">
        <is>
          <t>2026-05-31</t>
        </is>
      </c>
      <c r="D4498" s="9" t="inlineStr">
        <is>
          <t>71092951414253</t>
        </is>
      </c>
      <c r="E4498" s="9" t="inlineStr">
        <is>
          <t>BOLSO GC MARMONT ALL WHITE</t>
        </is>
      </c>
      <c r="F4498" s="9" t="inlineStr">
        <is>
          <t>Default Title</t>
        </is>
      </c>
      <c r="G4498" s="9" t="n">
        <v>5</v>
      </c>
      <c r="H4498" s="21" t="n">
        <v>52</v>
      </c>
      <c r="I4498" s="21" t="n">
        <v>1378.05</v>
      </c>
      <c r="J4498" s="21" t="n">
        <v>4134.16</v>
      </c>
      <c r="K4498" s="21" t="n">
        <v>4823.19</v>
      </c>
      <c r="L4498" s="21" t="n">
        <v>5512.22</v>
      </c>
      <c r="M4498" s="21" t="n">
        <v>5515</v>
      </c>
    </row>
    <row r="4499">
      <c r="A4499" s="9" t="inlineStr">
        <is>
          <t>CYNTHIA</t>
        </is>
      </c>
      <c r="B4499" s="9" t="inlineStr">
        <is>
          <t>CYNTHIA 31/05/2026</t>
        </is>
      </c>
      <c r="C4499" s="9" t="inlineStr">
        <is>
          <t>2026-05-31</t>
        </is>
      </c>
      <c r="D4499" s="9" t="inlineStr">
        <is>
          <t>6701d26e04890</t>
        </is>
      </c>
      <c r="E4499" s="9" t="inlineStr">
        <is>
          <t>BOLSO H BIRKIN 30 GRIS TOURTERELLE</t>
        </is>
      </c>
      <c r="F4499" s="9" t="inlineStr">
        <is>
          <t>20.5cm de alto x 25cm de largo x 13cm ancho</t>
        </is>
      </c>
      <c r="G4499" s="9" t="n">
        <v>2</v>
      </c>
      <c r="H4499" s="21" t="n">
        <v>65</v>
      </c>
      <c r="I4499" s="21" t="n">
        <v>1722.57</v>
      </c>
      <c r="J4499" s="21" t="n">
        <v>5167.7</v>
      </c>
      <c r="K4499" s="21" t="n">
        <v>6028.99</v>
      </c>
      <c r="L4499" s="21" t="n">
        <v>6890.27</v>
      </c>
      <c r="M4499" s="21" t="n">
        <v>6035</v>
      </c>
    </row>
    <row r="4500">
      <c r="A4500" s="9" t="inlineStr">
        <is>
          <t>CYNTHIA</t>
        </is>
      </c>
      <c r="B4500" s="9" t="inlineStr">
        <is>
          <t>CYNTHIA 31/05/2026</t>
        </is>
      </c>
      <c r="C4500" s="9" t="inlineStr">
        <is>
          <t>2026-05-31</t>
        </is>
      </c>
      <c r="D4500" s="9" t="inlineStr">
        <is>
          <t>17872087535244</t>
        </is>
      </c>
      <c r="E4500" s="9" t="inlineStr">
        <is>
          <t>BOLSO LW ANAGRAM</t>
        </is>
      </c>
      <c r="F4500" s="9" t="inlineStr">
        <is>
          <t>50cm x 26cm x 15cm</t>
        </is>
      </c>
      <c r="G4500" s="9" t="n">
        <v>1</v>
      </c>
      <c r="H4500" s="21" t="n">
        <v>0</v>
      </c>
      <c r="I4500" s="21" t="n">
        <v>0</v>
      </c>
      <c r="J4500" s="21" t="n"/>
      <c r="K4500" s="21" t="n"/>
      <c r="L4500" s="21" t="n"/>
      <c r="M4500" s="21" t="n">
        <v>3780</v>
      </c>
    </row>
    <row r="4501">
      <c r="A4501" s="9" t="inlineStr">
        <is>
          <t>CYNTHIA</t>
        </is>
      </c>
      <c r="B4501" s="9" t="inlineStr">
        <is>
          <t>CYNTHIA 31/05/2026</t>
        </is>
      </c>
      <c r="C4501" s="9" t="inlineStr">
        <is>
          <t>2026-05-31</t>
        </is>
      </c>
      <c r="D4501" s="9" t="inlineStr">
        <is>
          <t>677c26b31023a</t>
        </is>
      </c>
      <c r="E4501" s="9" t="inlineStr">
        <is>
          <t>BOLSO LW GREEN</t>
        </is>
      </c>
      <c r="F4501" s="9" t="inlineStr">
        <is>
          <t>28cmx20cm</t>
        </is>
      </c>
      <c r="G4501" s="9" t="n">
        <v>3</v>
      </c>
      <c r="H4501" s="21" t="n">
        <v>76</v>
      </c>
      <c r="I4501" s="21" t="n">
        <v>2014.08</v>
      </c>
      <c r="J4501" s="21" t="n">
        <v>6042.24</v>
      </c>
      <c r="K4501" s="21" t="n">
        <v>7049.28</v>
      </c>
      <c r="L4501" s="21" t="n">
        <v>8056.32</v>
      </c>
      <c r="M4501" s="21" t="n">
        <v>8099</v>
      </c>
    </row>
    <row r="4502">
      <c r="A4502" s="9" t="inlineStr">
        <is>
          <t>CYNTHIA</t>
        </is>
      </c>
      <c r="B4502" s="9" t="inlineStr">
        <is>
          <t>CYNTHIA 31/05/2026</t>
        </is>
      </c>
      <c r="C4502" s="9" t="inlineStr">
        <is>
          <t>2026-05-31</t>
        </is>
      </c>
      <c r="D4502" s="9" t="inlineStr">
        <is>
          <t>35127151093997</t>
        </is>
      </c>
      <c r="E4502" s="9" t="inlineStr">
        <is>
          <t>BOLSO PR HANDBAG BROWN</t>
        </is>
      </c>
      <c r="F4502" s="9" t="inlineStr">
        <is>
          <t>MEDIUM</t>
        </is>
      </c>
      <c r="G4502" s="9" t="n">
        <v>3</v>
      </c>
      <c r="H4502" s="21" t="n">
        <v>48</v>
      </c>
      <c r="I4502" s="21" t="n">
        <v>1272.05</v>
      </c>
      <c r="J4502" s="21" t="n">
        <v>3816.15</v>
      </c>
      <c r="K4502" s="21" t="n">
        <v>4452.18</v>
      </c>
      <c r="L4502" s="21" t="n">
        <v>5088.2</v>
      </c>
      <c r="M4502" s="21" t="n">
        <v>4599</v>
      </c>
    </row>
    <row r="4503">
      <c r="A4503" s="9" t="inlineStr">
        <is>
          <t>CYNTHIA</t>
        </is>
      </c>
      <c r="B4503" s="9" t="inlineStr">
        <is>
          <t>CYNTHIA 31/05/2026</t>
        </is>
      </c>
      <c r="C4503" s="9" t="inlineStr">
        <is>
          <t>2026-05-31</t>
        </is>
      </c>
      <c r="D4503" s="9" t="inlineStr">
        <is>
          <t>34313011061229</t>
        </is>
      </c>
      <c r="E4503" s="9" t="inlineStr">
        <is>
          <t>BOLSO PR HANDBAG BROWN</t>
        </is>
      </c>
      <c r="F4503" s="9" t="inlineStr">
        <is>
          <t>BIG</t>
        </is>
      </c>
      <c r="G4503" s="9" t="n">
        <v>3</v>
      </c>
      <c r="H4503" s="21" t="n">
        <v>52</v>
      </c>
      <c r="I4503" s="21" t="n">
        <v>1378.05</v>
      </c>
      <c r="J4503" s="21" t="n">
        <v>4134.16</v>
      </c>
      <c r="K4503" s="21" t="n">
        <v>4823.19</v>
      </c>
      <c r="L4503" s="21" t="n">
        <v>5512.22</v>
      </c>
      <c r="M4503" s="21" t="n">
        <v>5099</v>
      </c>
    </row>
    <row r="4504">
      <c r="A4504" s="9" t="inlineStr">
        <is>
          <t>CYNTHIA</t>
        </is>
      </c>
      <c r="B4504" s="9" t="inlineStr">
        <is>
          <t>CYNTHIA 31/05/2026</t>
        </is>
      </c>
      <c r="C4504" s="9" t="inlineStr">
        <is>
          <t>2026-05-31</t>
        </is>
      </c>
      <c r="D4504" s="9" t="inlineStr">
        <is>
          <t>90820181028909</t>
        </is>
      </c>
      <c r="E4504" s="9" t="inlineStr">
        <is>
          <t>BOLSO SADDLE CD JACQUARD BLUE</t>
        </is>
      </c>
      <c r="F4504" s="9" t="inlineStr">
        <is>
          <t>24cm de largo x 15 cm de alto</t>
        </is>
      </c>
      <c r="G4504" s="9" t="n">
        <v>2</v>
      </c>
      <c r="H4504" s="21" t="n">
        <v>63</v>
      </c>
      <c r="I4504" s="21" t="n">
        <v>1669.57</v>
      </c>
      <c r="J4504" s="21" t="n">
        <v>5008.7</v>
      </c>
      <c r="K4504" s="21" t="n">
        <v>5843.48</v>
      </c>
      <c r="L4504" s="21" t="n">
        <v>6678.26</v>
      </c>
      <c r="M4504" s="21" t="n">
        <v>6690</v>
      </c>
    </row>
    <row r="4505">
      <c r="A4505" s="9" t="inlineStr">
        <is>
          <t>CYNTHIA</t>
        </is>
      </c>
      <c r="B4505" s="9" t="inlineStr">
        <is>
          <t>CYNTHIA 31/05/2026</t>
        </is>
      </c>
      <c r="C4505" s="9" t="inlineStr">
        <is>
          <t>2026-05-31</t>
        </is>
      </c>
      <c r="D4505" s="9" t="inlineStr">
        <is>
          <t>GISEL</t>
        </is>
      </c>
      <c r="E4505" s="9" t="inlineStr">
        <is>
          <t>BOLSO SADDLE CD JACQUARD BLUE</t>
        </is>
      </c>
      <c r="F4505" s="9" t="inlineStr">
        <is>
          <t>GISEL</t>
        </is>
      </c>
      <c r="G4505" s="9" t="n">
        <v>1</v>
      </c>
      <c r="H4505" s="21" t="n">
        <v>63</v>
      </c>
      <c r="I4505" s="21" t="n">
        <v>1669.57</v>
      </c>
      <c r="J4505" s="21" t="n"/>
      <c r="K4505" s="21" t="n"/>
      <c r="L4505" s="21" t="n"/>
      <c r="M4505" s="21" t="n"/>
    </row>
    <row r="4506">
      <c r="A4506" s="9" t="inlineStr">
        <is>
          <t>CYNTHIA</t>
        </is>
      </c>
      <c r="B4506" s="9" t="inlineStr">
        <is>
          <t>CYNTHIA 31/05/2026</t>
        </is>
      </c>
      <c r="C4506" s="9" t="inlineStr">
        <is>
          <t>2026-05-31</t>
        </is>
      </c>
      <c r="D4506" s="9" t="inlineStr">
        <is>
          <t>43728071530988</t>
        </is>
      </c>
      <c r="E4506" s="9" t="inlineStr">
        <is>
          <t>BOLSO YSL CHAROL BLACK</t>
        </is>
      </c>
      <c r="F4506" s="9" t="inlineStr">
        <is>
          <t>24cmx15cm</t>
        </is>
      </c>
      <c r="G4506" s="9" t="n">
        <v>1</v>
      </c>
      <c r="H4506" s="21" t="n">
        <v>55</v>
      </c>
      <c r="I4506" s="21" t="n">
        <v>1457.56</v>
      </c>
      <c r="J4506" s="21" t="n">
        <v>4372.67</v>
      </c>
      <c r="K4506" s="21" t="n">
        <v>5101.45</v>
      </c>
      <c r="L4506" s="21" t="n">
        <v>5830.23</v>
      </c>
      <c r="M4506" s="21" t="n">
        <v>5850</v>
      </c>
    </row>
    <row r="4507">
      <c r="A4507" s="9" t="inlineStr">
        <is>
          <t>CYNTHIA</t>
        </is>
      </c>
      <c r="B4507" s="9" t="inlineStr">
        <is>
          <t>CYNTHIA 31/05/2026</t>
        </is>
      </c>
      <c r="C4507" s="9" t="inlineStr">
        <is>
          <t>2026-05-31</t>
        </is>
      </c>
      <c r="D4507" s="9" t="inlineStr">
        <is>
          <t>43728135714860</t>
        </is>
      </c>
      <c r="E4507" s="9" t="inlineStr">
        <is>
          <t>BOLSO YSL CHAROL CROCODILE</t>
        </is>
      </c>
      <c r="F4507" s="9" t="inlineStr">
        <is>
          <t>20 cm de largo x 13 cm de alto x 6 de ancho</t>
        </is>
      </c>
      <c r="G4507" s="9" t="n">
        <v>6</v>
      </c>
      <c r="H4507" s="21" t="n">
        <v>41</v>
      </c>
      <c r="I4507" s="21" t="n">
        <v>1086.54</v>
      </c>
      <c r="J4507" s="21" t="n">
        <v>3259.63</v>
      </c>
      <c r="K4507" s="21" t="n">
        <v>3802.9</v>
      </c>
      <c r="L4507" s="21" t="n">
        <v>4346.17</v>
      </c>
      <c r="M4507" s="21" t="n">
        <v>4500</v>
      </c>
    </row>
    <row r="4508">
      <c r="A4508" s="9" t="inlineStr">
        <is>
          <t>CYNTHIA</t>
        </is>
      </c>
      <c r="B4508" s="9" t="inlineStr">
        <is>
          <t>CYNTHIA 31/05/2026</t>
        </is>
      </c>
      <c r="C4508" s="9" t="inlineStr">
        <is>
          <t>2026-05-31</t>
        </is>
      </c>
      <c r="D4508" s="9" t="inlineStr">
        <is>
          <t>67572c78e34a0</t>
        </is>
      </c>
      <c r="E4508" s="9" t="inlineStr">
        <is>
          <t>BOLSO YSL CHERRY CHAROL</t>
        </is>
      </c>
      <c r="F4508" s="9" t="inlineStr">
        <is>
          <t>24.3cm de largo x 15cm de alto x 6cm de ancho</t>
        </is>
      </c>
      <c r="G4508" s="9" t="n">
        <v>2</v>
      </c>
      <c r="H4508" s="21" t="n">
        <v>55</v>
      </c>
      <c r="I4508" s="21" t="n">
        <v>1457.56</v>
      </c>
      <c r="J4508" s="21" t="n">
        <v>4372.67</v>
      </c>
      <c r="K4508" s="21" t="n">
        <v>5101.45</v>
      </c>
      <c r="L4508" s="21" t="n">
        <v>5830.23</v>
      </c>
      <c r="M4508" s="21" t="n">
        <v>5850</v>
      </c>
    </row>
    <row r="4509">
      <c r="A4509" s="9" t="inlineStr">
        <is>
          <t>CYNTHIA</t>
        </is>
      </c>
      <c r="B4509" s="9" t="inlineStr">
        <is>
          <t>CYNTHIA 31/05/2026</t>
        </is>
      </c>
      <c r="C4509" s="9" t="inlineStr">
        <is>
          <t>2026-05-31</t>
        </is>
      </c>
      <c r="D4509" s="9" t="inlineStr">
        <is>
          <t>668eeefb6a924</t>
        </is>
      </c>
      <c r="E4509" s="9" t="inlineStr">
        <is>
          <t>BOLSO YSL KATE</t>
        </is>
      </c>
      <c r="F4509" s="9" t="inlineStr">
        <is>
          <t>27cm de largo x 18 cm de alto</t>
        </is>
      </c>
      <c r="G4509" s="9" t="n">
        <v>5</v>
      </c>
      <c r="H4509" s="21" t="n">
        <v>34</v>
      </c>
      <c r="I4509" s="21" t="n">
        <v>901.04</v>
      </c>
      <c r="J4509" s="21" t="n">
        <v>2703.11</v>
      </c>
      <c r="K4509" s="21" t="n">
        <v>3153.62</v>
      </c>
      <c r="L4509" s="21" t="n">
        <v>3604.14</v>
      </c>
      <c r="M4509" s="21" t="n">
        <v>3620</v>
      </c>
    </row>
    <row r="4510">
      <c r="A4510" s="9" t="inlineStr">
        <is>
          <t>CYNTHIA</t>
        </is>
      </c>
      <c r="B4510" s="9" t="inlineStr">
        <is>
          <t>CYNTHIA 31/05/2026</t>
        </is>
      </c>
      <c r="C4510" s="9" t="inlineStr">
        <is>
          <t>2026-05-31</t>
        </is>
      </c>
      <c r="D4510" s="9" t="inlineStr">
        <is>
          <t>35245867974284</t>
        </is>
      </c>
      <c r="E4510" s="9" t="inlineStr">
        <is>
          <t>BOLSO YSL SHOPER ICARE</t>
        </is>
      </c>
      <c r="F4510" s="9" t="inlineStr">
        <is>
          <t>42cm x 42cm</t>
        </is>
      </c>
      <c r="G4510" s="9" t="n">
        <v>3</v>
      </c>
      <c r="H4510" s="21" t="n">
        <v>55</v>
      </c>
      <c r="I4510" s="21" t="n">
        <v>1457.56</v>
      </c>
      <c r="J4510" s="21" t="n">
        <v>4372.67</v>
      </c>
      <c r="K4510" s="21" t="n">
        <v>5101.45</v>
      </c>
      <c r="L4510" s="21" t="n">
        <v>5830.23</v>
      </c>
      <c r="M4510" s="21" t="n">
        <v>5840</v>
      </c>
    </row>
    <row r="4511">
      <c r="A4511" s="9" t="inlineStr">
        <is>
          <t>CYNTHIA</t>
        </is>
      </c>
      <c r="B4511" s="9" t="inlineStr">
        <is>
          <t>CYNTHIA 31/05/2026</t>
        </is>
      </c>
      <c r="C4511" s="9" t="inlineStr">
        <is>
          <t>2026-05-31</t>
        </is>
      </c>
      <c r="D4511" s="9" t="inlineStr">
        <is>
          <t>35245867974284</t>
        </is>
      </c>
      <c r="E4511" s="9" t="inlineStr">
        <is>
          <t>BOLSO YSL SHOPER ICARE</t>
        </is>
      </c>
      <c r="F4511" s="9" t="inlineStr">
        <is>
          <t>42cm x 42cm</t>
        </is>
      </c>
      <c r="G4511" s="9" t="n">
        <v>2</v>
      </c>
      <c r="H4511" s="21" t="n">
        <v>55</v>
      </c>
      <c r="I4511" s="21" t="n">
        <v>1457.56</v>
      </c>
      <c r="J4511" s="21" t="n">
        <v>4372.67</v>
      </c>
      <c r="K4511" s="21" t="n">
        <v>5101.45</v>
      </c>
      <c r="L4511" s="21" t="n">
        <v>5830.23</v>
      </c>
      <c r="M4511" s="21" t="n">
        <v>5840</v>
      </c>
    </row>
    <row r="4512">
      <c r="A4512" s="9" t="inlineStr">
        <is>
          <t>CYNTHIA</t>
        </is>
      </c>
      <c r="B4512" s="9" t="inlineStr">
        <is>
          <t>CYNTHIA 31/05/2026</t>
        </is>
      </c>
      <c r="C4512" s="9" t="inlineStr">
        <is>
          <t>2026-05-31</t>
        </is>
      </c>
      <c r="D4512" s="9" t="inlineStr">
        <is>
          <t>24469411540045</t>
        </is>
      </c>
      <c r="E4512" s="9" t="inlineStr">
        <is>
          <t>BOLSO ZV BLACK</t>
        </is>
      </c>
      <c r="F4512" s="9" t="inlineStr">
        <is>
          <t>Default Title</t>
        </is>
      </c>
      <c r="G4512" s="9" t="n">
        <v>3</v>
      </c>
      <c r="H4512" s="21" t="n">
        <v>30</v>
      </c>
      <c r="I4512" s="21" t="n">
        <v>795.03</v>
      </c>
      <c r="J4512" s="21" t="n">
        <v>2385.09</v>
      </c>
      <c r="K4512" s="21" t="n">
        <v>2782.61</v>
      </c>
      <c r="L4512" s="21" t="n">
        <v>3180.13</v>
      </c>
      <c r="M4512" s="21" t="n">
        <v>3200</v>
      </c>
    </row>
    <row r="4513">
      <c r="A4513" s="9" t="inlineStr">
        <is>
          <t>CYNTHIA</t>
        </is>
      </c>
      <c r="B4513" s="9" t="inlineStr">
        <is>
          <t>CYNTHIA 31/05/2026</t>
        </is>
      </c>
      <c r="C4513" s="9" t="inlineStr">
        <is>
          <t>2026-05-31</t>
        </is>
      </c>
      <c r="D4513" s="9" t="inlineStr">
        <is>
          <t>66f1ed264fc77</t>
        </is>
      </c>
      <c r="E4513" s="9" t="inlineStr">
        <is>
          <t>CARTERA G VICTORIE GREEN</t>
        </is>
      </c>
      <c r="F4513" s="9" t="inlineStr">
        <is>
          <t>12cm de largo x 9.5cm de alto</t>
        </is>
      </c>
      <c r="G4513" s="9" t="n">
        <v>1</v>
      </c>
      <c r="H4513" s="21" t="n">
        <v>20</v>
      </c>
      <c r="I4513" s="21" t="n">
        <v>530.02</v>
      </c>
      <c r="J4513" s="21" t="n">
        <v>1590.06</v>
      </c>
      <c r="K4513" s="21" t="n">
        <v>1855.07</v>
      </c>
      <c r="L4513" s="21" t="n">
        <v>2120.08</v>
      </c>
      <c r="M4513" s="21" t="n">
        <v>2199</v>
      </c>
    </row>
    <row r="4514">
      <c r="A4514" s="9" t="inlineStr">
        <is>
          <t>CYNTHIA</t>
        </is>
      </c>
      <c r="B4514" s="9" t="inlineStr">
        <is>
          <t>CYNTHIA 31/05/2026</t>
        </is>
      </c>
      <c r="C4514" s="9" t="inlineStr">
        <is>
          <t>2026-05-31</t>
        </is>
      </c>
      <c r="D4514" s="9" t="inlineStr">
        <is>
          <t>14401522366573</t>
        </is>
      </c>
      <c r="E4514" s="9" t="inlineStr">
        <is>
          <t>CARTERA GC ZIP MARMONT BLACK</t>
        </is>
      </c>
      <c r="F4514" s="9" t="inlineStr">
        <is>
          <t>Default Title</t>
        </is>
      </c>
      <c r="G4514" s="9" t="n">
        <v>1</v>
      </c>
      <c r="H4514" s="21" t="n">
        <v>29</v>
      </c>
      <c r="I4514" s="21" t="n">
        <v>768.53</v>
      </c>
      <c r="J4514" s="21" t="n">
        <v>2305.59</v>
      </c>
      <c r="K4514" s="21" t="n">
        <v>2689.86</v>
      </c>
      <c r="L4514" s="21" t="n">
        <v>3074.12</v>
      </c>
      <c r="M4514" s="21" t="n">
        <v>3099</v>
      </c>
    </row>
    <row r="4515">
      <c r="A4515" s="9" t="inlineStr">
        <is>
          <t>CYNTHIA</t>
        </is>
      </c>
      <c r="B4515" s="9" t="inlineStr">
        <is>
          <t>CYNTHIA 31/05/2026</t>
        </is>
      </c>
      <c r="C4515" s="9" t="inlineStr">
        <is>
          <t>2026-05-31</t>
        </is>
      </c>
      <c r="D4515" s="9" t="inlineStr">
        <is>
          <t>14401521186925</t>
        </is>
      </c>
      <c r="E4515" s="9" t="inlineStr">
        <is>
          <t>CARTERA LV STREAMER MOCASIN</t>
        </is>
      </c>
      <c r="F4515" s="9" t="inlineStr">
        <is>
          <t>Default Title</t>
        </is>
      </c>
      <c r="G4515" s="9" t="n">
        <v>3</v>
      </c>
      <c r="H4515" s="21" t="n">
        <v>39</v>
      </c>
      <c r="I4515" s="21" t="n">
        <v>1033.54</v>
      </c>
      <c r="J4515" s="21" t="n">
        <v>3100.62</v>
      </c>
      <c r="K4515" s="21" t="n">
        <v>3617.39</v>
      </c>
      <c r="L4515" s="21" t="n">
        <v>4134.16</v>
      </c>
      <c r="M4515" s="21" t="n">
        <v>3699</v>
      </c>
    </row>
    <row r="4516">
      <c r="A4516" s="9" t="inlineStr">
        <is>
          <t>CYNTHIA</t>
        </is>
      </c>
      <c r="B4516" s="9" t="inlineStr">
        <is>
          <t>CYNTHIA 31/05/2026</t>
        </is>
      </c>
      <c r="C4516" s="9" t="inlineStr">
        <is>
          <t>2026-05-31</t>
        </is>
      </c>
      <c r="D4516" s="9" t="inlineStr">
        <is>
          <t>41353991048077</t>
        </is>
      </c>
      <c r="E4516" s="9" t="inlineStr">
        <is>
          <t>CINTO C TRIOMPHE BLACK</t>
        </is>
      </c>
      <c r="F4516" s="9" t="inlineStr">
        <is>
          <t>Default Title</t>
        </is>
      </c>
      <c r="G4516" s="9" t="n">
        <v>20</v>
      </c>
      <c r="H4516" s="21" t="n">
        <v>8</v>
      </c>
      <c r="I4516" s="21" t="n">
        <v>212.01</v>
      </c>
      <c r="J4516" s="21" t="n">
        <v>636.03</v>
      </c>
      <c r="K4516" s="21" t="n">
        <v>742.03</v>
      </c>
      <c r="L4516" s="21" t="n">
        <v>848.03</v>
      </c>
      <c r="M4516" s="21" t="n">
        <v>999</v>
      </c>
    </row>
    <row r="4517">
      <c r="A4517" s="9" t="inlineStr">
        <is>
          <t>CYNTHIA</t>
        </is>
      </c>
      <c r="B4517" s="9" t="inlineStr">
        <is>
          <t>CYNTHIA 31/05/2026</t>
        </is>
      </c>
      <c r="C4517" s="9" t="inlineStr">
        <is>
          <t>2026-05-31</t>
        </is>
      </c>
      <c r="D4517" s="9" t="inlineStr">
        <is>
          <t>98269341086957</t>
        </is>
      </c>
      <c r="E4517" s="9" t="inlineStr">
        <is>
          <t>CINTO C TRIOMPHE BROWN</t>
        </is>
      </c>
      <c r="F4517" s="9" t="inlineStr">
        <is>
          <t>Default Title</t>
        </is>
      </c>
      <c r="G4517" s="9" t="n">
        <v>5</v>
      </c>
      <c r="H4517" s="21" t="n">
        <v>8</v>
      </c>
      <c r="I4517" s="21" t="n">
        <v>212.01</v>
      </c>
      <c r="J4517" s="21" t="n">
        <v>636.03</v>
      </c>
      <c r="K4517" s="21" t="n">
        <v>742.03</v>
      </c>
      <c r="L4517" s="21" t="n">
        <v>848.03</v>
      </c>
      <c r="M4517" s="21" t="n">
        <v>999</v>
      </c>
    </row>
    <row r="4518">
      <c r="A4518" s="9" t="inlineStr">
        <is>
          <t>CYNTHIA</t>
        </is>
      </c>
      <c r="B4518" s="9" t="inlineStr">
        <is>
          <t>CYNTHIA 31/05/2026</t>
        </is>
      </c>
      <c r="C4518" s="9" t="inlineStr">
        <is>
          <t>2026-05-31</t>
        </is>
      </c>
      <c r="D4518" s="9" t="inlineStr">
        <is>
          <t>98269341086957</t>
        </is>
      </c>
      <c r="E4518" s="9" t="inlineStr">
        <is>
          <t>CINTO C TRIOMPHE BROWN</t>
        </is>
      </c>
      <c r="F4518" s="9" t="inlineStr">
        <is>
          <t>Default Title</t>
        </is>
      </c>
      <c r="G4518" s="9" t="n">
        <v>30</v>
      </c>
      <c r="H4518" s="21" t="n">
        <v>8</v>
      </c>
      <c r="I4518" s="21" t="n">
        <v>212.01</v>
      </c>
      <c r="J4518" s="21" t="n">
        <v>636.03</v>
      </c>
      <c r="K4518" s="21" t="n">
        <v>742.03</v>
      </c>
      <c r="L4518" s="21" t="n">
        <v>848.03</v>
      </c>
      <c r="M4518" s="21" t="n">
        <v>999</v>
      </c>
    </row>
    <row r="4519">
      <c r="A4519" s="9" t="inlineStr">
        <is>
          <t>CYNTHIA</t>
        </is>
      </c>
      <c r="B4519" s="9" t="inlineStr">
        <is>
          <t>CYNTHIA 31/05/2026</t>
        </is>
      </c>
      <c r="C4519" s="9" t="inlineStr">
        <is>
          <t>2026-05-31</t>
        </is>
      </c>
      <c r="D4519" s="9" t="inlineStr">
        <is>
          <t>41353991156557</t>
        </is>
      </c>
      <c r="E4519" s="9" t="inlineStr">
        <is>
          <t>CINTO C TRIOMPHE BURDEOS</t>
        </is>
      </c>
      <c r="F4519" s="9" t="inlineStr">
        <is>
          <t>Default Title</t>
        </is>
      </c>
      <c r="G4519" s="9" t="n">
        <v>10</v>
      </c>
      <c r="H4519" s="21" t="n">
        <v>8</v>
      </c>
      <c r="I4519" s="21" t="n">
        <v>212.01</v>
      </c>
      <c r="J4519" s="21" t="n">
        <v>636.03</v>
      </c>
      <c r="K4519" s="21" t="n">
        <v>742.03</v>
      </c>
      <c r="L4519" s="21" t="n">
        <v>848.03</v>
      </c>
      <c r="M4519" s="21" t="n">
        <v>999</v>
      </c>
    </row>
    <row r="4520">
      <c r="A4520" s="9" t="inlineStr">
        <is>
          <t>CYNTHIA</t>
        </is>
      </c>
      <c r="B4520" s="9" t="inlineStr">
        <is>
          <t>CYNTHIA 31/05/2026</t>
        </is>
      </c>
      <c r="C4520" s="9" t="inlineStr">
        <is>
          <t>2026-05-31</t>
        </is>
      </c>
      <c r="D4520" s="9" t="inlineStr">
        <is>
          <t>77137551049901</t>
        </is>
      </c>
      <c r="E4520" s="9" t="inlineStr">
        <is>
          <t>CINTO FR</t>
        </is>
      </c>
      <c r="F4520" s="9" t="inlineStr">
        <is>
          <t>105CM</t>
        </is>
      </c>
      <c r="G4520" s="9" t="n">
        <v>3</v>
      </c>
      <c r="H4520" s="21" t="n">
        <v>9</v>
      </c>
      <c r="I4520" s="21" t="n">
        <v>238.51</v>
      </c>
      <c r="J4520" s="21" t="n">
        <v>715.53</v>
      </c>
      <c r="K4520" s="21" t="n">
        <v>834.78</v>
      </c>
      <c r="L4520" s="21" t="n">
        <v>954.04</v>
      </c>
      <c r="M4520" s="21" t="n">
        <v>999</v>
      </c>
    </row>
    <row r="4521">
      <c r="A4521" s="9" t="inlineStr">
        <is>
          <t>CYNTHIA</t>
        </is>
      </c>
      <c r="B4521" s="9" t="inlineStr">
        <is>
          <t>CYNTHIA 31/05/2026</t>
        </is>
      </c>
      <c r="C4521" s="9" t="inlineStr">
        <is>
          <t>2026-05-31</t>
        </is>
      </c>
      <c r="D4521" s="9" t="inlineStr">
        <is>
          <t>14401522887469</t>
        </is>
      </c>
      <c r="E4521" s="9" t="inlineStr">
        <is>
          <t>CINTO GC WHITE</t>
        </is>
      </c>
      <c r="F4521" s="9" t="inlineStr">
        <is>
          <t>Default Title</t>
        </is>
      </c>
      <c r="G4521" s="9" t="n">
        <v>4</v>
      </c>
      <c r="H4521" s="21" t="n">
        <v>8</v>
      </c>
      <c r="I4521" s="21" t="n">
        <v>212.01</v>
      </c>
      <c r="J4521" s="21" t="n">
        <v>636.03</v>
      </c>
      <c r="K4521" s="21" t="n">
        <v>742.03</v>
      </c>
      <c r="L4521" s="21" t="n">
        <v>848.03</v>
      </c>
      <c r="M4521" s="21" t="n">
        <v>899</v>
      </c>
    </row>
    <row r="4522">
      <c r="A4522" s="9" t="inlineStr">
        <is>
          <t>CYNTHIA</t>
        </is>
      </c>
      <c r="B4522" s="9" t="inlineStr">
        <is>
          <t>CYNTHIA 31/05/2026</t>
        </is>
      </c>
      <c r="C4522" s="9" t="inlineStr">
        <is>
          <t>2026-05-31</t>
        </is>
      </c>
      <c r="D4522" s="9" t="inlineStr">
        <is>
          <t>43728071764972</t>
        </is>
      </c>
      <c r="E4522" s="9" t="inlineStr">
        <is>
          <t>CINTO H KELLY BROWN</t>
        </is>
      </c>
      <c r="F4522" s="9" t="inlineStr">
        <is>
          <t>AJUSTABLE</t>
        </is>
      </c>
      <c r="G4522" s="9" t="n">
        <v>10</v>
      </c>
      <c r="H4522" s="21" t="n">
        <v>6.5</v>
      </c>
      <c r="I4522" s="21" t="n">
        <v>172.26</v>
      </c>
      <c r="J4522" s="21" t="n">
        <v>516.77</v>
      </c>
      <c r="K4522" s="21" t="n">
        <v>602.9</v>
      </c>
      <c r="L4522" s="21" t="n">
        <v>689.03</v>
      </c>
      <c r="M4522" s="21" t="n">
        <v>899</v>
      </c>
    </row>
    <row r="4523">
      <c r="A4523" s="9" t="inlineStr">
        <is>
          <t>CYNTHIA</t>
        </is>
      </c>
      <c r="B4523" s="9" t="inlineStr">
        <is>
          <t>CYNTHIA 31/05/2026</t>
        </is>
      </c>
      <c r="C4523" s="9" t="inlineStr">
        <is>
          <t>2026-05-31</t>
        </is>
      </c>
      <c r="D4523" s="9" t="inlineStr">
        <is>
          <t>648cc32b9ef2d</t>
        </is>
      </c>
      <c r="E4523" s="9" t="inlineStr">
        <is>
          <t>COLLAR CC DORADO</t>
        </is>
      </c>
      <c r="F4523" s="9" t="inlineStr">
        <is>
          <t>Largo de cadena 41.5 cm  Extensión 6 cm  Dije 1.5 cm</t>
        </is>
      </c>
      <c r="G4523" s="9" t="n">
        <v>3</v>
      </c>
      <c r="H4523" s="21" t="n">
        <v>2.25</v>
      </c>
      <c r="I4523" s="21" t="n">
        <v>59.63</v>
      </c>
      <c r="J4523" s="21" t="n">
        <v>178.88</v>
      </c>
      <c r="K4523" s="21" t="n">
        <v>208.7</v>
      </c>
      <c r="L4523" s="21" t="n">
        <v>238.51</v>
      </c>
      <c r="M4523" s="21" t="n">
        <v>350</v>
      </c>
    </row>
    <row r="4524">
      <c r="A4524" s="9" t="inlineStr">
        <is>
          <t>CYNTHIA</t>
        </is>
      </c>
      <c r="B4524" s="9" t="inlineStr">
        <is>
          <t>CYNTHIA 31/05/2026</t>
        </is>
      </c>
      <c r="C4524" s="9" t="inlineStr">
        <is>
          <t>2026-05-31</t>
        </is>
      </c>
      <c r="D4524" s="9" t="inlineStr">
        <is>
          <t>34876761034381</t>
        </is>
      </c>
      <c r="E4524" s="9" t="inlineStr">
        <is>
          <t>COLLAR DE CUENTAS BLUE T</t>
        </is>
      </c>
      <c r="F4524" s="9" t="inlineStr">
        <is>
          <t>Default Title</t>
        </is>
      </c>
      <c r="G4524" s="9" t="n">
        <v>5</v>
      </c>
      <c r="H4524" s="21" t="n">
        <v>9.800000000000001</v>
      </c>
      <c r="I4524" s="21" t="n">
        <v>259.71</v>
      </c>
      <c r="J4524" s="21" t="n">
        <v>779.13</v>
      </c>
      <c r="K4524" s="21" t="n">
        <v>908.99</v>
      </c>
      <c r="L4524" s="21" t="n">
        <v>1038.84</v>
      </c>
      <c r="M4524" s="21" t="n">
        <v>1040</v>
      </c>
    </row>
    <row r="4525">
      <c r="A4525" s="9" t="inlineStr">
        <is>
          <t>CYNTHIA</t>
        </is>
      </c>
      <c r="B4525" s="9" t="inlineStr">
        <is>
          <t>CYNTHIA 31/05/2026</t>
        </is>
      </c>
      <c r="C4525" s="9" t="inlineStr">
        <is>
          <t>2026-05-31</t>
        </is>
      </c>
      <c r="D4525" s="9" t="inlineStr">
        <is>
          <t>34876761146797</t>
        </is>
      </c>
      <c r="E4525" s="9" t="inlineStr">
        <is>
          <t>COLLAR DE CUENTAS PINK T</t>
        </is>
      </c>
      <c r="F4525" s="9" t="inlineStr">
        <is>
          <t>Default Title</t>
        </is>
      </c>
      <c r="G4525" s="9" t="n">
        <v>2</v>
      </c>
      <c r="H4525" s="21" t="n">
        <v>9.800000000000001</v>
      </c>
      <c r="I4525" s="21" t="n">
        <v>259.71</v>
      </c>
      <c r="J4525" s="21" t="n">
        <v>779.13</v>
      </c>
      <c r="K4525" s="21" t="n">
        <v>908.99</v>
      </c>
      <c r="L4525" s="21" t="n">
        <v>1038.84</v>
      </c>
      <c r="M4525" s="21" t="n">
        <v>1040</v>
      </c>
    </row>
    <row r="4526">
      <c r="A4526" s="9" t="inlineStr">
        <is>
          <t>CYNTHIA</t>
        </is>
      </c>
      <c r="B4526" s="9" t="inlineStr">
        <is>
          <t>CYNTHIA 31/05/2026</t>
        </is>
      </c>
      <c r="C4526" s="9" t="inlineStr">
        <is>
          <t>2026-05-31</t>
        </is>
      </c>
      <c r="D4526" s="9" t="inlineStr">
        <is>
          <t>64e78f24a8521</t>
        </is>
      </c>
      <c r="E4526" s="9" t="inlineStr">
        <is>
          <t>COLLAR DE INSIGNIAS LV GOLD</t>
        </is>
      </c>
      <c r="F4526" s="9" t="inlineStr">
        <is>
          <t>41cm con extension de 6cm</t>
        </is>
      </c>
      <c r="G4526" s="9" t="n">
        <v>5</v>
      </c>
      <c r="H4526" s="21" t="n">
        <v>10.8</v>
      </c>
      <c r="I4526" s="21" t="n">
        <v>286.21</v>
      </c>
      <c r="J4526" s="21" t="n">
        <v>858.63</v>
      </c>
      <c r="K4526" s="21" t="n">
        <v>1001.74</v>
      </c>
      <c r="L4526" s="21" t="n">
        <v>1144.85</v>
      </c>
      <c r="M4526" s="21" t="n">
        <v>1149</v>
      </c>
    </row>
    <row r="4527">
      <c r="A4527" s="9" t="inlineStr">
        <is>
          <t>CYNTHIA</t>
        </is>
      </c>
      <c r="B4527" s="9" t="inlineStr">
        <is>
          <t>CYNTHIA 31/05/2026</t>
        </is>
      </c>
      <c r="C4527" s="9" t="inlineStr">
        <is>
          <t>2026-05-31</t>
        </is>
      </c>
      <c r="D4527" s="9" t="inlineStr">
        <is>
          <t>43728085170668</t>
        </is>
      </c>
      <c r="E4527" s="9" t="inlineStr">
        <is>
          <t>COLLAR ESLABON DOBLE CADENA GOLD</t>
        </is>
      </c>
      <c r="F4527" s="9" t="inlineStr">
        <is>
          <t>47cm HIGH QUALITY</t>
        </is>
      </c>
      <c r="G4527" s="9" t="n">
        <v>3</v>
      </c>
      <c r="H4527" s="21" t="n">
        <v>10.8</v>
      </c>
      <c r="I4527" s="21" t="n">
        <v>286.21</v>
      </c>
      <c r="J4527" s="21" t="n">
        <v>858.63</v>
      </c>
      <c r="K4527" s="21" t="n">
        <v>1001.74</v>
      </c>
      <c r="L4527" s="21" t="n">
        <v>1144.85</v>
      </c>
      <c r="M4527" s="21" t="n">
        <v>1149</v>
      </c>
    </row>
    <row r="4528">
      <c r="A4528" s="9" t="inlineStr">
        <is>
          <t>CYNTHIA</t>
        </is>
      </c>
      <c r="B4528" s="9" t="inlineStr">
        <is>
          <t>CYNTHIA 31/05/2026</t>
        </is>
      </c>
      <c r="C4528" s="9" t="inlineStr">
        <is>
          <t>2026-05-31</t>
        </is>
      </c>
      <c r="D4528" s="9" t="inlineStr">
        <is>
          <t>668eee4037675</t>
        </is>
      </c>
      <c r="E4528" s="9" t="inlineStr">
        <is>
          <t>COLLAR ESLABONES GOLD</t>
        </is>
      </c>
      <c r="F4528" s="9" t="inlineStr">
        <is>
          <t>46cm</t>
        </is>
      </c>
      <c r="G4528" s="9" t="n">
        <v>5</v>
      </c>
      <c r="H4528" s="21" t="n">
        <v>13.8</v>
      </c>
      <c r="I4528" s="21" t="n">
        <v>365.71</v>
      </c>
      <c r="J4528" s="21" t="n">
        <v>1097.14</v>
      </c>
      <c r="K4528" s="21" t="n">
        <v>1280</v>
      </c>
      <c r="L4528" s="21" t="n">
        <v>1462.86</v>
      </c>
      <c r="M4528" s="21" t="n">
        <v>1499</v>
      </c>
    </row>
    <row r="4529">
      <c r="A4529" s="9" t="inlineStr">
        <is>
          <t>CYNTHIA</t>
        </is>
      </c>
      <c r="B4529" s="9" t="inlineStr">
        <is>
          <t>CYNTHIA 31/05/2026</t>
        </is>
      </c>
      <c r="C4529" s="9" t="inlineStr">
        <is>
          <t>2026-05-31</t>
        </is>
      </c>
      <c r="D4529" s="9" t="inlineStr">
        <is>
          <t>668eee3921529</t>
        </is>
      </c>
      <c r="E4529" s="9" t="inlineStr">
        <is>
          <t>COLLAR ESLABONES SILVER</t>
        </is>
      </c>
      <c r="F4529" s="9" t="inlineStr">
        <is>
          <t>HIGH QUALITY 46cm</t>
        </is>
      </c>
      <c r="G4529" s="9" t="n">
        <v>5</v>
      </c>
      <c r="H4529" s="21" t="n">
        <v>13.8</v>
      </c>
      <c r="I4529" s="21" t="n">
        <v>365.71</v>
      </c>
      <c r="J4529" s="21" t="n">
        <v>1097.14</v>
      </c>
      <c r="K4529" s="21" t="n">
        <v>1280</v>
      </c>
      <c r="L4529" s="21" t="n">
        <v>1462.86</v>
      </c>
      <c r="M4529" s="21" t="n">
        <v>1499</v>
      </c>
    </row>
    <row r="4530">
      <c r="A4530" s="9" t="inlineStr">
        <is>
          <t>CYNTHIA</t>
        </is>
      </c>
      <c r="B4530" s="9" t="inlineStr">
        <is>
          <t>CYNTHIA 31/05/2026</t>
        </is>
      </c>
      <c r="C4530" s="9" t="inlineStr">
        <is>
          <t>2026-05-31</t>
        </is>
      </c>
      <c r="D4530" s="9" t="inlineStr">
        <is>
          <t>646f84bdcd369</t>
        </is>
      </c>
      <c r="E4530" s="9" t="inlineStr">
        <is>
          <t>COLLAR SMILE CON ZIRCONIA SILVER</t>
        </is>
      </c>
      <c r="F4530" s="9" t="inlineStr">
        <is>
          <t>GISEL</t>
        </is>
      </c>
      <c r="G4530" s="9" t="n">
        <v>1</v>
      </c>
      <c r="H4530" s="21" t="n">
        <v>12.8</v>
      </c>
      <c r="I4530" s="21" t="n">
        <v>339.21</v>
      </c>
      <c r="J4530" s="21" t="n"/>
      <c r="K4530" s="21" t="n"/>
      <c r="L4530" s="21" t="n"/>
      <c r="M4530" s="21" t="n"/>
    </row>
    <row r="4531">
      <c r="A4531" s="9" t="inlineStr">
        <is>
          <t>CYNTHIA</t>
        </is>
      </c>
      <c r="B4531" s="9" t="inlineStr">
        <is>
          <t>CYNTHIA 31/05/2026</t>
        </is>
      </c>
      <c r="C4531" s="9" t="inlineStr">
        <is>
          <t>2026-05-31</t>
        </is>
      </c>
      <c r="D4531" s="9" t="inlineStr">
        <is>
          <t>664fc85ecbb14</t>
        </is>
      </c>
      <c r="E4531" s="9" t="inlineStr">
        <is>
          <t>LENTES C BROWN</t>
        </is>
      </c>
      <c r="F4531" s="9" t="inlineStr">
        <is>
          <t>Regular</t>
        </is>
      </c>
      <c r="G4531" s="9" t="n">
        <v>4</v>
      </c>
      <c r="H4531" s="21" t="n">
        <v>8.5</v>
      </c>
      <c r="I4531" s="21" t="n">
        <v>225.26</v>
      </c>
      <c r="J4531" s="21" t="n">
        <v>675.78</v>
      </c>
      <c r="K4531" s="21" t="n">
        <v>788.41</v>
      </c>
      <c r="L4531" s="21" t="n">
        <v>901.04</v>
      </c>
      <c r="M4531" s="21" t="n">
        <v>1100</v>
      </c>
    </row>
    <row r="4532">
      <c r="A4532" s="9" t="inlineStr">
        <is>
          <t>CYNTHIA</t>
        </is>
      </c>
      <c r="B4532" s="9" t="inlineStr">
        <is>
          <t>CYNTHIA 31/05/2026</t>
        </is>
      </c>
      <c r="C4532" s="9" t="inlineStr">
        <is>
          <t>2026-05-31</t>
        </is>
      </c>
      <c r="D4532" s="9" t="inlineStr">
        <is>
          <t>665818c705471</t>
        </is>
      </c>
      <c r="E4532" s="9" t="inlineStr">
        <is>
          <t>LENTES C GREEN</t>
        </is>
      </c>
      <c r="F4532" s="9" t="inlineStr">
        <is>
          <t>LOGO</t>
        </is>
      </c>
      <c r="G4532" s="9" t="n">
        <v>5</v>
      </c>
      <c r="H4532" s="21" t="n">
        <v>9.5</v>
      </c>
      <c r="I4532" s="21" t="n">
        <v>251.76</v>
      </c>
      <c r="J4532" s="21" t="n">
        <v>755.28</v>
      </c>
      <c r="K4532" s="21" t="n">
        <v>881.16</v>
      </c>
      <c r="L4532" s="21" t="n">
        <v>1007.04</v>
      </c>
      <c r="M4532" s="21" t="n">
        <v>2499</v>
      </c>
    </row>
    <row r="4533">
      <c r="A4533" s="9" t="inlineStr">
        <is>
          <t>CYNTHIA</t>
        </is>
      </c>
      <c r="B4533" s="9" t="inlineStr">
        <is>
          <t>CYNTHIA 31/05/2026</t>
        </is>
      </c>
      <c r="C4533" s="9" t="inlineStr">
        <is>
          <t>2026-05-31</t>
        </is>
      </c>
      <c r="D4533" s="9" t="inlineStr">
        <is>
          <t>664fc858469b1</t>
        </is>
      </c>
      <c r="E4533" s="9" t="inlineStr">
        <is>
          <t>LENTES C OVAL GREEN</t>
        </is>
      </c>
      <c r="F4533" s="9" t="inlineStr">
        <is>
          <t>REGULAR</t>
        </is>
      </c>
      <c r="G4533" s="9" t="n">
        <v>2</v>
      </c>
      <c r="H4533" s="21" t="n">
        <v>29.5</v>
      </c>
      <c r="I4533" s="21" t="n">
        <v>781.78</v>
      </c>
      <c r="J4533" s="21" t="n">
        <v>2345.34</v>
      </c>
      <c r="K4533" s="21" t="n">
        <v>2736.23</v>
      </c>
      <c r="L4533" s="21" t="n">
        <v>3127.12</v>
      </c>
      <c r="M4533" s="21" t="n">
        <v>3199</v>
      </c>
    </row>
    <row r="4534">
      <c r="A4534" s="9" t="inlineStr">
        <is>
          <t>CYNTHIA</t>
        </is>
      </c>
      <c r="B4534" s="9" t="inlineStr">
        <is>
          <t>CYNTHIA 31/05/2026</t>
        </is>
      </c>
      <c r="C4534" s="9" t="inlineStr">
        <is>
          <t>2026-05-31</t>
        </is>
      </c>
      <c r="D4534" s="9" t="inlineStr">
        <is>
          <t>43728090185228</t>
        </is>
      </c>
      <c r="E4534" s="9" t="inlineStr">
        <is>
          <t>LENTES DE SOL MM GLIMPSE BLACK</t>
        </is>
      </c>
      <c r="F4534" s="9" t="inlineStr">
        <is>
          <t>REGULAR</t>
        </is>
      </c>
      <c r="G4534" s="9" t="n">
        <v>2</v>
      </c>
      <c r="H4534" s="21" t="n">
        <v>32</v>
      </c>
      <c r="I4534" s="21" t="n">
        <v>848.03</v>
      </c>
      <c r="J4534" s="21" t="n">
        <v>2544.1</v>
      </c>
      <c r="K4534" s="21" t="n">
        <v>2968.12</v>
      </c>
      <c r="L4534" s="21" t="n">
        <v>3392.13</v>
      </c>
      <c r="M4534" s="21" t="n">
        <v>3399</v>
      </c>
    </row>
    <row r="4535">
      <c r="A4535" s="9" t="inlineStr">
        <is>
          <t>CYNTHIA</t>
        </is>
      </c>
      <c r="B4535" s="9" t="inlineStr">
        <is>
          <t>CYNTHIA 31/05/2026</t>
        </is>
      </c>
      <c r="C4535" s="9" t="inlineStr">
        <is>
          <t>2026-05-31</t>
        </is>
      </c>
      <c r="D4535" s="9" t="inlineStr">
        <is>
          <t>11915826071979</t>
        </is>
      </c>
      <c r="E4535" s="9" t="inlineStr">
        <is>
          <t>LENTES LV EVIDENCE</t>
        </is>
      </c>
      <c r="F4535" s="9" t="inlineStr">
        <is>
          <t>HIGH QUALITY</t>
        </is>
      </c>
      <c r="G4535" s="9" t="n">
        <v>1</v>
      </c>
      <c r="H4535" s="21" t="n">
        <v>9</v>
      </c>
      <c r="I4535" s="21" t="n">
        <v>238.51</v>
      </c>
      <c r="J4535" s="21" t="n">
        <v>715.53</v>
      </c>
      <c r="K4535" s="21" t="n">
        <v>834.78</v>
      </c>
      <c r="L4535" s="21" t="n">
        <v>954.04</v>
      </c>
      <c r="M4535" s="21" t="n">
        <v>955</v>
      </c>
    </row>
    <row r="4536">
      <c r="A4536" s="9" t="inlineStr">
        <is>
          <t>CYNTHIA</t>
        </is>
      </c>
      <c r="B4536" s="9" t="inlineStr">
        <is>
          <t>CYNTHIA 31/05/2026</t>
        </is>
      </c>
      <c r="C4536" s="9" t="inlineStr">
        <is>
          <t>2026-05-31</t>
        </is>
      </c>
      <c r="D4536" s="9" t="inlineStr">
        <is>
          <t>11915826071979</t>
        </is>
      </c>
      <c r="E4536" s="9" t="inlineStr">
        <is>
          <t>LENTES LV EVIDENCE</t>
        </is>
      </c>
      <c r="F4536" s="9" t="inlineStr">
        <is>
          <t>HIGH QUALITY</t>
        </is>
      </c>
      <c r="G4536" s="9" t="n">
        <v>2</v>
      </c>
      <c r="H4536" s="21" t="n">
        <v>9</v>
      </c>
      <c r="I4536" s="21" t="n">
        <v>238.51</v>
      </c>
      <c r="J4536" s="21" t="n">
        <v>715.53</v>
      </c>
      <c r="K4536" s="21" t="n">
        <v>834.78</v>
      </c>
      <c r="L4536" s="21" t="n">
        <v>954.04</v>
      </c>
      <c r="M4536" s="21" t="n">
        <v>955</v>
      </c>
    </row>
    <row r="4537">
      <c r="A4537" s="9" t="inlineStr">
        <is>
          <t>CYNTHIA</t>
        </is>
      </c>
      <c r="B4537" s="9" t="inlineStr">
        <is>
          <t>CYNTHIA 31/05/2026</t>
        </is>
      </c>
      <c r="C4537" s="9" t="inlineStr">
        <is>
          <t>2026-05-31</t>
        </is>
      </c>
      <c r="D4537" s="9" t="inlineStr">
        <is>
          <t>11915826071979</t>
        </is>
      </c>
      <c r="E4537" s="9" t="inlineStr">
        <is>
          <t>LENTES LV EVIDENCE</t>
        </is>
      </c>
      <c r="F4537" s="9" t="inlineStr">
        <is>
          <t>HIGH QUALITY</t>
        </is>
      </c>
      <c r="G4537" s="9" t="n">
        <v>5</v>
      </c>
      <c r="H4537" s="21" t="n">
        <v>9</v>
      </c>
      <c r="I4537" s="21" t="n">
        <v>238.51</v>
      </c>
      <c r="J4537" s="21" t="n">
        <v>715.53</v>
      </c>
      <c r="K4537" s="21" t="n">
        <v>834.78</v>
      </c>
      <c r="L4537" s="21" t="n">
        <v>954.04</v>
      </c>
      <c r="M4537" s="21" t="n">
        <v>955</v>
      </c>
    </row>
    <row r="4538">
      <c r="A4538" s="9" t="inlineStr">
        <is>
          <t>CYNTHIA</t>
        </is>
      </c>
      <c r="B4538" s="9" t="inlineStr">
        <is>
          <t>CYNTHIA 31/05/2026</t>
        </is>
      </c>
      <c r="C4538" s="9" t="inlineStr">
        <is>
          <t>2026-05-31</t>
        </is>
      </c>
      <c r="D4538" s="9" t="inlineStr">
        <is>
          <t>11915820343339</t>
        </is>
      </c>
      <c r="E4538" s="9" t="inlineStr">
        <is>
          <t>LENTES MM HAVANA</t>
        </is>
      </c>
      <c r="F4538" s="9" t="inlineStr">
        <is>
          <t>Default Title</t>
        </is>
      </c>
      <c r="G4538" s="9" t="n">
        <v>4</v>
      </c>
      <c r="H4538" s="21" t="n">
        <v>27</v>
      </c>
      <c r="I4538" s="21" t="n">
        <v>715.53</v>
      </c>
      <c r="J4538" s="21" t="n">
        <v>2146.58</v>
      </c>
      <c r="K4538" s="21" t="n">
        <v>2504.35</v>
      </c>
      <c r="L4538" s="21" t="n">
        <v>2862.11</v>
      </c>
      <c r="M4538" s="21" t="n">
        <v>2899</v>
      </c>
    </row>
    <row r="4539">
      <c r="A4539" s="9" t="inlineStr">
        <is>
          <t>CYNTHIA</t>
        </is>
      </c>
      <c r="B4539" s="9" t="inlineStr">
        <is>
          <t>CYNTHIA 31/05/2026</t>
        </is>
      </c>
      <c r="C4539" s="9" t="inlineStr">
        <is>
          <t>2026-05-31</t>
        </is>
      </c>
      <c r="D4539" s="9" t="inlineStr">
        <is>
          <t>43026586435724</t>
        </is>
      </c>
      <c r="E4539" s="9" t="inlineStr">
        <is>
          <t>LENTES YSL SQUARE</t>
        </is>
      </c>
      <c r="F4539" s="9" t="inlineStr">
        <is>
          <t>HIGH QUALITY</t>
        </is>
      </c>
      <c r="G4539" s="9" t="n">
        <v>3</v>
      </c>
      <c r="H4539" s="21" t="n">
        <v>8</v>
      </c>
      <c r="I4539" s="21" t="n">
        <v>212.01</v>
      </c>
      <c r="J4539" s="21" t="n">
        <v>636.03</v>
      </c>
      <c r="K4539" s="21" t="n">
        <v>742.03</v>
      </c>
      <c r="L4539" s="21" t="n">
        <v>848.03</v>
      </c>
      <c r="M4539" s="21" t="n">
        <v>850</v>
      </c>
    </row>
    <row r="4540">
      <c r="A4540" s="9" t="inlineStr">
        <is>
          <t>CYNTHIA</t>
        </is>
      </c>
      <c r="B4540" s="9" t="inlineStr">
        <is>
          <t>CYNTHIA 31/05/2026</t>
        </is>
      </c>
      <c r="C4540" s="9" t="inlineStr">
        <is>
          <t>2026-05-31</t>
        </is>
      </c>
      <c r="D4540" s="9" t="inlineStr">
        <is>
          <t>15711172766221</t>
        </is>
      </c>
      <c r="E4540" s="9" t="inlineStr">
        <is>
          <t>PULSERA C GOLD</t>
        </is>
      </c>
      <c r="F4540" s="9" t="inlineStr">
        <is>
          <t>Default Title</t>
        </is>
      </c>
      <c r="G4540" s="9" t="n">
        <v>4</v>
      </c>
      <c r="H4540" s="21" t="n">
        <v>8.800000000000001</v>
      </c>
      <c r="I4540" s="21" t="n">
        <v>233.21</v>
      </c>
      <c r="J4540" s="21" t="n">
        <v>699.63</v>
      </c>
      <c r="K4540" s="21" t="n">
        <v>816.23</v>
      </c>
      <c r="L4540" s="21" t="n">
        <v>932.84</v>
      </c>
      <c r="M4540" s="21" t="n">
        <v>939</v>
      </c>
    </row>
    <row r="4541">
      <c r="A4541" s="9" t="inlineStr">
        <is>
          <t>CYNTHIA</t>
        </is>
      </c>
      <c r="B4541" s="9" t="inlineStr">
        <is>
          <t>CYNTHIA 31/05/2026</t>
        </is>
      </c>
      <c r="C4541" s="9" t="inlineStr">
        <is>
          <t>2026-05-31</t>
        </is>
      </c>
      <c r="D4541" s="9" t="inlineStr">
        <is>
          <t>665bc135c2aa8</t>
        </is>
      </c>
      <c r="E4541" s="9" t="inlineStr">
        <is>
          <t>PULSERA C KNOT SILVER</t>
        </is>
      </c>
      <c r="F4541" s="9" t="inlineStr">
        <is>
          <t>AJUSTABLE</t>
        </is>
      </c>
      <c r="G4541" s="9" t="n">
        <v>6</v>
      </c>
      <c r="H4541" s="21" t="n">
        <v>10.8</v>
      </c>
      <c r="I4541" s="21" t="n">
        <v>286.21</v>
      </c>
      <c r="J4541" s="21" t="n">
        <v>858.63</v>
      </c>
      <c r="K4541" s="21" t="n">
        <v>1001.74</v>
      </c>
      <c r="L4541" s="21" t="n">
        <v>1144.85</v>
      </c>
      <c r="M4541" s="21" t="n">
        <v>1149</v>
      </c>
    </row>
    <row r="4542">
      <c r="A4542" s="9" t="inlineStr">
        <is>
          <t>CYNTHIA</t>
        </is>
      </c>
      <c r="B4542" s="9" t="inlineStr">
        <is>
          <t>CYNTHIA 31/05/2026</t>
        </is>
      </c>
      <c r="C4542" s="9" t="inlineStr">
        <is>
          <t>2026-05-31</t>
        </is>
      </c>
      <c r="D4542" s="9" t="inlineStr">
        <is>
          <t>71036870763532</t>
        </is>
      </c>
      <c r="E4542" s="9" t="inlineStr">
        <is>
          <t>PULSERA CC COMETE</t>
        </is>
      </c>
      <c r="F4542" s="9" t="inlineStr">
        <is>
          <t>16cm</t>
        </is>
      </c>
      <c r="G4542" s="9" t="n">
        <v>6</v>
      </c>
      <c r="H4542" s="21" t="n">
        <v>9.800000000000001</v>
      </c>
      <c r="I4542" s="21" t="n">
        <v>259.71</v>
      </c>
      <c r="J4542" s="21" t="n">
        <v>779.13</v>
      </c>
      <c r="K4542" s="21" t="n">
        <v>908.99</v>
      </c>
      <c r="L4542" s="21" t="n">
        <v>1038.84</v>
      </c>
      <c r="M4542" s="21" t="n">
        <v>1049</v>
      </c>
    </row>
    <row r="4543">
      <c r="A4543" s="9" t="inlineStr">
        <is>
          <t>CYNTHIA</t>
        </is>
      </c>
      <c r="B4543" s="9" t="inlineStr">
        <is>
          <t>CYNTHIA 31/05/2026</t>
        </is>
      </c>
      <c r="C4543" s="9" t="inlineStr">
        <is>
          <t>2026-05-31</t>
        </is>
      </c>
      <c r="D4543" s="9" t="inlineStr">
        <is>
          <t>646f84740b09f</t>
        </is>
      </c>
      <c r="E4543" s="9" t="inlineStr">
        <is>
          <t>PULSERA COCO GOLD</t>
        </is>
      </c>
      <c r="F4543" s="9" t="inlineStr">
        <is>
          <t>17cm</t>
        </is>
      </c>
      <c r="G4543" s="9" t="n">
        <v>5</v>
      </c>
      <c r="H4543" s="21" t="n">
        <v>14</v>
      </c>
      <c r="I4543" s="21" t="n">
        <v>371.01</v>
      </c>
      <c r="J4543" s="21" t="n">
        <v>1113.04</v>
      </c>
      <c r="K4543" s="21" t="n">
        <v>1298.55</v>
      </c>
      <c r="L4543" s="21" t="n">
        <v>1484.06</v>
      </c>
      <c r="M4543" s="21" t="n">
        <v>1499</v>
      </c>
    </row>
    <row r="4544">
      <c r="A4544" s="9" t="inlineStr">
        <is>
          <t>CYNTHIA</t>
        </is>
      </c>
      <c r="B4544" s="9" t="inlineStr">
        <is>
          <t>CYNTHIA 31/05/2026</t>
        </is>
      </c>
      <c r="C4544" s="9" t="inlineStr">
        <is>
          <t>2026-05-31</t>
        </is>
      </c>
      <c r="D4544" s="9" t="inlineStr">
        <is>
          <t>646f846abc38f</t>
        </is>
      </c>
      <c r="E4544" s="9" t="inlineStr">
        <is>
          <t>PULSERA COCO ROSEGOLD</t>
        </is>
      </c>
      <c r="F4544" s="9" t="inlineStr">
        <is>
          <t>17cm</t>
        </is>
      </c>
      <c r="G4544" s="9" t="n">
        <v>2</v>
      </c>
      <c r="H4544" s="21" t="n">
        <v>14</v>
      </c>
      <c r="I4544" s="21" t="n">
        <v>371.01</v>
      </c>
      <c r="J4544" s="21" t="n">
        <v>1113.04</v>
      </c>
      <c r="K4544" s="21" t="n">
        <v>1298.55</v>
      </c>
      <c r="L4544" s="21" t="n">
        <v>1484.06</v>
      </c>
      <c r="M4544" s="21" t="n">
        <v>1499</v>
      </c>
    </row>
    <row r="4545">
      <c r="A4545" s="9" t="inlineStr">
        <is>
          <t>CYNTHIA</t>
        </is>
      </c>
      <c r="B4545" s="9" t="inlineStr">
        <is>
          <t>CYNTHIA 31/05/2026</t>
        </is>
      </c>
      <c r="C4545" s="9" t="inlineStr">
        <is>
          <t>2026-05-31</t>
        </is>
      </c>
      <c r="D4545" s="9" t="inlineStr">
        <is>
          <t>665bcd30f2870</t>
        </is>
      </c>
      <c r="E4545" s="9" t="inlineStr">
        <is>
          <t>PULSERA DY ESCLAVA</t>
        </is>
      </c>
      <c r="F4545" s="9" t="inlineStr">
        <is>
          <t>17cm</t>
        </is>
      </c>
      <c r="G4545" s="9" t="n">
        <v>2</v>
      </c>
      <c r="H4545" s="21" t="n">
        <v>13.3</v>
      </c>
      <c r="I4545" s="21" t="n">
        <v>352.46</v>
      </c>
      <c r="J4545" s="21" t="n">
        <v>1057.39</v>
      </c>
      <c r="K4545" s="21" t="n">
        <v>1233.62</v>
      </c>
      <c r="L4545" s="21" t="n">
        <v>1409.86</v>
      </c>
      <c r="M4545" s="21" t="n">
        <v>1420</v>
      </c>
    </row>
    <row r="4546">
      <c r="A4546" s="9" t="inlineStr">
        <is>
          <t>CYNTHIA</t>
        </is>
      </c>
      <c r="B4546" s="9" t="inlineStr">
        <is>
          <t>CYNTHIA 31/05/2026</t>
        </is>
      </c>
      <c r="C4546" s="9" t="inlineStr">
        <is>
          <t>2026-05-31</t>
        </is>
      </c>
      <c r="D4546" s="9" t="inlineStr">
        <is>
          <t>668eee41bab7a</t>
        </is>
      </c>
      <c r="E4546" s="9" t="inlineStr">
        <is>
          <t>PULSERA ESLABONES GOLD</t>
        </is>
      </c>
      <c r="F4546" s="9" t="inlineStr">
        <is>
          <t>High Quality 17.5cm</t>
        </is>
      </c>
      <c r="G4546" s="9" t="n">
        <v>6</v>
      </c>
      <c r="H4546" s="21" t="n">
        <v>13.8</v>
      </c>
      <c r="I4546" s="21" t="n">
        <v>365.71</v>
      </c>
      <c r="J4546" s="21" t="n">
        <v>1097.14</v>
      </c>
      <c r="K4546" s="21" t="n">
        <v>1280</v>
      </c>
      <c r="L4546" s="21" t="n">
        <v>1462.86</v>
      </c>
      <c r="M4546" s="21" t="n">
        <v>1469</v>
      </c>
    </row>
    <row r="4547">
      <c r="A4547" s="9" t="inlineStr">
        <is>
          <t>CYNTHIA</t>
        </is>
      </c>
      <c r="B4547" s="9" t="inlineStr">
        <is>
          <t>CYNTHIA 31/05/2026</t>
        </is>
      </c>
      <c r="C4547" s="9" t="inlineStr">
        <is>
          <t>2026-05-31</t>
        </is>
      </c>
      <c r="D4547" s="9" t="inlineStr">
        <is>
          <t>668eee4e0326c</t>
        </is>
      </c>
      <c r="E4547" s="9" t="inlineStr">
        <is>
          <t>PULSERA ESLABONES SILVER</t>
        </is>
      </c>
      <c r="F4547" s="9" t="inlineStr">
        <is>
          <t>High Quality 17.5 cm</t>
        </is>
      </c>
      <c r="G4547" s="9" t="n">
        <v>5</v>
      </c>
      <c r="H4547" s="21" t="n">
        <v>13.8</v>
      </c>
      <c r="I4547" s="21" t="n">
        <v>365.71</v>
      </c>
      <c r="J4547" s="21" t="n">
        <v>1097.14</v>
      </c>
      <c r="K4547" s="21" t="n">
        <v>1280</v>
      </c>
      <c r="L4547" s="21" t="n">
        <v>1462.86</v>
      </c>
      <c r="M4547" s="21" t="n">
        <v>1469</v>
      </c>
    </row>
    <row r="4548">
      <c r="A4548" s="9" t="inlineStr">
        <is>
          <t>CYNTHIA</t>
        </is>
      </c>
      <c r="B4548" s="9" t="inlineStr">
        <is>
          <t>CYNTHIA 31/05/2026</t>
        </is>
      </c>
      <c r="C4548" s="9" t="inlineStr">
        <is>
          <t>2026-05-31</t>
        </is>
      </c>
      <c r="D4548" s="9" t="inlineStr">
        <is>
          <t>43047213301900</t>
        </is>
      </c>
      <c r="E4548" s="9" t="inlineStr">
        <is>
          <t>PULSERA KNOT GOLD</t>
        </is>
      </c>
      <c r="F4548" s="9" t="inlineStr">
        <is>
          <t>17cm</t>
        </is>
      </c>
      <c r="G4548" s="9" t="n">
        <v>3</v>
      </c>
      <c r="H4548" s="21" t="n">
        <v>16</v>
      </c>
      <c r="I4548" s="21" t="n">
        <v>424.02</v>
      </c>
      <c r="J4548" s="21" t="n">
        <v>1272.05</v>
      </c>
      <c r="K4548" s="21" t="n">
        <v>1484.06</v>
      </c>
      <c r="L4548" s="21" t="n">
        <v>1696.07</v>
      </c>
      <c r="M4548" s="21" t="n">
        <v>1699</v>
      </c>
    </row>
    <row r="4549">
      <c r="A4549" s="9" t="inlineStr">
        <is>
          <t>CYNTHIA</t>
        </is>
      </c>
      <c r="B4549" s="9" t="inlineStr">
        <is>
          <t>CYNTHIA 31/05/2026</t>
        </is>
      </c>
      <c r="C4549" s="9" t="inlineStr">
        <is>
          <t>2026-05-31</t>
        </is>
      </c>
      <c r="D4549" s="9" t="inlineStr">
        <is>
          <t>43047215530124</t>
        </is>
      </c>
      <c r="E4549" s="9" t="inlineStr">
        <is>
          <t>PULSERA LOCK GOLD-SILVER</t>
        </is>
      </c>
      <c r="F4549" s="9" t="inlineStr">
        <is>
          <t>17.5cm</t>
        </is>
      </c>
      <c r="G4549" s="9" t="n">
        <v>3</v>
      </c>
      <c r="H4549" s="21" t="n">
        <v>16.5</v>
      </c>
      <c r="I4549" s="21" t="n">
        <v>437.27</v>
      </c>
      <c r="J4549" s="21" t="n">
        <v>1311.8</v>
      </c>
      <c r="K4549" s="21" t="n">
        <v>1530.44</v>
      </c>
      <c r="L4549" s="21" t="n">
        <v>1749.07</v>
      </c>
      <c r="M4549" s="21" t="n">
        <v>1750</v>
      </c>
    </row>
    <row r="4550">
      <c r="A4550" s="9" t="inlineStr">
        <is>
          <t>CYNTHIA</t>
        </is>
      </c>
      <c r="B4550" s="9" t="inlineStr">
        <is>
          <t>CYNTHIA 31/05/2026</t>
        </is>
      </c>
      <c r="C4550" s="9" t="inlineStr">
        <is>
          <t>2026-05-31</t>
        </is>
      </c>
      <c r="D4550" s="9" t="inlineStr">
        <is>
          <t>43047212384396</t>
        </is>
      </c>
      <c r="E4550" s="9" t="inlineStr">
        <is>
          <t>PULSERA LOCK SILVER</t>
        </is>
      </c>
      <c r="F4550" s="9" t="inlineStr">
        <is>
          <t>17.5cm</t>
        </is>
      </c>
      <c r="G4550" s="9" t="n">
        <v>3</v>
      </c>
      <c r="H4550" s="21" t="n">
        <v>15.8</v>
      </c>
      <c r="I4550" s="21" t="n">
        <v>418.72</v>
      </c>
      <c r="J4550" s="21" t="n">
        <v>1256.15</v>
      </c>
      <c r="K4550" s="21" t="n">
        <v>1465.51</v>
      </c>
      <c r="L4550" s="21" t="n">
        <v>1674.87</v>
      </c>
      <c r="M4550" s="21" t="n">
        <v>1679</v>
      </c>
    </row>
    <row r="4551">
      <c r="A4551" s="9" t="inlineStr">
        <is>
          <t>CYNTHIA</t>
        </is>
      </c>
      <c r="B4551" s="9" t="inlineStr">
        <is>
          <t>CYNTHIA 31/05/2026</t>
        </is>
      </c>
      <c r="C4551" s="9" t="inlineStr">
        <is>
          <t>2026-05-31</t>
        </is>
      </c>
      <c r="D4551" s="9" t="inlineStr">
        <is>
          <t>8275735417996</t>
        </is>
      </c>
      <c r="E4551" s="9" t="inlineStr">
        <is>
          <t>PULSERA LV BLOSSOM GOLD</t>
        </is>
      </c>
      <c r="F4551" s="9" t="inlineStr">
        <is>
          <t>17cm</t>
        </is>
      </c>
      <c r="G4551" s="9" t="n">
        <v>6</v>
      </c>
      <c r="H4551" s="21" t="n">
        <v>12.8</v>
      </c>
      <c r="I4551" s="21" t="n">
        <v>339.21</v>
      </c>
      <c r="J4551" s="21" t="n">
        <v>1017.64</v>
      </c>
      <c r="K4551" s="21" t="n">
        <v>1187.25</v>
      </c>
      <c r="L4551" s="21" t="n">
        <v>1356.85</v>
      </c>
      <c r="M4551" s="21" t="n">
        <v>1399</v>
      </c>
    </row>
    <row r="4552">
      <c r="A4552" s="9" t="inlineStr">
        <is>
          <t>CYNTHIA</t>
        </is>
      </c>
      <c r="B4552" s="9" t="inlineStr">
        <is>
          <t>CYNTHIA 31/05/2026</t>
        </is>
      </c>
      <c r="C4552" s="9" t="inlineStr">
        <is>
          <t>2026-05-31</t>
        </is>
      </c>
      <c r="D4552" s="9" t="inlineStr">
        <is>
          <t>77978447716236</t>
        </is>
      </c>
      <c r="E4552" s="9" t="inlineStr">
        <is>
          <t>PULSERA LV CON INSIGNIA</t>
        </is>
      </c>
      <c r="F4552" s="9" t="inlineStr">
        <is>
          <t>16cm high quality</t>
        </is>
      </c>
      <c r="G4552" s="9" t="n">
        <v>6</v>
      </c>
      <c r="H4552" s="21" t="n">
        <v>8.800000000000001</v>
      </c>
      <c r="I4552" s="21" t="n">
        <v>233.21</v>
      </c>
      <c r="J4552" s="21" t="n">
        <v>699.63</v>
      </c>
      <c r="K4552" s="21" t="n">
        <v>816.23</v>
      </c>
      <c r="L4552" s="21" t="n">
        <v>932.84</v>
      </c>
      <c r="M4552" s="21" t="n">
        <v>935</v>
      </c>
    </row>
    <row r="4553">
      <c r="A4553" s="9" t="inlineStr">
        <is>
          <t>CYNTHIA</t>
        </is>
      </c>
      <c r="B4553" s="9" t="inlineStr">
        <is>
          <t>CYNTHIA 31/05/2026</t>
        </is>
      </c>
      <c r="C4553" s="9" t="inlineStr">
        <is>
          <t>2026-05-31</t>
        </is>
      </c>
      <c r="D4553" s="9" t="inlineStr">
        <is>
          <t>665bce15b9cc7</t>
        </is>
      </c>
      <c r="E4553" s="9" t="inlineStr">
        <is>
          <t>PULSERA LV DE CUERO LOGO</t>
        </is>
      </c>
      <c r="F4553" s="9" t="inlineStr">
        <is>
          <t>16cm ajustable a 18cm</t>
        </is>
      </c>
      <c r="G4553" s="9" t="n">
        <v>5</v>
      </c>
      <c r="H4553" s="21" t="n">
        <v>10.8</v>
      </c>
      <c r="I4553" s="21" t="n">
        <v>286.21</v>
      </c>
      <c r="J4553" s="21" t="n">
        <v>858.63</v>
      </c>
      <c r="K4553" s="21" t="n">
        <v>1001.74</v>
      </c>
      <c r="L4553" s="21" t="n">
        <v>1144.85</v>
      </c>
      <c r="M4553" s="21" t="n">
        <v>1005</v>
      </c>
    </row>
    <row r="4554">
      <c r="A4554" s="9" t="inlineStr">
        <is>
          <t>CYNTHIA</t>
        </is>
      </c>
      <c r="B4554" s="9" t="inlineStr">
        <is>
          <t>CYNTHIA 31/05/2026</t>
        </is>
      </c>
      <c r="C4554" s="9" t="inlineStr">
        <is>
          <t>2026-05-31</t>
        </is>
      </c>
      <c r="D4554" s="9" t="inlineStr">
        <is>
          <t>668eee3b4af12</t>
        </is>
      </c>
      <c r="E4554" s="9" t="inlineStr">
        <is>
          <t>PULSERA T CON ZIRCONIA Y COLOR TURQUESA</t>
        </is>
      </c>
      <c r="F4554" s="9" t="inlineStr">
        <is>
          <t>16 cm</t>
        </is>
      </c>
      <c r="G4554" s="9" t="n">
        <v>5</v>
      </c>
      <c r="H4554" s="21" t="n">
        <v>6</v>
      </c>
      <c r="I4554" s="21" t="n">
        <v>159.01</v>
      </c>
      <c r="J4554" s="21" t="n">
        <v>477.02</v>
      </c>
      <c r="K4554" s="21" t="n">
        <v>556.52</v>
      </c>
      <c r="L4554" s="21" t="n">
        <v>636.03</v>
      </c>
      <c r="M4554" s="21" t="n">
        <v>639</v>
      </c>
    </row>
    <row r="4555">
      <c r="A4555" s="9" t="inlineStr">
        <is>
          <t>CYNTHIA</t>
        </is>
      </c>
      <c r="B4555" s="9" t="inlineStr">
        <is>
          <t>CYNTHIA 31/05/2026</t>
        </is>
      </c>
      <c r="C4555" s="9" t="inlineStr">
        <is>
          <t>2026-05-31</t>
        </is>
      </c>
      <c r="D4555" s="9" t="inlineStr">
        <is>
          <t>668eecb8df0eb</t>
        </is>
      </c>
      <c r="E4555" s="9" t="inlineStr">
        <is>
          <t>PULSERA T GOLD</t>
        </is>
      </c>
      <c r="F4555" s="9" t="inlineStr">
        <is>
          <t>16 cm</t>
        </is>
      </c>
      <c r="G4555" s="9" t="n">
        <v>15</v>
      </c>
      <c r="H4555" s="21" t="n">
        <v>9.5</v>
      </c>
      <c r="I4555" s="21" t="n">
        <v>251.76</v>
      </c>
      <c r="J4555" s="21" t="n">
        <v>755.28</v>
      </c>
      <c r="K4555" s="21" t="n">
        <v>881.16</v>
      </c>
      <c r="L4555" s="21" t="n">
        <v>1007.04</v>
      </c>
      <c r="M4555" s="21" t="n">
        <v>885</v>
      </c>
    </row>
    <row r="4556">
      <c r="A4556" s="9" t="inlineStr">
        <is>
          <t>CYNTHIA</t>
        </is>
      </c>
      <c r="B4556" s="9" t="inlineStr">
        <is>
          <t>CYNTHIA 31/05/2026</t>
        </is>
      </c>
      <c r="C4556" s="9" t="inlineStr">
        <is>
          <t>2026-05-31</t>
        </is>
      </c>
      <c r="D4556" s="9" t="inlineStr">
        <is>
          <t>668eeccb35ffc</t>
        </is>
      </c>
      <c r="E4556" s="9" t="inlineStr">
        <is>
          <t>PULSERA T PLATA</t>
        </is>
      </c>
      <c r="F4556" s="9" t="inlineStr">
        <is>
          <t>16 cm</t>
        </is>
      </c>
      <c r="G4556" s="9" t="n">
        <v>3</v>
      </c>
      <c r="H4556" s="21" t="n">
        <v>9.5</v>
      </c>
      <c r="I4556" s="21" t="n">
        <v>251.76</v>
      </c>
      <c r="J4556" s="21" t="n">
        <v>755.28</v>
      </c>
      <c r="K4556" s="21" t="n">
        <v>881.16</v>
      </c>
      <c r="L4556" s="21" t="n">
        <v>1007.04</v>
      </c>
      <c r="M4556" s="21" t="n">
        <v>885</v>
      </c>
    </row>
    <row r="4557">
      <c r="A4557" s="9" t="inlineStr">
        <is>
          <t>CYNTHIA</t>
        </is>
      </c>
      <c r="B4557" s="9" t="inlineStr">
        <is>
          <t>CYNTHIA 31/05/2026</t>
        </is>
      </c>
      <c r="C4557" s="9" t="inlineStr">
        <is>
          <t>2026-05-31</t>
        </is>
      </c>
      <c r="D4557" s="9" t="inlineStr">
        <is>
          <t>43047196098700</t>
        </is>
      </c>
      <c r="E4557" s="9" t="inlineStr">
        <is>
          <t>PULSERA TRUE GOLD</t>
        </is>
      </c>
      <c r="F4557" s="9" t="inlineStr">
        <is>
          <t>20cm</t>
        </is>
      </c>
      <c r="G4557" s="9" t="n">
        <v>2</v>
      </c>
      <c r="H4557" s="21" t="n">
        <v>25.8</v>
      </c>
      <c r="I4557" s="21" t="n">
        <v>683.73</v>
      </c>
      <c r="J4557" s="21" t="n">
        <v>2051.18</v>
      </c>
      <c r="K4557" s="21" t="n">
        <v>2393.04</v>
      </c>
      <c r="L4557" s="21" t="n">
        <v>2734.91</v>
      </c>
      <c r="M4557" s="21" t="n">
        <v>2399</v>
      </c>
    </row>
    <row r="4558">
      <c r="A4558" s="9" t="inlineStr">
        <is>
          <t>CYNTHIA</t>
        </is>
      </c>
      <c r="B4558" s="9" t="inlineStr">
        <is>
          <t>CYNTHIA 31/05/2026</t>
        </is>
      </c>
      <c r="C4558" s="9" t="inlineStr">
        <is>
          <t>2026-05-31</t>
        </is>
      </c>
      <c r="D4558" s="9" t="inlineStr">
        <is>
          <t>6478f2edc6631</t>
        </is>
      </c>
      <c r="E4558" s="9" t="inlineStr">
        <is>
          <t>PULSERA V LISA GOLD</t>
        </is>
      </c>
      <c r="F4558" s="9" t="inlineStr">
        <is>
          <t>16cm</t>
        </is>
      </c>
      <c r="G4558" s="9" t="n">
        <v>2</v>
      </c>
      <c r="H4558" s="21" t="n">
        <v>8.800000000000001</v>
      </c>
      <c r="I4558" s="21" t="n">
        <v>233.21</v>
      </c>
      <c r="J4558" s="21" t="n">
        <v>699.63</v>
      </c>
      <c r="K4558" s="21" t="n">
        <v>816.23</v>
      </c>
      <c r="L4558" s="21" t="n">
        <v>932.84</v>
      </c>
      <c r="M4558" s="21" t="n">
        <v>935</v>
      </c>
    </row>
    <row r="4559">
      <c r="A4559" s="9" t="inlineStr">
        <is>
          <t>CYNTHIA</t>
        </is>
      </c>
      <c r="B4559" s="9" t="inlineStr">
        <is>
          <t>CYNTHIA 31/05/2026</t>
        </is>
      </c>
      <c r="C4559" s="9" t="inlineStr">
        <is>
          <t>2026-05-31</t>
        </is>
      </c>
      <c r="D4559" s="9" t="inlineStr">
        <is>
          <t>668eecae452bf</t>
        </is>
      </c>
      <c r="E4559" s="9" t="inlineStr">
        <is>
          <t>PULSERA WRAP ESLABONES SILVER</t>
        </is>
      </c>
      <c r="F4559" s="9" t="inlineStr">
        <is>
          <t>AJUSTABLE</t>
        </is>
      </c>
      <c r="G4559" s="9" t="n">
        <v>2</v>
      </c>
      <c r="H4559" s="21" t="n">
        <v>25</v>
      </c>
      <c r="I4559" s="21" t="n">
        <v>662.53</v>
      </c>
      <c r="J4559" s="21" t="n">
        <v>1987.58</v>
      </c>
      <c r="K4559" s="21" t="n">
        <v>2318.84</v>
      </c>
      <c r="L4559" s="21" t="n">
        <v>2650.1</v>
      </c>
      <c r="M4559" s="21" t="n">
        <v>2659</v>
      </c>
    </row>
    <row r="4560">
      <c r="A4560" s="9" t="inlineStr">
        <is>
          <t>CYNTHIA</t>
        </is>
      </c>
      <c r="B4560" s="9" t="inlineStr">
        <is>
          <t>CYNTHIA 31/05/2026</t>
        </is>
      </c>
      <c r="C4560" s="9" t="inlineStr">
        <is>
          <t>2026-05-31</t>
        </is>
      </c>
      <c r="D4560" s="9" t="inlineStr">
        <is>
          <t>77137551158381</t>
        </is>
      </c>
      <c r="E4560" s="9" t="inlineStr">
        <is>
          <t>SANDALIAS CC TONGS WHITE</t>
        </is>
      </c>
      <c r="F4560" s="9" t="inlineStr">
        <is>
          <t>40(25MX)</t>
        </is>
      </c>
      <c r="G4560" s="9" t="n">
        <v>2</v>
      </c>
      <c r="H4560" s="21" t="n">
        <v>39</v>
      </c>
      <c r="I4560" s="21" t="n">
        <v>1033.54</v>
      </c>
      <c r="J4560" s="21" t="n">
        <v>3100.62</v>
      </c>
      <c r="K4560" s="21" t="n">
        <v>3617.39</v>
      </c>
      <c r="L4560" s="21" t="n">
        <v>4134.16</v>
      </c>
      <c r="M4560" s="21" t="n">
        <v>3999</v>
      </c>
    </row>
    <row r="4561">
      <c r="A4561" s="9" t="inlineStr">
        <is>
          <t>CYNTHIA</t>
        </is>
      </c>
      <c r="B4561" s="9" t="inlineStr">
        <is>
          <t>CYNTHIA 31/05/2026</t>
        </is>
      </c>
      <c r="C4561" s="9" t="inlineStr">
        <is>
          <t>2026-05-31</t>
        </is>
      </c>
      <c r="D4561" s="9" t="inlineStr">
        <is>
          <t>6701d26098e78</t>
        </is>
      </c>
      <c r="E4561" s="9" t="inlineStr">
        <is>
          <t>SANDALIAS H BLACK</t>
        </is>
      </c>
      <c r="F4561" s="9" t="inlineStr">
        <is>
          <t>40 (25cm)</t>
        </is>
      </c>
      <c r="G4561" s="9" t="n">
        <v>5</v>
      </c>
      <c r="H4561" s="21" t="n">
        <v>34</v>
      </c>
      <c r="I4561" s="21" t="n">
        <v>901.04</v>
      </c>
      <c r="J4561" s="21" t="n">
        <v>2703.11</v>
      </c>
      <c r="K4561" s="21" t="n">
        <v>3153.62</v>
      </c>
      <c r="L4561" s="21" t="n">
        <v>3604.14</v>
      </c>
      <c r="M4561" s="21" t="n">
        <v>3649</v>
      </c>
    </row>
    <row r="4562">
      <c r="A4562" s="9" t="inlineStr">
        <is>
          <t>CYNTHIA</t>
        </is>
      </c>
      <c r="B4562" s="9" t="inlineStr">
        <is>
          <t>CYNTHIA 31/05/2026</t>
        </is>
      </c>
      <c r="C4562" s="9" t="inlineStr">
        <is>
          <t>2026-05-31</t>
        </is>
      </c>
      <c r="D4562" s="9" t="inlineStr">
        <is>
          <t>68339221065441</t>
        </is>
      </c>
      <c r="E4562" s="9" t="inlineStr">
        <is>
          <t>SANDALIAS H BLUE</t>
        </is>
      </c>
      <c r="F4562" s="9" t="inlineStr">
        <is>
          <t>42 (26cm)</t>
        </is>
      </c>
      <c r="G4562" s="9" t="n">
        <v>3</v>
      </c>
      <c r="H4562" s="21" t="n">
        <v>30</v>
      </c>
      <c r="I4562" s="21" t="n">
        <v>795.03</v>
      </c>
      <c r="J4562" s="21" t="n">
        <v>2385.09</v>
      </c>
      <c r="K4562" s="21" t="n">
        <v>2782.61</v>
      </c>
      <c r="L4562" s="21" t="n">
        <v>3180.13</v>
      </c>
      <c r="M4562" s="21" t="n">
        <v>3189</v>
      </c>
    </row>
    <row r="4563">
      <c r="A4563" s="9" t="inlineStr">
        <is>
          <t>CYNTHIA</t>
        </is>
      </c>
      <c r="B4563" s="9" t="inlineStr">
        <is>
          <t>CYNTHIA 31/05/2026</t>
        </is>
      </c>
      <c r="C4563" s="9" t="inlineStr">
        <is>
          <t>2026-05-31</t>
        </is>
      </c>
      <c r="D4563" s="9" t="inlineStr">
        <is>
          <t>6701d25f548f5</t>
        </is>
      </c>
      <c r="E4563" s="9" t="inlineStr">
        <is>
          <t>SANDALIAS H BLUE</t>
        </is>
      </c>
      <c r="F4563" s="9" t="inlineStr">
        <is>
          <t>38 (24cm)</t>
        </is>
      </c>
      <c r="G4563" s="9" t="n">
        <v>1</v>
      </c>
      <c r="H4563" s="21" t="n">
        <v>30</v>
      </c>
      <c r="I4563" s="21" t="n">
        <v>795.03</v>
      </c>
      <c r="J4563" s="21" t="n">
        <v>2385.09</v>
      </c>
      <c r="K4563" s="21" t="n">
        <v>2782.61</v>
      </c>
      <c r="L4563" s="21" t="n">
        <v>3180.13</v>
      </c>
      <c r="M4563" s="21" t="n">
        <v>3189</v>
      </c>
    </row>
    <row r="4564">
      <c r="A4564" s="9" t="inlineStr">
        <is>
          <t>CYNTHIA</t>
        </is>
      </c>
      <c r="B4564" s="9" t="inlineStr">
        <is>
          <t>CYNTHIA 31/05/2026</t>
        </is>
      </c>
      <c r="C4564" s="9" t="inlineStr">
        <is>
          <t>2026-05-31</t>
        </is>
      </c>
      <c r="D4564" s="9" t="inlineStr">
        <is>
          <t>6701d25f548f5</t>
        </is>
      </c>
      <c r="E4564" s="9" t="inlineStr">
        <is>
          <t>SANDALIAS H BLUE</t>
        </is>
      </c>
      <c r="F4564" s="9" t="inlineStr">
        <is>
          <t>38 (24cm)</t>
        </is>
      </c>
      <c r="G4564" s="9" t="n">
        <v>1</v>
      </c>
      <c r="H4564" s="21" t="n">
        <v>30</v>
      </c>
      <c r="I4564" s="21" t="n">
        <v>795.03</v>
      </c>
      <c r="J4564" s="21" t="n">
        <v>2385.09</v>
      </c>
      <c r="K4564" s="21" t="n">
        <v>2782.61</v>
      </c>
      <c r="L4564" s="21" t="n">
        <v>3180.13</v>
      </c>
      <c r="M4564" s="21" t="n">
        <v>3189</v>
      </c>
    </row>
    <row r="4565">
      <c r="A4565" s="9" t="inlineStr">
        <is>
          <t>CYNTHIA</t>
        </is>
      </c>
      <c r="B4565" s="9" t="inlineStr">
        <is>
          <t>CYNTHIA 31/05/2026</t>
        </is>
      </c>
      <c r="C4565" s="9" t="inlineStr">
        <is>
          <t>2026-05-31</t>
        </is>
      </c>
      <c r="D4565" s="9" t="inlineStr">
        <is>
          <t>6701d25e998f7</t>
        </is>
      </c>
      <c r="E4565" s="9" t="inlineStr">
        <is>
          <t>SANDALIAS H BROWN</t>
        </is>
      </c>
      <c r="F4565" s="9" t="inlineStr">
        <is>
          <t>40 (25cm)</t>
        </is>
      </c>
      <c r="G4565" s="9" t="n">
        <v>5</v>
      </c>
      <c r="H4565" s="21" t="n">
        <v>30</v>
      </c>
      <c r="I4565" s="21" t="n">
        <v>795.03</v>
      </c>
      <c r="J4565" s="21" t="n">
        <v>2385.09</v>
      </c>
      <c r="K4565" s="21" t="n">
        <v>2782.61</v>
      </c>
      <c r="L4565" s="21" t="n">
        <v>3180.13</v>
      </c>
      <c r="M4565" s="21" t="n">
        <v>3189</v>
      </c>
    </row>
    <row r="4566">
      <c r="A4566" s="9" t="inlineStr">
        <is>
          <t>CYNTHIA</t>
        </is>
      </c>
      <c r="B4566" s="9" t="inlineStr">
        <is>
          <t>CYNTHIA 31/05/2026</t>
        </is>
      </c>
      <c r="C4566" s="9" t="inlineStr">
        <is>
          <t>2026-05-31</t>
        </is>
      </c>
      <c r="D4566" s="9" t="inlineStr">
        <is>
          <t>71628205648012</t>
        </is>
      </c>
      <c r="E4566" s="9" t="inlineStr">
        <is>
          <t>SANDALIAS H BROWN</t>
        </is>
      </c>
      <c r="F4566" s="9" t="inlineStr">
        <is>
          <t>38 (24cm)</t>
        </is>
      </c>
      <c r="G4566" s="9" t="n">
        <v>5</v>
      </c>
      <c r="H4566" s="21" t="n">
        <v>30</v>
      </c>
      <c r="I4566" s="21" t="n">
        <v>795.03</v>
      </c>
      <c r="J4566" s="21" t="n">
        <v>2385.09</v>
      </c>
      <c r="K4566" s="21" t="n">
        <v>2782.61</v>
      </c>
      <c r="L4566" s="21" t="n">
        <v>3180.13</v>
      </c>
      <c r="M4566" s="21" t="n">
        <v>3189</v>
      </c>
    </row>
    <row r="4567">
      <c r="A4567" s="9" t="inlineStr">
        <is>
          <t>CYNTHIA</t>
        </is>
      </c>
      <c r="B4567" s="9" t="inlineStr">
        <is>
          <t>CYNTHIA 31/05/2026</t>
        </is>
      </c>
      <c r="C4567" s="9" t="inlineStr">
        <is>
          <t>2026-05-31</t>
        </is>
      </c>
      <c r="D4567" s="9" t="inlineStr">
        <is>
          <t>71628205615244</t>
        </is>
      </c>
      <c r="E4567" s="9" t="inlineStr">
        <is>
          <t>SANDALIAS H BROWN</t>
        </is>
      </c>
      <c r="F4567" s="9" t="inlineStr">
        <is>
          <t>37 (23cm)</t>
        </is>
      </c>
      <c r="G4567" s="9" t="n">
        <v>3</v>
      </c>
      <c r="H4567" s="21" t="n">
        <v>30</v>
      </c>
      <c r="I4567" s="21" t="n">
        <v>795.03</v>
      </c>
      <c r="J4567" s="21" t="n">
        <v>2385.09</v>
      </c>
      <c r="K4567" s="21" t="n">
        <v>2782.61</v>
      </c>
      <c r="L4567" s="21" t="n">
        <v>3180.13</v>
      </c>
      <c r="M4567" s="21" t="n">
        <v>3189</v>
      </c>
    </row>
    <row r="4568">
      <c r="A4568" s="9" t="inlineStr">
        <is>
          <t>CYNTHIA</t>
        </is>
      </c>
      <c r="B4568" s="9" t="inlineStr">
        <is>
          <t>CYNTHIA 31/05/2026</t>
        </is>
      </c>
      <c r="C4568" s="9" t="inlineStr">
        <is>
          <t>2026-05-31</t>
        </is>
      </c>
      <c r="D4568" s="9" t="inlineStr">
        <is>
          <t>82224431124141</t>
        </is>
      </c>
      <c r="E4568" s="9" t="inlineStr">
        <is>
          <t>SANDALIAS H WHITE</t>
        </is>
      </c>
      <c r="F4568" s="9" t="inlineStr">
        <is>
          <t>40 (25 cm)</t>
        </is>
      </c>
      <c r="G4568" s="9" t="n">
        <v>6</v>
      </c>
      <c r="H4568" s="21" t="n">
        <v>30</v>
      </c>
      <c r="I4568" s="21" t="n">
        <v>795.03</v>
      </c>
      <c r="J4568" s="21" t="n">
        <v>2385.09</v>
      </c>
      <c r="K4568" s="21" t="n">
        <v>2782.61</v>
      </c>
      <c r="L4568" s="21" t="n">
        <v>3180.13</v>
      </c>
      <c r="M4568" s="21" t="n">
        <v>3189</v>
      </c>
    </row>
    <row r="4569">
      <c r="A4569" s="9" t="inlineStr">
        <is>
          <t>CYNTHIA</t>
        </is>
      </c>
      <c r="B4569" s="9" t="inlineStr">
        <is>
          <t>CYNTHIA 31/05/2026</t>
        </is>
      </c>
      <c r="C4569" s="9" t="inlineStr">
        <is>
          <t>2026-05-31</t>
        </is>
      </c>
      <c r="D4569" s="9" t="inlineStr">
        <is>
          <t>6701d26146e52</t>
        </is>
      </c>
      <c r="E4569" s="9" t="inlineStr">
        <is>
          <t>SANDALIAS H WHITE</t>
        </is>
      </c>
      <c r="F4569" s="9" t="inlineStr">
        <is>
          <t>38 (24cm)</t>
        </is>
      </c>
      <c r="G4569" s="9" t="n">
        <v>1</v>
      </c>
      <c r="H4569" s="21" t="n">
        <v>30</v>
      </c>
      <c r="I4569" s="21" t="n">
        <v>795.03</v>
      </c>
      <c r="J4569" s="21" t="n">
        <v>2385.09</v>
      </c>
      <c r="K4569" s="21" t="n">
        <v>2782.61</v>
      </c>
      <c r="L4569" s="21" t="n">
        <v>3180.13</v>
      </c>
      <c r="M4569" s="21" t="n">
        <v>3189</v>
      </c>
    </row>
    <row r="4570">
      <c r="A4570" s="9" t="inlineStr">
        <is>
          <t>CYNTHIA</t>
        </is>
      </c>
      <c r="B4570" s="9" t="inlineStr">
        <is>
          <t>CYNTHIA 31/05/2026</t>
        </is>
      </c>
      <c r="C4570" s="9" t="inlineStr">
        <is>
          <t>2026-05-31</t>
        </is>
      </c>
      <c r="D4570" s="9" t="inlineStr">
        <is>
          <t>6701d26146e52</t>
        </is>
      </c>
      <c r="E4570" s="9" t="inlineStr">
        <is>
          <t>SANDALIAS H WHITE</t>
        </is>
      </c>
      <c r="F4570" s="9" t="inlineStr">
        <is>
          <t>38 (24cm)</t>
        </is>
      </c>
      <c r="G4570" s="9" t="n">
        <v>2</v>
      </c>
      <c r="H4570" s="21" t="n">
        <v>30</v>
      </c>
      <c r="I4570" s="21" t="n">
        <v>795.03</v>
      </c>
      <c r="J4570" s="21" t="n">
        <v>2385.09</v>
      </c>
      <c r="K4570" s="21" t="n">
        <v>2782.61</v>
      </c>
      <c r="L4570" s="21" t="n">
        <v>3180.13</v>
      </c>
      <c r="M4570" s="21" t="n">
        <v>3189</v>
      </c>
    </row>
    <row r="4571">
      <c r="A4571" s="9" t="inlineStr">
        <is>
          <t>CYNTHIA</t>
        </is>
      </c>
      <c r="B4571" s="9" t="inlineStr">
        <is>
          <t>CYNTHIA 31/05/2026</t>
        </is>
      </c>
      <c r="C4571" s="9" t="inlineStr">
        <is>
          <t>2026-05-31</t>
        </is>
      </c>
      <c r="D4571" s="9" t="inlineStr">
        <is>
          <t>6701d26083b55</t>
        </is>
      </c>
      <c r="E4571" s="9" t="inlineStr">
        <is>
          <t>SANDALIAS H WHITE</t>
        </is>
      </c>
      <c r="F4571" s="9" t="inlineStr">
        <is>
          <t>37 (23 cm)</t>
        </is>
      </c>
      <c r="G4571" s="9" t="n">
        <v>3</v>
      </c>
      <c r="H4571" s="21" t="n">
        <v>30</v>
      </c>
      <c r="I4571" s="21" t="n">
        <v>795.03</v>
      </c>
      <c r="J4571" s="21" t="n">
        <v>2385.09</v>
      </c>
      <c r="K4571" s="21" t="n">
        <v>2782.61</v>
      </c>
      <c r="L4571" s="21" t="n">
        <v>3180.13</v>
      </c>
      <c r="M4571" s="21" t="n">
        <v>3189</v>
      </c>
    </row>
    <row r="4572">
      <c r="A4572" s="9" t="inlineStr">
        <is>
          <t>CYNTHIA</t>
        </is>
      </c>
      <c r="B4572" s="9" t="inlineStr">
        <is>
          <t>CYNTHIA 31/05/2026</t>
        </is>
      </c>
      <c r="C4572" s="9" t="inlineStr">
        <is>
          <t>2026-05-31</t>
        </is>
      </c>
      <c r="D4572" s="9" t="inlineStr">
        <is>
          <t>81712806153996</t>
        </is>
      </c>
      <c r="E4572" s="9" t="inlineStr">
        <is>
          <t>SANDALIAS MM</t>
        </is>
      </c>
      <c r="F4572" s="9" t="inlineStr">
        <is>
          <t>40/ 25cm</t>
        </is>
      </c>
      <c r="G4572" s="9" t="n">
        <v>5</v>
      </c>
      <c r="H4572" s="21" t="n">
        <v>28</v>
      </c>
      <c r="I4572" s="21" t="n">
        <v>742.03</v>
      </c>
      <c r="J4572" s="21" t="n">
        <v>2226.09</v>
      </c>
      <c r="K4572" s="21" t="n">
        <v>2597.1</v>
      </c>
      <c r="L4572" s="21" t="n">
        <v>2968.12</v>
      </c>
      <c r="M4572" s="21" t="n">
        <v>2999</v>
      </c>
    </row>
    <row r="4573">
      <c r="A4573" s="9" t="inlineStr">
        <is>
          <t>CYNTHIA</t>
        </is>
      </c>
      <c r="B4573" s="9" t="inlineStr">
        <is>
          <t>CYNTHIA 31/05/2026</t>
        </is>
      </c>
      <c r="C4573" s="9" t="inlineStr">
        <is>
          <t>2026-05-31</t>
        </is>
      </c>
      <c r="D4573" s="9" t="inlineStr">
        <is>
          <t>81712806088460</t>
        </is>
      </c>
      <c r="E4573" s="9" t="inlineStr">
        <is>
          <t>SANDALIAS MM</t>
        </is>
      </c>
      <c r="F4573" s="9" t="inlineStr">
        <is>
          <t>37/ 23cm</t>
        </is>
      </c>
      <c r="G4573" s="9" t="n">
        <v>3</v>
      </c>
      <c r="H4573" s="21" t="n">
        <v>28</v>
      </c>
      <c r="I4573" s="21" t="n">
        <v>742.03</v>
      </c>
      <c r="J4573" s="21" t="n">
        <v>2226.09</v>
      </c>
      <c r="K4573" s="21" t="n">
        <v>2597.1</v>
      </c>
      <c r="L4573" s="21" t="n">
        <v>2968.12</v>
      </c>
      <c r="M4573" s="21" t="n">
        <v>2999</v>
      </c>
    </row>
    <row r="4574">
      <c r="A4574" s="9" t="inlineStr">
        <is>
          <t>CYNTHIA</t>
        </is>
      </c>
      <c r="B4574" s="9" t="inlineStr">
        <is>
          <t>CYNTHIA 31/05/2026</t>
        </is>
      </c>
      <c r="C4574" s="9" t="inlineStr">
        <is>
          <t>2026-05-31</t>
        </is>
      </c>
      <c r="D4574" s="9" t="inlineStr">
        <is>
          <t>81712806121228</t>
        </is>
      </c>
      <c r="E4574" s="9" t="inlineStr">
        <is>
          <t>SANDALIAS MM</t>
        </is>
      </c>
      <c r="F4574" s="9" t="inlineStr">
        <is>
          <t>38/ 24cm</t>
        </is>
      </c>
      <c r="G4574" s="9" t="n">
        <v>2</v>
      </c>
      <c r="H4574" s="21" t="n">
        <v>28</v>
      </c>
      <c r="I4574" s="21" t="n">
        <v>742.03</v>
      </c>
      <c r="J4574" s="21" t="n">
        <v>2226.09</v>
      </c>
      <c r="K4574" s="21" t="n">
        <v>2597.1</v>
      </c>
      <c r="L4574" s="21" t="n">
        <v>2968.12</v>
      </c>
      <c r="M4574" s="21" t="n">
        <v>2999</v>
      </c>
    </row>
    <row r="4575">
      <c r="A4575" s="9" t="inlineStr">
        <is>
          <t>CYNTHIA</t>
        </is>
      </c>
      <c r="B4575" s="9" t="inlineStr">
        <is>
          <t>CYNTHIA 31/05/2026</t>
        </is>
      </c>
      <c r="C4575" s="9" t="inlineStr">
        <is>
          <t>2026-05-31</t>
        </is>
      </c>
      <c r="D4575" s="9" t="inlineStr">
        <is>
          <t>33644561374637</t>
        </is>
      </c>
      <c r="E4575" s="9" t="inlineStr">
        <is>
          <t>SOMBRERO MM BEACH RAFFIA</t>
        </is>
      </c>
      <c r="F4575" s="9" t="inlineStr">
        <is>
          <t>33644561374637</t>
        </is>
      </c>
      <c r="G4575" s="9" t="n">
        <v>2</v>
      </c>
      <c r="H4575" s="21" t="n">
        <v>16</v>
      </c>
      <c r="I4575" s="21" t="n">
        <v>424.02</v>
      </c>
      <c r="J4575" s="21" t="n">
        <v>1272.05</v>
      </c>
      <c r="K4575" s="21" t="n">
        <v>1484.06</v>
      </c>
      <c r="L4575" s="21" t="n">
        <v>1696.07</v>
      </c>
      <c r="M4575" s="21" t="n">
        <v>1699</v>
      </c>
    </row>
    <row r="4576">
      <c r="A4576" s="9" t="inlineStr">
        <is>
          <t>CYNTHIA</t>
        </is>
      </c>
      <c r="B4576" s="9" t="inlineStr">
        <is>
          <t>CYNTHIA 31/05/2026</t>
        </is>
      </c>
      <c r="C4576" s="9" t="inlineStr">
        <is>
          <t>2026-05-31</t>
        </is>
      </c>
      <c r="D4576" s="9" t="inlineStr">
        <is>
          <t>33644561498925</t>
        </is>
      </c>
      <c r="E4576" s="9" t="inlineStr">
        <is>
          <t>SOMBRERO MM BEACH RAFFIA BROWN</t>
        </is>
      </c>
      <c r="F4576" s="9" t="inlineStr">
        <is>
          <t>33644561498925</t>
        </is>
      </c>
      <c r="G4576" s="9" t="n">
        <v>2</v>
      </c>
      <c r="H4576" s="21" t="n">
        <v>16</v>
      </c>
      <c r="I4576" s="21" t="n">
        <v>424.02</v>
      </c>
      <c r="J4576" s="21" t="n">
        <v>1272.05</v>
      </c>
      <c r="K4576" s="21" t="n">
        <v>1484.06</v>
      </c>
      <c r="L4576" s="21" t="n">
        <v>1696.07</v>
      </c>
      <c r="M4576" s="21" t="n">
        <v>1699</v>
      </c>
    </row>
    <row r="4577">
      <c r="A4577" s="9" t="inlineStr">
        <is>
          <t>CYNTHIA</t>
        </is>
      </c>
      <c r="B4577" s="9" t="inlineStr">
        <is>
          <t>CYNTHIA 31/05/2026</t>
        </is>
      </c>
      <c r="C4577" s="9" t="inlineStr">
        <is>
          <t>2026-05-31</t>
        </is>
      </c>
      <c r="D4577" s="9" t="inlineStr">
        <is>
          <t>79010371019917</t>
        </is>
      </c>
      <c r="E4577" s="9" t="inlineStr">
        <is>
          <t>SOMBRERO MM BEACH RAFFIA CAQUI</t>
        </is>
      </c>
      <c r="F4577" s="9" t="inlineStr">
        <is>
          <t>PRODUCTO NUEVO</t>
        </is>
      </c>
      <c r="G4577" s="9" t="n">
        <v>2</v>
      </c>
      <c r="H4577" s="21" t="n">
        <v>16</v>
      </c>
      <c r="I4577" s="21" t="n">
        <v>424.02</v>
      </c>
      <c r="J4577" s="21" t="n">
        <v>1272.05</v>
      </c>
      <c r="K4577" s="21" t="n">
        <v>1484.06</v>
      </c>
      <c r="L4577" s="21" t="n">
        <v>1696.07</v>
      </c>
      <c r="M4577" s="21" t="n">
        <v>1699</v>
      </c>
    </row>
    <row r="4578">
      <c r="A4578" s="9" t="inlineStr">
        <is>
          <t>CYNTHIA</t>
        </is>
      </c>
      <c r="B4578" s="9" t="inlineStr">
        <is>
          <t>CYNTHIA 31/05/2026</t>
        </is>
      </c>
      <c r="C4578" s="9" t="inlineStr">
        <is>
          <t>2026-05-31</t>
        </is>
      </c>
      <c r="D4578" s="9" t="inlineStr">
        <is>
          <t>98269351593261</t>
        </is>
      </c>
      <c r="E4578" s="9" t="inlineStr">
        <is>
          <t>SUETER PR BLACK CON PLACA DEL LOGO</t>
        </is>
      </c>
      <c r="F4578" s="9" t="inlineStr">
        <is>
          <t>S</t>
        </is>
      </c>
      <c r="G4578" s="9" t="n">
        <v>3</v>
      </c>
      <c r="H4578" s="21" t="n">
        <v>22.8</v>
      </c>
      <c r="I4578" s="21" t="n">
        <v>604.22</v>
      </c>
      <c r="J4578" s="21" t="n">
        <v>1812.67</v>
      </c>
      <c r="K4578" s="21" t="n">
        <v>2114.78</v>
      </c>
      <c r="L4578" s="21" t="n">
        <v>2416.9</v>
      </c>
      <c r="M4578" s="21" t="n">
        <v>2499</v>
      </c>
    </row>
    <row r="4579">
      <c r="A4579" s="9" t="inlineStr">
        <is>
          <t>CYNTHIA</t>
        </is>
      </c>
      <c r="B4579" s="9" t="inlineStr">
        <is>
          <t>CYNTHIA 31/05/2026</t>
        </is>
      </c>
      <c r="C4579" s="9" t="inlineStr">
        <is>
          <t>2026-05-31</t>
        </is>
      </c>
      <c r="D4579" s="9" t="inlineStr">
        <is>
          <t>98269351593262</t>
        </is>
      </c>
      <c r="E4579" s="9" t="inlineStr">
        <is>
          <t>SUETER PR BLACK CON PLACA DEL LOGO</t>
        </is>
      </c>
      <c r="F4579" s="9" t="inlineStr">
        <is>
          <t>M</t>
        </is>
      </c>
      <c r="G4579" s="9" t="n">
        <v>2</v>
      </c>
      <c r="H4579" s="21" t="n">
        <v>22.8</v>
      </c>
      <c r="I4579" s="21" t="n">
        <v>604.22</v>
      </c>
      <c r="J4579" s="21" t="n">
        <v>1812.67</v>
      </c>
      <c r="K4579" s="21" t="n">
        <v>2114.78</v>
      </c>
      <c r="L4579" s="21" t="n">
        <v>2416.9</v>
      </c>
      <c r="M4579" s="21" t="n">
        <v>2499</v>
      </c>
    </row>
    <row r="4580">
      <c r="A4580" s="9" t="inlineStr">
        <is>
          <t>CYNTHIA</t>
        </is>
      </c>
      <c r="B4580" s="9" t="inlineStr">
        <is>
          <t>CYNTHIA 31/05/2026</t>
        </is>
      </c>
      <c r="C4580" s="9" t="inlineStr">
        <is>
          <t>2026-05-31</t>
        </is>
      </c>
      <c r="D4580" s="9" t="inlineStr">
        <is>
          <t>77137551286061</t>
        </is>
      </c>
      <c r="E4580" s="9" t="inlineStr">
        <is>
          <t>TARJETERO CC CLASSIC</t>
        </is>
      </c>
      <c r="F4580" s="9" t="inlineStr">
        <is>
          <t>PRODUCTO NUEVO</t>
        </is>
      </c>
      <c r="G4580" s="9" t="n">
        <v>2</v>
      </c>
      <c r="H4580" s="21" t="n">
        <v>19</v>
      </c>
      <c r="I4580" s="21" t="n">
        <v>503.52</v>
      </c>
      <c r="J4580" s="21" t="n">
        <v>1510.56</v>
      </c>
      <c r="K4580" s="21" t="n">
        <v>1762.32</v>
      </c>
      <c r="L4580" s="21" t="n">
        <v>2014.08</v>
      </c>
      <c r="M4580" s="21" t="n">
        <v>1765</v>
      </c>
    </row>
    <row r="4581">
      <c r="A4581" s="9" t="inlineStr">
        <is>
          <t>CYNTHIA</t>
        </is>
      </c>
      <c r="B4581" s="9" t="inlineStr">
        <is>
          <t>CYNTHIA 31/05/2026</t>
        </is>
      </c>
      <c r="C4581" s="9" t="inlineStr">
        <is>
          <t>2026-05-31</t>
        </is>
      </c>
      <c r="D4581" s="9" t="inlineStr">
        <is>
          <t>14401522235501</t>
        </is>
      </c>
      <c r="E4581" s="9" t="inlineStr">
        <is>
          <t>TARJETERO GC HORSEBIT 1955</t>
        </is>
      </c>
      <c r="F4581" s="9" t="inlineStr">
        <is>
          <t>Default Title</t>
        </is>
      </c>
      <c r="G4581" s="9" t="n">
        <v>3</v>
      </c>
      <c r="H4581" s="21" t="n">
        <v>33</v>
      </c>
      <c r="I4581" s="21" t="n">
        <v>874.53</v>
      </c>
      <c r="J4581" s="21" t="n">
        <v>2623.6</v>
      </c>
      <c r="K4581" s="21" t="n">
        <v>3060.87</v>
      </c>
      <c r="L4581" s="21" t="n">
        <v>3498.14</v>
      </c>
      <c r="M4581" s="21" t="n">
        <v>3499</v>
      </c>
    </row>
    <row r="4582">
      <c r="A4582" s="9" t="inlineStr">
        <is>
          <t>CYNTHIA</t>
        </is>
      </c>
      <c r="B4582" s="9" t="inlineStr">
        <is>
          <t>CYNTHIA 31/05/2026</t>
        </is>
      </c>
      <c r="C4582" s="9" t="inlineStr">
        <is>
          <t>2026-05-31</t>
        </is>
      </c>
      <c r="D4582" s="9" t="inlineStr">
        <is>
          <t>GISEL</t>
        </is>
      </c>
      <c r="E4582" s="9" t="inlineStr">
        <is>
          <t>TARJETERO YSL BURGUNDY</t>
        </is>
      </c>
      <c r="F4582" s="9" t="inlineStr">
        <is>
          <t>GISEL</t>
        </is>
      </c>
      <c r="G4582" s="9" t="n">
        <v>1</v>
      </c>
      <c r="H4582" s="21" t="n">
        <v>20</v>
      </c>
      <c r="I4582" s="21" t="n">
        <v>530.02</v>
      </c>
      <c r="J4582" s="21" t="n"/>
      <c r="K4582" s="21" t="n"/>
      <c r="L4582" s="21" t="n"/>
      <c r="M4582" s="21" t="n"/>
    </row>
    <row r="4583">
      <c r="A4583" s="9" t="inlineStr">
        <is>
          <t>CYNTHIA</t>
        </is>
      </c>
      <c r="B4583" s="9" t="inlineStr">
        <is>
          <t>CYNTHIA 31/05/2026</t>
        </is>
      </c>
      <c r="C4583" s="9" t="inlineStr">
        <is>
          <t>2026-05-31</t>
        </is>
      </c>
      <c r="D4583" s="9" t="inlineStr">
        <is>
          <t>16572648011276</t>
        </is>
      </c>
      <c r="E4583" s="9" t="inlineStr">
        <is>
          <t>TRAJE DE BAÑO COMPLETO VC</t>
        </is>
      </c>
      <c r="F4583" s="9" t="inlineStr">
        <is>
          <t>XL</t>
        </is>
      </c>
      <c r="G4583" s="9" t="n">
        <v>2</v>
      </c>
      <c r="H4583" s="21" t="n">
        <v>12.8</v>
      </c>
      <c r="I4583" s="21" t="n">
        <v>339.21</v>
      </c>
      <c r="J4583" s="21" t="n">
        <v>1017.64</v>
      </c>
      <c r="K4583" s="21" t="n">
        <v>1187.25</v>
      </c>
      <c r="L4583" s="21" t="n">
        <v>1356.85</v>
      </c>
      <c r="M4583" s="21" t="n">
        <v>1359</v>
      </c>
    </row>
    <row r="4584">
      <c r="A4584" s="9" t="inlineStr">
        <is>
          <t>CYNTHIA</t>
        </is>
      </c>
      <c r="B4584" s="9" t="inlineStr">
        <is>
          <t>CYNTHIA 31/05/2026</t>
        </is>
      </c>
      <c r="C4584" s="9" t="inlineStr">
        <is>
          <t>2026-05-31</t>
        </is>
      </c>
      <c r="D4584" s="9" t="inlineStr">
        <is>
          <t>16572648601100</t>
        </is>
      </c>
      <c r="E4584" s="9" t="inlineStr">
        <is>
          <t>TRAJE DE BAÑO PR BLACK</t>
        </is>
      </c>
      <c r="F4584" s="9" t="inlineStr">
        <is>
          <t>XL</t>
        </is>
      </c>
      <c r="G4584" s="9" t="n">
        <v>2</v>
      </c>
      <c r="H4584" s="21" t="n">
        <v>10.8</v>
      </c>
      <c r="I4584" s="21" t="n">
        <v>286.21</v>
      </c>
      <c r="J4584" s="21" t="n">
        <v>858.63</v>
      </c>
      <c r="K4584" s="21" t="n">
        <v>1001.74</v>
      </c>
      <c r="L4584" s="21" t="n">
        <v>1144.85</v>
      </c>
      <c r="M4584" s="21" t="n">
        <v>1199</v>
      </c>
    </row>
    <row r="4585">
      <c r="A4585" s="9" t="inlineStr">
        <is>
          <t>CYNTHIA</t>
        </is>
      </c>
      <c r="B4585" s="9" t="inlineStr">
        <is>
          <t>CYNTHIA 31/05/2026</t>
        </is>
      </c>
      <c r="C4585" s="9" t="inlineStr">
        <is>
          <t>2026-05-31</t>
        </is>
      </c>
      <c r="D4585" s="9" t="inlineStr">
        <is>
          <t>11915828138155</t>
        </is>
      </c>
      <c r="E4585" s="9" t="inlineStr">
        <is>
          <t>TRAJE DE BAÑO V</t>
        </is>
      </c>
      <c r="F4585" s="9" t="inlineStr">
        <is>
          <t>L</t>
        </is>
      </c>
      <c r="G4585" s="9" t="n">
        <v>2</v>
      </c>
      <c r="H4585" s="21" t="n">
        <v>10.8</v>
      </c>
      <c r="I4585" s="21" t="n">
        <v>286.21</v>
      </c>
      <c r="J4585" s="21" t="n">
        <v>858.63</v>
      </c>
      <c r="K4585" s="21" t="n">
        <v>1001.74</v>
      </c>
      <c r="L4585" s="21" t="n">
        <v>1144.85</v>
      </c>
      <c r="M4585" s="21" t="n">
        <v>1149</v>
      </c>
    </row>
    <row r="4586">
      <c r="A4586" s="9" t="inlineStr">
        <is>
          <t>NANCY</t>
        </is>
      </c>
      <c r="B4586" s="9" t="inlineStr">
        <is>
          <t>NANCY 31/05/2026</t>
        </is>
      </c>
      <c r="C4586" s="9" t="inlineStr">
        <is>
          <t>2026-05-31</t>
        </is>
      </c>
      <c r="D4586" s="9" t="inlineStr">
        <is>
          <t>71036863389452</t>
        </is>
      </c>
      <c r="E4586" s="9" t="inlineStr">
        <is>
          <t>ANILLO BV CON UNA ZIRCONIA GOLD</t>
        </is>
      </c>
      <c r="F4586" s="9" t="inlineStr">
        <is>
          <t>7</t>
        </is>
      </c>
      <c r="G4586" s="9" t="n">
        <v>2</v>
      </c>
      <c r="H4586" s="21" t="n">
        <v>3.99</v>
      </c>
      <c r="I4586" s="21" t="n">
        <v>96.83</v>
      </c>
      <c r="J4586" s="21" t="n">
        <v>290.48</v>
      </c>
      <c r="K4586" s="21" t="n">
        <v>338.9</v>
      </c>
      <c r="L4586" s="21" t="n">
        <v>387.31</v>
      </c>
      <c r="M4586" s="21" t="n">
        <v>489</v>
      </c>
    </row>
    <row r="4587">
      <c r="A4587" s="9" t="inlineStr">
        <is>
          <t>NANCY</t>
        </is>
      </c>
      <c r="B4587" s="9" t="inlineStr">
        <is>
          <t>NANCY 31/05/2026</t>
        </is>
      </c>
      <c r="C4587" s="9" t="inlineStr">
        <is>
          <t>2026-05-31</t>
        </is>
      </c>
      <c r="D4587" s="9" t="inlineStr">
        <is>
          <t>62745763277677</t>
        </is>
      </c>
      <c r="E4587" s="9" t="inlineStr">
        <is>
          <t>ANILLO C CLASH ONYX</t>
        </is>
      </c>
      <c r="F4587" s="9" t="inlineStr">
        <is>
          <t>6</t>
        </is>
      </c>
      <c r="G4587" s="9" t="n">
        <v>2</v>
      </c>
      <c r="H4587" s="21" t="n">
        <v>10.89</v>
      </c>
      <c r="I4587" s="21" t="n">
        <v>264.27</v>
      </c>
      <c r="J4587" s="21" t="n">
        <v>792.8200000000001</v>
      </c>
      <c r="K4587" s="21" t="n">
        <v>924.96</v>
      </c>
      <c r="L4587" s="21" t="n">
        <v>1057.1</v>
      </c>
      <c r="M4587" s="21" t="n">
        <v>0</v>
      </c>
    </row>
    <row r="4588">
      <c r="A4588" s="9" t="inlineStr">
        <is>
          <t>NANCY</t>
        </is>
      </c>
      <c r="B4588" s="9" t="inlineStr">
        <is>
          <t>NANCY 31/05/2026</t>
        </is>
      </c>
      <c r="C4588" s="9" t="inlineStr">
        <is>
          <t>2026-05-31</t>
        </is>
      </c>
      <c r="D4588" s="9" t="inlineStr">
        <is>
          <t>62745763310445</t>
        </is>
      </c>
      <c r="E4588" s="9" t="inlineStr">
        <is>
          <t>ANILLO C CLASH ONYX</t>
        </is>
      </c>
      <c r="F4588" s="9" t="inlineStr">
        <is>
          <t>7</t>
        </is>
      </c>
      <c r="G4588" s="9" t="n">
        <v>2</v>
      </c>
      <c r="H4588" s="21" t="n">
        <v>10.89</v>
      </c>
      <c r="I4588" s="21" t="n">
        <v>264.27</v>
      </c>
      <c r="J4588" s="21" t="n">
        <v>792.8200000000001</v>
      </c>
      <c r="K4588" s="21" t="n">
        <v>924.96</v>
      </c>
      <c r="L4588" s="21" t="n">
        <v>1057.1</v>
      </c>
      <c r="M4588" s="21" t="n">
        <v>0</v>
      </c>
    </row>
    <row r="4589">
      <c r="A4589" s="9" t="inlineStr">
        <is>
          <t>NANCY</t>
        </is>
      </c>
      <c r="B4589" s="9" t="inlineStr">
        <is>
          <t>NANCY 31/05/2026</t>
        </is>
      </c>
      <c r="C4589" s="9" t="inlineStr">
        <is>
          <t>2026-05-31</t>
        </is>
      </c>
      <c r="D4589" s="9" t="inlineStr">
        <is>
          <t>58980702033101</t>
        </is>
      </c>
      <c r="E4589" s="9" t="inlineStr">
        <is>
          <t>ANILLO CC CAMELIA ROSE GOLD</t>
        </is>
      </c>
      <c r="F4589" s="9" t="inlineStr">
        <is>
          <t>6</t>
        </is>
      </c>
      <c r="G4589" s="9" t="n">
        <v>2</v>
      </c>
      <c r="H4589" s="21" t="n">
        <v>10.59</v>
      </c>
      <c r="I4589" s="21" t="n">
        <v>256.99</v>
      </c>
      <c r="J4589" s="21" t="n">
        <v>770.98</v>
      </c>
      <c r="K4589" s="21" t="n">
        <v>899.48</v>
      </c>
      <c r="L4589" s="21" t="n">
        <v>1027.98</v>
      </c>
      <c r="M4589" s="21" t="n">
        <v>0</v>
      </c>
    </row>
    <row r="4590">
      <c r="A4590" s="9" t="inlineStr">
        <is>
          <t>NANCY</t>
        </is>
      </c>
      <c r="B4590" s="9" t="inlineStr">
        <is>
          <t>NANCY 31/05/2026</t>
        </is>
      </c>
      <c r="C4590" s="9" t="inlineStr">
        <is>
          <t>2026-05-31</t>
        </is>
      </c>
      <c r="D4590" s="9" t="inlineStr">
        <is>
          <t>58980702165869</t>
        </is>
      </c>
      <c r="E4590" s="9" t="inlineStr">
        <is>
          <t>ANILLO CC CAMELIA ROSE GOLD</t>
        </is>
      </c>
      <c r="F4590" s="9" t="inlineStr">
        <is>
          <t>7</t>
        </is>
      </c>
      <c r="G4590" s="9" t="n">
        <v>2</v>
      </c>
      <c r="H4590" s="21" t="n">
        <v>10.59</v>
      </c>
      <c r="I4590" s="21" t="n">
        <v>256.99</v>
      </c>
      <c r="J4590" s="21" t="n">
        <v>770.98</v>
      </c>
      <c r="K4590" s="21" t="n">
        <v>899.48</v>
      </c>
      <c r="L4590" s="21" t="n">
        <v>1027.98</v>
      </c>
      <c r="M4590" s="21" t="n">
        <v>0</v>
      </c>
    </row>
    <row r="4591">
      <c r="A4591" s="9" t="inlineStr">
        <is>
          <t>NANCY</t>
        </is>
      </c>
      <c r="B4591" s="9" t="inlineStr">
        <is>
          <t>NANCY 31/05/2026</t>
        </is>
      </c>
      <c r="C4591" s="9" t="inlineStr">
        <is>
          <t>2026-05-31</t>
        </is>
      </c>
      <c r="D4591" s="9" t="inlineStr">
        <is>
          <t>58980701834797</t>
        </is>
      </c>
      <c r="E4591" s="9" t="inlineStr">
        <is>
          <t>ANILLO CC COCO SLIM SILVER</t>
        </is>
      </c>
      <c r="F4591" s="9" t="inlineStr">
        <is>
          <t>6</t>
        </is>
      </c>
      <c r="G4591" s="9" t="n">
        <v>2</v>
      </c>
      <c r="H4591" s="21" t="n">
        <v>7.39</v>
      </c>
      <c r="I4591" s="21" t="n">
        <v>179.34</v>
      </c>
      <c r="J4591" s="21" t="n">
        <v>538.01</v>
      </c>
      <c r="K4591" s="21" t="n">
        <v>627.6799999999999</v>
      </c>
      <c r="L4591" s="21" t="n">
        <v>717.35</v>
      </c>
      <c r="M4591" s="21" t="n">
        <v>0</v>
      </c>
    </row>
    <row r="4592">
      <c r="A4592" s="9" t="inlineStr">
        <is>
          <t>NANCY</t>
        </is>
      </c>
      <c r="B4592" s="9" t="inlineStr">
        <is>
          <t>NANCY 31/05/2026</t>
        </is>
      </c>
      <c r="C4592" s="9" t="inlineStr">
        <is>
          <t>2026-05-31</t>
        </is>
      </c>
      <c r="D4592" s="9" t="inlineStr">
        <is>
          <t>58980701967565</t>
        </is>
      </c>
      <c r="E4592" s="9" t="inlineStr">
        <is>
          <t>ANILLO CC COCO SLIM SILVER</t>
        </is>
      </c>
      <c r="F4592" s="9" t="inlineStr">
        <is>
          <t>7</t>
        </is>
      </c>
      <c r="G4592" s="9" t="n">
        <v>2</v>
      </c>
      <c r="H4592" s="21" t="n">
        <v>7.39</v>
      </c>
      <c r="I4592" s="21" t="n">
        <v>179.34</v>
      </c>
      <c r="J4592" s="21" t="n">
        <v>538.01</v>
      </c>
      <c r="K4592" s="21" t="n">
        <v>627.6799999999999</v>
      </c>
      <c r="L4592" s="21" t="n">
        <v>717.35</v>
      </c>
      <c r="M4592" s="21" t="n">
        <v>0</v>
      </c>
    </row>
    <row r="4593">
      <c r="A4593" s="9" t="inlineStr">
        <is>
          <t>NANCY</t>
        </is>
      </c>
      <c r="B4593" s="9" t="inlineStr">
        <is>
          <t>NANCY 31/05/2026</t>
        </is>
      </c>
      <c r="C4593" s="9" t="inlineStr">
        <is>
          <t>2026-05-31</t>
        </is>
      </c>
      <c r="D4593" s="9" t="inlineStr">
        <is>
          <t>58980701641581</t>
        </is>
      </c>
      <c r="E4593" s="9" t="inlineStr">
        <is>
          <t>ANILLO CC COCO ZIRCONIA GOLD</t>
        </is>
      </c>
      <c r="F4593" s="9" t="inlineStr">
        <is>
          <t>Default Title</t>
        </is>
      </c>
      <c r="G4593" s="9" t="n">
        <v>2</v>
      </c>
      <c r="H4593" s="21" t="n">
        <v>6.69</v>
      </c>
      <c r="I4593" s="21" t="n">
        <v>162.35</v>
      </c>
      <c r="J4593" s="21" t="n">
        <v>487.05</v>
      </c>
      <c r="K4593" s="21" t="n">
        <v>568.23</v>
      </c>
      <c r="L4593" s="21" t="n">
        <v>649.4</v>
      </c>
      <c r="M4593" s="21" t="n">
        <v>0</v>
      </c>
    </row>
    <row r="4594">
      <c r="A4594" s="9" t="inlineStr">
        <is>
          <t>NANCY</t>
        </is>
      </c>
      <c r="B4594" s="9" t="inlineStr">
        <is>
          <t>NANCY 31/05/2026</t>
        </is>
      </c>
      <c r="C4594" s="9" t="inlineStr">
        <is>
          <t>2026-05-31</t>
        </is>
      </c>
      <c r="D4594" s="9" t="inlineStr">
        <is>
          <t>58980701543277</t>
        </is>
      </c>
      <c r="E4594" s="9" t="inlineStr">
        <is>
          <t>ANILLO CC COCO ZIRCONIA ROSE GOLD</t>
        </is>
      </c>
      <c r="F4594" s="9" t="inlineStr">
        <is>
          <t>Default Title</t>
        </is>
      </c>
      <c r="G4594" s="9" t="n">
        <v>2</v>
      </c>
      <c r="H4594" s="21" t="n">
        <v>6.69</v>
      </c>
      <c r="I4594" s="21" t="n">
        <v>162.35</v>
      </c>
      <c r="J4594" s="21" t="n">
        <v>487.05</v>
      </c>
      <c r="K4594" s="21" t="n">
        <v>568.23</v>
      </c>
      <c r="L4594" s="21" t="n">
        <v>649.4</v>
      </c>
      <c r="M4594" s="21" t="n">
        <v>0</v>
      </c>
    </row>
    <row r="4595">
      <c r="A4595" s="9" t="inlineStr">
        <is>
          <t>NANCY</t>
        </is>
      </c>
      <c r="B4595" s="9" t="inlineStr">
        <is>
          <t>NANCY 31/05/2026</t>
        </is>
      </c>
      <c r="C4595" s="9" t="inlineStr">
        <is>
          <t>2026-05-31</t>
        </is>
      </c>
      <c r="D4595" s="9" t="inlineStr">
        <is>
          <t>58980701738189</t>
        </is>
      </c>
      <c r="E4595" s="9" t="inlineStr">
        <is>
          <t>ANILLO CC COCO ZIRCONIA SILVER</t>
        </is>
      </c>
      <c r="F4595" s="9" t="inlineStr">
        <is>
          <t>Default Title</t>
        </is>
      </c>
      <c r="G4595" s="9" t="n">
        <v>2</v>
      </c>
      <c r="H4595" s="21" t="n">
        <v>6.69</v>
      </c>
      <c r="I4595" s="21" t="n">
        <v>162.35</v>
      </c>
      <c r="J4595" s="21" t="n">
        <v>487.05</v>
      </c>
      <c r="K4595" s="21" t="n">
        <v>568.23</v>
      </c>
      <c r="L4595" s="21" t="n">
        <v>649.4</v>
      </c>
      <c r="M4595" s="21" t="n">
        <v>0</v>
      </c>
    </row>
    <row r="4596">
      <c r="A4596" s="9" t="inlineStr">
        <is>
          <t>NANCY</t>
        </is>
      </c>
      <c r="B4596" s="9" t="inlineStr">
        <is>
          <t>NANCY 31/05/2026</t>
        </is>
      </c>
      <c r="C4596" s="9" t="inlineStr">
        <is>
          <t>2026-05-31</t>
        </is>
      </c>
      <c r="D4596" s="9" t="inlineStr">
        <is>
          <t>58980702231405</t>
        </is>
      </c>
      <c r="E4596" s="9" t="inlineStr">
        <is>
          <t>ANILLO CC ETERNAL N5</t>
        </is>
      </c>
      <c r="F4596" s="9" t="inlineStr">
        <is>
          <t>6</t>
        </is>
      </c>
      <c r="G4596" s="9" t="n">
        <v>2</v>
      </c>
      <c r="H4596" s="21" t="n">
        <v>6.69</v>
      </c>
      <c r="I4596" s="21" t="n">
        <v>162.35</v>
      </c>
      <c r="J4596" s="21" t="n">
        <v>487.05</v>
      </c>
      <c r="K4596" s="21" t="n">
        <v>568.23</v>
      </c>
      <c r="L4596" s="21" t="n">
        <v>649.4</v>
      </c>
      <c r="M4596" s="21" t="n">
        <v>0</v>
      </c>
    </row>
    <row r="4597">
      <c r="A4597" s="9" t="inlineStr">
        <is>
          <t>NANCY</t>
        </is>
      </c>
      <c r="B4597" s="9" t="inlineStr">
        <is>
          <t>NANCY 31/05/2026</t>
        </is>
      </c>
      <c r="C4597" s="9" t="inlineStr">
        <is>
          <t>2026-05-31</t>
        </is>
      </c>
      <c r="D4597" s="9" t="inlineStr">
        <is>
          <t>58980702364173</t>
        </is>
      </c>
      <c r="E4597" s="9" t="inlineStr">
        <is>
          <t>ANILLO CC ETERNAL N5</t>
        </is>
      </c>
      <c r="F4597" s="9" t="inlineStr">
        <is>
          <t>7</t>
        </is>
      </c>
      <c r="G4597" s="9" t="n">
        <v>2</v>
      </c>
      <c r="H4597" s="21" t="n">
        <v>6.69</v>
      </c>
      <c r="I4597" s="21" t="n">
        <v>162.35</v>
      </c>
      <c r="J4597" s="21" t="n">
        <v>487.05</v>
      </c>
      <c r="K4597" s="21" t="n">
        <v>568.23</v>
      </c>
      <c r="L4597" s="21" t="n">
        <v>649.4</v>
      </c>
      <c r="M4597" s="21" t="n">
        <v>0</v>
      </c>
    </row>
    <row r="4598">
      <c r="A4598" s="9" t="inlineStr">
        <is>
          <t>NANCY</t>
        </is>
      </c>
      <c r="B4598" s="9" t="inlineStr">
        <is>
          <t>NANCY 31/05/2026</t>
        </is>
      </c>
      <c r="C4598" s="9" t="inlineStr">
        <is>
          <t>2026-05-31</t>
        </is>
      </c>
      <c r="D4598" s="9" t="inlineStr">
        <is>
          <t>80464311068525</t>
        </is>
      </c>
      <c r="E4598" s="9" t="inlineStr">
        <is>
          <t>ANILLO CD REVOLUTION</t>
        </is>
      </c>
      <c r="F4598" s="9" t="inlineStr">
        <is>
          <t>6</t>
        </is>
      </c>
      <c r="G4598" s="9" t="n">
        <v>2</v>
      </c>
      <c r="H4598" s="21" t="n">
        <v>4.99</v>
      </c>
      <c r="I4598" s="21" t="n">
        <v>121.1</v>
      </c>
      <c r="J4598" s="21" t="n">
        <v>363.29</v>
      </c>
      <c r="K4598" s="21" t="n">
        <v>423.83</v>
      </c>
      <c r="L4598" s="21" t="n">
        <v>484.38</v>
      </c>
      <c r="M4598" s="21" t="n">
        <v>480</v>
      </c>
    </row>
    <row r="4599">
      <c r="A4599" s="9" t="inlineStr">
        <is>
          <t>NANCY</t>
        </is>
      </c>
      <c r="B4599" s="9" t="inlineStr">
        <is>
          <t>NANCY 31/05/2026</t>
        </is>
      </c>
      <c r="C4599" s="9" t="inlineStr">
        <is>
          <t>2026-05-31</t>
        </is>
      </c>
      <c r="D4599" s="9" t="inlineStr">
        <is>
          <t>56481462558348</t>
        </is>
      </c>
      <c r="E4599" s="9" t="inlineStr">
        <is>
          <t>ANILLO ECROU SILVER</t>
        </is>
      </c>
      <c r="F4599" s="9" t="inlineStr">
        <is>
          <t>6</t>
        </is>
      </c>
      <c r="G4599" s="9" t="n">
        <v>2</v>
      </c>
      <c r="H4599" s="21" t="n">
        <v>3.29</v>
      </c>
      <c r="I4599" s="21" t="n">
        <v>79.84</v>
      </c>
      <c r="J4599" s="21" t="n">
        <v>239.52</v>
      </c>
      <c r="K4599" s="21" t="n">
        <v>279.44</v>
      </c>
      <c r="L4599" s="21" t="n">
        <v>319.36</v>
      </c>
      <c r="M4599" s="21" t="n">
        <v>560</v>
      </c>
    </row>
    <row r="4600">
      <c r="A4600" s="9" t="inlineStr">
        <is>
          <t>NANCY</t>
        </is>
      </c>
      <c r="B4600" s="9" t="inlineStr">
        <is>
          <t>NANCY 31/05/2026</t>
        </is>
      </c>
      <c r="C4600" s="9" t="inlineStr">
        <is>
          <t>2026-05-31</t>
        </is>
      </c>
      <c r="D4600" s="9" t="inlineStr">
        <is>
          <t>66593a9cc1aaa</t>
        </is>
      </c>
      <c r="E4600" s="9" t="inlineStr">
        <is>
          <t>ANILLO KNOT GOLD</t>
        </is>
      </c>
      <c r="F4600" s="9" t="inlineStr">
        <is>
          <t>7</t>
        </is>
      </c>
      <c r="G4600" s="9" t="n">
        <v>4</v>
      </c>
      <c r="H4600" s="21" t="n">
        <v>5.59</v>
      </c>
      <c r="I4600" s="21" t="n">
        <v>135.66</v>
      </c>
      <c r="J4600" s="21" t="n">
        <v>406.97</v>
      </c>
      <c r="K4600" s="21" t="n">
        <v>474.8</v>
      </c>
      <c r="L4600" s="21" t="n">
        <v>542.62</v>
      </c>
      <c r="M4600" s="21" t="n">
        <v>480</v>
      </c>
    </row>
    <row r="4601">
      <c r="A4601" s="9" t="inlineStr">
        <is>
          <t>NANCY</t>
        </is>
      </c>
      <c r="B4601" s="9" t="inlineStr">
        <is>
          <t>NANCY 31/05/2026</t>
        </is>
      </c>
      <c r="C4601" s="9" t="inlineStr">
        <is>
          <t>2026-05-31</t>
        </is>
      </c>
      <c r="D4601" s="9" t="inlineStr">
        <is>
          <t>62745761965261</t>
        </is>
      </c>
      <c r="E4601" s="9" t="inlineStr">
        <is>
          <t>ANILLO LOVE GOLD CON MICROZIRCONIAS Y ZIRCONIAS</t>
        </is>
      </c>
      <c r="F4601" s="9" t="inlineStr">
        <is>
          <t>6</t>
        </is>
      </c>
      <c r="G4601" s="9" t="n">
        <v>3</v>
      </c>
      <c r="H4601" s="21" t="n">
        <v>5.99</v>
      </c>
      <c r="I4601" s="21" t="n">
        <v>145.36</v>
      </c>
      <c r="J4601" s="21" t="n">
        <v>436.09</v>
      </c>
      <c r="K4601" s="21" t="n">
        <v>508.77</v>
      </c>
      <c r="L4601" s="21" t="n">
        <v>581.45</v>
      </c>
      <c r="M4601" s="21" t="n">
        <v>0</v>
      </c>
    </row>
    <row r="4602">
      <c r="A4602" s="9" t="inlineStr">
        <is>
          <t>NANCY</t>
        </is>
      </c>
      <c r="B4602" s="9" t="inlineStr">
        <is>
          <t>NANCY 31/05/2026</t>
        </is>
      </c>
      <c r="C4602" s="9" t="inlineStr">
        <is>
          <t>2026-05-31</t>
        </is>
      </c>
      <c r="D4602" s="9" t="inlineStr">
        <is>
          <t>62745762098029</t>
        </is>
      </c>
      <c r="E4602" s="9" t="inlineStr">
        <is>
          <t>ANILLO LOVE GOLD CON MICROZIRCONIAS Y ZIRCONIAS</t>
        </is>
      </c>
      <c r="F4602" s="9" t="inlineStr">
        <is>
          <t>7</t>
        </is>
      </c>
      <c r="G4602" s="9" t="n">
        <v>3</v>
      </c>
      <c r="H4602" s="21" t="n">
        <v>5.99</v>
      </c>
      <c r="I4602" s="21" t="n">
        <v>145.36</v>
      </c>
      <c r="J4602" s="21" t="n">
        <v>436.09</v>
      </c>
      <c r="K4602" s="21" t="n">
        <v>508.77</v>
      </c>
      <c r="L4602" s="21" t="n">
        <v>581.45</v>
      </c>
      <c r="M4602" s="21" t="n">
        <v>0</v>
      </c>
    </row>
    <row r="4603">
      <c r="A4603" s="9" t="inlineStr">
        <is>
          <t>NANCY</t>
        </is>
      </c>
      <c r="B4603" s="9" t="inlineStr">
        <is>
          <t>NANCY 31/05/2026</t>
        </is>
      </c>
      <c r="C4603" s="9" t="inlineStr">
        <is>
          <t>2026-05-31</t>
        </is>
      </c>
      <c r="D4603" s="9" t="inlineStr">
        <is>
          <t>62745762555085</t>
        </is>
      </c>
      <c r="E4603" s="9" t="inlineStr">
        <is>
          <t>ANILLO LOVE ROSE GOLD CON MICROZIRCONIAS</t>
        </is>
      </c>
      <c r="F4603" s="9" t="inlineStr">
        <is>
          <t>6</t>
        </is>
      </c>
      <c r="G4603" s="9" t="n">
        <v>3</v>
      </c>
      <c r="H4603" s="21" t="n">
        <v>5.39</v>
      </c>
      <c r="I4603" s="21" t="n">
        <v>130.8</v>
      </c>
      <c r="J4603" s="21" t="n">
        <v>392.41</v>
      </c>
      <c r="K4603" s="21" t="n">
        <v>457.81</v>
      </c>
      <c r="L4603" s="21" t="n">
        <v>523.21</v>
      </c>
      <c r="M4603" s="21" t="n">
        <v>0</v>
      </c>
    </row>
    <row r="4604">
      <c r="A4604" s="9" t="inlineStr">
        <is>
          <t>NANCY</t>
        </is>
      </c>
      <c r="B4604" s="9" t="inlineStr">
        <is>
          <t>NANCY 31/05/2026</t>
        </is>
      </c>
      <c r="C4604" s="9" t="inlineStr">
        <is>
          <t>2026-05-31</t>
        </is>
      </c>
      <c r="D4604" s="9" t="inlineStr">
        <is>
          <t>62745762687853</t>
        </is>
      </c>
      <c r="E4604" s="9" t="inlineStr">
        <is>
          <t>ANILLO LOVE ROSE GOLD CON MICROZIRCONIAS</t>
        </is>
      </c>
      <c r="F4604" s="9" t="inlineStr">
        <is>
          <t>7</t>
        </is>
      </c>
      <c r="G4604" s="9" t="n">
        <v>3</v>
      </c>
      <c r="H4604" s="21" t="n">
        <v>5.39</v>
      </c>
      <c r="I4604" s="21" t="n">
        <v>130.8</v>
      </c>
      <c r="J4604" s="21" t="n">
        <v>392.41</v>
      </c>
      <c r="K4604" s="21" t="n">
        <v>457.81</v>
      </c>
      <c r="L4604" s="21" t="n">
        <v>523.21</v>
      </c>
      <c r="M4604" s="21" t="n">
        <v>0</v>
      </c>
    </row>
    <row r="4605">
      <c r="A4605" s="9" t="inlineStr">
        <is>
          <t>NANCY</t>
        </is>
      </c>
      <c r="B4605" s="9" t="inlineStr">
        <is>
          <t>NANCY 31/05/2026</t>
        </is>
      </c>
      <c r="C4605" s="9" t="inlineStr">
        <is>
          <t>2026-05-31</t>
        </is>
      </c>
      <c r="D4605" s="9" t="inlineStr">
        <is>
          <t>62745762125709</t>
        </is>
      </c>
      <c r="E4605" s="9" t="inlineStr">
        <is>
          <t>ANILLO LOVE ROSE GOLD CON MICROZIRCONIAS Y ZIRCONIAS</t>
        </is>
      </c>
      <c r="F4605" s="9" t="inlineStr">
        <is>
          <t>6</t>
        </is>
      </c>
      <c r="G4605" s="9" t="n">
        <v>3</v>
      </c>
      <c r="H4605" s="21" t="n">
        <v>5.99</v>
      </c>
      <c r="I4605" s="21" t="n">
        <v>145.36</v>
      </c>
      <c r="J4605" s="21" t="n">
        <v>436.09</v>
      </c>
      <c r="K4605" s="21" t="n">
        <v>508.77</v>
      </c>
      <c r="L4605" s="21" t="n">
        <v>581.45</v>
      </c>
      <c r="M4605" s="21" t="n">
        <v>0</v>
      </c>
    </row>
    <row r="4606">
      <c r="A4606" s="9" t="inlineStr">
        <is>
          <t>NANCY</t>
        </is>
      </c>
      <c r="B4606" s="9" t="inlineStr">
        <is>
          <t>NANCY 31/05/2026</t>
        </is>
      </c>
      <c r="C4606" s="9" t="inlineStr">
        <is>
          <t>2026-05-31</t>
        </is>
      </c>
      <c r="D4606" s="9" t="inlineStr">
        <is>
          <t>62745762258477</t>
        </is>
      </c>
      <c r="E4606" s="9" t="inlineStr">
        <is>
          <t>ANILLO LOVE ROSE GOLD CON MICROZIRCONIAS Y ZIRCONIAS</t>
        </is>
      </c>
      <c r="F4606" s="9" t="inlineStr">
        <is>
          <t>7</t>
        </is>
      </c>
      <c r="G4606" s="9" t="n">
        <v>3</v>
      </c>
      <c r="H4606" s="21" t="n">
        <v>5.99</v>
      </c>
      <c r="I4606" s="21" t="n">
        <v>145.36</v>
      </c>
      <c r="J4606" s="21" t="n">
        <v>436.09</v>
      </c>
      <c r="K4606" s="21" t="n">
        <v>508.77</v>
      </c>
      <c r="L4606" s="21" t="n">
        <v>581.45</v>
      </c>
      <c r="M4606" s="21" t="n">
        <v>0</v>
      </c>
    </row>
    <row r="4607">
      <c r="A4607" s="9" t="inlineStr">
        <is>
          <t>NANCY</t>
        </is>
      </c>
      <c r="B4607" s="9" t="inlineStr">
        <is>
          <t>NANCY 31/05/2026</t>
        </is>
      </c>
      <c r="C4607" s="9" t="inlineStr">
        <is>
          <t>2026-05-31</t>
        </is>
      </c>
      <c r="D4607" s="9" t="inlineStr">
        <is>
          <t>62745762329101</t>
        </is>
      </c>
      <c r="E4607" s="9" t="inlineStr">
        <is>
          <t>ANILLO LOVE SILVER CON MICROZIRCONIAS Y ZIRCONIAS</t>
        </is>
      </c>
      <c r="F4607" s="9" t="inlineStr">
        <is>
          <t>6</t>
        </is>
      </c>
      <c r="G4607" s="9" t="n">
        <v>3</v>
      </c>
      <c r="H4607" s="21" t="n">
        <v>5.99</v>
      </c>
      <c r="I4607" s="21" t="n">
        <v>145.36</v>
      </c>
      <c r="J4607" s="21" t="n">
        <v>436.09</v>
      </c>
      <c r="K4607" s="21" t="n">
        <v>508.77</v>
      </c>
      <c r="L4607" s="21" t="n">
        <v>581.45</v>
      </c>
      <c r="M4607" s="21" t="n">
        <v>0</v>
      </c>
    </row>
    <row r="4608">
      <c r="A4608" s="9" t="inlineStr">
        <is>
          <t>NANCY</t>
        </is>
      </c>
      <c r="B4608" s="9" t="inlineStr">
        <is>
          <t>NANCY 31/05/2026</t>
        </is>
      </c>
      <c r="C4608" s="9" t="inlineStr">
        <is>
          <t>2026-05-31</t>
        </is>
      </c>
      <c r="D4608" s="9" t="inlineStr">
        <is>
          <t>62745762461869</t>
        </is>
      </c>
      <c r="E4608" s="9" t="inlineStr">
        <is>
          <t>ANILLO LOVE SILVER CON MICROZIRCONIAS Y ZIRCONIAS</t>
        </is>
      </c>
      <c r="F4608" s="9" t="inlineStr">
        <is>
          <t>7</t>
        </is>
      </c>
      <c r="G4608" s="9" t="n">
        <v>3</v>
      </c>
      <c r="H4608" s="21" t="n">
        <v>5.99</v>
      </c>
      <c r="I4608" s="21" t="n">
        <v>145.36</v>
      </c>
      <c r="J4608" s="21" t="n">
        <v>436.09</v>
      </c>
      <c r="K4608" s="21" t="n">
        <v>508.77</v>
      </c>
      <c r="L4608" s="21" t="n">
        <v>581.45</v>
      </c>
      <c r="M4608" s="21" t="n">
        <v>0</v>
      </c>
    </row>
    <row r="4609">
      <c r="A4609" s="9" t="inlineStr">
        <is>
          <t>NANCY</t>
        </is>
      </c>
      <c r="B4609" s="9" t="inlineStr">
        <is>
          <t>NANCY 31/05/2026</t>
        </is>
      </c>
      <c r="C4609" s="9" t="inlineStr">
        <is>
          <t>2026-05-31</t>
        </is>
      </c>
      <c r="D4609" s="9" t="inlineStr">
        <is>
          <t>42981773246604</t>
        </is>
      </c>
      <c r="E4609" s="9" t="inlineStr">
        <is>
          <t>ANILLO PANTHERE GOLD</t>
        </is>
      </c>
      <c r="F4609" s="9" t="inlineStr">
        <is>
          <t>Regular</t>
        </is>
      </c>
      <c r="G4609" s="9" t="n">
        <v>1</v>
      </c>
      <c r="H4609" s="21" t="n">
        <v>5.59</v>
      </c>
      <c r="I4609" s="21" t="n">
        <v>135.66</v>
      </c>
      <c r="J4609" s="21" t="n">
        <v>406.97</v>
      </c>
      <c r="K4609" s="21" t="n">
        <v>474.8</v>
      </c>
      <c r="L4609" s="21" t="n">
        <v>542.62</v>
      </c>
      <c r="M4609" s="21" t="n">
        <v>480</v>
      </c>
    </row>
    <row r="4610">
      <c r="A4610" s="9" t="inlineStr">
        <is>
          <t>NANCY</t>
        </is>
      </c>
      <c r="B4610" s="9" t="inlineStr">
        <is>
          <t>NANCY 31/05/2026</t>
        </is>
      </c>
      <c r="C4610" s="9" t="inlineStr">
        <is>
          <t>2026-05-31</t>
        </is>
      </c>
      <c r="D4610" s="9" t="inlineStr">
        <is>
          <t>71288021336845</t>
        </is>
      </c>
      <c r="E4610" s="9" t="inlineStr">
        <is>
          <t>ANILLO T SIXTEEN STONE ROSE GOLD</t>
        </is>
      </c>
      <c r="F4610" s="9" t="inlineStr">
        <is>
          <t>6</t>
        </is>
      </c>
      <c r="G4610" s="9" t="n">
        <v>2</v>
      </c>
      <c r="H4610" s="21" t="n">
        <v>6.99</v>
      </c>
      <c r="I4610" s="21" t="n">
        <v>169.63</v>
      </c>
      <c r="J4610" s="21" t="n">
        <v>508.89</v>
      </c>
      <c r="K4610" s="21" t="n">
        <v>593.71</v>
      </c>
      <c r="L4610" s="21" t="n">
        <v>678.52</v>
      </c>
      <c r="M4610" s="21" t="n">
        <v>0</v>
      </c>
    </row>
    <row r="4611">
      <c r="A4611" s="9" t="inlineStr">
        <is>
          <t>NANCY</t>
        </is>
      </c>
      <c r="B4611" s="9" t="inlineStr">
        <is>
          <t>NANCY 31/05/2026</t>
        </is>
      </c>
      <c r="C4611" s="9" t="inlineStr">
        <is>
          <t>2026-05-31</t>
        </is>
      </c>
      <c r="D4611" s="9" t="inlineStr">
        <is>
          <t>71288021469613</t>
        </is>
      </c>
      <c r="E4611" s="9" t="inlineStr">
        <is>
          <t>ANILLO T SIXTEEN STONE ROSE GOLD</t>
        </is>
      </c>
      <c r="F4611" s="9" t="inlineStr">
        <is>
          <t>7</t>
        </is>
      </c>
      <c r="G4611" s="9" t="n">
        <v>2</v>
      </c>
      <c r="H4611" s="21" t="n">
        <v>6.99</v>
      </c>
      <c r="I4611" s="21" t="n">
        <v>169.63</v>
      </c>
      <c r="J4611" s="21" t="n">
        <v>508.89</v>
      </c>
      <c r="K4611" s="21" t="n">
        <v>593.71</v>
      </c>
      <c r="L4611" s="21" t="n">
        <v>678.52</v>
      </c>
      <c r="M4611" s="21" t="n">
        <v>0</v>
      </c>
    </row>
    <row r="4612">
      <c r="A4612" s="9" t="inlineStr">
        <is>
          <t>NANCY</t>
        </is>
      </c>
      <c r="B4612" s="9" t="inlineStr">
        <is>
          <t>NANCY 31/05/2026</t>
        </is>
      </c>
      <c r="C4612" s="9" t="inlineStr">
        <is>
          <t>2026-05-31</t>
        </is>
      </c>
      <c r="D4612" s="9" t="inlineStr">
        <is>
          <t>71288022047565</t>
        </is>
      </c>
      <c r="E4612" s="9" t="inlineStr">
        <is>
          <t>ANILLO VF ALHAMBRA GOLD</t>
        </is>
      </c>
      <c r="F4612" s="9" t="inlineStr">
        <is>
          <t>6</t>
        </is>
      </c>
      <c r="G4612" s="9" t="n">
        <v>2</v>
      </c>
      <c r="H4612" s="21" t="n">
        <v>5.59</v>
      </c>
      <c r="I4612" s="21" t="n">
        <v>135.66</v>
      </c>
      <c r="J4612" s="21" t="n">
        <v>406.97</v>
      </c>
      <c r="K4612" s="21" t="n">
        <v>474.8</v>
      </c>
      <c r="L4612" s="21" t="n">
        <v>542.62</v>
      </c>
      <c r="M4612" s="21" t="n">
        <v>0</v>
      </c>
    </row>
    <row r="4613">
      <c r="A4613" s="9" t="inlineStr">
        <is>
          <t>NANCY</t>
        </is>
      </c>
      <c r="B4613" s="9" t="inlineStr">
        <is>
          <t>NANCY 31/05/2026</t>
        </is>
      </c>
      <c r="C4613" s="9" t="inlineStr">
        <is>
          <t>2026-05-31</t>
        </is>
      </c>
      <c r="D4613" s="9" t="inlineStr">
        <is>
          <t>71288022180333</t>
        </is>
      </c>
      <c r="E4613" s="9" t="inlineStr">
        <is>
          <t>ANILLO VF ALHAMBRA GOLD</t>
        </is>
      </c>
      <c r="F4613" s="9" t="inlineStr">
        <is>
          <t>7</t>
        </is>
      </c>
      <c r="G4613" s="9" t="n">
        <v>2</v>
      </c>
      <c r="H4613" s="21" t="n">
        <v>5.59</v>
      </c>
      <c r="I4613" s="21" t="n">
        <v>135.66</v>
      </c>
      <c r="J4613" s="21" t="n">
        <v>406.97</v>
      </c>
      <c r="K4613" s="21" t="n">
        <v>474.8</v>
      </c>
      <c r="L4613" s="21" t="n">
        <v>542.62</v>
      </c>
      <c r="M4613" s="21" t="n">
        <v>0</v>
      </c>
    </row>
    <row r="4614">
      <c r="A4614" s="9" t="inlineStr">
        <is>
          <t>NANCY</t>
        </is>
      </c>
      <c r="B4614" s="9" t="inlineStr">
        <is>
          <t>NANCY 31/05/2026</t>
        </is>
      </c>
      <c r="C4614" s="9" t="inlineStr">
        <is>
          <t>2026-05-31</t>
        </is>
      </c>
      <c r="D4614" s="9" t="inlineStr">
        <is>
          <t>71288022239085</t>
        </is>
      </c>
      <c r="E4614" s="9" t="inlineStr">
        <is>
          <t>ANILLO VF ALHAMBRA SILVER</t>
        </is>
      </c>
      <c r="F4614" s="9" t="inlineStr">
        <is>
          <t>6</t>
        </is>
      </c>
      <c r="G4614" s="9" t="n">
        <v>2</v>
      </c>
      <c r="H4614" s="21" t="n">
        <v>5.59</v>
      </c>
      <c r="I4614" s="21" t="n">
        <v>135.66</v>
      </c>
      <c r="J4614" s="21" t="n">
        <v>406.97</v>
      </c>
      <c r="K4614" s="21" t="n">
        <v>474.8</v>
      </c>
      <c r="L4614" s="21" t="n">
        <v>542.62</v>
      </c>
      <c r="M4614" s="21" t="n">
        <v>0</v>
      </c>
    </row>
    <row r="4615">
      <c r="A4615" s="9" t="inlineStr">
        <is>
          <t>NANCY</t>
        </is>
      </c>
      <c r="B4615" s="9" t="inlineStr">
        <is>
          <t>NANCY 31/05/2026</t>
        </is>
      </c>
      <c r="C4615" s="9" t="inlineStr">
        <is>
          <t>2026-05-31</t>
        </is>
      </c>
      <c r="D4615" s="9" t="inlineStr">
        <is>
          <t>71288022371853</t>
        </is>
      </c>
      <c r="E4615" s="9" t="inlineStr">
        <is>
          <t>ANILLO VF ALHAMBRA SILVER</t>
        </is>
      </c>
      <c r="F4615" s="9" t="inlineStr">
        <is>
          <t>7</t>
        </is>
      </c>
      <c r="G4615" s="9" t="n">
        <v>2</v>
      </c>
      <c r="H4615" s="21" t="n">
        <v>5.59</v>
      </c>
      <c r="I4615" s="21" t="n">
        <v>135.66</v>
      </c>
      <c r="J4615" s="21" t="n">
        <v>406.97</v>
      </c>
      <c r="K4615" s="21" t="n">
        <v>474.8</v>
      </c>
      <c r="L4615" s="21" t="n">
        <v>542.62</v>
      </c>
      <c r="M4615" s="21" t="n">
        <v>0</v>
      </c>
    </row>
    <row r="4616">
      <c r="A4616" s="9" t="inlineStr">
        <is>
          <t>NANCY</t>
        </is>
      </c>
      <c r="B4616" s="9" t="inlineStr">
        <is>
          <t>NANCY 31/05/2026</t>
        </is>
      </c>
      <c r="C4616" s="9" t="inlineStr">
        <is>
          <t>2026-05-31</t>
        </is>
      </c>
      <c r="D4616" s="9" t="inlineStr">
        <is>
          <t>71288022725517</t>
        </is>
      </c>
      <c r="E4616" s="9" t="inlineStr">
        <is>
          <t>ANILLO VF PERLÉE DUO GOLD</t>
        </is>
      </c>
      <c r="F4616" s="9" t="inlineStr">
        <is>
          <t>6</t>
        </is>
      </c>
      <c r="G4616" s="9" t="n">
        <v>2</v>
      </c>
      <c r="H4616" s="21" t="n">
        <v>7.99</v>
      </c>
      <c r="I4616" s="21" t="n">
        <v>193.9</v>
      </c>
      <c r="J4616" s="21" t="n">
        <v>581.6900000000001</v>
      </c>
      <c r="K4616" s="21" t="n">
        <v>678.64</v>
      </c>
      <c r="L4616" s="21" t="n">
        <v>775.59</v>
      </c>
      <c r="M4616" s="21" t="n">
        <v>0</v>
      </c>
    </row>
    <row r="4617">
      <c r="A4617" s="9" t="inlineStr">
        <is>
          <t>NANCY</t>
        </is>
      </c>
      <c r="B4617" s="9" t="inlineStr">
        <is>
          <t>NANCY 31/05/2026</t>
        </is>
      </c>
      <c r="C4617" s="9" t="inlineStr">
        <is>
          <t>2026-05-31</t>
        </is>
      </c>
      <c r="D4617" s="9" t="inlineStr">
        <is>
          <t>71288022858285</t>
        </is>
      </c>
      <c r="E4617" s="9" t="inlineStr">
        <is>
          <t>ANILLO VF PERLÉE DUO GOLD</t>
        </is>
      </c>
      <c r="F4617" s="9" t="inlineStr">
        <is>
          <t>7</t>
        </is>
      </c>
      <c r="G4617" s="9" t="n">
        <v>2</v>
      </c>
      <c r="H4617" s="21" t="n">
        <v>7.99</v>
      </c>
      <c r="I4617" s="21" t="n">
        <v>193.9</v>
      </c>
      <c r="J4617" s="21" t="n">
        <v>581.6900000000001</v>
      </c>
      <c r="K4617" s="21" t="n">
        <v>678.64</v>
      </c>
      <c r="L4617" s="21" t="n">
        <v>775.59</v>
      </c>
      <c r="M4617" s="21" t="n">
        <v>0</v>
      </c>
    </row>
    <row r="4618">
      <c r="A4618" s="9" t="inlineStr">
        <is>
          <t>NANCY</t>
        </is>
      </c>
      <c r="B4618" s="9" t="inlineStr">
        <is>
          <t>NANCY 31/05/2026</t>
        </is>
      </c>
      <c r="C4618" s="9" t="inlineStr">
        <is>
          <t>2026-05-31</t>
        </is>
      </c>
      <c r="D4618" s="9" t="inlineStr">
        <is>
          <t>71288022597837</t>
        </is>
      </c>
      <c r="E4618" s="9" t="inlineStr">
        <is>
          <t>ANILLO VF PERLÉE DUO ROSE GOLD</t>
        </is>
      </c>
      <c r="F4618" s="9" t="inlineStr">
        <is>
          <t>6</t>
        </is>
      </c>
      <c r="G4618" s="9" t="n">
        <v>2</v>
      </c>
      <c r="H4618" s="21" t="n">
        <v>7.99</v>
      </c>
      <c r="I4618" s="21" t="n">
        <v>193.9</v>
      </c>
      <c r="J4618" s="21" t="n">
        <v>581.6900000000001</v>
      </c>
      <c r="K4618" s="21" t="n">
        <v>678.64</v>
      </c>
      <c r="L4618" s="21" t="n">
        <v>775.59</v>
      </c>
      <c r="M4618" s="21" t="n">
        <v>0</v>
      </c>
    </row>
    <row r="4619">
      <c r="A4619" s="9" t="inlineStr">
        <is>
          <t>NANCY</t>
        </is>
      </c>
      <c r="B4619" s="9" t="inlineStr">
        <is>
          <t>NANCY 31/05/2026</t>
        </is>
      </c>
      <c r="C4619" s="9" t="inlineStr">
        <is>
          <t>2026-05-31</t>
        </is>
      </c>
      <c r="D4619" s="9" t="inlineStr">
        <is>
          <t>71288022630605</t>
        </is>
      </c>
      <c r="E4619" s="9" t="inlineStr">
        <is>
          <t>ANILLO VF PERLÉE DUO ROSE GOLD</t>
        </is>
      </c>
      <c r="F4619" s="9" t="inlineStr">
        <is>
          <t>7</t>
        </is>
      </c>
      <c r="G4619" s="9" t="n">
        <v>2</v>
      </c>
      <c r="H4619" s="21" t="n">
        <v>7.99</v>
      </c>
      <c r="I4619" s="21" t="n">
        <v>193.9</v>
      </c>
      <c r="J4619" s="21" t="n">
        <v>581.6900000000001</v>
      </c>
      <c r="K4619" s="21" t="n">
        <v>678.64</v>
      </c>
      <c r="L4619" s="21" t="n">
        <v>775.59</v>
      </c>
      <c r="M4619" s="21" t="n">
        <v>0</v>
      </c>
    </row>
    <row r="4620">
      <c r="A4620" s="9" t="inlineStr">
        <is>
          <t>NANCY</t>
        </is>
      </c>
      <c r="B4620" s="9" t="inlineStr">
        <is>
          <t>NANCY 31/05/2026</t>
        </is>
      </c>
      <c r="C4620" s="9" t="inlineStr">
        <is>
          <t>2026-05-31</t>
        </is>
      </c>
      <c r="D4620" s="9" t="inlineStr">
        <is>
          <t>71288022951501</t>
        </is>
      </c>
      <c r="E4620" s="9" t="inlineStr">
        <is>
          <t>ANILLO VF PERLÉE DUO SILVER</t>
        </is>
      </c>
      <c r="F4620" s="9" t="inlineStr">
        <is>
          <t>6</t>
        </is>
      </c>
      <c r="G4620" s="9" t="n">
        <v>2</v>
      </c>
      <c r="H4620" s="21" t="n">
        <v>7.99</v>
      </c>
      <c r="I4620" s="21" t="n">
        <v>193.9</v>
      </c>
      <c r="J4620" s="21" t="n">
        <v>581.6900000000001</v>
      </c>
      <c r="K4620" s="21" t="n">
        <v>678.64</v>
      </c>
      <c r="L4620" s="21" t="n">
        <v>775.59</v>
      </c>
      <c r="M4620" s="21" t="n">
        <v>0</v>
      </c>
    </row>
    <row r="4621">
      <c r="A4621" s="9" t="inlineStr">
        <is>
          <t>NANCY</t>
        </is>
      </c>
      <c r="B4621" s="9" t="inlineStr">
        <is>
          <t>NANCY 31/05/2026</t>
        </is>
      </c>
      <c r="C4621" s="9" t="inlineStr">
        <is>
          <t>2026-05-31</t>
        </is>
      </c>
      <c r="D4621" s="9" t="inlineStr">
        <is>
          <t>71288023084269</t>
        </is>
      </c>
      <c r="E4621" s="9" t="inlineStr">
        <is>
          <t>ANILLO VF PERLÉE DUO SILVER</t>
        </is>
      </c>
      <c r="F4621" s="9" t="inlineStr">
        <is>
          <t>7</t>
        </is>
      </c>
      <c r="G4621" s="9" t="n">
        <v>2</v>
      </c>
      <c r="H4621" s="21" t="n">
        <v>7.99</v>
      </c>
      <c r="I4621" s="21" t="n">
        <v>193.9</v>
      </c>
      <c r="J4621" s="21" t="n">
        <v>581.6900000000001</v>
      </c>
      <c r="K4621" s="21" t="n">
        <v>678.64</v>
      </c>
      <c r="L4621" s="21" t="n">
        <v>775.59</v>
      </c>
      <c r="M4621" s="21" t="n">
        <v>0</v>
      </c>
    </row>
    <row r="4622">
      <c r="A4622" s="9" t="inlineStr">
        <is>
          <t>NANCY</t>
        </is>
      </c>
      <c r="B4622" s="9" t="inlineStr">
        <is>
          <t>NANCY 31/05/2026</t>
        </is>
      </c>
      <c r="C4622" s="9" t="inlineStr">
        <is>
          <t>2026-05-31</t>
        </is>
      </c>
      <c r="D4622" s="9" t="inlineStr">
        <is>
          <t>71288022468461</t>
        </is>
      </c>
      <c r="E4622" s="9" t="inlineStr">
        <is>
          <t>ANILLO VF TWIN ALHAMBRA SILVER</t>
        </is>
      </c>
      <c r="F4622" s="9" t="inlineStr">
        <is>
          <t>7</t>
        </is>
      </c>
      <c r="G4622" s="9" t="n">
        <v>2</v>
      </c>
      <c r="H4622" s="21" t="n">
        <v>7.99</v>
      </c>
      <c r="I4622" s="21" t="n">
        <v>193.9</v>
      </c>
      <c r="J4622" s="21" t="n">
        <v>581.6900000000001</v>
      </c>
      <c r="K4622" s="21" t="n">
        <v>678.64</v>
      </c>
      <c r="L4622" s="21" t="n">
        <v>775.59</v>
      </c>
      <c r="M4622" s="21" t="n">
        <v>0</v>
      </c>
    </row>
    <row r="4623">
      <c r="A4623" s="9" t="inlineStr">
        <is>
          <t>NANCY</t>
        </is>
      </c>
      <c r="B4623" s="9" t="inlineStr">
        <is>
          <t>NANCY 31/05/2026</t>
        </is>
      </c>
      <c r="C4623" s="9" t="inlineStr">
        <is>
          <t>2026-05-31</t>
        </is>
      </c>
      <c r="D4623" s="9" t="inlineStr">
        <is>
          <t>63ebd619250f6</t>
        </is>
      </c>
      <c r="E4623" s="9" t="inlineStr">
        <is>
          <t>ARETES BV ROSE GOLD CON ZIRCONIA</t>
        </is>
      </c>
      <c r="F4623" s="9" t="inlineStr">
        <is>
          <t>Default Title</t>
        </is>
      </c>
      <c r="G4623" s="9" t="n">
        <v>4</v>
      </c>
      <c r="H4623" s="21" t="n">
        <v>5.59</v>
      </c>
      <c r="I4623" s="21" t="n">
        <v>135.66</v>
      </c>
      <c r="J4623" s="21" t="n">
        <v>406.97</v>
      </c>
      <c r="K4623" s="21" t="n">
        <v>474.8</v>
      </c>
      <c r="L4623" s="21" t="n">
        <v>542.62</v>
      </c>
      <c r="M4623" s="21" t="n">
        <v>499</v>
      </c>
    </row>
    <row r="4624">
      <c r="A4624" s="9" t="inlineStr">
        <is>
          <t>NANCY</t>
        </is>
      </c>
      <c r="B4624" s="9" t="inlineStr">
        <is>
          <t>NANCY 31/05/2026</t>
        </is>
      </c>
      <c r="C4624" s="9" t="inlineStr">
        <is>
          <t>2026-05-31</t>
        </is>
      </c>
      <c r="D4624" s="9" t="inlineStr">
        <is>
          <t>64e78ca71edc7</t>
        </is>
      </c>
      <c r="E4624" s="9" t="inlineStr">
        <is>
          <t>ARETES BV SILVER- WHITE</t>
        </is>
      </c>
      <c r="F4624" s="9" t="inlineStr">
        <is>
          <t>Regular</t>
        </is>
      </c>
      <c r="G4624" s="9" t="n">
        <v>6</v>
      </c>
      <c r="H4624" s="21" t="n">
        <v>3.69</v>
      </c>
      <c r="I4624" s="21" t="n">
        <v>89.55</v>
      </c>
      <c r="J4624" s="21" t="n">
        <v>268.64</v>
      </c>
      <c r="K4624" s="21" t="n">
        <v>313.42</v>
      </c>
      <c r="L4624" s="21" t="n">
        <v>358.19</v>
      </c>
      <c r="M4624" s="21" t="n">
        <v>450</v>
      </c>
    </row>
    <row r="4625">
      <c r="A4625" s="9" t="inlineStr">
        <is>
          <t>NANCY</t>
        </is>
      </c>
      <c r="B4625" s="9" t="inlineStr">
        <is>
          <t>NANCY 31/05/2026</t>
        </is>
      </c>
      <c r="C4625" s="9" t="inlineStr">
        <is>
          <t>2026-05-31</t>
        </is>
      </c>
      <c r="D4625" s="9" t="inlineStr">
        <is>
          <t>62745763441517</t>
        </is>
      </c>
      <c r="E4625" s="9" t="inlineStr">
        <is>
          <t>ARETES C CLASH ONYX</t>
        </is>
      </c>
      <c r="F4625" s="9" t="inlineStr">
        <is>
          <t>Default Title</t>
        </is>
      </c>
      <c r="G4625" s="9" t="n">
        <v>2</v>
      </c>
      <c r="H4625" s="21" t="n">
        <v>14.39</v>
      </c>
      <c r="I4625" s="21" t="n">
        <v>349.21</v>
      </c>
      <c r="J4625" s="21" t="n">
        <v>1047.63</v>
      </c>
      <c r="K4625" s="21" t="n">
        <v>1222.24</v>
      </c>
      <c r="L4625" s="21" t="n">
        <v>1396.84</v>
      </c>
      <c r="M4625" s="21" t="n">
        <v>0</v>
      </c>
    </row>
    <row r="4626">
      <c r="A4626" s="9" t="inlineStr">
        <is>
          <t>NANCY</t>
        </is>
      </c>
      <c r="B4626" s="9" t="inlineStr">
        <is>
          <t>NANCY 31/05/2026</t>
        </is>
      </c>
      <c r="C4626" s="9" t="inlineStr">
        <is>
          <t>2026-05-31</t>
        </is>
      </c>
      <c r="D4626" s="9" t="inlineStr">
        <is>
          <t>62745763507053</t>
        </is>
      </c>
      <c r="E4626" s="9" t="inlineStr">
        <is>
          <t>ARETES C CLASH ROSEGOLD TRIPLE</t>
        </is>
      </c>
      <c r="F4626" s="9" t="inlineStr">
        <is>
          <t>Default Title</t>
        </is>
      </c>
      <c r="G4626" s="9" t="n">
        <v>2</v>
      </c>
      <c r="H4626" s="21" t="n">
        <v>14.39</v>
      </c>
      <c r="I4626" s="21" t="n">
        <v>349.21</v>
      </c>
      <c r="J4626" s="21" t="n">
        <v>1047.63</v>
      </c>
      <c r="K4626" s="21" t="n">
        <v>1222.24</v>
      </c>
      <c r="L4626" s="21" t="n">
        <v>1396.84</v>
      </c>
      <c r="M4626" s="21" t="n">
        <v>0</v>
      </c>
    </row>
    <row r="4627">
      <c r="A4627" s="9" t="inlineStr">
        <is>
          <t>NANCY</t>
        </is>
      </c>
      <c r="B4627" s="9" t="inlineStr">
        <is>
          <t>NANCY 31/05/2026</t>
        </is>
      </c>
      <c r="C4627" s="9" t="inlineStr">
        <is>
          <t>2026-05-31</t>
        </is>
      </c>
      <c r="D4627" s="9" t="inlineStr">
        <is>
          <t>58980703081677</t>
        </is>
      </c>
      <c r="E4627" s="9" t="inlineStr">
        <is>
          <t>ARETES CC BOUTON CAMELIA</t>
        </is>
      </c>
      <c r="F4627" s="9" t="inlineStr">
        <is>
          <t>Default Title</t>
        </is>
      </c>
      <c r="G4627" s="9" t="n">
        <v>2</v>
      </c>
      <c r="H4627" s="21" t="n">
        <v>7.99</v>
      </c>
      <c r="I4627" s="21" t="n">
        <v>193.9</v>
      </c>
      <c r="J4627" s="21" t="n">
        <v>581.6900000000001</v>
      </c>
      <c r="K4627" s="21" t="n">
        <v>678.64</v>
      </c>
      <c r="L4627" s="21" t="n">
        <v>775.59</v>
      </c>
      <c r="M4627" s="21" t="n">
        <v>0</v>
      </c>
    </row>
    <row r="4628">
      <c r="A4628" s="9" t="inlineStr">
        <is>
          <t>NANCY</t>
        </is>
      </c>
      <c r="B4628" s="9" t="inlineStr">
        <is>
          <t>NANCY 31/05/2026</t>
        </is>
      </c>
      <c r="C4628" s="9" t="inlineStr">
        <is>
          <t>2026-05-31</t>
        </is>
      </c>
      <c r="D4628" s="9" t="inlineStr">
        <is>
          <t>58980702817837</t>
        </is>
      </c>
      <c r="E4628" s="9" t="inlineStr">
        <is>
          <t>ARETES CC ETOILE FILANTE SILVER</t>
        </is>
      </c>
      <c r="F4628" s="9" t="inlineStr">
        <is>
          <t>Default Title</t>
        </is>
      </c>
      <c r="G4628" s="9" t="n">
        <v>2</v>
      </c>
      <c r="H4628" s="21" t="n">
        <v>7.59</v>
      </c>
      <c r="I4628" s="21" t="n">
        <v>184.19</v>
      </c>
      <c r="J4628" s="21" t="n">
        <v>552.5700000000001</v>
      </c>
      <c r="K4628" s="21" t="n">
        <v>644.67</v>
      </c>
      <c r="L4628" s="21" t="n">
        <v>736.76</v>
      </c>
      <c r="M4628" s="21" t="n">
        <v>0</v>
      </c>
    </row>
    <row r="4629">
      <c r="A4629" s="9" t="inlineStr">
        <is>
          <t>NANCY</t>
        </is>
      </c>
      <c r="B4629" s="9" t="inlineStr">
        <is>
          <t>NANCY 31/05/2026</t>
        </is>
      </c>
      <c r="C4629" s="9" t="inlineStr">
        <is>
          <t>2026-05-31</t>
        </is>
      </c>
      <c r="D4629" s="9" t="inlineStr">
        <is>
          <t>665bb4e91bcaf</t>
        </is>
      </c>
      <c r="E4629" s="9" t="inlineStr">
        <is>
          <t>ARETES CD GOLD BLACK</t>
        </is>
      </c>
      <c r="F4629" s="9" t="inlineStr">
        <is>
          <t>Default Title</t>
        </is>
      </c>
      <c r="G4629" s="9" t="n">
        <v>5</v>
      </c>
      <c r="H4629" s="21" t="n">
        <v>5.59</v>
      </c>
      <c r="I4629" s="21" t="n">
        <v>135.66</v>
      </c>
      <c r="J4629" s="21" t="n">
        <v>406.97</v>
      </c>
      <c r="K4629" s="21" t="n">
        <v>474.8</v>
      </c>
      <c r="L4629" s="21" t="n">
        <v>542.62</v>
      </c>
      <c r="M4629" s="21" t="n">
        <v>499</v>
      </c>
    </row>
    <row r="4630">
      <c r="A4630" s="9" t="inlineStr">
        <is>
          <t>NANCY</t>
        </is>
      </c>
      <c r="B4630" s="9" t="inlineStr">
        <is>
          <t>NANCY 31/05/2026</t>
        </is>
      </c>
      <c r="C4630" s="9" t="inlineStr">
        <is>
          <t>2026-05-31</t>
        </is>
      </c>
      <c r="D4630" s="9" t="inlineStr">
        <is>
          <t>668eee447fb3d</t>
        </is>
      </c>
      <c r="E4630" s="9" t="inlineStr">
        <is>
          <t>ARETES DE ESLABONES GOLD MZ</t>
        </is>
      </c>
      <c r="F4630" s="9" t="inlineStr">
        <is>
          <t>High Quality</t>
        </is>
      </c>
      <c r="G4630" s="9" t="n">
        <v>3</v>
      </c>
      <c r="H4630" s="21" t="n">
        <v>6.99</v>
      </c>
      <c r="I4630" s="21" t="n">
        <v>169.63</v>
      </c>
      <c r="J4630" s="21" t="n">
        <v>508.89</v>
      </c>
      <c r="K4630" s="21" t="n">
        <v>593.71</v>
      </c>
      <c r="L4630" s="21" t="n">
        <v>678.52</v>
      </c>
      <c r="M4630" s="21" t="n">
        <v>699</v>
      </c>
    </row>
    <row r="4631">
      <c r="A4631" s="9" t="inlineStr">
        <is>
          <t>NANCY</t>
        </is>
      </c>
      <c r="B4631" s="9" t="inlineStr">
        <is>
          <t>NANCY 31/05/2026</t>
        </is>
      </c>
      <c r="C4631" s="9" t="inlineStr">
        <is>
          <t>2026-05-31</t>
        </is>
      </c>
      <c r="D4631" s="9" t="inlineStr">
        <is>
          <t>43047216545932</t>
        </is>
      </c>
      <c r="E4631" s="9" t="inlineStr">
        <is>
          <t>ARETES ESLABON LISO ROSEGOLD</t>
        </is>
      </c>
      <c r="F4631" s="9" t="inlineStr">
        <is>
          <t>Small 3cm</t>
        </is>
      </c>
      <c r="G4631" s="9" t="n">
        <v>6</v>
      </c>
      <c r="H4631" s="21" t="n">
        <v>5.79</v>
      </c>
      <c r="I4631" s="21" t="n">
        <v>140.51</v>
      </c>
      <c r="J4631" s="21" t="n">
        <v>421.53</v>
      </c>
      <c r="K4631" s="21" t="n">
        <v>491.78</v>
      </c>
      <c r="L4631" s="21" t="n">
        <v>562.04</v>
      </c>
      <c r="M4631" s="21" t="n">
        <v>650</v>
      </c>
    </row>
    <row r="4632">
      <c r="A4632" s="9" t="inlineStr">
        <is>
          <t>NANCY</t>
        </is>
      </c>
      <c r="B4632" s="9" t="inlineStr">
        <is>
          <t>NANCY 31/05/2026</t>
        </is>
      </c>
      <c r="C4632" s="9" t="inlineStr">
        <is>
          <t>2026-05-31</t>
        </is>
      </c>
      <c r="D4632" s="9" t="inlineStr">
        <is>
          <t>42981553012876</t>
        </is>
      </c>
      <c r="E4632" s="9" t="inlineStr">
        <is>
          <t>ARETES ESSENTIAL LV GOLD</t>
        </is>
      </c>
      <c r="F4632" s="9" t="inlineStr">
        <is>
          <t>Default Title</t>
        </is>
      </c>
      <c r="G4632" s="9" t="n">
        <v>4</v>
      </c>
      <c r="H4632" s="21" t="n">
        <v>5.59</v>
      </c>
      <c r="I4632" s="21" t="n">
        <v>135.66</v>
      </c>
      <c r="J4632" s="21" t="n">
        <v>406.97</v>
      </c>
      <c r="K4632" s="21" t="n">
        <v>474.8</v>
      </c>
      <c r="L4632" s="21" t="n">
        <v>542.62</v>
      </c>
      <c r="M4632" s="21" t="n">
        <v>499</v>
      </c>
    </row>
    <row r="4633">
      <c r="A4633" s="9" t="inlineStr">
        <is>
          <t>NANCY</t>
        </is>
      </c>
      <c r="B4633" s="9" t="inlineStr">
        <is>
          <t>NANCY 31/05/2026</t>
        </is>
      </c>
      <c r="C4633" s="9" t="inlineStr">
        <is>
          <t>2026-05-31</t>
        </is>
      </c>
      <c r="D4633" s="9" t="inlineStr">
        <is>
          <t>42981998657676</t>
        </is>
      </c>
      <c r="E4633" s="9" t="inlineStr">
        <is>
          <t>ARETES FR GOLD</t>
        </is>
      </c>
      <c r="F4633" s="9" t="inlineStr">
        <is>
          <t>Regular</t>
        </is>
      </c>
      <c r="G4633" s="9" t="n">
        <v>29</v>
      </c>
      <c r="H4633" s="21" t="n">
        <v>4.99</v>
      </c>
      <c r="I4633" s="21" t="n">
        <v>121.1</v>
      </c>
      <c r="J4633" s="21" t="n">
        <v>363.29</v>
      </c>
      <c r="K4633" s="21" t="n">
        <v>423.83</v>
      </c>
      <c r="L4633" s="21" t="n">
        <v>484.38</v>
      </c>
      <c r="M4633" s="21" t="n">
        <v>499</v>
      </c>
    </row>
    <row r="4634">
      <c r="A4634" s="9" t="inlineStr">
        <is>
          <t>NANCY</t>
        </is>
      </c>
      <c r="B4634" s="9" t="inlineStr">
        <is>
          <t>NANCY 31/05/2026</t>
        </is>
      </c>
      <c r="C4634" s="9" t="inlineStr">
        <is>
          <t>2026-05-31</t>
        </is>
      </c>
      <c r="D4634" s="9" t="inlineStr">
        <is>
          <t>42982006882444</t>
        </is>
      </c>
      <c r="E4634" s="9" t="inlineStr">
        <is>
          <t>ARETES FR GOLD CON PERLA</t>
        </is>
      </c>
      <c r="F4634" s="9" t="inlineStr">
        <is>
          <t>Default Title</t>
        </is>
      </c>
      <c r="G4634" s="9" t="n">
        <v>3</v>
      </c>
      <c r="H4634" s="21" t="n">
        <v>4.99</v>
      </c>
      <c r="I4634" s="21" t="n">
        <v>121.1</v>
      </c>
      <c r="J4634" s="21" t="n">
        <v>363.29</v>
      </c>
      <c r="K4634" s="21" t="n">
        <v>423.83</v>
      </c>
      <c r="L4634" s="21" t="n">
        <v>484.38</v>
      </c>
      <c r="M4634" s="21" t="n">
        <v>499</v>
      </c>
    </row>
    <row r="4635">
      <c r="A4635" s="9" t="inlineStr">
        <is>
          <t>NANCY</t>
        </is>
      </c>
      <c r="B4635" s="9" t="inlineStr">
        <is>
          <t>NANCY 31/05/2026</t>
        </is>
      </c>
      <c r="C4635" s="9" t="inlineStr">
        <is>
          <t>2026-05-31</t>
        </is>
      </c>
      <c r="D4635" s="9" t="inlineStr">
        <is>
          <t>678a9af396518</t>
        </is>
      </c>
      <c r="E4635" s="9" t="inlineStr">
        <is>
          <t>ARETES FR SILVER</t>
        </is>
      </c>
      <c r="F4635" s="9" t="inlineStr">
        <is>
          <t>Regular</t>
        </is>
      </c>
      <c r="G4635" s="9" t="n">
        <v>5</v>
      </c>
      <c r="H4635" s="21" t="n">
        <v>4.99</v>
      </c>
      <c r="I4635" s="21" t="n">
        <v>121.1</v>
      </c>
      <c r="J4635" s="21" t="n">
        <v>363.29</v>
      </c>
      <c r="K4635" s="21" t="n">
        <v>423.83</v>
      </c>
      <c r="L4635" s="21" t="n">
        <v>484.38</v>
      </c>
      <c r="M4635" s="21" t="n">
        <v>450</v>
      </c>
    </row>
    <row r="4636">
      <c r="A4636" s="9" t="inlineStr">
        <is>
          <t>NANCY</t>
        </is>
      </c>
      <c r="B4636" s="9" t="inlineStr">
        <is>
          <t>NANCY 31/05/2026</t>
        </is>
      </c>
      <c r="C4636" s="9" t="inlineStr">
        <is>
          <t>2026-05-31</t>
        </is>
      </c>
      <c r="D4636" s="9" t="inlineStr">
        <is>
          <t>654bdb23ce5c1</t>
        </is>
      </c>
      <c r="E4636" s="9" t="inlineStr">
        <is>
          <t>ARETES GC ICE CREAM</t>
        </is>
      </c>
      <c r="F4636" s="9" t="inlineStr">
        <is>
          <t>Regular</t>
        </is>
      </c>
      <c r="G4636" s="9" t="n">
        <v>2</v>
      </c>
      <c r="H4636" s="21" t="n">
        <v>6.29</v>
      </c>
      <c r="I4636" s="21" t="n">
        <v>152.64</v>
      </c>
      <c r="J4636" s="21" t="n">
        <v>457.93</v>
      </c>
      <c r="K4636" s="21" t="n">
        <v>534.25</v>
      </c>
      <c r="L4636" s="21" t="n">
        <v>610.5700000000001</v>
      </c>
      <c r="M4636" s="21" t="n">
        <v>599</v>
      </c>
    </row>
    <row r="4637">
      <c r="A4637" s="9" t="inlineStr">
        <is>
          <t>NANCY</t>
        </is>
      </c>
      <c r="B4637" s="9" t="inlineStr">
        <is>
          <t>NANCY 31/05/2026</t>
        </is>
      </c>
      <c r="C4637" s="9" t="inlineStr">
        <is>
          <t>2026-05-31</t>
        </is>
      </c>
      <c r="D4637" s="9" t="inlineStr">
        <is>
          <t>665bb512aacaa</t>
        </is>
      </c>
      <c r="E4637" s="9" t="inlineStr">
        <is>
          <t>ARETES GC LOGO GOLD</t>
        </is>
      </c>
      <c r="F4637" s="9" t="inlineStr">
        <is>
          <t>Default Title</t>
        </is>
      </c>
      <c r="G4637" s="9" t="n">
        <v>2</v>
      </c>
      <c r="H4637" s="21" t="n">
        <v>5.59</v>
      </c>
      <c r="I4637" s="21" t="n">
        <v>135.66</v>
      </c>
      <c r="J4637" s="21" t="n">
        <v>406.97</v>
      </c>
      <c r="K4637" s="21" t="n">
        <v>474.8</v>
      </c>
      <c r="L4637" s="21" t="n">
        <v>542.62</v>
      </c>
      <c r="M4637" s="21" t="n">
        <v>480</v>
      </c>
    </row>
    <row r="4638">
      <c r="A4638" s="9" t="inlineStr">
        <is>
          <t>NANCY</t>
        </is>
      </c>
      <c r="B4638" s="9" t="inlineStr">
        <is>
          <t>NANCY 31/05/2026</t>
        </is>
      </c>
      <c r="C4638" s="9" t="inlineStr">
        <is>
          <t>2026-05-31</t>
        </is>
      </c>
      <c r="D4638" s="9" t="inlineStr">
        <is>
          <t>665bb75c10369</t>
        </is>
      </c>
      <c r="E4638" s="9" t="inlineStr">
        <is>
          <t>ARETES LV MY GOLD</t>
        </is>
      </c>
      <c r="F4638" s="9" t="inlineStr">
        <is>
          <t>Regular</t>
        </is>
      </c>
      <c r="G4638" s="9" t="n">
        <v>4</v>
      </c>
      <c r="H4638" s="21" t="n">
        <v>6.29</v>
      </c>
      <c r="I4638" s="21" t="n">
        <v>152.64</v>
      </c>
      <c r="J4638" s="21" t="n">
        <v>457.93</v>
      </c>
      <c r="K4638" s="21" t="n">
        <v>534.25</v>
      </c>
      <c r="L4638" s="21" t="n">
        <v>610.5700000000001</v>
      </c>
      <c r="M4638" s="21" t="n">
        <v>400</v>
      </c>
    </row>
    <row r="4639">
      <c r="A4639" s="9" t="inlineStr">
        <is>
          <t>NANCY</t>
        </is>
      </c>
      <c r="B4639" s="9" t="inlineStr">
        <is>
          <t>NANCY 31/05/2026</t>
        </is>
      </c>
      <c r="C4639" s="9" t="inlineStr">
        <is>
          <t>2026-05-31</t>
        </is>
      </c>
      <c r="D4639" s="9" t="inlineStr">
        <is>
          <t>665bb4fe45383</t>
        </is>
      </c>
      <c r="E4639" s="9" t="inlineStr">
        <is>
          <t>ARETES PERLA YSL</t>
        </is>
      </c>
      <c r="F4639" s="9" t="inlineStr">
        <is>
          <t>Regular</t>
        </is>
      </c>
      <c r="G4639" s="9" t="n">
        <v>14</v>
      </c>
      <c r="H4639" s="21" t="n">
        <v>4.19</v>
      </c>
      <c r="I4639" s="21" t="n">
        <v>101.68</v>
      </c>
      <c r="J4639" s="21" t="n">
        <v>305.04</v>
      </c>
      <c r="K4639" s="21" t="n">
        <v>355.88</v>
      </c>
      <c r="L4639" s="21" t="n">
        <v>406.72</v>
      </c>
      <c r="M4639" s="21" t="n">
        <v>499</v>
      </c>
    </row>
    <row r="4640">
      <c r="A4640" s="9" t="inlineStr">
        <is>
          <t>NANCY</t>
        </is>
      </c>
      <c r="B4640" s="9" t="inlineStr">
        <is>
          <t>NANCY 31/05/2026</t>
        </is>
      </c>
      <c r="C4640" s="9" t="inlineStr">
        <is>
          <t>2026-05-31</t>
        </is>
      </c>
      <c r="D4640" s="9" t="inlineStr">
        <is>
          <t>68431131886732</t>
        </is>
      </c>
      <c r="E4640" s="9" t="inlineStr">
        <is>
          <t>ARETES PERLEÉ ROSEGOLD</t>
        </is>
      </c>
      <c r="F4640" s="9" t="inlineStr">
        <is>
          <t>Default Title</t>
        </is>
      </c>
      <c r="G4640" s="9" t="n">
        <v>2</v>
      </c>
      <c r="H4640" s="21" t="n">
        <v>9.99</v>
      </c>
      <c r="I4640" s="21" t="n">
        <v>242.43</v>
      </c>
      <c r="J4640" s="21" t="n">
        <v>727.3</v>
      </c>
      <c r="K4640" s="21" t="n">
        <v>848.52</v>
      </c>
      <c r="L4640" s="21" t="n">
        <v>969.73</v>
      </c>
      <c r="M4640" s="21" t="n">
        <v>760</v>
      </c>
    </row>
    <row r="4641">
      <c r="A4641" s="9" t="inlineStr">
        <is>
          <t>NANCY</t>
        </is>
      </c>
      <c r="B4641" s="9" t="inlineStr">
        <is>
          <t>NANCY 31/05/2026</t>
        </is>
      </c>
      <c r="C4641" s="9" t="inlineStr">
        <is>
          <t>2026-05-31</t>
        </is>
      </c>
      <c r="D4641" s="9" t="inlineStr">
        <is>
          <t>68089822523405</t>
        </is>
      </c>
      <c r="E4641" s="9" t="inlineStr">
        <is>
          <t>ARETES T BEAN SILVER ZIRCONIAS</t>
        </is>
      </c>
      <c r="F4641" s="9" t="inlineStr">
        <is>
          <t>Default Title</t>
        </is>
      </c>
      <c r="G4641" s="9" t="n">
        <v>3</v>
      </c>
      <c r="H4641" s="21" t="n">
        <v>7.99</v>
      </c>
      <c r="I4641" s="21" t="n">
        <v>193.9</v>
      </c>
      <c r="J4641" s="21" t="n">
        <v>581.6900000000001</v>
      </c>
      <c r="K4641" s="21" t="n">
        <v>678.64</v>
      </c>
      <c r="L4641" s="21" t="n">
        <v>775.59</v>
      </c>
      <c r="M4641" s="21" t="n">
        <v>0</v>
      </c>
    </row>
    <row r="4642">
      <c r="A4642" s="9" t="inlineStr">
        <is>
          <t>NANCY</t>
        </is>
      </c>
      <c r="B4642" s="9" t="inlineStr">
        <is>
          <t>NANCY 31/05/2026</t>
        </is>
      </c>
      <c r="C4642" s="9" t="inlineStr">
        <is>
          <t>2026-05-31</t>
        </is>
      </c>
      <c r="D4642" s="9" t="inlineStr">
        <is>
          <t>68089822523405</t>
        </is>
      </c>
      <c r="E4642" s="9" t="inlineStr">
        <is>
          <t>ARETES T BEAN SILVER ZIRCONIAS</t>
        </is>
      </c>
      <c r="F4642" s="9" t="inlineStr">
        <is>
          <t>Default Title</t>
        </is>
      </c>
      <c r="G4642" s="9" t="n">
        <v>3</v>
      </c>
      <c r="H4642" s="21" t="n">
        <v>7.99</v>
      </c>
      <c r="I4642" s="21" t="n">
        <v>193.9</v>
      </c>
      <c r="J4642" s="21" t="n">
        <v>581.6900000000001</v>
      </c>
      <c r="K4642" s="21" t="n">
        <v>678.64</v>
      </c>
      <c r="L4642" s="21" t="n">
        <v>775.59</v>
      </c>
      <c r="M4642" s="21" t="n">
        <v>0</v>
      </c>
    </row>
    <row r="4643">
      <c r="A4643" s="9" t="inlineStr">
        <is>
          <t>NANCY</t>
        </is>
      </c>
      <c r="B4643" s="9" t="inlineStr">
        <is>
          <t>NANCY 31/05/2026</t>
        </is>
      </c>
      <c r="C4643" s="9" t="inlineStr">
        <is>
          <t>2026-05-31</t>
        </is>
      </c>
      <c r="D4643" s="9" t="inlineStr">
        <is>
          <t>68089821833581</t>
        </is>
      </c>
      <c r="E4643" s="9" t="inlineStr">
        <is>
          <t>ARETES T LOCK ALL GOLD</t>
        </is>
      </c>
      <c r="F4643" s="9" t="inlineStr">
        <is>
          <t>Default Title</t>
        </is>
      </c>
      <c r="G4643" s="9" t="n">
        <v>2</v>
      </c>
      <c r="H4643" s="21" t="n">
        <v>7.69</v>
      </c>
      <c r="I4643" s="21" t="n">
        <v>186.62</v>
      </c>
      <c r="J4643" s="21" t="n">
        <v>559.85</v>
      </c>
      <c r="K4643" s="21" t="n">
        <v>653.16</v>
      </c>
      <c r="L4643" s="21" t="n">
        <v>746.47</v>
      </c>
      <c r="M4643" s="21" t="n">
        <v>0</v>
      </c>
    </row>
    <row r="4644">
      <c r="A4644" s="9" t="inlineStr">
        <is>
          <t>NANCY</t>
        </is>
      </c>
      <c r="B4644" s="9" t="inlineStr">
        <is>
          <t>NANCY 31/05/2026</t>
        </is>
      </c>
      <c r="C4644" s="9" t="inlineStr">
        <is>
          <t>2026-05-31</t>
        </is>
      </c>
      <c r="D4644" s="9" t="inlineStr">
        <is>
          <t>68089822457869</t>
        </is>
      </c>
      <c r="E4644" s="9" t="inlineStr">
        <is>
          <t>ARETES T LOCK GOLD HALF ZIRCONIAS</t>
        </is>
      </c>
      <c r="F4644" s="9" t="inlineStr">
        <is>
          <t>Default Title</t>
        </is>
      </c>
      <c r="G4644" s="9" t="n">
        <v>2</v>
      </c>
      <c r="H4644" s="21" t="n">
        <v>8.19</v>
      </c>
      <c r="I4644" s="21" t="n">
        <v>198.75</v>
      </c>
      <c r="J4644" s="21" t="n">
        <v>596.25</v>
      </c>
      <c r="K4644" s="21" t="n">
        <v>695.63</v>
      </c>
      <c r="L4644" s="21" t="n">
        <v>795.01</v>
      </c>
      <c r="M4644" s="21" t="n">
        <v>0</v>
      </c>
    </row>
    <row r="4645">
      <c r="A4645" s="9" t="inlineStr">
        <is>
          <t>NANCY</t>
        </is>
      </c>
      <c r="B4645" s="9" t="inlineStr">
        <is>
          <t>NANCY 31/05/2026</t>
        </is>
      </c>
      <c r="C4645" s="9" t="inlineStr">
        <is>
          <t>2026-05-31</t>
        </is>
      </c>
      <c r="D4645" s="9" t="inlineStr">
        <is>
          <t>68089822030189</t>
        </is>
      </c>
      <c r="E4645" s="9" t="inlineStr">
        <is>
          <t>ARETES T LOCK ROSE GOLD</t>
        </is>
      </c>
      <c r="F4645" s="9" t="inlineStr">
        <is>
          <t>Default Title</t>
        </is>
      </c>
      <c r="G4645" s="9" t="n">
        <v>2</v>
      </c>
      <c r="H4645" s="21" t="n">
        <v>7.69</v>
      </c>
      <c r="I4645" s="21" t="n">
        <v>186.62</v>
      </c>
      <c r="J4645" s="21" t="n">
        <v>559.85</v>
      </c>
      <c r="K4645" s="21" t="n">
        <v>653.16</v>
      </c>
      <c r="L4645" s="21" t="n">
        <v>746.47</v>
      </c>
      <c r="M4645" s="21" t="n">
        <v>0</v>
      </c>
    </row>
    <row r="4646">
      <c r="A4646" s="9" t="inlineStr">
        <is>
          <t>NANCY</t>
        </is>
      </c>
      <c r="B4646" s="9" t="inlineStr">
        <is>
          <t>NANCY 31/05/2026</t>
        </is>
      </c>
      <c r="C4646" s="9" t="inlineStr">
        <is>
          <t>2026-05-31</t>
        </is>
      </c>
      <c r="D4646" s="9" t="inlineStr">
        <is>
          <t>68089822125101</t>
        </is>
      </c>
      <c r="E4646" s="9" t="inlineStr">
        <is>
          <t>ARETES T LOCK ROSE GOLD HALF ZIRCONIAS</t>
        </is>
      </c>
      <c r="F4646" s="9" t="inlineStr">
        <is>
          <t>Default Title</t>
        </is>
      </c>
      <c r="G4646" s="9" t="n">
        <v>2</v>
      </c>
      <c r="H4646" s="21" t="n">
        <v>8.19</v>
      </c>
      <c r="I4646" s="21" t="n">
        <v>198.75</v>
      </c>
      <c r="J4646" s="21" t="n">
        <v>596.25</v>
      </c>
      <c r="K4646" s="21" t="n">
        <v>695.63</v>
      </c>
      <c r="L4646" s="21" t="n">
        <v>795.01</v>
      </c>
      <c r="M4646" s="21" t="n">
        <v>0</v>
      </c>
    </row>
    <row r="4647">
      <c r="A4647" s="9" t="inlineStr">
        <is>
          <t>NANCY</t>
        </is>
      </c>
      <c r="B4647" s="9" t="inlineStr">
        <is>
          <t>NANCY 31/05/2026</t>
        </is>
      </c>
      <c r="C4647" s="9" t="inlineStr">
        <is>
          <t>2026-05-31</t>
        </is>
      </c>
      <c r="D4647" s="9" t="inlineStr">
        <is>
          <t>68089822295725</t>
        </is>
      </c>
      <c r="E4647" s="9" t="inlineStr">
        <is>
          <t>ARETES T LOCK SILVER</t>
        </is>
      </c>
      <c r="F4647" s="9" t="inlineStr">
        <is>
          <t>Default Title</t>
        </is>
      </c>
      <c r="G4647" s="9" t="n">
        <v>2</v>
      </c>
      <c r="H4647" s="21" t="n">
        <v>7.69</v>
      </c>
      <c r="I4647" s="21" t="n">
        <v>186.62</v>
      </c>
      <c r="J4647" s="21" t="n">
        <v>559.85</v>
      </c>
      <c r="K4647" s="21" t="n">
        <v>653.16</v>
      </c>
      <c r="L4647" s="21" t="n">
        <v>746.47</v>
      </c>
      <c r="M4647" s="21" t="n">
        <v>0</v>
      </c>
    </row>
    <row r="4648">
      <c r="A4648" s="9" t="inlineStr">
        <is>
          <t>NANCY</t>
        </is>
      </c>
      <c r="B4648" s="9" t="inlineStr">
        <is>
          <t>NANCY 31/05/2026</t>
        </is>
      </c>
      <c r="C4648" s="9" t="inlineStr">
        <is>
          <t>2026-05-31</t>
        </is>
      </c>
      <c r="D4648" s="9" t="inlineStr">
        <is>
          <t>68089822361261</t>
        </is>
      </c>
      <c r="E4648" s="9" t="inlineStr">
        <is>
          <t>ARETES T LOCK SILVER HALF ZIRCONIAS</t>
        </is>
      </c>
      <c r="F4648" s="9" t="inlineStr">
        <is>
          <t>Default Title</t>
        </is>
      </c>
      <c r="G4648" s="9" t="n">
        <v>2</v>
      </c>
      <c r="H4648" s="21" t="n">
        <v>8.19</v>
      </c>
      <c r="I4648" s="21" t="n">
        <v>198.75</v>
      </c>
      <c r="J4648" s="21" t="n">
        <v>596.25</v>
      </c>
      <c r="K4648" s="21" t="n">
        <v>695.63</v>
      </c>
      <c r="L4648" s="21" t="n">
        <v>795.01</v>
      </c>
      <c r="M4648" s="21" t="n">
        <v>0</v>
      </c>
    </row>
    <row r="4649">
      <c r="A4649" s="9" t="inlineStr">
        <is>
          <t>NANCY</t>
        </is>
      </c>
      <c r="B4649" s="9" t="inlineStr">
        <is>
          <t>NANCY 31/05/2026</t>
        </is>
      </c>
      <c r="C4649" s="9" t="inlineStr">
        <is>
          <t>2026-05-31</t>
        </is>
      </c>
      <c r="D4649" s="9" t="inlineStr">
        <is>
          <t>665bb76fc6270</t>
        </is>
      </c>
      <c r="E4649" s="9" t="inlineStr">
        <is>
          <t>ARETES TB SILVER</t>
        </is>
      </c>
      <c r="F4649" s="9" t="inlineStr">
        <is>
          <t>1.5 cm</t>
        </is>
      </c>
      <c r="G4649" s="9" t="n">
        <v>6</v>
      </c>
      <c r="H4649" s="21" t="n">
        <v>2.99</v>
      </c>
      <c r="I4649" s="21" t="n">
        <v>72.56</v>
      </c>
      <c r="J4649" s="21" t="n">
        <v>217.68</v>
      </c>
      <c r="K4649" s="21" t="n">
        <v>253.96</v>
      </c>
      <c r="L4649" s="21" t="n">
        <v>290.24</v>
      </c>
      <c r="M4649" s="21" t="n">
        <v>450</v>
      </c>
    </row>
    <row r="4650">
      <c r="A4650" s="9" t="inlineStr">
        <is>
          <t>NANCY</t>
        </is>
      </c>
      <c r="B4650" s="9" t="inlineStr">
        <is>
          <t>NANCY 31/05/2026</t>
        </is>
      </c>
      <c r="C4650" s="9" t="inlineStr">
        <is>
          <t>2026-05-31</t>
        </is>
      </c>
      <c r="D4650" s="9" t="inlineStr">
        <is>
          <t>654bdb2332905</t>
        </is>
      </c>
      <c r="E4650" s="9" t="inlineStr">
        <is>
          <t>ARETES V GOLD</t>
        </is>
      </c>
      <c r="F4650" s="9" t="inlineStr">
        <is>
          <t>Regular</t>
        </is>
      </c>
      <c r="G4650" s="9" t="n">
        <v>15</v>
      </c>
      <c r="H4650" s="21" t="n">
        <v>5.59</v>
      </c>
      <c r="I4650" s="21" t="n">
        <v>135.66</v>
      </c>
      <c r="J4650" s="21" t="n">
        <v>406.97</v>
      </c>
      <c r="K4650" s="21" t="n">
        <v>474.8</v>
      </c>
      <c r="L4650" s="21" t="n">
        <v>542.62</v>
      </c>
      <c r="M4650" s="21" t="n">
        <v>550</v>
      </c>
    </row>
    <row r="4651">
      <c r="A4651" s="9" t="inlineStr">
        <is>
          <t>NANCY</t>
        </is>
      </c>
      <c r="B4651" s="9" t="inlineStr">
        <is>
          <t>NANCY 31/05/2026</t>
        </is>
      </c>
      <c r="C4651" s="9" t="inlineStr">
        <is>
          <t>2026-05-31</t>
        </is>
      </c>
      <c r="D4651" s="9" t="inlineStr">
        <is>
          <t>22974393035949</t>
        </is>
      </c>
      <c r="E4651" s="9" t="inlineStr">
        <is>
          <t>ARETES V MEDUSA GOLD</t>
        </is>
      </c>
      <c r="F4651" s="9" t="inlineStr">
        <is>
          <t>Default Title</t>
        </is>
      </c>
      <c r="G4651" s="9" t="n">
        <v>2</v>
      </c>
      <c r="H4651" s="21" t="n">
        <v>5.58</v>
      </c>
      <c r="I4651" s="21" t="n">
        <v>135.41</v>
      </c>
      <c r="J4651" s="21" t="n">
        <v>406.24</v>
      </c>
      <c r="K4651" s="21" t="n">
        <v>473.95</v>
      </c>
      <c r="L4651" s="21" t="n">
        <v>541.65</v>
      </c>
      <c r="M4651" s="21" t="n">
        <v>499</v>
      </c>
    </row>
    <row r="4652">
      <c r="A4652" s="9" t="inlineStr">
        <is>
          <t>NANCY</t>
        </is>
      </c>
      <c r="B4652" s="9" t="inlineStr">
        <is>
          <t>NANCY 31/05/2026</t>
        </is>
      </c>
      <c r="C4652" s="9" t="inlineStr">
        <is>
          <t>2026-05-31</t>
        </is>
      </c>
      <c r="D4652" s="9" t="inlineStr">
        <is>
          <t>665bb78f1ae43</t>
        </is>
      </c>
      <c r="E4652" s="9" t="inlineStr">
        <is>
          <t>ARETES YSL GOLD CON ZIRCONIA</t>
        </is>
      </c>
      <c r="F4652" s="9" t="inlineStr">
        <is>
          <t>Regular</t>
        </is>
      </c>
      <c r="G4652" s="9" t="n">
        <v>3</v>
      </c>
      <c r="H4652" s="21" t="n">
        <v>6.99</v>
      </c>
      <c r="I4652" s="21" t="n">
        <v>169.63</v>
      </c>
      <c r="J4652" s="21" t="n">
        <v>508.89</v>
      </c>
      <c r="K4652" s="21" t="n">
        <v>593.71</v>
      </c>
      <c r="L4652" s="21" t="n">
        <v>678.52</v>
      </c>
      <c r="M4652" s="21" t="n">
        <v>650</v>
      </c>
    </row>
    <row r="4653">
      <c r="A4653" s="9" t="inlineStr">
        <is>
          <t>NANCY</t>
        </is>
      </c>
      <c r="B4653" s="9" t="inlineStr">
        <is>
          <t>NANCY 31/05/2026</t>
        </is>
      </c>
      <c r="C4653" s="9" t="inlineStr">
        <is>
          <t>2026-05-31</t>
        </is>
      </c>
      <c r="D4653" s="9" t="inlineStr">
        <is>
          <t>58980702950605</t>
        </is>
      </c>
      <c r="E4653" s="9" t="inlineStr">
        <is>
          <t>ARRACADAS CC COCO HOOPS</t>
        </is>
      </c>
      <c r="F4653" s="9" t="inlineStr">
        <is>
          <t>Default Title</t>
        </is>
      </c>
      <c r="G4653" s="9" t="n">
        <v>2</v>
      </c>
      <c r="H4653" s="21" t="n">
        <v>8.19</v>
      </c>
      <c r="I4653" s="21" t="n">
        <v>198.75</v>
      </c>
      <c r="J4653" s="21" t="n">
        <v>596.25</v>
      </c>
      <c r="K4653" s="21" t="n">
        <v>695.63</v>
      </c>
      <c r="L4653" s="21" t="n">
        <v>795.01</v>
      </c>
      <c r="M4653" s="21" t="n">
        <v>0</v>
      </c>
    </row>
    <row r="4654">
      <c r="A4654" s="9" t="inlineStr">
        <is>
          <t>NANCY</t>
        </is>
      </c>
      <c r="B4654" s="9" t="inlineStr">
        <is>
          <t>NANCY 31/05/2026</t>
        </is>
      </c>
      <c r="C4654" s="9" t="inlineStr">
        <is>
          <t>2026-05-31</t>
        </is>
      </c>
      <c r="D4654" s="9" t="inlineStr">
        <is>
          <t>42951540310156</t>
        </is>
      </c>
      <c r="E4654" s="9" t="inlineStr">
        <is>
          <t>ARRACADAS GC SILVER</t>
        </is>
      </c>
      <c r="F4654" s="9" t="inlineStr">
        <is>
          <t>Default Title</t>
        </is>
      </c>
      <c r="G4654" s="9" t="n">
        <v>2</v>
      </c>
      <c r="H4654" s="21" t="n">
        <v>6.29</v>
      </c>
      <c r="I4654" s="21" t="n">
        <v>152.64</v>
      </c>
      <c r="J4654" s="21" t="n">
        <v>457.93</v>
      </c>
      <c r="K4654" s="21" t="n">
        <v>534.25</v>
      </c>
      <c r="L4654" s="21" t="n">
        <v>610.5700000000001</v>
      </c>
      <c r="M4654" s="21" t="n">
        <v>699</v>
      </c>
    </row>
    <row r="4655">
      <c r="A4655" s="9" t="inlineStr">
        <is>
          <t>NANCY</t>
        </is>
      </c>
      <c r="B4655" s="9" t="inlineStr">
        <is>
          <t>NANCY 31/05/2026</t>
        </is>
      </c>
      <c r="C4655" s="9" t="inlineStr">
        <is>
          <t>2026-05-31</t>
        </is>
      </c>
      <c r="D4655" s="9" t="inlineStr">
        <is>
          <t>22974392487981</t>
        </is>
      </c>
      <c r="E4655" s="9" t="inlineStr">
        <is>
          <t>ARRACADAS GG BLONDIE GOLD</t>
        </is>
      </c>
      <c r="F4655" s="9" t="inlineStr">
        <is>
          <t>Default Title</t>
        </is>
      </c>
      <c r="G4655" s="9" t="n">
        <v>2</v>
      </c>
      <c r="H4655" s="21" t="n">
        <v>5.99</v>
      </c>
      <c r="I4655" s="21" t="n">
        <v>145.36</v>
      </c>
      <c r="J4655" s="21" t="n">
        <v>436.09</v>
      </c>
      <c r="K4655" s="21" t="n">
        <v>508.77</v>
      </c>
      <c r="L4655" s="21" t="n">
        <v>581.45</v>
      </c>
      <c r="M4655" s="21" t="n">
        <v>499</v>
      </c>
    </row>
    <row r="4656">
      <c r="A4656" s="9" t="inlineStr">
        <is>
          <t>NANCY</t>
        </is>
      </c>
      <c r="B4656" s="9" t="inlineStr">
        <is>
          <t>NANCY 31/05/2026</t>
        </is>
      </c>
      <c r="C4656" s="9" t="inlineStr">
        <is>
          <t>2026-05-31</t>
        </is>
      </c>
      <c r="D4656" s="9" t="inlineStr">
        <is>
          <t>665bb79776b6f-1</t>
        </is>
      </c>
      <c r="E4656" s="9" t="inlineStr">
        <is>
          <t>ARRACADAS NANOGRAMA LV</t>
        </is>
      </c>
      <c r="F4656" s="9" t="inlineStr">
        <is>
          <t>Regular</t>
        </is>
      </c>
      <c r="G4656" s="9" t="n">
        <v>4</v>
      </c>
      <c r="H4656" s="21" t="n">
        <v>5.59</v>
      </c>
      <c r="I4656" s="21" t="n">
        <v>135.66</v>
      </c>
      <c r="J4656" s="21" t="n">
        <v>406.97</v>
      </c>
      <c r="K4656" s="21" t="n">
        <v>474.8</v>
      </c>
      <c r="L4656" s="21" t="n">
        <v>542.62</v>
      </c>
      <c r="M4656" s="21" t="n">
        <v>480</v>
      </c>
    </row>
    <row r="4657">
      <c r="A4657" s="9" t="inlineStr">
        <is>
          <t>NANCY</t>
        </is>
      </c>
      <c r="B4657" s="9" t="inlineStr">
        <is>
          <t>NANCY 31/05/2026</t>
        </is>
      </c>
      <c r="C4657" s="9" t="inlineStr">
        <is>
          <t>2026-05-31</t>
        </is>
      </c>
      <c r="D4657" s="9" t="inlineStr">
        <is>
          <t>68089821931885</t>
        </is>
      </c>
      <c r="E4657" s="9" t="inlineStr">
        <is>
          <t>ARRACADAS SIXTEEN STONE</t>
        </is>
      </c>
      <c r="F4657" s="9" t="inlineStr">
        <is>
          <t>Default Title</t>
        </is>
      </c>
      <c r="G4657" s="9" t="n">
        <v>2</v>
      </c>
      <c r="H4657" s="21" t="n">
        <v>6.59</v>
      </c>
      <c r="I4657" s="21" t="n">
        <v>159.92</v>
      </c>
      <c r="J4657" s="21" t="n">
        <v>479.77</v>
      </c>
      <c r="K4657" s="21" t="n">
        <v>559.73</v>
      </c>
      <c r="L4657" s="21" t="n">
        <v>639.6900000000001</v>
      </c>
      <c r="M4657" s="21" t="n">
        <v>0</v>
      </c>
    </row>
    <row r="4658">
      <c r="A4658" s="9" t="inlineStr">
        <is>
          <t>NANCY</t>
        </is>
      </c>
      <c r="B4658" s="9" t="inlineStr">
        <is>
          <t>NANCY 31/05/2026</t>
        </is>
      </c>
      <c r="C4658" s="9" t="inlineStr">
        <is>
          <t>2026-05-31</t>
        </is>
      </c>
      <c r="D4658" s="9" t="inlineStr">
        <is>
          <t>58980702753997</t>
        </is>
      </c>
      <c r="E4658" s="9" t="inlineStr">
        <is>
          <t>BRAZALETE CC COCO CRUSH GOLD ZIRCONIAS</t>
        </is>
      </c>
      <c r="F4658" s="9" t="inlineStr">
        <is>
          <t>Default Title</t>
        </is>
      </c>
      <c r="G4658" s="9" t="n">
        <v>2</v>
      </c>
      <c r="H4658" s="21" t="n">
        <v>21.99</v>
      </c>
      <c r="I4658" s="21" t="n">
        <v>533.64</v>
      </c>
      <c r="J4658" s="21" t="n">
        <v>1600.93</v>
      </c>
      <c r="K4658" s="21" t="n">
        <v>1867.76</v>
      </c>
      <c r="L4658" s="21" t="n">
        <v>2134.58</v>
      </c>
      <c r="M4658" s="21" t="n">
        <v>0</v>
      </c>
    </row>
    <row r="4659">
      <c r="A4659" s="9" t="inlineStr">
        <is>
          <t>NANCY</t>
        </is>
      </c>
      <c r="B4659" s="9" t="inlineStr">
        <is>
          <t>NANCY 31/05/2026</t>
        </is>
      </c>
      <c r="C4659" s="9" t="inlineStr">
        <is>
          <t>2026-05-31</t>
        </is>
      </c>
      <c r="D4659" s="9" t="inlineStr">
        <is>
          <t>58980702657389</t>
        </is>
      </c>
      <c r="E4659" s="9" t="inlineStr">
        <is>
          <t>BRAZALETE CC COCO CRUSH SILVER</t>
        </is>
      </c>
      <c r="F4659" s="9" t="inlineStr">
        <is>
          <t>Default Title</t>
        </is>
      </c>
      <c r="G4659" s="9" t="n">
        <v>2</v>
      </c>
      <c r="H4659" s="21" t="n">
        <v>12.59</v>
      </c>
      <c r="I4659" s="21" t="n">
        <v>305.53</v>
      </c>
      <c r="J4659" s="21" t="n">
        <v>916.59</v>
      </c>
      <c r="K4659" s="21" t="n">
        <v>1069.35</v>
      </c>
      <c r="L4659" s="21" t="n">
        <v>1222.12</v>
      </c>
      <c r="M4659" s="21" t="n">
        <v>0</v>
      </c>
    </row>
    <row r="4660">
      <c r="A4660" s="9" t="inlineStr">
        <is>
          <t>NANCY</t>
        </is>
      </c>
      <c r="B4660" s="9" t="inlineStr">
        <is>
          <t>NANCY 31/05/2026</t>
        </is>
      </c>
      <c r="C4660" s="9" t="inlineStr">
        <is>
          <t>2026-05-31</t>
        </is>
      </c>
      <c r="D4660" s="9" t="inlineStr">
        <is>
          <t>64e78ca1ee3ac</t>
        </is>
      </c>
      <c r="E4660" s="9" t="inlineStr">
        <is>
          <t>BRAZALETE CD WHITE</t>
        </is>
      </c>
      <c r="F4660" s="9" t="inlineStr">
        <is>
          <t>AJUSTABLE</t>
        </is>
      </c>
      <c r="G4660" s="9" t="n">
        <v>3</v>
      </c>
      <c r="H4660" s="21" t="n">
        <v>6.59</v>
      </c>
      <c r="I4660" s="21" t="n">
        <v>159.92</v>
      </c>
      <c r="J4660" s="21" t="n">
        <v>479.77</v>
      </c>
      <c r="K4660" s="21" t="n">
        <v>559.73</v>
      </c>
      <c r="L4660" s="21" t="n">
        <v>639.6900000000001</v>
      </c>
      <c r="M4660" s="21" t="n">
        <v>599</v>
      </c>
    </row>
    <row r="4661">
      <c r="A4661" s="9" t="inlineStr">
        <is>
          <t>NANCY</t>
        </is>
      </c>
      <c r="B4661" s="9" t="inlineStr">
        <is>
          <t>NANCY 31/05/2026</t>
        </is>
      </c>
      <c r="C4661" s="9" t="inlineStr">
        <is>
          <t>2026-05-31</t>
        </is>
      </c>
      <c r="D4661" s="9" t="inlineStr">
        <is>
          <t>68089822656173</t>
        </is>
      </c>
      <c r="E4661" s="9" t="inlineStr">
        <is>
          <t>BRAZALETE T 1837</t>
        </is>
      </c>
      <c r="F4661" s="9" t="inlineStr">
        <is>
          <t>Default Title</t>
        </is>
      </c>
      <c r="G4661" s="9" t="n">
        <v>2</v>
      </c>
      <c r="H4661" s="21" t="n">
        <v>7.99</v>
      </c>
      <c r="I4661" s="21" t="n">
        <v>193.9</v>
      </c>
      <c r="J4661" s="21" t="n">
        <v>581.6900000000001</v>
      </c>
      <c r="K4661" s="21" t="n">
        <v>678.64</v>
      </c>
      <c r="L4661" s="21" t="n">
        <v>775.59</v>
      </c>
      <c r="M4661" s="21" t="n">
        <v>0</v>
      </c>
    </row>
    <row r="4662">
      <c r="A4662" s="9" t="inlineStr">
        <is>
          <t>NANCY</t>
        </is>
      </c>
      <c r="B4662" s="9" t="inlineStr">
        <is>
          <t>NANCY 31/05/2026</t>
        </is>
      </c>
      <c r="C4662" s="9" t="inlineStr">
        <is>
          <t>2026-05-31</t>
        </is>
      </c>
      <c r="D4662" s="9" t="inlineStr">
        <is>
          <t>68089822787245</t>
        </is>
      </c>
      <c r="E4662" s="9" t="inlineStr">
        <is>
          <t>BRAZALETE T ENTRELAZADOS</t>
        </is>
      </c>
      <c r="F4662" s="9" t="inlineStr">
        <is>
          <t>Default Title</t>
        </is>
      </c>
      <c r="G4662" s="9" t="n">
        <v>3</v>
      </c>
      <c r="H4662" s="21" t="n">
        <v>7.99</v>
      </c>
      <c r="I4662" s="21" t="n">
        <v>193.9</v>
      </c>
      <c r="J4662" s="21" t="n">
        <v>581.6900000000001</v>
      </c>
      <c r="K4662" s="21" t="n">
        <v>678.64</v>
      </c>
      <c r="L4662" s="21" t="n">
        <v>775.59</v>
      </c>
      <c r="M4662" s="21" t="n">
        <v>0</v>
      </c>
    </row>
    <row r="4663">
      <c r="A4663" s="9" t="inlineStr">
        <is>
          <t>NANCY</t>
        </is>
      </c>
      <c r="B4663" s="9" t="inlineStr">
        <is>
          <t>NANCY 31/05/2026</t>
        </is>
      </c>
      <c r="C4663" s="9" t="inlineStr">
        <is>
          <t>2026-05-31</t>
        </is>
      </c>
      <c r="D4663" s="9" t="inlineStr">
        <is>
          <t>68089822914925</t>
        </is>
      </c>
      <c r="E4663" s="9" t="inlineStr">
        <is>
          <t>BRAZALETE T PERLAS TITAN</t>
        </is>
      </c>
      <c r="F4663" s="9" t="inlineStr">
        <is>
          <t>Default Title</t>
        </is>
      </c>
      <c r="G4663" s="9" t="n">
        <v>2</v>
      </c>
      <c r="H4663" s="21" t="n">
        <v>8.59</v>
      </c>
      <c r="I4663" s="21" t="n">
        <v>208.46</v>
      </c>
      <c r="J4663" s="21" t="n">
        <v>625.38</v>
      </c>
      <c r="K4663" s="21" t="n">
        <v>729.61</v>
      </c>
      <c r="L4663" s="21" t="n">
        <v>833.83</v>
      </c>
      <c r="M4663" s="21" t="n">
        <v>0</v>
      </c>
    </row>
    <row r="4664">
      <c r="A4664" s="9" t="inlineStr">
        <is>
          <t>NANCY</t>
        </is>
      </c>
      <c r="B4664" s="9" t="inlineStr">
        <is>
          <t>NANCY 31/05/2026</t>
        </is>
      </c>
      <c r="C4664" s="9" t="inlineStr">
        <is>
          <t>2026-05-31</t>
        </is>
      </c>
      <c r="D4664" s="9" t="inlineStr">
        <is>
          <t>58980701413901</t>
        </is>
      </c>
      <c r="E4664" s="9" t="inlineStr">
        <is>
          <t>BROCHE CC PEARLS BLACK</t>
        </is>
      </c>
      <c r="F4664" s="9" t="inlineStr">
        <is>
          <t>Default Title</t>
        </is>
      </c>
      <c r="G4664" s="9" t="n">
        <v>2</v>
      </c>
      <c r="H4664" s="21" t="n">
        <v>6.89</v>
      </c>
      <c r="I4664" s="21" t="n">
        <v>167.2</v>
      </c>
      <c r="J4664" s="21" t="n">
        <v>501.61</v>
      </c>
      <c r="K4664" s="21" t="n">
        <v>585.21</v>
      </c>
      <c r="L4664" s="21" t="n">
        <v>668.8099999999999</v>
      </c>
      <c r="M4664" s="21" t="n">
        <v>0</v>
      </c>
    </row>
    <row r="4665">
      <c r="A4665" s="9" t="inlineStr">
        <is>
          <t>NANCY</t>
        </is>
      </c>
      <c r="B4665" s="9" t="inlineStr">
        <is>
          <t>NANCY 31/05/2026</t>
        </is>
      </c>
      <c r="C4665" s="9" t="inlineStr">
        <is>
          <t>2026-05-31</t>
        </is>
      </c>
      <c r="D4665" s="9" t="inlineStr">
        <is>
          <t>58980703373197</t>
        </is>
      </c>
      <c r="E4665" s="9" t="inlineStr">
        <is>
          <t>CARTERA CD ALARGADA GRAVITY</t>
        </is>
      </c>
      <c r="F4665" s="9" t="inlineStr">
        <is>
          <t>Default Title</t>
        </is>
      </c>
      <c r="G4665" s="9" t="n">
        <v>2</v>
      </c>
      <c r="H4665" s="21" t="n">
        <v>21.59</v>
      </c>
      <c r="I4665" s="21" t="n">
        <v>523.9400000000001</v>
      </c>
      <c r="J4665" s="21" t="n">
        <v>1571.81</v>
      </c>
      <c r="K4665" s="21" t="n">
        <v>1833.78</v>
      </c>
      <c r="L4665" s="21" t="n">
        <v>2095.75</v>
      </c>
      <c r="M4665" s="21" t="n">
        <v>0</v>
      </c>
    </row>
    <row r="4666">
      <c r="A4666" s="9" t="inlineStr">
        <is>
          <t>NANCY</t>
        </is>
      </c>
      <c r="B4666" s="9" t="inlineStr">
        <is>
          <t>NANCY 31/05/2026</t>
        </is>
      </c>
      <c r="C4666" s="9" t="inlineStr">
        <is>
          <t>2026-05-31</t>
        </is>
      </c>
      <c r="D4666" s="9" t="inlineStr">
        <is>
          <t>58980703502573</t>
        </is>
      </c>
      <c r="E4666" s="9" t="inlineStr">
        <is>
          <t>CARTERA CD GRAVITY</t>
        </is>
      </c>
      <c r="F4666" s="9" t="inlineStr">
        <is>
          <t>Default Title</t>
        </is>
      </c>
      <c r="G4666" s="9" t="n">
        <v>2</v>
      </c>
      <c r="H4666" s="21" t="n">
        <v>19.59</v>
      </c>
      <c r="I4666" s="21" t="n">
        <v>475.4</v>
      </c>
      <c r="J4666" s="21" t="n">
        <v>1426.21</v>
      </c>
      <c r="K4666" s="21" t="n">
        <v>1663.91</v>
      </c>
      <c r="L4666" s="21" t="n">
        <v>1901.61</v>
      </c>
      <c r="M4666" s="21" t="n">
        <v>0</v>
      </c>
    </row>
    <row r="4667">
      <c r="A4667" s="9" t="inlineStr">
        <is>
          <t>NANCY</t>
        </is>
      </c>
      <c r="B4667" s="9" t="inlineStr">
        <is>
          <t>NANCY 31/05/2026</t>
        </is>
      </c>
      <c r="C4667" s="9" t="inlineStr">
        <is>
          <t>2026-05-31</t>
        </is>
      </c>
      <c r="D4667" s="9" t="inlineStr">
        <is>
          <t>58980703437037</t>
        </is>
      </c>
      <c r="E4667" s="9" t="inlineStr">
        <is>
          <t>CARTERA CD LONG BIFOLD</t>
        </is>
      </c>
      <c r="F4667" s="9" t="inlineStr">
        <is>
          <t>Default Title</t>
        </is>
      </c>
      <c r="G4667" s="9" t="n">
        <v>2</v>
      </c>
      <c r="H4667" s="21" t="n">
        <v>21.59</v>
      </c>
      <c r="I4667" s="21" t="n">
        <v>523.9400000000001</v>
      </c>
      <c r="J4667" s="21" t="n">
        <v>1571.81</v>
      </c>
      <c r="K4667" s="21" t="n">
        <v>1833.78</v>
      </c>
      <c r="L4667" s="21" t="n">
        <v>2095.75</v>
      </c>
      <c r="M4667" s="21" t="n">
        <v>0</v>
      </c>
    </row>
    <row r="4668">
      <c r="A4668" s="9" t="inlineStr">
        <is>
          <t>NANCY</t>
        </is>
      </c>
      <c r="B4668" s="9" t="inlineStr">
        <is>
          <t>NANCY 31/05/2026</t>
        </is>
      </c>
      <c r="C4668" s="9" t="inlineStr">
        <is>
          <t>2026-05-31</t>
        </is>
      </c>
      <c r="D4668" s="9" t="inlineStr">
        <is>
          <t>58980703754541</t>
        </is>
      </c>
      <c r="E4668" s="9" t="inlineStr">
        <is>
          <t>CARTERA CD SADDLE</t>
        </is>
      </c>
      <c r="F4668" s="9" t="inlineStr">
        <is>
          <t>Default Title</t>
        </is>
      </c>
      <c r="G4668" s="9" t="n">
        <v>2</v>
      </c>
      <c r="H4668" s="21" t="n">
        <v>19.59</v>
      </c>
      <c r="I4668" s="21" t="n">
        <v>475.4</v>
      </c>
      <c r="J4668" s="21" t="n">
        <v>1426.21</v>
      </c>
      <c r="K4668" s="21" t="n">
        <v>1663.91</v>
      </c>
      <c r="L4668" s="21" t="n">
        <v>1901.61</v>
      </c>
      <c r="M4668" s="21" t="n">
        <v>0</v>
      </c>
    </row>
    <row r="4669">
      <c r="A4669" s="9" t="inlineStr">
        <is>
          <t>NANCY</t>
        </is>
      </c>
      <c r="B4669" s="9" t="inlineStr">
        <is>
          <t>NANCY 31/05/2026</t>
        </is>
      </c>
      <c r="C4669" s="9" t="inlineStr">
        <is>
          <t>2026-05-31</t>
        </is>
      </c>
      <c r="D4669" s="9" t="inlineStr">
        <is>
          <t>58980703623469</t>
        </is>
      </c>
      <c r="E4669" s="9" t="inlineStr">
        <is>
          <t>CARTERA CD SADDLE BLACK</t>
        </is>
      </c>
      <c r="F4669" s="9" t="inlineStr">
        <is>
          <t>Default Title</t>
        </is>
      </c>
      <c r="G4669" s="9" t="n">
        <v>2</v>
      </c>
      <c r="H4669" s="21" t="n">
        <v>19.59</v>
      </c>
      <c r="I4669" s="21" t="n">
        <v>475.4</v>
      </c>
      <c r="J4669" s="21" t="n">
        <v>1426.21</v>
      </c>
      <c r="K4669" s="21" t="n">
        <v>1663.91</v>
      </c>
      <c r="L4669" s="21" t="n">
        <v>1901.61</v>
      </c>
      <c r="M4669" s="21" t="n">
        <v>0</v>
      </c>
    </row>
    <row r="4670">
      <c r="A4670" s="9" t="inlineStr">
        <is>
          <t>NANCY</t>
        </is>
      </c>
      <c r="B4670" s="9" t="inlineStr">
        <is>
          <t>NANCY 31/05/2026</t>
        </is>
      </c>
      <c r="C4670" s="9" t="inlineStr">
        <is>
          <t>2026-05-31</t>
        </is>
      </c>
      <c r="D4670" s="9" t="inlineStr">
        <is>
          <t>62745761283917</t>
        </is>
      </c>
      <c r="E4670" s="9" t="inlineStr">
        <is>
          <t>CARTERA G GABRIEL</t>
        </is>
      </c>
      <c r="F4670" s="9" t="inlineStr">
        <is>
          <t>Default Title</t>
        </is>
      </c>
      <c r="G4670" s="9" t="n">
        <v>2</v>
      </c>
      <c r="H4670" s="21" t="n">
        <v>13.19</v>
      </c>
      <c r="I4670" s="21" t="n">
        <v>320.09</v>
      </c>
      <c r="J4670" s="21" t="n">
        <v>960.27</v>
      </c>
      <c r="K4670" s="21" t="n">
        <v>1120.31</v>
      </c>
      <c r="L4670" s="21" t="n">
        <v>1280.36</v>
      </c>
      <c r="M4670" s="21" t="n">
        <v>0</v>
      </c>
    </row>
    <row r="4671">
      <c r="A4671" s="9" t="inlineStr">
        <is>
          <t>NANCY</t>
        </is>
      </c>
      <c r="B4671" s="9" t="inlineStr">
        <is>
          <t>NANCY 31/05/2026</t>
        </is>
      </c>
      <c r="C4671" s="9" t="inlineStr">
        <is>
          <t>2026-05-31</t>
        </is>
      </c>
      <c r="D4671" s="9" t="inlineStr">
        <is>
          <t>62745761377133</t>
        </is>
      </c>
      <c r="E4671" s="9" t="inlineStr">
        <is>
          <t>CARTERA G GABRIEL GREEN</t>
        </is>
      </c>
      <c r="F4671" s="9" t="inlineStr">
        <is>
          <t>Default Title</t>
        </is>
      </c>
      <c r="G4671" s="9" t="n">
        <v>2</v>
      </c>
      <c r="H4671" s="21" t="n">
        <v>13.19</v>
      </c>
      <c r="I4671" s="21" t="n">
        <v>320.09</v>
      </c>
      <c r="J4671" s="21" t="n">
        <v>960.27</v>
      </c>
      <c r="K4671" s="21" t="n">
        <v>1120.31</v>
      </c>
      <c r="L4671" s="21" t="n">
        <v>1280.36</v>
      </c>
      <c r="M4671" s="21" t="n">
        <v>0</v>
      </c>
    </row>
    <row r="4672">
      <c r="A4672" s="9" t="inlineStr">
        <is>
          <t>NANCY</t>
        </is>
      </c>
      <c r="B4672" s="9" t="inlineStr">
        <is>
          <t>NANCY 31/05/2026</t>
        </is>
      </c>
      <c r="C4672" s="9" t="inlineStr">
        <is>
          <t>2026-05-31</t>
        </is>
      </c>
      <c r="D4672" s="9" t="inlineStr">
        <is>
          <t>62745761409901</t>
        </is>
      </c>
      <c r="E4672" s="9" t="inlineStr">
        <is>
          <t>CARTERA G GABRIEL GREY</t>
        </is>
      </c>
      <c r="F4672" s="9" t="inlineStr">
        <is>
          <t>Default Title</t>
        </is>
      </c>
      <c r="G4672" s="9" t="n">
        <v>2</v>
      </c>
      <c r="H4672" s="21" t="n">
        <v>13.19</v>
      </c>
      <c r="I4672" s="21" t="n">
        <v>320.09</v>
      </c>
      <c r="J4672" s="21" t="n">
        <v>960.27</v>
      </c>
      <c r="K4672" s="21" t="n">
        <v>1120.31</v>
      </c>
      <c r="L4672" s="21" t="n">
        <v>1280.36</v>
      </c>
      <c r="M4672" s="21" t="n">
        <v>0</v>
      </c>
    </row>
    <row r="4673">
      <c r="A4673" s="9" t="inlineStr">
        <is>
          <t>NANCY</t>
        </is>
      </c>
      <c r="B4673" s="9" t="inlineStr">
        <is>
          <t>NANCY 31/05/2026</t>
        </is>
      </c>
      <c r="C4673" s="9" t="inlineStr">
        <is>
          <t>2026-05-31</t>
        </is>
      </c>
      <c r="D4673" s="9" t="inlineStr">
        <is>
          <t>62745761513293</t>
        </is>
      </c>
      <c r="E4673" s="9" t="inlineStr">
        <is>
          <t>CARTERA G GABRIEL WHITE</t>
        </is>
      </c>
      <c r="F4673" s="9" t="inlineStr">
        <is>
          <t>Default Title</t>
        </is>
      </c>
      <c r="G4673" s="9" t="n">
        <v>2</v>
      </c>
      <c r="H4673" s="21" t="n">
        <v>13.19</v>
      </c>
      <c r="I4673" s="21" t="n">
        <v>320.09</v>
      </c>
      <c r="J4673" s="21" t="n">
        <v>960.27</v>
      </c>
      <c r="K4673" s="21" t="n">
        <v>1120.31</v>
      </c>
      <c r="L4673" s="21" t="n">
        <v>1280.36</v>
      </c>
      <c r="M4673" s="21" t="n">
        <v>0</v>
      </c>
    </row>
    <row r="4674">
      <c r="A4674" s="9" t="inlineStr">
        <is>
          <t>NANCY</t>
        </is>
      </c>
      <c r="B4674" s="9" t="inlineStr">
        <is>
          <t>NANCY 31/05/2026</t>
        </is>
      </c>
      <c r="C4674" s="9" t="inlineStr">
        <is>
          <t>2026-05-31</t>
        </is>
      </c>
      <c r="D4674" s="9" t="inlineStr">
        <is>
          <t>62745761639277</t>
        </is>
      </c>
      <c r="E4674" s="9" t="inlineStr">
        <is>
          <t>CARTERA G MATIGNON</t>
        </is>
      </c>
      <c r="F4674" s="9" t="inlineStr">
        <is>
          <t>Default Title</t>
        </is>
      </c>
      <c r="G4674" s="9" t="n">
        <v>2</v>
      </c>
      <c r="H4674" s="21" t="n">
        <v>22.59</v>
      </c>
      <c r="I4674" s="21" t="n">
        <v>548.2</v>
      </c>
      <c r="J4674" s="21" t="n">
        <v>1644.61</v>
      </c>
      <c r="K4674" s="21" t="n">
        <v>1918.72</v>
      </c>
      <c r="L4674" s="21" t="n">
        <v>2192.82</v>
      </c>
      <c r="M4674" s="21" t="n">
        <v>0</v>
      </c>
    </row>
    <row r="4675">
      <c r="A4675" s="9" t="inlineStr">
        <is>
          <t>NANCY</t>
        </is>
      </c>
      <c r="B4675" s="9" t="inlineStr">
        <is>
          <t>NANCY 31/05/2026</t>
        </is>
      </c>
      <c r="C4675" s="9" t="inlineStr">
        <is>
          <t>2026-05-31</t>
        </is>
      </c>
      <c r="D4675" s="9" t="inlineStr">
        <is>
          <t>62745761737581</t>
        </is>
      </c>
      <c r="E4675" s="9" t="inlineStr">
        <is>
          <t>CARTERA G MATIGNON GREEN</t>
        </is>
      </c>
      <c r="F4675" s="9" t="inlineStr">
        <is>
          <t>Default Title</t>
        </is>
      </c>
      <c r="G4675" s="9" t="n">
        <v>1</v>
      </c>
      <c r="H4675" s="21" t="n">
        <v>22.59</v>
      </c>
      <c r="I4675" s="21" t="n">
        <v>548.2</v>
      </c>
      <c r="J4675" s="21" t="n">
        <v>1644.61</v>
      </c>
      <c r="K4675" s="21" t="n">
        <v>1918.72</v>
      </c>
      <c r="L4675" s="21" t="n">
        <v>2192.82</v>
      </c>
      <c r="M4675" s="21" t="n">
        <v>0</v>
      </c>
    </row>
    <row r="4676">
      <c r="A4676" s="9" t="inlineStr">
        <is>
          <t>NANCY</t>
        </is>
      </c>
      <c r="B4676" s="9" t="inlineStr">
        <is>
          <t>NANCY 31/05/2026</t>
        </is>
      </c>
      <c r="C4676" s="9" t="inlineStr">
        <is>
          <t>2026-05-31</t>
        </is>
      </c>
      <c r="D4676" s="9" t="inlineStr">
        <is>
          <t>62745761872045</t>
        </is>
      </c>
      <c r="E4676" s="9" t="inlineStr">
        <is>
          <t>CARTERA G MATIGNON WHITE</t>
        </is>
      </c>
      <c r="F4676" s="9" t="inlineStr">
        <is>
          <t>Default Title</t>
        </is>
      </c>
      <c r="G4676" s="9" t="n">
        <v>2</v>
      </c>
      <c r="H4676" s="21" t="n">
        <v>22.59</v>
      </c>
      <c r="I4676" s="21" t="n">
        <v>548.2</v>
      </c>
      <c r="J4676" s="21" t="n">
        <v>1644.61</v>
      </c>
      <c r="K4676" s="21" t="n">
        <v>1918.72</v>
      </c>
      <c r="L4676" s="21" t="n">
        <v>2192.82</v>
      </c>
      <c r="M4676" s="21" t="n">
        <v>0</v>
      </c>
    </row>
    <row r="4677">
      <c r="A4677" s="9" t="inlineStr">
        <is>
          <t>NANCY</t>
        </is>
      </c>
      <c r="B4677" s="9" t="inlineStr">
        <is>
          <t>NANCY 31/05/2026</t>
        </is>
      </c>
      <c r="C4677" s="9" t="inlineStr">
        <is>
          <t>2026-05-31</t>
        </is>
      </c>
      <c r="D4677" s="9" t="inlineStr">
        <is>
          <t>6674596a63af2</t>
        </is>
      </c>
      <c r="E4677" s="9" t="inlineStr">
        <is>
          <t>COLLAR 20 TRÉBOLES GOLD BLACK</t>
        </is>
      </c>
      <c r="F4677" s="9" t="inlineStr">
        <is>
          <t>Default Title</t>
        </is>
      </c>
      <c r="G4677" s="9" t="n">
        <v>2</v>
      </c>
      <c r="H4677" s="21" t="n">
        <v>35.59</v>
      </c>
      <c r="I4677" s="21" t="n">
        <v>863.6799999999999</v>
      </c>
      <c r="J4677" s="21" t="n">
        <v>2591.05</v>
      </c>
      <c r="K4677" s="21" t="n">
        <v>3022.89</v>
      </c>
      <c r="L4677" s="21" t="n">
        <v>3454.73</v>
      </c>
      <c r="M4677" s="21" t="n">
        <v>3455</v>
      </c>
    </row>
    <row r="4678">
      <c r="A4678" s="9" t="inlineStr">
        <is>
          <t>NANCY</t>
        </is>
      </c>
      <c r="B4678" s="9" t="inlineStr">
        <is>
          <t>NANCY 31/05/2026</t>
        </is>
      </c>
      <c r="C4678" s="9" t="inlineStr">
        <is>
          <t>2026-05-31</t>
        </is>
      </c>
      <c r="D4678" s="9" t="inlineStr">
        <is>
          <t>66745971e789e</t>
        </is>
      </c>
      <c r="E4678" s="9" t="inlineStr">
        <is>
          <t>COLLAR 20 TRÉBOLES GOLD WHITE</t>
        </is>
      </c>
      <c r="F4678" s="9" t="inlineStr">
        <is>
          <t>Default Title</t>
        </is>
      </c>
      <c r="G4678" s="9" t="n">
        <v>2</v>
      </c>
      <c r="H4678" s="21" t="n">
        <v>35.59</v>
      </c>
      <c r="I4678" s="21" t="n">
        <v>863.6799999999999</v>
      </c>
      <c r="J4678" s="21" t="n">
        <v>2591.05</v>
      </c>
      <c r="K4678" s="21" t="n">
        <v>3022.89</v>
      </c>
      <c r="L4678" s="21" t="n">
        <v>3454.73</v>
      </c>
      <c r="M4678" s="21" t="n">
        <v>3455</v>
      </c>
    </row>
    <row r="4679">
      <c r="A4679" s="9" t="inlineStr">
        <is>
          <t>NANCY</t>
        </is>
      </c>
      <c r="B4679" s="9" t="inlineStr">
        <is>
          <t>NANCY 31/05/2026</t>
        </is>
      </c>
      <c r="C4679" s="9" t="inlineStr">
        <is>
          <t>2026-05-31</t>
        </is>
      </c>
      <c r="D4679" s="9" t="inlineStr">
        <is>
          <t>58980703240429</t>
        </is>
      </c>
      <c r="E4679" s="9" t="inlineStr">
        <is>
          <t>COLLAR CC ETOILE FILANTE</t>
        </is>
      </c>
      <c r="F4679" s="9" t="inlineStr">
        <is>
          <t>Default Title</t>
        </is>
      </c>
      <c r="G4679" s="9" t="n">
        <v>2</v>
      </c>
      <c r="H4679" s="21" t="n">
        <v>8.19</v>
      </c>
      <c r="I4679" s="21" t="n">
        <v>198.75</v>
      </c>
      <c r="J4679" s="21" t="n">
        <v>596.25</v>
      </c>
      <c r="K4679" s="21" t="n">
        <v>695.63</v>
      </c>
      <c r="L4679" s="21" t="n">
        <v>795.01</v>
      </c>
      <c r="M4679" s="21" t="n">
        <v>0</v>
      </c>
    </row>
    <row r="4680">
      <c r="A4680" s="9" t="inlineStr">
        <is>
          <t>NANCY</t>
        </is>
      </c>
      <c r="B4680" s="9" t="inlineStr">
        <is>
          <t>NANCY 31/05/2026</t>
        </is>
      </c>
      <c r="C4680" s="9" t="inlineStr">
        <is>
          <t>2026-05-31</t>
        </is>
      </c>
      <c r="D4680" s="9" t="inlineStr">
        <is>
          <t>43728096383020</t>
        </is>
      </c>
      <c r="E4680" s="9" t="inlineStr">
        <is>
          <t>COLLAR FR GOLD</t>
        </is>
      </c>
      <c r="F4680" s="9" t="inlineStr">
        <is>
          <t>46cm de largo con 5 cm de Extension</t>
        </is>
      </c>
      <c r="G4680" s="9" t="n">
        <v>10</v>
      </c>
      <c r="H4680" s="21" t="n">
        <v>6.59</v>
      </c>
      <c r="I4680" s="21" t="n">
        <v>159.92</v>
      </c>
      <c r="J4680" s="21" t="n">
        <v>479.77</v>
      </c>
      <c r="K4680" s="21" t="n">
        <v>559.73</v>
      </c>
      <c r="L4680" s="21" t="n">
        <v>639.6900000000001</v>
      </c>
      <c r="M4680" s="21" t="n">
        <v>599</v>
      </c>
    </row>
    <row r="4681">
      <c r="A4681" s="9" t="inlineStr">
        <is>
          <t>NANCY</t>
        </is>
      </c>
      <c r="B4681" s="9" t="inlineStr">
        <is>
          <t>NANCY 31/05/2026</t>
        </is>
      </c>
      <c r="C4681" s="9" t="inlineStr">
        <is>
          <t>2026-05-31</t>
        </is>
      </c>
      <c r="D4681" s="9" t="inlineStr">
        <is>
          <t>43047205109900</t>
        </is>
      </c>
      <c r="E4681" s="9" t="inlineStr">
        <is>
          <t>COLLAR KNOT ROSEGOLD</t>
        </is>
      </c>
      <c r="F4681" s="9" t="inlineStr">
        <is>
          <t>Tamaño del dije: 4.5cm  40cm con extensión de 4cm</t>
        </is>
      </c>
      <c r="G4681" s="9" t="n">
        <v>6</v>
      </c>
      <c r="H4681" s="21" t="n">
        <v>5.59</v>
      </c>
      <c r="I4681" s="21" t="n">
        <v>135.66</v>
      </c>
      <c r="J4681" s="21" t="n">
        <v>406.97</v>
      </c>
      <c r="K4681" s="21" t="n">
        <v>474.8</v>
      </c>
      <c r="L4681" s="21" t="n">
        <v>542.62</v>
      </c>
      <c r="M4681" s="21" t="n">
        <v>545</v>
      </c>
    </row>
    <row r="4682">
      <c r="A4682" s="9" t="inlineStr">
        <is>
          <t>NANCY</t>
        </is>
      </c>
      <c r="B4682" s="9" t="inlineStr">
        <is>
          <t>NANCY 31/05/2026</t>
        </is>
      </c>
      <c r="C4682" s="9" t="inlineStr">
        <is>
          <t>2026-05-31</t>
        </is>
      </c>
      <c r="D4682" s="9" t="inlineStr">
        <is>
          <t>42981877514380</t>
        </is>
      </c>
      <c r="E4682" s="9" t="inlineStr">
        <is>
          <t>COLLAR LOCK CON ZIRCONIAS SILVER</t>
        </is>
      </c>
      <c r="F4682" s="9" t="inlineStr">
        <is>
          <t>Default Title</t>
        </is>
      </c>
      <c r="G4682" s="9" t="n">
        <v>5</v>
      </c>
      <c r="H4682" s="21" t="n">
        <v>8.59</v>
      </c>
      <c r="I4682" s="21" t="n">
        <v>208.46</v>
      </c>
      <c r="J4682" s="21" t="n">
        <v>625.38</v>
      </c>
      <c r="K4682" s="21" t="n">
        <v>729.61</v>
      </c>
      <c r="L4682" s="21" t="n">
        <v>833.83</v>
      </c>
      <c r="M4682" s="21" t="n">
        <v>655</v>
      </c>
    </row>
    <row r="4683">
      <c r="A4683" s="9" t="inlineStr">
        <is>
          <t>NANCY</t>
        </is>
      </c>
      <c r="B4683" s="9" t="inlineStr">
        <is>
          <t>NANCY 31/05/2026</t>
        </is>
      </c>
      <c r="C4683" s="9" t="inlineStr">
        <is>
          <t>2026-05-31</t>
        </is>
      </c>
      <c r="D4683" s="9" t="inlineStr">
        <is>
          <t>64e78d44e18fa</t>
        </is>
      </c>
      <c r="E4683" s="9" t="inlineStr">
        <is>
          <t>COLLAR LV CON ZIRCONIA GOLD</t>
        </is>
      </c>
      <c r="F4683" s="9" t="inlineStr">
        <is>
          <t>42cm</t>
        </is>
      </c>
      <c r="G4683" s="9" t="n">
        <v>6</v>
      </c>
      <c r="H4683" s="21" t="n">
        <v>6.89</v>
      </c>
      <c r="I4683" s="21" t="n">
        <v>167.2</v>
      </c>
      <c r="J4683" s="21" t="n">
        <v>501.61</v>
      </c>
      <c r="K4683" s="21" t="n">
        <v>585.21</v>
      </c>
      <c r="L4683" s="21" t="n">
        <v>668.8099999999999</v>
      </c>
      <c r="M4683" s="21" t="n">
        <v>575</v>
      </c>
    </row>
    <row r="4684">
      <c r="A4684" s="9" t="inlineStr">
        <is>
          <t>NANCY</t>
        </is>
      </c>
      <c r="B4684" s="9" t="inlineStr">
        <is>
          <t>NANCY 31/05/2026</t>
        </is>
      </c>
      <c r="C4684" s="9" t="inlineStr">
        <is>
          <t>2026-05-31</t>
        </is>
      </c>
      <c r="D4684" s="9" t="inlineStr">
        <is>
          <t>64e78caf2dfa6</t>
        </is>
      </c>
      <c r="E4684" s="9" t="inlineStr">
        <is>
          <t>COLLAR LV FLOWER GOLD</t>
        </is>
      </c>
      <c r="F4684" s="9" t="inlineStr">
        <is>
          <t>Default Title</t>
        </is>
      </c>
      <c r="G4684" s="9" t="n">
        <v>2</v>
      </c>
      <c r="H4684" s="21" t="n">
        <v>6.49</v>
      </c>
      <c r="I4684" s="21" t="n">
        <v>157.5</v>
      </c>
      <c r="J4684" s="21" t="n">
        <v>472.49</v>
      </c>
      <c r="K4684" s="21" t="n">
        <v>551.24</v>
      </c>
      <c r="L4684" s="21" t="n">
        <v>629.99</v>
      </c>
      <c r="M4684" s="21" t="n">
        <v>650</v>
      </c>
    </row>
    <row r="4685">
      <c r="A4685" s="9" t="inlineStr">
        <is>
          <t>NANCY</t>
        </is>
      </c>
      <c r="B4685" s="9" t="inlineStr">
        <is>
          <t>NANCY 31/05/2026</t>
        </is>
      </c>
      <c r="C4685" s="9" t="inlineStr">
        <is>
          <t>2026-05-31</t>
        </is>
      </c>
      <c r="D4685" s="9" t="inlineStr">
        <is>
          <t>64e78caeba151</t>
        </is>
      </c>
      <c r="E4685" s="9" t="inlineStr">
        <is>
          <t>COLLAR LV FLOWER ROSE-GOLD</t>
        </is>
      </c>
      <c r="F4685" s="9" t="inlineStr">
        <is>
          <t>Default Title</t>
        </is>
      </c>
      <c r="G4685" s="9" t="n">
        <v>1</v>
      </c>
      <c r="H4685" s="21" t="n">
        <v>6.49</v>
      </c>
      <c r="I4685" s="21" t="n">
        <v>157.5</v>
      </c>
      <c r="J4685" s="21" t="n">
        <v>472.49</v>
      </c>
      <c r="K4685" s="21" t="n">
        <v>551.24</v>
      </c>
      <c r="L4685" s="21" t="n">
        <v>629.99</v>
      </c>
      <c r="M4685" s="21" t="n">
        <v>650</v>
      </c>
    </row>
    <row r="4686">
      <c r="A4686" s="9" t="inlineStr">
        <is>
          <t>NANCY</t>
        </is>
      </c>
      <c r="B4686" s="9" t="inlineStr">
        <is>
          <t>NANCY 31/05/2026</t>
        </is>
      </c>
      <c r="C4686" s="9" t="inlineStr">
        <is>
          <t>2026-05-31</t>
        </is>
      </c>
      <c r="D4686" s="9" t="inlineStr">
        <is>
          <t>64e78caddd20d</t>
        </is>
      </c>
      <c r="E4686" s="9" t="inlineStr">
        <is>
          <t>COLLAR LV FLOWER SILVER</t>
        </is>
      </c>
      <c r="F4686" s="9" t="inlineStr">
        <is>
          <t>Default Title</t>
        </is>
      </c>
      <c r="G4686" s="9" t="n">
        <v>5</v>
      </c>
      <c r="H4686" s="21" t="n">
        <v>6.49</v>
      </c>
      <c r="I4686" s="21" t="n">
        <v>157.5</v>
      </c>
      <c r="J4686" s="21" t="n">
        <v>472.49</v>
      </c>
      <c r="K4686" s="21" t="n">
        <v>551.24</v>
      </c>
      <c r="L4686" s="21" t="n">
        <v>629.99</v>
      </c>
      <c r="M4686" s="21" t="n">
        <v>650</v>
      </c>
    </row>
    <row r="4687">
      <c r="A4687" s="9" t="inlineStr">
        <is>
          <t>NANCY</t>
        </is>
      </c>
      <c r="B4687" s="9" t="inlineStr">
        <is>
          <t>NANCY 31/05/2026</t>
        </is>
      </c>
      <c r="C4687" s="9" t="inlineStr">
        <is>
          <t>2026-05-31</t>
        </is>
      </c>
      <c r="D4687" s="9" t="inlineStr">
        <is>
          <t>42981971361932</t>
        </is>
      </c>
      <c r="E4687" s="9" t="inlineStr">
        <is>
          <t>COLLAR POP H ROSEGOLD WHITE</t>
        </is>
      </c>
      <c r="F4687" s="9" t="inlineStr">
        <is>
          <t>largo de Cadena 49cm  1.5cm de dije</t>
        </is>
      </c>
      <c r="G4687" s="9" t="n">
        <v>2</v>
      </c>
      <c r="H4687" s="21" t="n">
        <v>3.99</v>
      </c>
      <c r="I4687" s="21" t="n">
        <v>96.83</v>
      </c>
      <c r="J4687" s="21" t="n">
        <v>290.48</v>
      </c>
      <c r="K4687" s="21" t="n">
        <v>338.9</v>
      </c>
      <c r="L4687" s="21" t="n">
        <v>387.31</v>
      </c>
      <c r="M4687" s="21" t="n">
        <v>399</v>
      </c>
    </row>
    <row r="4688">
      <c r="A4688" s="9" t="inlineStr">
        <is>
          <t>NANCY</t>
        </is>
      </c>
      <c r="B4688" s="9" t="inlineStr">
        <is>
          <t>NANCY 31/05/2026</t>
        </is>
      </c>
      <c r="C4688" s="9" t="inlineStr">
        <is>
          <t>2026-05-31</t>
        </is>
      </c>
      <c r="D4688" s="9" t="inlineStr">
        <is>
          <t>665bbe4f55773</t>
        </is>
      </c>
      <c r="E4688" s="9" t="inlineStr">
        <is>
          <t>COLLAR SERPENTI SILVER LISO</t>
        </is>
      </c>
      <c r="F4688" s="9" t="inlineStr">
        <is>
          <t>Regular</t>
        </is>
      </c>
      <c r="G4688" s="9" t="n">
        <v>2</v>
      </c>
      <c r="H4688" s="21" t="n">
        <v>19.99</v>
      </c>
      <c r="I4688" s="21" t="n">
        <v>485.11</v>
      </c>
      <c r="J4688" s="21" t="n">
        <v>1455.33</v>
      </c>
      <c r="K4688" s="21" t="n">
        <v>1697.88</v>
      </c>
      <c r="L4688" s="21" t="n">
        <v>1940.44</v>
      </c>
      <c r="M4688" s="21" t="n">
        <v>899</v>
      </c>
    </row>
    <row r="4689">
      <c r="A4689" s="9" t="inlineStr">
        <is>
          <t>NANCY</t>
        </is>
      </c>
      <c r="B4689" s="9" t="inlineStr">
        <is>
          <t>NANCY 31/05/2026</t>
        </is>
      </c>
      <c r="C4689" s="9" t="inlineStr">
        <is>
          <t>2026-05-31</t>
        </is>
      </c>
      <c r="D4689" s="9" t="inlineStr">
        <is>
          <t>71288023182573</t>
        </is>
      </c>
      <c r="E4689" s="9" t="inlineStr">
        <is>
          <t>COLLAR T BEAN GOLD ZIRCONIAS</t>
        </is>
      </c>
      <c r="F4689" s="9" t="inlineStr">
        <is>
          <t>Default Title</t>
        </is>
      </c>
      <c r="G4689" s="9" t="n">
        <v>1</v>
      </c>
      <c r="H4689" s="21" t="n">
        <v>8.890000000000001</v>
      </c>
      <c r="I4689" s="21" t="n">
        <v>215.74</v>
      </c>
      <c r="J4689" s="21" t="n">
        <v>647.22</v>
      </c>
      <c r="K4689" s="21" t="n">
        <v>755.09</v>
      </c>
      <c r="L4689" s="21" t="n">
        <v>862.96</v>
      </c>
      <c r="M4689" s="21" t="n">
        <v>0</v>
      </c>
    </row>
    <row r="4690">
      <c r="A4690" s="9" t="inlineStr">
        <is>
          <t>NANCY</t>
        </is>
      </c>
      <c r="B4690" s="9" t="inlineStr">
        <is>
          <t>NANCY 31/05/2026</t>
        </is>
      </c>
      <c r="C4690" s="9" t="inlineStr">
        <is>
          <t>2026-05-31</t>
        </is>
      </c>
      <c r="D4690" s="9" t="inlineStr">
        <is>
          <t>71288023246413</t>
        </is>
      </c>
      <c r="E4690" s="9" t="inlineStr">
        <is>
          <t>COLLAR T BEAN SILVER ZIRCONIAS</t>
        </is>
      </c>
      <c r="F4690" s="9" t="inlineStr">
        <is>
          <t>Default Title</t>
        </is>
      </c>
      <c r="G4690" s="9" t="n">
        <v>1</v>
      </c>
      <c r="H4690" s="21" t="n">
        <v>8.890000000000001</v>
      </c>
      <c r="I4690" s="21" t="n">
        <v>215.74</v>
      </c>
      <c r="J4690" s="21" t="n">
        <v>647.22</v>
      </c>
      <c r="K4690" s="21" t="n">
        <v>755.09</v>
      </c>
      <c r="L4690" s="21" t="n">
        <v>862.96</v>
      </c>
      <c r="M4690" s="21" t="n">
        <v>0</v>
      </c>
    </row>
    <row r="4691">
      <c r="A4691" s="9" t="inlineStr">
        <is>
          <t>NANCY</t>
        </is>
      </c>
      <c r="B4691" s="9" t="inlineStr">
        <is>
          <t>NANCY 31/05/2026</t>
        </is>
      </c>
      <c r="C4691" s="9" t="inlineStr">
        <is>
          <t>2026-05-31</t>
        </is>
      </c>
      <c r="D4691" s="9" t="inlineStr">
        <is>
          <t>68089821250541</t>
        </is>
      </c>
      <c r="E4691" s="9" t="inlineStr">
        <is>
          <t>COLLAR T CON CIERRE DOBLE</t>
        </is>
      </c>
      <c r="F4691" s="9" t="inlineStr">
        <is>
          <t>Default Title</t>
        </is>
      </c>
      <c r="G4691" s="9" t="n">
        <v>2</v>
      </c>
      <c r="H4691" s="21" t="n">
        <v>6.99</v>
      </c>
      <c r="I4691" s="21" t="n">
        <v>169.63</v>
      </c>
      <c r="J4691" s="21" t="n">
        <v>508.89</v>
      </c>
      <c r="K4691" s="21" t="n">
        <v>593.71</v>
      </c>
      <c r="L4691" s="21" t="n">
        <v>678.52</v>
      </c>
      <c r="M4691" s="21" t="n">
        <v>0</v>
      </c>
    </row>
    <row r="4692">
      <c r="A4692" s="9" t="inlineStr">
        <is>
          <t>NANCY</t>
        </is>
      </c>
      <c r="B4692" s="9" t="inlineStr">
        <is>
          <t>NANCY 31/05/2026</t>
        </is>
      </c>
      <c r="C4692" s="9" t="inlineStr">
        <is>
          <t>2026-05-31</t>
        </is>
      </c>
      <c r="D4692" s="9" t="inlineStr">
        <is>
          <t>68089821121165</t>
        </is>
      </c>
      <c r="E4692" s="9" t="inlineStr">
        <is>
          <t>COLLAR T FULL HEART RETURN</t>
        </is>
      </c>
      <c r="F4692" s="9" t="inlineStr">
        <is>
          <t>Default Title</t>
        </is>
      </c>
      <c r="G4692" s="9" t="n">
        <v>2</v>
      </c>
      <c r="H4692" s="21" t="n">
        <v>5.19</v>
      </c>
      <c r="I4692" s="21" t="n">
        <v>125.95</v>
      </c>
      <c r="J4692" s="21" t="n">
        <v>377.85</v>
      </c>
      <c r="K4692" s="21" t="n">
        <v>440.82</v>
      </c>
      <c r="L4692" s="21" t="n">
        <v>503.8</v>
      </c>
      <c r="M4692" s="21" t="n">
        <v>0</v>
      </c>
    </row>
    <row r="4693">
      <c r="A4693" s="9" t="inlineStr">
        <is>
          <t>NANCY</t>
        </is>
      </c>
      <c r="B4693" s="9" t="inlineStr">
        <is>
          <t>NANCY 31/05/2026</t>
        </is>
      </c>
      <c r="C4693" s="9" t="inlineStr">
        <is>
          <t>2026-05-31</t>
        </is>
      </c>
      <c r="D4693" s="9" t="inlineStr">
        <is>
          <t>62745763603661</t>
        </is>
      </c>
      <c r="E4693" s="9" t="inlineStr">
        <is>
          <t>COLLAR T LOCK ALL ZIRCONIAS GOLD</t>
        </is>
      </c>
      <c r="F4693" s="9" t="inlineStr">
        <is>
          <t>Default Title</t>
        </is>
      </c>
      <c r="G4693" s="9" t="n">
        <v>2</v>
      </c>
      <c r="H4693" s="21" t="n">
        <v>8.59</v>
      </c>
      <c r="I4693" s="21" t="n">
        <v>208.46</v>
      </c>
      <c r="J4693" s="21" t="n">
        <v>625.38</v>
      </c>
      <c r="K4693" s="21" t="n">
        <v>729.61</v>
      </c>
      <c r="L4693" s="21" t="n">
        <v>833.83</v>
      </c>
      <c r="M4693" s="21" t="n">
        <v>0</v>
      </c>
    </row>
    <row r="4694">
      <c r="A4694" s="9" t="inlineStr">
        <is>
          <t>NANCY</t>
        </is>
      </c>
      <c r="B4694" s="9" t="inlineStr">
        <is>
          <t>NANCY 31/05/2026</t>
        </is>
      </c>
      <c r="C4694" s="9" t="inlineStr">
        <is>
          <t>2026-05-31</t>
        </is>
      </c>
      <c r="D4694" s="9" t="inlineStr">
        <is>
          <t>62745763733037</t>
        </is>
      </c>
      <c r="E4694" s="9" t="inlineStr">
        <is>
          <t>COLLAR T LOCK GOLD</t>
        </is>
      </c>
      <c r="F4694" s="9" t="inlineStr">
        <is>
          <t>Default Title</t>
        </is>
      </c>
      <c r="G4694" s="9" t="n">
        <v>2</v>
      </c>
      <c r="H4694" s="21" t="n">
        <v>7.59</v>
      </c>
      <c r="I4694" s="21" t="n">
        <v>184.19</v>
      </c>
      <c r="J4694" s="21" t="n">
        <v>552.5700000000001</v>
      </c>
      <c r="K4694" s="21" t="n">
        <v>644.67</v>
      </c>
      <c r="L4694" s="21" t="n">
        <v>736.76</v>
      </c>
      <c r="M4694" s="21" t="n">
        <v>0</v>
      </c>
    </row>
    <row r="4695">
      <c r="A4695" s="9" t="inlineStr">
        <is>
          <t>NANCY</t>
        </is>
      </c>
      <c r="B4695" s="9" t="inlineStr">
        <is>
          <t>NANCY 31/05/2026</t>
        </is>
      </c>
      <c r="C4695" s="9" t="inlineStr">
        <is>
          <t>2026-05-31</t>
        </is>
      </c>
      <c r="D4695" s="9" t="inlineStr">
        <is>
          <t>62745763822861</t>
        </is>
      </c>
      <c r="E4695" s="9" t="inlineStr">
        <is>
          <t>COLLAR T LOCK ROSE GOLD</t>
        </is>
      </c>
      <c r="F4695" s="9" t="inlineStr">
        <is>
          <t>Default Title</t>
        </is>
      </c>
      <c r="G4695" s="9" t="n">
        <v>2</v>
      </c>
      <c r="H4695" s="21" t="n">
        <v>7.59</v>
      </c>
      <c r="I4695" s="21" t="n">
        <v>184.19</v>
      </c>
      <c r="J4695" s="21" t="n">
        <v>552.5700000000001</v>
      </c>
      <c r="K4695" s="21" t="n">
        <v>644.67</v>
      </c>
      <c r="L4695" s="21" t="n">
        <v>736.76</v>
      </c>
      <c r="M4695" s="21" t="n">
        <v>0</v>
      </c>
    </row>
    <row r="4696">
      <c r="A4696" s="9" t="inlineStr">
        <is>
          <t>NANCY</t>
        </is>
      </c>
      <c r="B4696" s="9" t="inlineStr">
        <is>
          <t>NANCY 31/05/2026</t>
        </is>
      </c>
      <c r="C4696" s="9" t="inlineStr">
        <is>
          <t>2026-05-31</t>
        </is>
      </c>
      <c r="D4696" s="9" t="inlineStr">
        <is>
          <t>68089821024557</t>
        </is>
      </c>
      <c r="E4696" s="9" t="inlineStr">
        <is>
          <t>COLLAR T LOCK SILVER</t>
        </is>
      </c>
      <c r="F4696" s="9" t="inlineStr">
        <is>
          <t>Default Title</t>
        </is>
      </c>
      <c r="G4696" s="9" t="n">
        <v>2</v>
      </c>
      <c r="H4696" s="21" t="n">
        <v>7.59</v>
      </c>
      <c r="I4696" s="21" t="n">
        <v>184.19</v>
      </c>
      <c r="J4696" s="21" t="n">
        <v>552.5700000000001</v>
      </c>
      <c r="K4696" s="21" t="n">
        <v>644.67</v>
      </c>
      <c r="L4696" s="21" t="n">
        <v>736.76</v>
      </c>
      <c r="M4696" s="21" t="n">
        <v>0</v>
      </c>
    </row>
    <row r="4697">
      <c r="A4697" s="9" t="inlineStr">
        <is>
          <t>NANCY</t>
        </is>
      </c>
      <c r="B4697" s="9" t="inlineStr">
        <is>
          <t>NANCY 31/05/2026</t>
        </is>
      </c>
      <c r="C4697" s="9" t="inlineStr">
        <is>
          <t>2026-05-31</t>
        </is>
      </c>
      <c r="D4697" s="9" t="inlineStr">
        <is>
          <t>68089821636973</t>
        </is>
      </c>
      <c r="E4697" s="9" t="inlineStr">
        <is>
          <t>COLLAR T PALOMA PICASSO</t>
        </is>
      </c>
      <c r="F4697" s="9" t="inlineStr">
        <is>
          <t>Default Title</t>
        </is>
      </c>
      <c r="G4697" s="9" t="n">
        <v>2</v>
      </c>
      <c r="H4697" s="21" t="n">
        <v>6.59</v>
      </c>
      <c r="I4697" s="21" t="n">
        <v>159.92</v>
      </c>
      <c r="J4697" s="21" t="n">
        <v>479.77</v>
      </c>
      <c r="K4697" s="21" t="n">
        <v>559.73</v>
      </c>
      <c r="L4697" s="21" t="n">
        <v>639.6900000000001</v>
      </c>
      <c r="M4697" s="21" t="n">
        <v>0</v>
      </c>
    </row>
    <row r="4698">
      <c r="A4698" s="9" t="inlineStr">
        <is>
          <t>NANCY</t>
        </is>
      </c>
      <c r="B4698" s="9" t="inlineStr">
        <is>
          <t>NANCY 31/05/2026</t>
        </is>
      </c>
      <c r="C4698" s="9" t="inlineStr">
        <is>
          <t>2026-05-31</t>
        </is>
      </c>
      <c r="D4698" s="9" t="inlineStr">
        <is>
          <t>62745764129645</t>
        </is>
      </c>
      <c r="E4698" s="9" t="inlineStr">
        <is>
          <t>COLLAR T SIXTEEN STONE</t>
        </is>
      </c>
      <c r="F4698" s="9" t="inlineStr">
        <is>
          <t>Default Title</t>
        </is>
      </c>
      <c r="G4698" s="9" t="n">
        <v>2</v>
      </c>
      <c r="H4698" s="21" t="n">
        <v>7.69</v>
      </c>
      <c r="I4698" s="21" t="n">
        <v>186.62</v>
      </c>
      <c r="J4698" s="21" t="n">
        <v>559.85</v>
      </c>
      <c r="K4698" s="21" t="n">
        <v>653.16</v>
      </c>
      <c r="L4698" s="21" t="n">
        <v>746.47</v>
      </c>
      <c r="M4698" s="21" t="n">
        <v>0</v>
      </c>
    </row>
    <row r="4699">
      <c r="A4699" s="9" t="inlineStr">
        <is>
          <t>NANCY</t>
        </is>
      </c>
      <c r="B4699" s="9" t="inlineStr">
        <is>
          <t>NANCY 31/05/2026</t>
        </is>
      </c>
      <c r="C4699" s="9" t="inlineStr">
        <is>
          <t>2026-05-31</t>
        </is>
      </c>
      <c r="D4699" s="9" t="inlineStr">
        <is>
          <t>68089821542061</t>
        </is>
      </c>
      <c r="E4699" s="9" t="inlineStr">
        <is>
          <t>COLLAR T SIXTEEN STONE SILVER BLUE</t>
        </is>
      </c>
      <c r="F4699" s="9" t="inlineStr">
        <is>
          <t>Default Title</t>
        </is>
      </c>
      <c r="G4699" s="9" t="n">
        <v>2</v>
      </c>
      <c r="H4699" s="21" t="n">
        <v>8.19</v>
      </c>
      <c r="I4699" s="21" t="n">
        <v>198.75</v>
      </c>
      <c r="J4699" s="21" t="n">
        <v>596.25</v>
      </c>
      <c r="K4699" s="21" t="n">
        <v>695.63</v>
      </c>
      <c r="L4699" s="21" t="n">
        <v>795.01</v>
      </c>
      <c r="M4699" s="21" t="n">
        <v>0</v>
      </c>
    </row>
    <row r="4700">
      <c r="A4700" s="9" t="inlineStr">
        <is>
          <t>NANCY</t>
        </is>
      </c>
      <c r="B4700" s="9" t="inlineStr">
        <is>
          <t>NANCY 31/05/2026</t>
        </is>
      </c>
      <c r="C4700" s="9" t="inlineStr">
        <is>
          <t>2026-05-31</t>
        </is>
      </c>
      <c r="D4700" s="9" t="inlineStr">
        <is>
          <t>62745763998573</t>
        </is>
      </c>
      <c r="E4700" s="9" t="inlineStr">
        <is>
          <t>COLLAR T SMILE ZIRCONIAS GOLD</t>
        </is>
      </c>
      <c r="F4700" s="9" t="inlineStr">
        <is>
          <t>Default Title</t>
        </is>
      </c>
      <c r="G4700" s="9" t="n">
        <v>2</v>
      </c>
      <c r="H4700" s="21" t="n">
        <v>7.19</v>
      </c>
      <c r="I4700" s="21" t="n">
        <v>174.48</v>
      </c>
      <c r="J4700" s="21" t="n">
        <v>523.45</v>
      </c>
      <c r="K4700" s="21" t="n">
        <v>610.6900000000001</v>
      </c>
      <c r="L4700" s="21" t="n">
        <v>697.9400000000001</v>
      </c>
      <c r="M4700" s="21" t="n">
        <v>0</v>
      </c>
    </row>
    <row r="4701">
      <c r="A4701" s="9" t="inlineStr">
        <is>
          <t>NANCY</t>
        </is>
      </c>
      <c r="B4701" s="9" t="inlineStr">
        <is>
          <t>NANCY 31/05/2026</t>
        </is>
      </c>
      <c r="C4701" s="9" t="inlineStr">
        <is>
          <t>2026-05-31</t>
        </is>
      </c>
      <c r="D4701" s="9" t="inlineStr">
        <is>
          <t>62745764027949</t>
        </is>
      </c>
      <c r="E4701" s="9" t="inlineStr">
        <is>
          <t>COLLAR T SMILE ZIRCONIAS ROSE GOLD</t>
        </is>
      </c>
      <c r="F4701" s="9" t="inlineStr">
        <is>
          <t>Default Title</t>
        </is>
      </c>
      <c r="G4701" s="9" t="n">
        <v>2</v>
      </c>
      <c r="H4701" s="21" t="n">
        <v>7.19</v>
      </c>
      <c r="I4701" s="21" t="n">
        <v>174.48</v>
      </c>
      <c r="J4701" s="21" t="n">
        <v>523.45</v>
      </c>
      <c r="K4701" s="21" t="n">
        <v>610.6900000000001</v>
      </c>
      <c r="L4701" s="21" t="n">
        <v>697.9400000000001</v>
      </c>
      <c r="M4701" s="21" t="n">
        <v>0</v>
      </c>
    </row>
    <row r="4702">
      <c r="A4702" s="9" t="inlineStr">
        <is>
          <t>NANCY</t>
        </is>
      </c>
      <c r="B4702" s="9" t="inlineStr">
        <is>
          <t>NANCY 31/05/2026</t>
        </is>
      </c>
      <c r="C4702" s="9" t="inlineStr">
        <is>
          <t>2026-05-31</t>
        </is>
      </c>
      <c r="D4702" s="9" t="inlineStr">
        <is>
          <t>68089821735277</t>
        </is>
      </c>
      <c r="E4702" s="9" t="inlineStr">
        <is>
          <t>COLLAR T TIPO LAZO OPEN HEART ROSE GOLD</t>
        </is>
      </c>
      <c r="F4702" s="9" t="inlineStr">
        <is>
          <t>Default Title</t>
        </is>
      </c>
      <c r="G4702" s="9" t="n">
        <v>2</v>
      </c>
      <c r="H4702" s="21" t="n">
        <v>7.29</v>
      </c>
      <c r="I4702" s="21" t="n">
        <v>176.91</v>
      </c>
      <c r="J4702" s="21" t="n">
        <v>530.73</v>
      </c>
      <c r="K4702" s="21" t="n">
        <v>619.1900000000001</v>
      </c>
      <c r="L4702" s="21" t="n">
        <v>707.64</v>
      </c>
      <c r="M4702" s="21" t="n">
        <v>0</v>
      </c>
    </row>
    <row r="4703">
      <c r="A4703" s="9" t="inlineStr">
        <is>
          <t>NANCY</t>
        </is>
      </c>
      <c r="B4703" s="9" t="inlineStr">
        <is>
          <t>NANCY 31/05/2026</t>
        </is>
      </c>
      <c r="C4703" s="9" t="inlineStr">
        <is>
          <t>2026-05-31</t>
        </is>
      </c>
      <c r="D4703" s="9" t="inlineStr">
        <is>
          <t>42982026674316</t>
        </is>
      </c>
      <c r="E4703" s="9" t="inlineStr">
        <is>
          <t>COLLAR V ROUND GOLD</t>
        </is>
      </c>
      <c r="F4703" s="9" t="inlineStr">
        <is>
          <t>51cm de largo</t>
        </is>
      </c>
      <c r="G4703" s="9" t="n">
        <v>5</v>
      </c>
      <c r="H4703" s="21" t="n">
        <v>6.29</v>
      </c>
      <c r="I4703" s="21" t="n">
        <v>152.64</v>
      </c>
      <c r="J4703" s="21" t="n">
        <v>457.93</v>
      </c>
      <c r="K4703" s="21" t="n">
        <v>534.25</v>
      </c>
      <c r="L4703" s="21" t="n">
        <v>610.5700000000001</v>
      </c>
      <c r="M4703" s="21" t="n">
        <v>580</v>
      </c>
    </row>
    <row r="4704">
      <c r="A4704" s="9" t="inlineStr">
        <is>
          <t>NANCY</t>
        </is>
      </c>
      <c r="B4704" s="9" t="inlineStr">
        <is>
          <t>NANCY 31/05/2026</t>
        </is>
      </c>
      <c r="C4704" s="9" t="inlineStr">
        <is>
          <t>2026-05-31</t>
        </is>
      </c>
      <c r="D4704" s="9" t="inlineStr">
        <is>
          <t>71288021662829</t>
        </is>
      </c>
      <c r="E4704" s="9" t="inlineStr">
        <is>
          <t>COLLAR VF ALHAMBRA SILVER</t>
        </is>
      </c>
      <c r="F4704" s="9" t="inlineStr">
        <is>
          <t>Default Title</t>
        </is>
      </c>
      <c r="G4704" s="9" t="n">
        <v>2</v>
      </c>
      <c r="H4704" s="21" t="n">
        <v>5.59</v>
      </c>
      <c r="I4704" s="21" t="n">
        <v>135.66</v>
      </c>
      <c r="J4704" s="21" t="n">
        <v>406.97</v>
      </c>
      <c r="K4704" s="21" t="n">
        <v>474.8</v>
      </c>
      <c r="L4704" s="21" t="n">
        <v>542.62</v>
      </c>
      <c r="M4704" s="21" t="n">
        <v>0</v>
      </c>
    </row>
    <row r="4705">
      <c r="A4705" s="9" t="inlineStr">
        <is>
          <t>NANCY</t>
        </is>
      </c>
      <c r="B4705" s="9" t="inlineStr">
        <is>
          <t>NANCY 31/05/2026</t>
        </is>
      </c>
      <c r="C4705" s="9" t="inlineStr">
        <is>
          <t>2026-05-31</t>
        </is>
      </c>
      <c r="D4705" s="9" t="inlineStr">
        <is>
          <t>71288021533453</t>
        </is>
      </c>
      <c r="E4705" s="9" t="inlineStr">
        <is>
          <t>COLLAR VF ARPELS GOLD</t>
        </is>
      </c>
      <c r="F4705" s="9" t="inlineStr">
        <is>
          <t>Default Title</t>
        </is>
      </c>
      <c r="G4705" s="9" t="n">
        <v>2</v>
      </c>
      <c r="H4705" s="21" t="n">
        <v>5.99</v>
      </c>
      <c r="I4705" s="21" t="n">
        <v>145.36</v>
      </c>
      <c r="J4705" s="21" t="n">
        <v>436.09</v>
      </c>
      <c r="K4705" s="21" t="n">
        <v>508.77</v>
      </c>
      <c r="L4705" s="21" t="n">
        <v>581.45</v>
      </c>
      <c r="M4705" s="21" t="n">
        <v>0</v>
      </c>
    </row>
    <row r="4706">
      <c r="A4706" s="9" t="inlineStr">
        <is>
          <t>NANCY</t>
        </is>
      </c>
      <c r="B4706" s="9" t="inlineStr">
        <is>
          <t>NANCY 31/05/2026</t>
        </is>
      </c>
      <c r="C4706" s="9" t="inlineStr">
        <is>
          <t>2026-05-31</t>
        </is>
      </c>
      <c r="D4706" s="9" t="inlineStr">
        <is>
          <t>43728135084716</t>
        </is>
      </c>
      <c r="E4706" s="9" t="inlineStr">
        <is>
          <t>COLLAR YSL GOLD (NECKLACE)</t>
        </is>
      </c>
      <c r="F4706" s="9" t="inlineStr">
        <is>
          <t>REGULAR</t>
        </is>
      </c>
      <c r="G4706" s="9" t="n">
        <v>5</v>
      </c>
      <c r="H4706" s="21" t="n">
        <v>6.29</v>
      </c>
      <c r="I4706" s="21" t="n">
        <v>152.64</v>
      </c>
      <c r="J4706" s="21" t="n">
        <v>457.93</v>
      </c>
      <c r="K4706" s="21" t="n">
        <v>534.25</v>
      </c>
      <c r="L4706" s="21" t="n">
        <v>610.5700000000001</v>
      </c>
      <c r="M4706" s="21" t="n">
        <v>460</v>
      </c>
    </row>
    <row r="4707">
      <c r="A4707" s="9" t="inlineStr">
        <is>
          <t>NANCY</t>
        </is>
      </c>
      <c r="B4707" s="9" t="inlineStr">
        <is>
          <t>NANCY 31/05/2026</t>
        </is>
      </c>
      <c r="C4707" s="9" t="inlineStr">
        <is>
          <t>2026-05-31</t>
        </is>
      </c>
      <c r="D4707" s="9" t="inlineStr">
        <is>
          <t>22974392517357</t>
        </is>
      </c>
      <c r="E4707" s="9" t="inlineStr">
        <is>
          <t>GARGANTILLA CD BLACK</t>
        </is>
      </c>
      <c r="F4707" s="9" t="inlineStr">
        <is>
          <t>Default Title</t>
        </is>
      </c>
      <c r="G4707" s="9" t="n">
        <v>2</v>
      </c>
      <c r="H4707" s="21" t="n">
        <v>5.59</v>
      </c>
      <c r="I4707" s="21" t="n">
        <v>135.66</v>
      </c>
      <c r="J4707" s="21" t="n">
        <v>406.97</v>
      </c>
      <c r="K4707" s="21" t="n">
        <v>474.8</v>
      </c>
      <c r="L4707" s="21" t="n">
        <v>542.62</v>
      </c>
      <c r="M4707" s="21" t="n">
        <v>499</v>
      </c>
    </row>
    <row r="4708">
      <c r="A4708" s="9" t="inlineStr">
        <is>
          <t>NANCY</t>
        </is>
      </c>
      <c r="B4708" s="9" t="inlineStr">
        <is>
          <t>NANCY 31/05/2026</t>
        </is>
      </c>
      <c r="C4708" s="9" t="inlineStr">
        <is>
          <t>2026-05-31</t>
        </is>
      </c>
      <c r="D4708" s="9" t="inlineStr">
        <is>
          <t>62745761085613</t>
        </is>
      </c>
      <c r="E4708" s="9" t="inlineStr">
        <is>
          <t>MONEDERO G PM BLACK</t>
        </is>
      </c>
      <c r="F4708" s="9" t="inlineStr">
        <is>
          <t>Default Title</t>
        </is>
      </c>
      <c r="G4708" s="9" t="n">
        <v>2</v>
      </c>
      <c r="H4708" s="21" t="n">
        <v>13.19</v>
      </c>
      <c r="I4708" s="21" t="n">
        <v>320.09</v>
      </c>
      <c r="J4708" s="21" t="n">
        <v>960.27</v>
      </c>
      <c r="K4708" s="21" t="n">
        <v>1120.31</v>
      </c>
      <c r="L4708" s="21" t="n">
        <v>1280.36</v>
      </c>
      <c r="M4708" s="21" t="n">
        <v>0</v>
      </c>
    </row>
    <row r="4709">
      <c r="A4709" s="9" t="inlineStr">
        <is>
          <t>NANCY</t>
        </is>
      </c>
      <c r="B4709" s="9" t="inlineStr">
        <is>
          <t>NANCY 31/05/2026</t>
        </is>
      </c>
      <c r="C4709" s="9" t="inlineStr">
        <is>
          <t>2026-05-31</t>
        </is>
      </c>
      <c r="D4709" s="9" t="inlineStr">
        <is>
          <t>62745761151149</t>
        </is>
      </c>
      <c r="E4709" s="9" t="inlineStr">
        <is>
          <t>MONEDERO G PM WHITE</t>
        </is>
      </c>
      <c r="F4709" s="9" t="inlineStr">
        <is>
          <t>Default Title</t>
        </is>
      </c>
      <c r="G4709" s="9" t="n">
        <v>2</v>
      </c>
      <c r="H4709" s="21" t="n">
        <v>13.19</v>
      </c>
      <c r="I4709" s="21" t="n">
        <v>320.09</v>
      </c>
      <c r="J4709" s="21" t="n">
        <v>960.27</v>
      </c>
      <c r="K4709" s="21" t="n">
        <v>1120.31</v>
      </c>
      <c r="L4709" s="21" t="n">
        <v>1280.36</v>
      </c>
      <c r="M4709" s="21" t="n">
        <v>0</v>
      </c>
    </row>
    <row r="4710">
      <c r="A4710" s="9" t="inlineStr">
        <is>
          <t>NANCY</t>
        </is>
      </c>
      <c r="B4710" s="9" t="inlineStr">
        <is>
          <t>NANCY 31/05/2026</t>
        </is>
      </c>
      <c r="C4710" s="9" t="inlineStr">
        <is>
          <t>2026-05-31</t>
        </is>
      </c>
      <c r="D4710" s="9" t="inlineStr">
        <is>
          <t>62745763146605</t>
        </is>
      </c>
      <c r="E4710" s="9" t="inlineStr">
        <is>
          <t>PULSERA C CLAVO SILVER FULL DIAMOND</t>
        </is>
      </c>
      <c r="F4710" s="9" t="inlineStr">
        <is>
          <t>Default Title</t>
        </is>
      </c>
      <c r="G4710" s="9" t="n">
        <v>2</v>
      </c>
      <c r="H4710" s="21" t="n">
        <v>13.19</v>
      </c>
      <c r="I4710" s="21" t="n">
        <v>320.09</v>
      </c>
      <c r="J4710" s="21" t="n">
        <v>960.27</v>
      </c>
      <c r="K4710" s="21" t="n">
        <v>1120.31</v>
      </c>
      <c r="L4710" s="21" t="n">
        <v>1280.36</v>
      </c>
      <c r="M4710" s="21" t="n">
        <v>0</v>
      </c>
    </row>
    <row r="4711">
      <c r="A4711" s="9" t="inlineStr">
        <is>
          <t>NANCY</t>
        </is>
      </c>
      <c r="B4711" s="9" t="inlineStr">
        <is>
          <t>NANCY 31/05/2026</t>
        </is>
      </c>
      <c r="C4711" s="9" t="inlineStr">
        <is>
          <t>2026-05-31</t>
        </is>
      </c>
      <c r="D4711" s="9" t="inlineStr">
        <is>
          <t>58980702491853</t>
        </is>
      </c>
      <c r="E4711" s="9" t="inlineStr">
        <is>
          <t>PULSERA CC COCO C ROSEGOLD</t>
        </is>
      </c>
      <c r="F4711" s="9" t="inlineStr">
        <is>
          <t>Default Title</t>
        </is>
      </c>
      <c r="G4711" s="9" t="n">
        <v>2</v>
      </c>
      <c r="H4711" s="21" t="n">
        <v>6.69</v>
      </c>
      <c r="I4711" s="21" t="n">
        <v>162.35</v>
      </c>
      <c r="J4711" s="21" t="n">
        <v>487.05</v>
      </c>
      <c r="K4711" s="21" t="n">
        <v>568.23</v>
      </c>
      <c r="L4711" s="21" t="n">
        <v>649.4</v>
      </c>
      <c r="M4711" s="21" t="n">
        <v>0</v>
      </c>
    </row>
    <row r="4712">
      <c r="A4712" s="9" t="inlineStr">
        <is>
          <t>NANCY</t>
        </is>
      </c>
      <c r="B4712" s="9" t="inlineStr">
        <is>
          <t>NANCY 31/05/2026</t>
        </is>
      </c>
      <c r="C4712" s="9" t="inlineStr">
        <is>
          <t>2026-05-31</t>
        </is>
      </c>
      <c r="D4712" s="9" t="inlineStr">
        <is>
          <t>58980702524621</t>
        </is>
      </c>
      <c r="E4712" s="9" t="inlineStr">
        <is>
          <t>PULSERA CC EXTRAIT CAMELIA</t>
        </is>
      </c>
      <c r="F4712" s="9" t="inlineStr">
        <is>
          <t>Default Title</t>
        </is>
      </c>
      <c r="G4712" s="9" t="n">
        <v>2</v>
      </c>
      <c r="H4712" s="21" t="n">
        <v>7.99</v>
      </c>
      <c r="I4712" s="21" t="n">
        <v>193.9</v>
      </c>
      <c r="J4712" s="21" t="n">
        <v>581.6900000000001</v>
      </c>
      <c r="K4712" s="21" t="n">
        <v>678.64</v>
      </c>
      <c r="L4712" s="21" t="n">
        <v>775.59</v>
      </c>
      <c r="M4712" s="21" t="n">
        <v>0</v>
      </c>
    </row>
    <row r="4713">
      <c r="A4713" s="9" t="inlineStr">
        <is>
          <t>NANCY</t>
        </is>
      </c>
      <c r="B4713" s="9" t="inlineStr">
        <is>
          <t>NANCY 31/05/2026</t>
        </is>
      </c>
      <c r="C4713" s="9" t="inlineStr">
        <is>
          <t>2026-05-31</t>
        </is>
      </c>
      <c r="D4713" s="9" t="inlineStr">
        <is>
          <t>29857041083437</t>
        </is>
      </c>
      <c r="E4713" s="9" t="inlineStr">
        <is>
          <t>PULSERA CHROMES</t>
        </is>
      </c>
      <c r="F4713" s="9" t="inlineStr">
        <is>
          <t>Default Title</t>
        </is>
      </c>
      <c r="G4713" s="9" t="n">
        <v>2</v>
      </c>
      <c r="H4713" s="21" t="n">
        <v>6.59</v>
      </c>
      <c r="I4713" s="21" t="n">
        <v>159.92</v>
      </c>
      <c r="J4713" s="21" t="n">
        <v>479.77</v>
      </c>
      <c r="K4713" s="21" t="n">
        <v>559.73</v>
      </c>
      <c r="L4713" s="21" t="n">
        <v>639.6900000000001</v>
      </c>
      <c r="M4713" s="21" t="n">
        <v>550</v>
      </c>
    </row>
    <row r="4714">
      <c r="A4714" s="9" t="inlineStr">
        <is>
          <t>NANCY</t>
        </is>
      </c>
      <c r="B4714" s="9" t="inlineStr">
        <is>
          <t>NANCY 31/05/2026</t>
        </is>
      </c>
      <c r="C4714" s="9" t="inlineStr">
        <is>
          <t>2026-05-31</t>
        </is>
      </c>
      <c r="D4714" s="9" t="inlineStr">
        <is>
          <t>63e0c0ed991c0</t>
        </is>
      </c>
      <c r="E4714" s="9" t="inlineStr">
        <is>
          <t>PULSERA CLAVO GOLD</t>
        </is>
      </c>
      <c r="F4714" s="9" t="inlineStr">
        <is>
          <t>17 cm</t>
        </is>
      </c>
      <c r="G4714" s="9" t="n">
        <v>12</v>
      </c>
      <c r="H4714" s="21" t="n">
        <v>2.99</v>
      </c>
      <c r="I4714" s="21" t="n">
        <v>72.56</v>
      </c>
      <c r="J4714" s="21" t="n">
        <v>217.68</v>
      </c>
      <c r="K4714" s="21" t="n">
        <v>253.96</v>
      </c>
      <c r="L4714" s="21" t="n">
        <v>290.24</v>
      </c>
      <c r="M4714" s="21" t="n">
        <v>450</v>
      </c>
    </row>
    <row r="4715">
      <c r="A4715" s="9" t="inlineStr">
        <is>
          <t>NANCY</t>
        </is>
      </c>
      <c r="B4715" s="9" t="inlineStr">
        <is>
          <t>NANCY 31/05/2026</t>
        </is>
      </c>
      <c r="C4715" s="9" t="inlineStr">
        <is>
          <t>2026-05-31</t>
        </is>
      </c>
      <c r="D4715" s="9" t="inlineStr">
        <is>
          <t>52477061035757</t>
        </is>
      </c>
      <c r="E4715" s="9" t="inlineStr">
        <is>
          <t>PULSERA CLAVO GOLD</t>
        </is>
      </c>
      <c r="F4715" s="9" t="inlineStr">
        <is>
          <t>16 cm</t>
        </is>
      </c>
      <c r="G4715" s="9" t="n">
        <v>6</v>
      </c>
      <c r="H4715" s="21" t="n">
        <v>2.99</v>
      </c>
      <c r="I4715" s="21" t="n">
        <v>72.56</v>
      </c>
      <c r="J4715" s="21" t="n">
        <v>217.68</v>
      </c>
      <c r="K4715" s="21" t="n">
        <v>253.96</v>
      </c>
      <c r="L4715" s="21" t="n">
        <v>290.24</v>
      </c>
      <c r="M4715" s="21" t="n">
        <v>450</v>
      </c>
    </row>
    <row r="4716">
      <c r="A4716" s="9" t="inlineStr">
        <is>
          <t>NANCY</t>
        </is>
      </c>
      <c r="B4716" s="9" t="inlineStr">
        <is>
          <t>NANCY 31/05/2026</t>
        </is>
      </c>
      <c r="C4716" s="9" t="inlineStr">
        <is>
          <t>2026-05-31</t>
        </is>
      </c>
      <c r="D4716" s="9" t="inlineStr">
        <is>
          <t>63e0c0f2996bf</t>
        </is>
      </c>
      <c r="E4716" s="9" t="inlineStr">
        <is>
          <t>PULSERA CLAVO GOLD CON ZIRCONIA</t>
        </is>
      </c>
      <c r="F4716" s="9" t="inlineStr">
        <is>
          <t>19 cm</t>
        </is>
      </c>
      <c r="G4716" s="9" t="n">
        <v>5</v>
      </c>
      <c r="H4716" s="21" t="n">
        <v>3.99</v>
      </c>
      <c r="I4716" s="21" t="n">
        <v>96.83</v>
      </c>
      <c r="J4716" s="21" t="n">
        <v>290.48</v>
      </c>
      <c r="K4716" s="21" t="n">
        <v>338.9</v>
      </c>
      <c r="L4716" s="21" t="n">
        <v>387.31</v>
      </c>
      <c r="M4716" s="21" t="n">
        <v>450</v>
      </c>
    </row>
    <row r="4717">
      <c r="A4717" s="9" t="inlineStr">
        <is>
          <t>NANCY</t>
        </is>
      </c>
      <c r="B4717" s="9" t="inlineStr">
        <is>
          <t>NANCY 31/05/2026</t>
        </is>
      </c>
      <c r="C4717" s="9" t="inlineStr">
        <is>
          <t>2026-05-31</t>
        </is>
      </c>
      <c r="D4717" s="9" t="inlineStr">
        <is>
          <t>63e0c0e97703d</t>
        </is>
      </c>
      <c r="E4717" s="9" t="inlineStr">
        <is>
          <t>PULSERA CLAVO GOLD DELGADA</t>
        </is>
      </c>
      <c r="F4717" s="9" t="inlineStr">
        <is>
          <t>16cm</t>
        </is>
      </c>
      <c r="G4717" s="9" t="n">
        <v>15</v>
      </c>
      <c r="H4717" s="21" t="n">
        <v>2.99</v>
      </c>
      <c r="I4717" s="21" t="n">
        <v>72.56</v>
      </c>
      <c r="J4717" s="21" t="n">
        <v>217.68</v>
      </c>
      <c r="K4717" s="21" t="n">
        <v>253.96</v>
      </c>
      <c r="L4717" s="21" t="n">
        <v>290.24</v>
      </c>
      <c r="M4717" s="21" t="n">
        <v>550</v>
      </c>
    </row>
    <row r="4718">
      <c r="A4718" s="9" t="inlineStr">
        <is>
          <t>NANCY</t>
        </is>
      </c>
      <c r="B4718" s="9" t="inlineStr">
        <is>
          <t>NANCY 31/05/2026</t>
        </is>
      </c>
      <c r="C4718" s="9" t="inlineStr">
        <is>
          <t>2026-05-31</t>
        </is>
      </c>
      <c r="D4718" s="9" t="inlineStr">
        <is>
          <t>63e0c0ea219d0</t>
        </is>
      </c>
      <c r="E4718" s="9" t="inlineStr">
        <is>
          <t>PULSERA CLAVO GOLD DELGADA CON ZIRCONIA</t>
        </is>
      </c>
      <c r="F4718" s="9" t="inlineStr">
        <is>
          <t>17cm</t>
        </is>
      </c>
      <c r="G4718" s="9" t="n">
        <v>4</v>
      </c>
      <c r="H4718" s="21" t="n">
        <v>3.99</v>
      </c>
      <c r="I4718" s="21" t="n">
        <v>96.83</v>
      </c>
      <c r="J4718" s="21" t="n">
        <v>290.48</v>
      </c>
      <c r="K4718" s="21" t="n">
        <v>338.9</v>
      </c>
      <c r="L4718" s="21" t="n">
        <v>387.31</v>
      </c>
      <c r="M4718" s="21" t="n">
        <v>480</v>
      </c>
    </row>
    <row r="4719">
      <c r="A4719" s="9" t="inlineStr">
        <is>
          <t>NANCY</t>
        </is>
      </c>
      <c r="B4719" s="9" t="inlineStr">
        <is>
          <t>NANCY 31/05/2026</t>
        </is>
      </c>
      <c r="C4719" s="9" t="inlineStr">
        <is>
          <t>2026-05-31</t>
        </is>
      </c>
      <c r="D4719" s="9" t="inlineStr">
        <is>
          <t>63e0c22967d6a</t>
        </is>
      </c>
      <c r="E4719" s="9" t="inlineStr">
        <is>
          <t>PULSERA CLAVO JUSTE UN CLOU ZIRCONIA SILVER</t>
        </is>
      </c>
      <c r="F4719" s="9" t="inlineStr">
        <is>
          <t>19CM</t>
        </is>
      </c>
      <c r="G4719" s="9" t="n">
        <v>2</v>
      </c>
      <c r="H4719" s="21" t="n">
        <v>3.99</v>
      </c>
      <c r="I4719" s="21" t="n">
        <v>96.83</v>
      </c>
      <c r="J4719" s="21" t="n">
        <v>290.48</v>
      </c>
      <c r="K4719" s="21" t="n">
        <v>338.9</v>
      </c>
      <c r="L4719" s="21" t="n">
        <v>387.31</v>
      </c>
      <c r="M4719" s="21" t="n">
        <v>450</v>
      </c>
    </row>
    <row r="4720">
      <c r="A4720" s="9" t="inlineStr">
        <is>
          <t>NANCY</t>
        </is>
      </c>
      <c r="B4720" s="9" t="inlineStr">
        <is>
          <t>NANCY 31/05/2026</t>
        </is>
      </c>
      <c r="C4720" s="9" t="inlineStr">
        <is>
          <t>2026-05-31</t>
        </is>
      </c>
      <c r="D4720" s="9" t="inlineStr">
        <is>
          <t>661770f12a6a9</t>
        </is>
      </c>
      <c r="E4720" s="9" t="inlineStr">
        <is>
          <t>PULSERA CLAVO SILVER</t>
        </is>
      </c>
      <c r="F4720" s="9" t="inlineStr">
        <is>
          <t>19 CM</t>
        </is>
      </c>
      <c r="G4720" s="9" t="n">
        <v>4</v>
      </c>
      <c r="H4720" s="21" t="n">
        <v>2.99</v>
      </c>
      <c r="I4720" s="21" t="n">
        <v>72.56</v>
      </c>
      <c r="J4720" s="21" t="n">
        <v>217.68</v>
      </c>
      <c r="K4720" s="21" t="n">
        <v>253.96</v>
      </c>
      <c r="L4720" s="21" t="n">
        <v>290.24</v>
      </c>
      <c r="M4720" s="21" t="n">
        <v>450</v>
      </c>
    </row>
    <row r="4721">
      <c r="A4721" s="9" t="inlineStr">
        <is>
          <t>NANCY</t>
        </is>
      </c>
      <c r="B4721" s="9" t="inlineStr">
        <is>
          <t>NANCY 31/05/2026</t>
        </is>
      </c>
      <c r="C4721" s="9" t="inlineStr">
        <is>
          <t>2026-05-31</t>
        </is>
      </c>
      <c r="D4721" s="9" t="inlineStr">
        <is>
          <t>71288021138541</t>
        </is>
      </c>
      <c r="E4721" s="9" t="inlineStr">
        <is>
          <t>PULSERA DE TELA BLACK ELSA PERETTI</t>
        </is>
      </c>
      <c r="F4721" s="9" t="inlineStr">
        <is>
          <t>Default Title</t>
        </is>
      </c>
      <c r="G4721" s="9" t="n">
        <v>2</v>
      </c>
      <c r="H4721" s="21" t="n">
        <v>6.69</v>
      </c>
      <c r="I4721" s="21" t="n">
        <v>162.35</v>
      </c>
      <c r="J4721" s="21" t="n">
        <v>487.05</v>
      </c>
      <c r="K4721" s="21" t="n">
        <v>568.23</v>
      </c>
      <c r="L4721" s="21" t="n">
        <v>649.4</v>
      </c>
      <c r="M4721" s="21" t="n">
        <v>0</v>
      </c>
    </row>
    <row r="4722">
      <c r="A4722" s="9" t="inlineStr">
        <is>
          <t>NANCY</t>
        </is>
      </c>
      <c r="B4722" s="9" t="inlineStr">
        <is>
          <t>NANCY 31/05/2026</t>
        </is>
      </c>
      <c r="C4722" s="9" t="inlineStr">
        <is>
          <t>2026-05-31</t>
        </is>
      </c>
      <c r="D4722" s="9" t="inlineStr">
        <is>
          <t>71288021024429</t>
        </is>
      </c>
      <c r="E4722" s="9" t="inlineStr">
        <is>
          <t>PULSERA DE TELA BLUE ELSA PERETTI</t>
        </is>
      </c>
      <c r="F4722" s="9" t="inlineStr">
        <is>
          <t>Default Title</t>
        </is>
      </c>
      <c r="G4722" s="9" t="n">
        <v>2</v>
      </c>
      <c r="H4722" s="21" t="n">
        <v>6.69</v>
      </c>
      <c r="I4722" s="21" t="n">
        <v>162.35</v>
      </c>
      <c r="J4722" s="21" t="n">
        <v>487.05</v>
      </c>
      <c r="K4722" s="21" t="n">
        <v>568.23</v>
      </c>
      <c r="L4722" s="21" t="n">
        <v>649.4</v>
      </c>
      <c r="M4722" s="21" t="n">
        <v>0</v>
      </c>
    </row>
    <row r="4723">
      <c r="A4723" s="9" t="inlineStr">
        <is>
          <t>NANCY</t>
        </is>
      </c>
      <c r="B4723" s="9" t="inlineStr">
        <is>
          <t>NANCY 31/05/2026</t>
        </is>
      </c>
      <c r="C4723" s="9" t="inlineStr">
        <is>
          <t>2026-05-31</t>
        </is>
      </c>
      <c r="D4723" s="9" t="inlineStr">
        <is>
          <t>661774c11e19f</t>
        </is>
      </c>
      <c r="E4723" s="9" t="inlineStr">
        <is>
          <t>PULSERA ECROU GOLD</t>
        </is>
      </c>
      <c r="F4723" s="9" t="inlineStr">
        <is>
          <t>16</t>
        </is>
      </c>
      <c r="G4723" s="9" t="n">
        <v>8</v>
      </c>
      <c r="H4723" s="21" t="n">
        <v>5.39</v>
      </c>
      <c r="I4723" s="21" t="n">
        <v>130.8</v>
      </c>
      <c r="J4723" s="21" t="n">
        <v>392.41</v>
      </c>
      <c r="K4723" s="21" t="n">
        <v>457.81</v>
      </c>
      <c r="L4723" s="21" t="n">
        <v>523.21</v>
      </c>
      <c r="M4723" s="21" t="n">
        <v>450</v>
      </c>
    </row>
    <row r="4724">
      <c r="A4724" s="9" t="inlineStr">
        <is>
          <t>NANCY</t>
        </is>
      </c>
      <c r="B4724" s="9" t="inlineStr">
        <is>
          <t>NANCY 31/05/2026</t>
        </is>
      </c>
      <c r="C4724" s="9" t="inlineStr">
        <is>
          <t>2026-05-31</t>
        </is>
      </c>
      <c r="D4724" s="9" t="inlineStr">
        <is>
          <t>661774c1c7ccf</t>
        </is>
      </c>
      <c r="E4724" s="9" t="inlineStr">
        <is>
          <t>PULSERA ECROU GOLD</t>
        </is>
      </c>
      <c r="F4724" s="9" t="inlineStr">
        <is>
          <t>20</t>
        </is>
      </c>
      <c r="G4724" s="9" t="n">
        <v>2</v>
      </c>
      <c r="H4724" s="21" t="n">
        <v>5.39</v>
      </c>
      <c r="I4724" s="21" t="n">
        <v>130.8</v>
      </c>
      <c r="J4724" s="21" t="n">
        <v>392.41</v>
      </c>
      <c r="K4724" s="21" t="n">
        <v>457.81</v>
      </c>
      <c r="L4724" s="21" t="n">
        <v>523.21</v>
      </c>
      <c r="M4724" s="21" t="n">
        <v>450</v>
      </c>
    </row>
    <row r="4725">
      <c r="A4725" s="9" t="inlineStr">
        <is>
          <t>NANCY</t>
        </is>
      </c>
      <c r="B4725" s="9" t="inlineStr">
        <is>
          <t>NANCY 31/05/2026</t>
        </is>
      </c>
      <c r="C4725" s="9" t="inlineStr">
        <is>
          <t>2026-05-31</t>
        </is>
      </c>
      <c r="D4725" s="9" t="inlineStr">
        <is>
          <t>661774c19f755</t>
        </is>
      </c>
      <c r="E4725" s="9" t="inlineStr">
        <is>
          <t>PULSERA ECROU ROSEGOLD</t>
        </is>
      </c>
      <c r="F4725" s="9" t="inlineStr">
        <is>
          <t>16cm</t>
        </is>
      </c>
      <c r="G4725" s="9" t="n">
        <v>6</v>
      </c>
      <c r="H4725" s="21" t="n">
        <v>5.39</v>
      </c>
      <c r="I4725" s="21" t="n">
        <v>130.8</v>
      </c>
      <c r="J4725" s="21" t="n">
        <v>392.41</v>
      </c>
      <c r="K4725" s="21" t="n">
        <v>457.81</v>
      </c>
      <c r="L4725" s="21" t="n">
        <v>523.21</v>
      </c>
      <c r="M4725" s="21" t="n">
        <v>479</v>
      </c>
    </row>
    <row r="4726">
      <c r="A4726" s="9" t="inlineStr">
        <is>
          <t>NANCY</t>
        </is>
      </c>
      <c r="B4726" s="9" t="inlineStr">
        <is>
          <t>NANCY 31/05/2026</t>
        </is>
      </c>
      <c r="C4726" s="9" t="inlineStr">
        <is>
          <t>2026-05-31</t>
        </is>
      </c>
      <c r="D4726" s="9" t="inlineStr">
        <is>
          <t>661774c22d9a0</t>
        </is>
      </c>
      <c r="E4726" s="9" t="inlineStr">
        <is>
          <t>PULSERA ECROU SILVER</t>
        </is>
      </c>
      <c r="F4726" s="9" t="inlineStr">
        <is>
          <t>20cm</t>
        </is>
      </c>
      <c r="G4726" s="9" t="n">
        <v>5</v>
      </c>
      <c r="H4726" s="21" t="n">
        <v>5.39</v>
      </c>
      <c r="I4726" s="21" t="n">
        <v>130.8</v>
      </c>
      <c r="J4726" s="21" t="n">
        <v>392.41</v>
      </c>
      <c r="K4726" s="21" t="n">
        <v>457.81</v>
      </c>
      <c r="L4726" s="21" t="n">
        <v>523.21</v>
      </c>
      <c r="M4726" s="21" t="n">
        <v>499</v>
      </c>
    </row>
    <row r="4727">
      <c r="A4727" s="9" t="inlineStr">
        <is>
          <t>NANCY</t>
        </is>
      </c>
      <c r="B4727" s="9" t="inlineStr">
        <is>
          <t>NANCY 31/05/2026</t>
        </is>
      </c>
      <c r="C4727" s="9" t="inlineStr">
        <is>
          <t>2026-05-31</t>
        </is>
      </c>
      <c r="D4727" s="9" t="inlineStr">
        <is>
          <t>43047201472652</t>
        </is>
      </c>
      <c r="E4727" s="9" t="inlineStr">
        <is>
          <t>PULSERA KNOT SILVER</t>
        </is>
      </c>
      <c r="F4727" s="9" t="inlineStr">
        <is>
          <t>17cm</t>
        </is>
      </c>
      <c r="G4727" s="9" t="n">
        <v>2</v>
      </c>
      <c r="H4727" s="21" t="n">
        <v>7.59</v>
      </c>
      <c r="I4727" s="21" t="n">
        <v>184.19</v>
      </c>
      <c r="J4727" s="21" t="n">
        <v>552.5700000000001</v>
      </c>
      <c r="K4727" s="21" t="n">
        <v>644.67</v>
      </c>
      <c r="L4727" s="21" t="n">
        <v>736.76</v>
      </c>
      <c r="M4727" s="21" t="n">
        <v>675</v>
      </c>
    </row>
    <row r="4728">
      <c r="A4728" s="9" t="inlineStr">
        <is>
          <t>NANCY</t>
        </is>
      </c>
      <c r="B4728" s="9" t="inlineStr">
        <is>
          <t>NANCY 31/05/2026</t>
        </is>
      </c>
      <c r="C4728" s="9" t="inlineStr">
        <is>
          <t>2026-05-31</t>
        </is>
      </c>
      <c r="D4728" s="9" t="inlineStr">
        <is>
          <t>43047201243276</t>
        </is>
      </c>
      <c r="E4728" s="9" t="inlineStr">
        <is>
          <t>PULSERA LOCK SILVER CON ZIRCONIAS</t>
        </is>
      </c>
      <c r="F4728" s="9" t="inlineStr">
        <is>
          <t>17cm</t>
        </is>
      </c>
      <c r="G4728" s="9" t="n">
        <v>2</v>
      </c>
      <c r="H4728" s="21" t="n">
        <v>11.39</v>
      </c>
      <c r="I4728" s="21" t="n">
        <v>276.41</v>
      </c>
      <c r="J4728" s="21" t="n">
        <v>829.22</v>
      </c>
      <c r="K4728" s="21" t="n">
        <v>967.4299999999999</v>
      </c>
      <c r="L4728" s="21" t="n">
        <v>1105.63</v>
      </c>
      <c r="M4728" s="21" t="n">
        <v>650</v>
      </c>
    </row>
    <row r="4729">
      <c r="A4729" s="9" t="inlineStr">
        <is>
          <t>NANCY</t>
        </is>
      </c>
      <c r="B4729" s="9" t="inlineStr">
        <is>
          <t>NANCY 31/05/2026</t>
        </is>
      </c>
      <c r="C4729" s="9" t="inlineStr">
        <is>
          <t>2026-05-31</t>
        </is>
      </c>
      <c r="D4729" s="9" t="inlineStr">
        <is>
          <t>62745762751693</t>
        </is>
      </c>
      <c r="E4729" s="9" t="inlineStr">
        <is>
          <t>PULSERA LOVE GOLD CON MICROZIRCONIAS Y ZIRCONIAS</t>
        </is>
      </c>
      <c r="F4729" s="9" t="inlineStr">
        <is>
          <t>17CM</t>
        </is>
      </c>
      <c r="G4729" s="9" t="n">
        <v>3</v>
      </c>
      <c r="H4729" s="21" t="n">
        <v>15.99</v>
      </c>
      <c r="I4729" s="21" t="n">
        <v>388.04</v>
      </c>
      <c r="J4729" s="21" t="n">
        <v>1164.12</v>
      </c>
      <c r="K4729" s="21" t="n">
        <v>1358.14</v>
      </c>
      <c r="L4729" s="21" t="n">
        <v>1552.16</v>
      </c>
      <c r="M4729" s="21" t="n">
        <v>0</v>
      </c>
    </row>
    <row r="4730">
      <c r="A4730" s="9" t="inlineStr">
        <is>
          <t>NANCY</t>
        </is>
      </c>
      <c r="B4730" s="9" t="inlineStr">
        <is>
          <t>NANCY 31/05/2026</t>
        </is>
      </c>
      <c r="C4730" s="9" t="inlineStr">
        <is>
          <t>2026-05-31</t>
        </is>
      </c>
      <c r="D4730" s="9" t="inlineStr">
        <is>
          <t>62745762884461</t>
        </is>
      </c>
      <c r="E4730" s="9" t="inlineStr">
        <is>
          <t>PULSERA LOVE GOLD CON MICROZIRCONIAS Y ZIRCONIAS</t>
        </is>
      </c>
      <c r="F4730" s="9" t="inlineStr">
        <is>
          <t>19CM</t>
        </is>
      </c>
      <c r="G4730" s="9" t="n">
        <v>3</v>
      </c>
      <c r="H4730" s="21" t="n">
        <v>15.99</v>
      </c>
      <c r="I4730" s="21" t="n">
        <v>388.04</v>
      </c>
      <c r="J4730" s="21" t="n">
        <v>1164.12</v>
      </c>
      <c r="K4730" s="21" t="n">
        <v>1358.14</v>
      </c>
      <c r="L4730" s="21" t="n">
        <v>1552.16</v>
      </c>
      <c r="M4730" s="21" t="n">
        <v>0</v>
      </c>
    </row>
    <row r="4731">
      <c r="A4731" s="9" t="inlineStr">
        <is>
          <t>NANCY</t>
        </is>
      </c>
      <c r="B4731" s="9" t="inlineStr">
        <is>
          <t>NANCY 31/05/2026</t>
        </is>
      </c>
      <c r="C4731" s="9" t="inlineStr">
        <is>
          <t>2026-05-31</t>
        </is>
      </c>
      <c r="D4731" s="9" t="inlineStr">
        <is>
          <t>62745762948301</t>
        </is>
      </c>
      <c r="E4731" s="9" t="inlineStr">
        <is>
          <t>PULSERA LOVE SILVER CON MICROZIRCONIAS Y ZIRCONIAS</t>
        </is>
      </c>
      <c r="F4731" s="9" t="inlineStr">
        <is>
          <t>17CM</t>
        </is>
      </c>
      <c r="G4731" s="9" t="n">
        <v>3</v>
      </c>
      <c r="H4731" s="21" t="n">
        <v>15.99</v>
      </c>
      <c r="I4731" s="21" t="n">
        <v>388.04</v>
      </c>
      <c r="J4731" s="21" t="n">
        <v>1164.12</v>
      </c>
      <c r="K4731" s="21" t="n">
        <v>1358.14</v>
      </c>
      <c r="L4731" s="21" t="n">
        <v>1552.16</v>
      </c>
      <c r="M4731" s="21" t="n">
        <v>0</v>
      </c>
    </row>
    <row r="4732">
      <c r="A4732" s="9" t="inlineStr">
        <is>
          <t>NANCY</t>
        </is>
      </c>
      <c r="B4732" s="9" t="inlineStr">
        <is>
          <t>NANCY 31/05/2026</t>
        </is>
      </c>
      <c r="C4732" s="9" t="inlineStr">
        <is>
          <t>2026-05-31</t>
        </is>
      </c>
      <c r="D4732" s="9" t="inlineStr">
        <is>
          <t>62745763081069</t>
        </is>
      </c>
      <c r="E4732" s="9" t="inlineStr">
        <is>
          <t>PULSERA LOVE SILVER CON MICROZIRCONIAS Y ZIRCONIAS</t>
        </is>
      </c>
      <c r="F4732" s="9" t="inlineStr">
        <is>
          <t>19CM</t>
        </is>
      </c>
      <c r="G4732" s="9" t="n">
        <v>3</v>
      </c>
      <c r="H4732" s="21" t="n">
        <v>15.99</v>
      </c>
      <c r="I4732" s="21" t="n">
        <v>388.04</v>
      </c>
      <c r="J4732" s="21" t="n">
        <v>1164.12</v>
      </c>
      <c r="K4732" s="21" t="n">
        <v>1358.14</v>
      </c>
      <c r="L4732" s="21" t="n">
        <v>1552.16</v>
      </c>
      <c r="M4732" s="21" t="n">
        <v>0</v>
      </c>
    </row>
    <row r="4733">
      <c r="A4733" s="9" t="inlineStr">
        <is>
          <t>NANCY</t>
        </is>
      </c>
      <c r="B4733" s="9" t="inlineStr">
        <is>
          <t>NANCY 31/05/2026</t>
        </is>
      </c>
      <c r="C4733" s="9" t="inlineStr">
        <is>
          <t>2026-05-31</t>
        </is>
      </c>
      <c r="D4733" s="9" t="inlineStr">
        <is>
          <t>6617744996481</t>
        </is>
      </c>
      <c r="E4733" s="9" t="inlineStr">
        <is>
          <t>PULSERA ONE TRÉBOL GOLD BLACK</t>
        </is>
      </c>
      <c r="F4733" s="9" t="inlineStr">
        <is>
          <t>17cm con extensión de 3cm</t>
        </is>
      </c>
      <c r="G4733" s="9" t="n">
        <v>4</v>
      </c>
      <c r="H4733" s="21" t="n">
        <v>5.59</v>
      </c>
      <c r="I4733" s="21" t="n">
        <v>135.66</v>
      </c>
      <c r="J4733" s="21" t="n">
        <v>406.97</v>
      </c>
      <c r="K4733" s="21" t="n">
        <v>474.8</v>
      </c>
      <c r="L4733" s="21" t="n">
        <v>542.62</v>
      </c>
      <c r="M4733" s="21" t="n">
        <v>450</v>
      </c>
    </row>
    <row r="4734">
      <c r="A4734" s="9" t="inlineStr">
        <is>
          <t>NANCY</t>
        </is>
      </c>
      <c r="B4734" s="9" t="inlineStr">
        <is>
          <t>NANCY 31/05/2026</t>
        </is>
      </c>
      <c r="C4734" s="9" t="inlineStr">
        <is>
          <t>2026-05-31</t>
        </is>
      </c>
      <c r="D4734" s="9" t="inlineStr">
        <is>
          <t>6701d185b1594</t>
        </is>
      </c>
      <c r="E4734" s="9" t="inlineStr">
        <is>
          <t>PULSERA ONE TRÉBOL GOLD GREEN</t>
        </is>
      </c>
      <c r="F4734" s="9" t="inlineStr">
        <is>
          <t>17cm con extensión de 3cm</t>
        </is>
      </c>
      <c r="G4734" s="9" t="n">
        <v>3</v>
      </c>
      <c r="H4734" s="21" t="n">
        <v>5.59</v>
      </c>
      <c r="I4734" s="21" t="n">
        <v>135.66</v>
      </c>
      <c r="J4734" s="21" t="n">
        <v>406.97</v>
      </c>
      <c r="K4734" s="21" t="n">
        <v>474.8</v>
      </c>
      <c r="L4734" s="21" t="n">
        <v>542.62</v>
      </c>
      <c r="M4734" s="21" t="n">
        <v>599</v>
      </c>
    </row>
    <row r="4735">
      <c r="A4735" s="9" t="inlineStr">
        <is>
          <t>NANCY</t>
        </is>
      </c>
      <c r="B4735" s="9" t="inlineStr">
        <is>
          <t>NANCY 31/05/2026</t>
        </is>
      </c>
      <c r="C4735" s="9" t="inlineStr">
        <is>
          <t>2026-05-31</t>
        </is>
      </c>
      <c r="D4735" s="9" t="inlineStr">
        <is>
          <t>6701d185cad9a</t>
        </is>
      </c>
      <c r="E4735" s="9" t="inlineStr">
        <is>
          <t>PULSERA ONE TRÉBOL ROSEGOLD RED</t>
        </is>
      </c>
      <c r="F4735" s="9" t="inlineStr">
        <is>
          <t>Talla 17 con extensión de 3cm</t>
        </is>
      </c>
      <c r="G4735" s="9" t="n">
        <v>3</v>
      </c>
      <c r="H4735" s="21" t="n">
        <v>5.59</v>
      </c>
      <c r="I4735" s="21" t="n">
        <v>135.66</v>
      </c>
      <c r="J4735" s="21" t="n">
        <v>406.97</v>
      </c>
      <c r="K4735" s="21" t="n">
        <v>474.8</v>
      </c>
      <c r="L4735" s="21" t="n">
        <v>542.62</v>
      </c>
      <c r="M4735" s="21" t="n">
        <v>599</v>
      </c>
    </row>
    <row r="4736">
      <c r="A4736" s="9" t="inlineStr">
        <is>
          <t>NANCY</t>
        </is>
      </c>
      <c r="B4736" s="9" t="inlineStr">
        <is>
          <t>NANCY 31/05/2026</t>
        </is>
      </c>
      <c r="C4736" s="9" t="inlineStr">
        <is>
          <t>2026-05-31</t>
        </is>
      </c>
      <c r="D4736" s="9" t="inlineStr">
        <is>
          <t>665bce699c07e-1</t>
        </is>
      </c>
      <c r="E4736" s="9" t="inlineStr">
        <is>
          <t>PULSERA SERPENTI LISA GOLD</t>
        </is>
      </c>
      <c r="F4736" s="9" t="inlineStr">
        <is>
          <t>18cm</t>
        </is>
      </c>
      <c r="G4736" s="9" t="n">
        <v>5</v>
      </c>
      <c r="H4736" s="21" t="n">
        <v>9.390000000000001</v>
      </c>
      <c r="I4736" s="21" t="n">
        <v>227.87</v>
      </c>
      <c r="J4736" s="21" t="n">
        <v>683.62</v>
      </c>
      <c r="K4736" s="21" t="n">
        <v>797.55</v>
      </c>
      <c r="L4736" s="21" t="n">
        <v>911.49</v>
      </c>
      <c r="M4736" s="21" t="n">
        <v>799</v>
      </c>
    </row>
    <row r="4737">
      <c r="A4737" s="9" t="inlineStr">
        <is>
          <t>NANCY</t>
        </is>
      </c>
      <c r="B4737" s="9" t="inlineStr">
        <is>
          <t>NANCY 31/05/2026</t>
        </is>
      </c>
      <c r="C4737" s="9" t="inlineStr">
        <is>
          <t>2026-05-31</t>
        </is>
      </c>
      <c r="D4737" s="9" t="inlineStr">
        <is>
          <t>68089823204749</t>
        </is>
      </c>
      <c r="E4737" s="9" t="inlineStr">
        <is>
          <t>PULSERA SMILE DE TELA BABY BLUE</t>
        </is>
      </c>
      <c r="F4737" s="9" t="inlineStr">
        <is>
          <t>Default Title</t>
        </is>
      </c>
      <c r="G4737" s="9" t="n">
        <v>2</v>
      </c>
      <c r="H4737" s="21" t="n">
        <v>6.69</v>
      </c>
      <c r="I4737" s="21" t="n">
        <v>162.35</v>
      </c>
      <c r="J4737" s="21" t="n">
        <v>487.05</v>
      </c>
      <c r="K4737" s="21" t="n">
        <v>568.23</v>
      </c>
      <c r="L4737" s="21" t="n">
        <v>649.4</v>
      </c>
      <c r="M4737" s="21" t="n">
        <v>0</v>
      </c>
    </row>
    <row r="4738">
      <c r="A4738" s="9" t="inlineStr">
        <is>
          <t>NANCY</t>
        </is>
      </c>
      <c r="B4738" s="9" t="inlineStr">
        <is>
          <t>NANCY 31/05/2026</t>
        </is>
      </c>
      <c r="C4738" s="9" t="inlineStr">
        <is>
          <t>2026-05-31</t>
        </is>
      </c>
      <c r="D4738" s="9" t="inlineStr">
        <is>
          <t>68089823108141</t>
        </is>
      </c>
      <c r="E4738" s="9" t="inlineStr">
        <is>
          <t>PULSERA SMILE DE TELA RED</t>
        </is>
      </c>
      <c r="F4738" s="9" t="inlineStr">
        <is>
          <t>Default Title</t>
        </is>
      </c>
      <c r="G4738" s="9" t="n">
        <v>2</v>
      </c>
      <c r="H4738" s="21" t="n">
        <v>6.69</v>
      </c>
      <c r="I4738" s="21" t="n">
        <v>162.35</v>
      </c>
      <c r="J4738" s="21" t="n">
        <v>487.05</v>
      </c>
      <c r="K4738" s="21" t="n">
        <v>568.23</v>
      </c>
      <c r="L4738" s="21" t="n">
        <v>649.4</v>
      </c>
      <c r="M4738" s="21" t="n">
        <v>0</v>
      </c>
    </row>
    <row r="4739">
      <c r="A4739" s="9" t="inlineStr">
        <is>
          <t>NANCY</t>
        </is>
      </c>
      <c r="B4739" s="9" t="inlineStr">
        <is>
          <t>NANCY 31/05/2026</t>
        </is>
      </c>
      <c r="C4739" s="9" t="inlineStr">
        <is>
          <t>2026-05-31</t>
        </is>
      </c>
      <c r="D4739" s="9" t="inlineStr">
        <is>
          <t>68089821383309</t>
        </is>
      </c>
      <c r="E4739" s="9" t="inlineStr">
        <is>
          <t>PULSERA T BEAN GOLD ZIRCONIAS</t>
        </is>
      </c>
      <c r="F4739" s="9" t="inlineStr">
        <is>
          <t>Default Title</t>
        </is>
      </c>
      <c r="G4739" s="9" t="n">
        <v>3</v>
      </c>
      <c r="H4739" s="21" t="n">
        <v>8.890000000000001</v>
      </c>
      <c r="I4739" s="21" t="n">
        <v>215.74</v>
      </c>
      <c r="J4739" s="21" t="n">
        <v>647.22</v>
      </c>
      <c r="K4739" s="21" t="n">
        <v>755.09</v>
      </c>
      <c r="L4739" s="21" t="n">
        <v>862.96</v>
      </c>
      <c r="M4739" s="21" t="n">
        <v>0</v>
      </c>
    </row>
    <row r="4740">
      <c r="A4740" s="9" t="inlineStr">
        <is>
          <t>NANCY</t>
        </is>
      </c>
      <c r="B4740" s="9" t="inlineStr">
        <is>
          <t>NANCY 31/05/2026</t>
        </is>
      </c>
      <c r="C4740" s="9" t="inlineStr">
        <is>
          <t>2026-05-31</t>
        </is>
      </c>
      <c r="D4740" s="9" t="inlineStr">
        <is>
          <t>68089821479917</t>
        </is>
      </c>
      <c r="E4740" s="9" t="inlineStr">
        <is>
          <t>PULSERA T BEAN SILVER ZIRCONIAS</t>
        </is>
      </c>
      <c r="F4740" s="9" t="inlineStr">
        <is>
          <t>Default Title</t>
        </is>
      </c>
      <c r="G4740" s="9" t="n">
        <v>3</v>
      </c>
      <c r="H4740" s="21" t="n">
        <v>8.890000000000001</v>
      </c>
      <c r="I4740" s="21" t="n">
        <v>215.74</v>
      </c>
      <c r="J4740" s="21" t="n">
        <v>647.22</v>
      </c>
      <c r="K4740" s="21" t="n">
        <v>755.09</v>
      </c>
      <c r="L4740" s="21" t="n">
        <v>862.96</v>
      </c>
      <c r="M4740" s="21" t="n">
        <v>0</v>
      </c>
    </row>
    <row r="4741">
      <c r="A4741" s="9" t="inlineStr">
        <is>
          <t>NANCY</t>
        </is>
      </c>
      <c r="B4741" s="9" t="inlineStr">
        <is>
          <t>NANCY 31/05/2026</t>
        </is>
      </c>
      <c r="C4741" s="9" t="inlineStr">
        <is>
          <t>2026-05-31</t>
        </is>
      </c>
      <c r="D4741" s="9" t="inlineStr">
        <is>
          <t>71288021271309</t>
        </is>
      </c>
      <c r="E4741" s="9" t="inlineStr">
        <is>
          <t>PULSERA T ENTRELAZADOS GOLD-SILVER</t>
        </is>
      </c>
      <c r="F4741" s="9" t="inlineStr">
        <is>
          <t>Default Title</t>
        </is>
      </c>
      <c r="G4741" s="9" t="n">
        <v>3</v>
      </c>
      <c r="H4741" s="21" t="n">
        <v>7.99</v>
      </c>
      <c r="I4741" s="21" t="n">
        <v>193.9</v>
      </c>
      <c r="J4741" s="21" t="n">
        <v>581.6900000000001</v>
      </c>
      <c r="K4741" s="21" t="n">
        <v>678.64</v>
      </c>
      <c r="L4741" s="21" t="n">
        <v>775.59</v>
      </c>
      <c r="M4741" s="21" t="n">
        <v>0</v>
      </c>
    </row>
    <row r="4742">
      <c r="A4742" s="9" t="inlineStr">
        <is>
          <t>NANCY</t>
        </is>
      </c>
      <c r="B4742" s="9" t="inlineStr">
        <is>
          <t>NANCY 31/05/2026</t>
        </is>
      </c>
      <c r="C4742" s="9" t="inlineStr">
        <is>
          <t>2026-05-31</t>
        </is>
      </c>
      <c r="D4742" s="9" t="inlineStr">
        <is>
          <t>68089823011533</t>
        </is>
      </c>
      <c r="E4742" s="9" t="inlineStr">
        <is>
          <t>PULSERA T FULL HEART</t>
        </is>
      </c>
      <c r="F4742" s="9" t="inlineStr">
        <is>
          <t>Default Title</t>
        </is>
      </c>
      <c r="G4742" s="9" t="n">
        <v>2</v>
      </c>
      <c r="H4742" s="21" t="n">
        <v>7.59</v>
      </c>
      <c r="I4742" s="21" t="n">
        <v>184.19</v>
      </c>
      <c r="J4742" s="21" t="n">
        <v>552.5700000000001</v>
      </c>
      <c r="K4742" s="21" t="n">
        <v>644.67</v>
      </c>
      <c r="L4742" s="21" t="n">
        <v>736.76</v>
      </c>
      <c r="M4742" s="21" t="n">
        <v>0</v>
      </c>
    </row>
    <row r="4743">
      <c r="A4743" s="9" t="inlineStr">
        <is>
          <t>NANCY</t>
        </is>
      </c>
      <c r="B4743" s="9" t="inlineStr">
        <is>
          <t>NANCY 31/05/2026</t>
        </is>
      </c>
      <c r="C4743" s="9" t="inlineStr">
        <is>
          <t>2026-05-31</t>
        </is>
      </c>
      <c r="D4743" s="9" t="inlineStr">
        <is>
          <t>76195311060109</t>
        </is>
      </c>
      <c r="E4743" s="9" t="inlineStr">
        <is>
          <t>PULSERA T KNOT DELGADA GOLD ZIRCONIAS</t>
        </is>
      </c>
      <c r="F4743" s="9" t="inlineStr">
        <is>
          <t>Default Title</t>
        </is>
      </c>
      <c r="G4743" s="9" t="n">
        <v>2</v>
      </c>
      <c r="H4743" s="21" t="n">
        <v>7.49</v>
      </c>
      <c r="I4743" s="21" t="n">
        <v>181.76</v>
      </c>
      <c r="J4743" s="21" t="n">
        <v>545.29</v>
      </c>
      <c r="K4743" s="21" t="n">
        <v>636.17</v>
      </c>
      <c r="L4743" s="21" t="n">
        <v>727.0599999999999</v>
      </c>
      <c r="M4743" s="21" t="n">
        <v>0</v>
      </c>
    </row>
    <row r="4744">
      <c r="A4744" s="9" t="inlineStr">
        <is>
          <t>NANCY</t>
        </is>
      </c>
      <c r="B4744" s="9" t="inlineStr">
        <is>
          <t>NANCY 31/05/2026</t>
        </is>
      </c>
      <c r="C4744" s="9" t="inlineStr">
        <is>
          <t>2026-05-31</t>
        </is>
      </c>
      <c r="D4744" s="9" t="inlineStr">
        <is>
          <t>76195311162349</t>
        </is>
      </c>
      <c r="E4744" s="9" t="inlineStr">
        <is>
          <t>PULSERA T KNOT DELGADA ROSEGOLD ZIRCONIAS</t>
        </is>
      </c>
      <c r="F4744" s="9" t="inlineStr">
        <is>
          <t>Default Title</t>
        </is>
      </c>
      <c r="G4744" s="9" t="n">
        <v>2</v>
      </c>
      <c r="H4744" s="21" t="n">
        <v>7.49</v>
      </c>
      <c r="I4744" s="21" t="n">
        <v>181.76</v>
      </c>
      <c r="J4744" s="21" t="n">
        <v>545.29</v>
      </c>
      <c r="K4744" s="21" t="n">
        <v>636.17</v>
      </c>
      <c r="L4744" s="21" t="n">
        <v>727.0599999999999</v>
      </c>
      <c r="M4744" s="21" t="n">
        <v>0</v>
      </c>
    </row>
    <row r="4745">
      <c r="A4745" s="9" t="inlineStr">
        <is>
          <t>NANCY</t>
        </is>
      </c>
      <c r="B4745" s="9" t="inlineStr">
        <is>
          <t>NANCY 31/05/2026</t>
        </is>
      </c>
      <c r="C4745" s="9" t="inlineStr">
        <is>
          <t>2026-05-31</t>
        </is>
      </c>
      <c r="D4745" s="9" t="inlineStr">
        <is>
          <t>68089823313165</t>
        </is>
      </c>
      <c r="E4745" s="9" t="inlineStr">
        <is>
          <t>PULSERA T KNOT DELGADA SILVER ALL ZIRCONIAS</t>
        </is>
      </c>
      <c r="F4745" s="9" t="inlineStr">
        <is>
          <t>Default Title</t>
        </is>
      </c>
      <c r="G4745" s="9" t="n">
        <v>2</v>
      </c>
      <c r="H4745" s="21" t="n">
        <v>7.99</v>
      </c>
      <c r="I4745" s="21" t="n">
        <v>193.9</v>
      </c>
      <c r="J4745" s="21" t="n">
        <v>581.6900000000001</v>
      </c>
      <c r="K4745" s="21" t="n">
        <v>678.64</v>
      </c>
      <c r="L4745" s="21" t="n">
        <v>775.59</v>
      </c>
      <c r="M4745" s="21" t="n">
        <v>0</v>
      </c>
    </row>
    <row r="4746">
      <c r="A4746" s="9" t="inlineStr">
        <is>
          <t>NANCY</t>
        </is>
      </c>
      <c r="B4746" s="9" t="inlineStr">
        <is>
          <t>NANCY 31/05/2026</t>
        </is>
      </c>
      <c r="C4746" s="9" t="inlineStr">
        <is>
          <t>2026-05-31</t>
        </is>
      </c>
      <c r="D4746" s="9" t="inlineStr">
        <is>
          <t>68089823403053</t>
        </is>
      </c>
      <c r="E4746" s="9" t="inlineStr">
        <is>
          <t>PULSERA T KNOT DELGADA SILVER ZIRCONIAS</t>
        </is>
      </c>
      <c r="F4746" s="9" t="inlineStr">
        <is>
          <t>Default Title</t>
        </is>
      </c>
      <c r="G4746" s="9" t="n">
        <v>2</v>
      </c>
      <c r="H4746" s="21" t="n">
        <v>7.49</v>
      </c>
      <c r="I4746" s="21" t="n">
        <v>181.76</v>
      </c>
      <c r="J4746" s="21" t="n">
        <v>545.29</v>
      </c>
      <c r="K4746" s="21" t="n">
        <v>636.17</v>
      </c>
      <c r="L4746" s="21" t="n">
        <v>727.0599999999999</v>
      </c>
      <c r="M4746" s="21" t="n">
        <v>0</v>
      </c>
    </row>
    <row r="4747">
      <c r="A4747" s="9" t="inlineStr">
        <is>
          <t>NANCY</t>
        </is>
      </c>
      <c r="B4747" s="9" t="inlineStr">
        <is>
          <t>NANCY 31/05/2026</t>
        </is>
      </c>
      <c r="C4747" s="9" t="inlineStr">
        <is>
          <t>2026-05-31</t>
        </is>
      </c>
      <c r="D4747" s="9" t="inlineStr">
        <is>
          <t>68089822818317</t>
        </is>
      </c>
      <c r="E4747" s="9" t="inlineStr">
        <is>
          <t>PULSERA T LOCK SILVER ALL ZIRCONIAS</t>
        </is>
      </c>
      <c r="F4747" s="9" t="inlineStr">
        <is>
          <t>Default Title</t>
        </is>
      </c>
      <c r="G4747" s="9" t="n">
        <v>2</v>
      </c>
      <c r="H4747" s="21" t="n">
        <v>14.39</v>
      </c>
      <c r="I4747" s="21" t="n">
        <v>349.21</v>
      </c>
      <c r="J4747" s="21" t="n">
        <v>1047.63</v>
      </c>
      <c r="K4747" s="21" t="n">
        <v>1222.24</v>
      </c>
      <c r="L4747" s="21" t="n">
        <v>1396.84</v>
      </c>
      <c r="M4747" s="21" t="n">
        <v>0</v>
      </c>
    </row>
    <row r="4748">
      <c r="A4748" s="9" t="inlineStr">
        <is>
          <t>NANCY</t>
        </is>
      </c>
      <c r="B4748" s="9" t="inlineStr">
        <is>
          <t>NANCY 31/05/2026</t>
        </is>
      </c>
      <c r="C4748" s="9" t="inlineStr">
        <is>
          <t>2026-05-31</t>
        </is>
      </c>
      <c r="D4748" s="9" t="inlineStr">
        <is>
          <t>665bd055d2452</t>
        </is>
      </c>
      <c r="E4748" s="9" t="inlineStr">
        <is>
          <t>PULSERA TB CON UNA INSIGNIA WHITE</t>
        </is>
      </c>
      <c r="F4748" s="9" t="inlineStr">
        <is>
          <t>17cm</t>
        </is>
      </c>
      <c r="G4748" s="9" t="n">
        <v>2</v>
      </c>
      <c r="H4748" s="21" t="n">
        <v>5.59</v>
      </c>
      <c r="I4748" s="21" t="n">
        <v>135.66</v>
      </c>
      <c r="J4748" s="21" t="n">
        <v>406.97</v>
      </c>
      <c r="K4748" s="21" t="n">
        <v>474.8</v>
      </c>
      <c r="L4748" s="21" t="n">
        <v>542.62</v>
      </c>
      <c r="M4748" s="21" t="n">
        <v>500</v>
      </c>
    </row>
    <row r="4749">
      <c r="A4749" s="9" t="inlineStr">
        <is>
          <t>NANCY</t>
        </is>
      </c>
      <c r="B4749" s="9" t="inlineStr">
        <is>
          <t>NANCY 31/05/2026</t>
        </is>
      </c>
      <c r="C4749" s="9" t="inlineStr">
        <is>
          <t>2026-05-31</t>
        </is>
      </c>
      <c r="D4749" s="9" t="inlineStr">
        <is>
          <t>665bd05b5a37f</t>
        </is>
      </c>
      <c r="E4749" s="9" t="inlineStr">
        <is>
          <t>PULSERA TB GOLD</t>
        </is>
      </c>
      <c r="F4749" s="9" t="inlineStr">
        <is>
          <t>17cm</t>
        </is>
      </c>
      <c r="G4749" s="9" t="n">
        <v>2</v>
      </c>
      <c r="H4749" s="21" t="n">
        <v>5.39</v>
      </c>
      <c r="I4749" s="21" t="n">
        <v>130.8</v>
      </c>
      <c r="J4749" s="21" t="n">
        <v>392.41</v>
      </c>
      <c r="K4749" s="21" t="n">
        <v>457.81</v>
      </c>
      <c r="L4749" s="21" t="n">
        <v>523.21</v>
      </c>
      <c r="M4749" s="21" t="n">
        <v>499</v>
      </c>
    </row>
    <row r="4750">
      <c r="A4750" s="9" t="inlineStr">
        <is>
          <t>NANCY</t>
        </is>
      </c>
      <c r="B4750" s="9" t="inlineStr">
        <is>
          <t>NANCY 31/05/2026</t>
        </is>
      </c>
      <c r="C4750" s="9" t="inlineStr">
        <is>
          <t>2026-05-31</t>
        </is>
      </c>
      <c r="D4750" s="9" t="inlineStr">
        <is>
          <t>71288021885421</t>
        </is>
      </c>
      <c r="E4750" s="9" t="inlineStr">
        <is>
          <t>PULSERA VF ALHAMBRA ROSE GOLD-RED</t>
        </is>
      </c>
      <c r="F4750" s="9" t="inlineStr">
        <is>
          <t>Default Title</t>
        </is>
      </c>
      <c r="G4750" s="9" t="n">
        <v>2</v>
      </c>
      <c r="H4750" s="21" t="n">
        <v>8.59</v>
      </c>
      <c r="I4750" s="21" t="n">
        <v>208.46</v>
      </c>
      <c r="J4750" s="21" t="n">
        <v>625.38</v>
      </c>
      <c r="K4750" s="21" t="n">
        <v>729.61</v>
      </c>
      <c r="L4750" s="21" t="n">
        <v>833.83</v>
      </c>
      <c r="M4750" s="21" t="n">
        <v>0</v>
      </c>
    </row>
    <row r="4751">
      <c r="A4751" s="9" t="inlineStr">
        <is>
          <t>NANCY</t>
        </is>
      </c>
      <c r="B4751" s="9" t="inlineStr">
        <is>
          <t>NANCY 31/05/2026</t>
        </is>
      </c>
      <c r="C4751" s="9" t="inlineStr">
        <is>
          <t>2026-05-31</t>
        </is>
      </c>
      <c r="D4751" s="9" t="inlineStr">
        <is>
          <t>71288021950957</t>
        </is>
      </c>
      <c r="E4751" s="9" t="inlineStr">
        <is>
          <t>PULSERA VF FRIVOLE GOLD</t>
        </is>
      </c>
      <c r="F4751" s="9" t="inlineStr">
        <is>
          <t>Default Title</t>
        </is>
      </c>
      <c r="G4751" s="9" t="n">
        <v>2</v>
      </c>
      <c r="H4751" s="21" t="n">
        <v>5.99</v>
      </c>
      <c r="I4751" s="21" t="n">
        <v>145.36</v>
      </c>
      <c r="J4751" s="21" t="n">
        <v>436.09</v>
      </c>
      <c r="K4751" s="21" t="n">
        <v>508.77</v>
      </c>
      <c r="L4751" s="21" t="n">
        <v>581.45</v>
      </c>
      <c r="M4751" s="21" t="n">
        <v>0</v>
      </c>
    </row>
    <row r="4752">
      <c r="A4752" s="9" t="inlineStr">
        <is>
          <t>NANCY</t>
        </is>
      </c>
      <c r="B4752" s="9" t="inlineStr">
        <is>
          <t>NANCY 31/05/2026</t>
        </is>
      </c>
      <c r="C4752" s="9" t="inlineStr">
        <is>
          <t>2026-05-31</t>
        </is>
      </c>
      <c r="D4752" s="9" t="inlineStr">
        <is>
          <t>71288021719885</t>
        </is>
      </c>
      <c r="E4752" s="9" t="inlineStr">
        <is>
          <t>PULSERA VF HALF VINTAGE ALHAMBRA</t>
        </is>
      </c>
      <c r="F4752" s="9" t="inlineStr">
        <is>
          <t>Default Title</t>
        </is>
      </c>
      <c r="G4752" s="9" t="n">
        <v>2</v>
      </c>
      <c r="H4752" s="21" t="n">
        <v>8.59</v>
      </c>
      <c r="I4752" s="21" t="n">
        <v>208.46</v>
      </c>
      <c r="J4752" s="21" t="n">
        <v>625.38</v>
      </c>
      <c r="K4752" s="21" t="n">
        <v>729.61</v>
      </c>
      <c r="L4752" s="21" t="n">
        <v>833.83</v>
      </c>
      <c r="M4752" s="21" t="n">
        <v>0</v>
      </c>
    </row>
    <row r="4753">
      <c r="A4753" s="9" t="inlineStr">
        <is>
          <t>NANCY</t>
        </is>
      </c>
      <c r="B4753" s="9" t="inlineStr">
        <is>
          <t>NANCY 31/05/2026</t>
        </is>
      </c>
      <c r="C4753" s="9" t="inlineStr">
        <is>
          <t>2026-05-31</t>
        </is>
      </c>
      <c r="D4753" s="9" t="inlineStr">
        <is>
          <t>42981908742285</t>
        </is>
      </c>
      <c r="E4753" s="9" t="inlineStr">
        <is>
          <t>SET DE COLLAR Y PULSERA CORAZÓN</t>
        </is>
      </c>
      <c r="F4753" s="9" t="inlineStr">
        <is>
          <t>47 cm / 15 cm</t>
        </is>
      </c>
      <c r="G4753" s="9" t="n">
        <v>5</v>
      </c>
      <c r="H4753" s="21" t="n">
        <v>18.58</v>
      </c>
      <c r="I4753" s="21" t="n">
        <v>450.89</v>
      </c>
      <c r="J4753" s="21" t="n">
        <v>1352.68</v>
      </c>
      <c r="K4753" s="21" t="n">
        <v>1578.12</v>
      </c>
      <c r="L4753" s="21" t="n">
        <v>1803.57</v>
      </c>
      <c r="M4753" s="21" t="n">
        <v>1228</v>
      </c>
    </row>
    <row r="4754">
      <c r="A4754" s="9" t="inlineStr">
        <is>
          <t>NANCY</t>
        </is>
      </c>
      <c r="B4754" s="9" t="inlineStr">
        <is>
          <t>NANCY 31/05/2026</t>
        </is>
      </c>
      <c r="C4754" s="9" t="inlineStr">
        <is>
          <t>2026-05-31</t>
        </is>
      </c>
      <c r="D4754" s="9" t="inlineStr">
        <is>
          <t>58980701348365</t>
        </is>
      </c>
      <c r="E4754" s="9" t="inlineStr">
        <is>
          <t>TARJETERO CC CLASSIC CON CREMALLERA</t>
        </is>
      </c>
      <c r="F4754" s="9" t="inlineStr">
        <is>
          <t>Default Title</t>
        </is>
      </c>
      <c r="G4754" s="9" t="n">
        <v>2</v>
      </c>
      <c r="H4754" s="21" t="n">
        <v>17.59</v>
      </c>
      <c r="I4754" s="21" t="n">
        <v>426.87</v>
      </c>
      <c r="J4754" s="21" t="n">
        <v>1280.6</v>
      </c>
      <c r="K4754" s="21" t="n">
        <v>1494.03</v>
      </c>
      <c r="L4754" s="21" t="n">
        <v>1707.47</v>
      </c>
      <c r="M4754" s="21" t="n">
        <v>0</v>
      </c>
    </row>
    <row r="4755">
      <c r="A4755" s="9" t="inlineStr">
        <is>
          <t>NANCY</t>
        </is>
      </c>
      <c r="B4755" s="9" t="inlineStr">
        <is>
          <t>NANCY 31/05/2026</t>
        </is>
      </c>
      <c r="C4755" s="9" t="inlineStr">
        <is>
          <t>2026-05-31</t>
        </is>
      </c>
      <c r="D4755" s="9" t="inlineStr">
        <is>
          <t>58980701120685</t>
        </is>
      </c>
      <c r="E4755" s="9" t="inlineStr">
        <is>
          <t>TARJETERO LV CHARMS PINK</t>
        </is>
      </c>
      <c r="F4755" s="9" t="inlineStr">
        <is>
          <t>Default Title</t>
        </is>
      </c>
      <c r="G4755" s="9" t="n">
        <v>1</v>
      </c>
      <c r="H4755" s="21" t="n">
        <v>14.79</v>
      </c>
      <c r="I4755" s="21" t="n">
        <v>358.92</v>
      </c>
      <c r="J4755" s="21" t="n">
        <v>1076.75</v>
      </c>
      <c r="K4755" s="21" t="n">
        <v>1256.21</v>
      </c>
      <c r="L4755" s="21" t="n">
        <v>1435.67</v>
      </c>
      <c r="M4755" s="21" t="n">
        <v>0</v>
      </c>
    </row>
    <row r="4756">
      <c r="A4756" s="9" t="inlineStr">
        <is>
          <t>NANCY</t>
        </is>
      </c>
      <c r="B4756" s="9" t="inlineStr">
        <is>
          <t>NANCY 31/05/2026</t>
        </is>
      </c>
      <c r="C4756" s="9" t="inlineStr">
        <is>
          <t>2026-05-31</t>
        </is>
      </c>
      <c r="D4756" s="9" t="inlineStr">
        <is>
          <t>58980701022381</t>
        </is>
      </c>
      <c r="E4756" s="9" t="inlineStr">
        <is>
          <t>TARJETERO LV ENVELOPE</t>
        </is>
      </c>
      <c r="F4756" s="9" t="inlineStr">
        <is>
          <t>Default Title</t>
        </is>
      </c>
      <c r="G4756" s="9" t="n">
        <v>2</v>
      </c>
      <c r="H4756" s="21" t="n">
        <v>14.39</v>
      </c>
      <c r="I4756" s="21" t="n">
        <v>349.21</v>
      </c>
      <c r="J4756" s="21" t="n">
        <v>1047.63</v>
      </c>
      <c r="K4756" s="21" t="n">
        <v>1222.24</v>
      </c>
      <c r="L4756" s="21" t="n">
        <v>1396.84</v>
      </c>
      <c r="M4756" s="21" t="n">
        <v>0</v>
      </c>
    </row>
    <row r="4757">
      <c r="A4757" s="9" t="inlineStr">
        <is>
          <t>NANCY</t>
        </is>
      </c>
      <c r="B4757" s="9" t="inlineStr">
        <is>
          <t>NANCY 31/05/2026</t>
        </is>
      </c>
      <c r="C4757" s="9" t="inlineStr">
        <is>
          <t>2026-05-31</t>
        </is>
      </c>
      <c r="D4757" s="9" t="inlineStr">
        <is>
          <t>58980701284525</t>
        </is>
      </c>
      <c r="E4757" s="9" t="inlineStr">
        <is>
          <t>TARJETERO LV SLIM G69</t>
        </is>
      </c>
      <c r="F4757" s="9" t="inlineStr">
        <is>
          <t>Default Title</t>
        </is>
      </c>
      <c r="G4757" s="9" t="n">
        <v>2</v>
      </c>
      <c r="H4757" s="21" t="n">
        <v>15.59</v>
      </c>
      <c r="I4757" s="21" t="n">
        <v>378.33</v>
      </c>
      <c r="J4757" s="21" t="n">
        <v>1135</v>
      </c>
      <c r="K4757" s="21" t="n">
        <v>1324.16</v>
      </c>
      <c r="L4757" s="21" t="n">
        <v>1513.33</v>
      </c>
      <c r="M4757" s="21" t="n">
        <v>0</v>
      </c>
    </row>
    <row r="4758">
      <c r="A4758" s="9" t="inlineStr">
        <is>
          <t>ZOEY</t>
        </is>
      </c>
      <c r="B4758" s="9" t="inlineStr">
        <is>
          <t>ZOEY 08/06/2026</t>
        </is>
      </c>
      <c r="C4758" s="9" t="inlineStr">
        <is>
          <t>2026-06-08</t>
        </is>
      </c>
      <c r="D4758" s="9" t="inlineStr">
        <is>
          <t>REYNA</t>
        </is>
      </c>
      <c r="E4758" s="9" t="inlineStr"/>
      <c r="F4758" s="9" t="inlineStr"/>
      <c r="G4758" s="9" t="n">
        <v>1</v>
      </c>
      <c r="H4758" s="21" t="n">
        <v>18</v>
      </c>
      <c r="I4758" s="21" t="n">
        <v>441.21</v>
      </c>
      <c r="J4758" s="21" t="n"/>
      <c r="K4758" s="21" t="n"/>
      <c r="L4758" s="21" t="n"/>
      <c r="M4758" s="21" t="n"/>
    </row>
    <row r="4759">
      <c r="A4759" s="9" t="inlineStr">
        <is>
          <t>ZOEY</t>
        </is>
      </c>
      <c r="B4759" s="9" t="inlineStr">
        <is>
          <t>ZOEY 08/06/2026</t>
        </is>
      </c>
      <c r="C4759" s="9" t="inlineStr">
        <is>
          <t>2026-06-08</t>
        </is>
      </c>
      <c r="D4759" s="9" t="inlineStr">
        <is>
          <t>REYNA</t>
        </is>
      </c>
      <c r="E4759" s="9" t="inlineStr"/>
      <c r="F4759" s="9" t="inlineStr"/>
      <c r="G4759" s="9" t="n">
        <v>1</v>
      </c>
      <c r="H4759" s="21" t="n">
        <v>18</v>
      </c>
      <c r="I4759" s="21" t="n">
        <v>441.21</v>
      </c>
      <c r="J4759" s="21" t="n"/>
      <c r="K4759" s="21" t="n"/>
      <c r="L4759" s="21" t="n"/>
      <c r="M4759" s="21" t="n"/>
    </row>
    <row r="4760">
      <c r="A4760" s="9" t="inlineStr">
        <is>
          <t>ZOEY</t>
        </is>
      </c>
      <c r="B4760" s="9" t="inlineStr">
        <is>
          <t>ZOEY 08/06/2026</t>
        </is>
      </c>
      <c r="C4760" s="9" t="inlineStr">
        <is>
          <t>2026-06-08</t>
        </is>
      </c>
      <c r="D4760" s="9" t="inlineStr">
        <is>
          <t>DANAHE</t>
        </is>
      </c>
      <c r="E4760" s="9" t="inlineStr"/>
      <c r="F4760" s="9" t="inlineStr"/>
      <c r="G4760" s="9" t="n">
        <v>1</v>
      </c>
      <c r="H4760" s="21" t="n">
        <v>21</v>
      </c>
      <c r="I4760" s="21" t="n">
        <v>514.74</v>
      </c>
      <c r="J4760" s="21" t="n"/>
      <c r="K4760" s="21" t="n"/>
      <c r="L4760" s="21" t="n"/>
      <c r="M4760" s="21" t="n"/>
    </row>
    <row r="4761">
      <c r="A4761" s="9" t="inlineStr">
        <is>
          <t>ZOEY</t>
        </is>
      </c>
      <c r="B4761" s="9" t="inlineStr">
        <is>
          <t>ZOEY 08/06/2026</t>
        </is>
      </c>
      <c r="C4761" s="9" t="inlineStr">
        <is>
          <t>2026-06-08</t>
        </is>
      </c>
      <c r="D4761" s="9" t="inlineStr">
        <is>
          <t>CELESTE</t>
        </is>
      </c>
      <c r="E4761" s="9" t="inlineStr"/>
      <c r="F4761" s="9" t="inlineStr"/>
      <c r="G4761" s="9" t="n">
        <v>1</v>
      </c>
      <c r="H4761" s="21" t="n">
        <v>18</v>
      </c>
      <c r="I4761" s="21" t="n">
        <v>441.21</v>
      </c>
      <c r="J4761" s="21" t="n"/>
      <c r="K4761" s="21" t="n"/>
      <c r="L4761" s="21" t="n"/>
      <c r="M4761" s="21" t="n"/>
    </row>
    <row r="4762">
      <c r="A4762" s="9" t="inlineStr">
        <is>
          <t>ZOEY</t>
        </is>
      </c>
      <c r="B4762" s="9" t="inlineStr">
        <is>
          <t>ZOEY 08/06/2026</t>
        </is>
      </c>
      <c r="C4762" s="9" t="inlineStr">
        <is>
          <t>2026-06-08</t>
        </is>
      </c>
      <c r="D4762" s="9" t="inlineStr">
        <is>
          <t>83445961082989</t>
        </is>
      </c>
      <c r="E4762" s="9" t="inlineStr">
        <is>
          <t>ARETES GC MARMONT GOLD CON PERLA</t>
        </is>
      </c>
      <c r="F4762" s="9" t="inlineStr">
        <is>
          <t>Default Title</t>
        </is>
      </c>
      <c r="G4762" s="9" t="n">
        <v>6</v>
      </c>
      <c r="H4762" s="21" t="n">
        <v>8</v>
      </c>
      <c r="I4762" s="21" t="n">
        <v>196.09</v>
      </c>
      <c r="J4762" s="21" t="n">
        <v>588.27</v>
      </c>
      <c r="K4762" s="21" t="n">
        <v>686.3200000000001</v>
      </c>
      <c r="L4762" s="21" t="n">
        <v>784.37</v>
      </c>
      <c r="M4762" s="21" t="n">
        <v>779</v>
      </c>
    </row>
    <row r="4763">
      <c r="A4763" s="9" t="inlineStr">
        <is>
          <t>ZOEY</t>
        </is>
      </c>
      <c r="B4763" s="9" t="inlineStr">
        <is>
          <t>ZOEY 08/06/2026</t>
        </is>
      </c>
      <c r="C4763" s="9" t="inlineStr">
        <is>
          <t>2026-06-08</t>
        </is>
      </c>
      <c r="D4763" s="9" t="inlineStr">
        <is>
          <t>77275241042893</t>
        </is>
      </c>
      <c r="E4763" s="9" t="inlineStr">
        <is>
          <t>ARETES MM HEART GOLD WHITE</t>
        </is>
      </c>
      <c r="F4763" s="9" t="inlineStr">
        <is>
          <t>2cm</t>
        </is>
      </c>
      <c r="G4763" s="9" t="n">
        <v>5</v>
      </c>
      <c r="H4763" s="21" t="n">
        <v>8</v>
      </c>
      <c r="I4763" s="21" t="n">
        <v>196.09</v>
      </c>
      <c r="J4763" s="21" t="n">
        <v>588.27</v>
      </c>
      <c r="K4763" s="21" t="n">
        <v>686.3200000000001</v>
      </c>
      <c r="L4763" s="21" t="n">
        <v>784.37</v>
      </c>
      <c r="M4763" s="21" t="n">
        <v>850</v>
      </c>
    </row>
    <row r="4764">
      <c r="A4764" s="9" t="inlineStr">
        <is>
          <t>ZOEY</t>
        </is>
      </c>
      <c r="B4764" s="9" t="inlineStr">
        <is>
          <t>ZOEY 08/06/2026</t>
        </is>
      </c>
      <c r="C4764" s="9" t="inlineStr">
        <is>
          <t>2026-06-08</t>
        </is>
      </c>
      <c r="D4764" s="9" t="inlineStr">
        <is>
          <t>82310551082381</t>
        </is>
      </c>
      <c r="E4764" s="9" t="inlineStr">
        <is>
          <t>ARRACADAS F LOGO GOLD</t>
        </is>
      </c>
      <c r="F4764" s="9" t="inlineStr">
        <is>
          <t>Default Title</t>
        </is>
      </c>
      <c r="G4764" s="9" t="n">
        <v>3</v>
      </c>
      <c r="H4764" s="21" t="n">
        <v>9</v>
      </c>
      <c r="I4764" s="21" t="n">
        <v>220.6</v>
      </c>
      <c r="J4764" s="21" t="n">
        <v>661.8099999999999</v>
      </c>
      <c r="K4764" s="21" t="n">
        <v>772.11</v>
      </c>
      <c r="L4764" s="21" t="n">
        <v>882.41</v>
      </c>
      <c r="M4764" s="21" t="n">
        <v>876</v>
      </c>
    </row>
    <row r="4765">
      <c r="A4765" s="9" t="inlineStr">
        <is>
          <t>ZOEY</t>
        </is>
      </c>
      <c r="B4765" s="9" t="inlineStr">
        <is>
          <t>ZOEY 08/06/2026</t>
        </is>
      </c>
      <c r="C4765" s="9" t="inlineStr">
        <is>
          <t>2026-06-08</t>
        </is>
      </c>
      <c r="D4765" s="9" t="inlineStr">
        <is>
          <t>76327071018669</t>
        </is>
      </c>
      <c r="E4765" s="9" t="inlineStr">
        <is>
          <t>ARRACADAS SERPENTI VIPPER GOLD CON ZIRCONIA</t>
        </is>
      </c>
      <c r="F4765" s="9" t="inlineStr">
        <is>
          <t>Default Title</t>
        </is>
      </c>
      <c r="G4765" s="9" t="n">
        <v>5</v>
      </c>
      <c r="H4765" s="21" t="n">
        <v>9</v>
      </c>
      <c r="I4765" s="21" t="n">
        <v>220.6</v>
      </c>
      <c r="J4765" s="21" t="n">
        <v>661.8099999999999</v>
      </c>
      <c r="K4765" s="21" t="n">
        <v>772.11</v>
      </c>
      <c r="L4765" s="21" t="n">
        <v>882.41</v>
      </c>
      <c r="M4765" s="21" t="n">
        <v>876</v>
      </c>
    </row>
    <row r="4766">
      <c r="A4766" s="9" t="inlineStr">
        <is>
          <t>ZOEY</t>
        </is>
      </c>
      <c r="B4766" s="9" t="inlineStr">
        <is>
          <t>ZOEY 08/06/2026</t>
        </is>
      </c>
      <c r="C4766" s="9" t="inlineStr">
        <is>
          <t>2026-06-08</t>
        </is>
      </c>
      <c r="D4766" s="9" t="inlineStr">
        <is>
          <t>GISEL</t>
        </is>
      </c>
      <c r="E4766" s="9" t="inlineStr">
        <is>
          <t>BALLERINAS CC BEIGE BLACK</t>
        </is>
      </c>
      <c r="F4766" s="9" t="inlineStr">
        <is>
          <t>36/24MX</t>
        </is>
      </c>
      <c r="G4766" s="9" t="n">
        <v>1</v>
      </c>
      <c r="H4766" s="21" t="n">
        <v>55</v>
      </c>
      <c r="I4766" s="21" t="n">
        <v>1348.13</v>
      </c>
      <c r="J4766" s="21" t="n"/>
      <c r="K4766" s="21" t="n"/>
      <c r="L4766" s="21" t="n"/>
      <c r="M4766" s="21" t="n"/>
    </row>
    <row r="4767">
      <c r="A4767" s="9" t="inlineStr">
        <is>
          <t>ZOEY</t>
        </is>
      </c>
      <c r="B4767" s="9" t="inlineStr">
        <is>
          <t>ZOEY 08/06/2026</t>
        </is>
      </c>
      <c r="C4767" s="9" t="inlineStr">
        <is>
          <t>2026-06-08</t>
        </is>
      </c>
      <c r="D4767" s="9" t="inlineStr">
        <is>
          <t>24780442908333</t>
        </is>
      </c>
      <c r="E4767" s="9" t="inlineStr">
        <is>
          <t>BALLERINAS CC COCO MARK</t>
        </is>
      </c>
      <c r="F4767" s="9" t="inlineStr">
        <is>
          <t>38/25MX</t>
        </is>
      </c>
      <c r="G4767" s="9" t="n">
        <v>1</v>
      </c>
      <c r="H4767" s="21" t="n">
        <v>60</v>
      </c>
      <c r="I4767" s="21" t="n">
        <v>1470.69</v>
      </c>
      <c r="J4767" s="21" t="n">
        <v>4412.06</v>
      </c>
      <c r="K4767" s="21" t="n">
        <v>5147.4</v>
      </c>
      <c r="L4767" s="21" t="n">
        <v>5882.74</v>
      </c>
      <c r="M4767" s="21" t="n">
        <v>5888</v>
      </c>
    </row>
    <row r="4768">
      <c r="A4768" s="9" t="inlineStr">
        <is>
          <t>ZOEY</t>
        </is>
      </c>
      <c r="B4768" s="9" t="inlineStr">
        <is>
          <t>ZOEY 08/06/2026</t>
        </is>
      </c>
      <c r="C4768" s="9" t="inlineStr">
        <is>
          <t>2026-06-08</t>
        </is>
      </c>
      <c r="D4768" s="9" t="inlineStr">
        <is>
          <t>24780443041101</t>
        </is>
      </c>
      <c r="E4768" s="9" t="inlineStr">
        <is>
          <t>BALLERINAS CC COCO MARK</t>
        </is>
      </c>
      <c r="F4768" s="9" t="inlineStr">
        <is>
          <t>35/254MX</t>
        </is>
      </c>
      <c r="G4768" s="9" t="n">
        <v>1</v>
      </c>
      <c r="H4768" s="21" t="n">
        <v>60</v>
      </c>
      <c r="I4768" s="21" t="n">
        <v>1470.69</v>
      </c>
      <c r="J4768" s="21" t="n">
        <v>4412.06</v>
      </c>
      <c r="K4768" s="21" t="n">
        <v>5147.4</v>
      </c>
      <c r="L4768" s="21" t="n">
        <v>5882.74</v>
      </c>
      <c r="M4768" s="21" t="n">
        <v>5849</v>
      </c>
    </row>
    <row r="4769">
      <c r="A4769" s="9" t="inlineStr">
        <is>
          <t>ZOEY</t>
        </is>
      </c>
      <c r="B4769" s="9" t="inlineStr">
        <is>
          <t>ZOEY 08/06/2026</t>
        </is>
      </c>
      <c r="C4769" s="9" t="inlineStr">
        <is>
          <t>2026-06-08</t>
        </is>
      </c>
      <c r="D4769" s="9" t="inlineStr">
        <is>
          <t>93378841221933</t>
        </is>
      </c>
      <c r="E4769" s="9" t="inlineStr">
        <is>
          <t>BALLERINAS LV BROWN CON INSIGNIAS</t>
        </is>
      </c>
      <c r="F4769" s="9" t="inlineStr">
        <is>
          <t>24cm</t>
        </is>
      </c>
      <c r="G4769" s="9" t="n">
        <v>2</v>
      </c>
      <c r="H4769" s="21" t="n">
        <v>68</v>
      </c>
      <c r="I4769" s="21" t="n">
        <v>1666.78</v>
      </c>
      <c r="J4769" s="21" t="n">
        <v>5000.33</v>
      </c>
      <c r="K4769" s="21" t="n">
        <v>5833.72</v>
      </c>
      <c r="L4769" s="21" t="n">
        <v>6667.11</v>
      </c>
      <c r="M4769" s="21" t="n">
        <v>6599</v>
      </c>
    </row>
    <row r="4770">
      <c r="A4770" s="9" t="inlineStr">
        <is>
          <t>ZOEY</t>
        </is>
      </c>
      <c r="B4770" s="9" t="inlineStr">
        <is>
          <t>ZOEY 08/06/2026</t>
        </is>
      </c>
      <c r="C4770" s="9" t="inlineStr">
        <is>
          <t>2026-06-08</t>
        </is>
      </c>
      <c r="D4770" s="9" t="inlineStr">
        <is>
          <t>93378841354701</t>
        </is>
      </c>
      <c r="E4770" s="9" t="inlineStr">
        <is>
          <t>BALLERINAS LV BROWN CON INSIGNIAS</t>
        </is>
      </c>
      <c r="F4770" s="9" t="inlineStr">
        <is>
          <t>25cm</t>
        </is>
      </c>
      <c r="G4770" s="9" t="n">
        <v>2</v>
      </c>
      <c r="H4770" s="21" t="n">
        <v>68</v>
      </c>
      <c r="I4770" s="21" t="n">
        <v>1666.78</v>
      </c>
      <c r="J4770" s="21" t="n">
        <v>5000.33</v>
      </c>
      <c r="K4770" s="21" t="n">
        <v>5833.72</v>
      </c>
      <c r="L4770" s="21" t="n">
        <v>6667.11</v>
      </c>
      <c r="M4770" s="21" t="n">
        <v>6669</v>
      </c>
    </row>
    <row r="4771">
      <c r="A4771" s="9" t="inlineStr">
        <is>
          <t>ZOEY</t>
        </is>
      </c>
      <c r="B4771" s="9" t="inlineStr">
        <is>
          <t>ZOEY 08/06/2026</t>
        </is>
      </c>
      <c r="C4771" s="9" t="inlineStr">
        <is>
          <t>2026-06-08</t>
        </is>
      </c>
      <c r="D4771" s="9" t="inlineStr">
        <is>
          <t>73626631067117</t>
        </is>
      </c>
      <c r="E4771" s="9" t="inlineStr">
        <is>
          <t>BOLSA DE MANO G GREEN</t>
        </is>
      </c>
      <c r="F4771" s="9" t="inlineStr">
        <is>
          <t>Default Title</t>
        </is>
      </c>
      <c r="G4771" s="9" t="n">
        <v>3</v>
      </c>
      <c r="H4771" s="21" t="n">
        <v>35</v>
      </c>
      <c r="I4771" s="21" t="n">
        <v>857.9</v>
      </c>
      <c r="J4771" s="21" t="n">
        <v>2573.7</v>
      </c>
      <c r="K4771" s="21" t="n">
        <v>3002.65</v>
      </c>
      <c r="L4771" s="21" t="n">
        <v>3431.6</v>
      </c>
      <c r="M4771" s="21" t="n">
        <v>3399</v>
      </c>
    </row>
    <row r="4772">
      <c r="A4772" s="9" t="inlineStr">
        <is>
          <t>ZOEY</t>
        </is>
      </c>
      <c r="B4772" s="9" t="inlineStr">
        <is>
          <t>ZOEY 08/06/2026</t>
        </is>
      </c>
      <c r="C4772" s="9" t="inlineStr">
        <is>
          <t>2026-06-08</t>
        </is>
      </c>
      <c r="D4772" s="9" t="inlineStr">
        <is>
          <t>DANAHE</t>
        </is>
      </c>
      <c r="E4772" s="9" t="inlineStr">
        <is>
          <t>BOLSA GC WHITE</t>
        </is>
      </c>
      <c r="F4772" s="9" t="inlineStr"/>
      <c r="G4772" s="9" t="n">
        <v>1</v>
      </c>
      <c r="H4772" s="21" t="n">
        <v>56</v>
      </c>
      <c r="I4772" s="21" t="n">
        <v>1372.64</v>
      </c>
      <c r="J4772" s="21" t="n"/>
      <c r="K4772" s="21" t="n"/>
      <c r="L4772" s="21" t="n"/>
      <c r="M4772" s="21" t="n"/>
    </row>
    <row r="4773">
      <c r="A4773" s="9" t="inlineStr">
        <is>
          <t>ZOEY</t>
        </is>
      </c>
      <c r="B4773" s="9" t="inlineStr">
        <is>
          <t>ZOEY 08/06/2026</t>
        </is>
      </c>
      <c r="C4773" s="9" t="inlineStr">
        <is>
          <t>2026-06-08</t>
        </is>
      </c>
      <c r="D4773" s="9" t="inlineStr">
        <is>
          <t>62571331097101</t>
        </is>
      </c>
      <c r="E4773" s="9" t="inlineStr">
        <is>
          <t>BOLSA LLM BLACK</t>
        </is>
      </c>
      <c r="F4773" s="9" t="inlineStr">
        <is>
          <t>Default Title</t>
        </is>
      </c>
      <c r="G4773" s="9" t="n">
        <v>1</v>
      </c>
      <c r="H4773" s="21" t="n">
        <v>8</v>
      </c>
      <c r="I4773" s="21" t="n">
        <v>196.09</v>
      </c>
      <c r="J4773" s="21" t="n">
        <v>588.27</v>
      </c>
      <c r="K4773" s="21" t="n">
        <v>686.3200000000001</v>
      </c>
      <c r="L4773" s="21" t="n">
        <v>784.37</v>
      </c>
      <c r="M4773" s="21" t="n">
        <v>785</v>
      </c>
    </row>
    <row r="4774">
      <c r="A4774" s="9" t="inlineStr">
        <is>
          <t>ZOEY</t>
        </is>
      </c>
      <c r="B4774" s="9" t="inlineStr">
        <is>
          <t>ZOEY 08/06/2026</t>
        </is>
      </c>
      <c r="C4774" s="9" t="inlineStr">
        <is>
          <t>2026-06-08</t>
        </is>
      </c>
      <c r="D4774" s="9" t="inlineStr">
        <is>
          <t>24780442420877</t>
        </is>
      </c>
      <c r="E4774" s="9" t="inlineStr">
        <is>
          <t>BOLSO C N°25 DENIM</t>
        </is>
      </c>
      <c r="F4774" s="9" t="inlineStr"/>
      <c r="G4774" s="9" t="n">
        <v>2</v>
      </c>
      <c r="H4774" s="21" t="n">
        <v>65</v>
      </c>
      <c r="I4774" s="21" t="n">
        <v>1593.24</v>
      </c>
      <c r="J4774" s="21" t="n">
        <v>4779.73</v>
      </c>
      <c r="K4774" s="21" t="n">
        <v>5576.35</v>
      </c>
      <c r="L4774" s="21" t="n">
        <v>6372.97</v>
      </c>
      <c r="M4774" s="21" t="n">
        <v>6339</v>
      </c>
    </row>
    <row r="4775">
      <c r="A4775" s="9" t="inlineStr">
        <is>
          <t>ZOEY</t>
        </is>
      </c>
      <c r="B4775" s="9" t="inlineStr">
        <is>
          <t>ZOEY 08/06/2026</t>
        </is>
      </c>
      <c r="C4775" s="9" t="inlineStr">
        <is>
          <t>2026-06-08</t>
        </is>
      </c>
      <c r="D4775" s="9" t="inlineStr">
        <is>
          <t>24780442584717</t>
        </is>
      </c>
      <c r="E4775" s="9" t="inlineStr">
        <is>
          <t>BOLSO C N°25 GOLD</t>
        </is>
      </c>
      <c r="F4775" s="9" t="inlineStr"/>
      <c r="G4775" s="9" t="n">
        <v>2</v>
      </c>
      <c r="H4775" s="21" t="n">
        <v>65</v>
      </c>
      <c r="I4775" s="21" t="n">
        <v>1593.24</v>
      </c>
      <c r="J4775" s="21" t="n">
        <v>4779.73</v>
      </c>
      <c r="K4775" s="21" t="n">
        <v>5576.35</v>
      </c>
      <c r="L4775" s="21" t="n">
        <v>6372.97</v>
      </c>
      <c r="M4775" s="21" t="n">
        <v>6000</v>
      </c>
    </row>
    <row r="4776">
      <c r="A4776" s="9" t="inlineStr">
        <is>
          <t>ZOEY</t>
        </is>
      </c>
      <c r="B4776" s="9" t="inlineStr">
        <is>
          <t>ZOEY 08/06/2026</t>
        </is>
      </c>
      <c r="C4776" s="9" t="inlineStr">
        <is>
          <t>2026-06-08</t>
        </is>
      </c>
      <c r="D4776" s="9" t="inlineStr">
        <is>
          <t>64571791072897</t>
        </is>
      </c>
      <c r="E4776" s="9" t="inlineStr">
        <is>
          <t>BOLSO CC BLACK</t>
        </is>
      </c>
      <c r="F4776" s="9" t="inlineStr">
        <is>
          <t>25cm de largo x 17cm de alto x 6cm de ancho</t>
        </is>
      </c>
      <c r="G4776" s="9" t="n">
        <v>8</v>
      </c>
      <c r="H4776" s="21" t="n">
        <v>48</v>
      </c>
      <c r="I4776" s="21" t="n">
        <v>1176.55</v>
      </c>
      <c r="J4776" s="21" t="n">
        <v>3529.65</v>
      </c>
      <c r="K4776" s="21" t="n">
        <v>4117.92</v>
      </c>
      <c r="L4776" s="21" t="n">
        <v>4706.2</v>
      </c>
      <c r="M4776" s="21" t="n">
        <v>4699</v>
      </c>
    </row>
    <row r="4777">
      <c r="A4777" s="9" t="inlineStr">
        <is>
          <t>ZOEY</t>
        </is>
      </c>
      <c r="B4777" s="9" t="inlineStr">
        <is>
          <t>ZOEY 08/06/2026</t>
        </is>
      </c>
      <c r="C4777" s="9" t="inlineStr">
        <is>
          <t>2026-06-08</t>
        </is>
      </c>
      <c r="D4777" s="9" t="inlineStr">
        <is>
          <t>24780442777933</t>
        </is>
      </c>
      <c r="E4777" s="9" t="inlineStr">
        <is>
          <t>BOLSO CC CLUTCH WHITE PEARL</t>
        </is>
      </c>
      <c r="F4777" s="9" t="inlineStr"/>
      <c r="G4777" s="9" t="n">
        <v>2</v>
      </c>
      <c r="H4777" s="21" t="n">
        <v>58</v>
      </c>
      <c r="I4777" s="21" t="n">
        <v>1421.66</v>
      </c>
      <c r="J4777" s="21" t="n">
        <v>4264.99</v>
      </c>
      <c r="K4777" s="21" t="n">
        <v>4975.82</v>
      </c>
      <c r="L4777" s="21" t="n">
        <v>5686.65</v>
      </c>
      <c r="M4777" s="21" t="n">
        <v>5649</v>
      </c>
    </row>
    <row r="4778">
      <c r="A4778" s="9" t="inlineStr">
        <is>
          <t>ZOEY</t>
        </is>
      </c>
      <c r="B4778" s="9" t="inlineStr">
        <is>
          <t>ZOEY 08/06/2026</t>
        </is>
      </c>
      <c r="C4778" s="9" t="inlineStr">
        <is>
          <t>2026-06-08</t>
        </is>
      </c>
      <c r="D4778" s="9" t="inlineStr">
        <is>
          <t>24780442388109</t>
        </is>
      </c>
      <c r="E4778" s="9" t="inlineStr">
        <is>
          <t>BOLSO CC LARGE TOTE</t>
        </is>
      </c>
      <c r="F4778" s="9" t="inlineStr"/>
      <c r="G4778" s="9" t="n">
        <v>2</v>
      </c>
      <c r="H4778" s="21" t="n">
        <v>69</v>
      </c>
      <c r="I4778" s="21" t="n">
        <v>1691.29</v>
      </c>
      <c r="J4778" s="21" t="n">
        <v>5073.87</v>
      </c>
      <c r="K4778" s="21" t="n">
        <v>5919.51</v>
      </c>
      <c r="L4778" s="21" t="n">
        <v>6765.16</v>
      </c>
      <c r="M4778" s="21" t="n">
        <v>6500</v>
      </c>
    </row>
    <row r="4779">
      <c r="A4779" s="9" t="inlineStr">
        <is>
          <t>ZOEY</t>
        </is>
      </c>
      <c r="B4779" s="9" t="inlineStr">
        <is>
          <t>ZOEY 08/06/2026</t>
        </is>
      </c>
      <c r="C4779" s="9" t="inlineStr">
        <is>
          <t>2026-06-08</t>
        </is>
      </c>
      <c r="D4779" s="9" t="inlineStr">
        <is>
          <t>24780442224269</t>
        </is>
      </c>
      <c r="E4779" s="9" t="inlineStr">
        <is>
          <t>BOLSO CC MARY JANES</t>
        </is>
      </c>
      <c r="F4779" s="9" t="inlineStr"/>
      <c r="G4779" s="9" t="n">
        <v>2</v>
      </c>
      <c r="H4779" s="21" t="n">
        <v>58</v>
      </c>
      <c r="I4779" s="21" t="n">
        <v>1421.66</v>
      </c>
      <c r="J4779" s="21" t="n">
        <v>4264.99</v>
      </c>
      <c r="K4779" s="21" t="n">
        <v>4975.82</v>
      </c>
      <c r="L4779" s="21" t="n">
        <v>5686.65</v>
      </c>
      <c r="M4779" s="21" t="n">
        <v>5689</v>
      </c>
    </row>
    <row r="4780">
      <c r="A4780" s="9" t="inlineStr">
        <is>
          <t>ZOEY</t>
        </is>
      </c>
      <c r="B4780" s="9" t="inlineStr">
        <is>
          <t>ZOEY 08/06/2026</t>
        </is>
      </c>
      <c r="C4780" s="9" t="inlineStr">
        <is>
          <t>2026-06-08</t>
        </is>
      </c>
      <c r="D4780" s="9" t="inlineStr">
        <is>
          <t>24780442614093</t>
        </is>
      </c>
      <c r="E4780" s="9" t="inlineStr">
        <is>
          <t>BOLSO CC MINITASKE</t>
        </is>
      </c>
      <c r="F4780" s="9" t="inlineStr"/>
      <c r="G4780" s="9" t="n">
        <v>2</v>
      </c>
      <c r="H4780" s="21" t="n">
        <v>65</v>
      </c>
      <c r="I4780" s="21" t="n">
        <v>1593.24</v>
      </c>
      <c r="J4780" s="21" t="n">
        <v>4779.73</v>
      </c>
      <c r="K4780" s="21" t="n">
        <v>5576.35</v>
      </c>
      <c r="L4780" s="21" t="n">
        <v>6372.97</v>
      </c>
      <c r="M4780" s="21" t="n">
        <v>6379</v>
      </c>
    </row>
    <row r="4781">
      <c r="A4781" s="9" t="inlineStr">
        <is>
          <t>ZOEY</t>
        </is>
      </c>
      <c r="B4781" s="9" t="inlineStr">
        <is>
          <t>ZOEY 08/06/2026</t>
        </is>
      </c>
      <c r="C4781" s="9" t="inlineStr">
        <is>
          <t>2026-06-08</t>
        </is>
      </c>
      <c r="D4781" s="9" t="inlineStr">
        <is>
          <t>24780442101677</t>
        </is>
      </c>
      <c r="E4781" s="9" t="inlineStr">
        <is>
          <t>BOLSO CC N°25 WHITE BROWN</t>
        </is>
      </c>
      <c r="F4781" s="9" t="inlineStr"/>
      <c r="G4781" s="9" t="n">
        <v>2</v>
      </c>
      <c r="H4781" s="21" t="n">
        <v>69</v>
      </c>
      <c r="I4781" s="21" t="n">
        <v>1691.29</v>
      </c>
      <c r="J4781" s="21" t="n">
        <v>5073.87</v>
      </c>
      <c r="K4781" s="21" t="n">
        <v>5919.51</v>
      </c>
      <c r="L4781" s="21" t="n">
        <v>6765.16</v>
      </c>
      <c r="M4781" s="21" t="n">
        <v>5999</v>
      </c>
    </row>
    <row r="4782">
      <c r="A4782" s="9" t="inlineStr">
        <is>
          <t>ZOEY</t>
        </is>
      </c>
      <c r="B4782" s="9" t="inlineStr">
        <is>
          <t>ZOEY 08/06/2026</t>
        </is>
      </c>
      <c r="C4782" s="9" t="inlineStr">
        <is>
          <t>2026-06-08</t>
        </is>
      </c>
      <c r="D4782" s="9" t="inlineStr">
        <is>
          <t>24780442041229</t>
        </is>
      </c>
      <c r="E4782" s="9" t="inlineStr">
        <is>
          <t>BOLSO CC SHOPPING TOTE</t>
        </is>
      </c>
      <c r="F4782" s="9" t="inlineStr"/>
      <c r="G4782" s="9" t="n">
        <v>2</v>
      </c>
      <c r="H4782" s="21" t="n">
        <v>55</v>
      </c>
      <c r="I4782" s="21" t="n">
        <v>1348.13</v>
      </c>
      <c r="J4782" s="21" t="n">
        <v>4044.39</v>
      </c>
      <c r="K4782" s="21" t="n">
        <v>4718.45</v>
      </c>
      <c r="L4782" s="21" t="n">
        <v>5392.52</v>
      </c>
      <c r="M4782" s="21" t="n">
        <v>5399</v>
      </c>
    </row>
    <row r="4783">
      <c r="A4783" s="9" t="inlineStr">
        <is>
          <t>ZOEY</t>
        </is>
      </c>
      <c r="B4783" s="9" t="inlineStr">
        <is>
          <t>ZOEY 08/06/2026</t>
        </is>
      </c>
      <c r="C4783" s="9" t="inlineStr">
        <is>
          <t>2026-06-08</t>
        </is>
      </c>
      <c r="D4783" s="9" t="inlineStr">
        <is>
          <t>29953901383309</t>
        </is>
      </c>
      <c r="E4783" s="9" t="inlineStr">
        <is>
          <t>BOLSO CD BOOK TOTE BANDOLERA</t>
        </is>
      </c>
      <c r="F4783" s="9" t="inlineStr"/>
      <c r="G4783" s="9" t="n">
        <v>1</v>
      </c>
      <c r="H4783" s="21" t="n">
        <v>88</v>
      </c>
      <c r="I4783" s="21" t="n">
        <v>2157.01</v>
      </c>
      <c r="J4783" s="21" t="n">
        <v>6471.02</v>
      </c>
      <c r="K4783" s="21" t="n">
        <v>7549.52</v>
      </c>
      <c r="L4783" s="21" t="n">
        <v>8628.030000000001</v>
      </c>
      <c r="M4783" s="21" t="n">
        <v>8572</v>
      </c>
    </row>
    <row r="4784">
      <c r="A4784" s="9" t="inlineStr">
        <is>
          <t>ZOEY</t>
        </is>
      </c>
      <c r="B4784" s="9" t="inlineStr">
        <is>
          <t>ZOEY 08/06/2026</t>
        </is>
      </c>
      <c r="C4784" s="9" t="inlineStr">
        <is>
          <t>2026-06-08</t>
        </is>
      </c>
      <c r="D4784" s="9" t="inlineStr">
        <is>
          <t>29953901152237</t>
        </is>
      </c>
      <c r="E4784" s="9" t="inlineStr">
        <is>
          <t>BOLSO CD CRUNCHY MILLY</t>
        </is>
      </c>
      <c r="F4784" s="9" t="inlineStr"/>
      <c r="G4784" s="9" t="n">
        <v>2</v>
      </c>
      <c r="H4784" s="21" t="n">
        <v>65</v>
      </c>
      <c r="I4784" s="21" t="n">
        <v>1593.24</v>
      </c>
      <c r="J4784" s="21" t="n">
        <v>4779.73</v>
      </c>
      <c r="K4784" s="21" t="n">
        <v>5576.35</v>
      </c>
      <c r="L4784" s="21" t="n">
        <v>6372.97</v>
      </c>
      <c r="M4784" s="21" t="n">
        <v>6379</v>
      </c>
    </row>
    <row r="4785">
      <c r="A4785" s="9" t="inlineStr">
        <is>
          <t>ZOEY</t>
        </is>
      </c>
      <c r="B4785" s="9" t="inlineStr">
        <is>
          <t>ZOEY 08/06/2026</t>
        </is>
      </c>
      <c r="C4785" s="9" t="inlineStr">
        <is>
          <t>2026-06-08</t>
        </is>
      </c>
      <c r="D4785" s="9" t="inlineStr">
        <is>
          <t>29953901454477</t>
        </is>
      </c>
      <c r="E4785" s="9" t="inlineStr">
        <is>
          <t>BOLSO CD MESSENGER SADDLE ALL BLACK</t>
        </is>
      </c>
      <c r="F4785" s="9" t="inlineStr"/>
      <c r="G4785" s="9" t="n">
        <v>2</v>
      </c>
      <c r="H4785" s="21" t="n">
        <v>64</v>
      </c>
      <c r="I4785" s="21" t="n">
        <v>1568.73</v>
      </c>
      <c r="J4785" s="21" t="n">
        <v>4706.2</v>
      </c>
      <c r="K4785" s="21" t="n">
        <v>5490.56</v>
      </c>
      <c r="L4785" s="21" t="n">
        <v>6274.93</v>
      </c>
      <c r="M4785" s="21" t="n">
        <v>5499</v>
      </c>
    </row>
    <row r="4786">
      <c r="A4786" s="9" t="inlineStr">
        <is>
          <t>ZOEY</t>
        </is>
      </c>
      <c r="B4786" s="9" t="inlineStr">
        <is>
          <t>ZOEY 08/06/2026</t>
        </is>
      </c>
      <c r="C4786" s="9" t="inlineStr">
        <is>
          <t>2026-06-08</t>
        </is>
      </c>
      <c r="D4786" s="9" t="inlineStr">
        <is>
          <t>GISEL</t>
        </is>
      </c>
      <c r="E4786" s="9" t="inlineStr">
        <is>
          <t>BOLSO F BAGUETTE TEJIDO</t>
        </is>
      </c>
      <c r="F4786" s="9" t="inlineStr"/>
      <c r="G4786" s="9" t="n">
        <v>1</v>
      </c>
      <c r="H4786" s="21" t="n">
        <v>46</v>
      </c>
      <c r="I4786" s="21" t="n">
        <v>1127.53</v>
      </c>
      <c r="J4786" s="21" t="n"/>
      <c r="K4786" s="21" t="n"/>
      <c r="L4786" s="21" t="n"/>
      <c r="M4786" s="21" t="n"/>
    </row>
    <row r="4787">
      <c r="A4787" s="9" t="inlineStr">
        <is>
          <t>ZOEY</t>
        </is>
      </c>
      <c r="B4787" s="9" t="inlineStr">
        <is>
          <t>ZOEY 08/06/2026</t>
        </is>
      </c>
      <c r="C4787" s="9" t="inlineStr">
        <is>
          <t>2026-06-08</t>
        </is>
      </c>
      <c r="D4787" s="9" t="inlineStr">
        <is>
          <t>91345322411533</t>
        </is>
      </c>
      <c r="E4787" s="9" t="inlineStr">
        <is>
          <t>BOLSO F MON TRESOR</t>
        </is>
      </c>
      <c r="F4787" s="9" t="inlineStr">
        <is>
          <t>Default Title</t>
        </is>
      </c>
      <c r="G4787" s="9" t="n">
        <v>2</v>
      </c>
      <c r="H4787" s="21" t="n">
        <v>52</v>
      </c>
      <c r="I4787" s="21" t="n">
        <v>1274.59</v>
      </c>
      <c r="J4787" s="21" t="n">
        <v>3823.78</v>
      </c>
      <c r="K4787" s="21" t="n">
        <v>4461.08</v>
      </c>
      <c r="L4787" s="21" t="n">
        <v>5098.38</v>
      </c>
      <c r="M4787" s="21" t="n">
        <v>5099</v>
      </c>
    </row>
    <row r="4788">
      <c r="A4788" s="9" t="inlineStr">
        <is>
          <t>ZOEY</t>
        </is>
      </c>
      <c r="B4788" s="9" t="inlineStr">
        <is>
          <t>ZOEY 08/06/2026</t>
        </is>
      </c>
      <c r="C4788" s="9" t="inlineStr">
        <is>
          <t>2026-06-08</t>
        </is>
      </c>
      <c r="D4788" s="9" t="inlineStr">
        <is>
          <t>99781782406413</t>
        </is>
      </c>
      <c r="E4788" s="9" t="inlineStr">
        <is>
          <t>BOLSO GC BUCKET EMBLEM</t>
        </is>
      </c>
      <c r="F4788" s="9" t="inlineStr">
        <is>
          <t>Default Title</t>
        </is>
      </c>
      <c r="G4788" s="9" t="n">
        <v>5</v>
      </c>
      <c r="H4788" s="21" t="n">
        <v>58</v>
      </c>
      <c r="I4788" s="21" t="n">
        <v>1421.66</v>
      </c>
      <c r="J4788" s="21" t="n">
        <v>4264.99</v>
      </c>
      <c r="K4788" s="21" t="n">
        <v>4975.82</v>
      </c>
      <c r="L4788" s="21" t="n">
        <v>5686.65</v>
      </c>
      <c r="M4788" s="21" t="n">
        <v>5699</v>
      </c>
    </row>
    <row r="4789">
      <c r="A4789" s="9" t="inlineStr">
        <is>
          <t>ZOEY</t>
        </is>
      </c>
      <c r="B4789" s="9" t="inlineStr">
        <is>
          <t>ZOEY 08/06/2026</t>
        </is>
      </c>
      <c r="C4789" s="9" t="inlineStr">
        <is>
          <t>2026-06-08</t>
        </is>
      </c>
      <c r="D4789" s="9" t="inlineStr">
        <is>
          <t>33891171250349</t>
        </is>
      </c>
      <c r="E4789" s="9" t="inlineStr">
        <is>
          <t>BOLSO H EVELYNE 29</t>
        </is>
      </c>
      <c r="F4789" s="9" t="inlineStr"/>
      <c r="G4789" s="9" t="n">
        <v>2</v>
      </c>
      <c r="H4789" s="21" t="n">
        <v>69</v>
      </c>
      <c r="I4789" s="21" t="n">
        <v>1691.29</v>
      </c>
      <c r="J4789" s="21" t="n">
        <v>5073.87</v>
      </c>
      <c r="K4789" s="21" t="n">
        <v>5919.51</v>
      </c>
      <c r="L4789" s="21" t="n">
        <v>6765.16</v>
      </c>
      <c r="M4789" s="21" t="n">
        <v>5920</v>
      </c>
    </row>
    <row r="4790">
      <c r="A4790" s="9" t="inlineStr">
        <is>
          <t>ZOEY</t>
        </is>
      </c>
      <c r="B4790" s="9" t="inlineStr">
        <is>
          <t>ZOEY 08/06/2026</t>
        </is>
      </c>
      <c r="C4790" s="9" t="inlineStr">
        <is>
          <t>2026-06-08</t>
        </is>
      </c>
      <c r="D4790" s="9" t="inlineStr">
        <is>
          <t>66df5ec06fc76</t>
        </is>
      </c>
      <c r="E4790" s="9" t="inlineStr">
        <is>
          <t>BOLSO LADY D CHAROL BLACK</t>
        </is>
      </c>
      <c r="F4790" s="9" t="inlineStr">
        <is>
          <t>23.5cm de largo x 21cm de alto x 12cm de ancho</t>
        </is>
      </c>
      <c r="G4790" s="9" t="n">
        <v>3</v>
      </c>
      <c r="H4790" s="21" t="n">
        <v>56</v>
      </c>
      <c r="I4790" s="21" t="n">
        <v>1372.64</v>
      </c>
      <c r="J4790" s="21" t="n">
        <v>4117.92</v>
      </c>
      <c r="K4790" s="21" t="n">
        <v>4804.24</v>
      </c>
      <c r="L4790" s="21" t="n">
        <v>5490.56</v>
      </c>
      <c r="M4790" s="21" t="n">
        <v>5454</v>
      </c>
    </row>
    <row r="4791">
      <c r="A4791" s="9" t="inlineStr">
        <is>
          <t>ZOEY</t>
        </is>
      </c>
      <c r="B4791" s="9" t="inlineStr">
        <is>
          <t>ZOEY 08/06/2026</t>
        </is>
      </c>
      <c r="C4791" s="9" t="inlineStr">
        <is>
          <t>2026-06-08</t>
        </is>
      </c>
      <c r="D4791" s="9" t="inlineStr">
        <is>
          <t>66280391087437</t>
        </is>
      </c>
      <c r="E4791" s="9" t="inlineStr">
        <is>
          <t>BOLSO LADY D CHAROL OFF WHITE</t>
        </is>
      </c>
      <c r="F4791" s="9" t="inlineStr">
        <is>
          <t>17cm de largo x 15cm de alto x 7cm de ancho</t>
        </is>
      </c>
      <c r="G4791" s="9" t="n">
        <v>3</v>
      </c>
      <c r="H4791" s="21" t="n">
        <v>56</v>
      </c>
      <c r="I4791" s="21" t="n">
        <v>1372.64</v>
      </c>
      <c r="J4791" s="21" t="n">
        <v>4117.92</v>
      </c>
      <c r="K4791" s="21" t="n">
        <v>4804.24</v>
      </c>
      <c r="L4791" s="21" t="n">
        <v>5490.56</v>
      </c>
      <c r="M4791" s="21" t="n">
        <v>5454</v>
      </c>
    </row>
    <row r="4792">
      <c r="A4792" s="9" t="inlineStr">
        <is>
          <t>ZOEY</t>
        </is>
      </c>
      <c r="B4792" s="9" t="inlineStr">
        <is>
          <t>ZOEY 08/06/2026</t>
        </is>
      </c>
      <c r="C4792" s="9" t="inlineStr">
        <is>
          <t>2026-06-08</t>
        </is>
      </c>
      <c r="D4792" s="9" t="inlineStr">
        <is>
          <t>93098782074253</t>
        </is>
      </c>
      <c r="E4792" s="9" t="inlineStr">
        <is>
          <t>BOLSO LV CHRISTOPHER MESSENGER</t>
        </is>
      </c>
      <c r="F4792" s="9" t="inlineStr">
        <is>
          <t>Default Title</t>
        </is>
      </c>
      <c r="G4792" s="9" t="n">
        <v>3</v>
      </c>
      <c r="H4792" s="21" t="n">
        <v>45</v>
      </c>
      <c r="I4792" s="21" t="n">
        <v>1103.01</v>
      </c>
      <c r="J4792" s="21" t="n">
        <v>3309.04</v>
      </c>
      <c r="K4792" s="21" t="n">
        <v>3860.55</v>
      </c>
      <c r="L4792" s="21" t="n">
        <v>4412.06</v>
      </c>
      <c r="M4792" s="21" t="n">
        <v>4399</v>
      </c>
    </row>
    <row r="4793">
      <c r="A4793" s="9" t="inlineStr">
        <is>
          <t>ZOEY</t>
        </is>
      </c>
      <c r="B4793" s="9" t="inlineStr">
        <is>
          <t>ZOEY 08/06/2026</t>
        </is>
      </c>
      <c r="C4793" s="9" t="inlineStr">
        <is>
          <t>2026-06-08</t>
        </is>
      </c>
      <c r="D4793" s="9" t="inlineStr">
        <is>
          <t>24780441331117</t>
        </is>
      </c>
      <c r="E4793" s="9" t="inlineStr">
        <is>
          <t>BOLSO LV NANO DIANE MONOGRAM</t>
        </is>
      </c>
      <c r="F4793" s="9" t="inlineStr"/>
      <c r="G4793" s="9" t="n">
        <v>1</v>
      </c>
      <c r="H4793" s="21" t="n">
        <v>38</v>
      </c>
      <c r="I4793" s="21" t="n">
        <v>931.4299999999999</v>
      </c>
      <c r="J4793" s="21" t="n">
        <v>2794.3</v>
      </c>
      <c r="K4793" s="21" t="n">
        <v>3260.02</v>
      </c>
      <c r="L4793" s="21" t="n">
        <v>3725.74</v>
      </c>
      <c r="M4793" s="21" t="n">
        <v>3260</v>
      </c>
    </row>
    <row r="4794">
      <c r="A4794" s="9" t="inlineStr">
        <is>
          <t>ZOEY</t>
        </is>
      </c>
      <c r="B4794" s="9" t="inlineStr">
        <is>
          <t>ZOEY 08/06/2026</t>
        </is>
      </c>
      <c r="C4794" s="9" t="inlineStr">
        <is>
          <t>2026-06-08</t>
        </is>
      </c>
      <c r="D4794" s="9" t="inlineStr">
        <is>
          <t>43020901133964</t>
        </is>
      </c>
      <c r="E4794" s="9" t="inlineStr">
        <is>
          <t>BOLSO LV NEVERFULL</t>
        </is>
      </c>
      <c r="F4794" s="9" t="inlineStr">
        <is>
          <t>47cm x 29cm</t>
        </is>
      </c>
      <c r="G4794" s="9" t="n">
        <v>5</v>
      </c>
      <c r="H4794" s="21" t="n">
        <v>40</v>
      </c>
      <c r="I4794" s="21" t="n">
        <v>980.46</v>
      </c>
      <c r="J4794" s="21" t="n">
        <v>2941.37</v>
      </c>
      <c r="K4794" s="21" t="n">
        <v>3431.6</v>
      </c>
      <c r="L4794" s="21" t="n">
        <v>3921.83</v>
      </c>
      <c r="M4794" s="21" t="n">
        <v>4200</v>
      </c>
    </row>
    <row r="4795">
      <c r="A4795" s="9" t="inlineStr">
        <is>
          <t>ZOEY</t>
        </is>
      </c>
      <c r="B4795" s="9" t="inlineStr">
        <is>
          <t>ZOEY 08/06/2026</t>
        </is>
      </c>
      <c r="C4795" s="9" t="inlineStr">
        <is>
          <t>2026-06-08</t>
        </is>
      </c>
      <c r="D4795" s="9" t="inlineStr">
        <is>
          <t>6701d24a43166</t>
        </is>
      </c>
      <c r="E4795" s="9" t="inlineStr">
        <is>
          <t>BOLSO MM WANDER NUDE</t>
        </is>
      </c>
      <c r="F4795" s="9" t="inlineStr">
        <is>
          <t>20cm de alto x 25cm de largo x 8cm de ancho</t>
        </is>
      </c>
      <c r="G4795" s="9" t="n">
        <v>3</v>
      </c>
      <c r="H4795" s="21" t="n">
        <v>48</v>
      </c>
      <c r="I4795" s="21" t="n">
        <v>1176.55</v>
      </c>
      <c r="J4795" s="21" t="n">
        <v>3529.65</v>
      </c>
      <c r="K4795" s="21" t="n">
        <v>4117.92</v>
      </c>
      <c r="L4795" s="21" t="n">
        <v>4706.2</v>
      </c>
      <c r="M4795" s="21" t="n">
        <v>4699</v>
      </c>
    </row>
    <row r="4796">
      <c r="A4796" s="9" t="inlineStr">
        <is>
          <t>ZOEY</t>
        </is>
      </c>
      <c r="B4796" s="9" t="inlineStr">
        <is>
          <t>ZOEY 08/06/2026</t>
        </is>
      </c>
      <c r="C4796" s="9" t="inlineStr">
        <is>
          <t>2026-06-08</t>
        </is>
      </c>
      <c r="D4796" s="9" t="inlineStr">
        <is>
          <t>29953902748109</t>
        </is>
      </c>
      <c r="E4796" s="9" t="inlineStr">
        <is>
          <t>BOLSO POCHETTE YSL CASSANDRE</t>
        </is>
      </c>
      <c r="F4796" s="9" t="inlineStr"/>
      <c r="G4796" s="9" t="n">
        <v>1</v>
      </c>
      <c r="H4796" s="21" t="n">
        <v>75</v>
      </c>
      <c r="I4796" s="21" t="n">
        <v>1838.36</v>
      </c>
      <c r="J4796" s="21" t="n">
        <v>5515.07</v>
      </c>
      <c r="K4796" s="21" t="n">
        <v>6434.25</v>
      </c>
      <c r="L4796" s="21" t="n">
        <v>7353.43</v>
      </c>
      <c r="M4796" s="21" t="n">
        <v>7299</v>
      </c>
    </row>
    <row r="4797">
      <c r="A4797" s="9" t="inlineStr">
        <is>
          <t>ZOEY</t>
        </is>
      </c>
      <c r="B4797" s="9" t="inlineStr">
        <is>
          <t>ZOEY 08/06/2026</t>
        </is>
      </c>
      <c r="C4797" s="9" t="inlineStr">
        <is>
          <t>2026-06-08</t>
        </is>
      </c>
      <c r="D4797" s="9" t="inlineStr">
        <is>
          <t>33891171089901</t>
        </is>
      </c>
      <c r="E4797" s="9" t="inlineStr">
        <is>
          <t>BOLSO YSL CHAROL CHERRY 37</t>
        </is>
      </c>
      <c r="F4797" s="9" t="inlineStr"/>
      <c r="G4797" s="9" t="n">
        <v>1</v>
      </c>
      <c r="H4797" s="21" t="n">
        <v>55</v>
      </c>
      <c r="I4797" s="21" t="n">
        <v>1348.13</v>
      </c>
      <c r="J4797" s="21" t="n">
        <v>4044.39</v>
      </c>
      <c r="K4797" s="21" t="n">
        <v>4718.45</v>
      </c>
      <c r="L4797" s="21" t="n">
        <v>5392.52</v>
      </c>
      <c r="M4797" s="21" t="n">
        <v>4720</v>
      </c>
    </row>
    <row r="4798">
      <c r="A4798" s="9" t="inlineStr">
        <is>
          <t>ZOEY</t>
        </is>
      </c>
      <c r="B4798" s="9" t="inlineStr">
        <is>
          <t>ZOEY 08/06/2026</t>
        </is>
      </c>
      <c r="C4798" s="9" t="inlineStr">
        <is>
          <t>2026-06-08</t>
        </is>
      </c>
      <c r="D4798" s="9" t="inlineStr">
        <is>
          <t>29953903326061</t>
        </is>
      </c>
      <c r="E4798" s="9" t="inlineStr">
        <is>
          <t>BOLSO YSL GABY VANITY</t>
        </is>
      </c>
      <c r="F4798" s="9" t="inlineStr"/>
      <c r="G4798" s="9" t="n">
        <v>2</v>
      </c>
      <c r="H4798" s="21" t="n">
        <v>53</v>
      </c>
      <c r="I4798" s="21" t="n">
        <v>1299.11</v>
      </c>
      <c r="J4798" s="21" t="n">
        <v>3897.32</v>
      </c>
      <c r="K4798" s="21" t="n">
        <v>4546.87</v>
      </c>
      <c r="L4798" s="21" t="n">
        <v>5196.42</v>
      </c>
      <c r="M4798" s="21" t="n">
        <v>3999</v>
      </c>
    </row>
    <row r="4799">
      <c r="A4799" s="9" t="inlineStr">
        <is>
          <t>ZOEY</t>
        </is>
      </c>
      <c r="B4799" s="9" t="inlineStr">
        <is>
          <t>ZOEY 08/06/2026</t>
        </is>
      </c>
      <c r="C4799" s="9" t="inlineStr">
        <is>
          <t>2026-06-08</t>
        </is>
      </c>
      <c r="D4799" s="9" t="inlineStr">
        <is>
          <t>29953902560653</t>
        </is>
      </c>
      <c r="E4799" s="9" t="inlineStr">
        <is>
          <t>BOLSO YSL ICARE NAPA</t>
        </is>
      </c>
      <c r="F4799" s="9" t="inlineStr"/>
      <c r="G4799" s="9" t="n">
        <v>2</v>
      </c>
      <c r="H4799" s="21" t="n">
        <v>58</v>
      </c>
      <c r="I4799" s="21" t="n">
        <v>1421.66</v>
      </c>
      <c r="J4799" s="21" t="n">
        <v>4264.99</v>
      </c>
      <c r="K4799" s="21" t="n">
        <v>4975.82</v>
      </c>
      <c r="L4799" s="21" t="n">
        <v>5686.65</v>
      </c>
      <c r="M4799" s="21" t="n">
        <v>5689</v>
      </c>
    </row>
    <row r="4800">
      <c r="A4800" s="9" t="inlineStr">
        <is>
          <t>ZOEY</t>
        </is>
      </c>
      <c r="B4800" s="9" t="inlineStr">
        <is>
          <t>ZOEY 08/06/2026</t>
        </is>
      </c>
      <c r="C4800" s="9" t="inlineStr">
        <is>
          <t>2026-06-08</t>
        </is>
      </c>
      <c r="D4800" s="9" t="inlineStr">
        <is>
          <t>29953902655501</t>
        </is>
      </c>
      <c r="E4800" s="9" t="inlineStr">
        <is>
          <t>BOLSO YSL ICARE NAPA BLACK</t>
        </is>
      </c>
      <c r="F4800" s="9" t="inlineStr"/>
      <c r="G4800" s="9" t="n">
        <v>2</v>
      </c>
      <c r="H4800" s="21" t="n">
        <v>59</v>
      </c>
      <c r="I4800" s="21" t="n">
        <v>1446.17</v>
      </c>
      <c r="J4800" s="21" t="n">
        <v>4338.52</v>
      </c>
      <c r="K4800" s="21" t="n">
        <v>5061.61</v>
      </c>
      <c r="L4800" s="21" t="n">
        <v>5784.7</v>
      </c>
      <c r="M4800" s="21" t="n">
        <v>5789</v>
      </c>
    </row>
    <row r="4801">
      <c r="A4801" s="9" t="inlineStr">
        <is>
          <t>ZOEY</t>
        </is>
      </c>
      <c r="B4801" s="9" t="inlineStr">
        <is>
          <t>ZOEY 08/06/2026</t>
        </is>
      </c>
      <c r="C4801" s="9" t="inlineStr">
        <is>
          <t>2026-06-08</t>
        </is>
      </c>
      <c r="D4801" s="9" t="inlineStr">
        <is>
          <t>34163622788685</t>
        </is>
      </c>
      <c r="E4801" s="9" t="inlineStr">
        <is>
          <t>BOLSO YSL ICARINO NAPA BLACK</t>
        </is>
      </c>
      <c r="F4801" s="9" t="inlineStr">
        <is>
          <t>Default Title</t>
        </is>
      </c>
      <c r="G4801" s="9" t="n">
        <v>2</v>
      </c>
      <c r="H4801" s="21" t="n">
        <v>55</v>
      </c>
      <c r="I4801" s="21" t="n">
        <v>1348.13</v>
      </c>
      <c r="J4801" s="21" t="n">
        <v>4044.39</v>
      </c>
      <c r="K4801" s="21" t="n">
        <v>4718.45</v>
      </c>
      <c r="L4801" s="21" t="n">
        <v>5392.52</v>
      </c>
      <c r="M4801" s="21" t="n">
        <v>5399</v>
      </c>
    </row>
    <row r="4802">
      <c r="A4802" s="9" t="inlineStr">
        <is>
          <t>ZOEY</t>
        </is>
      </c>
      <c r="B4802" s="9" t="inlineStr">
        <is>
          <t>ZOEY 08/06/2026</t>
        </is>
      </c>
      <c r="C4802" s="9" t="inlineStr">
        <is>
          <t>2026-06-08</t>
        </is>
      </c>
      <c r="D4802" s="9" t="inlineStr">
        <is>
          <t>29953902272525</t>
        </is>
      </c>
      <c r="E4802" s="9" t="inlineStr">
        <is>
          <t>BOLSO YSL JAMIE SHOPPING</t>
        </is>
      </c>
      <c r="F4802" s="9" t="inlineStr"/>
      <c r="G4802" s="9" t="n">
        <v>2</v>
      </c>
      <c r="H4802" s="21" t="n">
        <v>69</v>
      </c>
      <c r="I4802" s="21" t="n">
        <v>1691.29</v>
      </c>
      <c r="J4802" s="21" t="n">
        <v>5073.87</v>
      </c>
      <c r="K4802" s="21" t="n">
        <v>5919.51</v>
      </c>
      <c r="L4802" s="21" t="n">
        <v>6765.16</v>
      </c>
      <c r="M4802" s="21" t="n">
        <v>6769</v>
      </c>
    </row>
    <row r="4803">
      <c r="A4803" s="9" t="inlineStr">
        <is>
          <t>ZOEY</t>
        </is>
      </c>
      <c r="B4803" s="9" t="inlineStr">
        <is>
          <t>ZOEY 08/06/2026</t>
        </is>
      </c>
      <c r="C4803" s="9" t="inlineStr">
        <is>
          <t>2026-06-08</t>
        </is>
      </c>
      <c r="D4803" s="9" t="inlineStr">
        <is>
          <t>29953902351501</t>
        </is>
      </c>
      <c r="E4803" s="9" t="inlineStr">
        <is>
          <t>BOLSO YSL JAMIE SHOPPING ALL BLACK</t>
        </is>
      </c>
      <c r="F4803" s="9" t="inlineStr"/>
      <c r="G4803" s="9" t="n">
        <v>1</v>
      </c>
      <c r="H4803" s="21" t="n">
        <v>69</v>
      </c>
      <c r="I4803" s="21" t="n">
        <v>1691.29</v>
      </c>
      <c r="J4803" s="21" t="n">
        <v>5073.87</v>
      </c>
      <c r="K4803" s="21" t="n">
        <v>5919.51</v>
      </c>
      <c r="L4803" s="21" t="n">
        <v>6765.16</v>
      </c>
      <c r="M4803" s="21" t="n">
        <v>6721</v>
      </c>
    </row>
    <row r="4804">
      <c r="A4804" s="9" t="inlineStr">
        <is>
          <t>ZOEY</t>
        </is>
      </c>
      <c r="B4804" s="9" t="inlineStr">
        <is>
          <t>ZOEY 08/06/2026</t>
        </is>
      </c>
      <c r="C4804" s="9" t="inlineStr">
        <is>
          <t>2026-06-08</t>
        </is>
      </c>
      <c r="D4804" s="9" t="inlineStr">
        <is>
          <t>29953902481485</t>
        </is>
      </c>
      <c r="E4804" s="9" t="inlineStr">
        <is>
          <t>BOLSO YSL JAMIE SHOPPING BURGUNDY</t>
        </is>
      </c>
      <c r="F4804" s="9" t="inlineStr"/>
      <c r="G4804" s="9" t="n">
        <v>2</v>
      </c>
      <c r="H4804" s="21" t="n">
        <v>65</v>
      </c>
      <c r="I4804" s="21" t="n">
        <v>1593.24</v>
      </c>
      <c r="J4804" s="21" t="n">
        <v>4779.73</v>
      </c>
      <c r="K4804" s="21" t="n">
        <v>5576.35</v>
      </c>
      <c r="L4804" s="21" t="n">
        <v>6372.97</v>
      </c>
      <c r="M4804" s="21" t="n">
        <v>5579</v>
      </c>
    </row>
    <row r="4805">
      <c r="A4805" s="9" t="inlineStr">
        <is>
          <t>ZOEY</t>
        </is>
      </c>
      <c r="B4805" s="9" t="inlineStr">
        <is>
          <t>ZOEY 08/06/2026</t>
        </is>
      </c>
      <c r="C4805" s="9" t="inlineStr">
        <is>
          <t>2026-06-08</t>
        </is>
      </c>
      <c r="D4805" s="9" t="inlineStr">
        <is>
          <t>29953903227757</t>
        </is>
      </c>
      <c r="E4805" s="9" t="inlineStr">
        <is>
          <t>BOLSO YSL KATE CLASSIC</t>
        </is>
      </c>
      <c r="F4805" s="9" t="inlineStr"/>
      <c r="G4805" s="9" t="n">
        <v>2</v>
      </c>
      <c r="H4805" s="21" t="n">
        <v>49</v>
      </c>
      <c r="I4805" s="21" t="n">
        <v>1201.06</v>
      </c>
      <c r="J4805" s="21" t="n">
        <v>3603.18</v>
      </c>
      <c r="K4805" s="21" t="n">
        <v>4203.71</v>
      </c>
      <c r="L4805" s="21" t="n">
        <v>4804.24</v>
      </c>
      <c r="M4805" s="21" t="n">
        <v>4850</v>
      </c>
    </row>
    <row r="4806">
      <c r="A4806" s="9" t="inlineStr">
        <is>
          <t>ZOEY</t>
        </is>
      </c>
      <c r="B4806" s="9" t="inlineStr">
        <is>
          <t>ZOEY 08/06/2026</t>
        </is>
      </c>
      <c r="C4806" s="9" t="inlineStr">
        <is>
          <t>2026-06-08</t>
        </is>
      </c>
      <c r="D4806" s="9" t="inlineStr">
        <is>
          <t>29953902810253</t>
        </is>
      </c>
      <c r="E4806" s="9" t="inlineStr">
        <is>
          <t>BOLSO YSL LOULOU BLACK GOLD</t>
        </is>
      </c>
      <c r="F4806" s="9" t="inlineStr"/>
      <c r="G4806" s="9" t="n">
        <v>2</v>
      </c>
      <c r="H4806" s="21" t="n">
        <v>58</v>
      </c>
      <c r="I4806" s="21" t="n">
        <v>1421.66</v>
      </c>
      <c r="J4806" s="21" t="n">
        <v>4264.99</v>
      </c>
      <c r="K4806" s="21" t="n">
        <v>4975.82</v>
      </c>
      <c r="L4806" s="21" t="n">
        <v>5686.65</v>
      </c>
      <c r="M4806" s="21" t="n">
        <v>4999</v>
      </c>
    </row>
    <row r="4807">
      <c r="A4807" s="9" t="inlineStr">
        <is>
          <t>ZOEY</t>
        </is>
      </c>
      <c r="B4807" s="9" t="inlineStr">
        <is>
          <t>ZOEY 08/06/2026</t>
        </is>
      </c>
      <c r="C4807" s="9" t="inlineStr">
        <is>
          <t>2026-06-08</t>
        </is>
      </c>
      <c r="D4807" s="9" t="inlineStr">
        <is>
          <t>29953903034541</t>
        </is>
      </c>
      <c r="E4807" s="9" t="inlineStr">
        <is>
          <t>BOLSO YSL LOULOU BLACK SILVER</t>
        </is>
      </c>
      <c r="F4807" s="9" t="inlineStr"/>
      <c r="G4807" s="9" t="n">
        <v>2</v>
      </c>
      <c r="H4807" s="21" t="n">
        <v>56</v>
      </c>
      <c r="I4807" s="21" t="n">
        <v>1372.64</v>
      </c>
      <c r="J4807" s="21" t="n">
        <v>4117.92</v>
      </c>
      <c r="K4807" s="21" t="n">
        <v>4804.24</v>
      </c>
      <c r="L4807" s="21" t="n">
        <v>5490.56</v>
      </c>
      <c r="M4807" s="21" t="n">
        <v>4810</v>
      </c>
    </row>
    <row r="4808">
      <c r="A4808" s="9" t="inlineStr">
        <is>
          <t>ZOEY</t>
        </is>
      </c>
      <c r="B4808" s="9" t="inlineStr">
        <is>
          <t>ZOEY 08/06/2026</t>
        </is>
      </c>
      <c r="C4808" s="9" t="inlineStr">
        <is>
          <t>2026-06-08</t>
        </is>
      </c>
      <c r="D4808" s="9" t="inlineStr">
        <is>
          <t>29953903165613</t>
        </is>
      </c>
      <c r="E4808" s="9" t="inlineStr">
        <is>
          <t>BOLSO YSL LOULOU BURGUNDY</t>
        </is>
      </c>
      <c r="F4808" s="9" t="inlineStr"/>
      <c r="G4808" s="9" t="n">
        <v>1</v>
      </c>
      <c r="H4808" s="21" t="n">
        <v>59</v>
      </c>
      <c r="I4808" s="21" t="n">
        <v>1446.17</v>
      </c>
      <c r="J4808" s="21" t="n">
        <v>4338.52</v>
      </c>
      <c r="K4808" s="21" t="n">
        <v>5061.61</v>
      </c>
      <c r="L4808" s="21" t="n">
        <v>5784.7</v>
      </c>
      <c r="M4808" s="21" t="n">
        <v>5799</v>
      </c>
    </row>
    <row r="4809">
      <c r="A4809" s="9" t="inlineStr">
        <is>
          <t>ZOEY</t>
        </is>
      </c>
      <c r="B4809" s="9" t="inlineStr">
        <is>
          <t>ZOEY 08/06/2026</t>
        </is>
      </c>
      <c r="C4809" s="9" t="inlineStr">
        <is>
          <t>2026-06-08</t>
        </is>
      </c>
      <c r="D4809" s="9" t="inlineStr">
        <is>
          <t>29953902939629</t>
        </is>
      </c>
      <c r="E4809" s="9" t="inlineStr">
        <is>
          <t>BOLSO YSL LOULOU WHITE</t>
        </is>
      </c>
      <c r="F4809" s="9" t="inlineStr"/>
      <c r="G4809" s="9" t="n">
        <v>2</v>
      </c>
      <c r="H4809" s="21" t="n">
        <v>56</v>
      </c>
      <c r="I4809" s="21" t="n">
        <v>1372.64</v>
      </c>
      <c r="J4809" s="21" t="n">
        <v>4117.92</v>
      </c>
      <c r="K4809" s="21" t="n">
        <v>4804.24</v>
      </c>
      <c r="L4809" s="21" t="n">
        <v>5490.56</v>
      </c>
      <c r="M4809" s="21" t="n">
        <v>4810</v>
      </c>
    </row>
    <row r="4810">
      <c r="A4810" s="9" t="inlineStr">
        <is>
          <t>ZOEY</t>
        </is>
      </c>
      <c r="B4810" s="9" t="inlineStr">
        <is>
          <t>ZOEY 08/06/2026</t>
        </is>
      </c>
      <c r="C4810" s="9" t="inlineStr">
        <is>
          <t>2026-06-08</t>
        </is>
      </c>
      <c r="D4810" s="9" t="inlineStr">
        <is>
          <t>29953903457133</t>
        </is>
      </c>
      <c r="E4810" s="9" t="inlineStr">
        <is>
          <t>BOLSO YSL SAC DE JOUR</t>
        </is>
      </c>
      <c r="F4810" s="9" t="inlineStr"/>
      <c r="G4810" s="9" t="n">
        <v>1</v>
      </c>
      <c r="H4810" s="21" t="n">
        <v>85</v>
      </c>
      <c r="I4810" s="21" t="n">
        <v>2083.47</v>
      </c>
      <c r="J4810" s="21" t="n">
        <v>6250.42</v>
      </c>
      <c r="K4810" s="21" t="n">
        <v>7292.15</v>
      </c>
      <c r="L4810" s="21" t="n">
        <v>8333.889999999999</v>
      </c>
      <c r="M4810" s="21" t="n">
        <v>7299</v>
      </c>
    </row>
    <row r="4811">
      <c r="A4811" s="9" t="inlineStr">
        <is>
          <t>ZOEY</t>
        </is>
      </c>
      <c r="B4811" s="9" t="inlineStr">
        <is>
          <t>ZOEY 08/06/2026</t>
        </is>
      </c>
      <c r="C4811" s="9" t="inlineStr">
        <is>
          <t>2026-06-08</t>
        </is>
      </c>
      <c r="D4811" s="9" t="inlineStr">
        <is>
          <t>33891171186509</t>
        </is>
      </c>
      <c r="E4811" s="9" t="inlineStr">
        <is>
          <t>BOLSO YSL VOLTAIRE BOX</t>
        </is>
      </c>
      <c r="F4811" s="9" t="inlineStr"/>
      <c r="G4811" s="9" t="n">
        <v>1</v>
      </c>
      <c r="H4811" s="21" t="n">
        <v>65</v>
      </c>
      <c r="I4811" s="21" t="n">
        <v>1593.24</v>
      </c>
      <c r="J4811" s="21" t="n">
        <v>4779.73</v>
      </c>
      <c r="K4811" s="21" t="n">
        <v>5576.35</v>
      </c>
      <c r="L4811" s="21" t="n">
        <v>6372.97</v>
      </c>
      <c r="M4811" s="21" t="n">
        <v>5579</v>
      </c>
    </row>
    <row r="4812">
      <c r="A4812" s="9" t="inlineStr">
        <is>
          <t>ZOEY</t>
        </is>
      </c>
      <c r="B4812" s="9" t="inlineStr">
        <is>
          <t>ZOEY 08/06/2026</t>
        </is>
      </c>
      <c r="C4812" s="9" t="inlineStr">
        <is>
          <t>2026-06-08</t>
        </is>
      </c>
      <c r="D4812" s="9" t="inlineStr">
        <is>
          <t>679bf1982d8ea</t>
        </is>
      </c>
      <c r="E4812" s="9" t="inlineStr">
        <is>
          <t>CALCETÍN A WHITE</t>
        </is>
      </c>
      <c r="F4812" s="9" t="inlineStr">
        <is>
          <t>Default Title</t>
        </is>
      </c>
      <c r="G4812" s="9" t="n">
        <v>1</v>
      </c>
      <c r="H4812" s="21" t="n">
        <v>5</v>
      </c>
      <c r="I4812" s="21" t="n">
        <v>122.56</v>
      </c>
      <c r="J4812" s="21" t="n">
        <v>367.67</v>
      </c>
      <c r="K4812" s="21" t="n">
        <v>428.95</v>
      </c>
      <c r="L4812" s="21" t="n">
        <v>490.23</v>
      </c>
      <c r="M4812" s="21" t="n">
        <v>499</v>
      </c>
    </row>
    <row r="4813">
      <c r="A4813" s="9" t="inlineStr">
        <is>
          <t>ZOEY</t>
        </is>
      </c>
      <c r="B4813" s="9" t="inlineStr">
        <is>
          <t>ZOEY 08/06/2026</t>
        </is>
      </c>
      <c r="C4813" s="9" t="inlineStr">
        <is>
          <t>2026-06-08</t>
        </is>
      </c>
      <c r="D4813" s="9" t="inlineStr">
        <is>
          <t>99781783183821</t>
        </is>
      </c>
      <c r="E4813" s="9" t="inlineStr">
        <is>
          <t>CARTERA C FLAP TRIOMPHIE</t>
        </is>
      </c>
      <c r="F4813" s="9" t="inlineStr">
        <is>
          <t>Default Title</t>
        </is>
      </c>
      <c r="G4813" s="9" t="n">
        <v>3</v>
      </c>
      <c r="H4813" s="21" t="n">
        <v>22</v>
      </c>
      <c r="I4813" s="21" t="n">
        <v>539.25</v>
      </c>
      <c r="J4813" s="21" t="n">
        <v>1617.75</v>
      </c>
      <c r="K4813" s="21" t="n">
        <v>1887.38</v>
      </c>
      <c r="L4813" s="21" t="n">
        <v>2157.01</v>
      </c>
      <c r="M4813" s="21" t="n">
        <v>2339</v>
      </c>
    </row>
    <row r="4814">
      <c r="A4814" s="9" t="inlineStr">
        <is>
          <t>ZOEY</t>
        </is>
      </c>
      <c r="B4814" s="9" t="inlineStr">
        <is>
          <t>ZOEY 08/06/2026</t>
        </is>
      </c>
      <c r="C4814" s="9" t="inlineStr">
        <is>
          <t>2026-06-08</t>
        </is>
      </c>
      <c r="D4814" s="9" t="inlineStr">
        <is>
          <t>24780442803917</t>
        </is>
      </c>
      <c r="E4814" s="9" t="inlineStr">
        <is>
          <t>CARTERA CC CON SOLAPA BLACK</t>
        </is>
      </c>
      <c r="F4814" s="9" t="inlineStr"/>
      <c r="G4814" s="9" t="n">
        <v>2</v>
      </c>
      <c r="H4814" s="21" t="n">
        <v>22</v>
      </c>
      <c r="I4814" s="21" t="n">
        <v>539.25</v>
      </c>
      <c r="J4814" s="21" t="n">
        <v>1617.75</v>
      </c>
      <c r="K4814" s="21" t="n">
        <v>1887.38</v>
      </c>
      <c r="L4814" s="21" t="n">
        <v>2157.01</v>
      </c>
      <c r="M4814" s="21" t="n">
        <v>2159</v>
      </c>
    </row>
    <row r="4815">
      <c r="A4815" s="9" t="inlineStr">
        <is>
          <t>ZOEY</t>
        </is>
      </c>
      <c r="B4815" s="9" t="inlineStr">
        <is>
          <t>ZOEY 08/06/2026</t>
        </is>
      </c>
      <c r="C4815" s="9" t="inlineStr">
        <is>
          <t>2026-06-08</t>
        </is>
      </c>
      <c r="D4815" s="9" t="inlineStr">
        <is>
          <t>29953901866893</t>
        </is>
      </c>
      <c r="E4815" s="9" t="inlineStr">
        <is>
          <t>CARTERA CD ALARGADA CARO ORCHID</t>
        </is>
      </c>
      <c r="F4815" s="9" t="inlineStr"/>
      <c r="G4815" s="9" t="n">
        <v>2</v>
      </c>
      <c r="H4815" s="21" t="n">
        <v>22</v>
      </c>
      <c r="I4815" s="21" t="n">
        <v>539.25</v>
      </c>
      <c r="J4815" s="21" t="n">
        <v>1617.75</v>
      </c>
      <c r="K4815" s="21" t="n">
        <v>1887.38</v>
      </c>
      <c r="L4815" s="21" t="n">
        <v>2157.01</v>
      </c>
      <c r="M4815" s="21" t="n">
        <v>2159</v>
      </c>
    </row>
    <row r="4816">
      <c r="A4816" s="9" t="inlineStr">
        <is>
          <t>ZOEY</t>
        </is>
      </c>
      <c r="B4816" s="9" t="inlineStr">
        <is>
          <t>ZOEY 08/06/2026</t>
        </is>
      </c>
      <c r="C4816" s="9" t="inlineStr">
        <is>
          <t>2026-06-08</t>
        </is>
      </c>
      <c r="D4816" s="9" t="inlineStr">
        <is>
          <t>29953901737517</t>
        </is>
      </c>
      <c r="E4816" s="9" t="inlineStr">
        <is>
          <t>CARTERA CD CARO CANNAGE</t>
        </is>
      </c>
      <c r="F4816" s="9" t="inlineStr"/>
      <c r="G4816" s="9" t="n">
        <v>2</v>
      </c>
      <c r="H4816" s="21" t="n">
        <v>22</v>
      </c>
      <c r="I4816" s="21" t="n">
        <v>539.25</v>
      </c>
      <c r="J4816" s="21" t="n">
        <v>1617.75</v>
      </c>
      <c r="K4816" s="21" t="n">
        <v>1887.38</v>
      </c>
      <c r="L4816" s="21" t="n">
        <v>2157.01</v>
      </c>
      <c r="M4816" s="21" t="n">
        <v>2159</v>
      </c>
    </row>
    <row r="4817">
      <c r="A4817" s="9" t="inlineStr">
        <is>
          <t>ZOEY</t>
        </is>
      </c>
      <c r="B4817" s="9" t="inlineStr">
        <is>
          <t>ZOEY 08/06/2026</t>
        </is>
      </c>
      <c r="C4817" s="9" t="inlineStr">
        <is>
          <t>2026-06-08</t>
        </is>
      </c>
      <c r="D4817" s="9" t="inlineStr">
        <is>
          <t>29953901549389</t>
        </is>
      </c>
      <c r="E4817" s="9" t="inlineStr">
        <is>
          <t>CARTERA CD DAHLIA OBLIQUE</t>
        </is>
      </c>
      <c r="F4817" s="9" t="inlineStr"/>
      <c r="G4817" s="9" t="n">
        <v>2</v>
      </c>
      <c r="H4817" s="21" t="n">
        <v>22</v>
      </c>
      <c r="I4817" s="21" t="n">
        <v>539.25</v>
      </c>
      <c r="J4817" s="21" t="n">
        <v>1617.75</v>
      </c>
      <c r="K4817" s="21" t="n">
        <v>1887.38</v>
      </c>
      <c r="L4817" s="21" t="n">
        <v>2157.01</v>
      </c>
      <c r="M4817" s="21" t="n">
        <v>2159</v>
      </c>
    </row>
    <row r="4818">
      <c r="A4818" s="9" t="inlineStr">
        <is>
          <t>ZOEY</t>
        </is>
      </c>
      <c r="B4818" s="9" t="inlineStr">
        <is>
          <t>ZOEY 08/06/2026</t>
        </is>
      </c>
      <c r="C4818" s="9" t="inlineStr">
        <is>
          <t>2026-06-08</t>
        </is>
      </c>
      <c r="D4818" s="9" t="inlineStr">
        <is>
          <t>29953901642605</t>
        </is>
      </c>
      <c r="E4818" s="9" t="inlineStr">
        <is>
          <t>CARTERA CD LADY D GLYCINE</t>
        </is>
      </c>
      <c r="F4818" s="9" t="inlineStr"/>
      <c r="G4818" s="9" t="n">
        <v>2</v>
      </c>
      <c r="H4818" s="21" t="n">
        <v>22</v>
      </c>
      <c r="I4818" s="21" t="n">
        <v>539.25</v>
      </c>
      <c r="J4818" s="21" t="n">
        <v>1617.75</v>
      </c>
      <c r="K4818" s="21" t="n">
        <v>1887.38</v>
      </c>
      <c r="L4818" s="21" t="n">
        <v>2157.01</v>
      </c>
      <c r="M4818" s="21" t="n">
        <v>2159</v>
      </c>
    </row>
    <row r="4819">
      <c r="A4819" s="9" t="inlineStr">
        <is>
          <t>ZOEY</t>
        </is>
      </c>
      <c r="B4819" s="9" t="inlineStr">
        <is>
          <t>ZOEY 08/06/2026</t>
        </is>
      </c>
      <c r="C4819" s="9" t="inlineStr">
        <is>
          <t>2026-06-08</t>
        </is>
      </c>
      <c r="D4819" s="9" t="inlineStr">
        <is>
          <t>33891171489101</t>
        </is>
      </c>
      <c r="E4819" s="9" t="inlineStr">
        <is>
          <t>CARTERA CD LIBRO ALARGADA OBLIQUE</t>
        </is>
      </c>
      <c r="F4819" s="9" t="inlineStr"/>
      <c r="G4819" s="9" t="n">
        <v>2</v>
      </c>
      <c r="H4819" s="21" t="n">
        <v>22</v>
      </c>
      <c r="I4819" s="21" t="n">
        <v>539.25</v>
      </c>
      <c r="J4819" s="21" t="n">
        <v>1617.75</v>
      </c>
      <c r="K4819" s="21" t="n">
        <v>1887.38</v>
      </c>
      <c r="L4819" s="21" t="n">
        <v>2157.01</v>
      </c>
      <c r="M4819" s="21" t="n">
        <v>2200</v>
      </c>
    </row>
    <row r="4820">
      <c r="A4820" s="9" t="inlineStr">
        <is>
          <t>ZOEY</t>
        </is>
      </c>
      <c r="B4820" s="9" t="inlineStr">
        <is>
          <t>ZOEY 08/06/2026</t>
        </is>
      </c>
      <c r="C4820" s="9" t="inlineStr">
        <is>
          <t>2026-06-08</t>
        </is>
      </c>
      <c r="D4820" s="9" t="inlineStr">
        <is>
          <t>33891171359725</t>
        </is>
      </c>
      <c r="E4820" s="9" t="inlineStr">
        <is>
          <t>CARTERA CD LIBRO ALARGADA SADDLE</t>
        </is>
      </c>
      <c r="F4820" s="9" t="inlineStr"/>
      <c r="G4820" s="9" t="n">
        <v>2</v>
      </c>
      <c r="H4820" s="21" t="n">
        <v>22</v>
      </c>
      <c r="I4820" s="21" t="n">
        <v>539.25</v>
      </c>
      <c r="J4820" s="21" t="n">
        <v>1617.75</v>
      </c>
      <c r="K4820" s="21" t="n">
        <v>1887.38</v>
      </c>
      <c r="L4820" s="21" t="n">
        <v>2157.01</v>
      </c>
      <c r="M4820" s="21" t="n">
        <v>2159</v>
      </c>
    </row>
    <row r="4821">
      <c r="A4821" s="9" t="inlineStr">
        <is>
          <t>ZOEY</t>
        </is>
      </c>
      <c r="B4821" s="9" t="inlineStr">
        <is>
          <t>ZOEY 08/06/2026</t>
        </is>
      </c>
      <c r="C4821" s="9" t="inlineStr">
        <is>
          <t>2026-06-08</t>
        </is>
      </c>
      <c r="D4821" s="9" t="inlineStr">
        <is>
          <t>29953902018861</t>
        </is>
      </c>
      <c r="E4821" s="9" t="inlineStr">
        <is>
          <t>CARTERA CD LOTUS SADDLE</t>
        </is>
      </c>
      <c r="F4821" s="9" t="inlineStr"/>
      <c r="G4821" s="9" t="n">
        <v>2</v>
      </c>
      <c r="H4821" s="21" t="n">
        <v>22</v>
      </c>
      <c r="I4821" s="21" t="n">
        <v>539.25</v>
      </c>
      <c r="J4821" s="21" t="n">
        <v>1617.75</v>
      </c>
      <c r="K4821" s="21" t="n">
        <v>1887.38</v>
      </c>
      <c r="L4821" s="21" t="n">
        <v>2157.01</v>
      </c>
      <c r="M4821" s="21" t="n">
        <v>2159</v>
      </c>
    </row>
    <row r="4822">
      <c r="A4822" s="9" t="inlineStr">
        <is>
          <t>ZOEY</t>
        </is>
      </c>
      <c r="B4822" s="9" t="inlineStr">
        <is>
          <t>ZOEY 08/06/2026</t>
        </is>
      </c>
      <c r="C4822" s="9" t="inlineStr">
        <is>
          <t>2026-06-08</t>
        </is>
      </c>
      <c r="D4822" s="9" t="inlineStr">
        <is>
          <t>29953901989485</t>
        </is>
      </c>
      <c r="E4822" s="9" t="inlineStr">
        <is>
          <t>CARTERA CD LOTUS SADDLE OBLIQUE</t>
        </is>
      </c>
      <c r="F4822" s="9" t="inlineStr"/>
      <c r="G4822" s="9" t="n">
        <v>2</v>
      </c>
      <c r="H4822" s="21" t="n">
        <v>22</v>
      </c>
      <c r="I4822" s="21" t="n">
        <v>539.25</v>
      </c>
      <c r="J4822" s="21" t="n">
        <v>1617.75</v>
      </c>
      <c r="K4822" s="21" t="n">
        <v>1887.38</v>
      </c>
      <c r="L4822" s="21" t="n">
        <v>2157.01</v>
      </c>
      <c r="M4822" s="21" t="n">
        <v>2159</v>
      </c>
    </row>
    <row r="4823">
      <c r="A4823" s="9" t="inlineStr">
        <is>
          <t>ZOEY</t>
        </is>
      </c>
      <c r="B4823" s="9" t="inlineStr">
        <is>
          <t>ZOEY 08/06/2026</t>
        </is>
      </c>
      <c r="C4823" s="9" t="inlineStr">
        <is>
          <t>2026-06-08</t>
        </is>
      </c>
      <c r="D4823" s="9" t="inlineStr">
        <is>
          <t>33891171713389</t>
        </is>
      </c>
      <c r="E4823" s="9" t="inlineStr">
        <is>
          <t>CARTERA H BEARN BLACK</t>
        </is>
      </c>
      <c r="F4823" s="9" t="inlineStr"/>
      <c r="G4823" s="9" t="n">
        <v>2</v>
      </c>
      <c r="H4823" s="21" t="n">
        <v>24</v>
      </c>
      <c r="I4823" s="21" t="n">
        <v>588.27</v>
      </c>
      <c r="J4823" s="21" t="n">
        <v>1764.82</v>
      </c>
      <c r="K4823" s="21" t="n">
        <v>2058.96</v>
      </c>
      <c r="L4823" s="21" t="n">
        <v>2353.1</v>
      </c>
      <c r="M4823" s="21" t="n">
        <v>2355</v>
      </c>
    </row>
    <row r="4824">
      <c r="A4824" s="9" t="inlineStr">
        <is>
          <t>ZOEY</t>
        </is>
      </c>
      <c r="B4824" s="9" t="inlineStr">
        <is>
          <t>ZOEY 08/06/2026</t>
        </is>
      </c>
      <c r="C4824" s="9" t="inlineStr">
        <is>
          <t>2026-06-08</t>
        </is>
      </c>
      <c r="D4824" s="9" t="inlineStr">
        <is>
          <t>33891171584013</t>
        </is>
      </c>
      <c r="E4824" s="9" t="inlineStr">
        <is>
          <t>CARTERA H SELLIER COMPACT</t>
        </is>
      </c>
      <c r="F4824" s="9" t="inlineStr"/>
      <c r="G4824" s="9" t="n">
        <v>2</v>
      </c>
      <c r="H4824" s="21" t="n">
        <v>24</v>
      </c>
      <c r="I4824" s="21" t="n">
        <v>588.27</v>
      </c>
      <c r="J4824" s="21" t="n">
        <v>1764.82</v>
      </c>
      <c r="K4824" s="21" t="n">
        <v>2058.96</v>
      </c>
      <c r="L4824" s="21" t="n">
        <v>2353.1</v>
      </c>
      <c r="M4824" s="21" t="n">
        <v>2059</v>
      </c>
    </row>
    <row r="4825">
      <c r="A4825" s="9" t="inlineStr">
        <is>
          <t>ZOEY</t>
        </is>
      </c>
      <c r="B4825" s="9" t="inlineStr">
        <is>
          <t>ZOEY 08/06/2026</t>
        </is>
      </c>
      <c r="C4825" s="9" t="inlineStr">
        <is>
          <t>2026-06-08</t>
        </is>
      </c>
      <c r="D4825" s="9" t="inlineStr">
        <is>
          <t>33891171670445</t>
        </is>
      </c>
      <c r="E4825" s="9" t="inlineStr">
        <is>
          <t>CARTERA H SELLIER COMPACT BLACK</t>
        </is>
      </c>
      <c r="F4825" s="9" t="inlineStr"/>
      <c r="G4825" s="9" t="n">
        <v>2</v>
      </c>
      <c r="H4825" s="21" t="n">
        <v>24</v>
      </c>
      <c r="I4825" s="21" t="n">
        <v>588.27</v>
      </c>
      <c r="J4825" s="21" t="n">
        <v>1764.82</v>
      </c>
      <c r="K4825" s="21" t="n">
        <v>2058.96</v>
      </c>
      <c r="L4825" s="21" t="n">
        <v>2353.1</v>
      </c>
      <c r="M4825" s="21" t="n">
        <v>2059</v>
      </c>
    </row>
    <row r="4826">
      <c r="A4826" s="9" t="inlineStr">
        <is>
          <t>ZOEY</t>
        </is>
      </c>
      <c r="B4826" s="9" t="inlineStr">
        <is>
          <t>ZOEY 08/06/2026</t>
        </is>
      </c>
      <c r="C4826" s="9" t="inlineStr">
        <is>
          <t>2026-06-08</t>
        </is>
      </c>
      <c r="D4826" s="9" t="inlineStr">
        <is>
          <t>24780441141293</t>
        </is>
      </c>
      <c r="E4826" s="9" t="inlineStr">
        <is>
          <t>CARTERA LV BLOOM H36</t>
        </is>
      </c>
      <c r="F4826" s="9" t="inlineStr"/>
      <c r="G4826" s="9" t="n">
        <v>2</v>
      </c>
      <c r="H4826" s="21" t="n">
        <v>16</v>
      </c>
      <c r="I4826" s="21" t="n">
        <v>392.18</v>
      </c>
      <c r="J4826" s="21" t="n">
        <v>1176.55</v>
      </c>
      <c r="K4826" s="21" t="n">
        <v>1372.64</v>
      </c>
      <c r="L4826" s="21" t="n">
        <v>1568.73</v>
      </c>
      <c r="M4826" s="21" t="n">
        <v>1373</v>
      </c>
    </row>
    <row r="4827">
      <c r="A4827" s="9" t="inlineStr">
        <is>
          <t>ZOEY</t>
        </is>
      </c>
      <c r="B4827" s="9" t="inlineStr">
        <is>
          <t>ZOEY 08/06/2026</t>
        </is>
      </c>
      <c r="C4827" s="9" t="inlineStr">
        <is>
          <t>2026-06-08</t>
        </is>
      </c>
      <c r="D4827" s="9" t="inlineStr">
        <is>
          <t>24780441200045</t>
        </is>
      </c>
      <c r="E4827" s="9" t="inlineStr">
        <is>
          <t>CARTERA LV EMILIE REVERSO</t>
        </is>
      </c>
      <c r="F4827" s="9" t="inlineStr"/>
      <c r="G4827" s="9" t="n">
        <v>2</v>
      </c>
      <c r="H4827" s="21" t="n">
        <v>16</v>
      </c>
      <c r="I4827" s="21" t="n">
        <v>392.18</v>
      </c>
      <c r="J4827" s="21" t="n">
        <v>1176.55</v>
      </c>
      <c r="K4827" s="21" t="n">
        <v>1372.64</v>
      </c>
      <c r="L4827" s="21" t="n">
        <v>1568.73</v>
      </c>
      <c r="M4827" s="21" t="n">
        <v>1559</v>
      </c>
    </row>
    <row r="4828">
      <c r="A4828" s="9" t="inlineStr">
        <is>
          <t>ZOEY</t>
        </is>
      </c>
      <c r="B4828" s="9" t="inlineStr">
        <is>
          <t>ZOEY 08/06/2026</t>
        </is>
      </c>
      <c r="C4828" s="9" t="inlineStr">
        <is>
          <t>2026-06-08</t>
        </is>
      </c>
      <c r="D4828" s="9" t="inlineStr">
        <is>
          <t>93098781603629</t>
        </is>
      </c>
      <c r="E4828" s="9" t="inlineStr">
        <is>
          <t>CARTERA LV MULTIPLE MONOGRAM</t>
        </is>
      </c>
      <c r="F4828" s="9" t="inlineStr">
        <is>
          <t>Default Title</t>
        </is>
      </c>
      <c r="G4828" s="9" t="n">
        <v>2</v>
      </c>
      <c r="H4828" s="21" t="n">
        <v>17</v>
      </c>
      <c r="I4828" s="21" t="n">
        <v>416.69</v>
      </c>
      <c r="J4828" s="21" t="n">
        <v>1250.08</v>
      </c>
      <c r="K4828" s="21" t="n">
        <v>1458.43</v>
      </c>
      <c r="L4828" s="21" t="n">
        <v>1666.78</v>
      </c>
      <c r="M4828" s="21" t="n">
        <v>1699</v>
      </c>
    </row>
    <row r="4829">
      <c r="A4829" s="9" t="inlineStr">
        <is>
          <t>ZOEY</t>
        </is>
      </c>
      <c r="B4829" s="9" t="inlineStr">
        <is>
          <t>ZOEY 08/06/2026</t>
        </is>
      </c>
      <c r="C4829" s="9" t="inlineStr">
        <is>
          <t>2026-06-08</t>
        </is>
      </c>
      <c r="D4829" s="9" t="inlineStr">
        <is>
          <t>24780441054861</t>
        </is>
      </c>
      <c r="E4829" s="9" t="inlineStr">
        <is>
          <t>CARTERA LV VICTORINE MONOGRAM EMPREINTE</t>
        </is>
      </c>
      <c r="F4829" s="9" t="inlineStr"/>
      <c r="G4829" s="9" t="n">
        <v>2</v>
      </c>
      <c r="H4829" s="21" t="n">
        <v>16</v>
      </c>
      <c r="I4829" s="21" t="n">
        <v>392.18</v>
      </c>
      <c r="J4829" s="21" t="n">
        <v>1176.55</v>
      </c>
      <c r="K4829" s="21" t="n">
        <v>1372.64</v>
      </c>
      <c r="L4829" s="21" t="n">
        <v>1568.73</v>
      </c>
      <c r="M4829" s="21" t="n">
        <v>1569</v>
      </c>
    </row>
    <row r="4830">
      <c r="A4830" s="9" t="inlineStr">
        <is>
          <t>ZOEY</t>
        </is>
      </c>
      <c r="B4830" s="9" t="inlineStr">
        <is>
          <t>ZOEY 08/06/2026</t>
        </is>
      </c>
      <c r="C4830" s="9" t="inlineStr">
        <is>
          <t>2026-06-08</t>
        </is>
      </c>
      <c r="D4830" s="9" t="inlineStr">
        <is>
          <t>13794532310349</t>
        </is>
      </c>
      <c r="E4830" s="9" t="inlineStr">
        <is>
          <t>CARTERA MM NAPA PINK</t>
        </is>
      </c>
      <c r="F4830" s="9" t="inlineStr">
        <is>
          <t>Default Title</t>
        </is>
      </c>
      <c r="G4830" s="9" t="n">
        <v>2</v>
      </c>
      <c r="H4830" s="21" t="n">
        <v>23</v>
      </c>
      <c r="I4830" s="21" t="n">
        <v>563.76</v>
      </c>
      <c r="J4830" s="21" t="n">
        <v>1691.29</v>
      </c>
      <c r="K4830" s="21" t="n">
        <v>1973.17</v>
      </c>
      <c r="L4830" s="21" t="n">
        <v>2255.05</v>
      </c>
      <c r="M4830" s="21" t="n">
        <v>2240</v>
      </c>
    </row>
    <row r="4831">
      <c r="A4831" s="9" t="inlineStr">
        <is>
          <t>ZOEY</t>
        </is>
      </c>
      <c r="B4831" s="9" t="inlineStr">
        <is>
          <t>ZOEY 08/06/2026</t>
        </is>
      </c>
      <c r="C4831" s="9" t="inlineStr">
        <is>
          <t>2026-06-08</t>
        </is>
      </c>
      <c r="D4831" s="9" t="inlineStr">
        <is>
          <t>93794531735053</t>
        </is>
      </c>
      <c r="E4831" s="9" t="inlineStr">
        <is>
          <t>CARTERA PR SAFFIANO</t>
        </is>
      </c>
      <c r="F4831" s="9" t="inlineStr">
        <is>
          <t>Default Title</t>
        </is>
      </c>
      <c r="G4831" s="9" t="n">
        <v>2</v>
      </c>
      <c r="H4831" s="21" t="n">
        <v>19</v>
      </c>
      <c r="I4831" s="21" t="n">
        <v>465.72</v>
      </c>
      <c r="J4831" s="21" t="n">
        <v>1397.15</v>
      </c>
      <c r="K4831" s="21" t="n">
        <v>1630.01</v>
      </c>
      <c r="L4831" s="21" t="n">
        <v>1862.87</v>
      </c>
      <c r="M4831" s="21" t="n">
        <v>1999</v>
      </c>
    </row>
    <row r="4832">
      <c r="A4832" s="9" t="inlineStr">
        <is>
          <t>ZOEY</t>
        </is>
      </c>
      <c r="B4832" s="9" t="inlineStr">
        <is>
          <t>ZOEY 08/06/2026</t>
        </is>
      </c>
      <c r="C4832" s="9" t="inlineStr">
        <is>
          <t>2026-06-08</t>
        </is>
      </c>
      <c r="D4832" s="9" t="inlineStr">
        <is>
          <t>99781782982125</t>
        </is>
      </c>
      <c r="E4832" s="9" t="inlineStr">
        <is>
          <t>CINTO C VIVIENNE 25</t>
        </is>
      </c>
      <c r="F4832" s="9" t="inlineStr">
        <is>
          <t>100cm</t>
        </is>
      </c>
      <c r="G4832" s="9" t="n">
        <v>3</v>
      </c>
      <c r="H4832" s="21" t="n">
        <v>45</v>
      </c>
      <c r="I4832" s="21" t="n">
        <v>1103.01</v>
      </c>
      <c r="J4832" s="21" t="n">
        <v>3309.04</v>
      </c>
      <c r="K4832" s="21" t="n">
        <v>3860.55</v>
      </c>
      <c r="L4832" s="21" t="n">
        <v>4412.06</v>
      </c>
      <c r="M4832" s="21" t="n">
        <v>4450</v>
      </c>
    </row>
    <row r="4833">
      <c r="A4833" s="9" t="inlineStr">
        <is>
          <t>ZOEY</t>
        </is>
      </c>
      <c r="B4833" s="9" t="inlineStr">
        <is>
          <t>ZOEY 08/06/2026</t>
        </is>
      </c>
      <c r="C4833" s="9" t="inlineStr">
        <is>
          <t>2026-06-08</t>
        </is>
      </c>
      <c r="D4833" s="9" t="inlineStr">
        <is>
          <t>99781783009805</t>
        </is>
      </c>
      <c r="E4833" s="9" t="inlineStr">
        <is>
          <t>CINTO C VIVIENNE 25 BLACK</t>
        </is>
      </c>
      <c r="F4833" s="9" t="inlineStr">
        <is>
          <t>100cm</t>
        </is>
      </c>
      <c r="G4833" s="9" t="n">
        <v>3</v>
      </c>
      <c r="H4833" s="21" t="n">
        <v>45</v>
      </c>
      <c r="I4833" s="21" t="n">
        <v>1103.01</v>
      </c>
      <c r="J4833" s="21" t="n">
        <v>3309.04</v>
      </c>
      <c r="K4833" s="21" t="n">
        <v>3860.55</v>
      </c>
      <c r="L4833" s="21" t="n">
        <v>4412.06</v>
      </c>
      <c r="M4833" s="21" t="n">
        <v>4450</v>
      </c>
    </row>
    <row r="4834">
      <c r="A4834" s="9" t="inlineStr">
        <is>
          <t>ZOEY</t>
        </is>
      </c>
      <c r="B4834" s="9" t="inlineStr">
        <is>
          <t>ZOEY 08/06/2026</t>
        </is>
      </c>
      <c r="C4834" s="9" t="inlineStr">
        <is>
          <t>2026-06-08</t>
        </is>
      </c>
      <c r="D4834" s="9" t="inlineStr">
        <is>
          <t>24780443453517</t>
        </is>
      </c>
      <c r="E4834" s="9" t="inlineStr">
        <is>
          <t>CINTO CC CHAIN</t>
        </is>
      </c>
      <c r="F4834" s="9" t="inlineStr">
        <is>
          <t>100cm</t>
        </is>
      </c>
      <c r="G4834" s="9" t="n">
        <v>2</v>
      </c>
      <c r="H4834" s="21" t="n">
        <v>65</v>
      </c>
      <c r="I4834" s="21" t="n">
        <v>1593.24</v>
      </c>
      <c r="J4834" s="21" t="n">
        <v>4779.73</v>
      </c>
      <c r="K4834" s="21" t="n">
        <v>5576.35</v>
      </c>
      <c r="L4834" s="21" t="n">
        <v>6372.97</v>
      </c>
      <c r="M4834" s="21" t="n">
        <v>5579</v>
      </c>
    </row>
    <row r="4835">
      <c r="A4835" s="9" t="inlineStr">
        <is>
          <t>ZOEY</t>
        </is>
      </c>
      <c r="B4835" s="9" t="inlineStr">
        <is>
          <t>ZOEY 08/06/2026</t>
        </is>
      </c>
      <c r="C4835" s="9" t="inlineStr">
        <is>
          <t>2026-06-08</t>
        </is>
      </c>
      <c r="D4835" s="9" t="inlineStr">
        <is>
          <t>24780443529645</t>
        </is>
      </c>
      <c r="E4835" s="9" t="inlineStr">
        <is>
          <t>CINTO CC CLASSIC</t>
        </is>
      </c>
      <c r="F4835" s="9" t="inlineStr">
        <is>
          <t>100cm</t>
        </is>
      </c>
      <c r="G4835" s="9" t="n">
        <v>2</v>
      </c>
      <c r="H4835" s="21" t="n">
        <v>45</v>
      </c>
      <c r="I4835" s="21" t="n">
        <v>1103.01</v>
      </c>
      <c r="J4835" s="21" t="n">
        <v>3309.04</v>
      </c>
      <c r="K4835" s="21" t="n">
        <v>3860.55</v>
      </c>
      <c r="L4835" s="21" t="n">
        <v>4412.06</v>
      </c>
      <c r="M4835" s="21" t="n">
        <v>3899</v>
      </c>
    </row>
    <row r="4836">
      <c r="A4836" s="9" t="inlineStr">
        <is>
          <t>ZOEY</t>
        </is>
      </c>
      <c r="B4836" s="9" t="inlineStr">
        <is>
          <t>ZOEY 08/06/2026</t>
        </is>
      </c>
      <c r="C4836" s="9" t="inlineStr">
        <is>
          <t>2026-06-08</t>
        </is>
      </c>
      <c r="D4836" s="9" t="inlineStr">
        <is>
          <t>24780443296461</t>
        </is>
      </c>
      <c r="E4836" s="9" t="inlineStr">
        <is>
          <t>CINTO CC LEATHER</t>
        </is>
      </c>
      <c r="F4836" s="9" t="inlineStr">
        <is>
          <t>100cm</t>
        </is>
      </c>
      <c r="G4836" s="9" t="n">
        <v>2</v>
      </c>
      <c r="H4836" s="21" t="n">
        <v>48</v>
      </c>
      <c r="I4836" s="21" t="n">
        <v>1176.55</v>
      </c>
      <c r="J4836" s="21" t="n">
        <v>3529.65</v>
      </c>
      <c r="K4836" s="21" t="n">
        <v>4117.92</v>
      </c>
      <c r="L4836" s="21" t="n">
        <v>4706.2</v>
      </c>
      <c r="M4836" s="21" t="n">
        <v>4120</v>
      </c>
    </row>
    <row r="4837">
      <c r="A4837" s="9" t="inlineStr">
        <is>
          <t>ZOEY</t>
        </is>
      </c>
      <c r="B4837" s="9" t="inlineStr">
        <is>
          <t>ZOEY 08/06/2026</t>
        </is>
      </c>
      <c r="C4837" s="9" t="inlineStr">
        <is>
          <t>2026-06-08</t>
        </is>
      </c>
      <c r="D4837" s="9" t="inlineStr">
        <is>
          <t>24780443136013</t>
        </is>
      </c>
      <c r="E4837" s="9" t="inlineStr">
        <is>
          <t>CINTO CC LEATHER BLACK</t>
        </is>
      </c>
      <c r="F4837" s="9" t="inlineStr">
        <is>
          <t>100cm</t>
        </is>
      </c>
      <c r="G4837" s="9" t="n">
        <v>2</v>
      </c>
      <c r="H4837" s="21" t="n">
        <v>48</v>
      </c>
      <c r="I4837" s="21" t="n">
        <v>1176.55</v>
      </c>
      <c r="J4837" s="21" t="n">
        <v>3529.65</v>
      </c>
      <c r="K4837" s="21" t="n">
        <v>4117.92</v>
      </c>
      <c r="L4837" s="21" t="n">
        <v>4706.2</v>
      </c>
      <c r="M4837" s="21" t="n">
        <v>4120</v>
      </c>
    </row>
    <row r="4838">
      <c r="A4838" s="9" t="inlineStr">
        <is>
          <t>ZOEY</t>
        </is>
      </c>
      <c r="B4838" s="9" t="inlineStr">
        <is>
          <t>ZOEY 08/06/2026</t>
        </is>
      </c>
      <c r="C4838" s="9" t="inlineStr">
        <is>
          <t>2026-06-08</t>
        </is>
      </c>
      <c r="D4838" s="9" t="inlineStr">
        <is>
          <t>24780443358605</t>
        </is>
      </c>
      <c r="E4838" s="9" t="inlineStr">
        <is>
          <t>CINTO CC SLINGBACK</t>
        </is>
      </c>
      <c r="F4838" s="9" t="inlineStr">
        <is>
          <t>100cm</t>
        </is>
      </c>
      <c r="G4838" s="9" t="n">
        <v>2</v>
      </c>
      <c r="H4838" s="21" t="n">
        <v>48</v>
      </c>
      <c r="I4838" s="21" t="n">
        <v>1176.55</v>
      </c>
      <c r="J4838" s="21" t="n">
        <v>3529.65</v>
      </c>
      <c r="K4838" s="21" t="n">
        <v>4117.92</v>
      </c>
      <c r="L4838" s="21" t="n">
        <v>4706.2</v>
      </c>
      <c r="M4838" s="21" t="n">
        <v>4710</v>
      </c>
    </row>
    <row r="4839">
      <c r="A4839" s="9" t="inlineStr">
        <is>
          <t>ZOEY</t>
        </is>
      </c>
      <c r="B4839" s="9" t="inlineStr">
        <is>
          <t>ZOEY 08/06/2026</t>
        </is>
      </c>
      <c r="C4839" s="9" t="inlineStr">
        <is>
          <t>2026-06-08</t>
        </is>
      </c>
      <c r="D4839" s="9" t="inlineStr">
        <is>
          <t>29953901285005</t>
        </is>
      </c>
      <c r="E4839" s="9" t="inlineStr">
        <is>
          <t>CINTO CD MEDALLON</t>
        </is>
      </c>
      <c r="F4839" s="9" t="inlineStr">
        <is>
          <t>100cm</t>
        </is>
      </c>
      <c r="G4839" s="9" t="n">
        <v>2</v>
      </c>
      <c r="H4839" s="21" t="n">
        <v>53</v>
      </c>
      <c r="I4839" s="21" t="n">
        <v>1299.11</v>
      </c>
      <c r="J4839" s="21" t="n">
        <v>3897.32</v>
      </c>
      <c r="K4839" s="21" t="n">
        <v>4546.87</v>
      </c>
      <c r="L4839" s="21" t="n">
        <v>5196.42</v>
      </c>
      <c r="M4839" s="21" t="n">
        <v>4550</v>
      </c>
    </row>
    <row r="4840">
      <c r="A4840" s="9" t="inlineStr">
        <is>
          <t>ZOEY</t>
        </is>
      </c>
      <c r="B4840" s="9" t="inlineStr">
        <is>
          <t>ZOEY 08/06/2026</t>
        </is>
      </c>
      <c r="C4840" s="9" t="inlineStr">
        <is>
          <t>2026-06-08</t>
        </is>
      </c>
      <c r="D4840" s="9" t="inlineStr">
        <is>
          <t>33891172826893</t>
        </is>
      </c>
      <c r="E4840" s="9" t="inlineStr">
        <is>
          <t>CINTO CD MONTAIGNE 30</t>
        </is>
      </c>
      <c r="F4840" s="9" t="inlineStr">
        <is>
          <t>100cm</t>
        </is>
      </c>
      <c r="G4840" s="9" t="n">
        <v>2</v>
      </c>
      <c r="H4840" s="21" t="n">
        <v>48</v>
      </c>
      <c r="I4840" s="21" t="n">
        <v>1176.55</v>
      </c>
      <c r="J4840" s="21" t="n">
        <v>3529.65</v>
      </c>
      <c r="K4840" s="21" t="n">
        <v>4117.92</v>
      </c>
      <c r="L4840" s="21" t="n">
        <v>4706.2</v>
      </c>
      <c r="M4840" s="21" t="n">
        <v>4118</v>
      </c>
    </row>
    <row r="4841">
      <c r="A4841" s="9" t="inlineStr">
        <is>
          <t>ZOEY</t>
        </is>
      </c>
      <c r="B4841" s="9" t="inlineStr">
        <is>
          <t>ZOEY 08/06/2026</t>
        </is>
      </c>
      <c r="C4841" s="9" t="inlineStr">
        <is>
          <t>2026-06-08</t>
        </is>
      </c>
      <c r="D4841" s="9" t="inlineStr">
        <is>
          <t>43792107834124</t>
        </is>
      </c>
      <c r="E4841" s="9" t="inlineStr">
        <is>
          <t>CINTO CD REVOLUTION</t>
        </is>
      </c>
      <c r="F4841" s="9" t="inlineStr">
        <is>
          <t>110cm</t>
        </is>
      </c>
      <c r="G4841" s="9" t="n">
        <v>2</v>
      </c>
      <c r="H4841" s="21" t="n">
        <v>45</v>
      </c>
      <c r="I4841" s="21" t="n">
        <v>1103.01</v>
      </c>
      <c r="J4841" s="21" t="n">
        <v>3309.04</v>
      </c>
      <c r="K4841" s="21" t="n">
        <v>3860.55</v>
      </c>
      <c r="L4841" s="21" t="n">
        <v>4412.06</v>
      </c>
      <c r="M4841" s="21" t="n">
        <v>4415</v>
      </c>
    </row>
    <row r="4842">
      <c r="A4842" s="9" t="inlineStr">
        <is>
          <t>ZOEY</t>
        </is>
      </c>
      <c r="B4842" s="9" t="inlineStr">
        <is>
          <t>ZOEY 08/06/2026</t>
        </is>
      </c>
      <c r="C4842" s="9" t="inlineStr">
        <is>
          <t>2026-06-08</t>
        </is>
      </c>
      <c r="D4842" s="9" t="inlineStr">
        <is>
          <t>33891172797517</t>
        </is>
      </c>
      <c r="E4842" s="9" t="inlineStr">
        <is>
          <t>CINTO CD SADDLE OBLIQUE</t>
        </is>
      </c>
      <c r="F4842" s="9" t="inlineStr">
        <is>
          <t>100cm</t>
        </is>
      </c>
      <c r="G4842" s="9" t="n">
        <v>2</v>
      </c>
      <c r="H4842" s="21" t="n">
        <v>48</v>
      </c>
      <c r="I4842" s="21" t="n">
        <v>1176.55</v>
      </c>
      <c r="J4842" s="21" t="n">
        <v>3529.65</v>
      </c>
      <c r="K4842" s="21" t="n">
        <v>4117.92</v>
      </c>
      <c r="L4842" s="21" t="n">
        <v>4706.2</v>
      </c>
      <c r="M4842" s="21" t="n">
        <v>4500</v>
      </c>
    </row>
    <row r="4843">
      <c r="A4843" s="9" t="inlineStr">
        <is>
          <t>ZOEY</t>
        </is>
      </c>
      <c r="B4843" s="9" t="inlineStr">
        <is>
          <t>ZOEY 08/06/2026</t>
        </is>
      </c>
      <c r="C4843" s="9" t="inlineStr">
        <is>
          <t>2026-06-08</t>
        </is>
      </c>
      <c r="D4843" s="9" t="inlineStr">
        <is>
          <t>33891172488493</t>
        </is>
      </c>
      <c r="E4843" s="9" t="inlineStr">
        <is>
          <t>CINTO FR ALL BLACK</t>
        </is>
      </c>
      <c r="F4843" s="9" t="inlineStr">
        <is>
          <t>110cm</t>
        </is>
      </c>
      <c r="G4843" s="9" t="n">
        <v>2</v>
      </c>
      <c r="H4843" s="21" t="n">
        <v>45</v>
      </c>
      <c r="I4843" s="21" t="n">
        <v>1103.01</v>
      </c>
      <c r="J4843" s="21" t="n">
        <v>3309.04</v>
      </c>
      <c r="K4843" s="21" t="n">
        <v>3860.55</v>
      </c>
      <c r="L4843" s="21" t="n">
        <v>4412.06</v>
      </c>
      <c r="M4843" s="21" t="n">
        <v>4420</v>
      </c>
    </row>
    <row r="4844">
      <c r="A4844" s="9" t="inlineStr">
        <is>
          <t>ZOEY</t>
        </is>
      </c>
      <c r="B4844" s="9" t="inlineStr">
        <is>
          <t>ZOEY 08/06/2026</t>
        </is>
      </c>
      <c r="C4844" s="9" t="inlineStr">
        <is>
          <t>2026-06-08</t>
        </is>
      </c>
      <c r="D4844" s="9" t="inlineStr">
        <is>
          <t>33891172607693</t>
        </is>
      </c>
      <c r="E4844" s="9" t="inlineStr">
        <is>
          <t>CINTO FR BLACK GANCINI</t>
        </is>
      </c>
      <c r="F4844" s="9" t="inlineStr">
        <is>
          <t>110cm</t>
        </is>
      </c>
      <c r="G4844" s="9" t="n">
        <v>2</v>
      </c>
      <c r="H4844" s="21" t="n">
        <v>45</v>
      </c>
      <c r="I4844" s="21" t="n">
        <v>1103.01</v>
      </c>
      <c r="J4844" s="21" t="n">
        <v>3309.04</v>
      </c>
      <c r="K4844" s="21" t="n">
        <v>3860.55</v>
      </c>
      <c r="L4844" s="21" t="n">
        <v>4412.06</v>
      </c>
      <c r="M4844" s="21" t="n">
        <v>4415</v>
      </c>
    </row>
    <row r="4845">
      <c r="A4845" s="9" t="inlineStr">
        <is>
          <t>ZOEY</t>
        </is>
      </c>
      <c r="B4845" s="9" t="inlineStr">
        <is>
          <t>ZOEY 08/06/2026</t>
        </is>
      </c>
      <c r="C4845" s="9" t="inlineStr">
        <is>
          <t>2026-06-08</t>
        </is>
      </c>
      <c r="D4845" s="9" t="inlineStr">
        <is>
          <t>33891172512781</t>
        </is>
      </c>
      <c r="E4845" s="9" t="inlineStr">
        <is>
          <t>CINTO FR REVERSIBLE BROWN</t>
        </is>
      </c>
      <c r="F4845" s="9" t="inlineStr">
        <is>
          <t>110cm</t>
        </is>
      </c>
      <c r="G4845" s="9" t="n">
        <v>2</v>
      </c>
      <c r="H4845" s="21" t="n">
        <v>45</v>
      </c>
      <c r="I4845" s="21" t="n">
        <v>1103.01</v>
      </c>
      <c r="J4845" s="21" t="n">
        <v>3309.04</v>
      </c>
      <c r="K4845" s="21" t="n">
        <v>3860.55</v>
      </c>
      <c r="L4845" s="21" t="n">
        <v>4412.06</v>
      </c>
      <c r="M4845" s="21" t="n">
        <v>4420</v>
      </c>
    </row>
    <row r="4846">
      <c r="A4846" s="9" t="inlineStr">
        <is>
          <t>ZOEY</t>
        </is>
      </c>
      <c r="B4846" s="9" t="inlineStr">
        <is>
          <t>ZOEY 08/06/2026</t>
        </is>
      </c>
      <c r="C4846" s="9" t="inlineStr">
        <is>
          <t>2026-06-08</t>
        </is>
      </c>
      <c r="D4846" s="9" t="inlineStr">
        <is>
          <t>33891172105453</t>
        </is>
      </c>
      <c r="E4846" s="9" t="inlineStr">
        <is>
          <t>CINTO GC CON HEBILLA REDONDA</t>
        </is>
      </c>
      <c r="F4846" s="9" t="inlineStr">
        <is>
          <t>100cm</t>
        </is>
      </c>
      <c r="G4846" s="9" t="n">
        <v>2</v>
      </c>
      <c r="H4846" s="21" t="n">
        <v>48</v>
      </c>
      <c r="I4846" s="21" t="n">
        <v>1176.55</v>
      </c>
      <c r="J4846" s="21" t="n">
        <v>3529.65</v>
      </c>
      <c r="K4846" s="21" t="n">
        <v>4117.92</v>
      </c>
      <c r="L4846" s="21" t="n">
        <v>4706.2</v>
      </c>
      <c r="M4846" s="21" t="n">
        <v>4675</v>
      </c>
    </row>
    <row r="4847">
      <c r="A4847" s="9" t="inlineStr">
        <is>
          <t>ZOEY</t>
        </is>
      </c>
      <c r="B4847" s="9" t="inlineStr">
        <is>
          <t>ZOEY 08/06/2026</t>
        </is>
      </c>
      <c r="C4847" s="9" t="inlineStr">
        <is>
          <t>2026-06-08</t>
        </is>
      </c>
      <c r="D4847" s="9" t="inlineStr">
        <is>
          <t>33891172393581</t>
        </is>
      </c>
      <c r="E4847" s="9" t="inlineStr">
        <is>
          <t>CINTO GC ENTRELAZADA GOLD</t>
        </is>
      </c>
      <c r="F4847" s="9" t="inlineStr">
        <is>
          <t>100cm</t>
        </is>
      </c>
      <c r="G4847" s="9" t="n">
        <v>2</v>
      </c>
      <c r="H4847" s="21" t="n">
        <v>48</v>
      </c>
      <c r="I4847" s="21" t="n">
        <v>1176.55</v>
      </c>
      <c r="J4847" s="21" t="n">
        <v>3529.65</v>
      </c>
      <c r="K4847" s="21" t="n">
        <v>4117.92</v>
      </c>
      <c r="L4847" s="21" t="n">
        <v>4706.2</v>
      </c>
      <c r="M4847" s="21" t="n">
        <v>4000</v>
      </c>
    </row>
    <row r="4848">
      <c r="A4848" s="9" t="inlineStr">
        <is>
          <t>ZOEY</t>
        </is>
      </c>
      <c r="B4848" s="9" t="inlineStr">
        <is>
          <t>ZOEY 08/06/2026</t>
        </is>
      </c>
      <c r="C4848" s="9" t="inlineStr">
        <is>
          <t>2026-06-08</t>
        </is>
      </c>
      <c r="D4848" s="9" t="inlineStr">
        <is>
          <t>33891172265901</t>
        </is>
      </c>
      <c r="E4848" s="9" t="inlineStr">
        <is>
          <t>CINTO GC ENTRELAZADA SILVER</t>
        </is>
      </c>
      <c r="F4848" s="9" t="inlineStr">
        <is>
          <t>100cm</t>
        </is>
      </c>
      <c r="G4848" s="9" t="n">
        <v>2</v>
      </c>
      <c r="H4848" s="21" t="n">
        <v>48</v>
      </c>
      <c r="I4848" s="21" t="n">
        <v>1176.55</v>
      </c>
      <c r="J4848" s="21" t="n">
        <v>3529.65</v>
      </c>
      <c r="K4848" s="21" t="n">
        <v>4117.92</v>
      </c>
      <c r="L4848" s="21" t="n">
        <v>4706.2</v>
      </c>
      <c r="M4848" s="21" t="n">
        <v>4000</v>
      </c>
    </row>
    <row r="4849">
      <c r="A4849" s="9" t="inlineStr">
        <is>
          <t>ZOEY</t>
        </is>
      </c>
      <c r="B4849" s="9" t="inlineStr">
        <is>
          <t>ZOEY 08/06/2026</t>
        </is>
      </c>
      <c r="C4849" s="9" t="inlineStr">
        <is>
          <t>2026-06-08</t>
        </is>
      </c>
      <c r="D4849" s="9" t="inlineStr">
        <is>
          <t>33891171856877</t>
        </is>
      </c>
      <c r="E4849" s="9" t="inlineStr">
        <is>
          <t>CINTO GC HEBILLA OVALADA</t>
        </is>
      </c>
      <c r="F4849" s="9" t="inlineStr">
        <is>
          <t>100cm</t>
        </is>
      </c>
      <c r="G4849" s="9" t="n">
        <v>2</v>
      </c>
      <c r="H4849" s="21" t="n">
        <v>48</v>
      </c>
      <c r="I4849" s="21" t="n">
        <v>1176.55</v>
      </c>
      <c r="J4849" s="21" t="n">
        <v>3529.65</v>
      </c>
      <c r="K4849" s="21" t="n">
        <v>4117.92</v>
      </c>
      <c r="L4849" s="21" t="n">
        <v>4706.2</v>
      </c>
      <c r="M4849" s="21" t="n">
        <v>4710</v>
      </c>
    </row>
    <row r="4850">
      <c r="A4850" s="9" t="inlineStr">
        <is>
          <t>ZOEY</t>
        </is>
      </c>
      <c r="B4850" s="9" t="inlineStr">
        <is>
          <t>ZOEY 08/06/2026</t>
        </is>
      </c>
      <c r="C4850" s="9" t="inlineStr">
        <is>
          <t>2026-06-08</t>
        </is>
      </c>
      <c r="D4850" s="9" t="inlineStr">
        <is>
          <t>33891172043309</t>
        </is>
      </c>
      <c r="E4850" s="9" t="inlineStr">
        <is>
          <t>CINTO GC HORSEBIT</t>
        </is>
      </c>
      <c r="F4850" s="9" t="inlineStr">
        <is>
          <t>100cm</t>
        </is>
      </c>
      <c r="G4850" s="9" t="n">
        <v>2</v>
      </c>
      <c r="H4850" s="21" t="n">
        <v>48</v>
      </c>
      <c r="I4850" s="21" t="n">
        <v>1176.55</v>
      </c>
      <c r="J4850" s="21" t="n">
        <v>3529.65</v>
      </c>
      <c r="K4850" s="21" t="n">
        <v>4117.92</v>
      </c>
      <c r="L4850" s="21" t="n">
        <v>4706.2</v>
      </c>
      <c r="M4850" s="21" t="n">
        <v>4710</v>
      </c>
    </row>
    <row r="4851">
      <c r="A4851" s="9" t="inlineStr">
        <is>
          <t>ZOEY</t>
        </is>
      </c>
      <c r="B4851" s="9" t="inlineStr">
        <is>
          <t>ZOEY 08/06/2026</t>
        </is>
      </c>
      <c r="C4851" s="9" t="inlineStr">
        <is>
          <t>2026-06-08</t>
        </is>
      </c>
      <c r="D4851" s="9" t="inlineStr">
        <is>
          <t>33891171950093</t>
        </is>
      </c>
      <c r="E4851" s="9" t="inlineStr">
        <is>
          <t>CINTO GC HORSEBIT BROWN</t>
        </is>
      </c>
      <c r="F4851" s="9" t="inlineStr">
        <is>
          <t>100cm</t>
        </is>
      </c>
      <c r="G4851" s="9" t="n">
        <v>2</v>
      </c>
      <c r="H4851" s="21" t="n">
        <v>48</v>
      </c>
      <c r="I4851" s="21" t="n">
        <v>1176.55</v>
      </c>
      <c r="J4851" s="21" t="n">
        <v>3529.65</v>
      </c>
      <c r="K4851" s="21" t="n">
        <v>4117.92</v>
      </c>
      <c r="L4851" s="21" t="n">
        <v>4706.2</v>
      </c>
      <c r="M4851" s="21" t="n">
        <v>4710</v>
      </c>
    </row>
    <row r="4852">
      <c r="A4852" s="9" t="inlineStr">
        <is>
          <t>ZOEY</t>
        </is>
      </c>
      <c r="B4852" s="9" t="inlineStr">
        <is>
          <t>ZOEY 08/06/2026</t>
        </is>
      </c>
      <c r="C4852" s="9" t="inlineStr">
        <is>
          <t>2026-06-08</t>
        </is>
      </c>
      <c r="D4852" s="9" t="inlineStr">
        <is>
          <t>24780441590413</t>
        </is>
      </c>
      <c r="E4852" s="9" t="inlineStr">
        <is>
          <t>CINTO LV DARLING ARD</t>
        </is>
      </c>
      <c r="F4852" s="9" t="inlineStr">
        <is>
          <t>100 cm</t>
        </is>
      </c>
      <c r="G4852" s="9" t="n">
        <v>2</v>
      </c>
      <c r="H4852" s="21" t="n">
        <v>52</v>
      </c>
      <c r="I4852" s="21" t="n">
        <v>1274.59</v>
      </c>
      <c r="J4852" s="21" t="n">
        <v>3823.78</v>
      </c>
      <c r="K4852" s="21" t="n">
        <v>4461.08</v>
      </c>
      <c r="L4852" s="21" t="n">
        <v>5098.38</v>
      </c>
      <c r="M4852" s="21" t="n">
        <v>5099</v>
      </c>
    </row>
    <row r="4853">
      <c r="A4853" s="9" t="inlineStr">
        <is>
          <t>ZOEY</t>
        </is>
      </c>
      <c r="B4853" s="9" t="inlineStr">
        <is>
          <t>ZOEY 08/06/2026</t>
        </is>
      </c>
      <c r="C4853" s="9" t="inlineStr">
        <is>
          <t>2026-06-08</t>
        </is>
      </c>
      <c r="D4853" s="9" t="inlineStr">
        <is>
          <t>24780441426573</t>
        </is>
      </c>
      <c r="E4853" s="9" t="inlineStr">
        <is>
          <t>CINTO LV MINI FLOWERGRAM</t>
        </is>
      </c>
      <c r="F4853" s="9" t="inlineStr">
        <is>
          <t>100 cm</t>
        </is>
      </c>
      <c r="G4853" s="9" t="n">
        <v>1</v>
      </c>
      <c r="H4853" s="21" t="n">
        <v>65</v>
      </c>
      <c r="I4853" s="21" t="n">
        <v>1593.24</v>
      </c>
      <c r="J4853" s="21" t="n">
        <v>4779.73</v>
      </c>
      <c r="K4853" s="21" t="n">
        <v>5576.35</v>
      </c>
      <c r="L4853" s="21" t="n">
        <v>6372.97</v>
      </c>
      <c r="M4853" s="21" t="n">
        <v>5579</v>
      </c>
    </row>
    <row r="4854">
      <c r="A4854" s="9" t="inlineStr">
        <is>
          <t>ZOEY</t>
        </is>
      </c>
      <c r="B4854" s="9" t="inlineStr">
        <is>
          <t>ZOEY 08/06/2026</t>
        </is>
      </c>
      <c r="C4854" s="9" t="inlineStr">
        <is>
          <t>2026-06-08</t>
        </is>
      </c>
      <c r="D4854" s="9" t="inlineStr">
        <is>
          <t>24780441715245</t>
        </is>
      </c>
      <c r="E4854" s="9" t="inlineStr">
        <is>
          <t>CINTO LV REVERSIBLE DAMOFLAJE</t>
        </is>
      </c>
      <c r="F4854" s="9" t="inlineStr">
        <is>
          <t>110cm</t>
        </is>
      </c>
      <c r="G4854" s="9" t="n">
        <v>2</v>
      </c>
      <c r="H4854" s="21" t="n">
        <v>45</v>
      </c>
      <c r="I4854" s="21" t="n">
        <v>1103.01</v>
      </c>
      <c r="J4854" s="21" t="n">
        <v>3309.04</v>
      </c>
      <c r="K4854" s="21" t="n">
        <v>3860.55</v>
      </c>
      <c r="L4854" s="21" t="n">
        <v>4412.06</v>
      </c>
      <c r="M4854" s="21" t="n">
        <v>3899</v>
      </c>
    </row>
    <row r="4855">
      <c r="A4855" s="9" t="inlineStr">
        <is>
          <t>ZOEY</t>
        </is>
      </c>
      <c r="B4855" s="9" t="inlineStr">
        <is>
          <t>ZOEY 08/06/2026</t>
        </is>
      </c>
      <c r="C4855" s="9" t="inlineStr">
        <is>
          <t>2026-06-08</t>
        </is>
      </c>
      <c r="D4855" s="9" t="inlineStr">
        <is>
          <t>24780441879085</t>
        </is>
      </c>
      <c r="E4855" s="9" t="inlineStr">
        <is>
          <t>CINTO LV REVERSIBLE FROG</t>
        </is>
      </c>
      <c r="F4855" s="9" t="inlineStr">
        <is>
          <t>110cm</t>
        </is>
      </c>
      <c r="G4855" s="9" t="n">
        <v>2</v>
      </c>
      <c r="H4855" s="21" t="n">
        <v>48</v>
      </c>
      <c r="I4855" s="21" t="n">
        <v>1176.55</v>
      </c>
      <c r="J4855" s="21" t="n">
        <v>3529.65</v>
      </c>
      <c r="K4855" s="21" t="n">
        <v>4117.92</v>
      </c>
      <c r="L4855" s="21" t="n">
        <v>4706.2</v>
      </c>
      <c r="M4855" s="21" t="n">
        <v>4710</v>
      </c>
    </row>
    <row r="4856">
      <c r="A4856" s="9" t="inlineStr">
        <is>
          <t>ZOEY</t>
        </is>
      </c>
      <c r="B4856" s="9" t="inlineStr">
        <is>
          <t>ZOEY 08/06/2026</t>
        </is>
      </c>
      <c r="C4856" s="9" t="inlineStr">
        <is>
          <t>2026-06-08</t>
        </is>
      </c>
      <c r="D4856" s="9" t="inlineStr">
        <is>
          <t>24780441910157</t>
        </is>
      </c>
      <c r="E4856" s="9" t="inlineStr">
        <is>
          <t>CINTO LV REVERSIBLE OPTIC</t>
        </is>
      </c>
      <c r="F4856" s="9" t="inlineStr">
        <is>
          <t>110cm</t>
        </is>
      </c>
      <c r="G4856" s="9" t="n">
        <v>2</v>
      </c>
      <c r="H4856" s="21" t="n">
        <v>48</v>
      </c>
      <c r="I4856" s="21" t="n">
        <v>1176.55</v>
      </c>
      <c r="J4856" s="21" t="n">
        <v>3529.65</v>
      </c>
      <c r="K4856" s="21" t="n">
        <v>4117.92</v>
      </c>
      <c r="L4856" s="21" t="n">
        <v>4706.2</v>
      </c>
      <c r="M4856" s="21" t="n">
        <v>4710</v>
      </c>
    </row>
    <row r="4857">
      <c r="A4857" s="9" t="inlineStr">
        <is>
          <t>ZOEY</t>
        </is>
      </c>
      <c r="B4857" s="9" t="inlineStr">
        <is>
          <t>ZOEY 08/06/2026</t>
        </is>
      </c>
      <c r="C4857" s="9" t="inlineStr">
        <is>
          <t>2026-06-08</t>
        </is>
      </c>
      <c r="D4857" s="9" t="inlineStr">
        <is>
          <t>24780441651405</t>
        </is>
      </c>
      <c r="E4857" s="9" t="inlineStr">
        <is>
          <t>CINTO LV S-LOCK REVERSIBLE</t>
        </is>
      </c>
      <c r="F4857" s="9" t="inlineStr">
        <is>
          <t>100 cm</t>
        </is>
      </c>
      <c r="G4857" s="9" t="n">
        <v>2</v>
      </c>
      <c r="H4857" s="21" t="n">
        <v>52</v>
      </c>
      <c r="I4857" s="21" t="n">
        <v>1274.59</v>
      </c>
      <c r="J4857" s="21" t="n">
        <v>3823.78</v>
      </c>
      <c r="K4857" s="21" t="n">
        <v>4461.08</v>
      </c>
      <c r="L4857" s="21" t="n">
        <v>5098.38</v>
      </c>
      <c r="M4857" s="21" t="n">
        <v>4469</v>
      </c>
    </row>
    <row r="4858">
      <c r="A4858" s="9" t="inlineStr">
        <is>
          <t>ZOEY</t>
        </is>
      </c>
      <c r="B4858" s="9" t="inlineStr">
        <is>
          <t>ZOEY 08/06/2026</t>
        </is>
      </c>
      <c r="C4858" s="9" t="inlineStr">
        <is>
          <t>2026-06-08</t>
        </is>
      </c>
      <c r="D4858" s="9" t="inlineStr">
        <is>
          <t>98946151012205</t>
        </is>
      </c>
      <c r="E4858" s="9" t="inlineStr">
        <is>
          <t>COLLAR CON PASADOR Y PLACA ESTILO CORAZÓN CON ZIRCONIA</t>
        </is>
      </c>
      <c r="F4858" s="9" t="inlineStr">
        <is>
          <t>Default Title</t>
        </is>
      </c>
      <c r="G4858" s="9" t="n">
        <v>2</v>
      </c>
      <c r="H4858" s="21" t="n">
        <v>9</v>
      </c>
      <c r="I4858" s="21" t="n">
        <v>220.6</v>
      </c>
      <c r="J4858" s="21" t="n">
        <v>661.8099999999999</v>
      </c>
      <c r="K4858" s="21" t="n">
        <v>772.11</v>
      </c>
      <c r="L4858" s="21" t="n">
        <v>882.41</v>
      </c>
      <c r="M4858" s="21" t="n">
        <v>899</v>
      </c>
    </row>
    <row r="4859">
      <c r="A4859" s="9" t="inlineStr">
        <is>
          <t>ZOEY</t>
        </is>
      </c>
      <c r="B4859" s="9" t="inlineStr">
        <is>
          <t>ZOEY 08/06/2026</t>
        </is>
      </c>
      <c r="C4859" s="9" t="inlineStr">
        <is>
          <t>2026-06-08</t>
        </is>
      </c>
      <c r="D4859" s="9" t="inlineStr">
        <is>
          <t>78326321018849</t>
        </is>
      </c>
      <c r="E4859" s="9" t="inlineStr">
        <is>
          <t>COLLAR LOVESTRUCK</t>
        </is>
      </c>
      <c r="F4859" s="9" t="inlineStr">
        <is>
          <t>43CM</t>
        </is>
      </c>
      <c r="G4859" s="9" t="n">
        <v>4</v>
      </c>
      <c r="H4859" s="21" t="n">
        <v>9</v>
      </c>
      <c r="I4859" s="21" t="n">
        <v>220.6</v>
      </c>
      <c r="J4859" s="21" t="n">
        <v>661.8099999999999</v>
      </c>
      <c r="K4859" s="21" t="n">
        <v>772.11</v>
      </c>
      <c r="L4859" s="21" t="n">
        <v>882.41</v>
      </c>
      <c r="M4859" s="21" t="n">
        <v>899</v>
      </c>
    </row>
    <row r="4860">
      <c r="A4860" s="9" t="inlineStr">
        <is>
          <t>ZOEY</t>
        </is>
      </c>
      <c r="B4860" s="9" t="inlineStr">
        <is>
          <t>ZOEY 08/06/2026</t>
        </is>
      </c>
      <c r="C4860" s="9" t="inlineStr">
        <is>
          <t>2026-06-08</t>
        </is>
      </c>
      <c r="D4860" s="9" t="inlineStr">
        <is>
          <t>99781783430157</t>
        </is>
      </c>
      <c r="E4860" s="9" t="inlineStr">
        <is>
          <t>COLLAR LV SAILOR SOO</t>
        </is>
      </c>
      <c r="F4860" s="9" t="inlineStr">
        <is>
          <t>Default Title</t>
        </is>
      </c>
      <c r="G4860" s="9" t="n">
        <v>1</v>
      </c>
      <c r="H4860" s="21" t="n">
        <v>14</v>
      </c>
      <c r="I4860" s="21" t="n">
        <v>343.16</v>
      </c>
      <c r="J4860" s="21" t="n">
        <v>1029.48</v>
      </c>
      <c r="K4860" s="21" t="n">
        <v>1201.06</v>
      </c>
      <c r="L4860" s="21" t="n">
        <v>1372.64</v>
      </c>
      <c r="M4860" s="21" t="n">
        <v>1299</v>
      </c>
    </row>
    <row r="4861">
      <c r="A4861" s="9" t="inlineStr">
        <is>
          <t>ZOEY</t>
        </is>
      </c>
      <c r="B4861" s="9" t="inlineStr">
        <is>
          <t>ZOEY 08/06/2026</t>
        </is>
      </c>
      <c r="C4861" s="9" t="inlineStr">
        <is>
          <t>2026-06-08</t>
        </is>
      </c>
      <c r="D4861" s="9" t="inlineStr">
        <is>
          <t>79416181049070</t>
        </is>
      </c>
      <c r="E4861" s="9" t="inlineStr">
        <is>
          <t>COLLAR MM GOLD BLACK</t>
        </is>
      </c>
      <c r="F4861" s="9" t="inlineStr">
        <is>
          <t>COPPER</t>
        </is>
      </c>
      <c r="G4861" s="9" t="n">
        <v>1</v>
      </c>
      <c r="H4861" s="21" t="n">
        <v>8</v>
      </c>
      <c r="I4861" s="21" t="n">
        <v>196.09</v>
      </c>
      <c r="J4861" s="21" t="n">
        <v>588.27</v>
      </c>
      <c r="K4861" s="21" t="n">
        <v>686.3200000000001</v>
      </c>
      <c r="L4861" s="21" t="n">
        <v>784.37</v>
      </c>
      <c r="M4861" s="21" t="n">
        <v>789</v>
      </c>
    </row>
    <row r="4862">
      <c r="A4862" s="9" t="inlineStr">
        <is>
          <t>ZOEY</t>
        </is>
      </c>
      <c r="B4862" s="9" t="inlineStr">
        <is>
          <t>ZOEY 08/06/2026</t>
        </is>
      </c>
      <c r="C4862" s="9" t="inlineStr">
        <is>
          <t>2026-06-08</t>
        </is>
      </c>
      <c r="D4862" s="9" t="inlineStr">
        <is>
          <t>99781782742573</t>
        </is>
      </c>
      <c r="E4862" s="9" t="inlineStr">
        <is>
          <t>GORRA C DENIM LAVADO</t>
        </is>
      </c>
      <c r="F4862" s="9" t="inlineStr">
        <is>
          <t>Default Title</t>
        </is>
      </c>
      <c r="G4862" s="9" t="n">
        <v>5</v>
      </c>
      <c r="H4862" s="21" t="n">
        <v>17</v>
      </c>
      <c r="I4862" s="21" t="n">
        <v>416.69</v>
      </c>
      <c r="J4862" s="21" t="n">
        <v>1250.08</v>
      </c>
      <c r="K4862" s="21" t="n">
        <v>1458.43</v>
      </c>
      <c r="L4862" s="21" t="n">
        <v>1666.78</v>
      </c>
      <c r="M4862" s="21" t="n">
        <v>1699</v>
      </c>
    </row>
    <row r="4863">
      <c r="A4863" s="9" t="inlineStr">
        <is>
          <t>ZOEY</t>
        </is>
      </c>
      <c r="B4863" s="9" t="inlineStr">
        <is>
          <t>ZOEY 08/06/2026</t>
        </is>
      </c>
      <c r="C4863" s="9" t="inlineStr">
        <is>
          <t>2026-06-08</t>
        </is>
      </c>
      <c r="D4863" s="9" t="inlineStr">
        <is>
          <t>29953901022861</t>
        </is>
      </c>
      <c r="E4863" s="9" t="inlineStr">
        <is>
          <t>GORRA CC WHITE</t>
        </is>
      </c>
      <c r="F4863" s="9" t="inlineStr"/>
      <c r="G4863" s="9" t="n">
        <v>2</v>
      </c>
      <c r="H4863" s="21" t="n">
        <v>18</v>
      </c>
      <c r="I4863" s="21" t="n">
        <v>441.21</v>
      </c>
      <c r="J4863" s="21" t="n">
        <v>1323.62</v>
      </c>
      <c r="K4863" s="21" t="n">
        <v>1544.22</v>
      </c>
      <c r="L4863" s="21" t="n">
        <v>1764.82</v>
      </c>
      <c r="M4863" s="21" t="n">
        <v>1759</v>
      </c>
    </row>
    <row r="4864">
      <c r="A4864" s="9" t="inlineStr">
        <is>
          <t>ZOEY</t>
        </is>
      </c>
      <c r="B4864" s="9" t="inlineStr">
        <is>
          <t>ZOEY 08/06/2026</t>
        </is>
      </c>
      <c r="C4864" s="9" t="inlineStr">
        <is>
          <t>2026-06-08</t>
        </is>
      </c>
      <c r="D4864" s="9" t="inlineStr">
        <is>
          <t>53794531101133</t>
        </is>
      </c>
      <c r="E4864" s="9" t="inlineStr">
        <is>
          <t>LENTES CD CANNAGE S2U</t>
        </is>
      </c>
      <c r="F4864" s="9" t="inlineStr">
        <is>
          <t>Default Title</t>
        </is>
      </c>
      <c r="G4864" s="9" t="n">
        <v>2</v>
      </c>
      <c r="H4864" s="21" t="n">
        <v>32</v>
      </c>
      <c r="I4864" s="21" t="n">
        <v>784.37</v>
      </c>
      <c r="J4864" s="21" t="n">
        <v>2353.1</v>
      </c>
      <c r="K4864" s="21" t="n">
        <v>2745.28</v>
      </c>
      <c r="L4864" s="21" t="n">
        <v>3137.46</v>
      </c>
      <c r="M4864" s="21" t="n">
        <v>3500</v>
      </c>
    </row>
    <row r="4865">
      <c r="A4865" s="9" t="inlineStr">
        <is>
          <t>ZOEY</t>
        </is>
      </c>
      <c r="B4865" s="9" t="inlineStr">
        <is>
          <t>ZOEY 08/06/2026</t>
        </is>
      </c>
      <c r="C4865" s="9" t="inlineStr">
        <is>
          <t>2026-06-08</t>
        </is>
      </c>
      <c r="D4865" s="9" t="inlineStr">
        <is>
          <t>43794531550861</t>
        </is>
      </c>
      <c r="E4865" s="9" t="inlineStr">
        <is>
          <t>LENTES CD PACIFIC R1</t>
        </is>
      </c>
      <c r="F4865" s="9" t="inlineStr">
        <is>
          <t>Default Title</t>
        </is>
      </c>
      <c r="G4865" s="9" t="n">
        <v>2</v>
      </c>
      <c r="H4865" s="21" t="n">
        <v>32</v>
      </c>
      <c r="I4865" s="21" t="n">
        <v>784.37</v>
      </c>
      <c r="J4865" s="21" t="n">
        <v>2353.1</v>
      </c>
      <c r="K4865" s="21" t="n">
        <v>2745.28</v>
      </c>
      <c r="L4865" s="21" t="n">
        <v>3137.46</v>
      </c>
      <c r="M4865" s="21" t="n">
        <v>3199</v>
      </c>
    </row>
    <row r="4866">
      <c r="A4866" s="9" t="inlineStr">
        <is>
          <t>ZOEY</t>
        </is>
      </c>
      <c r="B4866" s="9" t="inlineStr">
        <is>
          <t>ZOEY 08/06/2026</t>
        </is>
      </c>
      <c r="C4866" s="9" t="inlineStr">
        <is>
          <t>2026-06-08</t>
        </is>
      </c>
      <c r="D4866" s="9" t="inlineStr">
        <is>
          <t>43728083615436</t>
        </is>
      </c>
      <c r="E4866" s="9" t="inlineStr">
        <is>
          <t>LENTES CD SIGNATURE SI21</t>
        </is>
      </c>
      <c r="F4866" s="9" t="inlineStr">
        <is>
          <t>Default Title</t>
        </is>
      </c>
      <c r="G4866" s="9" t="n">
        <v>1</v>
      </c>
      <c r="H4866" s="21" t="n">
        <v>36</v>
      </c>
      <c r="I4866" s="21" t="n">
        <v>882.41</v>
      </c>
      <c r="J4866" s="21" t="n">
        <v>2647.24</v>
      </c>
      <c r="K4866" s="21" t="n">
        <v>3088.44</v>
      </c>
      <c r="L4866" s="21" t="n">
        <v>3529.65</v>
      </c>
      <c r="M4866" s="21" t="n">
        <v>3530</v>
      </c>
    </row>
    <row r="4867">
      <c r="A4867" s="9" t="inlineStr">
        <is>
          <t>ZOEY</t>
        </is>
      </c>
      <c r="B4867" s="9" t="inlineStr">
        <is>
          <t>ZOEY 08/06/2026</t>
        </is>
      </c>
      <c r="C4867" s="9" t="inlineStr">
        <is>
          <t>2026-06-08</t>
        </is>
      </c>
      <c r="D4867" s="9" t="inlineStr">
        <is>
          <t>29953902146541</t>
        </is>
      </c>
      <c r="E4867" s="9" t="inlineStr">
        <is>
          <t>MONEDERO CD MYRTE OBLIQUE</t>
        </is>
      </c>
      <c r="F4867" s="9" t="inlineStr"/>
      <c r="G4867" s="9" t="n">
        <v>2</v>
      </c>
      <c r="H4867" s="21" t="n">
        <v>19</v>
      </c>
      <c r="I4867" s="21" t="n">
        <v>465.72</v>
      </c>
      <c r="J4867" s="21" t="n">
        <v>1397.15</v>
      </c>
      <c r="K4867" s="21" t="n">
        <v>1630.01</v>
      </c>
      <c r="L4867" s="21" t="n">
        <v>1862.87</v>
      </c>
      <c r="M4867" s="21" t="n">
        <v>1869</v>
      </c>
    </row>
    <row r="4868">
      <c r="A4868" s="9" t="inlineStr">
        <is>
          <t>ZOEY</t>
        </is>
      </c>
      <c r="B4868" s="9" t="inlineStr">
        <is>
          <t>ZOEY 08/06/2026</t>
        </is>
      </c>
      <c r="C4868" s="9" t="inlineStr">
        <is>
          <t>2026-06-08</t>
        </is>
      </c>
      <c r="D4868" s="9" t="inlineStr">
        <is>
          <t>GISEL Y REYNA</t>
        </is>
      </c>
      <c r="E4868" s="9" t="inlineStr">
        <is>
          <t>PERFUME BACCARAT</t>
        </is>
      </c>
      <c r="F4868" s="9" t="inlineStr"/>
      <c r="G4868" s="9" t="n">
        <v>2</v>
      </c>
      <c r="H4868" s="21" t="n">
        <v>18</v>
      </c>
      <c r="I4868" s="21" t="n">
        <v>441.21</v>
      </c>
      <c r="J4868" s="21" t="n"/>
      <c r="K4868" s="21" t="n"/>
      <c r="L4868" s="21" t="n"/>
      <c r="M4868" s="21" t="n"/>
    </row>
    <row r="4869">
      <c r="A4869" s="9" t="inlineStr">
        <is>
          <t>ZOEY</t>
        </is>
      </c>
      <c r="B4869" s="9" t="inlineStr">
        <is>
          <t>ZOEY 08/06/2026</t>
        </is>
      </c>
      <c r="C4869" s="9" t="inlineStr">
        <is>
          <t>2026-06-08</t>
        </is>
      </c>
      <c r="D4869" s="9" t="inlineStr">
        <is>
          <t>95510921532845</t>
        </is>
      </c>
      <c r="E4869" s="9" t="inlineStr">
        <is>
          <t>PERFUME CD HYPNOTIC POISON</t>
        </is>
      </c>
      <c r="F4869" s="9" t="inlineStr">
        <is>
          <t>Default Title</t>
        </is>
      </c>
      <c r="G4869" s="9" t="n">
        <v>2</v>
      </c>
      <c r="H4869" s="21" t="n">
        <v>18</v>
      </c>
      <c r="I4869" s="21" t="n">
        <v>441.21</v>
      </c>
      <c r="J4869" s="21" t="n">
        <v>1323.62</v>
      </c>
      <c r="K4869" s="21" t="n">
        <v>1544.22</v>
      </c>
      <c r="L4869" s="21" t="n">
        <v>1764.82</v>
      </c>
      <c r="M4869" s="21" t="n">
        <v>1849</v>
      </c>
    </row>
    <row r="4870">
      <c r="A4870" s="9" t="inlineStr">
        <is>
          <t>ZOEY</t>
        </is>
      </c>
      <c r="B4870" s="9" t="inlineStr">
        <is>
          <t>ZOEY 08/06/2026</t>
        </is>
      </c>
      <c r="C4870" s="9" t="inlineStr">
        <is>
          <t>2026-06-08</t>
        </is>
      </c>
      <c r="D4870" s="9" t="inlineStr">
        <is>
          <t>40495211154861</t>
        </is>
      </c>
      <c r="E4870" s="9" t="inlineStr">
        <is>
          <t>PERFUME CREED AVENTUS EAU DE PARFUM</t>
        </is>
      </c>
      <c r="F4870" s="9" t="inlineStr">
        <is>
          <t>100 ml</t>
        </is>
      </c>
      <c r="G4870" s="9" t="n">
        <v>3</v>
      </c>
      <c r="H4870" s="21" t="n">
        <v>18</v>
      </c>
      <c r="I4870" s="21" t="n">
        <v>441.21</v>
      </c>
      <c r="J4870" s="21" t="n">
        <v>1323.62</v>
      </c>
      <c r="K4870" s="21" t="n">
        <v>1544.22</v>
      </c>
      <c r="L4870" s="21" t="n">
        <v>1764.82</v>
      </c>
      <c r="M4870" s="21" t="n">
        <v>1799</v>
      </c>
    </row>
    <row r="4871">
      <c r="A4871" s="9" t="inlineStr">
        <is>
          <t>ZOEY</t>
        </is>
      </c>
      <c r="B4871" s="9" t="inlineStr">
        <is>
          <t>ZOEY 08/06/2026</t>
        </is>
      </c>
      <c r="C4871" s="9" t="inlineStr">
        <is>
          <t>2026-06-08</t>
        </is>
      </c>
      <c r="D4871" s="9" t="inlineStr">
        <is>
          <t>34163621043821</t>
        </is>
      </c>
      <c r="E4871" s="9" t="inlineStr">
        <is>
          <t>PERFUME CREED SILVER MOUNTAIN WATER</t>
        </is>
      </c>
      <c r="F4871" s="9" t="inlineStr">
        <is>
          <t>Default Title</t>
        </is>
      </c>
      <c r="G4871" s="9" t="n">
        <v>2</v>
      </c>
      <c r="H4871" s="21" t="n">
        <v>18</v>
      </c>
      <c r="I4871" s="21" t="n">
        <v>441.21</v>
      </c>
      <c r="J4871" s="21" t="n">
        <v>1323.62</v>
      </c>
      <c r="K4871" s="21" t="n">
        <v>1544.22</v>
      </c>
      <c r="L4871" s="21" t="n">
        <v>1764.82</v>
      </c>
      <c r="M4871" s="21" t="n">
        <v>1799</v>
      </c>
    </row>
    <row r="4872">
      <c r="A4872" s="9" t="inlineStr">
        <is>
          <t>ZOEY</t>
        </is>
      </c>
      <c r="B4872" s="9" t="inlineStr">
        <is>
          <t>ZOEY 08/06/2026</t>
        </is>
      </c>
      <c r="C4872" s="9" t="inlineStr">
        <is>
          <t>2026-06-08</t>
        </is>
      </c>
      <c r="D4872" s="9" t="inlineStr">
        <is>
          <t>BARBARA</t>
        </is>
      </c>
      <c r="E4872" s="9" t="inlineStr">
        <is>
          <t>PERFUME JEAN PAUL SCANDAL GAUTTER MEN</t>
        </is>
      </c>
      <c r="F4872" s="9" t="inlineStr"/>
      <c r="G4872" s="9" t="n">
        <v>1</v>
      </c>
      <c r="H4872" s="21" t="n">
        <v>18</v>
      </c>
      <c r="I4872" s="21" t="n">
        <v>441.21</v>
      </c>
      <c r="J4872" s="21" t="n"/>
      <c r="K4872" s="21" t="n"/>
      <c r="L4872" s="21" t="n"/>
      <c r="M4872" s="21" t="n"/>
    </row>
    <row r="4873">
      <c r="A4873" s="9" t="inlineStr">
        <is>
          <t>ZOEY</t>
        </is>
      </c>
      <c r="B4873" s="9" t="inlineStr">
        <is>
          <t>ZOEY 08/06/2026</t>
        </is>
      </c>
      <c r="C4873" s="9" t="inlineStr">
        <is>
          <t>2026-06-08</t>
        </is>
      </c>
      <c r="D4873" s="9" t="inlineStr">
        <is>
          <t>15711173123085</t>
        </is>
      </c>
      <c r="E4873" s="9" t="inlineStr">
        <is>
          <t>PERFUME LAYTON DE MARLY 125ML</t>
        </is>
      </c>
      <c r="F4873" s="9" t="inlineStr">
        <is>
          <t>Default Title</t>
        </is>
      </c>
      <c r="G4873" s="9" t="n">
        <v>2</v>
      </c>
      <c r="H4873" s="21" t="n">
        <v>18</v>
      </c>
      <c r="I4873" s="21" t="n">
        <v>441.21</v>
      </c>
      <c r="J4873" s="21" t="n">
        <v>1323.62</v>
      </c>
      <c r="K4873" s="21" t="n">
        <v>1544.22</v>
      </c>
      <c r="L4873" s="21" t="n">
        <v>1764.82</v>
      </c>
      <c r="M4873" s="21" t="n">
        <v>1899</v>
      </c>
    </row>
    <row r="4874">
      <c r="A4874" s="9" t="inlineStr">
        <is>
          <t>ZOEY</t>
        </is>
      </c>
      <c r="B4874" s="9" t="inlineStr">
        <is>
          <t>ZOEY 08/06/2026</t>
        </is>
      </c>
      <c r="C4874" s="9" t="inlineStr">
        <is>
          <t>2026-06-08</t>
        </is>
      </c>
      <c r="D4874" s="9" t="inlineStr">
        <is>
          <t>48321439631756</t>
        </is>
      </c>
      <c r="E4874" s="9" t="inlineStr">
        <is>
          <t>PERFUME TF LOST CHERRY</t>
        </is>
      </c>
      <c r="F4874" s="9" t="inlineStr">
        <is>
          <t>Default Title</t>
        </is>
      </c>
      <c r="G4874" s="9" t="n">
        <v>1</v>
      </c>
      <c r="H4874" s="21" t="n">
        <v>18</v>
      </c>
      <c r="I4874" s="21" t="n">
        <v>441.21</v>
      </c>
      <c r="J4874" s="21" t="n">
        <v>1323.62</v>
      </c>
      <c r="K4874" s="21" t="n">
        <v>1544.22</v>
      </c>
      <c r="L4874" s="21" t="n">
        <v>1764.82</v>
      </c>
      <c r="M4874" s="21" t="n">
        <v>1910</v>
      </c>
    </row>
    <row r="4875">
      <c r="A4875" s="9" t="inlineStr">
        <is>
          <t>ZOEY</t>
        </is>
      </c>
      <c r="B4875" s="9" t="inlineStr">
        <is>
          <t>ZOEY 08/06/2026</t>
        </is>
      </c>
      <c r="C4875" s="9" t="inlineStr">
        <is>
          <t>2026-06-08</t>
        </is>
      </c>
      <c r="D4875" s="9" t="inlineStr">
        <is>
          <t>GISEL</t>
        </is>
      </c>
      <c r="E4875" s="9" t="inlineStr">
        <is>
          <t>PERFUME TF LOST CHERRY</t>
        </is>
      </c>
      <c r="F4875" s="9" t="inlineStr"/>
      <c r="G4875" s="9" t="n">
        <v>1</v>
      </c>
      <c r="H4875" s="21" t="n">
        <v>18</v>
      </c>
      <c r="I4875" s="21" t="n">
        <v>441.21</v>
      </c>
      <c r="J4875" s="21" t="n"/>
      <c r="K4875" s="21" t="n"/>
      <c r="L4875" s="21" t="n"/>
      <c r="M4875" s="21" t="n"/>
    </row>
    <row r="4876">
      <c r="A4876" s="9" t="inlineStr">
        <is>
          <t>ZOEY</t>
        </is>
      </c>
      <c r="B4876" s="9" t="inlineStr">
        <is>
          <t>ZOEY 08/06/2026</t>
        </is>
      </c>
      <c r="C4876" s="9" t="inlineStr">
        <is>
          <t>2026-06-08</t>
        </is>
      </c>
      <c r="D4876" s="9" t="inlineStr">
        <is>
          <t>10473111097537</t>
        </is>
      </c>
      <c r="E4876" s="9" t="inlineStr">
        <is>
          <t>PULSERA DE CUENTAS ROSEGOLD</t>
        </is>
      </c>
      <c r="F4876" s="9" t="inlineStr">
        <is>
          <t>17cm</t>
        </is>
      </c>
      <c r="G4876" s="9" t="n">
        <v>6</v>
      </c>
      <c r="H4876" s="21" t="n">
        <v>9</v>
      </c>
      <c r="I4876" s="21" t="n">
        <v>220.6</v>
      </c>
      <c r="J4876" s="21" t="n">
        <v>661.8099999999999</v>
      </c>
      <c r="K4876" s="21" t="n">
        <v>772.11</v>
      </c>
      <c r="L4876" s="21" t="n">
        <v>882.41</v>
      </c>
      <c r="M4876" s="21" t="n">
        <v>899</v>
      </c>
    </row>
    <row r="4877">
      <c r="A4877" s="9" t="inlineStr">
        <is>
          <t>ZOEY</t>
        </is>
      </c>
      <c r="B4877" s="9" t="inlineStr">
        <is>
          <t>ZOEY 08/06/2026</t>
        </is>
      </c>
      <c r="C4877" s="9" t="inlineStr">
        <is>
          <t>2026-06-08</t>
        </is>
      </c>
      <c r="D4877" s="9" t="inlineStr">
        <is>
          <t>82350491022541</t>
        </is>
      </c>
      <c r="E4877" s="9" t="inlineStr">
        <is>
          <t>PULSERA GC SCRIPT DE CADENA GOLD</t>
        </is>
      </c>
      <c r="F4877" s="9" t="inlineStr">
        <is>
          <t>Default Title</t>
        </is>
      </c>
      <c r="G4877" s="9" t="n">
        <v>2</v>
      </c>
      <c r="H4877" s="21" t="n">
        <v>9</v>
      </c>
      <c r="I4877" s="21" t="n">
        <v>220.6</v>
      </c>
      <c r="J4877" s="21" t="n">
        <v>661.8099999999999</v>
      </c>
      <c r="K4877" s="21" t="n">
        <v>772.11</v>
      </c>
      <c r="L4877" s="21" t="n">
        <v>882.41</v>
      </c>
      <c r="M4877" s="21" t="n">
        <v>775</v>
      </c>
    </row>
    <row r="4878">
      <c r="A4878" s="9" t="inlineStr">
        <is>
          <t>ZOEY</t>
        </is>
      </c>
      <c r="B4878" s="9" t="inlineStr">
        <is>
          <t>ZOEY 08/06/2026</t>
        </is>
      </c>
      <c r="C4878" s="9" t="inlineStr">
        <is>
          <t>2026-06-08</t>
        </is>
      </c>
      <c r="D4878" s="9" t="inlineStr">
        <is>
          <t>93098781071405</t>
        </is>
      </c>
      <c r="E4878" s="9" t="inlineStr">
        <is>
          <t>PULSERA LV SAILOR SOO</t>
        </is>
      </c>
      <c r="F4878" s="9" t="inlineStr">
        <is>
          <t>Default Title</t>
        </is>
      </c>
      <c r="G4878" s="9" t="n">
        <v>2</v>
      </c>
      <c r="H4878" s="21" t="n">
        <v>9</v>
      </c>
      <c r="I4878" s="21" t="n">
        <v>220.6</v>
      </c>
      <c r="J4878" s="21" t="n">
        <v>661.8099999999999</v>
      </c>
      <c r="K4878" s="21" t="n">
        <v>772.11</v>
      </c>
      <c r="L4878" s="21" t="n">
        <v>882.41</v>
      </c>
      <c r="M4878" s="21" t="n">
        <v>899</v>
      </c>
    </row>
    <row r="4879">
      <c r="A4879" s="9" t="inlineStr">
        <is>
          <t>ZOEY</t>
        </is>
      </c>
      <c r="B4879" s="9" t="inlineStr">
        <is>
          <t>ZOEY 08/06/2026</t>
        </is>
      </c>
      <c r="C4879" s="9" t="inlineStr">
        <is>
          <t>2026-06-08</t>
        </is>
      </c>
      <c r="D4879" s="9" t="inlineStr">
        <is>
          <t>17360611212237</t>
        </is>
      </c>
      <c r="E4879" s="9" t="inlineStr">
        <is>
          <t>RELOJ BALLON BLUE C</t>
        </is>
      </c>
      <c r="F4879" s="9" t="inlineStr">
        <is>
          <t>RELOJ SIN CAJA</t>
        </is>
      </c>
      <c r="G4879" s="9" t="n">
        <v>3</v>
      </c>
      <c r="H4879" s="21" t="n">
        <v>28</v>
      </c>
      <c r="I4879" s="21" t="n">
        <v>686.3200000000001</v>
      </c>
      <c r="J4879" s="21" t="n">
        <v>2058.96</v>
      </c>
      <c r="K4879" s="21" t="n">
        <v>2402.12</v>
      </c>
      <c r="L4879" s="21" t="n">
        <v>2745.28</v>
      </c>
      <c r="M4879" s="21" t="n">
        <v>3999</v>
      </c>
    </row>
    <row r="4880">
      <c r="A4880" s="9" t="inlineStr">
        <is>
          <t>ZOEY</t>
        </is>
      </c>
      <c r="B4880" s="9" t="inlineStr">
        <is>
          <t>ZOEY 08/06/2026</t>
        </is>
      </c>
      <c r="C4880" s="9" t="inlineStr">
        <is>
          <t>2026-06-08</t>
        </is>
      </c>
      <c r="D4880" s="9" t="inlineStr">
        <is>
          <t>34163623705709</t>
        </is>
      </c>
      <c r="E4880" s="9" t="inlineStr">
        <is>
          <t>RELOJ C BAIGNOIRE BLACK-GOLD</t>
        </is>
      </c>
      <c r="F4880" s="9" t="inlineStr">
        <is>
          <t>Default Title</t>
        </is>
      </c>
      <c r="G4880" s="9" t="n">
        <v>5</v>
      </c>
      <c r="H4880" s="21" t="n">
        <v>65</v>
      </c>
      <c r="I4880" s="21" t="n">
        <v>1593.24</v>
      </c>
      <c r="J4880" s="21" t="n">
        <v>4779.73</v>
      </c>
      <c r="K4880" s="21" t="n">
        <v>5576.35</v>
      </c>
      <c r="L4880" s="21" t="n">
        <v>6372.97</v>
      </c>
      <c r="M4880" s="21" t="n">
        <v>6399</v>
      </c>
    </row>
    <row r="4881">
      <c r="A4881" s="9" t="inlineStr">
        <is>
          <t>ZOEY</t>
        </is>
      </c>
      <c r="B4881" s="9" t="inlineStr">
        <is>
          <t>ZOEY 08/06/2026</t>
        </is>
      </c>
      <c r="C4881" s="9" t="inlineStr">
        <is>
          <t>2026-06-08</t>
        </is>
      </c>
      <c r="D4881" s="9" t="inlineStr">
        <is>
          <t>67535d2d7860a-2</t>
        </is>
      </c>
      <c r="E4881" s="9" t="inlineStr">
        <is>
          <t>RELOJ PANTHERE GOLD SILVER</t>
        </is>
      </c>
      <c r="F4881" s="9" t="inlineStr">
        <is>
          <t>RELOJ CON CAJA</t>
        </is>
      </c>
      <c r="G4881" s="9" t="n">
        <v>3</v>
      </c>
      <c r="H4881" s="21" t="n">
        <v>58</v>
      </c>
      <c r="I4881" s="21" t="n">
        <v>1421.66</v>
      </c>
      <c r="J4881" s="21" t="n">
        <v>4264.99</v>
      </c>
      <c r="K4881" s="21" t="n">
        <v>4975.82</v>
      </c>
      <c r="L4881" s="21" t="n">
        <v>5686.65</v>
      </c>
      <c r="M4881" s="21" t="n">
        <v>5720</v>
      </c>
    </row>
    <row r="4882">
      <c r="A4882" s="9" t="inlineStr">
        <is>
          <t>ZOEY</t>
        </is>
      </c>
      <c r="B4882" s="9" t="inlineStr">
        <is>
          <t>ZOEY 08/06/2026</t>
        </is>
      </c>
      <c r="C4882" s="9" t="inlineStr">
        <is>
          <t>2026-06-08</t>
        </is>
      </c>
      <c r="D4882" s="9" t="inlineStr">
        <is>
          <t>85430731026029</t>
        </is>
      </c>
      <c r="E4882" s="9" t="inlineStr">
        <is>
          <t>RELOJ PANTHERE SILVER</t>
        </is>
      </c>
      <c r="F4882" s="9" t="inlineStr">
        <is>
          <t>RELOJ CON CAJA</t>
        </is>
      </c>
      <c r="G4882" s="9" t="n">
        <v>2</v>
      </c>
      <c r="H4882" s="21" t="n">
        <v>58</v>
      </c>
      <c r="I4882" s="21" t="n">
        <v>1421.66</v>
      </c>
      <c r="J4882" s="21" t="n">
        <v>4264.99</v>
      </c>
      <c r="K4882" s="21" t="n">
        <v>4975.82</v>
      </c>
      <c r="L4882" s="21" t="n">
        <v>5686.65</v>
      </c>
      <c r="M4882" s="21" t="n">
        <v>5720</v>
      </c>
    </row>
    <row r="4883">
      <c r="A4883" s="9" t="inlineStr">
        <is>
          <t>ZOEY</t>
        </is>
      </c>
      <c r="B4883" s="9" t="inlineStr">
        <is>
          <t>ZOEY 08/06/2026</t>
        </is>
      </c>
      <c r="C4883" s="9" t="inlineStr">
        <is>
          <t>2026-06-08</t>
        </is>
      </c>
      <c r="D4883" s="9" t="inlineStr">
        <is>
          <t>GISEL</t>
        </is>
      </c>
      <c r="E4883" s="9" t="inlineStr">
        <is>
          <t>RELOJ PANTHERE SILVER</t>
        </is>
      </c>
      <c r="F4883" s="9" t="inlineStr"/>
      <c r="G4883" s="9" t="n">
        <v>1</v>
      </c>
      <c r="H4883" s="21" t="n">
        <v>58</v>
      </c>
      <c r="I4883" s="21" t="n">
        <v>1421.66</v>
      </c>
      <c r="J4883" s="21" t="n"/>
      <c r="K4883" s="21" t="n"/>
      <c r="L4883" s="21" t="n"/>
      <c r="M4883" s="21" t="n"/>
    </row>
    <row r="4884">
      <c r="A4884" s="9" t="inlineStr">
        <is>
          <t>ZOEY</t>
        </is>
      </c>
      <c r="B4884" s="9" t="inlineStr">
        <is>
          <t>ZOEY 08/06/2026</t>
        </is>
      </c>
      <c r="C4884" s="9" t="inlineStr">
        <is>
          <t>2026-06-08</t>
        </is>
      </c>
      <c r="D4884" s="9" t="inlineStr">
        <is>
          <t>677c26b553b3f-2</t>
        </is>
      </c>
      <c r="E4884" s="9" t="inlineStr">
        <is>
          <t>RELOJ RX OYSTER PERPETUAL BLACK</t>
        </is>
      </c>
      <c r="F4884" s="9" t="inlineStr">
        <is>
          <t>RELOJ CON CAJA</t>
        </is>
      </c>
      <c r="G4884" s="9" t="n">
        <v>4</v>
      </c>
      <c r="H4884" s="21" t="n">
        <v>42</v>
      </c>
      <c r="I4884" s="21" t="n">
        <v>1029.48</v>
      </c>
      <c r="J4884" s="21" t="n">
        <v>3088.44</v>
      </c>
      <c r="K4884" s="21" t="n">
        <v>3603.18</v>
      </c>
      <c r="L4884" s="21" t="n">
        <v>4117.92</v>
      </c>
      <c r="M4884" s="21" t="n">
        <v>4720</v>
      </c>
    </row>
    <row r="4885">
      <c r="A4885" s="9" t="inlineStr">
        <is>
          <t>ZOEY</t>
        </is>
      </c>
      <c r="B4885" s="9" t="inlineStr">
        <is>
          <t>ZOEY 08/06/2026</t>
        </is>
      </c>
      <c r="C4885" s="9" t="inlineStr">
        <is>
          <t>2026-06-08</t>
        </is>
      </c>
      <c r="D4885" s="9" t="inlineStr">
        <is>
          <t>677c26b553b3f-1</t>
        </is>
      </c>
      <c r="E4885" s="9" t="inlineStr">
        <is>
          <t>RELOJ RX OYSTER PERPETUAL BLACK</t>
        </is>
      </c>
      <c r="F4885" s="9" t="inlineStr">
        <is>
          <t>RELOJ SIN CAJA</t>
        </is>
      </c>
      <c r="G4885" s="9" t="n">
        <v>5</v>
      </c>
      <c r="H4885" s="21" t="n">
        <v>42</v>
      </c>
      <c r="I4885" s="21" t="n">
        <v>1029.48</v>
      </c>
      <c r="J4885" s="21" t="n">
        <v>3088.44</v>
      </c>
      <c r="K4885" s="21" t="n">
        <v>3603.18</v>
      </c>
      <c r="L4885" s="21" t="n">
        <v>4117.92</v>
      </c>
      <c r="M4885" s="21" t="n">
        <v>3999</v>
      </c>
    </row>
    <row r="4886">
      <c r="A4886" s="9" t="inlineStr">
        <is>
          <t>ZOEY</t>
        </is>
      </c>
      <c r="B4886" s="9" t="inlineStr">
        <is>
          <t>ZOEY 08/06/2026</t>
        </is>
      </c>
      <c r="C4886" s="9" t="inlineStr">
        <is>
          <t>2026-06-08</t>
        </is>
      </c>
      <c r="D4886" s="9" t="inlineStr">
        <is>
          <t>10427542282892</t>
        </is>
      </c>
      <c r="E4886" s="9" t="inlineStr">
        <is>
          <t>RELOJ SANTOS SILVER</t>
        </is>
      </c>
      <c r="F4886" s="9" t="inlineStr">
        <is>
          <t>34mm Mujer Con Caja</t>
        </is>
      </c>
      <c r="G4886" s="9" t="n">
        <v>3</v>
      </c>
      <c r="H4886" s="21" t="n">
        <v>68</v>
      </c>
      <c r="I4886" s="21" t="n">
        <v>1666.78</v>
      </c>
      <c r="J4886" s="21" t="n">
        <v>5000.33</v>
      </c>
      <c r="K4886" s="21" t="n">
        <v>5833.72</v>
      </c>
      <c r="L4886" s="21" t="n">
        <v>6667.11</v>
      </c>
      <c r="M4886" s="21" t="n">
        <v>6699</v>
      </c>
    </row>
    <row r="4887">
      <c r="A4887" s="9" t="inlineStr">
        <is>
          <t>ZOEY</t>
        </is>
      </c>
      <c r="B4887" s="9" t="inlineStr">
        <is>
          <t>ZOEY 08/06/2026</t>
        </is>
      </c>
      <c r="C4887" s="9" t="inlineStr">
        <is>
          <t>2026-06-08</t>
        </is>
      </c>
      <c r="D4887" s="9" t="inlineStr">
        <is>
          <t>10427542282893</t>
        </is>
      </c>
      <c r="E4887" s="9" t="inlineStr">
        <is>
          <t>RELOJ SANTOS SILVER</t>
        </is>
      </c>
      <c r="F4887" s="9" t="inlineStr">
        <is>
          <t>39mm Hombre Con Caja</t>
        </is>
      </c>
      <c r="G4887" s="9" t="n">
        <v>3</v>
      </c>
      <c r="H4887" s="21" t="n">
        <v>68</v>
      </c>
      <c r="I4887" s="21" t="n">
        <v>1666.78</v>
      </c>
      <c r="J4887" s="21" t="n">
        <v>5000.33</v>
      </c>
      <c r="K4887" s="21" t="n">
        <v>5833.72</v>
      </c>
      <c r="L4887" s="21" t="n">
        <v>6667.11</v>
      </c>
      <c r="M4887" s="21" t="n">
        <v>6699</v>
      </c>
    </row>
    <row r="4888">
      <c r="A4888" s="9" t="inlineStr">
        <is>
          <t>ZOEY</t>
        </is>
      </c>
      <c r="B4888" s="9" t="inlineStr">
        <is>
          <t>ZOEY 08/06/2026</t>
        </is>
      </c>
      <c r="C4888" s="9" t="inlineStr">
        <is>
          <t>2026-06-08</t>
        </is>
      </c>
      <c r="D4888" s="9" t="inlineStr">
        <is>
          <t>67535d35b8819</t>
        </is>
      </c>
      <c r="E4888" s="9" t="inlineStr">
        <is>
          <t>RELOJ SERPENTI SEDUTTORI</t>
        </is>
      </c>
      <c r="F4888" s="9" t="inlineStr">
        <is>
          <t>RELOJ CON  CAJA</t>
        </is>
      </c>
      <c r="G4888" s="9" t="n">
        <v>3</v>
      </c>
      <c r="H4888" s="21" t="n">
        <v>58</v>
      </c>
      <c r="I4888" s="21" t="n">
        <v>1421.66</v>
      </c>
      <c r="J4888" s="21" t="n">
        <v>4264.99</v>
      </c>
      <c r="K4888" s="21" t="n">
        <v>4975.82</v>
      </c>
      <c r="L4888" s="21" t="n">
        <v>5686.65</v>
      </c>
      <c r="M4888" s="21" t="n">
        <v>5720</v>
      </c>
    </row>
    <row r="4889">
      <c r="A4889" s="9" t="inlineStr">
        <is>
          <t>ZOEY</t>
        </is>
      </c>
      <c r="B4889" s="9" t="inlineStr">
        <is>
          <t>ZOEY 08/06/2026</t>
        </is>
      </c>
      <c r="C4889" s="9" t="inlineStr">
        <is>
          <t>2026-06-08</t>
        </is>
      </c>
      <c r="D4889" s="9" t="inlineStr">
        <is>
          <t>42283701061581</t>
        </is>
      </c>
      <c r="E4889" s="9" t="inlineStr">
        <is>
          <t>RELOJ TANK CR BLACK GOLD</t>
        </is>
      </c>
      <c r="F4889" s="9" t="inlineStr">
        <is>
          <t>Default Title</t>
        </is>
      </c>
      <c r="G4889" s="9" t="n">
        <v>7</v>
      </c>
      <c r="H4889" s="21" t="n">
        <v>35</v>
      </c>
      <c r="I4889" s="21" t="n">
        <v>857.9</v>
      </c>
      <c r="J4889" s="21" t="n">
        <v>2573.7</v>
      </c>
      <c r="K4889" s="21" t="n">
        <v>3002.65</v>
      </c>
      <c r="L4889" s="21" t="n">
        <v>3431.6</v>
      </c>
      <c r="M4889" s="21" t="n">
        <v>3500</v>
      </c>
    </row>
    <row r="4890">
      <c r="A4890" s="9" t="inlineStr">
        <is>
          <t>ZOEY</t>
        </is>
      </c>
      <c r="B4890" s="9" t="inlineStr">
        <is>
          <t>ZOEY 08/06/2026</t>
        </is>
      </c>
      <c r="C4890" s="9" t="inlineStr">
        <is>
          <t>2026-06-08</t>
        </is>
      </c>
      <c r="D4890" s="9" t="inlineStr">
        <is>
          <t>34163622492077</t>
        </is>
      </c>
      <c r="E4890" s="9" t="inlineStr">
        <is>
          <t>SANDALIAS CD DIORACT WHITE</t>
        </is>
      </c>
      <c r="F4890" s="9" t="inlineStr">
        <is>
          <t>38/25mx</t>
        </is>
      </c>
      <c r="G4890" s="9" t="n">
        <v>2</v>
      </c>
      <c r="H4890" s="21" t="n">
        <v>60</v>
      </c>
      <c r="I4890" s="21" t="n">
        <v>1470.69</v>
      </c>
      <c r="J4890" s="21" t="n">
        <v>4412.06</v>
      </c>
      <c r="K4890" s="21" t="n">
        <v>5147.4</v>
      </c>
      <c r="L4890" s="21" t="n">
        <v>5882.74</v>
      </c>
      <c r="M4890" s="21" t="n">
        <v>5899</v>
      </c>
    </row>
    <row r="4891">
      <c r="A4891" s="9" t="inlineStr">
        <is>
          <t>ZOEY</t>
        </is>
      </c>
      <c r="B4891" s="9" t="inlineStr">
        <is>
          <t>ZOEY 08/06/2026</t>
        </is>
      </c>
      <c r="C4891" s="9" t="inlineStr">
        <is>
          <t>2026-06-08</t>
        </is>
      </c>
      <c r="D4891" s="9" t="inlineStr">
        <is>
          <t>42834310205068</t>
        </is>
      </c>
      <c r="E4891" s="9" t="inlineStr">
        <is>
          <t>SANDALIAS CD MULE</t>
        </is>
      </c>
      <c r="F4891" s="9" t="inlineStr">
        <is>
          <t>24cm</t>
        </is>
      </c>
      <c r="G4891" s="9" t="n">
        <v>5</v>
      </c>
      <c r="H4891" s="21" t="n">
        <v>35</v>
      </c>
      <c r="I4891" s="21" t="n">
        <v>857.9</v>
      </c>
      <c r="J4891" s="21" t="n">
        <v>2573.7</v>
      </c>
      <c r="K4891" s="21" t="n">
        <v>3002.65</v>
      </c>
      <c r="L4891" s="21" t="n">
        <v>3431.6</v>
      </c>
      <c r="M4891" s="21" t="n">
        <v>3499</v>
      </c>
    </row>
    <row r="4892">
      <c r="A4892" s="9" t="inlineStr">
        <is>
          <t>ZOEY</t>
        </is>
      </c>
      <c r="B4892" s="9" t="inlineStr">
        <is>
          <t>ZOEY 08/06/2026</t>
        </is>
      </c>
      <c r="C4892" s="9" t="inlineStr">
        <is>
          <t>2026-06-08</t>
        </is>
      </c>
      <c r="D4892" s="9" t="inlineStr">
        <is>
          <t>42834310205068</t>
        </is>
      </c>
      <c r="E4892" s="9" t="inlineStr">
        <is>
          <t>SANDALIAS CD MULE</t>
        </is>
      </c>
      <c r="F4892" s="9" t="inlineStr">
        <is>
          <t>25cm</t>
        </is>
      </c>
      <c r="G4892" s="9" t="n">
        <v>4</v>
      </c>
      <c r="H4892" s="21" t="n">
        <v>35</v>
      </c>
      <c r="I4892" s="21" t="n">
        <v>857.9</v>
      </c>
      <c r="J4892" s="21" t="n">
        <v>2573.7</v>
      </c>
      <c r="K4892" s="21" t="n">
        <v>3002.65</v>
      </c>
      <c r="L4892" s="21" t="n">
        <v>3431.6</v>
      </c>
      <c r="M4892" s="21" t="n">
        <v>3499</v>
      </c>
    </row>
    <row r="4893">
      <c r="A4893" s="9" t="inlineStr">
        <is>
          <t>ZOEY</t>
        </is>
      </c>
      <c r="B4893" s="9" t="inlineStr">
        <is>
          <t>ZOEY 08/06/2026</t>
        </is>
      </c>
      <c r="C4893" s="9" t="inlineStr">
        <is>
          <t>2026-06-08</t>
        </is>
      </c>
      <c r="D4893" s="9" t="inlineStr">
        <is>
          <t>42834319904396</t>
        </is>
      </c>
      <c r="E4893" s="9" t="inlineStr">
        <is>
          <t>SANDALIAS DG</t>
        </is>
      </c>
      <c r="F4893" s="9" t="inlineStr">
        <is>
          <t>28cm</t>
        </is>
      </c>
      <c r="G4893" s="9" t="n">
        <v>1</v>
      </c>
      <c r="H4893" s="21" t="n">
        <v>40</v>
      </c>
      <c r="I4893" s="21" t="n">
        <v>980.46</v>
      </c>
      <c r="J4893" s="21" t="n">
        <v>2941.37</v>
      </c>
      <c r="K4893" s="21" t="n">
        <v>3431.6</v>
      </c>
      <c r="L4893" s="21" t="n">
        <v>3921.83</v>
      </c>
      <c r="M4893" s="21" t="n">
        <v>3899</v>
      </c>
    </row>
    <row r="4894">
      <c r="A4894" s="9" t="inlineStr">
        <is>
          <t>ZOEY</t>
        </is>
      </c>
      <c r="B4894" s="9" t="inlineStr">
        <is>
          <t>ZOEY 08/06/2026</t>
        </is>
      </c>
      <c r="C4894" s="9" t="inlineStr">
        <is>
          <t>2026-06-08</t>
        </is>
      </c>
      <c r="D4894" s="9" t="inlineStr">
        <is>
          <t>42834319871628</t>
        </is>
      </c>
      <c r="E4894" s="9" t="inlineStr">
        <is>
          <t>SANDALIAS DG</t>
        </is>
      </c>
      <c r="F4894" s="9" t="inlineStr">
        <is>
          <t>27cm</t>
        </is>
      </c>
      <c r="G4894" s="9" t="n">
        <v>1</v>
      </c>
      <c r="H4894" s="21" t="n">
        <v>40</v>
      </c>
      <c r="I4894" s="21" t="n">
        <v>980.46</v>
      </c>
      <c r="J4894" s="21" t="n">
        <v>2941.37</v>
      </c>
      <c r="K4894" s="21" t="n">
        <v>3431.6</v>
      </c>
      <c r="L4894" s="21" t="n">
        <v>3921.83</v>
      </c>
      <c r="M4894" s="21" t="n">
        <v>3899</v>
      </c>
    </row>
    <row r="4895">
      <c r="A4895" s="9" t="inlineStr">
        <is>
          <t>ZOEY</t>
        </is>
      </c>
      <c r="B4895" s="9" t="inlineStr">
        <is>
          <t>ZOEY 08/06/2026</t>
        </is>
      </c>
      <c r="C4895" s="9" t="inlineStr">
        <is>
          <t>2026-06-08</t>
        </is>
      </c>
      <c r="D4895" s="9" t="inlineStr">
        <is>
          <t>34163622177965</t>
        </is>
      </c>
      <c r="E4895" s="9" t="inlineStr">
        <is>
          <t>SANDALIAS F FEEL BLACK</t>
        </is>
      </c>
      <c r="F4895" s="9" t="inlineStr">
        <is>
          <t>38/25mx</t>
        </is>
      </c>
      <c r="G4895" s="9" t="n">
        <v>4</v>
      </c>
      <c r="H4895" s="21" t="n">
        <v>55</v>
      </c>
      <c r="I4895" s="21" t="n">
        <v>1348.13</v>
      </c>
      <c r="J4895" s="21" t="n">
        <v>4044.39</v>
      </c>
      <c r="K4895" s="21" t="n">
        <v>4718.45</v>
      </c>
      <c r="L4895" s="21" t="n">
        <v>5392.52</v>
      </c>
      <c r="M4895" s="21" t="n">
        <v>5399</v>
      </c>
    </row>
    <row r="4896">
      <c r="A4896" s="9" t="inlineStr">
        <is>
          <t>ZOEY</t>
        </is>
      </c>
      <c r="B4896" s="9" t="inlineStr">
        <is>
          <t>ZOEY 08/06/2026</t>
        </is>
      </c>
      <c r="C4896" s="9" t="inlineStr">
        <is>
          <t>2026-06-08</t>
        </is>
      </c>
      <c r="D4896" s="9" t="inlineStr">
        <is>
          <t>34163622623149</t>
        </is>
      </c>
      <c r="E4896" s="9" t="inlineStr">
        <is>
          <t>SANDALIAS LV MULE BOM DIA</t>
        </is>
      </c>
      <c r="F4896" s="9" t="inlineStr">
        <is>
          <t>38/25mx</t>
        </is>
      </c>
      <c r="G4896" s="9" t="n">
        <v>4</v>
      </c>
      <c r="H4896" s="21" t="n">
        <v>50</v>
      </c>
      <c r="I4896" s="21" t="n">
        <v>1225.57</v>
      </c>
      <c r="J4896" s="21" t="n">
        <v>3676.72</v>
      </c>
      <c r="K4896" s="21" t="n">
        <v>4289.5</v>
      </c>
      <c r="L4896" s="21" t="n">
        <v>4902.29</v>
      </c>
      <c r="M4896" s="21" t="n">
        <v>5122</v>
      </c>
    </row>
    <row r="4897">
      <c r="A4897" s="9" t="inlineStr">
        <is>
          <t>ZOEY</t>
        </is>
      </c>
      <c r="B4897" s="9" t="inlineStr">
        <is>
          <t>ZOEY 08/06/2026</t>
        </is>
      </c>
      <c r="C4897" s="9" t="inlineStr">
        <is>
          <t>2026-06-08</t>
        </is>
      </c>
      <c r="D4897" s="9" t="inlineStr">
        <is>
          <t>16498231076513</t>
        </is>
      </c>
      <c r="E4897" s="9" t="inlineStr">
        <is>
          <t>SET DE COLLAR Y PULSERA CORAZÓN CON ZIRCONIA. Titanio</t>
        </is>
      </c>
      <c r="F4897" s="9" t="inlineStr">
        <is>
          <t>Default Title</t>
        </is>
      </c>
      <c r="G4897" s="9" t="n">
        <v>3</v>
      </c>
      <c r="H4897" s="21" t="n">
        <v>9</v>
      </c>
      <c r="I4897" s="21" t="n">
        <v>220.6</v>
      </c>
      <c r="J4897" s="21" t="n">
        <v>661.8099999999999</v>
      </c>
      <c r="K4897" s="21" t="n">
        <v>772.11</v>
      </c>
      <c r="L4897" s="21" t="n">
        <v>882.41</v>
      </c>
      <c r="M4897" s="21" t="n">
        <v>879</v>
      </c>
    </row>
    <row r="4898">
      <c r="A4898" s="9" t="inlineStr">
        <is>
          <t>ZOEY</t>
        </is>
      </c>
      <c r="B4898" s="9" t="inlineStr">
        <is>
          <t>ZOEY 08/06/2026</t>
        </is>
      </c>
      <c r="C4898" s="9" t="inlineStr">
        <is>
          <t>2026-06-08</t>
        </is>
      </c>
      <c r="D4898" s="9" t="inlineStr">
        <is>
          <t>16498231076513</t>
        </is>
      </c>
      <c r="E4898" s="9" t="inlineStr">
        <is>
          <t>SET DE COLLAR Y PULSERA CORAZÓN CON ZIRCONIA. Titanio</t>
        </is>
      </c>
      <c r="F4898" s="9" t="inlineStr"/>
      <c r="G4898" s="9" t="n">
        <v>3</v>
      </c>
      <c r="H4898" s="21" t="n">
        <v>8</v>
      </c>
      <c r="I4898" s="21" t="n">
        <v>196.09</v>
      </c>
      <c r="J4898" s="21" t="n">
        <v>588.27</v>
      </c>
      <c r="K4898" s="21" t="n">
        <v>686.3200000000001</v>
      </c>
      <c r="L4898" s="21" t="n">
        <v>784.37</v>
      </c>
      <c r="M4898" s="21" t="n">
        <v>779</v>
      </c>
    </row>
    <row r="4899">
      <c r="A4899" s="9" t="inlineStr">
        <is>
          <t>ZOEY</t>
        </is>
      </c>
      <c r="B4899" s="9" t="inlineStr">
        <is>
          <t>ZOEY 08/06/2026</t>
        </is>
      </c>
      <c r="C4899" s="9" t="inlineStr">
        <is>
          <t>2026-06-08</t>
        </is>
      </c>
      <c r="D4899" s="9" t="inlineStr">
        <is>
          <t>43728084530892</t>
        </is>
      </c>
      <c r="E4899" s="9" t="inlineStr">
        <is>
          <t>SUÉTER PR MILANO WHITE</t>
        </is>
      </c>
      <c r="F4899" s="9" t="inlineStr">
        <is>
          <t>M</t>
        </is>
      </c>
      <c r="G4899" s="9" t="n">
        <v>3</v>
      </c>
      <c r="H4899" s="21" t="n">
        <v>38</v>
      </c>
      <c r="I4899" s="21" t="n">
        <v>931.4299999999999</v>
      </c>
      <c r="J4899" s="21" t="n">
        <v>2794.3</v>
      </c>
      <c r="K4899" s="21" t="n">
        <v>3260.02</v>
      </c>
      <c r="L4899" s="21" t="n">
        <v>3725.74</v>
      </c>
      <c r="M4899" s="21" t="n">
        <v>3700</v>
      </c>
    </row>
    <row r="4900">
      <c r="A4900" s="9" t="inlineStr">
        <is>
          <t>ZOEY</t>
        </is>
      </c>
      <c r="B4900" s="9" t="inlineStr">
        <is>
          <t>ZOEY 08/06/2026</t>
        </is>
      </c>
      <c r="C4900" s="9" t="inlineStr">
        <is>
          <t>2026-06-08</t>
        </is>
      </c>
      <c r="D4900" s="9" t="inlineStr">
        <is>
          <t>99781782139949</t>
        </is>
      </c>
      <c r="E4900" s="9" t="inlineStr">
        <is>
          <t>TARJETERO GC EMBLEM</t>
        </is>
      </c>
      <c r="F4900" s="9" t="inlineStr">
        <is>
          <t>Default Title</t>
        </is>
      </c>
      <c r="G4900" s="9" t="n">
        <v>4</v>
      </c>
      <c r="H4900" s="21" t="n">
        <v>14</v>
      </c>
      <c r="I4900" s="21" t="n">
        <v>343.16</v>
      </c>
      <c r="J4900" s="21" t="n">
        <v>1029.48</v>
      </c>
      <c r="K4900" s="21" t="n">
        <v>1201.06</v>
      </c>
      <c r="L4900" s="21" t="n">
        <v>1372.64</v>
      </c>
      <c r="M4900" s="21" t="n">
        <v>1399</v>
      </c>
    </row>
    <row r="4901">
      <c r="A4901" s="9" t="inlineStr">
        <is>
          <t>ZOEY</t>
        </is>
      </c>
      <c r="B4901" s="9" t="inlineStr">
        <is>
          <t>ZOEY 08/06/2026</t>
        </is>
      </c>
      <c r="C4901" s="9" t="inlineStr">
        <is>
          <t>2026-06-08</t>
        </is>
      </c>
      <c r="D4901" s="9" t="inlineStr">
        <is>
          <t>99781781384365</t>
        </is>
      </c>
      <c r="E4901" s="9" t="inlineStr">
        <is>
          <t>TARJETERO GC MARMONT</t>
        </is>
      </c>
      <c r="F4901" s="9" t="inlineStr">
        <is>
          <t>Default Title</t>
        </is>
      </c>
      <c r="G4901" s="9" t="n">
        <v>2</v>
      </c>
      <c r="H4901" s="21" t="n">
        <v>14</v>
      </c>
      <c r="I4901" s="21" t="n">
        <v>343.16</v>
      </c>
      <c r="J4901" s="21" t="n">
        <v>1029.48</v>
      </c>
      <c r="K4901" s="21" t="n">
        <v>1201.06</v>
      </c>
      <c r="L4901" s="21" t="n">
        <v>1372.64</v>
      </c>
      <c r="M4901" s="21" t="n">
        <v>1399</v>
      </c>
    </row>
    <row r="4902">
      <c r="A4902" s="9" t="inlineStr">
        <is>
          <t>ZOEY</t>
        </is>
      </c>
      <c r="B4902" s="9" t="inlineStr">
        <is>
          <t>ZOEY 08/06/2026</t>
        </is>
      </c>
      <c r="C4902" s="9" t="inlineStr">
        <is>
          <t>2026-06-08</t>
        </is>
      </c>
      <c r="D4902" s="9" t="inlineStr">
        <is>
          <t>33794532055533</t>
        </is>
      </c>
      <c r="E4902" s="9" t="inlineStr">
        <is>
          <t>TARJETERO MM NAPA</t>
        </is>
      </c>
      <c r="F4902" s="9" t="inlineStr">
        <is>
          <t>Default Title</t>
        </is>
      </c>
      <c r="G4902" s="9" t="n">
        <v>3</v>
      </c>
      <c r="H4902" s="21" t="n">
        <v>15</v>
      </c>
      <c r="I4902" s="21" t="n">
        <v>367.67</v>
      </c>
      <c r="J4902" s="21" t="n">
        <v>1103.01</v>
      </c>
      <c r="K4902" s="21" t="n">
        <v>1286.85</v>
      </c>
      <c r="L4902" s="21" t="n">
        <v>1470.69</v>
      </c>
      <c r="M4902" s="21" t="n">
        <v>1599</v>
      </c>
    </row>
    <row r="4903">
      <c r="A4903" s="9" t="inlineStr">
        <is>
          <t>ZOEY</t>
        </is>
      </c>
      <c r="B4903" s="9" t="inlineStr">
        <is>
          <t>ZOEY 08/06/2026</t>
        </is>
      </c>
      <c r="C4903" s="9" t="inlineStr">
        <is>
          <t>2026-06-08</t>
        </is>
      </c>
      <c r="D4903" s="9" t="inlineStr">
        <is>
          <t>43728117034540</t>
        </is>
      </c>
      <c r="E4903" s="9" t="inlineStr">
        <is>
          <t>TARJETERO YSL GOLD</t>
        </is>
      </c>
      <c r="F4903" s="9" t="inlineStr">
        <is>
          <t>HIGH QUALITY</t>
        </is>
      </c>
      <c r="G4903" s="9" t="n">
        <v>11</v>
      </c>
      <c r="H4903" s="21" t="n">
        <v>13</v>
      </c>
      <c r="I4903" s="21" t="n">
        <v>318.65</v>
      </c>
      <c r="J4903" s="21" t="n">
        <v>955.95</v>
      </c>
      <c r="K4903" s="21" t="n">
        <v>1115.27</v>
      </c>
      <c r="L4903" s="21" t="n">
        <v>1274.59</v>
      </c>
      <c r="M4903" s="21" t="n">
        <v>1399</v>
      </c>
    </row>
    <row r="4904">
      <c r="A4904" s="9" t="inlineStr">
        <is>
          <t>ZOEY</t>
        </is>
      </c>
      <c r="B4904" s="9" t="inlineStr">
        <is>
          <t>ZOEY 08/06/2026</t>
        </is>
      </c>
      <c r="C4904" s="9" t="inlineStr">
        <is>
          <t>2026-06-08</t>
        </is>
      </c>
      <c r="D4904" s="9" t="inlineStr">
        <is>
          <t>47685124125580</t>
        </is>
      </c>
      <c r="E4904" s="9" t="inlineStr">
        <is>
          <t>TRAJE DE BAÑO CD</t>
        </is>
      </c>
      <c r="F4904" s="9" t="inlineStr">
        <is>
          <t>M</t>
        </is>
      </c>
      <c r="G4904" s="9" t="n">
        <v>3</v>
      </c>
      <c r="H4904" s="21" t="n">
        <v>25</v>
      </c>
      <c r="I4904" s="21" t="n">
        <v>612.79</v>
      </c>
      <c r="J4904" s="21" t="n">
        <v>1838.36</v>
      </c>
      <c r="K4904" s="21" t="n">
        <v>2144.75</v>
      </c>
      <c r="L4904" s="21" t="n">
        <v>2451.14</v>
      </c>
      <c r="M4904" s="21" t="n">
        <v>2499</v>
      </c>
    </row>
    <row r="4905">
      <c r="A4905" s="9" t="inlineStr">
        <is>
          <t>ZOEY</t>
        </is>
      </c>
      <c r="B4905" s="9" t="inlineStr">
        <is>
          <t>ZOEY 08/06/2026</t>
        </is>
      </c>
      <c r="C4905" s="9" t="inlineStr">
        <is>
          <t>2026-06-08</t>
        </is>
      </c>
      <c r="D4905" s="9" t="inlineStr">
        <is>
          <t>10065591041229</t>
        </is>
      </c>
      <c r="E4905" s="9" t="inlineStr">
        <is>
          <t>TRAJE DE BAÑO COMPLETO TRIOMPHE</t>
        </is>
      </c>
      <c r="F4905" s="9" t="inlineStr">
        <is>
          <t>M</t>
        </is>
      </c>
      <c r="G4905" s="9" t="n">
        <v>2</v>
      </c>
      <c r="H4905" s="21" t="n">
        <v>25</v>
      </c>
      <c r="I4905" s="21" t="n">
        <v>612.79</v>
      </c>
      <c r="J4905" s="21" t="n">
        <v>1838.36</v>
      </c>
      <c r="K4905" s="21" t="n">
        <v>2144.75</v>
      </c>
      <c r="L4905" s="21" t="n">
        <v>2451.14</v>
      </c>
      <c r="M4905" s="21" t="n">
        <v>2499</v>
      </c>
    </row>
    <row r="4906">
      <c r="A4906" s="9" t="inlineStr">
        <is>
          <t>ZOEY</t>
        </is>
      </c>
      <c r="B4906" s="9" t="inlineStr">
        <is>
          <t>ZOEY 08/06/2026</t>
        </is>
      </c>
      <c r="C4906" s="9" t="inlineStr">
        <is>
          <t>2026-06-08</t>
        </is>
      </c>
      <c r="D4906" s="9" t="inlineStr">
        <is>
          <t>77590343942668</t>
        </is>
      </c>
      <c r="E4906" s="9" t="inlineStr">
        <is>
          <t>TRAJE DE BAÑO F</t>
        </is>
      </c>
      <c r="F4906" s="9" t="inlineStr">
        <is>
          <t>M</t>
        </is>
      </c>
      <c r="G4906" s="9" t="n">
        <v>4</v>
      </c>
      <c r="H4906" s="21" t="n">
        <v>25</v>
      </c>
      <c r="I4906" s="21" t="n">
        <v>612.79</v>
      </c>
      <c r="J4906" s="21" t="n">
        <v>1838.36</v>
      </c>
      <c r="K4906" s="21" t="n">
        <v>2144.75</v>
      </c>
      <c r="L4906" s="21" t="n">
        <v>2451.14</v>
      </c>
      <c r="M4906" s="21" t="n">
        <v>2659</v>
      </c>
    </row>
    <row r="4907">
      <c r="A4907" s="9" t="inlineStr">
        <is>
          <t>ZOEY</t>
        </is>
      </c>
      <c r="B4907" s="9" t="inlineStr">
        <is>
          <t>ZOEY 08/06/2026</t>
        </is>
      </c>
      <c r="C4907" s="9" t="inlineStr">
        <is>
          <t>2026-06-08</t>
        </is>
      </c>
      <c r="D4907" s="9" t="inlineStr">
        <is>
          <t>77944125775884</t>
        </is>
      </c>
      <c r="E4907" s="9" t="inlineStr">
        <is>
          <t>VESTIDO A BACKSPIN</t>
        </is>
      </c>
      <c r="F4907" s="9" t="inlineStr">
        <is>
          <t>M</t>
        </is>
      </c>
      <c r="G4907" s="9" t="n">
        <v>2</v>
      </c>
      <c r="H4907" s="21" t="n">
        <v>24</v>
      </c>
      <c r="I4907" s="21" t="n">
        <v>588.27</v>
      </c>
      <c r="J4907" s="21" t="n">
        <v>1764.82</v>
      </c>
      <c r="K4907" s="21" t="n">
        <v>2058.96</v>
      </c>
      <c r="L4907" s="21" t="n">
        <v>2353.1</v>
      </c>
      <c r="M4907" s="21" t="n">
        <v>2359</v>
      </c>
    </row>
    <row r="4908">
      <c r="A4908" s="9" t="inlineStr">
        <is>
          <t>ZOEY</t>
        </is>
      </c>
      <c r="B4908" s="9" t="inlineStr">
        <is>
          <t>ZOEY 08/06/2026</t>
        </is>
      </c>
      <c r="C4908" s="9" t="inlineStr">
        <is>
          <t>2026-06-08</t>
        </is>
      </c>
      <c r="D4908" s="9" t="inlineStr">
        <is>
          <t>72002489515276</t>
        </is>
      </c>
      <c r="E4908" s="9" t="inlineStr">
        <is>
          <t>ZAPATILLA J’ADIOR</t>
        </is>
      </c>
      <c r="F4908" s="9" t="inlineStr">
        <is>
          <t>38/25cm</t>
        </is>
      </c>
      <c r="G4908" s="9" t="n">
        <v>2</v>
      </c>
      <c r="H4908" s="21" t="n">
        <v>58</v>
      </c>
      <c r="I4908" s="21" t="n">
        <v>1421.66</v>
      </c>
      <c r="J4908" s="21" t="n">
        <v>4264.99</v>
      </c>
      <c r="K4908" s="21" t="n">
        <v>4975.82</v>
      </c>
      <c r="L4908" s="21" t="n">
        <v>5686.65</v>
      </c>
      <c r="M4908" s="21" t="n">
        <v>5649</v>
      </c>
    </row>
    <row r="4909">
      <c r="A4909" s="9" t="inlineStr">
        <is>
          <t>ZOEY</t>
        </is>
      </c>
      <c r="B4909" s="9" t="inlineStr">
        <is>
          <t>ZOEY 08/06/2026</t>
        </is>
      </c>
      <c r="C4909" s="9" t="inlineStr">
        <is>
          <t>2026-06-08</t>
        </is>
      </c>
      <c r="D4909" s="9" t="inlineStr">
        <is>
          <t>GISEL</t>
        </is>
      </c>
      <c r="E4909" s="9" t="inlineStr">
        <is>
          <t>ZAPATILLA J’ADIOR</t>
        </is>
      </c>
      <c r="F4909" s="9" t="inlineStr">
        <is>
          <t>38/25CM</t>
        </is>
      </c>
      <c r="G4909" s="9" t="n">
        <v>1</v>
      </c>
      <c r="H4909" s="21" t="n">
        <v>58</v>
      </c>
      <c r="I4909" s="21" t="n">
        <v>1421.66</v>
      </c>
      <c r="J4909" s="21" t="n"/>
      <c r="K4909" s="21" t="n"/>
      <c r="L4909" s="21" t="n"/>
      <c r="M4909" s="21" t="n"/>
    </row>
    <row r="4910">
      <c r="A4910" s="9" t="inlineStr">
        <is>
          <t>ZOEY</t>
        </is>
      </c>
      <c r="B4910" s="9" t="inlineStr">
        <is>
          <t>ZOEY 08/06/2026</t>
        </is>
      </c>
      <c r="C4910" s="9" t="inlineStr">
        <is>
          <t>2026-06-08</t>
        </is>
      </c>
      <c r="D4910" s="9" t="inlineStr">
        <is>
          <t>72002489640844</t>
        </is>
      </c>
      <c r="E4910" s="9" t="inlineStr">
        <is>
          <t>ZAPATILLAS CL KATE</t>
        </is>
      </c>
      <c r="F4910" s="9" t="inlineStr">
        <is>
          <t>36/24cm</t>
        </is>
      </c>
      <c r="G4910" s="9" t="n">
        <v>2</v>
      </c>
      <c r="H4910" s="21" t="n">
        <v>48</v>
      </c>
      <c r="I4910" s="21" t="n">
        <v>1176.55</v>
      </c>
      <c r="J4910" s="21" t="n">
        <v>3529.65</v>
      </c>
      <c r="K4910" s="21" t="n">
        <v>4117.92</v>
      </c>
      <c r="L4910" s="21" t="n">
        <v>4706.2</v>
      </c>
      <c r="M4910" s="21" t="n">
        <v>4675</v>
      </c>
    </row>
    <row r="4911">
      <c r="A4911" s="9" t="inlineStr">
        <is>
          <t>ZOEY</t>
        </is>
      </c>
      <c r="B4911" s="9" t="inlineStr">
        <is>
          <t>ZOEY 08/06/2026</t>
        </is>
      </c>
      <c r="C4911" s="9" t="inlineStr">
        <is>
          <t>2026-06-08</t>
        </is>
      </c>
      <c r="D4911" s="9" t="inlineStr">
        <is>
          <t>34163623342957</t>
        </is>
      </c>
      <c r="E4911" s="9" t="inlineStr">
        <is>
          <t>ZAPATILLAS V ROCKSTUD BEIGE</t>
        </is>
      </c>
      <c r="F4911" s="9" t="inlineStr">
        <is>
          <t>36/24mx</t>
        </is>
      </c>
      <c r="G4911" s="9" t="n">
        <v>1</v>
      </c>
      <c r="H4911" s="21" t="n">
        <v>55</v>
      </c>
      <c r="I4911" s="21" t="n">
        <v>1348.13</v>
      </c>
      <c r="J4911" s="21" t="n">
        <v>4044.39</v>
      </c>
      <c r="K4911" s="21" t="n">
        <v>4718.45</v>
      </c>
      <c r="L4911" s="21" t="n">
        <v>5392.52</v>
      </c>
      <c r="M4911" s="21" t="n">
        <v>5399</v>
      </c>
    </row>
    <row r="4912">
      <c r="A4912" s="9" t="inlineStr">
        <is>
          <t>ZOEY</t>
        </is>
      </c>
      <c r="B4912" s="9" t="inlineStr">
        <is>
          <t>ZOEY 08/06/2026</t>
        </is>
      </c>
      <c r="C4912" s="9" t="inlineStr">
        <is>
          <t>2026-06-08</t>
        </is>
      </c>
      <c r="D4912" s="9" t="inlineStr">
        <is>
          <t>6748bba425e93</t>
        </is>
      </c>
      <c r="E4912" s="9" t="inlineStr">
        <is>
          <t>ZAPATILLAS YSL OPYUM BLACK</t>
        </is>
      </c>
      <c r="F4912" s="9" t="inlineStr">
        <is>
          <t>38/25cm</t>
        </is>
      </c>
      <c r="G4912" s="9" t="n">
        <v>2</v>
      </c>
      <c r="H4912" s="21" t="n">
        <v>65</v>
      </c>
      <c r="I4912" s="21" t="n">
        <v>1593.24</v>
      </c>
      <c r="J4912" s="21" t="n">
        <v>4779.73</v>
      </c>
      <c r="K4912" s="21" t="n">
        <v>5576.35</v>
      </c>
      <c r="L4912" s="21" t="n">
        <v>6372.97</v>
      </c>
      <c r="M4912" s="21" t="n">
        <v>6339</v>
      </c>
    </row>
    <row r="4913">
      <c r="A4913" s="9" t="inlineStr">
        <is>
          <t>HAIFENG</t>
        </is>
      </c>
      <c r="B4913" s="9" t="inlineStr">
        <is>
          <t>HAIFENG 16/06/2026</t>
        </is>
      </c>
      <c r="C4913" s="9" t="inlineStr">
        <is>
          <t>2026-06-16</t>
        </is>
      </c>
      <c r="D4913" s="9" t="inlineStr">
        <is>
          <t>67201533404653</t>
        </is>
      </c>
      <c r="E4913" s="9" t="inlineStr">
        <is>
          <t>ANILLO ANCHO TRUE T GOLD</t>
        </is>
      </c>
      <c r="F4913" s="9" t="inlineStr">
        <is>
          <t>6</t>
        </is>
      </c>
      <c r="G4913" s="9" t="n">
        <v>2</v>
      </c>
      <c r="H4913" s="21" t="n">
        <v>7</v>
      </c>
      <c r="I4913" s="21" t="n">
        <v>147.1</v>
      </c>
      <c r="J4913" s="21" t="n">
        <v>441.31</v>
      </c>
      <c r="K4913" s="21" t="n">
        <v>514.86</v>
      </c>
      <c r="L4913" s="21" t="n">
        <v>588.41</v>
      </c>
      <c r="M4913" s="21" t="n">
        <v>599</v>
      </c>
    </row>
    <row r="4914">
      <c r="A4914" s="9" t="inlineStr">
        <is>
          <t>HAIFENG</t>
        </is>
      </c>
      <c r="B4914" s="9" t="inlineStr">
        <is>
          <t>HAIFENG 16/06/2026</t>
        </is>
      </c>
      <c r="C4914" s="9" t="inlineStr">
        <is>
          <t>2026-06-16</t>
        </is>
      </c>
      <c r="D4914" s="9" t="inlineStr">
        <is>
          <t>21605771301805</t>
        </is>
      </c>
      <c r="E4914" s="9" t="inlineStr">
        <is>
          <t>ANILLO BACK SOON T ROSE GOLD</t>
        </is>
      </c>
      <c r="F4914" s="9" t="inlineStr">
        <is>
          <t>6</t>
        </is>
      </c>
      <c r="G4914" s="9" t="n">
        <v>2</v>
      </c>
      <c r="H4914" s="21" t="n">
        <v>3</v>
      </c>
      <c r="I4914" s="21" t="n">
        <v>63.04</v>
      </c>
      <c r="J4914" s="21" t="n">
        <v>189.13</v>
      </c>
      <c r="K4914" s="21" t="n">
        <v>220.65</v>
      </c>
      <c r="L4914" s="21" t="n">
        <v>252.18</v>
      </c>
      <c r="M4914" s="21" t="n">
        <v>400</v>
      </c>
    </row>
    <row r="4915">
      <c r="A4915" s="9" t="inlineStr">
        <is>
          <t>HAIFENG</t>
        </is>
      </c>
      <c r="B4915" s="9" t="inlineStr">
        <is>
          <t>HAIFENG 16/06/2026</t>
        </is>
      </c>
      <c r="C4915" s="9" t="inlineStr">
        <is>
          <t>2026-06-16</t>
        </is>
      </c>
      <c r="D4915" s="9" t="inlineStr">
        <is>
          <t>ANDREA</t>
        </is>
      </c>
      <c r="E4915" s="9" t="inlineStr">
        <is>
          <t>ANILLO BACK SOON T SILVER</t>
        </is>
      </c>
      <c r="F4915" s="9" t="inlineStr"/>
      <c r="G4915" s="9" t="n">
        <v>1</v>
      </c>
      <c r="H4915" s="21" t="n">
        <v>4</v>
      </c>
      <c r="I4915" s="21" t="n">
        <v>84.06</v>
      </c>
      <c r="J4915" s="21" t="n">
        <v>252.18</v>
      </c>
      <c r="K4915" s="21" t="n">
        <v>294.2</v>
      </c>
      <c r="L4915" s="21" t="n">
        <v>336.23</v>
      </c>
      <c r="M4915" s="21" t="n"/>
    </row>
    <row r="4916">
      <c r="A4916" s="9" t="inlineStr">
        <is>
          <t>HAIFENG</t>
        </is>
      </c>
      <c r="B4916" s="9" t="inlineStr">
        <is>
          <t>HAIFENG 16/06/2026</t>
        </is>
      </c>
      <c r="C4916" s="9" t="inlineStr">
        <is>
          <t>2026-06-16</t>
        </is>
      </c>
      <c r="D4916" s="9" t="inlineStr">
        <is>
          <t>66009451058223</t>
        </is>
      </c>
      <c r="E4916" s="9" t="inlineStr">
        <is>
          <t>ANILLO BV BROWN</t>
        </is>
      </c>
      <c r="F4916" s="9" t="inlineStr">
        <is>
          <t>8</t>
        </is>
      </c>
      <c r="G4916" s="9" t="n">
        <v>3</v>
      </c>
      <c r="H4916" s="21" t="n">
        <v>7</v>
      </c>
      <c r="I4916" s="21" t="n">
        <v>147.1</v>
      </c>
      <c r="J4916" s="21" t="n">
        <v>441.31</v>
      </c>
      <c r="K4916" s="21" t="n">
        <v>514.86</v>
      </c>
      <c r="L4916" s="21" t="n">
        <v>588.41</v>
      </c>
      <c r="M4916" s="21" t="n">
        <v>580</v>
      </c>
    </row>
    <row r="4917">
      <c r="A4917" s="9" t="inlineStr">
        <is>
          <t>HAIFENG</t>
        </is>
      </c>
      <c r="B4917" s="9" t="inlineStr">
        <is>
          <t>HAIFENG 16/06/2026</t>
        </is>
      </c>
      <c r="C4917" s="9" t="inlineStr">
        <is>
          <t>2026-06-16</t>
        </is>
      </c>
      <c r="D4917" s="9" t="inlineStr">
        <is>
          <t>16117871610765</t>
        </is>
      </c>
      <c r="E4917" s="9" t="inlineStr">
        <is>
          <t>ANILLO BV ZERO 1 BLACK-ROSEGOLD</t>
        </is>
      </c>
      <c r="F4917" s="9" t="inlineStr">
        <is>
          <t>8</t>
        </is>
      </c>
      <c r="G4917" s="9" t="n">
        <v>2</v>
      </c>
      <c r="H4917" s="21" t="n">
        <v>9</v>
      </c>
      <c r="I4917" s="21" t="n">
        <v>189.13</v>
      </c>
      <c r="J4917" s="21" t="n">
        <v>567.39</v>
      </c>
      <c r="K4917" s="21" t="n">
        <v>661.96</v>
      </c>
      <c r="L4917" s="21" t="n">
        <v>756.53</v>
      </c>
      <c r="M4917" s="21" t="n">
        <v>580</v>
      </c>
    </row>
    <row r="4918">
      <c r="A4918" s="9" t="inlineStr">
        <is>
          <t>HAIFENG</t>
        </is>
      </c>
      <c r="B4918" s="9" t="inlineStr">
        <is>
          <t>HAIFENG 16/06/2026</t>
        </is>
      </c>
      <c r="C4918" s="9" t="inlineStr">
        <is>
          <t>2026-06-16</t>
        </is>
      </c>
      <c r="D4918" s="9" t="inlineStr">
        <is>
          <t>94122711058031</t>
        </is>
      </c>
      <c r="E4918" s="9" t="inlineStr">
        <is>
          <t>ANILLO BV ZERO 1 SILVER</t>
        </is>
      </c>
      <c r="F4918" s="9" t="inlineStr">
        <is>
          <t>9</t>
        </is>
      </c>
      <c r="G4918" s="9" t="n">
        <v>2</v>
      </c>
      <c r="H4918" s="21" t="n">
        <v>6</v>
      </c>
      <c r="I4918" s="21" t="n">
        <v>126.09</v>
      </c>
      <c r="J4918" s="21" t="n">
        <v>378.26</v>
      </c>
      <c r="K4918" s="21" t="n">
        <v>441.31</v>
      </c>
      <c r="L4918" s="21" t="n">
        <v>504.35</v>
      </c>
      <c r="M4918" s="21" t="n">
        <v>500</v>
      </c>
    </row>
    <row r="4919">
      <c r="A4919" s="9" t="inlineStr">
        <is>
          <t>HAIFENG</t>
        </is>
      </c>
      <c r="B4919" s="9" t="inlineStr">
        <is>
          <t>HAIFENG 16/06/2026</t>
        </is>
      </c>
      <c r="C4919" s="9" t="inlineStr">
        <is>
          <t>2026-06-16</t>
        </is>
      </c>
      <c r="D4919" s="9" t="inlineStr">
        <is>
          <t>66176e6140134</t>
        </is>
      </c>
      <c r="E4919" s="9" t="inlineStr">
        <is>
          <t>ANILLO CLASH GOLD</t>
        </is>
      </c>
      <c r="F4919" s="9" t="inlineStr">
        <is>
          <t>9</t>
        </is>
      </c>
      <c r="G4919" s="9" t="n">
        <v>5</v>
      </c>
      <c r="H4919" s="21" t="n">
        <v>10</v>
      </c>
      <c r="I4919" s="21" t="n">
        <v>210.15</v>
      </c>
      <c r="J4919" s="21" t="n">
        <v>630.4400000000001</v>
      </c>
      <c r="K4919" s="21" t="n">
        <v>735.51</v>
      </c>
      <c r="L4919" s="21" t="n">
        <v>840.58</v>
      </c>
      <c r="M4919" s="21" t="n">
        <v>850</v>
      </c>
    </row>
    <row r="4920">
      <c r="A4920" s="9" t="inlineStr">
        <is>
          <t>HAIFENG</t>
        </is>
      </c>
      <c r="B4920" s="9" t="inlineStr">
        <is>
          <t>HAIFENG 16/06/2026</t>
        </is>
      </c>
      <c r="C4920" s="9" t="inlineStr">
        <is>
          <t>2026-06-16</t>
        </is>
      </c>
      <c r="D4920" s="9" t="inlineStr">
        <is>
          <t>66176e6009ab0</t>
        </is>
      </c>
      <c r="E4920" s="9" t="inlineStr">
        <is>
          <t>ANILLO CLASH GOLD</t>
        </is>
      </c>
      <c r="F4920" s="9" t="inlineStr">
        <is>
          <t>7</t>
        </is>
      </c>
      <c r="G4920" s="9" t="n">
        <v>2</v>
      </c>
      <c r="H4920" s="21" t="n">
        <v>10</v>
      </c>
      <c r="I4920" s="21" t="n">
        <v>210.15</v>
      </c>
      <c r="J4920" s="21" t="n">
        <v>630.4400000000001</v>
      </c>
      <c r="K4920" s="21" t="n">
        <v>735.51</v>
      </c>
      <c r="L4920" s="21" t="n">
        <v>840.58</v>
      </c>
      <c r="M4920" s="21" t="n">
        <v>850</v>
      </c>
    </row>
    <row r="4921">
      <c r="A4921" s="9" t="inlineStr">
        <is>
          <t>HAIFENG</t>
        </is>
      </c>
      <c r="B4921" s="9" t="inlineStr">
        <is>
          <t>HAIFENG 16/06/2026</t>
        </is>
      </c>
      <c r="C4921" s="9" t="inlineStr">
        <is>
          <t>2026-06-16</t>
        </is>
      </c>
      <c r="D4921" s="9" t="inlineStr">
        <is>
          <t>66176e5ecde32</t>
        </is>
      </c>
      <c r="E4921" s="9" t="inlineStr">
        <is>
          <t>ANILLO CLASH GOLD</t>
        </is>
      </c>
      <c r="F4921" s="9" t="inlineStr">
        <is>
          <t>5</t>
        </is>
      </c>
      <c r="G4921" s="9" t="n">
        <v>2</v>
      </c>
      <c r="H4921" s="21" t="n">
        <v>10</v>
      </c>
      <c r="I4921" s="21" t="n">
        <v>210.15</v>
      </c>
      <c r="J4921" s="21" t="n">
        <v>630.4400000000001</v>
      </c>
      <c r="K4921" s="21" t="n">
        <v>735.51</v>
      </c>
      <c r="L4921" s="21" t="n">
        <v>840.58</v>
      </c>
      <c r="M4921" s="21" t="n">
        <v>850</v>
      </c>
    </row>
    <row r="4922">
      <c r="A4922" s="9" t="inlineStr">
        <is>
          <t>HAIFENG</t>
        </is>
      </c>
      <c r="B4922" s="9" t="inlineStr">
        <is>
          <t>HAIFENG 16/06/2026</t>
        </is>
      </c>
      <c r="C4922" s="9" t="inlineStr">
        <is>
          <t>2026-06-16</t>
        </is>
      </c>
      <c r="D4922" s="9" t="inlineStr">
        <is>
          <t>66176e5f7392c</t>
        </is>
      </c>
      <c r="E4922" s="9" t="inlineStr">
        <is>
          <t>ANILLO CLASH GOLD</t>
        </is>
      </c>
      <c r="F4922" s="9" t="inlineStr">
        <is>
          <t>6</t>
        </is>
      </c>
      <c r="G4922" s="9" t="n">
        <v>2</v>
      </c>
      <c r="H4922" s="21" t="n">
        <v>10</v>
      </c>
      <c r="I4922" s="21" t="n">
        <v>210.15</v>
      </c>
      <c r="J4922" s="21" t="n">
        <v>630.4400000000001</v>
      </c>
      <c r="K4922" s="21" t="n">
        <v>735.51</v>
      </c>
      <c r="L4922" s="21" t="n">
        <v>840.58</v>
      </c>
      <c r="M4922" s="21" t="n">
        <v>850</v>
      </c>
    </row>
    <row r="4923">
      <c r="A4923" s="9" t="inlineStr">
        <is>
          <t>HAIFENG</t>
        </is>
      </c>
      <c r="B4923" s="9" t="inlineStr">
        <is>
          <t>HAIFENG 16/06/2026</t>
        </is>
      </c>
      <c r="C4923" s="9" t="inlineStr">
        <is>
          <t>2026-06-16</t>
        </is>
      </c>
      <c r="D4923" s="9" t="inlineStr">
        <is>
          <t>66176e5f8fac7</t>
        </is>
      </c>
      <c r="E4923" s="9" t="inlineStr">
        <is>
          <t>ANILLO CLASH ROSEGOLD</t>
        </is>
      </c>
      <c r="F4923" s="9" t="inlineStr">
        <is>
          <t>6</t>
        </is>
      </c>
      <c r="G4923" s="9" t="n">
        <v>3</v>
      </c>
      <c r="H4923" s="21" t="n">
        <v>10</v>
      </c>
      <c r="I4923" s="21" t="n">
        <v>210.15</v>
      </c>
      <c r="J4923" s="21" t="n">
        <v>630.4400000000001</v>
      </c>
      <c r="K4923" s="21" t="n">
        <v>735.51</v>
      </c>
      <c r="L4923" s="21" t="n">
        <v>840.58</v>
      </c>
      <c r="M4923" s="21" t="n">
        <v>850</v>
      </c>
    </row>
    <row r="4924">
      <c r="A4924" s="9" t="inlineStr">
        <is>
          <t>HAIFENG</t>
        </is>
      </c>
      <c r="B4924" s="9" t="inlineStr">
        <is>
          <t>HAIFENG 16/06/2026</t>
        </is>
      </c>
      <c r="C4924" s="9" t="inlineStr">
        <is>
          <t>2026-06-16</t>
        </is>
      </c>
      <c r="D4924" s="9" t="inlineStr">
        <is>
          <t>66176e60bbec9</t>
        </is>
      </c>
      <c r="E4924" s="9" t="inlineStr">
        <is>
          <t>ANILLO CLASH ROSEGOLD</t>
        </is>
      </c>
      <c r="F4924" s="9" t="inlineStr">
        <is>
          <t>8</t>
        </is>
      </c>
      <c r="G4924" s="9" t="n">
        <v>2</v>
      </c>
      <c r="H4924" s="21" t="n">
        <v>10</v>
      </c>
      <c r="I4924" s="21" t="n">
        <v>210.15</v>
      </c>
      <c r="J4924" s="21" t="n">
        <v>630.4400000000001</v>
      </c>
      <c r="K4924" s="21" t="n">
        <v>735.51</v>
      </c>
      <c r="L4924" s="21" t="n">
        <v>840.58</v>
      </c>
      <c r="M4924" s="21" t="n">
        <v>850</v>
      </c>
    </row>
    <row r="4925">
      <c r="A4925" s="9" t="inlineStr">
        <is>
          <t>HAIFENG</t>
        </is>
      </c>
      <c r="B4925" s="9" t="inlineStr">
        <is>
          <t>HAIFENG 16/06/2026</t>
        </is>
      </c>
      <c r="C4925" s="9" t="inlineStr">
        <is>
          <t>2026-06-16</t>
        </is>
      </c>
      <c r="D4925" s="9" t="inlineStr">
        <is>
          <t>63ebd3f721f2e</t>
        </is>
      </c>
      <c r="E4925" s="9" t="inlineStr">
        <is>
          <t>ANILLO CLASH SILVER</t>
        </is>
      </c>
      <c r="F4925" s="9" t="inlineStr">
        <is>
          <t>11</t>
        </is>
      </c>
      <c r="G4925" s="9" t="n">
        <v>2</v>
      </c>
      <c r="H4925" s="21" t="n">
        <v>10</v>
      </c>
      <c r="I4925" s="21" t="n">
        <v>210.15</v>
      </c>
      <c r="J4925" s="21" t="n">
        <v>630.4400000000001</v>
      </c>
      <c r="K4925" s="21" t="n">
        <v>735.51</v>
      </c>
      <c r="L4925" s="21" t="n">
        <v>840.58</v>
      </c>
      <c r="M4925" s="21" t="n">
        <v>850</v>
      </c>
    </row>
    <row r="4926">
      <c r="A4926" s="9" t="inlineStr">
        <is>
          <t>HAIFENG</t>
        </is>
      </c>
      <c r="B4926" s="9" t="inlineStr">
        <is>
          <t>HAIFENG 16/06/2026</t>
        </is>
      </c>
      <c r="C4926" s="9" t="inlineStr">
        <is>
          <t>2026-06-16</t>
        </is>
      </c>
      <c r="D4926" s="9" t="inlineStr">
        <is>
          <t>63ebd3f635fb6</t>
        </is>
      </c>
      <c r="E4926" s="9" t="inlineStr">
        <is>
          <t>ANILLO CLASH SILVER</t>
        </is>
      </c>
      <c r="F4926" s="9" t="inlineStr">
        <is>
          <t>10</t>
        </is>
      </c>
      <c r="G4926" s="9" t="n">
        <v>1</v>
      </c>
      <c r="H4926" s="21" t="n">
        <v>10</v>
      </c>
      <c r="I4926" s="21" t="n">
        <v>210.15</v>
      </c>
      <c r="J4926" s="21" t="n">
        <v>630.4400000000001</v>
      </c>
      <c r="K4926" s="21" t="n">
        <v>735.51</v>
      </c>
      <c r="L4926" s="21" t="n">
        <v>840.58</v>
      </c>
      <c r="M4926" s="21" t="n">
        <v>850</v>
      </c>
    </row>
    <row r="4927">
      <c r="A4927" s="9" t="inlineStr">
        <is>
          <t>HAIFENG</t>
        </is>
      </c>
      <c r="B4927" s="9" t="inlineStr">
        <is>
          <t>HAIFENG 16/06/2026</t>
        </is>
      </c>
      <c r="C4927" s="9" t="inlineStr">
        <is>
          <t>2026-06-16</t>
        </is>
      </c>
      <c r="D4927" s="9" t="inlineStr">
        <is>
          <t>66176cdae92c1</t>
        </is>
      </c>
      <c r="E4927" s="9" t="inlineStr">
        <is>
          <t>ANILLO CLAVO GOLD</t>
        </is>
      </c>
      <c r="F4927" s="9" t="inlineStr">
        <is>
          <t>5 HIGH QUALITY</t>
        </is>
      </c>
      <c r="G4927" s="9" t="n">
        <v>6</v>
      </c>
      <c r="H4927" s="21" t="n">
        <v>2.5</v>
      </c>
      <c r="I4927" s="21" t="n">
        <v>52.54</v>
      </c>
      <c r="J4927" s="21" t="n">
        <v>157.61</v>
      </c>
      <c r="K4927" s="21" t="n">
        <v>183.88</v>
      </c>
      <c r="L4927" s="21" t="n">
        <v>210.15</v>
      </c>
      <c r="M4927" s="21" t="n">
        <v>400</v>
      </c>
    </row>
    <row r="4928">
      <c r="A4928" s="9" t="inlineStr">
        <is>
          <t>HAIFENG</t>
        </is>
      </c>
      <c r="B4928" s="9" t="inlineStr">
        <is>
          <t>HAIFENG 16/06/2026</t>
        </is>
      </c>
      <c r="C4928" s="9" t="inlineStr">
        <is>
          <t>2026-06-16</t>
        </is>
      </c>
      <c r="D4928" s="9" t="inlineStr">
        <is>
          <t>66176cdd7cc61</t>
        </is>
      </c>
      <c r="E4928" s="9" t="inlineStr">
        <is>
          <t>ANILLO CLAVO GOLD</t>
        </is>
      </c>
      <c r="F4928" s="9" t="inlineStr">
        <is>
          <t>9 HIGH QUALITY</t>
        </is>
      </c>
      <c r="G4928" s="9" t="n">
        <v>2</v>
      </c>
      <c r="H4928" s="21" t="n">
        <v>2.5</v>
      </c>
      <c r="I4928" s="21" t="n">
        <v>52.54</v>
      </c>
      <c r="J4928" s="21" t="n">
        <v>157.61</v>
      </c>
      <c r="K4928" s="21" t="n">
        <v>183.88</v>
      </c>
      <c r="L4928" s="21" t="n">
        <v>210.15</v>
      </c>
      <c r="M4928" s="21" t="n">
        <v>400</v>
      </c>
    </row>
    <row r="4929">
      <c r="A4929" s="9" t="inlineStr">
        <is>
          <t>HAIFENG</t>
        </is>
      </c>
      <c r="B4929" s="9" t="inlineStr">
        <is>
          <t>HAIFENG 16/06/2026</t>
        </is>
      </c>
      <c r="C4929" s="9" t="inlineStr">
        <is>
          <t>2026-06-16</t>
        </is>
      </c>
      <c r="D4929" s="9" t="inlineStr">
        <is>
          <t>66176cdce18ea</t>
        </is>
      </c>
      <c r="E4929" s="9" t="inlineStr">
        <is>
          <t>ANILLO CLAVO GOLD</t>
        </is>
      </c>
      <c r="F4929" s="9" t="inlineStr">
        <is>
          <t>8 HIGH QUALITY</t>
        </is>
      </c>
      <c r="G4929" s="9" t="n">
        <v>2</v>
      </c>
      <c r="H4929" s="21" t="n">
        <v>2.5</v>
      </c>
      <c r="I4929" s="21" t="n">
        <v>52.54</v>
      </c>
      <c r="J4929" s="21" t="n">
        <v>157.61</v>
      </c>
      <c r="K4929" s="21" t="n">
        <v>183.88</v>
      </c>
      <c r="L4929" s="21" t="n">
        <v>210.15</v>
      </c>
      <c r="M4929" s="21" t="n">
        <v>400</v>
      </c>
    </row>
    <row r="4930">
      <c r="A4930" s="9" t="inlineStr">
        <is>
          <t>HAIFENG</t>
        </is>
      </c>
      <c r="B4930" s="9" t="inlineStr">
        <is>
          <t>HAIFENG 16/06/2026</t>
        </is>
      </c>
      <c r="C4930" s="9" t="inlineStr">
        <is>
          <t>2026-06-16</t>
        </is>
      </c>
      <c r="D4930" s="9" t="inlineStr">
        <is>
          <t>66176cde28afb</t>
        </is>
      </c>
      <c r="E4930" s="9" t="inlineStr">
        <is>
          <t>ANILLO CLAVO GOLD</t>
        </is>
      </c>
      <c r="F4930" s="9" t="inlineStr">
        <is>
          <t>10</t>
        </is>
      </c>
      <c r="G4930" s="9" t="n">
        <v>3</v>
      </c>
      <c r="H4930" s="21" t="n">
        <v>2.5</v>
      </c>
      <c r="I4930" s="21" t="n">
        <v>52.54</v>
      </c>
      <c r="J4930" s="21" t="n">
        <v>157.61</v>
      </c>
      <c r="K4930" s="21" t="n">
        <v>183.88</v>
      </c>
      <c r="L4930" s="21" t="n">
        <v>210.15</v>
      </c>
      <c r="M4930" s="21" t="n">
        <v>400</v>
      </c>
    </row>
    <row r="4931">
      <c r="A4931" s="9" t="inlineStr">
        <is>
          <t>HAIFENG</t>
        </is>
      </c>
      <c r="B4931" s="9" t="inlineStr">
        <is>
          <t>HAIFENG 16/06/2026</t>
        </is>
      </c>
      <c r="C4931" s="9" t="inlineStr">
        <is>
          <t>2026-06-16</t>
        </is>
      </c>
      <c r="D4931" s="9" t="inlineStr">
        <is>
          <t>GISEL</t>
        </is>
      </c>
      <c r="E4931" s="9" t="inlineStr">
        <is>
          <t>ANILLO CLAVO GOLD</t>
        </is>
      </c>
      <c r="F4931" s="9" t="inlineStr"/>
      <c r="G4931" s="9" t="n">
        <v>1</v>
      </c>
      <c r="H4931" s="21" t="n">
        <v>2.5</v>
      </c>
      <c r="I4931" s="21" t="n">
        <v>52.54</v>
      </c>
      <c r="J4931" s="21" t="n">
        <v>157.61</v>
      </c>
      <c r="K4931" s="21" t="n">
        <v>183.88</v>
      </c>
      <c r="L4931" s="21" t="n">
        <v>210.15</v>
      </c>
      <c r="M4931" s="21" t="n"/>
    </row>
    <row r="4932">
      <c r="A4932" s="9" t="inlineStr">
        <is>
          <t>HAIFENG</t>
        </is>
      </c>
      <c r="B4932" s="9" t="inlineStr">
        <is>
          <t>HAIFENG 16/06/2026</t>
        </is>
      </c>
      <c r="C4932" s="9" t="inlineStr">
        <is>
          <t>2026-06-16</t>
        </is>
      </c>
      <c r="D4932" s="9" t="inlineStr">
        <is>
          <t>66176ce151d29</t>
        </is>
      </c>
      <c r="E4932" s="9" t="inlineStr">
        <is>
          <t>ANILLO CLAVO ROSE GOLD</t>
        </is>
      </c>
      <c r="F4932" s="9" t="inlineStr">
        <is>
          <t>6 HIGH QUALITY</t>
        </is>
      </c>
      <c r="G4932" s="9" t="n">
        <v>3</v>
      </c>
      <c r="H4932" s="21" t="n">
        <v>2.5</v>
      </c>
      <c r="I4932" s="21" t="n">
        <v>52.54</v>
      </c>
      <c r="J4932" s="21" t="n">
        <v>157.61</v>
      </c>
      <c r="K4932" s="21" t="n">
        <v>183.88</v>
      </c>
      <c r="L4932" s="21" t="n">
        <v>210.15</v>
      </c>
      <c r="M4932" s="21" t="n">
        <v>400</v>
      </c>
    </row>
    <row r="4933">
      <c r="A4933" s="9" t="inlineStr">
        <is>
          <t>HAIFENG</t>
        </is>
      </c>
      <c r="B4933" s="9" t="inlineStr">
        <is>
          <t>HAIFENG 16/06/2026</t>
        </is>
      </c>
      <c r="C4933" s="9" t="inlineStr">
        <is>
          <t>2026-06-16</t>
        </is>
      </c>
      <c r="D4933" s="9" t="inlineStr">
        <is>
          <t>66176ce0abf98</t>
        </is>
      </c>
      <c r="E4933" s="9" t="inlineStr">
        <is>
          <t>ANILLO CLAVO ROSE GOLD</t>
        </is>
      </c>
      <c r="F4933" s="9" t="inlineStr">
        <is>
          <t>5 HIGH QUALITY</t>
        </is>
      </c>
      <c r="G4933" s="9" t="n">
        <v>1</v>
      </c>
      <c r="H4933" s="21" t="n">
        <v>2.5</v>
      </c>
      <c r="I4933" s="21" t="n">
        <v>52.54</v>
      </c>
      <c r="J4933" s="21" t="n">
        <v>157.61</v>
      </c>
      <c r="K4933" s="21" t="n">
        <v>183.88</v>
      </c>
      <c r="L4933" s="21" t="n">
        <v>210.15</v>
      </c>
      <c r="M4933" s="21" t="n">
        <v>400</v>
      </c>
    </row>
    <row r="4934">
      <c r="A4934" s="9" t="inlineStr">
        <is>
          <t>HAIFENG</t>
        </is>
      </c>
      <c r="B4934" s="9" t="inlineStr">
        <is>
          <t>HAIFENG 16/06/2026</t>
        </is>
      </c>
      <c r="C4934" s="9" t="inlineStr">
        <is>
          <t>2026-06-16</t>
        </is>
      </c>
      <c r="D4934" s="9" t="inlineStr">
        <is>
          <t>66176ce26bdb9</t>
        </is>
      </c>
      <c r="E4934" s="9" t="inlineStr">
        <is>
          <t>ANILLO CLAVO ROSE GOLD</t>
        </is>
      </c>
      <c r="F4934" s="9" t="inlineStr">
        <is>
          <t>8 HIGH QUALITY</t>
        </is>
      </c>
      <c r="G4934" s="9" t="n">
        <v>3</v>
      </c>
      <c r="H4934" s="21" t="n">
        <v>2.5</v>
      </c>
      <c r="I4934" s="21" t="n">
        <v>52.54</v>
      </c>
      <c r="J4934" s="21" t="n">
        <v>157.61</v>
      </c>
      <c r="K4934" s="21" t="n">
        <v>183.88</v>
      </c>
      <c r="L4934" s="21" t="n">
        <v>210.15</v>
      </c>
      <c r="M4934" s="21" t="n">
        <v>400</v>
      </c>
    </row>
    <row r="4935">
      <c r="A4935" s="9" t="inlineStr">
        <is>
          <t>HAIFENG</t>
        </is>
      </c>
      <c r="B4935" s="9" t="inlineStr">
        <is>
          <t>HAIFENG 16/06/2026</t>
        </is>
      </c>
      <c r="C4935" s="9" t="inlineStr">
        <is>
          <t>2026-06-16</t>
        </is>
      </c>
      <c r="D4935" s="9" t="inlineStr">
        <is>
          <t>66176ce1d817d</t>
        </is>
      </c>
      <c r="E4935" s="9" t="inlineStr">
        <is>
          <t>ANILLO CLAVO ROSE GOLD</t>
        </is>
      </c>
      <c r="F4935" s="9" t="inlineStr">
        <is>
          <t>7 HIGH QUALITY</t>
        </is>
      </c>
      <c r="G4935" s="9" t="n">
        <v>4</v>
      </c>
      <c r="H4935" s="21" t="n">
        <v>2.5</v>
      </c>
      <c r="I4935" s="21" t="n">
        <v>52.54</v>
      </c>
      <c r="J4935" s="21" t="n">
        <v>157.61</v>
      </c>
      <c r="K4935" s="21" t="n">
        <v>183.88</v>
      </c>
      <c r="L4935" s="21" t="n">
        <v>210.15</v>
      </c>
      <c r="M4935" s="21" t="n">
        <v>400</v>
      </c>
    </row>
    <row r="4936">
      <c r="A4936" s="9" t="inlineStr">
        <is>
          <t>HAIFENG</t>
        </is>
      </c>
      <c r="B4936" s="9" t="inlineStr">
        <is>
          <t>HAIFENG 16/06/2026</t>
        </is>
      </c>
      <c r="C4936" s="9" t="inlineStr">
        <is>
          <t>2026-06-16</t>
        </is>
      </c>
      <c r="D4936" s="9" t="inlineStr">
        <is>
          <t>39129741001261</t>
        </is>
      </c>
      <c r="E4936" s="9" t="inlineStr">
        <is>
          <t>ANILLO CLAVO SPIRAL SILVER CON ZIRCONIA</t>
        </is>
      </c>
      <c r="F4936" s="9" t="inlineStr">
        <is>
          <t>8</t>
        </is>
      </c>
      <c r="G4936" s="9" t="n">
        <v>3</v>
      </c>
      <c r="H4936" s="21" t="n">
        <v>7.5</v>
      </c>
      <c r="I4936" s="21" t="n">
        <v>157.61</v>
      </c>
      <c r="J4936" s="21" t="n">
        <v>472.83</v>
      </c>
      <c r="K4936" s="21" t="n">
        <v>551.63</v>
      </c>
      <c r="L4936" s="21" t="n">
        <v>630.4400000000001</v>
      </c>
      <c r="M4936" s="21" t="n">
        <v>650</v>
      </c>
    </row>
    <row r="4937">
      <c r="A4937" s="9" t="inlineStr">
        <is>
          <t>HAIFENG</t>
        </is>
      </c>
      <c r="B4937" s="9" t="inlineStr">
        <is>
          <t>HAIFENG 16/06/2026</t>
        </is>
      </c>
      <c r="C4937" s="9" t="inlineStr">
        <is>
          <t>2026-06-16</t>
        </is>
      </c>
      <c r="D4937" s="9" t="inlineStr">
        <is>
          <t>66176cdbe0e8a</t>
        </is>
      </c>
      <c r="E4937" s="9" t="inlineStr">
        <is>
          <t>ANILLO CLAVO ZIRCONIA GOLD</t>
        </is>
      </c>
      <c r="F4937" s="9" t="inlineStr">
        <is>
          <t>7</t>
        </is>
      </c>
      <c r="G4937" s="9" t="n">
        <v>3</v>
      </c>
      <c r="H4937" s="21" t="n">
        <v>2.5</v>
      </c>
      <c r="I4937" s="21" t="n">
        <v>52.54</v>
      </c>
      <c r="J4937" s="21" t="n">
        <v>157.61</v>
      </c>
      <c r="K4937" s="21" t="n">
        <v>183.88</v>
      </c>
      <c r="L4937" s="21" t="n">
        <v>210.15</v>
      </c>
      <c r="M4937" s="21" t="n">
        <v>450</v>
      </c>
    </row>
    <row r="4938">
      <c r="A4938" s="9" t="inlineStr">
        <is>
          <t>HAIFENG</t>
        </is>
      </c>
      <c r="B4938" s="9" t="inlineStr">
        <is>
          <t>HAIFENG 16/06/2026</t>
        </is>
      </c>
      <c r="C4938" s="9" t="inlineStr">
        <is>
          <t>2026-06-16</t>
        </is>
      </c>
      <c r="D4938" s="9" t="inlineStr">
        <is>
          <t>66176cdb6225d</t>
        </is>
      </c>
      <c r="E4938" s="9" t="inlineStr">
        <is>
          <t>ANILLO CLAVO ZIRCONIA GOLD</t>
        </is>
      </c>
      <c r="F4938" s="9" t="inlineStr">
        <is>
          <t>6</t>
        </is>
      </c>
      <c r="G4938" s="9" t="n">
        <v>2</v>
      </c>
      <c r="H4938" s="21" t="n">
        <v>2.5</v>
      </c>
      <c r="I4938" s="21" t="n">
        <v>52.54</v>
      </c>
      <c r="J4938" s="21" t="n">
        <v>157.61</v>
      </c>
      <c r="K4938" s="21" t="n">
        <v>183.88</v>
      </c>
      <c r="L4938" s="21" t="n">
        <v>210.15</v>
      </c>
      <c r="M4938" s="21" t="n">
        <v>450</v>
      </c>
    </row>
    <row r="4939">
      <c r="A4939" s="9" t="inlineStr">
        <is>
          <t>HAIFENG</t>
        </is>
      </c>
      <c r="B4939" s="9" t="inlineStr">
        <is>
          <t>HAIFENG 16/06/2026</t>
        </is>
      </c>
      <c r="C4939" s="9" t="inlineStr">
        <is>
          <t>2026-06-16</t>
        </is>
      </c>
      <c r="D4939" s="9" t="inlineStr">
        <is>
          <t>66176cdfac886</t>
        </is>
      </c>
      <c r="E4939" s="9" t="inlineStr">
        <is>
          <t>ANILLO CLAVO ZIRCONIA ROSE GOLD</t>
        </is>
      </c>
      <c r="F4939" s="9" t="inlineStr">
        <is>
          <t>8</t>
        </is>
      </c>
      <c r="G4939" s="9" t="n">
        <v>1</v>
      </c>
      <c r="H4939" s="21" t="n">
        <v>2.5</v>
      </c>
      <c r="I4939" s="21" t="n">
        <v>52.54</v>
      </c>
      <c r="J4939" s="21" t="n">
        <v>157.61</v>
      </c>
      <c r="K4939" s="21" t="n">
        <v>183.88</v>
      </c>
      <c r="L4939" s="21" t="n">
        <v>210.15</v>
      </c>
      <c r="M4939" s="21" t="n">
        <v>450</v>
      </c>
    </row>
    <row r="4940">
      <c r="A4940" s="9" t="inlineStr">
        <is>
          <t>HAIFENG</t>
        </is>
      </c>
      <c r="B4940" s="9" t="inlineStr">
        <is>
          <t>HAIFENG 16/06/2026</t>
        </is>
      </c>
      <c r="C4940" s="9" t="inlineStr">
        <is>
          <t>2026-06-16</t>
        </is>
      </c>
      <c r="D4940" s="9" t="inlineStr">
        <is>
          <t>63e0b72a8a859</t>
        </is>
      </c>
      <c r="E4940" s="9" t="inlineStr">
        <is>
          <t>ANILLO COCO GOLD</t>
        </is>
      </c>
      <c r="F4940" s="9" t="inlineStr">
        <is>
          <t>5</t>
        </is>
      </c>
      <c r="G4940" s="9" t="n">
        <v>3</v>
      </c>
      <c r="H4940" s="21" t="n">
        <v>1.8</v>
      </c>
      <c r="I4940" s="21" t="n">
        <v>37.83</v>
      </c>
      <c r="J4940" s="21" t="n">
        <v>113.48</v>
      </c>
      <c r="K4940" s="21" t="n">
        <v>132.39</v>
      </c>
      <c r="L4940" s="21" t="n">
        <v>151.31</v>
      </c>
      <c r="M4940" s="21" t="n">
        <v>400</v>
      </c>
    </row>
    <row r="4941">
      <c r="A4941" s="9" t="inlineStr">
        <is>
          <t>HAIFENG</t>
        </is>
      </c>
      <c r="B4941" s="9" t="inlineStr">
        <is>
          <t>HAIFENG 16/06/2026</t>
        </is>
      </c>
      <c r="C4941" s="9" t="inlineStr">
        <is>
          <t>2026-06-16</t>
        </is>
      </c>
      <c r="D4941" s="9" t="inlineStr">
        <is>
          <t>63e0b72d387b2</t>
        </is>
      </c>
      <c r="E4941" s="9" t="inlineStr">
        <is>
          <t>ANILLO COCO GOLD</t>
        </is>
      </c>
      <c r="F4941" s="9" t="inlineStr">
        <is>
          <t>8</t>
        </is>
      </c>
      <c r="G4941" s="9" t="n">
        <v>2</v>
      </c>
      <c r="H4941" s="21" t="n">
        <v>1.8</v>
      </c>
      <c r="I4941" s="21" t="n">
        <v>37.83</v>
      </c>
      <c r="J4941" s="21" t="n">
        <v>113.48</v>
      </c>
      <c r="K4941" s="21" t="n">
        <v>132.39</v>
      </c>
      <c r="L4941" s="21" t="n">
        <v>151.31</v>
      </c>
      <c r="M4941" s="21" t="n">
        <v>400</v>
      </c>
    </row>
    <row r="4942">
      <c r="A4942" s="9" t="inlineStr">
        <is>
          <t>HAIFENG</t>
        </is>
      </c>
      <c r="B4942" s="9" t="inlineStr">
        <is>
          <t>HAIFENG 16/06/2026</t>
        </is>
      </c>
      <c r="C4942" s="9" t="inlineStr">
        <is>
          <t>2026-06-16</t>
        </is>
      </c>
      <c r="D4942" s="9" t="inlineStr">
        <is>
          <t>63e0b72d92a68</t>
        </is>
      </c>
      <c r="E4942" s="9" t="inlineStr">
        <is>
          <t>ANILLO COCO ROSE GOLD</t>
        </is>
      </c>
      <c r="F4942" s="9" t="inlineStr">
        <is>
          <t>5</t>
        </is>
      </c>
      <c r="G4942" s="9" t="n">
        <v>2</v>
      </c>
      <c r="H4942" s="21" t="n">
        <v>1.8</v>
      </c>
      <c r="I4942" s="21" t="n">
        <v>37.83</v>
      </c>
      <c r="J4942" s="21" t="n">
        <v>113.48</v>
      </c>
      <c r="K4942" s="21" t="n">
        <v>132.39</v>
      </c>
      <c r="L4942" s="21" t="n">
        <v>151.31</v>
      </c>
      <c r="M4942" s="21" t="n">
        <v>400</v>
      </c>
    </row>
    <row r="4943">
      <c r="A4943" s="9" t="inlineStr">
        <is>
          <t>HAIFENG</t>
        </is>
      </c>
      <c r="B4943" s="9" t="inlineStr">
        <is>
          <t>HAIFENG 16/06/2026</t>
        </is>
      </c>
      <c r="C4943" s="9" t="inlineStr">
        <is>
          <t>2026-06-16</t>
        </is>
      </c>
      <c r="D4943" s="9" t="inlineStr">
        <is>
          <t>63e0b7307c4b5</t>
        </is>
      </c>
      <c r="E4943" s="9" t="inlineStr">
        <is>
          <t>ANILLO COCO ROSE GOLD</t>
        </is>
      </c>
      <c r="F4943" s="9" t="inlineStr">
        <is>
          <t>7</t>
        </is>
      </c>
      <c r="G4943" s="9" t="n">
        <v>1</v>
      </c>
      <c r="H4943" s="21" t="n">
        <v>1.8</v>
      </c>
      <c r="I4943" s="21" t="n">
        <v>37.83</v>
      </c>
      <c r="J4943" s="21" t="n">
        <v>113.48</v>
      </c>
      <c r="K4943" s="21" t="n">
        <v>132.39</v>
      </c>
      <c r="L4943" s="21" t="n">
        <v>151.31</v>
      </c>
      <c r="M4943" s="21" t="n">
        <v>400</v>
      </c>
    </row>
    <row r="4944">
      <c r="A4944" s="9" t="inlineStr">
        <is>
          <t>HAIFENG</t>
        </is>
      </c>
      <c r="B4944" s="9" t="inlineStr">
        <is>
          <t>HAIFENG 16/06/2026</t>
        </is>
      </c>
      <c r="C4944" s="9" t="inlineStr">
        <is>
          <t>2026-06-16</t>
        </is>
      </c>
      <c r="D4944" s="9" t="inlineStr">
        <is>
          <t>63e0b72f8b602</t>
        </is>
      </c>
      <c r="E4944" s="9" t="inlineStr">
        <is>
          <t>ANILLO COCO SILVER</t>
        </is>
      </c>
      <c r="F4944" s="9" t="inlineStr">
        <is>
          <t>5</t>
        </is>
      </c>
      <c r="G4944" s="9" t="n">
        <v>2</v>
      </c>
      <c r="H4944" s="21" t="n">
        <v>1.8</v>
      </c>
      <c r="I4944" s="21" t="n">
        <v>37.83</v>
      </c>
      <c r="J4944" s="21" t="n">
        <v>113.48</v>
      </c>
      <c r="K4944" s="21" t="n">
        <v>132.39</v>
      </c>
      <c r="L4944" s="21" t="n">
        <v>151.31</v>
      </c>
      <c r="M4944" s="21" t="n">
        <v>400</v>
      </c>
    </row>
    <row r="4945">
      <c r="A4945" s="9" t="inlineStr">
        <is>
          <t>HAIFENG</t>
        </is>
      </c>
      <c r="B4945" s="9" t="inlineStr">
        <is>
          <t>HAIFENG 16/06/2026</t>
        </is>
      </c>
      <c r="C4945" s="9" t="inlineStr">
        <is>
          <t>2026-06-16</t>
        </is>
      </c>
      <c r="D4945" s="9" t="inlineStr">
        <is>
          <t>63e0b7329703a</t>
        </is>
      </c>
      <c r="E4945" s="9" t="inlineStr">
        <is>
          <t>ANILLO COCO SILVER</t>
        </is>
      </c>
      <c r="F4945" s="9" t="inlineStr">
        <is>
          <t>8</t>
        </is>
      </c>
      <c r="G4945" s="9" t="n">
        <v>3</v>
      </c>
      <c r="H4945" s="21" t="n">
        <v>1.8</v>
      </c>
      <c r="I4945" s="21" t="n">
        <v>37.83</v>
      </c>
      <c r="J4945" s="21" t="n">
        <v>113.48</v>
      </c>
      <c r="K4945" s="21" t="n">
        <v>132.39</v>
      </c>
      <c r="L4945" s="21" t="n">
        <v>151.31</v>
      </c>
      <c r="M4945" s="21" t="n">
        <v>400</v>
      </c>
    </row>
    <row r="4946">
      <c r="A4946" s="9" t="inlineStr">
        <is>
          <t>HAIFENG</t>
        </is>
      </c>
      <c r="B4946" s="9" t="inlineStr">
        <is>
          <t>HAIFENG 16/06/2026</t>
        </is>
      </c>
      <c r="C4946" s="9" t="inlineStr">
        <is>
          <t>2026-06-16</t>
        </is>
      </c>
      <c r="D4946" s="9" t="inlineStr">
        <is>
          <t>63e0b73078446</t>
        </is>
      </c>
      <c r="E4946" s="9" t="inlineStr">
        <is>
          <t>ANILLO COCO SILVER</t>
        </is>
      </c>
      <c r="F4946" s="9" t="inlineStr">
        <is>
          <t>6</t>
        </is>
      </c>
      <c r="G4946" s="9" t="n">
        <v>1</v>
      </c>
      <c r="H4946" s="21" t="n">
        <v>1.8</v>
      </c>
      <c r="I4946" s="21" t="n">
        <v>37.83</v>
      </c>
      <c r="J4946" s="21" t="n">
        <v>113.48</v>
      </c>
      <c r="K4946" s="21" t="n">
        <v>132.39</v>
      </c>
      <c r="L4946" s="21" t="n">
        <v>151.31</v>
      </c>
      <c r="M4946" s="21" t="n">
        <v>400</v>
      </c>
    </row>
    <row r="4947">
      <c r="A4947" s="9" t="inlineStr">
        <is>
          <t>HAIFENG</t>
        </is>
      </c>
      <c r="B4947" s="9" t="inlineStr">
        <is>
          <t>HAIFENG 16/06/2026</t>
        </is>
      </c>
      <c r="C4947" s="9" t="inlineStr">
        <is>
          <t>2026-06-16</t>
        </is>
      </c>
      <c r="D4947" s="9" t="inlineStr">
        <is>
          <t>56481450564492</t>
        </is>
      </c>
      <c r="E4947" s="9" t="inlineStr">
        <is>
          <t>ANILLO CORAZÓN GRABADO</t>
        </is>
      </c>
      <c r="F4947" s="9" t="inlineStr">
        <is>
          <t>8</t>
        </is>
      </c>
      <c r="G4947" s="9" t="n">
        <v>3</v>
      </c>
      <c r="H4947" s="21" t="n">
        <v>5</v>
      </c>
      <c r="I4947" s="21" t="n">
        <v>105.07</v>
      </c>
      <c r="J4947" s="21" t="n">
        <v>315.22</v>
      </c>
      <c r="K4947" s="21" t="n">
        <v>367.76</v>
      </c>
      <c r="L4947" s="21" t="n">
        <v>420.29</v>
      </c>
      <c r="M4947" s="21" t="n">
        <v>450</v>
      </c>
    </row>
    <row r="4948">
      <c r="A4948" s="9" t="inlineStr">
        <is>
          <t>HAIFENG</t>
        </is>
      </c>
      <c r="B4948" s="9" t="inlineStr">
        <is>
          <t>HAIFENG 16/06/2026</t>
        </is>
      </c>
      <c r="C4948" s="9" t="inlineStr">
        <is>
          <t>2026-06-16</t>
        </is>
      </c>
      <c r="D4948" s="9" t="inlineStr">
        <is>
          <t>22064321629645</t>
        </is>
      </c>
      <c r="E4948" s="9" t="inlineStr">
        <is>
          <t>ANILLO DOBLE PANTHERE GOLD</t>
        </is>
      </c>
      <c r="F4948" s="9" t="inlineStr">
        <is>
          <t>6</t>
        </is>
      </c>
      <c r="G4948" s="9" t="n">
        <v>4</v>
      </c>
      <c r="H4948" s="21" t="n">
        <v>9</v>
      </c>
      <c r="I4948" s="21" t="n">
        <v>189.13</v>
      </c>
      <c r="J4948" s="21" t="n">
        <v>567.39</v>
      </c>
      <c r="K4948" s="21" t="n">
        <v>661.96</v>
      </c>
      <c r="L4948" s="21" t="n">
        <v>756.53</v>
      </c>
      <c r="M4948" s="21" t="n">
        <v>750</v>
      </c>
    </row>
    <row r="4949">
      <c r="A4949" s="9" t="inlineStr">
        <is>
          <t>HAIFENG</t>
        </is>
      </c>
      <c r="B4949" s="9" t="inlineStr">
        <is>
          <t>HAIFENG 16/06/2026</t>
        </is>
      </c>
      <c r="C4949" s="9" t="inlineStr">
        <is>
          <t>2026-06-16</t>
        </is>
      </c>
      <c r="D4949" s="9" t="inlineStr">
        <is>
          <t>22064321762413</t>
        </is>
      </c>
      <c r="E4949" s="9" t="inlineStr">
        <is>
          <t>ANILLO DOBLE PANTHERE GOLD</t>
        </is>
      </c>
      <c r="F4949" s="9" t="inlineStr">
        <is>
          <t>7</t>
        </is>
      </c>
      <c r="G4949" s="9" t="n">
        <v>3</v>
      </c>
      <c r="H4949" s="21" t="n">
        <v>9</v>
      </c>
      <c r="I4949" s="21" t="n">
        <v>189.13</v>
      </c>
      <c r="J4949" s="21" t="n">
        <v>567.39</v>
      </c>
      <c r="K4949" s="21" t="n">
        <v>661.96</v>
      </c>
      <c r="L4949" s="21" t="n">
        <v>756.53</v>
      </c>
      <c r="M4949" s="21" t="n">
        <v>750</v>
      </c>
    </row>
    <row r="4950">
      <c r="A4950" s="9" t="inlineStr">
        <is>
          <t>HAIFENG</t>
        </is>
      </c>
      <c r="B4950" s="9" t="inlineStr">
        <is>
          <t>HAIFENG 16/06/2026</t>
        </is>
      </c>
      <c r="C4950" s="9" t="inlineStr">
        <is>
          <t>2026-06-16</t>
        </is>
      </c>
      <c r="D4950" s="9" t="inlineStr">
        <is>
          <t>15711171624141</t>
        </is>
      </c>
      <c r="E4950" s="9" t="inlineStr">
        <is>
          <t>ANILLO DOBLE T SILVER</t>
        </is>
      </c>
      <c r="F4950" s="9" t="inlineStr">
        <is>
          <t>6</t>
        </is>
      </c>
      <c r="G4950" s="9" t="n">
        <v>1</v>
      </c>
      <c r="H4950" s="21" t="n">
        <v>5</v>
      </c>
      <c r="I4950" s="21" t="n">
        <v>105.07</v>
      </c>
      <c r="J4950" s="21" t="n">
        <v>315.22</v>
      </c>
      <c r="K4950" s="21" t="n">
        <v>367.76</v>
      </c>
      <c r="L4950" s="21" t="n">
        <v>420.29</v>
      </c>
      <c r="M4950" s="21" t="n">
        <v>450</v>
      </c>
    </row>
    <row r="4951">
      <c r="A4951" s="9" t="inlineStr">
        <is>
          <t>HAIFENG</t>
        </is>
      </c>
      <c r="B4951" s="9" t="inlineStr">
        <is>
          <t>HAIFENG 16/06/2026</t>
        </is>
      </c>
      <c r="C4951" s="9" t="inlineStr">
        <is>
          <t>2026-06-16</t>
        </is>
      </c>
      <c r="D4951" s="9" t="inlineStr">
        <is>
          <t>56481463232012</t>
        </is>
      </c>
      <c r="E4951" s="9" t="inlineStr">
        <is>
          <t>ANILLO ESLABÓN GOLD</t>
        </is>
      </c>
      <c r="F4951" s="9" t="inlineStr">
        <is>
          <t>7</t>
        </is>
      </c>
      <c r="G4951" s="9" t="n">
        <v>2</v>
      </c>
      <c r="H4951" s="21" t="n">
        <v>6</v>
      </c>
      <c r="I4951" s="21" t="n">
        <v>126.09</v>
      </c>
      <c r="J4951" s="21" t="n">
        <v>378.26</v>
      </c>
      <c r="K4951" s="21" t="n">
        <v>441.31</v>
      </c>
      <c r="L4951" s="21" t="n">
        <v>504.35</v>
      </c>
      <c r="M4951" s="21" t="n">
        <v>520</v>
      </c>
    </row>
    <row r="4952">
      <c r="A4952" s="9" t="inlineStr">
        <is>
          <t>HAIFENG</t>
        </is>
      </c>
      <c r="B4952" s="9" t="inlineStr">
        <is>
          <t>HAIFENG 16/06/2026</t>
        </is>
      </c>
      <c r="C4952" s="9" t="inlineStr">
        <is>
          <t>2026-06-16</t>
        </is>
      </c>
      <c r="D4952" s="9" t="inlineStr">
        <is>
          <t>12314361063501</t>
        </is>
      </c>
      <c r="E4952" s="9" t="inlineStr">
        <is>
          <t>ANILLO F DOBLE GOLD</t>
        </is>
      </c>
      <c r="F4952" s="9" t="inlineStr">
        <is>
          <t>AJUSTABLE</t>
        </is>
      </c>
      <c r="G4952" s="9" t="n">
        <v>4</v>
      </c>
      <c r="H4952" s="21" t="n">
        <v>7</v>
      </c>
      <c r="I4952" s="21" t="n">
        <v>147.1</v>
      </c>
      <c r="J4952" s="21" t="n">
        <v>441.31</v>
      </c>
      <c r="K4952" s="21" t="n">
        <v>514.86</v>
      </c>
      <c r="L4952" s="21" t="n">
        <v>588.41</v>
      </c>
      <c r="M4952" s="21" t="n">
        <v>620</v>
      </c>
    </row>
    <row r="4953">
      <c r="A4953" s="9" t="inlineStr">
        <is>
          <t>HAIFENG</t>
        </is>
      </c>
      <c r="B4953" s="9" t="inlineStr">
        <is>
          <t>HAIFENG 16/06/2026</t>
        </is>
      </c>
      <c r="C4953" s="9" t="inlineStr">
        <is>
          <t>2026-06-16</t>
        </is>
      </c>
      <c r="D4953" s="9" t="inlineStr">
        <is>
          <t>12314362835885</t>
        </is>
      </c>
      <c r="E4953" s="9" t="inlineStr">
        <is>
          <t>ANILLO F GOLD ZIRCONIAS</t>
        </is>
      </c>
      <c r="F4953" s="9" t="inlineStr">
        <is>
          <t>7</t>
        </is>
      </c>
      <c r="G4953" s="9" t="n">
        <v>2</v>
      </c>
      <c r="H4953" s="21" t="n">
        <v>7</v>
      </c>
      <c r="I4953" s="21" t="n">
        <v>147.1</v>
      </c>
      <c r="J4953" s="21" t="n">
        <v>441.31</v>
      </c>
      <c r="K4953" s="21" t="n">
        <v>514.86</v>
      </c>
      <c r="L4953" s="21" t="n">
        <v>588.41</v>
      </c>
      <c r="M4953" s="21" t="n">
        <v>576.8</v>
      </c>
    </row>
    <row r="4954">
      <c r="A4954" s="9" t="inlineStr">
        <is>
          <t>HAIFENG</t>
        </is>
      </c>
      <c r="B4954" s="9" t="inlineStr">
        <is>
          <t>HAIFENG 16/06/2026</t>
        </is>
      </c>
      <c r="C4954" s="9" t="inlineStr">
        <is>
          <t>2026-06-16</t>
        </is>
      </c>
      <c r="D4954" s="9" t="inlineStr">
        <is>
          <t>12314361504205</t>
        </is>
      </c>
      <c r="E4954" s="9" t="inlineStr">
        <is>
          <t>ANILLO F SILVER ZIRCONIAS</t>
        </is>
      </c>
      <c r="F4954" s="9" t="inlineStr">
        <is>
          <t>8</t>
        </is>
      </c>
      <c r="G4954" s="9" t="n">
        <v>2</v>
      </c>
      <c r="H4954" s="21" t="n">
        <v>7</v>
      </c>
      <c r="I4954" s="21" t="n">
        <v>147.1</v>
      </c>
      <c r="J4954" s="21" t="n">
        <v>441.31</v>
      </c>
      <c r="K4954" s="21" t="n">
        <v>514.86</v>
      </c>
      <c r="L4954" s="21" t="n">
        <v>588.41</v>
      </c>
      <c r="M4954" s="21" t="n">
        <v>404</v>
      </c>
    </row>
    <row r="4955">
      <c r="A4955" s="9" t="inlineStr">
        <is>
          <t>HAIFENG</t>
        </is>
      </c>
      <c r="B4955" s="9" t="inlineStr">
        <is>
          <t>HAIFENG 16/06/2026</t>
        </is>
      </c>
      <c r="C4955" s="9" t="inlineStr">
        <is>
          <t>2026-06-16</t>
        </is>
      </c>
      <c r="D4955" s="9" t="inlineStr">
        <is>
          <t>22064323571501</t>
        </is>
      </c>
      <c r="E4955" s="9" t="inlineStr">
        <is>
          <t>ANILLO FLOWER DOBLE GOLD</t>
        </is>
      </c>
      <c r="F4955" s="9" t="inlineStr">
        <is>
          <t>Default Title</t>
        </is>
      </c>
      <c r="G4955" s="9" t="n">
        <v>3</v>
      </c>
      <c r="H4955" s="21" t="n">
        <v>8.9</v>
      </c>
      <c r="I4955" s="21" t="n">
        <v>187.03</v>
      </c>
      <c r="J4955" s="21" t="n">
        <v>561.09</v>
      </c>
      <c r="K4955" s="21" t="n">
        <v>654.6</v>
      </c>
      <c r="L4955" s="21" t="n">
        <v>748.12</v>
      </c>
      <c r="M4955" s="21" t="n">
        <v>750</v>
      </c>
    </row>
    <row r="4956">
      <c r="A4956" s="9" t="inlineStr">
        <is>
          <t>HAIFENG</t>
        </is>
      </c>
      <c r="B4956" s="9" t="inlineStr">
        <is>
          <t>HAIFENG 16/06/2026</t>
        </is>
      </c>
      <c r="C4956" s="9" t="inlineStr">
        <is>
          <t>2026-06-16</t>
        </is>
      </c>
      <c r="D4956" s="9" t="inlineStr">
        <is>
          <t>86347033399725</t>
        </is>
      </c>
      <c r="E4956" s="9" t="inlineStr">
        <is>
          <t>ANILLO KNOT DOBLE GOLD ZIRCONIAS</t>
        </is>
      </c>
      <c r="F4956" s="9" t="inlineStr">
        <is>
          <t>7</t>
        </is>
      </c>
      <c r="G4956" s="9" t="n">
        <v>5</v>
      </c>
      <c r="H4956" s="21" t="n">
        <v>6.5</v>
      </c>
      <c r="I4956" s="21" t="n">
        <v>136.59</v>
      </c>
      <c r="J4956" s="21" t="n">
        <v>409.78</v>
      </c>
      <c r="K4956" s="21" t="n">
        <v>478.08</v>
      </c>
      <c r="L4956" s="21" t="n">
        <v>546.38</v>
      </c>
      <c r="M4956" s="21" t="n">
        <v>550</v>
      </c>
    </row>
    <row r="4957">
      <c r="A4957" s="9" t="inlineStr">
        <is>
          <t>HAIFENG</t>
        </is>
      </c>
      <c r="B4957" s="9" t="inlineStr">
        <is>
          <t>HAIFENG 16/06/2026</t>
        </is>
      </c>
      <c r="C4957" s="9" t="inlineStr">
        <is>
          <t>2026-06-16</t>
        </is>
      </c>
      <c r="D4957" s="9" t="inlineStr">
        <is>
          <t>86347033266957</t>
        </is>
      </c>
      <c r="E4957" s="9" t="inlineStr">
        <is>
          <t>ANILLO KNOT DOBLE GOLD ZIRCONIAS</t>
        </is>
      </c>
      <c r="F4957" s="9" t="inlineStr">
        <is>
          <t>6</t>
        </is>
      </c>
      <c r="G4957" s="9" t="n">
        <v>1</v>
      </c>
      <c r="H4957" s="21" t="n">
        <v>6.5</v>
      </c>
      <c r="I4957" s="21" t="n">
        <v>136.59</v>
      </c>
      <c r="J4957" s="21" t="n">
        <v>409.78</v>
      </c>
      <c r="K4957" s="21" t="n">
        <v>478.08</v>
      </c>
      <c r="L4957" s="21" t="n">
        <v>546.38</v>
      </c>
      <c r="M4957" s="21" t="n">
        <v>550</v>
      </c>
    </row>
    <row r="4958">
      <c r="A4958" s="9" t="inlineStr">
        <is>
          <t>HAIFENG</t>
        </is>
      </c>
      <c r="B4958" s="9" t="inlineStr">
        <is>
          <t>HAIFENG 16/06/2026</t>
        </is>
      </c>
      <c r="C4958" s="9" t="inlineStr">
        <is>
          <t>2026-06-16</t>
        </is>
      </c>
      <c r="D4958" s="9" t="inlineStr">
        <is>
          <t>31058341012141</t>
        </is>
      </c>
      <c r="E4958" s="9" t="inlineStr">
        <is>
          <t>ANILLO KNOT DOBLE SILVER ZIRCONIAS</t>
        </is>
      </c>
      <c r="F4958" s="9" t="inlineStr">
        <is>
          <t>7</t>
        </is>
      </c>
      <c r="G4958" s="9" t="n">
        <v>1</v>
      </c>
      <c r="H4958" s="21" t="n">
        <v>6.5</v>
      </c>
      <c r="I4958" s="21" t="n">
        <v>136.59</v>
      </c>
      <c r="J4958" s="21" t="n">
        <v>409.78</v>
      </c>
      <c r="K4958" s="21" t="n">
        <v>478.08</v>
      </c>
      <c r="L4958" s="21" t="n">
        <v>546.38</v>
      </c>
      <c r="M4958" s="21" t="n">
        <v>550</v>
      </c>
    </row>
    <row r="4959">
      <c r="A4959" s="9" t="inlineStr">
        <is>
          <t>HAIFENG</t>
        </is>
      </c>
      <c r="B4959" s="9" t="inlineStr">
        <is>
          <t>HAIFENG 16/06/2026</t>
        </is>
      </c>
      <c r="C4959" s="9" t="inlineStr">
        <is>
          <t>2026-06-16</t>
        </is>
      </c>
      <c r="D4959" s="9" t="inlineStr">
        <is>
          <t>89205551037229</t>
        </is>
      </c>
      <c r="E4959" s="9" t="inlineStr">
        <is>
          <t>ANILLO KNOT SILVER ANCHO</t>
        </is>
      </c>
      <c r="F4959" s="9" t="inlineStr">
        <is>
          <t>6</t>
        </is>
      </c>
      <c r="G4959" s="9" t="n">
        <v>2</v>
      </c>
      <c r="H4959" s="21" t="n">
        <v>5</v>
      </c>
      <c r="I4959" s="21" t="n">
        <v>105.07</v>
      </c>
      <c r="J4959" s="21" t="n">
        <v>315.22</v>
      </c>
      <c r="K4959" s="21" t="n">
        <v>367.76</v>
      </c>
      <c r="L4959" s="21" t="n">
        <v>420.29</v>
      </c>
      <c r="M4959" s="21" t="n">
        <v>450</v>
      </c>
    </row>
    <row r="4960">
      <c r="A4960" s="9" t="inlineStr">
        <is>
          <t>HAIFENG</t>
        </is>
      </c>
      <c r="B4960" s="9" t="inlineStr">
        <is>
          <t>HAIFENG 16/06/2026</t>
        </is>
      </c>
      <c r="C4960" s="9" t="inlineStr">
        <is>
          <t>2026-06-16</t>
        </is>
      </c>
      <c r="D4960" s="9" t="inlineStr">
        <is>
          <t>89205551513197</t>
        </is>
      </c>
      <c r="E4960" s="9" t="inlineStr">
        <is>
          <t>ANILLO KNOT SILVER ZIRCONIAS</t>
        </is>
      </c>
      <c r="F4960" s="9" t="inlineStr">
        <is>
          <t>8</t>
        </is>
      </c>
      <c r="G4960" s="9" t="n">
        <v>2</v>
      </c>
      <c r="H4960" s="21" t="n">
        <v>6.5</v>
      </c>
      <c r="I4960" s="21" t="n">
        <v>136.59</v>
      </c>
      <c r="J4960" s="21" t="n">
        <v>409.78</v>
      </c>
      <c r="K4960" s="21" t="n">
        <v>478.08</v>
      </c>
      <c r="L4960" s="21" t="n">
        <v>546.38</v>
      </c>
      <c r="M4960" s="21" t="n">
        <v>550</v>
      </c>
    </row>
    <row r="4961">
      <c r="A4961" s="9" t="inlineStr">
        <is>
          <t>HAIFENG</t>
        </is>
      </c>
      <c r="B4961" s="9" t="inlineStr">
        <is>
          <t>HAIFENG 16/06/2026</t>
        </is>
      </c>
      <c r="C4961" s="9" t="inlineStr">
        <is>
          <t>2026-06-16</t>
        </is>
      </c>
      <c r="D4961" s="9" t="inlineStr">
        <is>
          <t>89205551347661</t>
        </is>
      </c>
      <c r="E4961" s="9" t="inlineStr">
        <is>
          <t>ANILLO KNOT SILVER ZIRCONIAS</t>
        </is>
      </c>
      <c r="F4961" s="9" t="inlineStr">
        <is>
          <t>6</t>
        </is>
      </c>
      <c r="G4961" s="9" t="n">
        <v>2</v>
      </c>
      <c r="H4961" s="21" t="n">
        <v>6.5</v>
      </c>
      <c r="I4961" s="21" t="n">
        <v>136.59</v>
      </c>
      <c r="J4961" s="21" t="n">
        <v>409.78</v>
      </c>
      <c r="K4961" s="21" t="n">
        <v>478.08</v>
      </c>
      <c r="L4961" s="21" t="n">
        <v>546.38</v>
      </c>
      <c r="M4961" s="21" t="n">
        <v>550</v>
      </c>
    </row>
    <row r="4962">
      <c r="A4962" s="9" t="inlineStr">
        <is>
          <t>HAIFENG</t>
        </is>
      </c>
      <c r="B4962" s="9" t="inlineStr">
        <is>
          <t>HAIFENG 16/06/2026</t>
        </is>
      </c>
      <c r="C4962" s="9" t="inlineStr">
        <is>
          <t>2026-06-16</t>
        </is>
      </c>
      <c r="D4962" s="9" t="inlineStr">
        <is>
          <t>82224434457549</t>
        </is>
      </c>
      <c r="E4962" s="9" t="inlineStr">
        <is>
          <t>ANILLO LOVE CON ZIRCONIA ROSE GOLD</t>
        </is>
      </c>
      <c r="F4962" s="9" t="inlineStr">
        <is>
          <t>9</t>
        </is>
      </c>
      <c r="G4962" s="9" t="n">
        <v>2</v>
      </c>
      <c r="H4962" s="21" t="n">
        <v>1.8</v>
      </c>
      <c r="I4962" s="21" t="n">
        <v>37.83</v>
      </c>
      <c r="J4962" s="21" t="n">
        <v>113.48</v>
      </c>
      <c r="K4962" s="21" t="n">
        <v>132.39</v>
      </c>
      <c r="L4962" s="21" t="n">
        <v>151.31</v>
      </c>
      <c r="M4962" s="21" t="n">
        <v>140</v>
      </c>
    </row>
    <row r="4963">
      <c r="A4963" s="9" t="inlineStr">
        <is>
          <t>HAIFENG</t>
        </is>
      </c>
      <c r="B4963" s="9" t="inlineStr">
        <is>
          <t>HAIFENG 16/06/2026</t>
        </is>
      </c>
      <c r="C4963" s="9" t="inlineStr">
        <is>
          <t>2026-06-16</t>
        </is>
      </c>
      <c r="D4963" s="9" t="inlineStr">
        <is>
          <t>82224434292013</t>
        </is>
      </c>
      <c r="E4963" s="9" t="inlineStr">
        <is>
          <t>ANILLO LOVE CON ZIRCONIA ROSE GOLD</t>
        </is>
      </c>
      <c r="F4963" s="9" t="inlineStr">
        <is>
          <t>7</t>
        </is>
      </c>
      <c r="G4963" s="9" t="n">
        <v>2</v>
      </c>
      <c r="H4963" s="21" t="n">
        <v>1.8</v>
      </c>
      <c r="I4963" s="21" t="n">
        <v>37.83</v>
      </c>
      <c r="J4963" s="21" t="n">
        <v>113.48</v>
      </c>
      <c r="K4963" s="21" t="n">
        <v>132.39</v>
      </c>
      <c r="L4963" s="21" t="n">
        <v>151.31</v>
      </c>
      <c r="M4963" s="21" t="n">
        <v>280</v>
      </c>
    </row>
    <row r="4964">
      <c r="A4964" s="9" t="inlineStr">
        <is>
          <t>HAIFENG</t>
        </is>
      </c>
      <c r="B4964" s="9" t="inlineStr">
        <is>
          <t>HAIFENG 16/06/2026</t>
        </is>
      </c>
      <c r="C4964" s="9" t="inlineStr">
        <is>
          <t>2026-06-16</t>
        </is>
      </c>
      <c r="D4964" s="9" t="inlineStr">
        <is>
          <t>59436481460941</t>
        </is>
      </c>
      <c r="E4964" s="9" t="inlineStr">
        <is>
          <t>ANILLO LOVE CON ZIRCONIA SILVER</t>
        </is>
      </c>
      <c r="F4964" s="9" t="inlineStr">
        <is>
          <t>9</t>
        </is>
      </c>
      <c r="G4964" s="9" t="n">
        <v>3</v>
      </c>
      <c r="H4964" s="21" t="n">
        <v>1.8</v>
      </c>
      <c r="I4964" s="21" t="n">
        <v>37.83</v>
      </c>
      <c r="J4964" s="21" t="n">
        <v>113.48</v>
      </c>
      <c r="K4964" s="21" t="n">
        <v>132.39</v>
      </c>
      <c r="L4964" s="21" t="n">
        <v>151.31</v>
      </c>
      <c r="M4964" s="21" t="n">
        <v>450</v>
      </c>
    </row>
    <row r="4965">
      <c r="A4965" s="9" t="inlineStr">
        <is>
          <t>HAIFENG</t>
        </is>
      </c>
      <c r="B4965" s="9" t="inlineStr">
        <is>
          <t>HAIFENG 16/06/2026</t>
        </is>
      </c>
      <c r="C4965" s="9" t="inlineStr">
        <is>
          <t>2026-06-16</t>
        </is>
      </c>
      <c r="D4965" s="9" t="inlineStr">
        <is>
          <t>59436481593709</t>
        </is>
      </c>
      <c r="E4965" s="9" t="inlineStr">
        <is>
          <t>ANILLO LOVE CON ZIRCONIA SILVER</t>
        </is>
      </c>
      <c r="F4965" s="9" t="inlineStr">
        <is>
          <t>10</t>
        </is>
      </c>
      <c r="G4965" s="9" t="n">
        <v>1</v>
      </c>
      <c r="H4965" s="21" t="n">
        <v>1.8</v>
      </c>
      <c r="I4965" s="21" t="n">
        <v>37.83</v>
      </c>
      <c r="J4965" s="21" t="n">
        <v>113.48</v>
      </c>
      <c r="K4965" s="21" t="n">
        <v>132.39</v>
      </c>
      <c r="L4965" s="21" t="n">
        <v>151.31</v>
      </c>
      <c r="M4965" s="21" t="n">
        <v>450</v>
      </c>
    </row>
    <row r="4966">
      <c r="A4966" s="9" t="inlineStr">
        <is>
          <t>HAIFENG</t>
        </is>
      </c>
      <c r="B4966" s="9" t="inlineStr">
        <is>
          <t>HAIFENG 16/06/2026</t>
        </is>
      </c>
      <c r="C4966" s="9" t="inlineStr">
        <is>
          <t>2026-06-16</t>
        </is>
      </c>
      <c r="D4966" s="9" t="inlineStr">
        <is>
          <t>66176a39da1f0</t>
        </is>
      </c>
      <c r="E4966" s="9" t="inlineStr">
        <is>
          <t>ANILLO LOVE GOLD</t>
        </is>
      </c>
      <c r="F4966" s="9" t="inlineStr">
        <is>
          <t>6</t>
        </is>
      </c>
      <c r="G4966" s="9" t="n">
        <v>5</v>
      </c>
      <c r="H4966" s="21" t="n">
        <v>1.8</v>
      </c>
      <c r="I4966" s="21" t="n">
        <v>37.83</v>
      </c>
      <c r="J4966" s="21" t="n">
        <v>113.48</v>
      </c>
      <c r="K4966" s="21" t="n">
        <v>132.39</v>
      </c>
      <c r="L4966" s="21" t="n">
        <v>151.31</v>
      </c>
      <c r="M4966" s="21" t="n">
        <v>400</v>
      </c>
    </row>
    <row r="4967">
      <c r="A4967" s="9" t="inlineStr">
        <is>
          <t>HAIFENG</t>
        </is>
      </c>
      <c r="B4967" s="9" t="inlineStr">
        <is>
          <t>HAIFENG 16/06/2026</t>
        </is>
      </c>
      <c r="C4967" s="9" t="inlineStr">
        <is>
          <t>2026-06-16</t>
        </is>
      </c>
      <c r="D4967" s="9" t="inlineStr">
        <is>
          <t>66176a3a6e732</t>
        </is>
      </c>
      <c r="E4967" s="9" t="inlineStr">
        <is>
          <t>ANILLO LOVE GOLD</t>
        </is>
      </c>
      <c r="F4967" s="9" t="inlineStr">
        <is>
          <t>7</t>
        </is>
      </c>
      <c r="G4967" s="9" t="n">
        <v>10</v>
      </c>
      <c r="H4967" s="21" t="n">
        <v>1.8</v>
      </c>
      <c r="I4967" s="21" t="n">
        <v>37.83</v>
      </c>
      <c r="J4967" s="21" t="n">
        <v>113.48</v>
      </c>
      <c r="K4967" s="21" t="n">
        <v>132.39</v>
      </c>
      <c r="L4967" s="21" t="n">
        <v>151.31</v>
      </c>
      <c r="M4967" s="21" t="n">
        <v>400</v>
      </c>
    </row>
    <row r="4968">
      <c r="A4968" s="9" t="inlineStr">
        <is>
          <t>HAIFENG</t>
        </is>
      </c>
      <c r="B4968" s="9" t="inlineStr">
        <is>
          <t>HAIFENG 16/06/2026</t>
        </is>
      </c>
      <c r="C4968" s="9" t="inlineStr">
        <is>
          <t>2026-06-16</t>
        </is>
      </c>
      <c r="D4968" s="9" t="inlineStr">
        <is>
          <t>66176a3b07b47</t>
        </is>
      </c>
      <c r="E4968" s="9" t="inlineStr">
        <is>
          <t>ANILLO LOVE GOLD</t>
        </is>
      </c>
      <c r="F4968" s="9" t="inlineStr">
        <is>
          <t>8</t>
        </is>
      </c>
      <c r="G4968" s="9" t="n">
        <v>4</v>
      </c>
      <c r="H4968" s="21" t="n">
        <v>1.8</v>
      </c>
      <c r="I4968" s="21" t="n">
        <v>37.83</v>
      </c>
      <c r="J4968" s="21" t="n">
        <v>113.48</v>
      </c>
      <c r="K4968" s="21" t="n">
        <v>132.39</v>
      </c>
      <c r="L4968" s="21" t="n">
        <v>151.31</v>
      </c>
      <c r="M4968" s="21" t="n">
        <v>400</v>
      </c>
    </row>
    <row r="4969">
      <c r="A4969" s="9" t="inlineStr">
        <is>
          <t>HAIFENG</t>
        </is>
      </c>
      <c r="B4969" s="9" t="inlineStr">
        <is>
          <t>HAIFENG 16/06/2026</t>
        </is>
      </c>
      <c r="C4969" s="9" t="inlineStr">
        <is>
          <t>2026-06-16</t>
        </is>
      </c>
      <c r="D4969" s="9" t="inlineStr">
        <is>
          <t>2653021516300</t>
        </is>
      </c>
      <c r="E4969" s="9" t="inlineStr">
        <is>
          <t>ANILLO LOVE GOLD ANCHO (WIDE)</t>
        </is>
      </c>
      <c r="F4969" s="9" t="inlineStr">
        <is>
          <t>8</t>
        </is>
      </c>
      <c r="G4969" s="9" t="n">
        <v>3</v>
      </c>
      <c r="H4969" s="21" t="n">
        <v>1.8</v>
      </c>
      <c r="I4969" s="21" t="n">
        <v>37.83</v>
      </c>
      <c r="J4969" s="21" t="n">
        <v>113.48</v>
      </c>
      <c r="K4969" s="21" t="n">
        <v>132.39</v>
      </c>
      <c r="L4969" s="21" t="n">
        <v>151.31</v>
      </c>
      <c r="M4969" s="21" t="n">
        <v>400</v>
      </c>
    </row>
    <row r="4970">
      <c r="A4970" s="9" t="inlineStr">
        <is>
          <t>HAIFENG</t>
        </is>
      </c>
      <c r="B4970" s="9" t="inlineStr">
        <is>
          <t>HAIFENG 16/06/2026</t>
        </is>
      </c>
      <c r="C4970" s="9" t="inlineStr">
        <is>
          <t>2026-06-16</t>
        </is>
      </c>
      <c r="D4970" s="9" t="inlineStr">
        <is>
          <t>2653021450764</t>
        </is>
      </c>
      <c r="E4970" s="9" t="inlineStr">
        <is>
          <t>ANILLO LOVE GOLD ANCHO (WIDE)</t>
        </is>
      </c>
      <c r="F4970" s="9" t="inlineStr">
        <is>
          <t>6</t>
        </is>
      </c>
      <c r="G4970" s="9" t="n">
        <v>3</v>
      </c>
      <c r="H4970" s="21" t="n">
        <v>1.8</v>
      </c>
      <c r="I4970" s="21" t="n">
        <v>37.83</v>
      </c>
      <c r="J4970" s="21" t="n">
        <v>113.48</v>
      </c>
      <c r="K4970" s="21" t="n">
        <v>132.39</v>
      </c>
      <c r="L4970" s="21" t="n">
        <v>151.31</v>
      </c>
      <c r="M4970" s="21" t="n">
        <v>400</v>
      </c>
    </row>
    <row r="4971">
      <c r="A4971" s="9" t="inlineStr">
        <is>
          <t>HAIFENG</t>
        </is>
      </c>
      <c r="B4971" s="9" t="inlineStr">
        <is>
          <t>HAIFENG 16/06/2026</t>
        </is>
      </c>
      <c r="C4971" s="9" t="inlineStr">
        <is>
          <t>2026-06-16</t>
        </is>
      </c>
      <c r="D4971" s="9" t="inlineStr">
        <is>
          <t>2653021417996</t>
        </is>
      </c>
      <c r="E4971" s="9" t="inlineStr">
        <is>
          <t>ANILLO LOVE GOLD ANCHO (WIDE)</t>
        </is>
      </c>
      <c r="F4971" s="9" t="inlineStr">
        <is>
          <t>5</t>
        </is>
      </c>
      <c r="G4971" s="9" t="n">
        <v>2</v>
      </c>
      <c r="H4971" s="21" t="n">
        <v>1.8</v>
      </c>
      <c r="I4971" s="21" t="n">
        <v>37.83</v>
      </c>
      <c r="J4971" s="21" t="n">
        <v>113.48</v>
      </c>
      <c r="K4971" s="21" t="n">
        <v>132.39</v>
      </c>
      <c r="L4971" s="21" t="n">
        <v>151.31</v>
      </c>
      <c r="M4971" s="21" t="n">
        <v>400</v>
      </c>
    </row>
    <row r="4972">
      <c r="A4972" s="9" t="inlineStr">
        <is>
          <t>HAIFENG</t>
        </is>
      </c>
      <c r="B4972" s="9" t="inlineStr">
        <is>
          <t>HAIFENG 16/06/2026</t>
        </is>
      </c>
      <c r="C4972" s="9" t="inlineStr">
        <is>
          <t>2026-06-16</t>
        </is>
      </c>
      <c r="D4972" s="9" t="inlineStr">
        <is>
          <t>2653021549068</t>
        </is>
      </c>
      <c r="E4972" s="9" t="inlineStr">
        <is>
          <t>ANILLO LOVE GOLD ANCHO (WIDE)</t>
        </is>
      </c>
      <c r="F4972" s="9" t="inlineStr">
        <is>
          <t>9</t>
        </is>
      </c>
      <c r="G4972" s="9" t="n">
        <v>3</v>
      </c>
      <c r="H4972" s="21" t="n">
        <v>1.8</v>
      </c>
      <c r="I4972" s="21" t="n">
        <v>37.83</v>
      </c>
      <c r="J4972" s="21" t="n">
        <v>113.48</v>
      </c>
      <c r="K4972" s="21" t="n">
        <v>132.39</v>
      </c>
      <c r="L4972" s="21" t="n">
        <v>151.31</v>
      </c>
      <c r="M4972" s="21" t="n">
        <v>400</v>
      </c>
    </row>
    <row r="4973">
      <c r="A4973" s="9" t="inlineStr">
        <is>
          <t>HAIFENG</t>
        </is>
      </c>
      <c r="B4973" s="9" t="inlineStr">
        <is>
          <t>HAIFENG 16/06/2026</t>
        </is>
      </c>
      <c r="C4973" s="9" t="inlineStr">
        <is>
          <t>2026-06-16</t>
        </is>
      </c>
      <c r="D4973" s="9" t="inlineStr">
        <is>
          <t>66176c924830f</t>
        </is>
      </c>
      <c r="E4973" s="9" t="inlineStr">
        <is>
          <t>ANILLO LOVE GOLD ANCHO CON ZIRCONIA(WIDE)</t>
        </is>
      </c>
      <c r="F4973" s="9" t="inlineStr">
        <is>
          <t>8</t>
        </is>
      </c>
      <c r="G4973" s="9" t="n">
        <v>2</v>
      </c>
      <c r="H4973" s="21" t="n">
        <v>1.8</v>
      </c>
      <c r="I4973" s="21" t="n">
        <v>37.83</v>
      </c>
      <c r="J4973" s="21" t="n">
        <v>113.48</v>
      </c>
      <c r="K4973" s="21" t="n">
        <v>132.39</v>
      </c>
      <c r="L4973" s="21" t="n">
        <v>151.31</v>
      </c>
      <c r="M4973" s="21" t="n">
        <v>450</v>
      </c>
    </row>
    <row r="4974">
      <c r="A4974" s="9" t="inlineStr">
        <is>
          <t>HAIFENG</t>
        </is>
      </c>
      <c r="B4974" s="9" t="inlineStr">
        <is>
          <t>HAIFENG 16/06/2026</t>
        </is>
      </c>
      <c r="C4974" s="9" t="inlineStr">
        <is>
          <t>2026-06-16</t>
        </is>
      </c>
      <c r="D4974" s="9" t="inlineStr">
        <is>
          <t>56481480676492</t>
        </is>
      </c>
      <c r="E4974" s="9" t="inlineStr">
        <is>
          <t>ANILLO LOVE LOVE ROSEGOLD-SILVER ZIRCONIAS</t>
        </is>
      </c>
      <c r="F4974" s="9" t="inlineStr">
        <is>
          <t>8</t>
        </is>
      </c>
      <c r="G4974" s="9" t="n">
        <v>2</v>
      </c>
      <c r="H4974" s="21" t="n">
        <v>7.5</v>
      </c>
      <c r="I4974" s="21" t="n">
        <v>157.61</v>
      </c>
      <c r="J4974" s="21" t="n">
        <v>472.83</v>
      </c>
      <c r="K4974" s="21" t="n">
        <v>551.63</v>
      </c>
      <c r="L4974" s="21" t="n">
        <v>630.4400000000001</v>
      </c>
      <c r="M4974" s="21" t="n">
        <v>620</v>
      </c>
    </row>
    <row r="4975">
      <c r="A4975" s="9" t="inlineStr">
        <is>
          <t>HAIFENG</t>
        </is>
      </c>
      <c r="B4975" s="9" t="inlineStr">
        <is>
          <t>HAIFENG 16/06/2026</t>
        </is>
      </c>
      <c r="C4975" s="9" t="inlineStr">
        <is>
          <t>2026-06-16</t>
        </is>
      </c>
      <c r="D4975" s="9" t="inlineStr">
        <is>
          <t>66593bc27f55c</t>
        </is>
      </c>
      <c r="E4975" s="9" t="inlineStr">
        <is>
          <t>ANILLO LOVE MZ GOLD</t>
        </is>
      </c>
      <c r="F4975" s="9" t="inlineStr">
        <is>
          <t>6</t>
        </is>
      </c>
      <c r="G4975" s="9" t="n">
        <v>4</v>
      </c>
      <c r="H4975" s="21" t="n">
        <v>5.8</v>
      </c>
      <c r="I4975" s="21" t="n">
        <v>121.88</v>
      </c>
      <c r="J4975" s="21" t="n">
        <v>365.65</v>
      </c>
      <c r="K4975" s="21" t="n">
        <v>426.6</v>
      </c>
      <c r="L4975" s="21" t="n">
        <v>487.54</v>
      </c>
      <c r="M4975" s="21" t="n">
        <v>550</v>
      </c>
    </row>
    <row r="4976">
      <c r="A4976" s="9" t="inlineStr">
        <is>
          <t>HAIFENG</t>
        </is>
      </c>
      <c r="B4976" s="9" t="inlineStr">
        <is>
          <t>HAIFENG 16/06/2026</t>
        </is>
      </c>
      <c r="C4976" s="9" t="inlineStr">
        <is>
          <t>2026-06-16</t>
        </is>
      </c>
      <c r="D4976" s="9" t="inlineStr">
        <is>
          <t>66593bc3b73c7</t>
        </is>
      </c>
      <c r="E4976" s="9" t="inlineStr">
        <is>
          <t>ANILLO LOVE MZ GOLD</t>
        </is>
      </c>
      <c r="F4976" s="9" t="inlineStr">
        <is>
          <t>8</t>
        </is>
      </c>
      <c r="G4976" s="9" t="n">
        <v>1</v>
      </c>
      <c r="H4976" s="21" t="n">
        <v>5.8</v>
      </c>
      <c r="I4976" s="21" t="n">
        <v>121.88</v>
      </c>
      <c r="J4976" s="21" t="n">
        <v>365.65</v>
      </c>
      <c r="K4976" s="21" t="n">
        <v>426.6</v>
      </c>
      <c r="L4976" s="21" t="n">
        <v>487.54</v>
      </c>
      <c r="M4976" s="21" t="n">
        <v>550</v>
      </c>
    </row>
    <row r="4977">
      <c r="A4977" s="9" t="inlineStr">
        <is>
          <t>HAIFENG</t>
        </is>
      </c>
      <c r="B4977" s="9" t="inlineStr">
        <is>
          <t>HAIFENG 16/06/2026</t>
        </is>
      </c>
      <c r="C4977" s="9" t="inlineStr">
        <is>
          <t>2026-06-16</t>
        </is>
      </c>
      <c r="D4977" s="9" t="inlineStr">
        <is>
          <t>66593bc48c52f</t>
        </is>
      </c>
      <c r="E4977" s="9" t="inlineStr">
        <is>
          <t>ANILLO LOVE MZ SILVER</t>
        </is>
      </c>
      <c r="F4977" s="9" t="inlineStr">
        <is>
          <t>9</t>
        </is>
      </c>
      <c r="G4977" s="9" t="n">
        <v>1</v>
      </c>
      <c r="H4977" s="21" t="n">
        <v>5.8</v>
      </c>
      <c r="I4977" s="21" t="n">
        <v>121.88</v>
      </c>
      <c r="J4977" s="21" t="n">
        <v>365.65</v>
      </c>
      <c r="K4977" s="21" t="n">
        <v>426.6</v>
      </c>
      <c r="L4977" s="21" t="n">
        <v>487.54</v>
      </c>
      <c r="M4977" s="21" t="n">
        <v>550</v>
      </c>
    </row>
    <row r="4978">
      <c r="A4978" s="9" t="inlineStr">
        <is>
          <t>HAIFENG</t>
        </is>
      </c>
      <c r="B4978" s="9" t="inlineStr">
        <is>
          <t>HAIFENG 16/06/2026</t>
        </is>
      </c>
      <c r="C4978" s="9" t="inlineStr">
        <is>
          <t>2026-06-16</t>
        </is>
      </c>
      <c r="D4978" s="9" t="inlineStr">
        <is>
          <t>66176c8851d40</t>
        </is>
      </c>
      <c r="E4978" s="9" t="inlineStr">
        <is>
          <t>ANILLO LOVE ROSE GOLD</t>
        </is>
      </c>
      <c r="F4978" s="9" t="inlineStr">
        <is>
          <t>7</t>
        </is>
      </c>
      <c r="G4978" s="9" t="n">
        <v>2</v>
      </c>
      <c r="H4978" s="21" t="n">
        <v>1.8</v>
      </c>
      <c r="I4978" s="21" t="n">
        <v>37.83</v>
      </c>
      <c r="J4978" s="21" t="n">
        <v>113.48</v>
      </c>
      <c r="K4978" s="21" t="n">
        <v>132.39</v>
      </c>
      <c r="L4978" s="21" t="n">
        <v>151.31</v>
      </c>
      <c r="M4978" s="21" t="n">
        <v>400</v>
      </c>
    </row>
    <row r="4979">
      <c r="A4979" s="9" t="inlineStr">
        <is>
          <t>HAIFENG</t>
        </is>
      </c>
      <c r="B4979" s="9" t="inlineStr">
        <is>
          <t>HAIFENG 16/06/2026</t>
        </is>
      </c>
      <c r="C4979" s="9" t="inlineStr">
        <is>
          <t>2026-06-16</t>
        </is>
      </c>
      <c r="D4979" s="9" t="inlineStr">
        <is>
          <t>66176c8bd1187</t>
        </is>
      </c>
      <c r="E4979" s="9" t="inlineStr">
        <is>
          <t>ANILLO LOVE ROSE GOLD ANCHO (WIDE)</t>
        </is>
      </c>
      <c r="F4979" s="9" t="inlineStr">
        <is>
          <t>8</t>
        </is>
      </c>
      <c r="G4979" s="9" t="n">
        <v>1</v>
      </c>
      <c r="H4979" s="21" t="n">
        <v>1.8</v>
      </c>
      <c r="I4979" s="21" t="n">
        <v>37.83</v>
      </c>
      <c r="J4979" s="21" t="n">
        <v>113.48</v>
      </c>
      <c r="K4979" s="21" t="n">
        <v>132.39</v>
      </c>
      <c r="L4979" s="21" t="n">
        <v>151.31</v>
      </c>
      <c r="M4979" s="21" t="n">
        <v>400</v>
      </c>
    </row>
    <row r="4980">
      <c r="A4980" s="9" t="inlineStr">
        <is>
          <t>HAIFENG</t>
        </is>
      </c>
      <c r="B4980" s="9" t="inlineStr">
        <is>
          <t>HAIFENG 16/06/2026</t>
        </is>
      </c>
      <c r="C4980" s="9" t="inlineStr">
        <is>
          <t>2026-06-16</t>
        </is>
      </c>
      <c r="D4980" s="9" t="inlineStr">
        <is>
          <t>66176c8482af4</t>
        </is>
      </c>
      <c r="E4980" s="9" t="inlineStr">
        <is>
          <t>ANILLO LOVE SILVER</t>
        </is>
      </c>
      <c r="F4980" s="9" t="inlineStr">
        <is>
          <t>6</t>
        </is>
      </c>
      <c r="G4980" s="9" t="n">
        <v>2</v>
      </c>
      <c r="H4980" s="21" t="n">
        <v>1.8</v>
      </c>
      <c r="I4980" s="21" t="n">
        <v>37.83</v>
      </c>
      <c r="J4980" s="21" t="n">
        <v>113.48</v>
      </c>
      <c r="K4980" s="21" t="n">
        <v>132.39</v>
      </c>
      <c r="L4980" s="21" t="n">
        <v>151.31</v>
      </c>
      <c r="M4980" s="21" t="n">
        <v>400</v>
      </c>
    </row>
    <row r="4981">
      <c r="A4981" s="9" t="inlineStr">
        <is>
          <t>HAIFENG</t>
        </is>
      </c>
      <c r="B4981" s="9" t="inlineStr">
        <is>
          <t>HAIFENG 16/06/2026</t>
        </is>
      </c>
      <c r="C4981" s="9" t="inlineStr">
        <is>
          <t>2026-06-16</t>
        </is>
      </c>
      <c r="D4981" s="9" t="inlineStr">
        <is>
          <t>66176c86bbe5a</t>
        </is>
      </c>
      <c r="E4981" s="9" t="inlineStr">
        <is>
          <t>ANILLO LOVE SILVER</t>
        </is>
      </c>
      <c r="F4981" s="9" t="inlineStr">
        <is>
          <t>10</t>
        </is>
      </c>
      <c r="G4981" s="9" t="n">
        <v>2</v>
      </c>
      <c r="H4981" s="21" t="n">
        <v>1.8</v>
      </c>
      <c r="I4981" s="21" t="n">
        <v>37.83</v>
      </c>
      <c r="J4981" s="21" t="n">
        <v>113.48</v>
      </c>
      <c r="K4981" s="21" t="n">
        <v>132.39</v>
      </c>
      <c r="L4981" s="21" t="n">
        <v>151.31</v>
      </c>
      <c r="M4981" s="21" t="n">
        <v>400</v>
      </c>
    </row>
    <row r="4982">
      <c r="A4982" s="9" t="inlineStr">
        <is>
          <t>HAIFENG</t>
        </is>
      </c>
      <c r="B4982" s="9" t="inlineStr">
        <is>
          <t>HAIFENG 16/06/2026</t>
        </is>
      </c>
      <c r="C4982" s="9" t="inlineStr">
        <is>
          <t>2026-06-16</t>
        </is>
      </c>
      <c r="D4982" s="9" t="inlineStr">
        <is>
          <t>66593bd178f08</t>
        </is>
      </c>
      <c r="E4982" s="9" t="inlineStr">
        <is>
          <t>ANILLO LOVE SILVER ANCHO CON ZIRCONIA</t>
        </is>
      </c>
      <c r="F4982" s="9" t="inlineStr">
        <is>
          <t>11</t>
        </is>
      </c>
      <c r="G4982" s="9" t="n">
        <v>2</v>
      </c>
      <c r="H4982" s="21" t="n">
        <v>1.8</v>
      </c>
      <c r="I4982" s="21" t="n">
        <v>37.83</v>
      </c>
      <c r="J4982" s="21" t="n">
        <v>113.48</v>
      </c>
      <c r="K4982" s="21" t="n">
        <v>132.39</v>
      </c>
      <c r="L4982" s="21" t="n">
        <v>151.31</v>
      </c>
      <c r="M4982" s="21" t="n">
        <v>450</v>
      </c>
    </row>
    <row r="4983">
      <c r="A4983" s="9" t="inlineStr">
        <is>
          <t>HAIFENG</t>
        </is>
      </c>
      <c r="B4983" s="9" t="inlineStr">
        <is>
          <t>HAIFENG 16/06/2026</t>
        </is>
      </c>
      <c r="C4983" s="9" t="inlineStr">
        <is>
          <t>2026-06-16</t>
        </is>
      </c>
      <c r="D4983" s="9" t="inlineStr">
        <is>
          <t>ANDREA</t>
        </is>
      </c>
      <c r="E4983" s="9" t="inlineStr">
        <is>
          <t>ANILLO LOVE SILVER ANCHO CON ZIRCONIA</t>
        </is>
      </c>
      <c r="F4983" s="9" t="inlineStr"/>
      <c r="G4983" s="9" t="n">
        <v>1</v>
      </c>
      <c r="H4983" s="21" t="n">
        <v>1.8</v>
      </c>
      <c r="I4983" s="21" t="n">
        <v>37.83</v>
      </c>
      <c r="J4983" s="21" t="n">
        <v>113.48</v>
      </c>
      <c r="K4983" s="21" t="n">
        <v>132.39</v>
      </c>
      <c r="L4983" s="21" t="n">
        <v>151.31</v>
      </c>
      <c r="M4983" s="21" t="n"/>
    </row>
    <row r="4984">
      <c r="A4984" s="9" t="inlineStr">
        <is>
          <t>HAIFENG</t>
        </is>
      </c>
      <c r="B4984" s="9" t="inlineStr">
        <is>
          <t>HAIFENG 16/06/2026</t>
        </is>
      </c>
      <c r="C4984" s="9" t="inlineStr">
        <is>
          <t>2026-06-16</t>
        </is>
      </c>
      <c r="D4984" s="9" t="inlineStr">
        <is>
          <t>21206411327661</t>
        </is>
      </c>
      <c r="E4984" s="9" t="inlineStr">
        <is>
          <t>ANILLO LOVE UNLIMITED GOLD</t>
        </is>
      </c>
      <c r="F4984" s="9" t="inlineStr">
        <is>
          <t>7</t>
        </is>
      </c>
      <c r="G4984" s="9" t="n">
        <v>3</v>
      </c>
      <c r="H4984" s="21" t="n">
        <v>5</v>
      </c>
      <c r="I4984" s="21" t="n">
        <v>105.07</v>
      </c>
      <c r="J4984" s="21" t="n">
        <v>315.22</v>
      </c>
      <c r="K4984" s="21" t="n">
        <v>367.76</v>
      </c>
      <c r="L4984" s="21" t="n">
        <v>420.29</v>
      </c>
      <c r="M4984" s="21" t="n">
        <v>550</v>
      </c>
    </row>
    <row r="4985">
      <c r="A4985" s="9" t="inlineStr">
        <is>
          <t>HAIFENG</t>
        </is>
      </c>
      <c r="B4985" s="9" t="inlineStr">
        <is>
          <t>HAIFENG 16/06/2026</t>
        </is>
      </c>
      <c r="C4985" s="9" t="inlineStr">
        <is>
          <t>2026-06-16</t>
        </is>
      </c>
      <c r="D4985" s="9" t="inlineStr">
        <is>
          <t>ANDREA</t>
        </is>
      </c>
      <c r="E4985" s="9" t="inlineStr">
        <is>
          <t>ANILLO LOVE UNLIMITED SILVER</t>
        </is>
      </c>
      <c r="F4985" s="9" t="inlineStr"/>
      <c r="G4985" s="9" t="n">
        <v>1</v>
      </c>
      <c r="H4985" s="21" t="n">
        <v>5</v>
      </c>
      <c r="I4985" s="21" t="n">
        <v>105.07</v>
      </c>
      <c r="J4985" s="21" t="n">
        <v>315.22</v>
      </c>
      <c r="K4985" s="21" t="n">
        <v>367.76</v>
      </c>
      <c r="L4985" s="21" t="n">
        <v>420.29</v>
      </c>
      <c r="M4985" s="21" t="n"/>
    </row>
    <row r="4986">
      <c r="A4986" s="9" t="inlineStr">
        <is>
          <t>HAIFENG</t>
        </is>
      </c>
      <c r="B4986" s="9" t="inlineStr">
        <is>
          <t>HAIFENG 16/06/2026</t>
        </is>
      </c>
      <c r="C4986" s="9" t="inlineStr">
        <is>
          <t>2026-06-16</t>
        </is>
      </c>
      <c r="D4986" s="9" t="inlineStr">
        <is>
          <t>22064323607661</t>
        </is>
      </c>
      <c r="E4986" s="9" t="inlineStr">
        <is>
          <t>ANILLO MARIPOSA DOBLE SILVER</t>
        </is>
      </c>
      <c r="F4986" s="9" t="inlineStr">
        <is>
          <t>Default Title</t>
        </is>
      </c>
      <c r="G4986" s="9" t="n">
        <v>2</v>
      </c>
      <c r="H4986" s="21" t="n">
        <v>8.9</v>
      </c>
      <c r="I4986" s="21" t="n">
        <v>187.03</v>
      </c>
      <c r="J4986" s="21" t="n">
        <v>561.09</v>
      </c>
      <c r="K4986" s="21" t="n">
        <v>654.6</v>
      </c>
      <c r="L4986" s="21" t="n">
        <v>748.12</v>
      </c>
      <c r="M4986" s="21" t="n">
        <v>750</v>
      </c>
    </row>
    <row r="4987">
      <c r="A4987" s="9" t="inlineStr">
        <is>
          <t>HAIFENG</t>
        </is>
      </c>
      <c r="B4987" s="9" t="inlineStr">
        <is>
          <t>HAIFENG 16/06/2026</t>
        </is>
      </c>
      <c r="C4987" s="9" t="inlineStr">
        <is>
          <t>2026-06-16</t>
        </is>
      </c>
      <c r="D4987" s="9" t="inlineStr">
        <is>
          <t>673cd55edea9b</t>
        </is>
      </c>
      <c r="E4987" s="9" t="inlineStr">
        <is>
          <t>ANILLO ONE T CON ZIRCONIA GOLD</t>
        </is>
      </c>
      <c r="F4987" s="9" t="inlineStr">
        <is>
          <t>7</t>
        </is>
      </c>
      <c r="G4987" s="9" t="n">
        <v>3</v>
      </c>
      <c r="H4987" s="21" t="n">
        <v>5</v>
      </c>
      <c r="I4987" s="21" t="n">
        <v>105.07</v>
      </c>
      <c r="J4987" s="21" t="n">
        <v>315.22</v>
      </c>
      <c r="K4987" s="21" t="n">
        <v>367.76</v>
      </c>
      <c r="L4987" s="21" t="n">
        <v>420.29</v>
      </c>
      <c r="M4987" s="21" t="n">
        <v>450</v>
      </c>
    </row>
    <row r="4988">
      <c r="A4988" s="9" t="inlineStr">
        <is>
          <t>HAIFENG</t>
        </is>
      </c>
      <c r="B4988" s="9" t="inlineStr">
        <is>
          <t>HAIFENG 16/06/2026</t>
        </is>
      </c>
      <c r="C4988" s="9" t="inlineStr">
        <is>
          <t>2026-06-16</t>
        </is>
      </c>
      <c r="D4988" s="9" t="inlineStr">
        <is>
          <t>96547211050721</t>
        </is>
      </c>
      <c r="E4988" s="9" t="inlineStr">
        <is>
          <t>ANILLO ONE T GOLD</t>
        </is>
      </c>
      <c r="F4988" s="9" t="inlineStr">
        <is>
          <t>6 titanio</t>
        </is>
      </c>
      <c r="G4988" s="9" t="n">
        <v>2</v>
      </c>
      <c r="H4988" s="21" t="n">
        <v>4</v>
      </c>
      <c r="I4988" s="21" t="n">
        <v>84.06</v>
      </c>
      <c r="J4988" s="21" t="n">
        <v>252.18</v>
      </c>
      <c r="K4988" s="21" t="n">
        <v>294.2</v>
      </c>
      <c r="L4988" s="21" t="n">
        <v>336.23</v>
      </c>
      <c r="M4988" s="21" t="n">
        <v>572</v>
      </c>
    </row>
    <row r="4989">
      <c r="A4989" s="9" t="inlineStr">
        <is>
          <t>HAIFENG</t>
        </is>
      </c>
      <c r="B4989" s="9" t="inlineStr">
        <is>
          <t>HAIFENG 16/06/2026</t>
        </is>
      </c>
      <c r="C4989" s="9" t="inlineStr">
        <is>
          <t>2026-06-16</t>
        </is>
      </c>
      <c r="D4989" s="9" t="inlineStr">
        <is>
          <t>43047225884812</t>
        </is>
      </c>
      <c r="E4989" s="9" t="inlineStr">
        <is>
          <t>ANILLO ONE T GOLD</t>
        </is>
      </c>
      <c r="F4989" s="9" t="inlineStr">
        <is>
          <t>6</t>
        </is>
      </c>
      <c r="G4989" s="9" t="n">
        <v>5</v>
      </c>
      <c r="H4989" s="21" t="n">
        <v>4</v>
      </c>
      <c r="I4989" s="21" t="n">
        <v>84.06</v>
      </c>
      <c r="J4989" s="21" t="n">
        <v>252.18</v>
      </c>
      <c r="K4989" s="21" t="n">
        <v>294.2</v>
      </c>
      <c r="L4989" s="21" t="n">
        <v>336.23</v>
      </c>
      <c r="M4989" s="21" t="n">
        <v>499</v>
      </c>
    </row>
    <row r="4990">
      <c r="A4990" s="9" t="inlineStr">
        <is>
          <t>HAIFENG</t>
        </is>
      </c>
      <c r="B4990" s="9" t="inlineStr">
        <is>
          <t>HAIFENG 16/06/2026</t>
        </is>
      </c>
      <c r="C4990" s="9" t="inlineStr">
        <is>
          <t>2026-06-16</t>
        </is>
      </c>
      <c r="D4990" s="9" t="inlineStr">
        <is>
          <t>673cd561eb622</t>
        </is>
      </c>
      <c r="E4990" s="9" t="inlineStr">
        <is>
          <t>ANILLO ONE T ROSE GOLD CON ZIRCONIA</t>
        </is>
      </c>
      <c r="F4990" s="9" t="inlineStr">
        <is>
          <t>8 HIGH QUALITY</t>
        </is>
      </c>
      <c r="G4990" s="9" t="n">
        <v>2</v>
      </c>
      <c r="H4990" s="21" t="n">
        <v>5</v>
      </c>
      <c r="I4990" s="21" t="n">
        <v>105.07</v>
      </c>
      <c r="J4990" s="21" t="n">
        <v>315.22</v>
      </c>
      <c r="K4990" s="21" t="n">
        <v>367.76</v>
      </c>
      <c r="L4990" s="21" t="n">
        <v>420.29</v>
      </c>
      <c r="M4990" s="21" t="n">
        <v>599</v>
      </c>
    </row>
    <row r="4991">
      <c r="A4991" s="9" t="inlineStr">
        <is>
          <t>HAIFENG</t>
        </is>
      </c>
      <c r="B4991" s="9" t="inlineStr">
        <is>
          <t>HAIFENG 16/06/2026</t>
        </is>
      </c>
      <c r="C4991" s="9" t="inlineStr">
        <is>
          <t>2026-06-16</t>
        </is>
      </c>
      <c r="D4991" s="9" t="inlineStr">
        <is>
          <t>29736662661357</t>
        </is>
      </c>
      <c r="E4991" s="9" t="inlineStr">
        <is>
          <t>ANILLO OPEN HEART SILVER</t>
        </is>
      </c>
      <c r="F4991" s="9" t="inlineStr">
        <is>
          <t>8</t>
        </is>
      </c>
      <c r="G4991" s="9" t="n">
        <v>1</v>
      </c>
      <c r="H4991" s="21" t="n">
        <v>6.99</v>
      </c>
      <c r="I4991" s="21" t="n">
        <v>146.89</v>
      </c>
      <c r="J4991" s="21" t="n">
        <v>440.68</v>
      </c>
      <c r="K4991" s="21" t="n">
        <v>514.12</v>
      </c>
      <c r="L4991" s="21" t="n">
        <v>587.5700000000001</v>
      </c>
      <c r="M4991" s="21" t="n">
        <v>599</v>
      </c>
    </row>
    <row r="4992">
      <c r="A4992" s="9" t="inlineStr">
        <is>
          <t>HAIFENG</t>
        </is>
      </c>
      <c r="B4992" s="9" t="inlineStr">
        <is>
          <t>HAIFENG 16/06/2026</t>
        </is>
      </c>
      <c r="C4992" s="9" t="inlineStr">
        <is>
          <t>2026-06-16</t>
        </is>
      </c>
      <c r="D4992" s="9" t="inlineStr">
        <is>
          <t>22064322949453</t>
        </is>
      </c>
      <c r="E4992" s="9" t="inlineStr">
        <is>
          <t>ANILLO SERPENTI VIPER ROSE GOLD GREEN</t>
        </is>
      </c>
      <c r="F4992" s="9" t="inlineStr">
        <is>
          <t>8</t>
        </is>
      </c>
      <c r="G4992" s="9" t="n">
        <v>2</v>
      </c>
      <c r="H4992" s="21" t="n">
        <v>9</v>
      </c>
      <c r="I4992" s="21" t="n">
        <v>189.13</v>
      </c>
      <c r="J4992" s="21" t="n">
        <v>567.39</v>
      </c>
      <c r="K4992" s="21" t="n">
        <v>661.96</v>
      </c>
      <c r="L4992" s="21" t="n">
        <v>756.53</v>
      </c>
      <c r="M4992" s="21" t="n">
        <v>899</v>
      </c>
    </row>
    <row r="4993">
      <c r="A4993" s="9" t="inlineStr">
        <is>
          <t>HAIFENG</t>
        </is>
      </c>
      <c r="B4993" s="9" t="inlineStr">
        <is>
          <t>HAIFENG 16/06/2026</t>
        </is>
      </c>
      <c r="C4993" s="9" t="inlineStr">
        <is>
          <t>2026-06-16</t>
        </is>
      </c>
      <c r="D4993" s="9" t="inlineStr">
        <is>
          <t>40154172931821</t>
        </is>
      </c>
      <c r="E4993" s="9" t="inlineStr">
        <is>
          <t>ANILLO SERPENTI VIPER SILVER</t>
        </is>
      </c>
      <c r="F4993" s="9" t="inlineStr">
        <is>
          <t>7</t>
        </is>
      </c>
      <c r="G4993" s="9" t="n">
        <v>1</v>
      </c>
      <c r="H4993" s="21" t="n">
        <v>7</v>
      </c>
      <c r="I4993" s="21" t="n">
        <v>147.1</v>
      </c>
      <c r="J4993" s="21" t="n">
        <v>441.31</v>
      </c>
      <c r="K4993" s="21" t="n">
        <v>514.86</v>
      </c>
      <c r="L4993" s="21" t="n">
        <v>588.41</v>
      </c>
      <c r="M4993" s="21" t="n">
        <v>599</v>
      </c>
    </row>
    <row r="4994">
      <c r="A4994" s="9" t="inlineStr">
        <is>
          <t>HAIFENG</t>
        </is>
      </c>
      <c r="B4994" s="9" t="inlineStr">
        <is>
          <t>HAIFENG 16/06/2026</t>
        </is>
      </c>
      <c r="C4994" s="9" t="inlineStr">
        <is>
          <t>2026-06-16</t>
        </is>
      </c>
      <c r="D4994" s="9" t="inlineStr">
        <is>
          <t>43047226572940</t>
        </is>
      </c>
      <c r="E4994" s="9" t="inlineStr">
        <is>
          <t>ANILLO SIXTEEN STONE</t>
        </is>
      </c>
      <c r="F4994" s="9" t="inlineStr">
        <is>
          <t>HIGH QUALITY 7</t>
        </is>
      </c>
      <c r="G4994" s="9" t="n">
        <v>3</v>
      </c>
      <c r="H4994" s="21" t="n">
        <v>6</v>
      </c>
      <c r="I4994" s="21" t="n">
        <v>126.09</v>
      </c>
      <c r="J4994" s="21" t="n">
        <v>378.26</v>
      </c>
      <c r="K4994" s="21" t="n">
        <v>441.31</v>
      </c>
      <c r="L4994" s="21" t="n">
        <v>504.35</v>
      </c>
      <c r="M4994" s="21" t="n">
        <v>550</v>
      </c>
    </row>
    <row r="4995">
      <c r="A4995" s="9" t="inlineStr">
        <is>
          <t>HAIFENG</t>
        </is>
      </c>
      <c r="B4995" s="9" t="inlineStr">
        <is>
          <t>HAIFENG 16/06/2026</t>
        </is>
      </c>
      <c r="C4995" s="9" t="inlineStr">
        <is>
          <t>2026-06-16</t>
        </is>
      </c>
      <c r="D4995" s="9" t="inlineStr">
        <is>
          <t>56481484278796</t>
        </is>
      </c>
      <c r="E4995" s="9" t="inlineStr">
        <is>
          <t>ANILLO SIXTEEN STONE GOLD/RED</t>
        </is>
      </c>
      <c r="F4995" s="9" t="inlineStr">
        <is>
          <t>7</t>
        </is>
      </c>
      <c r="G4995" s="9" t="n">
        <v>3</v>
      </c>
      <c r="H4995" s="21" t="n">
        <v>6</v>
      </c>
      <c r="I4995" s="21" t="n">
        <v>126.09</v>
      </c>
      <c r="J4995" s="21" t="n">
        <v>378.26</v>
      </c>
      <c r="K4995" s="21" t="n">
        <v>441.31</v>
      </c>
      <c r="L4995" s="21" t="n">
        <v>504.35</v>
      </c>
      <c r="M4995" s="21" t="n">
        <v>550</v>
      </c>
    </row>
    <row r="4996">
      <c r="A4996" s="9" t="inlineStr">
        <is>
          <t>HAIFENG</t>
        </is>
      </c>
      <c r="B4996" s="9" t="inlineStr">
        <is>
          <t>HAIFENG 16/06/2026</t>
        </is>
      </c>
      <c r="C4996" s="9" t="inlineStr">
        <is>
          <t>2026-06-16</t>
        </is>
      </c>
      <c r="D4996" s="9" t="inlineStr">
        <is>
          <t>2653019476748</t>
        </is>
      </c>
      <c r="E4996" s="9" t="inlineStr">
        <is>
          <t>ANILLO SIXTEEN STONE SILVER</t>
        </is>
      </c>
      <c r="F4996" s="9" t="inlineStr">
        <is>
          <t>HIGH QUALITY 5</t>
        </is>
      </c>
      <c r="G4996" s="9" t="n">
        <v>3</v>
      </c>
      <c r="H4996" s="21" t="n">
        <v>6</v>
      </c>
      <c r="I4996" s="21" t="n">
        <v>126.09</v>
      </c>
      <c r="J4996" s="21" t="n">
        <v>378.26</v>
      </c>
      <c r="K4996" s="21" t="n">
        <v>441.31</v>
      </c>
      <c r="L4996" s="21" t="n">
        <v>504.35</v>
      </c>
      <c r="M4996" s="21" t="n">
        <v>999</v>
      </c>
    </row>
    <row r="4997">
      <c r="A4997" s="9" t="inlineStr">
        <is>
          <t>HAIFENG</t>
        </is>
      </c>
      <c r="B4997" s="9" t="inlineStr">
        <is>
          <t>HAIFENG 16/06/2026</t>
        </is>
      </c>
      <c r="C4997" s="9" t="inlineStr">
        <is>
          <t>2026-06-16</t>
        </is>
      </c>
      <c r="D4997" s="9" t="inlineStr">
        <is>
          <t>71036889232524</t>
        </is>
      </c>
      <c r="E4997" s="9" t="inlineStr">
        <is>
          <t>ANILLO T DE COMPROMISO</t>
        </is>
      </c>
      <c r="F4997" s="9" t="inlineStr">
        <is>
          <t>8</t>
        </is>
      </c>
      <c r="G4997" s="9" t="n">
        <v>2</v>
      </c>
      <c r="H4997" s="21" t="n">
        <v>5</v>
      </c>
      <c r="I4997" s="21" t="n">
        <v>105.07</v>
      </c>
      <c r="J4997" s="21" t="n">
        <v>315.22</v>
      </c>
      <c r="K4997" s="21" t="n">
        <v>367.76</v>
      </c>
      <c r="L4997" s="21" t="n">
        <v>420.29</v>
      </c>
      <c r="M4997" s="21" t="n">
        <v>599</v>
      </c>
    </row>
    <row r="4998">
      <c r="A4998" s="9" t="inlineStr">
        <is>
          <t>HAIFENG</t>
        </is>
      </c>
      <c r="B4998" s="9" t="inlineStr">
        <is>
          <t>HAIFENG 16/06/2026</t>
        </is>
      </c>
      <c r="C4998" s="9" t="inlineStr">
        <is>
          <t>2026-06-16</t>
        </is>
      </c>
      <c r="D4998" s="9" t="inlineStr">
        <is>
          <t>668eecd4df850</t>
        </is>
      </c>
      <c r="E4998" s="9" t="inlineStr">
        <is>
          <t>ANILLO T GOLD</t>
        </is>
      </c>
      <c r="F4998" s="9" t="inlineStr">
        <is>
          <t>7</t>
        </is>
      </c>
      <c r="G4998" s="9" t="n">
        <v>3</v>
      </c>
      <c r="H4998" s="21" t="n">
        <v>5</v>
      </c>
      <c r="I4998" s="21" t="n">
        <v>105.07</v>
      </c>
      <c r="J4998" s="21" t="n">
        <v>315.22</v>
      </c>
      <c r="K4998" s="21" t="n">
        <v>367.76</v>
      </c>
      <c r="L4998" s="21" t="n">
        <v>420.29</v>
      </c>
      <c r="M4998" s="21" t="n">
        <v>450</v>
      </c>
    </row>
    <row r="4999">
      <c r="A4999" s="9" t="inlineStr">
        <is>
          <t>HAIFENG</t>
        </is>
      </c>
      <c r="B4999" s="9" t="inlineStr">
        <is>
          <t>HAIFENG 16/06/2026</t>
        </is>
      </c>
      <c r="C4999" s="9" t="inlineStr">
        <is>
          <t>2026-06-16</t>
        </is>
      </c>
      <c r="D4999" s="9" t="inlineStr">
        <is>
          <t>668eecd5a989f</t>
        </is>
      </c>
      <c r="E4999" s="9" t="inlineStr">
        <is>
          <t>ANILLO T GOLD</t>
        </is>
      </c>
      <c r="F4999" s="9" t="inlineStr">
        <is>
          <t>8</t>
        </is>
      </c>
      <c r="G4999" s="9" t="n">
        <v>7</v>
      </c>
      <c r="H4999" s="21" t="n">
        <v>5</v>
      </c>
      <c r="I4999" s="21" t="n">
        <v>105.07</v>
      </c>
      <c r="J4999" s="21" t="n">
        <v>315.22</v>
      </c>
      <c r="K4999" s="21" t="n">
        <v>367.76</v>
      </c>
      <c r="L4999" s="21" t="n">
        <v>420.29</v>
      </c>
      <c r="M4999" s="21" t="n">
        <v>450</v>
      </c>
    </row>
    <row r="5000">
      <c r="A5000" s="9" t="inlineStr">
        <is>
          <t>HAIFENG</t>
        </is>
      </c>
      <c r="B5000" s="9" t="inlineStr">
        <is>
          <t>HAIFENG 16/06/2026</t>
        </is>
      </c>
      <c r="C5000" s="9" t="inlineStr">
        <is>
          <t>2026-06-16</t>
        </is>
      </c>
      <c r="D5000" s="9" t="inlineStr">
        <is>
          <t>29736672903821</t>
        </is>
      </c>
      <c r="E5000" s="9" t="inlineStr">
        <is>
          <t>ANILLO T PEARL ROSE GOLD</t>
        </is>
      </c>
      <c r="F5000" s="9" t="inlineStr">
        <is>
          <t>6</t>
        </is>
      </c>
      <c r="G5000" s="9" t="n">
        <v>2</v>
      </c>
      <c r="H5000" s="21" t="n">
        <v>5</v>
      </c>
      <c r="I5000" s="21" t="n">
        <v>105.07</v>
      </c>
      <c r="J5000" s="21" t="n">
        <v>315.22</v>
      </c>
      <c r="K5000" s="21" t="n">
        <v>367.76</v>
      </c>
      <c r="L5000" s="21" t="n">
        <v>420.29</v>
      </c>
      <c r="M5000" s="21" t="n">
        <v>650</v>
      </c>
    </row>
    <row r="5001">
      <c r="A5001" s="9" t="inlineStr">
        <is>
          <t>HAIFENG</t>
        </is>
      </c>
      <c r="B5001" s="9" t="inlineStr">
        <is>
          <t>HAIFENG 16/06/2026</t>
        </is>
      </c>
      <c r="C5001" s="9" t="inlineStr">
        <is>
          <t>2026-06-16</t>
        </is>
      </c>
      <c r="D5001" s="9" t="inlineStr">
        <is>
          <t>668eecd16590f</t>
        </is>
      </c>
      <c r="E5001" s="9" t="inlineStr">
        <is>
          <t>ANILLO T ROSE GOLD</t>
        </is>
      </c>
      <c r="F5001" s="9" t="inlineStr">
        <is>
          <t>8</t>
        </is>
      </c>
      <c r="G5001" s="9" t="n">
        <v>2</v>
      </c>
      <c r="H5001" s="21" t="n">
        <v>5</v>
      </c>
      <c r="I5001" s="21" t="n">
        <v>105.07</v>
      </c>
      <c r="J5001" s="21" t="n">
        <v>315.22</v>
      </c>
      <c r="K5001" s="21" t="n">
        <v>367.76</v>
      </c>
      <c r="L5001" s="21" t="n">
        <v>420.29</v>
      </c>
      <c r="M5001" s="21" t="n">
        <v>450</v>
      </c>
    </row>
    <row r="5002">
      <c r="A5002" s="9" t="inlineStr">
        <is>
          <t>HAIFENG</t>
        </is>
      </c>
      <c r="B5002" s="9" t="inlineStr">
        <is>
          <t>HAIFENG 16/06/2026</t>
        </is>
      </c>
      <c r="C5002" s="9" t="inlineStr">
        <is>
          <t>2026-06-16</t>
        </is>
      </c>
      <c r="D5002" s="9" t="inlineStr">
        <is>
          <t>30615281046477</t>
        </is>
      </c>
      <c r="E5002" s="9" t="inlineStr">
        <is>
          <t>ANILLO T SERPIENTE GOLD</t>
        </is>
      </c>
      <c r="F5002" s="9" t="inlineStr">
        <is>
          <t>6</t>
        </is>
      </c>
      <c r="G5002" s="9" t="n">
        <v>2</v>
      </c>
      <c r="H5002" s="21" t="n">
        <v>6.99</v>
      </c>
      <c r="I5002" s="21" t="n">
        <v>146.89</v>
      </c>
      <c r="J5002" s="21" t="n">
        <v>440.68</v>
      </c>
      <c r="K5002" s="21" t="n">
        <v>514.12</v>
      </c>
      <c r="L5002" s="21" t="n">
        <v>587.5700000000001</v>
      </c>
      <c r="M5002" s="21" t="n">
        <v>600</v>
      </c>
    </row>
    <row r="5003">
      <c r="A5003" s="9" t="inlineStr">
        <is>
          <t>HAIFENG</t>
        </is>
      </c>
      <c r="B5003" s="9" t="inlineStr">
        <is>
          <t>HAIFENG 16/06/2026</t>
        </is>
      </c>
      <c r="C5003" s="9" t="inlineStr">
        <is>
          <t>2026-06-16</t>
        </is>
      </c>
      <c r="D5003" s="9" t="inlineStr">
        <is>
          <t>668eee338c77b</t>
        </is>
      </c>
      <c r="E5003" s="9" t="inlineStr">
        <is>
          <t>ANILLO T SILVER</t>
        </is>
      </c>
      <c r="F5003" s="9" t="inlineStr">
        <is>
          <t>6</t>
        </is>
      </c>
      <c r="G5003" s="9" t="n">
        <v>3</v>
      </c>
      <c r="H5003" s="21" t="n">
        <v>5</v>
      </c>
      <c r="I5003" s="21" t="n">
        <v>105.07</v>
      </c>
      <c r="J5003" s="21" t="n">
        <v>315.22</v>
      </c>
      <c r="K5003" s="21" t="n">
        <v>367.76</v>
      </c>
      <c r="L5003" s="21" t="n">
        <v>420.29</v>
      </c>
      <c r="M5003" s="21" t="n">
        <v>450</v>
      </c>
    </row>
    <row r="5004">
      <c r="A5004" s="9" t="inlineStr">
        <is>
          <t>HAIFENG</t>
        </is>
      </c>
      <c r="B5004" s="9" t="inlineStr">
        <is>
          <t>HAIFENG 16/06/2026</t>
        </is>
      </c>
      <c r="C5004" s="9" t="inlineStr">
        <is>
          <t>2026-06-16</t>
        </is>
      </c>
      <c r="D5004" s="9" t="inlineStr">
        <is>
          <t>15857685585804</t>
        </is>
      </c>
      <c r="E5004" s="9" t="inlineStr">
        <is>
          <t>ANILLO TRES AROS</t>
        </is>
      </c>
      <c r="F5004" s="9" t="inlineStr">
        <is>
          <t>6</t>
        </is>
      </c>
      <c r="G5004" s="9" t="n">
        <v>4</v>
      </c>
      <c r="H5004" s="21" t="n">
        <v>4.7</v>
      </c>
      <c r="I5004" s="21" t="n">
        <v>98.77</v>
      </c>
      <c r="J5004" s="21" t="n">
        <v>296.31</v>
      </c>
      <c r="K5004" s="21" t="n">
        <v>345.69</v>
      </c>
      <c r="L5004" s="21" t="n">
        <v>395.07</v>
      </c>
      <c r="M5004" s="21" t="n">
        <v>650</v>
      </c>
    </row>
    <row r="5005">
      <c r="A5005" s="9" t="inlineStr">
        <is>
          <t>HAIFENG</t>
        </is>
      </c>
      <c r="B5005" s="9" t="inlineStr">
        <is>
          <t>HAIFENG 16/06/2026</t>
        </is>
      </c>
      <c r="C5005" s="9" t="inlineStr">
        <is>
          <t>2026-06-16</t>
        </is>
      </c>
      <c r="D5005" s="9" t="inlineStr">
        <is>
          <t>15857685448972</t>
        </is>
      </c>
      <c r="E5005" s="9" t="inlineStr">
        <is>
          <t>ANILLO TRES AROS</t>
        </is>
      </c>
      <c r="F5005" s="9" t="inlineStr">
        <is>
          <t>8</t>
        </is>
      </c>
      <c r="G5005" s="9" t="n">
        <v>4</v>
      </c>
      <c r="H5005" s="21" t="n">
        <v>4.7</v>
      </c>
      <c r="I5005" s="21" t="n">
        <v>98.77</v>
      </c>
      <c r="J5005" s="21" t="n">
        <v>296.31</v>
      </c>
      <c r="K5005" s="21" t="n">
        <v>345.69</v>
      </c>
      <c r="L5005" s="21" t="n">
        <v>395.07</v>
      </c>
      <c r="M5005" s="21" t="n">
        <v>650</v>
      </c>
    </row>
    <row r="5006">
      <c r="A5006" s="9" t="inlineStr">
        <is>
          <t>HAIFENG</t>
        </is>
      </c>
      <c r="B5006" s="9" t="inlineStr">
        <is>
          <t>HAIFENG 16/06/2026</t>
        </is>
      </c>
      <c r="C5006" s="9" t="inlineStr">
        <is>
          <t>2026-06-16</t>
        </is>
      </c>
      <c r="D5006" s="9" t="inlineStr">
        <is>
          <t>56481485096204</t>
        </is>
      </c>
      <c r="E5006" s="9" t="inlineStr">
        <is>
          <t>ANILLO TRES AROS SILVER/BLACK</t>
        </is>
      </c>
      <c r="F5006" s="9" t="inlineStr">
        <is>
          <t>10</t>
        </is>
      </c>
      <c r="G5006" s="9" t="n">
        <v>4</v>
      </c>
      <c r="H5006" s="21" t="n">
        <v>5</v>
      </c>
      <c r="I5006" s="21" t="n">
        <v>105.07</v>
      </c>
      <c r="J5006" s="21" t="n">
        <v>315.22</v>
      </c>
      <c r="K5006" s="21" t="n">
        <v>367.76</v>
      </c>
      <c r="L5006" s="21" t="n">
        <v>420.29</v>
      </c>
      <c r="M5006" s="21" t="n">
        <v>500</v>
      </c>
    </row>
    <row r="5007">
      <c r="A5007" s="9" t="inlineStr">
        <is>
          <t>HAIFENG</t>
        </is>
      </c>
      <c r="B5007" s="9" t="inlineStr">
        <is>
          <t>HAIFENG 16/06/2026</t>
        </is>
      </c>
      <c r="C5007" s="9" t="inlineStr">
        <is>
          <t>2026-06-16</t>
        </is>
      </c>
      <c r="D5007" s="9" t="inlineStr">
        <is>
          <t>56481485030668</t>
        </is>
      </c>
      <c r="E5007" s="9" t="inlineStr">
        <is>
          <t>ANILLO TRES AROS SILVER/BLACK</t>
        </is>
      </c>
      <c r="F5007" s="9" t="inlineStr">
        <is>
          <t>8</t>
        </is>
      </c>
      <c r="G5007" s="9" t="n">
        <v>1</v>
      </c>
      <c r="H5007" s="21" t="n">
        <v>5</v>
      </c>
      <c r="I5007" s="21" t="n">
        <v>105.07</v>
      </c>
      <c r="J5007" s="21" t="n">
        <v>315.22</v>
      </c>
      <c r="K5007" s="21" t="n">
        <v>367.76</v>
      </c>
      <c r="L5007" s="21" t="n">
        <v>420.29</v>
      </c>
      <c r="M5007" s="21" t="n">
        <v>639</v>
      </c>
    </row>
    <row r="5008">
      <c r="A5008" s="9" t="inlineStr">
        <is>
          <t>HAIFENG</t>
        </is>
      </c>
      <c r="B5008" s="9" t="inlineStr">
        <is>
          <t>HAIFENG 16/06/2026</t>
        </is>
      </c>
      <c r="C5008" s="9" t="inlineStr">
        <is>
          <t>2026-06-16</t>
        </is>
      </c>
      <c r="D5008" s="9" t="inlineStr">
        <is>
          <t>56481485063436</t>
        </is>
      </c>
      <c r="E5008" s="9" t="inlineStr">
        <is>
          <t>ANILLO TRES AROS SILVER/BLACK</t>
        </is>
      </c>
      <c r="F5008" s="9" t="inlineStr">
        <is>
          <t>9</t>
        </is>
      </c>
      <c r="G5008" s="9" t="n">
        <v>3</v>
      </c>
      <c r="H5008" s="21" t="n">
        <v>5</v>
      </c>
      <c r="I5008" s="21" t="n">
        <v>105.07</v>
      </c>
      <c r="J5008" s="21" t="n">
        <v>315.22</v>
      </c>
      <c r="K5008" s="21" t="n">
        <v>367.76</v>
      </c>
      <c r="L5008" s="21" t="n">
        <v>420.29</v>
      </c>
      <c r="M5008" s="21" t="n">
        <v>500</v>
      </c>
    </row>
    <row r="5009">
      <c r="A5009" s="9" t="inlineStr">
        <is>
          <t>HAIFENG</t>
        </is>
      </c>
      <c r="B5009" s="9" t="inlineStr">
        <is>
          <t>HAIFENG 16/06/2026</t>
        </is>
      </c>
      <c r="C5009" s="9" t="inlineStr">
        <is>
          <t>2026-06-16</t>
        </is>
      </c>
      <c r="D5009" s="9" t="inlineStr">
        <is>
          <t>22064321934733</t>
        </is>
      </c>
      <c r="E5009" s="9" t="inlineStr">
        <is>
          <t>ANILLO TRINITY</t>
        </is>
      </c>
      <c r="F5009" s="9" t="inlineStr">
        <is>
          <t>7</t>
        </is>
      </c>
      <c r="G5009" s="9" t="n">
        <v>2</v>
      </c>
      <c r="H5009" s="21" t="n">
        <v>8</v>
      </c>
      <c r="I5009" s="21" t="n">
        <v>168.12</v>
      </c>
      <c r="J5009" s="21" t="n">
        <v>504.35</v>
      </c>
      <c r="K5009" s="21" t="n">
        <v>588.41</v>
      </c>
      <c r="L5009" s="21" t="n">
        <v>672.47</v>
      </c>
      <c r="M5009" s="21" t="n">
        <v>699</v>
      </c>
    </row>
    <row r="5010">
      <c r="A5010" s="9" t="inlineStr">
        <is>
          <t>HAIFENG</t>
        </is>
      </c>
      <c r="B5010" s="9" t="inlineStr">
        <is>
          <t>HAIFENG 16/06/2026</t>
        </is>
      </c>
      <c r="C5010" s="9" t="inlineStr">
        <is>
          <t>2026-06-16</t>
        </is>
      </c>
      <c r="D5010" s="9" t="inlineStr">
        <is>
          <t>99045341185485</t>
        </is>
      </c>
      <c r="E5010" s="9" t="inlineStr">
        <is>
          <t>ANILLO TRÉBOL CON ZIRCONIA GOLD VF</t>
        </is>
      </c>
      <c r="F5010" s="9" t="inlineStr">
        <is>
          <t>7</t>
        </is>
      </c>
      <c r="G5010" s="9" t="n">
        <v>2</v>
      </c>
      <c r="H5010" s="21" t="n">
        <v>5.99</v>
      </c>
      <c r="I5010" s="21" t="n">
        <v>125.88</v>
      </c>
      <c r="J5010" s="21" t="n">
        <v>377.63</v>
      </c>
      <c r="K5010" s="21" t="n">
        <v>440.57</v>
      </c>
      <c r="L5010" s="21" t="n">
        <v>503.51</v>
      </c>
      <c r="M5010" s="21" t="n">
        <v>480</v>
      </c>
    </row>
    <row r="5011">
      <c r="A5011" s="9" t="inlineStr">
        <is>
          <t>HAIFENG</t>
        </is>
      </c>
      <c r="B5011" s="9" t="inlineStr">
        <is>
          <t>HAIFENG 16/06/2026</t>
        </is>
      </c>
      <c r="C5011" s="9" t="inlineStr">
        <is>
          <t>2026-06-16</t>
        </is>
      </c>
      <c r="D5011" s="9" t="inlineStr">
        <is>
          <t>67201535739341</t>
        </is>
      </c>
      <c r="E5011" s="9" t="inlineStr">
        <is>
          <t>ANILLO TRÉBOL CON ZIRCONIA ROSE GOLD VF</t>
        </is>
      </c>
      <c r="F5011" s="9" t="inlineStr">
        <is>
          <t>6</t>
        </is>
      </c>
      <c r="G5011" s="9" t="n">
        <v>2</v>
      </c>
      <c r="H5011" s="21" t="n">
        <v>5.99</v>
      </c>
      <c r="I5011" s="21" t="n">
        <v>125.88</v>
      </c>
      <c r="J5011" s="21" t="n">
        <v>377.63</v>
      </c>
      <c r="K5011" s="21" t="n">
        <v>440.57</v>
      </c>
      <c r="L5011" s="21" t="n">
        <v>503.51</v>
      </c>
      <c r="M5011" s="21" t="n">
        <v>480</v>
      </c>
    </row>
    <row r="5012">
      <c r="A5012" s="9" t="inlineStr">
        <is>
          <t>HAIFENG</t>
        </is>
      </c>
      <c r="B5012" s="9" t="inlineStr">
        <is>
          <t>HAIFENG 16/06/2026</t>
        </is>
      </c>
      <c r="C5012" s="9" t="inlineStr">
        <is>
          <t>2026-06-16</t>
        </is>
      </c>
      <c r="D5012" s="9" t="inlineStr">
        <is>
          <t>86347032691341</t>
        </is>
      </c>
      <c r="E5012" s="9" t="inlineStr">
        <is>
          <t>ANILLO TWO-ROW GOLD</t>
        </is>
      </c>
      <c r="F5012" s="9" t="inlineStr">
        <is>
          <t>6</t>
        </is>
      </c>
      <c r="G5012" s="9" t="n">
        <v>3</v>
      </c>
      <c r="H5012" s="21" t="n">
        <v>5.5</v>
      </c>
      <c r="I5012" s="21" t="n">
        <v>115.58</v>
      </c>
      <c r="J5012" s="21" t="n">
        <v>346.74</v>
      </c>
      <c r="K5012" s="21" t="n">
        <v>404.53</v>
      </c>
      <c r="L5012" s="21" t="n">
        <v>462.32</v>
      </c>
      <c r="M5012" s="21" t="n">
        <v>580</v>
      </c>
    </row>
    <row r="5013">
      <c r="A5013" s="9" t="inlineStr">
        <is>
          <t>HAIFENG</t>
        </is>
      </c>
      <c r="B5013" s="9" t="inlineStr">
        <is>
          <t>HAIFENG 16/06/2026</t>
        </is>
      </c>
      <c r="C5013" s="9" t="inlineStr">
        <is>
          <t>2026-06-16</t>
        </is>
      </c>
      <c r="D5013" s="9" t="inlineStr">
        <is>
          <t>11078752382541</t>
        </is>
      </c>
      <c r="E5013" s="9" t="inlineStr">
        <is>
          <t>ARETES C GOLD PEARL</t>
        </is>
      </c>
      <c r="F5013" s="9" t="inlineStr">
        <is>
          <t>Default Title</t>
        </is>
      </c>
      <c r="G5013" s="9" t="n">
        <v>5</v>
      </c>
      <c r="H5013" s="21" t="n">
        <v>5.99</v>
      </c>
      <c r="I5013" s="21" t="n">
        <v>125.88</v>
      </c>
      <c r="J5013" s="21" t="n">
        <v>377.63</v>
      </c>
      <c r="K5013" s="21" t="n">
        <v>440.57</v>
      </c>
      <c r="L5013" s="21" t="n">
        <v>503.51</v>
      </c>
      <c r="M5013" s="21" t="n">
        <v>499</v>
      </c>
    </row>
    <row r="5014">
      <c r="A5014" s="9" t="inlineStr">
        <is>
          <t>HAIFENG</t>
        </is>
      </c>
      <c r="B5014" s="9" t="inlineStr">
        <is>
          <t>HAIFENG 16/06/2026</t>
        </is>
      </c>
      <c r="C5014" s="9" t="inlineStr">
        <is>
          <t>2026-06-16</t>
        </is>
      </c>
      <c r="D5014" s="9" t="inlineStr">
        <is>
          <t>91078752530157</t>
        </is>
      </c>
      <c r="E5014" s="9" t="inlineStr">
        <is>
          <t>ARETES C SILVER</t>
        </is>
      </c>
      <c r="F5014" s="9" t="inlineStr">
        <is>
          <t>Default Title</t>
        </is>
      </c>
      <c r="G5014" s="9" t="n">
        <v>2</v>
      </c>
      <c r="H5014" s="21" t="n">
        <v>5.99</v>
      </c>
      <c r="I5014" s="21" t="n">
        <v>125.88</v>
      </c>
      <c r="J5014" s="21" t="n">
        <v>377.63</v>
      </c>
      <c r="K5014" s="21" t="n">
        <v>440.57</v>
      </c>
      <c r="L5014" s="21" t="n">
        <v>503.51</v>
      </c>
      <c r="M5014" s="21" t="n">
        <v>499</v>
      </c>
    </row>
    <row r="5015">
      <c r="A5015" s="9" t="inlineStr">
        <is>
          <t>HAIFENG</t>
        </is>
      </c>
      <c r="B5015" s="9" t="inlineStr">
        <is>
          <t>HAIFENG 16/06/2026</t>
        </is>
      </c>
      <c r="C5015" s="9" t="inlineStr">
        <is>
          <t>2026-06-16</t>
        </is>
      </c>
      <c r="D5015" s="9" t="inlineStr">
        <is>
          <t>31078752039597</t>
        </is>
      </c>
      <c r="E5015" s="9" t="inlineStr">
        <is>
          <t>ARETES C SILVER ZIRCONIAS</t>
        </is>
      </c>
      <c r="F5015" s="9" t="inlineStr">
        <is>
          <t>Default Title</t>
        </is>
      </c>
      <c r="G5015" s="9" t="n">
        <v>2</v>
      </c>
      <c r="H5015" s="21" t="n">
        <v>5.99</v>
      </c>
      <c r="I5015" s="21" t="n">
        <v>125.88</v>
      </c>
      <c r="J5015" s="21" t="n">
        <v>377.63</v>
      </c>
      <c r="K5015" s="21" t="n">
        <v>440.57</v>
      </c>
      <c r="L5015" s="21" t="n">
        <v>503.51</v>
      </c>
      <c r="M5015" s="21" t="n">
        <v>575</v>
      </c>
    </row>
    <row r="5016">
      <c r="A5016" s="9" t="inlineStr">
        <is>
          <t>HAIFENG</t>
        </is>
      </c>
      <c r="B5016" s="9" t="inlineStr">
        <is>
          <t>HAIFENG 16/06/2026</t>
        </is>
      </c>
      <c r="C5016" s="9" t="inlineStr">
        <is>
          <t>2026-06-16</t>
        </is>
      </c>
      <c r="D5016" s="9" t="inlineStr">
        <is>
          <t>89246882101133</t>
        </is>
      </c>
      <c r="E5016" s="9" t="inlineStr">
        <is>
          <t>ARETES CD PEARL</t>
        </is>
      </c>
      <c r="F5016" s="9" t="inlineStr">
        <is>
          <t>Default Title</t>
        </is>
      </c>
      <c r="G5016" s="9" t="n">
        <v>3</v>
      </c>
      <c r="H5016" s="21" t="n">
        <v>5</v>
      </c>
      <c r="I5016" s="21" t="n">
        <v>105.07</v>
      </c>
      <c r="J5016" s="21" t="n">
        <v>315.22</v>
      </c>
      <c r="K5016" s="21" t="n">
        <v>367.76</v>
      </c>
      <c r="L5016" s="21" t="n">
        <v>420.29</v>
      </c>
      <c r="M5016" s="21" t="n">
        <v>450</v>
      </c>
    </row>
    <row r="5017">
      <c r="A5017" s="9" t="inlineStr">
        <is>
          <t>HAIFENG</t>
        </is>
      </c>
      <c r="B5017" s="9" t="inlineStr">
        <is>
          <t>HAIFENG 16/06/2026</t>
        </is>
      </c>
      <c r="C5017" s="9" t="inlineStr">
        <is>
          <t>2026-06-16</t>
        </is>
      </c>
      <c r="D5017" s="9" t="inlineStr">
        <is>
          <t>66075802035149</t>
        </is>
      </c>
      <c r="E5017" s="9" t="inlineStr">
        <is>
          <t>ARETES CLAIR D LUNE GOLD CD</t>
        </is>
      </c>
      <c r="F5017" s="9" t="inlineStr">
        <is>
          <t>Default Title</t>
        </is>
      </c>
      <c r="G5017" s="9" t="n">
        <v>5</v>
      </c>
      <c r="H5017" s="21" t="n">
        <v>5</v>
      </c>
      <c r="I5017" s="21" t="n">
        <v>105.07</v>
      </c>
      <c r="J5017" s="21" t="n">
        <v>315.22</v>
      </c>
      <c r="K5017" s="21" t="n">
        <v>367.76</v>
      </c>
      <c r="L5017" s="21" t="n">
        <v>420.29</v>
      </c>
      <c r="M5017" s="21" t="n">
        <v>450</v>
      </c>
    </row>
    <row r="5018">
      <c r="A5018" s="9" t="inlineStr">
        <is>
          <t>HAIFENG</t>
        </is>
      </c>
      <c r="B5018" s="9" t="inlineStr">
        <is>
          <t>HAIFENG 16/06/2026</t>
        </is>
      </c>
      <c r="C5018" s="9" t="inlineStr">
        <is>
          <t>2026-06-16</t>
        </is>
      </c>
      <c r="D5018" s="9" t="inlineStr">
        <is>
          <t>64085741294285</t>
        </is>
      </c>
      <c r="E5018" s="9" t="inlineStr">
        <is>
          <t>ARETES CLASH GOLD C</t>
        </is>
      </c>
      <c r="F5018" s="9" t="inlineStr">
        <is>
          <t>Default Title</t>
        </is>
      </c>
      <c r="G5018" s="9" t="n">
        <v>4</v>
      </c>
      <c r="H5018" s="21" t="n">
        <v>9</v>
      </c>
      <c r="I5018" s="21" t="n">
        <v>189.13</v>
      </c>
      <c r="J5018" s="21" t="n">
        <v>567.39</v>
      </c>
      <c r="K5018" s="21" t="n">
        <v>661.96</v>
      </c>
      <c r="L5018" s="21" t="n">
        <v>756.53</v>
      </c>
      <c r="M5018" s="21" t="n">
        <v>750</v>
      </c>
    </row>
    <row r="5019">
      <c r="A5019" s="9" t="inlineStr">
        <is>
          <t>HAIFENG</t>
        </is>
      </c>
      <c r="B5019" s="9" t="inlineStr">
        <is>
          <t>HAIFENG 16/06/2026</t>
        </is>
      </c>
      <c r="C5019" s="9" t="inlineStr">
        <is>
          <t>2026-06-16</t>
        </is>
      </c>
      <c r="D5019" s="9" t="inlineStr">
        <is>
          <t>64085741359693</t>
        </is>
      </c>
      <c r="E5019" s="9" t="inlineStr">
        <is>
          <t>ARETES CLASH ROSE GOLD C</t>
        </is>
      </c>
      <c r="F5019" s="9" t="inlineStr">
        <is>
          <t>Default Title</t>
        </is>
      </c>
      <c r="G5019" s="9" t="n">
        <v>5</v>
      </c>
      <c r="H5019" s="21" t="n">
        <v>9</v>
      </c>
      <c r="I5019" s="21" t="n">
        <v>189.13</v>
      </c>
      <c r="J5019" s="21" t="n">
        <v>567.39</v>
      </c>
      <c r="K5019" s="21" t="n">
        <v>661.96</v>
      </c>
      <c r="L5019" s="21" t="n">
        <v>756.53</v>
      </c>
      <c r="M5019" s="21" t="n">
        <v>742</v>
      </c>
    </row>
    <row r="5020">
      <c r="A5020" s="9" t="inlineStr">
        <is>
          <t>HAIFENG</t>
        </is>
      </c>
      <c r="B5020" s="9" t="inlineStr">
        <is>
          <t>HAIFENG 16/06/2026</t>
        </is>
      </c>
      <c r="C5020" s="9" t="inlineStr">
        <is>
          <t>2026-06-16</t>
        </is>
      </c>
      <c r="D5020" s="9" t="inlineStr">
        <is>
          <t>64085741420077</t>
        </is>
      </c>
      <c r="E5020" s="9" t="inlineStr">
        <is>
          <t>ARETES CLASH SILVER C</t>
        </is>
      </c>
      <c r="F5020" s="9" t="inlineStr">
        <is>
          <t>Default Title</t>
        </is>
      </c>
      <c r="G5020" s="9" t="n">
        <v>4</v>
      </c>
      <c r="H5020" s="21" t="n">
        <v>9</v>
      </c>
      <c r="I5020" s="21" t="n">
        <v>189.13</v>
      </c>
      <c r="J5020" s="21" t="n">
        <v>567.39</v>
      </c>
      <c r="K5020" s="21" t="n">
        <v>661.96</v>
      </c>
      <c r="L5020" s="21" t="n">
        <v>756.53</v>
      </c>
      <c r="M5020" s="21" t="n">
        <v>750</v>
      </c>
    </row>
    <row r="5021">
      <c r="A5021" s="9" t="inlineStr">
        <is>
          <t>HAIFENG</t>
        </is>
      </c>
      <c r="B5021" s="9" t="inlineStr">
        <is>
          <t>HAIFENG 16/06/2026</t>
        </is>
      </c>
      <c r="C5021" s="9" t="inlineStr">
        <is>
          <t>2026-06-16</t>
        </is>
      </c>
      <c r="D5021" s="9" t="inlineStr">
        <is>
          <t>665bd4a63435b</t>
        </is>
      </c>
      <c r="E5021" s="9" t="inlineStr">
        <is>
          <t>ARETES CLAVO GOLD</t>
        </is>
      </c>
      <c r="F5021" s="9" t="inlineStr">
        <is>
          <t>Default Title</t>
        </is>
      </c>
      <c r="G5021" s="9" t="n">
        <v>4</v>
      </c>
      <c r="H5021" s="21" t="n">
        <v>2.99</v>
      </c>
      <c r="I5021" s="21" t="n">
        <v>62.83</v>
      </c>
      <c r="J5021" s="21" t="n">
        <v>188.5</v>
      </c>
      <c r="K5021" s="21" t="n">
        <v>219.92</v>
      </c>
      <c r="L5021" s="21" t="n">
        <v>251.33</v>
      </c>
      <c r="M5021" s="21" t="n">
        <v>400</v>
      </c>
    </row>
    <row r="5022">
      <c r="A5022" s="9" t="inlineStr">
        <is>
          <t>HAIFENG</t>
        </is>
      </c>
      <c r="B5022" s="9" t="inlineStr">
        <is>
          <t>HAIFENG 16/06/2026</t>
        </is>
      </c>
      <c r="C5022" s="9" t="inlineStr">
        <is>
          <t>2026-06-16</t>
        </is>
      </c>
      <c r="D5022" s="9" t="inlineStr">
        <is>
          <t>86347031100845</t>
        </is>
      </c>
      <c r="E5022" s="9" t="inlineStr">
        <is>
          <t>ARETES CLAVO GOLD ZIRCONIAS</t>
        </is>
      </c>
      <c r="F5022" s="9" t="inlineStr">
        <is>
          <t>HIGH QUALITY</t>
        </is>
      </c>
      <c r="G5022" s="9" t="n">
        <v>2</v>
      </c>
      <c r="H5022" s="21" t="n">
        <v>7</v>
      </c>
      <c r="I5022" s="21" t="n">
        <v>147.1</v>
      </c>
      <c r="J5022" s="21" t="n">
        <v>441.31</v>
      </c>
      <c r="K5022" s="21" t="n">
        <v>514.86</v>
      </c>
      <c r="L5022" s="21" t="n">
        <v>588.41</v>
      </c>
      <c r="M5022" s="21" t="n">
        <v>599</v>
      </c>
    </row>
    <row r="5023">
      <c r="A5023" s="9" t="inlineStr">
        <is>
          <t>HAIFENG</t>
        </is>
      </c>
      <c r="B5023" s="9" t="inlineStr">
        <is>
          <t>HAIFENG 16/06/2026</t>
        </is>
      </c>
      <c r="C5023" s="9" t="inlineStr">
        <is>
          <t>2026-06-16</t>
        </is>
      </c>
      <c r="D5023" s="9" t="inlineStr">
        <is>
          <t>665bd4a42501a-1</t>
        </is>
      </c>
      <c r="E5023" s="9" t="inlineStr">
        <is>
          <t>ARETES CLAVO SILVER</t>
        </is>
      </c>
      <c r="F5023" s="9" t="inlineStr">
        <is>
          <t>Regular</t>
        </is>
      </c>
      <c r="G5023" s="9" t="n">
        <v>4</v>
      </c>
      <c r="H5023" s="21" t="n">
        <v>2.99</v>
      </c>
      <c r="I5023" s="21" t="n">
        <v>62.83</v>
      </c>
      <c r="J5023" s="21" t="n">
        <v>188.5</v>
      </c>
      <c r="K5023" s="21" t="n">
        <v>219.92</v>
      </c>
      <c r="L5023" s="21" t="n">
        <v>251.33</v>
      </c>
      <c r="M5023" s="21" t="n">
        <v>400</v>
      </c>
    </row>
    <row r="5024">
      <c r="A5024" s="9" t="inlineStr">
        <is>
          <t>HAIFENG</t>
        </is>
      </c>
      <c r="B5024" s="9" t="inlineStr">
        <is>
          <t>HAIFENG 16/06/2026</t>
        </is>
      </c>
      <c r="C5024" s="9" t="inlineStr">
        <is>
          <t>2026-06-16</t>
        </is>
      </c>
      <c r="D5024" s="9" t="inlineStr">
        <is>
          <t>12314361364653</t>
        </is>
      </c>
      <c r="E5024" s="9" t="inlineStr">
        <is>
          <t>ARETES F GOLD PEARL</t>
        </is>
      </c>
      <c r="F5024" s="9" t="inlineStr">
        <is>
          <t>Default Title</t>
        </is>
      </c>
      <c r="G5024" s="9" t="n">
        <v>1</v>
      </c>
      <c r="H5024" s="21" t="n">
        <v>8</v>
      </c>
      <c r="I5024" s="21" t="n">
        <v>168.12</v>
      </c>
      <c r="J5024" s="21" t="n">
        <v>504.35</v>
      </c>
      <c r="K5024" s="21" t="n">
        <v>588.41</v>
      </c>
      <c r="L5024" s="21" t="n">
        <v>672.47</v>
      </c>
      <c r="M5024" s="21" t="n">
        <v>699</v>
      </c>
    </row>
    <row r="5025">
      <c r="A5025" s="9" t="inlineStr">
        <is>
          <t>HAIFENG</t>
        </is>
      </c>
      <c r="B5025" s="9" t="inlineStr">
        <is>
          <t>HAIFENG 16/06/2026</t>
        </is>
      </c>
      <c r="C5025" s="9" t="inlineStr">
        <is>
          <t>2026-06-16</t>
        </is>
      </c>
      <c r="D5025" s="9" t="inlineStr">
        <is>
          <t>12314362081613</t>
        </is>
      </c>
      <c r="E5025" s="9" t="inlineStr">
        <is>
          <t>ARETES F GOLD ZIRCONIAS</t>
        </is>
      </c>
      <c r="F5025" s="9" t="inlineStr">
        <is>
          <t>Default Title</t>
        </is>
      </c>
      <c r="G5025" s="9" t="n">
        <v>2</v>
      </c>
      <c r="H5025" s="21" t="n">
        <v>7</v>
      </c>
      <c r="I5025" s="21" t="n">
        <v>147.1</v>
      </c>
      <c r="J5025" s="21" t="n">
        <v>441.31</v>
      </c>
      <c r="K5025" s="21" t="n">
        <v>514.86</v>
      </c>
      <c r="L5025" s="21" t="n">
        <v>588.41</v>
      </c>
      <c r="M5025" s="21" t="n">
        <v>580</v>
      </c>
    </row>
    <row r="5026">
      <c r="A5026" s="9" t="inlineStr">
        <is>
          <t>HAIFENG</t>
        </is>
      </c>
      <c r="B5026" s="9" t="inlineStr">
        <is>
          <t>HAIFENG 16/06/2026</t>
        </is>
      </c>
      <c r="C5026" s="9" t="inlineStr">
        <is>
          <t>2026-06-16</t>
        </is>
      </c>
      <c r="D5026" s="9" t="inlineStr">
        <is>
          <t>14247351086093</t>
        </is>
      </c>
      <c r="E5026" s="9" t="inlineStr">
        <is>
          <t>ARETES F O'LOCK SILVER</t>
        </is>
      </c>
      <c r="F5026" s="9" t="inlineStr">
        <is>
          <t>Default Title</t>
        </is>
      </c>
      <c r="G5026" s="9" t="n">
        <v>2</v>
      </c>
      <c r="H5026" s="21" t="n">
        <v>8</v>
      </c>
      <c r="I5026" s="21" t="n">
        <v>168.12</v>
      </c>
      <c r="J5026" s="21" t="n">
        <v>504.35</v>
      </c>
      <c r="K5026" s="21" t="n">
        <v>588.41</v>
      </c>
      <c r="L5026" s="21" t="n">
        <v>672.47</v>
      </c>
      <c r="M5026" s="21" t="n">
        <v>670</v>
      </c>
    </row>
    <row r="5027">
      <c r="A5027" s="9" t="inlineStr">
        <is>
          <t>HAIFENG</t>
        </is>
      </c>
      <c r="B5027" s="9" t="inlineStr">
        <is>
          <t>HAIFENG 16/06/2026</t>
        </is>
      </c>
      <c r="C5027" s="9" t="inlineStr">
        <is>
          <t>2026-06-16</t>
        </is>
      </c>
      <c r="D5027" s="9" t="inlineStr">
        <is>
          <t>12314361978221</t>
        </is>
      </c>
      <c r="E5027" s="9" t="inlineStr">
        <is>
          <t>ARETES F SILVER ZIRCONIAS</t>
        </is>
      </c>
      <c r="F5027" s="9" t="inlineStr">
        <is>
          <t>Default Title</t>
        </is>
      </c>
      <c r="G5027" s="9" t="n">
        <v>2</v>
      </c>
      <c r="H5027" s="21" t="n">
        <v>7</v>
      </c>
      <c r="I5027" s="21" t="n">
        <v>147.1</v>
      </c>
      <c r="J5027" s="21" t="n">
        <v>441.31</v>
      </c>
      <c r="K5027" s="21" t="n">
        <v>514.86</v>
      </c>
      <c r="L5027" s="21" t="n">
        <v>588.41</v>
      </c>
      <c r="M5027" s="21" t="n">
        <v>580</v>
      </c>
    </row>
    <row r="5028">
      <c r="A5028" s="9" t="inlineStr">
        <is>
          <t>HAIFENG</t>
        </is>
      </c>
      <c r="B5028" s="9" t="inlineStr">
        <is>
          <t>HAIFENG 16/06/2026</t>
        </is>
      </c>
      <c r="C5028" s="9" t="inlineStr">
        <is>
          <t>2026-06-16</t>
        </is>
      </c>
      <c r="D5028" s="9" t="inlineStr">
        <is>
          <t>31453671341517</t>
        </is>
      </c>
      <c r="E5028" s="9" t="inlineStr">
        <is>
          <t>ARETES FR SILVER ZIRCONIAS</t>
        </is>
      </c>
      <c r="F5028" s="9" t="inlineStr">
        <is>
          <t>Default Title</t>
        </is>
      </c>
      <c r="G5028" s="9" t="n">
        <v>6</v>
      </c>
      <c r="H5028" s="21" t="n">
        <v>6</v>
      </c>
      <c r="I5028" s="21" t="n">
        <v>126.09</v>
      </c>
      <c r="J5028" s="21" t="n">
        <v>378.26</v>
      </c>
      <c r="K5028" s="21" t="n">
        <v>441.31</v>
      </c>
      <c r="L5028" s="21" t="n">
        <v>504.35</v>
      </c>
      <c r="M5028" s="21" t="n">
        <v>499</v>
      </c>
    </row>
    <row r="5029">
      <c r="A5029" s="9" t="inlineStr">
        <is>
          <t>HAIFENG</t>
        </is>
      </c>
      <c r="B5029" s="9" t="inlineStr">
        <is>
          <t>HAIFENG 16/06/2026</t>
        </is>
      </c>
      <c r="C5029" s="9" t="inlineStr">
        <is>
          <t>2026-06-16</t>
        </is>
      </c>
      <c r="D5029" s="9" t="inlineStr">
        <is>
          <t>56481474339212</t>
        </is>
      </c>
      <c r="E5029" s="9" t="inlineStr">
        <is>
          <t>ARETES FULL HEART GOLD</t>
        </is>
      </c>
      <c r="F5029" s="9" t="inlineStr">
        <is>
          <t>Default Title</t>
        </is>
      </c>
      <c r="G5029" s="9" t="n">
        <v>3</v>
      </c>
      <c r="H5029" s="21" t="n">
        <v>5</v>
      </c>
      <c r="I5029" s="21" t="n">
        <v>105.07</v>
      </c>
      <c r="J5029" s="21" t="n">
        <v>315.22</v>
      </c>
      <c r="K5029" s="21" t="n">
        <v>367.76</v>
      </c>
      <c r="L5029" s="21" t="n">
        <v>420.29</v>
      </c>
      <c r="M5029" s="21" t="n">
        <v>450</v>
      </c>
    </row>
    <row r="5030">
      <c r="A5030" s="9" t="inlineStr">
        <is>
          <t>HAIFENG</t>
        </is>
      </c>
      <c r="B5030" s="9" t="inlineStr">
        <is>
          <t>HAIFENG 16/06/2026</t>
        </is>
      </c>
      <c r="C5030" s="9" t="inlineStr">
        <is>
          <t>2026-06-16</t>
        </is>
      </c>
      <c r="D5030" s="9" t="inlineStr">
        <is>
          <t>56481477937932</t>
        </is>
      </c>
      <c r="E5030" s="9" t="inlineStr">
        <is>
          <t>ARETES FULL HEART SILVER</t>
        </is>
      </c>
      <c r="F5030" s="9" t="inlineStr">
        <is>
          <t>Default Title</t>
        </is>
      </c>
      <c r="G5030" s="9" t="n">
        <v>2</v>
      </c>
      <c r="H5030" s="21" t="n">
        <v>5</v>
      </c>
      <c r="I5030" s="21" t="n">
        <v>105.07</v>
      </c>
      <c r="J5030" s="21" t="n">
        <v>315.22</v>
      </c>
      <c r="K5030" s="21" t="n">
        <v>367.76</v>
      </c>
      <c r="L5030" s="21" t="n">
        <v>420.29</v>
      </c>
      <c r="M5030" s="21" t="n">
        <v>450</v>
      </c>
    </row>
    <row r="5031">
      <c r="A5031" s="9" t="inlineStr">
        <is>
          <t>HAIFENG</t>
        </is>
      </c>
      <c r="B5031" s="9" t="inlineStr">
        <is>
          <t>HAIFENG 16/06/2026</t>
        </is>
      </c>
      <c r="C5031" s="9" t="inlineStr">
        <is>
          <t>2026-06-16</t>
        </is>
      </c>
      <c r="D5031" s="9" t="inlineStr">
        <is>
          <t>27854241086413</t>
        </is>
      </c>
      <c r="E5031" s="9" t="inlineStr">
        <is>
          <t>ARETES KNOT GOLD</t>
        </is>
      </c>
      <c r="F5031" s="9" t="inlineStr">
        <is>
          <t>Default Title</t>
        </is>
      </c>
      <c r="G5031" s="9" t="n">
        <v>3</v>
      </c>
      <c r="H5031" s="21" t="n">
        <v>5.5</v>
      </c>
      <c r="I5031" s="21" t="n">
        <v>115.58</v>
      </c>
      <c r="J5031" s="21" t="n">
        <v>346.74</v>
      </c>
      <c r="K5031" s="21" t="n">
        <v>404.53</v>
      </c>
      <c r="L5031" s="21" t="n">
        <v>462.32</v>
      </c>
      <c r="M5031" s="21" t="n">
        <v>250</v>
      </c>
    </row>
    <row r="5032">
      <c r="A5032" s="9" t="inlineStr">
        <is>
          <t>HAIFENG</t>
        </is>
      </c>
      <c r="B5032" s="9" t="inlineStr">
        <is>
          <t>HAIFENG 16/06/2026</t>
        </is>
      </c>
      <c r="C5032" s="9" t="inlineStr">
        <is>
          <t>2026-06-16</t>
        </is>
      </c>
      <c r="D5032" s="9" t="inlineStr">
        <is>
          <t>89790741347789</t>
        </is>
      </c>
      <c r="E5032" s="9" t="inlineStr">
        <is>
          <t>ARETES KNOT SILVER CON ZIRCONIAS</t>
        </is>
      </c>
      <c r="F5032" s="9" t="inlineStr">
        <is>
          <t>Default Title</t>
        </is>
      </c>
      <c r="G5032" s="9" t="n">
        <v>3</v>
      </c>
      <c r="H5032" s="21" t="n">
        <v>9</v>
      </c>
      <c r="I5032" s="21" t="n">
        <v>189.13</v>
      </c>
      <c r="J5032" s="21" t="n">
        <v>567.39</v>
      </c>
      <c r="K5032" s="21" t="n">
        <v>661.96</v>
      </c>
      <c r="L5032" s="21" t="n">
        <v>756.53</v>
      </c>
      <c r="M5032" s="21" t="n">
        <v>750</v>
      </c>
    </row>
    <row r="5033">
      <c r="A5033" s="9" t="inlineStr">
        <is>
          <t>HAIFENG</t>
        </is>
      </c>
      <c r="B5033" s="9" t="inlineStr">
        <is>
          <t>HAIFENG 16/06/2026</t>
        </is>
      </c>
      <c r="C5033" s="9" t="inlineStr">
        <is>
          <t>2026-06-16</t>
        </is>
      </c>
      <c r="D5033" s="9" t="inlineStr">
        <is>
          <t>29736673965485</t>
        </is>
      </c>
      <c r="E5033" s="9" t="inlineStr">
        <is>
          <t>ARETES KNOT SMALL GOLD</t>
        </is>
      </c>
      <c r="F5033" s="9" t="inlineStr">
        <is>
          <t>Default Title</t>
        </is>
      </c>
      <c r="G5033" s="9" t="n">
        <v>2</v>
      </c>
      <c r="H5033" s="21" t="n">
        <v>6</v>
      </c>
      <c r="I5033" s="21" t="n">
        <v>126.09</v>
      </c>
      <c r="J5033" s="21" t="n">
        <v>378.26</v>
      </c>
      <c r="K5033" s="21" t="n">
        <v>441.31</v>
      </c>
      <c r="L5033" s="21" t="n">
        <v>504.35</v>
      </c>
      <c r="M5033" s="21" t="n">
        <v>599</v>
      </c>
    </row>
    <row r="5034">
      <c r="A5034" s="9" t="inlineStr">
        <is>
          <t>HAIFENG</t>
        </is>
      </c>
      <c r="B5034" s="9" t="inlineStr">
        <is>
          <t>HAIFENG 16/06/2026</t>
        </is>
      </c>
      <c r="C5034" s="9" t="inlineStr">
        <is>
          <t>2026-06-16</t>
        </is>
      </c>
      <c r="D5034" s="9" t="inlineStr">
        <is>
          <t>67201531685421</t>
        </is>
      </c>
      <c r="E5034" s="9" t="inlineStr">
        <is>
          <t>ARETES LOGO H GOLD</t>
        </is>
      </c>
      <c r="F5034" s="9" t="inlineStr">
        <is>
          <t>Default Title</t>
        </is>
      </c>
      <c r="G5034" s="9" t="n">
        <v>2</v>
      </c>
      <c r="H5034" s="21" t="n">
        <v>5</v>
      </c>
      <c r="I5034" s="21" t="n">
        <v>105.07</v>
      </c>
      <c r="J5034" s="21" t="n">
        <v>315.22</v>
      </c>
      <c r="K5034" s="21" t="n">
        <v>367.76</v>
      </c>
      <c r="L5034" s="21" t="n">
        <v>420.29</v>
      </c>
      <c r="M5034" s="21" t="n">
        <v>480</v>
      </c>
    </row>
    <row r="5035">
      <c r="A5035" s="9" t="inlineStr">
        <is>
          <t>HAIFENG</t>
        </is>
      </c>
      <c r="B5035" s="9" t="inlineStr">
        <is>
          <t>HAIFENG 16/06/2026</t>
        </is>
      </c>
      <c r="C5035" s="9" t="inlineStr">
        <is>
          <t>2026-06-16</t>
        </is>
      </c>
      <c r="D5035" s="9" t="inlineStr">
        <is>
          <t>REYNA</t>
        </is>
      </c>
      <c r="E5035" s="9" t="inlineStr">
        <is>
          <t>ARETES LOGO H GOLD</t>
        </is>
      </c>
      <c r="F5035" s="9" t="inlineStr"/>
      <c r="G5035" s="9" t="n">
        <v>1</v>
      </c>
      <c r="H5035" s="21" t="n">
        <v>5</v>
      </c>
      <c r="I5035" s="21" t="n">
        <v>105.07</v>
      </c>
      <c r="J5035" s="21" t="n">
        <v>315.22</v>
      </c>
      <c r="K5035" s="21" t="n">
        <v>367.76</v>
      </c>
      <c r="L5035" s="21" t="n">
        <v>420.29</v>
      </c>
      <c r="M5035" s="21" t="n"/>
    </row>
    <row r="5036">
      <c r="A5036" s="9" t="inlineStr">
        <is>
          <t>HAIFENG</t>
        </is>
      </c>
      <c r="B5036" s="9" t="inlineStr">
        <is>
          <t>HAIFENG 16/06/2026</t>
        </is>
      </c>
      <c r="C5036" s="9" t="inlineStr">
        <is>
          <t>2026-06-16</t>
        </is>
      </c>
      <c r="D5036" s="9" t="inlineStr">
        <is>
          <t>15104862489069</t>
        </is>
      </c>
      <c r="E5036" s="9" t="inlineStr">
        <is>
          <t>ARETES LV FLOWERGRAM GOLD</t>
        </is>
      </c>
      <c r="F5036" s="9" t="inlineStr">
        <is>
          <t>Default Title</t>
        </is>
      </c>
      <c r="G5036" s="9" t="n">
        <v>2</v>
      </c>
      <c r="H5036" s="21" t="n">
        <v>8.99</v>
      </c>
      <c r="I5036" s="21" t="n">
        <v>188.92</v>
      </c>
      <c r="J5036" s="21" t="n">
        <v>566.76</v>
      </c>
      <c r="K5036" s="21" t="n">
        <v>661.22</v>
      </c>
      <c r="L5036" s="21" t="n">
        <v>755.6900000000001</v>
      </c>
      <c r="M5036" s="21" t="n">
        <v>820</v>
      </c>
    </row>
    <row r="5037">
      <c r="A5037" s="9" t="inlineStr">
        <is>
          <t>HAIFENG</t>
        </is>
      </c>
      <c r="B5037" s="9" t="inlineStr">
        <is>
          <t>HAIFENG 16/06/2026</t>
        </is>
      </c>
      <c r="C5037" s="9" t="inlineStr">
        <is>
          <t>2026-06-16</t>
        </is>
      </c>
      <c r="D5037" s="9" t="inlineStr">
        <is>
          <t>15104862595853</t>
        </is>
      </c>
      <c r="E5037" s="9" t="inlineStr">
        <is>
          <t>ARETES LV LOGO PEARL</t>
        </is>
      </c>
      <c r="F5037" s="9" t="inlineStr">
        <is>
          <t>Default Title</t>
        </is>
      </c>
      <c r="G5037" s="9" t="n">
        <v>2</v>
      </c>
      <c r="H5037" s="21" t="n">
        <v>8.99</v>
      </c>
      <c r="I5037" s="21" t="n">
        <v>188.92</v>
      </c>
      <c r="J5037" s="21" t="n">
        <v>566.76</v>
      </c>
      <c r="K5037" s="21" t="n">
        <v>661.22</v>
      </c>
      <c r="L5037" s="21" t="n">
        <v>755.6900000000001</v>
      </c>
      <c r="M5037" s="21" t="n">
        <v>750</v>
      </c>
    </row>
    <row r="5038">
      <c r="A5038" s="9" t="inlineStr">
        <is>
          <t>HAIFENG</t>
        </is>
      </c>
      <c r="B5038" s="9" t="inlineStr">
        <is>
          <t>HAIFENG 16/06/2026</t>
        </is>
      </c>
      <c r="C5038" s="9" t="inlineStr">
        <is>
          <t>2026-06-16</t>
        </is>
      </c>
      <c r="D5038" s="9" t="inlineStr">
        <is>
          <t>67201535108205</t>
        </is>
      </c>
      <c r="E5038" s="9" t="inlineStr">
        <is>
          <t>ARETES MARIPOSA BICOLOR GOLD BLUE VF</t>
        </is>
      </c>
      <c r="F5038" s="9" t="inlineStr">
        <is>
          <t>Default Title</t>
        </is>
      </c>
      <c r="G5038" s="9" t="n">
        <v>6</v>
      </c>
      <c r="H5038" s="21" t="n">
        <v>7</v>
      </c>
      <c r="I5038" s="21" t="n">
        <v>147.1</v>
      </c>
      <c r="J5038" s="21" t="n">
        <v>441.31</v>
      </c>
      <c r="K5038" s="21" t="n">
        <v>514.86</v>
      </c>
      <c r="L5038" s="21" t="n">
        <v>588.41</v>
      </c>
      <c r="M5038" s="21" t="n">
        <v>599</v>
      </c>
    </row>
    <row r="5039">
      <c r="A5039" s="9" t="inlineStr">
        <is>
          <t>HAIFENG</t>
        </is>
      </c>
      <c r="B5039" s="9" t="inlineStr">
        <is>
          <t>HAIFENG 16/06/2026</t>
        </is>
      </c>
      <c r="C5039" s="9" t="inlineStr">
        <is>
          <t>2026-06-16</t>
        </is>
      </c>
      <c r="D5039" s="9" t="inlineStr">
        <is>
          <t>15554123135661</t>
        </is>
      </c>
      <c r="E5039" s="9" t="inlineStr">
        <is>
          <t>ARETES MOVE UNO LISO SILVER</t>
        </is>
      </c>
      <c r="F5039" s="9" t="inlineStr">
        <is>
          <t>Default Title</t>
        </is>
      </c>
      <c r="G5039" s="9" t="n">
        <v>3</v>
      </c>
      <c r="H5039" s="21" t="n">
        <v>5.99</v>
      </c>
      <c r="I5039" s="21" t="n">
        <v>125.88</v>
      </c>
      <c r="J5039" s="21" t="n">
        <v>377.63</v>
      </c>
      <c r="K5039" s="21" t="n">
        <v>440.57</v>
      </c>
      <c r="L5039" s="21" t="n">
        <v>503.51</v>
      </c>
      <c r="M5039" s="21" t="n">
        <v>499</v>
      </c>
    </row>
    <row r="5040">
      <c r="A5040" s="9" t="inlineStr">
        <is>
          <t>HAIFENG</t>
        </is>
      </c>
      <c r="B5040" s="9" t="inlineStr">
        <is>
          <t>HAIFENG 16/06/2026</t>
        </is>
      </c>
      <c r="C5040" s="9" t="inlineStr">
        <is>
          <t>2026-06-16</t>
        </is>
      </c>
      <c r="D5040" s="9" t="inlineStr">
        <is>
          <t>15554123342445</t>
        </is>
      </c>
      <c r="E5040" s="9" t="inlineStr">
        <is>
          <t>ARETES MOVE UNO Y UNO SILVER</t>
        </is>
      </c>
      <c r="F5040" s="9" t="inlineStr">
        <is>
          <t>Default Title</t>
        </is>
      </c>
      <c r="G5040" s="9" t="n">
        <v>2</v>
      </c>
      <c r="H5040" s="21" t="n">
        <v>6</v>
      </c>
      <c r="I5040" s="21" t="n">
        <v>126.09</v>
      </c>
      <c r="J5040" s="21" t="n">
        <v>378.26</v>
      </c>
      <c r="K5040" s="21" t="n">
        <v>441.31</v>
      </c>
      <c r="L5040" s="21" t="n">
        <v>504.35</v>
      </c>
      <c r="M5040" s="21" t="n">
        <v>499</v>
      </c>
    </row>
    <row r="5041">
      <c r="A5041" s="9" t="inlineStr">
        <is>
          <t>HAIFENG</t>
        </is>
      </c>
      <c r="B5041" s="9" t="inlineStr">
        <is>
          <t>HAIFENG 16/06/2026</t>
        </is>
      </c>
      <c r="C5041" s="9" t="inlineStr">
        <is>
          <t>2026-06-16</t>
        </is>
      </c>
      <c r="D5041" s="9" t="inlineStr">
        <is>
          <t>81078753595757</t>
        </is>
      </c>
      <c r="E5041" s="9" t="inlineStr">
        <is>
          <t>ARETES PANTHERE SILVER ZIRCONIAS</t>
        </is>
      </c>
      <c r="F5041" s="9" t="inlineStr">
        <is>
          <t>Default Title</t>
        </is>
      </c>
      <c r="G5041" s="9" t="n">
        <v>2</v>
      </c>
      <c r="H5041" s="21" t="n">
        <v>6.5</v>
      </c>
      <c r="I5041" s="21" t="n">
        <v>136.59</v>
      </c>
      <c r="J5041" s="21" t="n">
        <v>409.78</v>
      </c>
      <c r="K5041" s="21" t="n">
        <v>478.08</v>
      </c>
      <c r="L5041" s="21" t="n">
        <v>546.38</v>
      </c>
      <c r="M5041" s="21" t="n">
        <v>550</v>
      </c>
    </row>
    <row r="5042">
      <c r="A5042" s="9" t="inlineStr">
        <is>
          <t>HAIFENG</t>
        </is>
      </c>
      <c r="B5042" s="9" t="inlineStr">
        <is>
          <t>HAIFENG 16/06/2026</t>
        </is>
      </c>
      <c r="C5042" s="9" t="inlineStr">
        <is>
          <t>2026-06-16</t>
        </is>
      </c>
      <c r="D5042" s="9" t="inlineStr">
        <is>
          <t>35432872053165</t>
        </is>
      </c>
      <c r="E5042" s="9" t="inlineStr">
        <is>
          <t>ARETES POP H SILVER-BLACK</t>
        </is>
      </c>
      <c r="F5042" s="9" t="inlineStr">
        <is>
          <t>Default Title</t>
        </is>
      </c>
      <c r="G5042" s="9" t="n">
        <v>2</v>
      </c>
      <c r="H5042" s="21" t="n">
        <v>8.9</v>
      </c>
      <c r="I5042" s="21" t="n">
        <v>187.03</v>
      </c>
      <c r="J5042" s="21" t="n">
        <v>561.09</v>
      </c>
      <c r="K5042" s="21" t="n">
        <v>654.6</v>
      </c>
      <c r="L5042" s="21" t="n">
        <v>748.12</v>
      </c>
      <c r="M5042" s="21" t="n">
        <v>750</v>
      </c>
    </row>
    <row r="5043">
      <c r="A5043" s="9" t="inlineStr">
        <is>
          <t>HAIFENG</t>
        </is>
      </c>
      <c r="B5043" s="9" t="inlineStr">
        <is>
          <t>HAIFENG 16/06/2026</t>
        </is>
      </c>
      <c r="C5043" s="9" t="inlineStr">
        <is>
          <t>2026-06-16</t>
        </is>
      </c>
      <c r="D5043" s="9" t="inlineStr">
        <is>
          <t>35432872130573</t>
        </is>
      </c>
      <c r="E5043" s="9" t="inlineStr">
        <is>
          <t>ARETES POP H SILVER-WHITE</t>
        </is>
      </c>
      <c r="F5043" s="9" t="inlineStr">
        <is>
          <t>Default Title</t>
        </is>
      </c>
      <c r="G5043" s="9" t="n">
        <v>2</v>
      </c>
      <c r="H5043" s="21" t="n">
        <v>8.9</v>
      </c>
      <c r="I5043" s="21" t="n">
        <v>187.03</v>
      </c>
      <c r="J5043" s="21" t="n">
        <v>561.09</v>
      </c>
      <c r="K5043" s="21" t="n">
        <v>654.6</v>
      </c>
      <c r="L5043" s="21" t="n">
        <v>748.12</v>
      </c>
      <c r="M5043" s="21" t="n">
        <v>750</v>
      </c>
    </row>
    <row r="5044">
      <c r="A5044" s="9" t="inlineStr">
        <is>
          <t>HAIFENG</t>
        </is>
      </c>
      <c r="B5044" s="9" t="inlineStr">
        <is>
          <t>HAIFENG 16/06/2026</t>
        </is>
      </c>
      <c r="C5044" s="9" t="inlineStr">
        <is>
          <t>2026-06-16</t>
        </is>
      </c>
      <c r="D5044" s="9" t="inlineStr">
        <is>
          <t>665bb75e1389b</t>
        </is>
      </c>
      <c r="E5044" s="9" t="inlineStr">
        <is>
          <t>ARETES SCREW LOVE GOLD</t>
        </is>
      </c>
      <c r="F5044" s="9" t="inlineStr">
        <is>
          <t>MEDIUM</t>
        </is>
      </c>
      <c r="G5044" s="9" t="n">
        <v>8</v>
      </c>
      <c r="H5044" s="21" t="n">
        <v>2.99</v>
      </c>
      <c r="I5044" s="21" t="n">
        <v>62.83</v>
      </c>
      <c r="J5044" s="21" t="n">
        <v>188.5</v>
      </c>
      <c r="K5044" s="21" t="n">
        <v>219.92</v>
      </c>
      <c r="L5044" s="21" t="n">
        <v>251.33</v>
      </c>
      <c r="M5044" s="21" t="n">
        <v>550</v>
      </c>
    </row>
    <row r="5045">
      <c r="A5045" s="9" t="inlineStr">
        <is>
          <t>HAIFENG</t>
        </is>
      </c>
      <c r="B5045" s="9" t="inlineStr">
        <is>
          <t>HAIFENG 16/06/2026</t>
        </is>
      </c>
      <c r="C5045" s="9" t="inlineStr">
        <is>
          <t>2026-06-16</t>
        </is>
      </c>
      <c r="D5045" s="9" t="inlineStr">
        <is>
          <t>665bb75f8312e</t>
        </is>
      </c>
      <c r="E5045" s="9" t="inlineStr">
        <is>
          <t>ARETES SCREW LOVE ROSE GOLD</t>
        </is>
      </c>
      <c r="F5045" s="9" t="inlineStr">
        <is>
          <t>MEDIUM</t>
        </is>
      </c>
      <c r="G5045" s="9" t="n">
        <v>2</v>
      </c>
      <c r="H5045" s="21" t="n">
        <v>2.99</v>
      </c>
      <c r="I5045" s="21" t="n">
        <v>62.83</v>
      </c>
      <c r="J5045" s="21" t="n">
        <v>188.5</v>
      </c>
      <c r="K5045" s="21" t="n">
        <v>219.92</v>
      </c>
      <c r="L5045" s="21" t="n">
        <v>251.33</v>
      </c>
      <c r="M5045" s="21" t="n">
        <v>550</v>
      </c>
    </row>
    <row r="5046">
      <c r="A5046" s="9" t="inlineStr">
        <is>
          <t>HAIFENG</t>
        </is>
      </c>
      <c r="B5046" s="9" t="inlineStr">
        <is>
          <t>HAIFENG 16/06/2026</t>
        </is>
      </c>
      <c r="C5046" s="9" t="inlineStr">
        <is>
          <t>2026-06-16</t>
        </is>
      </c>
      <c r="D5046" s="9" t="inlineStr">
        <is>
          <t>665bb7668ef3c</t>
        </is>
      </c>
      <c r="E5046" s="9" t="inlineStr">
        <is>
          <t>ARETES SCREW LOVE SILVER</t>
        </is>
      </c>
      <c r="F5046" s="9" t="inlineStr">
        <is>
          <t>MEDIUM</t>
        </is>
      </c>
      <c r="G5046" s="9" t="n">
        <v>2</v>
      </c>
      <c r="H5046" s="21" t="n">
        <v>2.99</v>
      </c>
      <c r="I5046" s="21" t="n">
        <v>62.83</v>
      </c>
      <c r="J5046" s="21" t="n">
        <v>188.5</v>
      </c>
      <c r="K5046" s="21" t="n">
        <v>219.92</v>
      </c>
      <c r="L5046" s="21" t="n">
        <v>251.33</v>
      </c>
      <c r="M5046" s="21" t="n">
        <v>550</v>
      </c>
    </row>
    <row r="5047">
      <c r="A5047" s="9" t="inlineStr">
        <is>
          <t>HAIFENG</t>
        </is>
      </c>
      <c r="B5047" s="9" t="inlineStr">
        <is>
          <t>HAIFENG 16/06/2026</t>
        </is>
      </c>
      <c r="C5047" s="9" t="inlineStr">
        <is>
          <t>2026-06-16</t>
        </is>
      </c>
      <c r="D5047" s="9" t="inlineStr">
        <is>
          <t>29736674042893</t>
        </is>
      </c>
      <c r="E5047" s="9" t="inlineStr">
        <is>
          <t>ARETES T CIRCULARES ROSE GOLD</t>
        </is>
      </c>
      <c r="F5047" s="9" t="inlineStr">
        <is>
          <t>Default Title</t>
        </is>
      </c>
      <c r="G5047" s="9" t="n">
        <v>2</v>
      </c>
      <c r="H5047" s="21" t="n">
        <v>8</v>
      </c>
      <c r="I5047" s="21" t="n">
        <v>168.12</v>
      </c>
      <c r="J5047" s="21" t="n">
        <v>504.35</v>
      </c>
      <c r="K5047" s="21" t="n">
        <v>588.41</v>
      </c>
      <c r="L5047" s="21" t="n">
        <v>672.47</v>
      </c>
      <c r="M5047" s="21" t="n">
        <v>799</v>
      </c>
    </row>
    <row r="5048">
      <c r="A5048" s="9" t="inlineStr">
        <is>
          <t>HAIFENG</t>
        </is>
      </c>
      <c r="B5048" s="9" t="inlineStr">
        <is>
          <t>HAIFENG 16/06/2026</t>
        </is>
      </c>
      <c r="C5048" s="9" t="inlineStr">
        <is>
          <t>2026-06-16</t>
        </is>
      </c>
      <c r="D5048" s="9" t="inlineStr">
        <is>
          <t>89790741157517</t>
        </is>
      </c>
      <c r="E5048" s="9" t="inlineStr">
        <is>
          <t>ARETES T GOLD LISO</t>
        </is>
      </c>
      <c r="F5048" s="9" t="inlineStr">
        <is>
          <t>Default Title</t>
        </is>
      </c>
      <c r="G5048" s="9" t="n">
        <v>2</v>
      </c>
      <c r="H5048" s="21" t="n">
        <v>7</v>
      </c>
      <c r="I5048" s="21" t="n">
        <v>147.1</v>
      </c>
      <c r="J5048" s="21" t="n">
        <v>441.31</v>
      </c>
      <c r="K5048" s="21" t="n">
        <v>514.86</v>
      </c>
      <c r="L5048" s="21" t="n">
        <v>588.41</v>
      </c>
      <c r="M5048" s="21" t="n">
        <v>599</v>
      </c>
    </row>
    <row r="5049">
      <c r="A5049" s="9" t="inlineStr">
        <is>
          <t>HAIFENG</t>
        </is>
      </c>
      <c r="B5049" s="9" t="inlineStr">
        <is>
          <t>HAIFENG 16/06/2026</t>
        </is>
      </c>
      <c r="C5049" s="9" t="inlineStr">
        <is>
          <t>2026-06-16</t>
        </is>
      </c>
      <c r="D5049" s="9" t="inlineStr">
        <is>
          <t>29736673659245</t>
        </is>
      </c>
      <c r="E5049" s="9" t="inlineStr">
        <is>
          <t>ARETES T SMILE HALF ZIRCONIAS GOLD</t>
        </is>
      </c>
      <c r="F5049" s="9" t="inlineStr">
        <is>
          <t>Default Title</t>
        </is>
      </c>
      <c r="G5049" s="9" t="n">
        <v>2</v>
      </c>
      <c r="H5049" s="21" t="n">
        <v>4.99</v>
      </c>
      <c r="I5049" s="21" t="n">
        <v>104.86</v>
      </c>
      <c r="J5049" s="21" t="n">
        <v>314.59</v>
      </c>
      <c r="K5049" s="21" t="n">
        <v>367.02</v>
      </c>
      <c r="L5049" s="21" t="n">
        <v>419.45</v>
      </c>
      <c r="M5049" s="21" t="n">
        <v>450</v>
      </c>
    </row>
    <row r="5050">
      <c r="A5050" s="9" t="inlineStr">
        <is>
          <t>HAIFENG</t>
        </is>
      </c>
      <c r="B5050" s="9" t="inlineStr">
        <is>
          <t>HAIFENG 16/06/2026</t>
        </is>
      </c>
      <c r="C5050" s="9" t="inlineStr">
        <is>
          <t>2026-06-16</t>
        </is>
      </c>
      <c r="D5050" s="9" t="inlineStr">
        <is>
          <t>29736673893165</t>
        </is>
      </c>
      <c r="E5050" s="9" t="inlineStr">
        <is>
          <t>ARETES T SQUARE SIXTEEN STONE SILVER</t>
        </is>
      </c>
      <c r="F5050" s="9" t="inlineStr">
        <is>
          <t>Default Title</t>
        </is>
      </c>
      <c r="G5050" s="9" t="n">
        <v>5</v>
      </c>
      <c r="H5050" s="21" t="n">
        <v>6.5</v>
      </c>
      <c r="I5050" s="21" t="n">
        <v>136.59</v>
      </c>
      <c r="J5050" s="21" t="n">
        <v>409.78</v>
      </c>
      <c r="K5050" s="21" t="n">
        <v>478.08</v>
      </c>
      <c r="L5050" s="21" t="n">
        <v>546.38</v>
      </c>
      <c r="M5050" s="21" t="n">
        <v>599</v>
      </c>
    </row>
    <row r="5051">
      <c r="A5051" s="9" t="inlineStr">
        <is>
          <t>HAIFENG</t>
        </is>
      </c>
      <c r="B5051" s="9" t="inlineStr">
        <is>
          <t>HAIFENG 16/06/2026</t>
        </is>
      </c>
      <c r="C5051" s="9" t="inlineStr">
        <is>
          <t>2026-06-16</t>
        </is>
      </c>
      <c r="D5051" s="9" t="inlineStr">
        <is>
          <t>6617849b98dff</t>
        </is>
      </c>
      <c r="E5051" s="9" t="inlineStr">
        <is>
          <t>ARETES TREBOL SILVER</t>
        </is>
      </c>
      <c r="F5051" s="9" t="inlineStr">
        <is>
          <t>Default Title</t>
        </is>
      </c>
      <c r="G5051" s="9" t="n">
        <v>2</v>
      </c>
      <c r="H5051" s="21" t="n">
        <v>8</v>
      </c>
      <c r="I5051" s="21" t="n">
        <v>168.12</v>
      </c>
      <c r="J5051" s="21" t="n">
        <v>504.35</v>
      </c>
      <c r="K5051" s="21" t="n">
        <v>588.41</v>
      </c>
      <c r="L5051" s="21" t="n">
        <v>672.47</v>
      </c>
      <c r="M5051" s="21" t="n">
        <v>850</v>
      </c>
    </row>
    <row r="5052">
      <c r="A5052" s="9" t="inlineStr">
        <is>
          <t>HAIFENG</t>
        </is>
      </c>
      <c r="B5052" s="9" t="inlineStr">
        <is>
          <t>HAIFENG 16/06/2026</t>
        </is>
      </c>
      <c r="C5052" s="9" t="inlineStr">
        <is>
          <t>2026-06-16</t>
        </is>
      </c>
      <c r="D5052" s="9" t="inlineStr">
        <is>
          <t>37491258087948</t>
        </is>
      </c>
      <c r="E5052" s="9" t="inlineStr">
        <is>
          <t>ARETES TRINITY DIAMOND</t>
        </is>
      </c>
      <c r="F5052" s="9" t="inlineStr">
        <is>
          <t>Default Title</t>
        </is>
      </c>
      <c r="G5052" s="9" t="n">
        <v>3</v>
      </c>
      <c r="H5052" s="21" t="n">
        <v>7</v>
      </c>
      <c r="I5052" s="21" t="n">
        <v>147.1</v>
      </c>
      <c r="J5052" s="21" t="n">
        <v>441.31</v>
      </c>
      <c r="K5052" s="21" t="n">
        <v>514.86</v>
      </c>
      <c r="L5052" s="21" t="n">
        <v>588.41</v>
      </c>
      <c r="M5052" s="21" t="n">
        <v>599</v>
      </c>
    </row>
    <row r="5053">
      <c r="A5053" s="9" t="inlineStr">
        <is>
          <t>HAIFENG</t>
        </is>
      </c>
      <c r="B5053" s="9" t="inlineStr">
        <is>
          <t>HAIFENG 16/06/2026</t>
        </is>
      </c>
      <c r="C5053" s="9" t="inlineStr">
        <is>
          <t>2026-06-16</t>
        </is>
      </c>
      <c r="D5053" s="9" t="inlineStr">
        <is>
          <t>6617849b9a844</t>
        </is>
      </c>
      <c r="E5053" s="9" t="inlineStr">
        <is>
          <t>ARETES TRÉBOL GOLD</t>
        </is>
      </c>
      <c r="F5053" s="9" t="inlineStr">
        <is>
          <t>HIGH QUALITY</t>
        </is>
      </c>
      <c r="G5053" s="9" t="n">
        <v>5</v>
      </c>
      <c r="H5053" s="21" t="n">
        <v>8</v>
      </c>
      <c r="I5053" s="21" t="n">
        <v>168.12</v>
      </c>
      <c r="J5053" s="21" t="n">
        <v>504.35</v>
      </c>
      <c r="K5053" s="21" t="n">
        <v>588.41</v>
      </c>
      <c r="L5053" s="21" t="n">
        <v>672.47</v>
      </c>
      <c r="M5053" s="21" t="n">
        <v>699</v>
      </c>
    </row>
    <row r="5054">
      <c r="A5054" s="9" t="inlineStr">
        <is>
          <t>HAIFENG</t>
        </is>
      </c>
      <c r="B5054" s="9" t="inlineStr">
        <is>
          <t>HAIFENG 16/06/2026</t>
        </is>
      </c>
      <c r="C5054" s="9" t="inlineStr">
        <is>
          <t>2026-06-16</t>
        </is>
      </c>
      <c r="D5054" s="9" t="inlineStr">
        <is>
          <t>661784a33b867</t>
        </is>
      </c>
      <c r="E5054" s="9" t="inlineStr">
        <is>
          <t>ARETES TRÉBOL GOLD-BLACK</t>
        </is>
      </c>
      <c r="F5054" s="9" t="inlineStr">
        <is>
          <t>HIGH QUALITY</t>
        </is>
      </c>
      <c r="G5054" s="9" t="n">
        <v>4</v>
      </c>
      <c r="H5054" s="21" t="n">
        <v>8</v>
      </c>
      <c r="I5054" s="21" t="n">
        <v>168.12</v>
      </c>
      <c r="J5054" s="21" t="n">
        <v>504.35</v>
      </c>
      <c r="K5054" s="21" t="n">
        <v>588.41</v>
      </c>
      <c r="L5054" s="21" t="n">
        <v>672.47</v>
      </c>
      <c r="M5054" s="21" t="n">
        <v>699</v>
      </c>
    </row>
    <row r="5055">
      <c r="A5055" s="9" t="inlineStr">
        <is>
          <t>HAIFENG</t>
        </is>
      </c>
      <c r="B5055" s="9" t="inlineStr">
        <is>
          <t>HAIFENG 16/06/2026</t>
        </is>
      </c>
      <c r="C5055" s="9" t="inlineStr">
        <is>
          <t>2026-06-16</t>
        </is>
      </c>
      <c r="D5055" s="9" t="inlineStr">
        <is>
          <t>665bb779989a5</t>
        </is>
      </c>
      <c r="E5055" s="9" t="inlineStr">
        <is>
          <t>ARETES TRÉBOL GOLD-WHITE</t>
        </is>
      </c>
      <c r="F5055" s="9" t="inlineStr">
        <is>
          <t>HIGH QUALITY</t>
        </is>
      </c>
      <c r="G5055" s="9" t="n">
        <v>4</v>
      </c>
      <c r="H5055" s="21" t="n">
        <v>8</v>
      </c>
      <c r="I5055" s="21" t="n">
        <v>168.12</v>
      </c>
      <c r="J5055" s="21" t="n">
        <v>504.35</v>
      </c>
      <c r="K5055" s="21" t="n">
        <v>588.41</v>
      </c>
      <c r="L5055" s="21" t="n">
        <v>672.47</v>
      </c>
      <c r="M5055" s="21" t="n">
        <v>699</v>
      </c>
    </row>
    <row r="5056">
      <c r="A5056" s="9" t="inlineStr">
        <is>
          <t>HAIFENG</t>
        </is>
      </c>
      <c r="B5056" s="9" t="inlineStr">
        <is>
          <t>HAIFENG 16/06/2026</t>
        </is>
      </c>
      <c r="C5056" s="9" t="inlineStr">
        <is>
          <t>2026-06-16</t>
        </is>
      </c>
      <c r="D5056" s="9" t="inlineStr">
        <is>
          <t>661784a3704f4</t>
        </is>
      </c>
      <c r="E5056" s="9" t="inlineStr">
        <is>
          <t>ARETES TRÉBOL SILVER WHITE</t>
        </is>
      </c>
      <c r="F5056" s="9" t="inlineStr">
        <is>
          <t>Regular</t>
        </is>
      </c>
      <c r="G5056" s="9" t="n">
        <v>3</v>
      </c>
      <c r="H5056" s="21" t="n">
        <v>8</v>
      </c>
      <c r="I5056" s="21" t="n">
        <v>168.12</v>
      </c>
      <c r="J5056" s="21" t="n">
        <v>504.35</v>
      </c>
      <c r="K5056" s="21" t="n">
        <v>588.41</v>
      </c>
      <c r="L5056" s="21" t="n">
        <v>672.47</v>
      </c>
      <c r="M5056" s="21" t="n">
        <v>1350</v>
      </c>
    </row>
    <row r="5057">
      <c r="A5057" s="9" t="inlineStr">
        <is>
          <t>HAIFENG</t>
        </is>
      </c>
      <c r="B5057" s="9" t="inlineStr">
        <is>
          <t>HAIFENG 16/06/2026</t>
        </is>
      </c>
      <c r="C5057" s="9" t="inlineStr">
        <is>
          <t>2026-06-16</t>
        </is>
      </c>
      <c r="D5057" s="9" t="inlineStr">
        <is>
          <t>95854382461517</t>
        </is>
      </c>
      <c r="E5057" s="9" t="inlineStr">
        <is>
          <t>ARETES VF BUTTERFLIES</t>
        </is>
      </c>
      <c r="F5057" s="9" t="inlineStr">
        <is>
          <t>Default Title</t>
        </is>
      </c>
      <c r="G5057" s="9" t="n">
        <v>3</v>
      </c>
      <c r="H5057" s="21" t="n">
        <v>6</v>
      </c>
      <c r="I5057" s="21" t="n">
        <v>126.09</v>
      </c>
      <c r="J5057" s="21" t="n">
        <v>378.26</v>
      </c>
      <c r="K5057" s="21" t="n">
        <v>441.31</v>
      </c>
      <c r="L5057" s="21" t="n">
        <v>504.35</v>
      </c>
      <c r="M5057" s="21" t="n">
        <v>499</v>
      </c>
    </row>
    <row r="5058">
      <c r="A5058" s="9" t="inlineStr">
        <is>
          <t>HAIFENG</t>
        </is>
      </c>
      <c r="B5058" s="9" t="inlineStr">
        <is>
          <t>HAIFENG 16/06/2026</t>
        </is>
      </c>
      <c r="C5058" s="9" t="inlineStr">
        <is>
          <t>2026-06-16</t>
        </is>
      </c>
      <c r="D5058" s="9" t="inlineStr">
        <is>
          <t>89790741422093</t>
        </is>
      </c>
      <c r="E5058" s="9" t="inlineStr">
        <is>
          <t>ARRACADAS CD GOLD WHITE ZIRCONIAS</t>
        </is>
      </c>
      <c r="F5058" s="9" t="inlineStr">
        <is>
          <t>Default Title</t>
        </is>
      </c>
      <c r="G5058" s="9" t="n">
        <v>2</v>
      </c>
      <c r="H5058" s="21" t="n">
        <v>7</v>
      </c>
      <c r="I5058" s="21" t="n">
        <v>147.1</v>
      </c>
      <c r="J5058" s="21" t="n">
        <v>441.31</v>
      </c>
      <c r="K5058" s="21" t="n">
        <v>514.86</v>
      </c>
      <c r="L5058" s="21" t="n">
        <v>588.41</v>
      </c>
      <c r="M5058" s="21" t="n">
        <v>580</v>
      </c>
    </row>
    <row r="5059">
      <c r="A5059" s="9" t="inlineStr">
        <is>
          <t>HAIFENG</t>
        </is>
      </c>
      <c r="B5059" s="9" t="inlineStr">
        <is>
          <t>HAIFENG 16/06/2026</t>
        </is>
      </c>
      <c r="C5059" s="9" t="inlineStr">
        <is>
          <t>2026-06-16</t>
        </is>
      </c>
      <c r="D5059" s="9" t="inlineStr">
        <is>
          <t>47076841262765</t>
        </is>
      </c>
      <c r="E5059" s="9" t="inlineStr">
        <is>
          <t>ARRACADAS T GOLD CON ZIRCONIA</t>
        </is>
      </c>
      <c r="F5059" s="9" t="inlineStr">
        <is>
          <t>Default Title</t>
        </is>
      </c>
      <c r="G5059" s="9" t="n">
        <v>2</v>
      </c>
      <c r="H5059" s="21" t="n">
        <v>7</v>
      </c>
      <c r="I5059" s="21" t="n">
        <v>147.1</v>
      </c>
      <c r="J5059" s="21" t="n">
        <v>441.31</v>
      </c>
      <c r="K5059" s="21" t="n">
        <v>514.86</v>
      </c>
      <c r="L5059" s="21" t="n">
        <v>588.41</v>
      </c>
      <c r="M5059" s="21" t="n">
        <v>580</v>
      </c>
    </row>
    <row r="5060">
      <c r="A5060" s="9" t="inlineStr">
        <is>
          <t>HAIFENG</t>
        </is>
      </c>
      <c r="B5060" s="9" t="inlineStr">
        <is>
          <t>HAIFENG 16/06/2026</t>
        </is>
      </c>
      <c r="C5060" s="9" t="inlineStr">
        <is>
          <t>2026-06-16</t>
        </is>
      </c>
      <c r="D5060" s="9" t="inlineStr">
        <is>
          <t>31704301081517</t>
        </is>
      </c>
      <c r="E5060" s="9" t="inlineStr">
        <is>
          <t>BOLSO CC DENIM</t>
        </is>
      </c>
      <c r="F5060" s="9" t="inlineStr">
        <is>
          <t>Default Title</t>
        </is>
      </c>
      <c r="G5060" s="9" t="n">
        <v>1</v>
      </c>
      <c r="H5060" s="21" t="n">
        <v>85</v>
      </c>
      <c r="I5060" s="21" t="n">
        <v>1786.24</v>
      </c>
      <c r="J5060" s="21" t="n">
        <v>5358.72</v>
      </c>
      <c r="K5060" s="21" t="n">
        <v>6251.85</v>
      </c>
      <c r="L5060" s="21" t="n">
        <v>7144.97</v>
      </c>
      <c r="M5060" s="21" t="n">
        <v>0</v>
      </c>
    </row>
    <row r="5061">
      <c r="A5061" s="9" t="inlineStr">
        <is>
          <t>HAIFENG</t>
        </is>
      </c>
      <c r="B5061" s="9" t="inlineStr">
        <is>
          <t>HAIFENG 16/06/2026</t>
        </is>
      </c>
      <c r="C5061" s="9" t="inlineStr">
        <is>
          <t>2026-06-16</t>
        </is>
      </c>
      <c r="D5061" s="9" t="inlineStr">
        <is>
          <t>32044741019373</t>
        </is>
      </c>
      <c r="E5061" s="9" t="inlineStr">
        <is>
          <t>BOLSO CC SEQUINS WHITE</t>
        </is>
      </c>
      <c r="F5061" s="9" t="inlineStr">
        <is>
          <t>Default Title</t>
        </is>
      </c>
      <c r="G5061" s="9" t="n">
        <v>2</v>
      </c>
      <c r="H5061" s="21" t="n">
        <v>90</v>
      </c>
      <c r="I5061" s="21" t="n">
        <v>1891.31</v>
      </c>
      <c r="J5061" s="21" t="n">
        <v>5673.94</v>
      </c>
      <c r="K5061" s="21" t="n">
        <v>6619.6</v>
      </c>
      <c r="L5061" s="21" t="n">
        <v>7565.26</v>
      </c>
      <c r="M5061" s="21" t="n">
        <v>0</v>
      </c>
    </row>
    <row r="5062">
      <c r="A5062" s="9" t="inlineStr">
        <is>
          <t>HAIFENG</t>
        </is>
      </c>
      <c r="B5062" s="9" t="inlineStr">
        <is>
          <t>HAIFENG 16/06/2026</t>
        </is>
      </c>
      <c r="C5062" s="9" t="inlineStr">
        <is>
          <t>2026-06-16</t>
        </is>
      </c>
      <c r="D5062" s="9" t="inlineStr">
        <is>
          <t>71078752279149</t>
        </is>
      </c>
      <c r="E5062" s="9" t="inlineStr">
        <is>
          <t>BRAZALETE C GOLD</t>
        </is>
      </c>
      <c r="F5062" s="9" t="inlineStr">
        <is>
          <t>Default Title</t>
        </is>
      </c>
      <c r="G5062" s="9" t="n">
        <v>2</v>
      </c>
      <c r="H5062" s="21" t="n">
        <v>5</v>
      </c>
      <c r="I5062" s="21" t="n">
        <v>105.07</v>
      </c>
      <c r="J5062" s="21" t="n">
        <v>315.22</v>
      </c>
      <c r="K5062" s="21" t="n">
        <v>367.76</v>
      </c>
      <c r="L5062" s="21" t="n">
        <v>420.29</v>
      </c>
      <c r="M5062" s="21" t="n">
        <v>450</v>
      </c>
    </row>
    <row r="5063">
      <c r="A5063" s="9" t="inlineStr">
        <is>
          <t>HAIFENG</t>
        </is>
      </c>
      <c r="B5063" s="9" t="inlineStr">
        <is>
          <t>HAIFENG 16/06/2026</t>
        </is>
      </c>
      <c r="C5063" s="9" t="inlineStr">
        <is>
          <t>2026-06-16</t>
        </is>
      </c>
      <c r="D5063" s="9" t="inlineStr">
        <is>
          <t>40154171915885</t>
        </is>
      </c>
      <c r="E5063" s="9" t="inlineStr">
        <is>
          <t>BRAZALETE DOBLE ESLABON GOLD</t>
        </is>
      </c>
      <c r="F5063" s="9" t="inlineStr">
        <is>
          <t>Default Title</t>
        </is>
      </c>
      <c r="G5063" s="9" t="n">
        <v>2</v>
      </c>
      <c r="H5063" s="21" t="n">
        <v>7</v>
      </c>
      <c r="I5063" s="21" t="n">
        <v>147.1</v>
      </c>
      <c r="J5063" s="21" t="n">
        <v>441.31</v>
      </c>
      <c r="K5063" s="21" t="n">
        <v>514.86</v>
      </c>
      <c r="L5063" s="21" t="n">
        <v>588.41</v>
      </c>
      <c r="M5063" s="21" t="n">
        <v>599</v>
      </c>
    </row>
    <row r="5064">
      <c r="A5064" s="9" t="inlineStr">
        <is>
          <t>HAIFENG</t>
        </is>
      </c>
      <c r="B5064" s="9" t="inlineStr">
        <is>
          <t>HAIFENG 16/06/2026</t>
        </is>
      </c>
      <c r="C5064" s="9" t="inlineStr">
        <is>
          <t>2026-06-16</t>
        </is>
      </c>
      <c r="D5064" s="9" t="inlineStr">
        <is>
          <t>59950731067117</t>
        </is>
      </c>
      <c r="E5064" s="9" t="inlineStr">
        <is>
          <t>BRAZALETE LOVE GOLD</t>
        </is>
      </c>
      <c r="F5064" s="9" t="inlineStr">
        <is>
          <t>17CM</t>
        </is>
      </c>
      <c r="G5064" s="9" t="n">
        <v>3</v>
      </c>
      <c r="H5064" s="21" t="n">
        <v>5</v>
      </c>
      <c r="I5064" s="21" t="n">
        <v>105.07</v>
      </c>
      <c r="J5064" s="21" t="n">
        <v>315.22</v>
      </c>
      <c r="K5064" s="21" t="n">
        <v>367.76</v>
      </c>
      <c r="L5064" s="21" t="n">
        <v>420.29</v>
      </c>
      <c r="M5064" s="21" t="n">
        <v>450</v>
      </c>
    </row>
    <row r="5065">
      <c r="A5065" s="9" t="inlineStr">
        <is>
          <t>HAIFENG</t>
        </is>
      </c>
      <c r="B5065" s="9" t="inlineStr">
        <is>
          <t>HAIFENG 16/06/2026</t>
        </is>
      </c>
      <c r="C5065" s="9" t="inlineStr">
        <is>
          <t>2026-06-16</t>
        </is>
      </c>
      <c r="D5065" s="9" t="inlineStr">
        <is>
          <t>35432872592173</t>
        </is>
      </c>
      <c r="E5065" s="9" t="inlineStr">
        <is>
          <t>BRAZALETE MINI CLIC CHAINE GOLD-BLACK</t>
        </is>
      </c>
      <c r="F5065" s="9" t="inlineStr">
        <is>
          <t>Default Title</t>
        </is>
      </c>
      <c r="G5065" s="9" t="n">
        <v>2</v>
      </c>
      <c r="H5065" s="21" t="n">
        <v>18</v>
      </c>
      <c r="I5065" s="21" t="n">
        <v>378.26</v>
      </c>
      <c r="J5065" s="21" t="n">
        <v>1134.79</v>
      </c>
      <c r="K5065" s="21" t="n">
        <v>1323.92</v>
      </c>
      <c r="L5065" s="21" t="n">
        <v>1513.05</v>
      </c>
      <c r="M5065" s="21" t="n">
        <v>1499</v>
      </c>
    </row>
    <row r="5066">
      <c r="A5066" s="9" t="inlineStr">
        <is>
          <t>HAIFENG</t>
        </is>
      </c>
      <c r="B5066" s="9" t="inlineStr">
        <is>
          <t>HAIFENG 16/06/2026</t>
        </is>
      </c>
      <c r="C5066" s="9" t="inlineStr">
        <is>
          <t>2026-06-16</t>
        </is>
      </c>
      <c r="D5066" s="9" t="inlineStr">
        <is>
          <t>15554122051469</t>
        </is>
      </c>
      <c r="E5066" s="9" t="inlineStr">
        <is>
          <t>BRAZALETE MOVE NOA GOLD</t>
        </is>
      </c>
      <c r="F5066" s="9" t="inlineStr">
        <is>
          <t>Default Title</t>
        </is>
      </c>
      <c r="G5066" s="9" t="n">
        <v>2</v>
      </c>
      <c r="H5066" s="21" t="n">
        <v>10</v>
      </c>
      <c r="I5066" s="21" t="n">
        <v>210.15</v>
      </c>
      <c r="J5066" s="21" t="n">
        <v>630.4400000000001</v>
      </c>
      <c r="K5066" s="21" t="n">
        <v>735.51</v>
      </c>
      <c r="L5066" s="21" t="n">
        <v>840.58</v>
      </c>
      <c r="M5066" s="21" t="n">
        <v>850</v>
      </c>
    </row>
    <row r="5067">
      <c r="A5067" s="9" t="inlineStr">
        <is>
          <t>HAIFENG</t>
        </is>
      </c>
      <c r="B5067" s="9" t="inlineStr">
        <is>
          <t>HAIFENG 16/06/2026</t>
        </is>
      </c>
      <c r="C5067" s="9" t="inlineStr">
        <is>
          <t>2026-06-16</t>
        </is>
      </c>
      <c r="D5067" s="9" t="inlineStr">
        <is>
          <t>67201531970989</t>
        </is>
      </c>
      <c r="E5067" s="9" t="inlineStr">
        <is>
          <t>BRAZALETE MSS GOLD</t>
        </is>
      </c>
      <c r="F5067" s="9" t="inlineStr">
        <is>
          <t>16 cm</t>
        </is>
      </c>
      <c r="G5067" s="9" t="n">
        <v>5</v>
      </c>
      <c r="H5067" s="21" t="n">
        <v>10</v>
      </c>
      <c r="I5067" s="21" t="n">
        <v>210.15</v>
      </c>
      <c r="J5067" s="21" t="n">
        <v>630.4400000000001</v>
      </c>
      <c r="K5067" s="21" t="n">
        <v>735.51</v>
      </c>
      <c r="L5067" s="21" t="n">
        <v>840.58</v>
      </c>
      <c r="M5067" s="21" t="n">
        <v>850</v>
      </c>
    </row>
    <row r="5068">
      <c r="A5068" s="9" t="inlineStr">
        <is>
          <t>HAIFENG</t>
        </is>
      </c>
      <c r="B5068" s="9" t="inlineStr">
        <is>
          <t>HAIFENG 16/06/2026</t>
        </is>
      </c>
      <c r="C5068" s="9" t="inlineStr">
        <is>
          <t>2026-06-16</t>
        </is>
      </c>
      <c r="D5068" s="9" t="inlineStr">
        <is>
          <t>665bb924de84e</t>
        </is>
      </c>
      <c r="E5068" s="9" t="inlineStr">
        <is>
          <t>BRAZALETE PANTHERE SILVER</t>
        </is>
      </c>
      <c r="F5068" s="9" t="inlineStr">
        <is>
          <t>17cm (REMATE)</t>
        </is>
      </c>
      <c r="G5068" s="9" t="n">
        <v>2</v>
      </c>
      <c r="H5068" s="21" t="n">
        <v>12</v>
      </c>
      <c r="I5068" s="21" t="n">
        <v>252.18</v>
      </c>
      <c r="J5068" s="21" t="n">
        <v>756.53</v>
      </c>
      <c r="K5068" s="21" t="n">
        <v>882.61</v>
      </c>
      <c r="L5068" s="21" t="n">
        <v>1008.7</v>
      </c>
      <c r="M5068" s="21" t="n">
        <v>999</v>
      </c>
    </row>
    <row r="5069">
      <c r="A5069" s="9" t="inlineStr">
        <is>
          <t>HAIFENG</t>
        </is>
      </c>
      <c r="B5069" s="9" t="inlineStr">
        <is>
          <t>HAIFENG 16/06/2026</t>
        </is>
      </c>
      <c r="C5069" s="9" t="inlineStr">
        <is>
          <t>2026-06-16</t>
        </is>
      </c>
      <c r="D5069" s="9" t="inlineStr">
        <is>
          <t>40154172024365</t>
        </is>
      </c>
      <c r="E5069" s="9" t="inlineStr">
        <is>
          <t>BRAZALETE T BONE GOLD</t>
        </is>
      </c>
      <c r="F5069" s="9" t="inlineStr">
        <is>
          <t>Default Title</t>
        </is>
      </c>
      <c r="G5069" s="9" t="n">
        <v>2</v>
      </c>
      <c r="H5069" s="21" t="n">
        <v>35</v>
      </c>
      <c r="I5069" s="21" t="n">
        <v>735.51</v>
      </c>
      <c r="J5069" s="21" t="n">
        <v>2206.53</v>
      </c>
      <c r="K5069" s="21" t="n">
        <v>2574.29</v>
      </c>
      <c r="L5069" s="21" t="n">
        <v>2942.04</v>
      </c>
      <c r="M5069" s="21" t="n">
        <v>2899</v>
      </c>
    </row>
    <row r="5070">
      <c r="A5070" s="9" t="inlineStr">
        <is>
          <t>HAIFENG</t>
        </is>
      </c>
      <c r="B5070" s="9" t="inlineStr">
        <is>
          <t>HAIFENG 16/06/2026</t>
        </is>
      </c>
      <c r="C5070" s="9" t="inlineStr">
        <is>
          <t>2026-06-16</t>
        </is>
      </c>
      <c r="D5070" s="9" t="inlineStr">
        <is>
          <t>89246881583021</t>
        </is>
      </c>
      <c r="E5070" s="9" t="inlineStr">
        <is>
          <t>BROCHE CD GOLD ZIRCONIAS PEARL</t>
        </is>
      </c>
      <c r="F5070" s="9" t="inlineStr">
        <is>
          <t>Default Title</t>
        </is>
      </c>
      <c r="G5070" s="9" t="n">
        <v>2</v>
      </c>
      <c r="H5070" s="21" t="n">
        <v>6</v>
      </c>
      <c r="I5070" s="21" t="n">
        <v>126.09</v>
      </c>
      <c r="J5070" s="21" t="n">
        <v>378.26</v>
      </c>
      <c r="K5070" s="21" t="n">
        <v>441.31</v>
      </c>
      <c r="L5070" s="21" t="n">
        <v>504.35</v>
      </c>
      <c r="M5070" s="21" t="n">
        <v>499</v>
      </c>
    </row>
    <row r="5071">
      <c r="A5071" s="9" t="inlineStr">
        <is>
          <t>HAIFENG</t>
        </is>
      </c>
      <c r="B5071" s="9" t="inlineStr">
        <is>
          <t>HAIFENG 16/06/2026</t>
        </is>
      </c>
      <c r="C5071" s="9" t="inlineStr">
        <is>
          <t>2026-06-16</t>
        </is>
      </c>
      <c r="D5071" s="9" t="inlineStr">
        <is>
          <t>15104851060781</t>
        </is>
      </c>
      <c r="E5071" s="9" t="inlineStr">
        <is>
          <t>COLLAR ALHAMBRA GOLD</t>
        </is>
      </c>
      <c r="F5071" s="9" t="inlineStr">
        <is>
          <t>Default Title</t>
        </is>
      </c>
      <c r="G5071" s="9" t="n">
        <v>3</v>
      </c>
      <c r="H5071" s="21" t="n">
        <v>5</v>
      </c>
      <c r="I5071" s="21" t="n">
        <v>105.07</v>
      </c>
      <c r="J5071" s="21" t="n">
        <v>315.22</v>
      </c>
      <c r="K5071" s="21" t="n">
        <v>367.76</v>
      </c>
      <c r="L5071" s="21" t="n">
        <v>420.29</v>
      </c>
      <c r="M5071" s="21" t="n">
        <v>450</v>
      </c>
    </row>
    <row r="5072">
      <c r="A5072" s="9" t="inlineStr">
        <is>
          <t>HAIFENG</t>
        </is>
      </c>
      <c r="B5072" s="9" t="inlineStr">
        <is>
          <t>HAIFENG 16/06/2026</t>
        </is>
      </c>
      <c r="C5072" s="9" t="inlineStr">
        <is>
          <t>2026-06-16</t>
        </is>
      </c>
      <c r="D5072" s="9" t="inlineStr">
        <is>
          <t>33089531091469</t>
        </is>
      </c>
      <c r="E5072" s="9" t="inlineStr">
        <is>
          <t>COLLAR BV ROSEGOLD CON ZIRCONIA ALREDEDOR</t>
        </is>
      </c>
      <c r="F5072" s="9" t="inlineStr">
        <is>
          <t>Default Title</t>
        </is>
      </c>
      <c r="G5072" s="9" t="n">
        <v>5</v>
      </c>
      <c r="H5072" s="21" t="n">
        <v>7.5</v>
      </c>
      <c r="I5072" s="21" t="n">
        <v>157.61</v>
      </c>
      <c r="J5072" s="21" t="n">
        <v>472.83</v>
      </c>
      <c r="K5072" s="21" t="n">
        <v>551.63</v>
      </c>
      <c r="L5072" s="21" t="n">
        <v>630.4400000000001</v>
      </c>
      <c r="M5072" s="21" t="n">
        <v>335</v>
      </c>
    </row>
    <row r="5073">
      <c r="A5073" s="9" t="inlineStr">
        <is>
          <t>HAIFENG</t>
        </is>
      </c>
      <c r="B5073" s="9" t="inlineStr">
        <is>
          <t>HAIFENG 16/06/2026</t>
        </is>
      </c>
      <c r="C5073" s="9" t="inlineStr">
        <is>
          <t>2026-06-16</t>
        </is>
      </c>
      <c r="D5073" s="9" t="inlineStr">
        <is>
          <t>89790741558733</t>
        </is>
      </c>
      <c r="E5073" s="9" t="inlineStr">
        <is>
          <t>COLLAR BV ROSEGOLD PEARL ZIRCONIA</t>
        </is>
      </c>
      <c r="F5073" s="9" t="inlineStr">
        <is>
          <t>Default Title</t>
        </is>
      </c>
      <c r="G5073" s="9" t="n">
        <v>2</v>
      </c>
      <c r="H5073" s="21" t="n">
        <v>7</v>
      </c>
      <c r="I5073" s="21" t="n">
        <v>147.1</v>
      </c>
      <c r="J5073" s="21" t="n">
        <v>441.31</v>
      </c>
      <c r="K5073" s="21" t="n">
        <v>514.86</v>
      </c>
      <c r="L5073" s="21" t="n">
        <v>588.41</v>
      </c>
      <c r="M5073" s="21" t="n">
        <v>599</v>
      </c>
    </row>
    <row r="5074">
      <c r="A5074" s="9" t="inlineStr">
        <is>
          <t>HAIFENG</t>
        </is>
      </c>
      <c r="B5074" s="9" t="inlineStr">
        <is>
          <t>HAIFENG 16/06/2026</t>
        </is>
      </c>
      <c r="C5074" s="9" t="inlineStr">
        <is>
          <t>2026-06-16</t>
        </is>
      </c>
      <c r="D5074" s="9" t="inlineStr">
        <is>
          <t>643ec10bc63f5</t>
        </is>
      </c>
      <c r="E5074" s="9" t="inlineStr">
        <is>
          <t>COLLAR BV SILVER</t>
        </is>
      </c>
      <c r="F5074" s="9" t="inlineStr">
        <is>
          <t>Largo de cadena total 40cm  Extensión 8 cm  Dije 1 cm</t>
        </is>
      </c>
      <c r="G5074" s="9" t="n">
        <v>2</v>
      </c>
      <c r="H5074" s="21" t="n">
        <v>5</v>
      </c>
      <c r="I5074" s="21" t="n">
        <v>105.07</v>
      </c>
      <c r="J5074" s="21" t="n">
        <v>315.22</v>
      </c>
      <c r="K5074" s="21" t="n">
        <v>367.76</v>
      </c>
      <c r="L5074" s="21" t="n">
        <v>420.29</v>
      </c>
      <c r="M5074" s="21" t="n">
        <v>450</v>
      </c>
    </row>
    <row r="5075">
      <c r="A5075" s="9" t="inlineStr">
        <is>
          <t>HAIFENG</t>
        </is>
      </c>
      <c r="B5075" s="9" t="inlineStr">
        <is>
          <t>HAIFENG 16/06/2026</t>
        </is>
      </c>
      <c r="C5075" s="9" t="inlineStr">
        <is>
          <t>2026-06-16</t>
        </is>
      </c>
      <c r="D5075" s="9" t="inlineStr">
        <is>
          <t>89695511098893</t>
        </is>
      </c>
      <c r="E5075" s="9" t="inlineStr">
        <is>
          <t>COLLAR BV SILVER CON ZIRCONIA ALREDEDOR</t>
        </is>
      </c>
      <c r="F5075" s="9" t="inlineStr">
        <is>
          <t>Default Title</t>
        </is>
      </c>
      <c r="G5075" s="9" t="n">
        <v>2</v>
      </c>
      <c r="H5075" s="21" t="n">
        <v>7.5</v>
      </c>
      <c r="I5075" s="21" t="n">
        <v>157.61</v>
      </c>
      <c r="J5075" s="21" t="n">
        <v>472.83</v>
      </c>
      <c r="K5075" s="21" t="n">
        <v>551.63</v>
      </c>
      <c r="L5075" s="21" t="n">
        <v>630.4400000000001</v>
      </c>
      <c r="M5075" s="21" t="n">
        <v>659</v>
      </c>
    </row>
    <row r="5076">
      <c r="A5076" s="9" t="inlineStr">
        <is>
          <t>HAIFENG</t>
        </is>
      </c>
      <c r="B5076" s="9" t="inlineStr">
        <is>
          <t>HAIFENG 16/06/2026</t>
        </is>
      </c>
      <c r="C5076" s="9" t="inlineStr">
        <is>
          <t>2026-06-16</t>
        </is>
      </c>
      <c r="D5076" s="9" t="inlineStr">
        <is>
          <t>27127011173132</t>
        </is>
      </c>
      <c r="E5076" s="9" t="inlineStr">
        <is>
          <t>COLLAR Bzero SILVER BLACK</t>
        </is>
      </c>
      <c r="F5076" s="9" t="inlineStr">
        <is>
          <t>41cm de largo con 8cm de Extension.</t>
        </is>
      </c>
      <c r="G5076" s="9" t="n">
        <v>6</v>
      </c>
      <c r="H5076" s="21" t="n">
        <v>5</v>
      </c>
      <c r="I5076" s="21" t="n">
        <v>105.07</v>
      </c>
      <c r="J5076" s="21" t="n">
        <v>315.22</v>
      </c>
      <c r="K5076" s="21" t="n">
        <v>367.76</v>
      </c>
      <c r="L5076" s="21" t="n">
        <v>420.29</v>
      </c>
      <c r="M5076" s="21" t="n">
        <v>550</v>
      </c>
    </row>
    <row r="5077">
      <c r="A5077" s="9" t="inlineStr">
        <is>
          <t>HAIFENG</t>
        </is>
      </c>
      <c r="B5077" s="9" t="inlineStr">
        <is>
          <t>HAIFENG 16/06/2026</t>
        </is>
      </c>
      <c r="C5077" s="9" t="inlineStr">
        <is>
          <t>2026-06-16</t>
        </is>
      </c>
      <c r="D5077" s="9" t="inlineStr">
        <is>
          <t>43728082327916</t>
        </is>
      </c>
      <c r="E5077" s="9" t="inlineStr">
        <is>
          <t>COLLAR C D’AMOUR GOLD</t>
        </is>
      </c>
      <c r="F5077" s="9" t="inlineStr">
        <is>
          <t>44cm con 5cm de extensión</t>
        </is>
      </c>
      <c r="G5077" s="9" t="n">
        <v>5</v>
      </c>
      <c r="H5077" s="21" t="n">
        <v>2.99</v>
      </c>
      <c r="I5077" s="21" t="n">
        <v>62.83</v>
      </c>
      <c r="J5077" s="21" t="n">
        <v>188.5</v>
      </c>
      <c r="K5077" s="21" t="n">
        <v>219.92</v>
      </c>
      <c r="L5077" s="21" t="n">
        <v>251.33</v>
      </c>
      <c r="M5077" s="21" t="n">
        <v>525</v>
      </c>
    </row>
    <row r="5078">
      <c r="A5078" s="9" t="inlineStr">
        <is>
          <t>HAIFENG</t>
        </is>
      </c>
      <c r="B5078" s="9" t="inlineStr">
        <is>
          <t>HAIFENG 16/06/2026</t>
        </is>
      </c>
      <c r="C5078" s="9" t="inlineStr">
        <is>
          <t>2026-06-16</t>
        </is>
      </c>
      <c r="D5078" s="9" t="inlineStr">
        <is>
          <t>43728082412172</t>
        </is>
      </c>
      <c r="E5078" s="9" t="inlineStr">
        <is>
          <t>COLLAR C D’AMOUR ROSE GOLD</t>
        </is>
      </c>
      <c r="F5078" s="9" t="inlineStr">
        <is>
          <t>44cm con 5cm de extensión</t>
        </is>
      </c>
      <c r="G5078" s="9" t="n">
        <v>2</v>
      </c>
      <c r="H5078" s="21" t="n">
        <v>2.99</v>
      </c>
      <c r="I5078" s="21" t="n">
        <v>62.83</v>
      </c>
      <c r="J5078" s="21" t="n">
        <v>188.5</v>
      </c>
      <c r="K5078" s="21" t="n">
        <v>219.92</v>
      </c>
      <c r="L5078" s="21" t="n">
        <v>251.33</v>
      </c>
      <c r="M5078" s="21" t="n">
        <v>525</v>
      </c>
    </row>
    <row r="5079">
      <c r="A5079" s="9" t="inlineStr">
        <is>
          <t>HAIFENG</t>
        </is>
      </c>
      <c r="B5079" s="9" t="inlineStr">
        <is>
          <t>HAIFENG 16/06/2026</t>
        </is>
      </c>
      <c r="C5079" s="9" t="inlineStr">
        <is>
          <t>2026-06-16</t>
        </is>
      </c>
      <c r="D5079" s="9" t="inlineStr">
        <is>
          <t>35432871634445</t>
        </is>
      </c>
      <c r="E5079" s="9" t="inlineStr">
        <is>
          <t>COLLAR CC COCO CRUSH GOLD</t>
        </is>
      </c>
      <c r="F5079" s="9" t="inlineStr">
        <is>
          <t>Default Title</t>
        </is>
      </c>
      <c r="G5079" s="9" t="n">
        <v>3</v>
      </c>
      <c r="H5079" s="21" t="n">
        <v>7.99</v>
      </c>
      <c r="I5079" s="21" t="n">
        <v>167.91</v>
      </c>
      <c r="J5079" s="21" t="n">
        <v>503.72</v>
      </c>
      <c r="K5079" s="21" t="n">
        <v>587.67</v>
      </c>
      <c r="L5079" s="21" t="n">
        <v>671.63</v>
      </c>
      <c r="M5079" s="21" t="n">
        <v>680</v>
      </c>
    </row>
    <row r="5080">
      <c r="A5080" s="9" t="inlineStr">
        <is>
          <t>HAIFENG</t>
        </is>
      </c>
      <c r="B5080" s="9" t="inlineStr">
        <is>
          <t>HAIFENG 16/06/2026</t>
        </is>
      </c>
      <c r="C5080" s="9" t="inlineStr">
        <is>
          <t>2026-06-16</t>
        </is>
      </c>
      <c r="D5080" s="9" t="inlineStr">
        <is>
          <t>29736661175277</t>
        </is>
      </c>
      <c r="E5080" s="9" t="inlineStr">
        <is>
          <t>COLLAR CD FLEUR GOLD</t>
        </is>
      </c>
      <c r="F5080" s="9" t="inlineStr">
        <is>
          <t>Default Title</t>
        </is>
      </c>
      <c r="G5080" s="9" t="n">
        <v>2</v>
      </c>
      <c r="H5080" s="21" t="n">
        <v>12</v>
      </c>
      <c r="I5080" s="21" t="n">
        <v>252.18</v>
      </c>
      <c r="J5080" s="21" t="n">
        <v>756.53</v>
      </c>
      <c r="K5080" s="21" t="n">
        <v>882.61</v>
      </c>
      <c r="L5080" s="21" t="n">
        <v>1008.7</v>
      </c>
      <c r="M5080" s="21" t="n">
        <v>999</v>
      </c>
    </row>
    <row r="5081">
      <c r="A5081" s="9" t="inlineStr">
        <is>
          <t>HAIFENG</t>
        </is>
      </c>
      <c r="B5081" s="9" t="inlineStr">
        <is>
          <t>HAIFENG 16/06/2026</t>
        </is>
      </c>
      <c r="C5081" s="9" t="inlineStr">
        <is>
          <t>2026-06-16</t>
        </is>
      </c>
      <c r="D5081" s="9" t="inlineStr">
        <is>
          <t>668eee3e3e067</t>
        </is>
      </c>
      <c r="E5081" s="9" t="inlineStr">
        <is>
          <t>COLLAR DOBLE PLACA CORAZÓN TURQUESA-PLATA</t>
        </is>
      </c>
      <c r="F5081" s="9" t="inlineStr">
        <is>
          <t>Copper</t>
        </is>
      </c>
      <c r="G5081" s="9" t="n">
        <v>15</v>
      </c>
      <c r="H5081" s="21" t="n">
        <v>5</v>
      </c>
      <c r="I5081" s="21" t="n">
        <v>105.07</v>
      </c>
      <c r="J5081" s="21" t="n">
        <v>315.22</v>
      </c>
      <c r="K5081" s="21" t="n">
        <v>367.76</v>
      </c>
      <c r="L5081" s="21" t="n">
        <v>420.29</v>
      </c>
      <c r="M5081" s="21" t="n">
        <v>550</v>
      </c>
    </row>
    <row r="5082">
      <c r="A5082" s="9" t="inlineStr">
        <is>
          <t>HAIFENG</t>
        </is>
      </c>
      <c r="B5082" s="9" t="inlineStr">
        <is>
          <t>HAIFENG 16/06/2026</t>
        </is>
      </c>
      <c r="C5082" s="9" t="inlineStr">
        <is>
          <t>2026-06-16</t>
        </is>
      </c>
      <c r="D5082" s="9" t="inlineStr">
        <is>
          <t>56481489561612</t>
        </is>
      </c>
      <c r="E5082" s="9" t="inlineStr">
        <is>
          <t>COLLAR DOBLE PLACA ROSEGOLD</t>
        </is>
      </c>
      <c r="F5082" s="9" t="inlineStr">
        <is>
          <t>39cm con 5cm de extensión</t>
        </is>
      </c>
      <c r="G5082" s="9" t="n">
        <v>3</v>
      </c>
      <c r="H5082" s="21" t="n">
        <v>5</v>
      </c>
      <c r="I5082" s="21" t="n">
        <v>105.07</v>
      </c>
      <c r="J5082" s="21" t="n">
        <v>315.22</v>
      </c>
      <c r="K5082" s="21" t="n">
        <v>367.76</v>
      </c>
      <c r="L5082" s="21" t="n">
        <v>420.29</v>
      </c>
      <c r="M5082" s="21" t="n">
        <v>550</v>
      </c>
    </row>
    <row r="5083">
      <c r="A5083" s="9" t="inlineStr">
        <is>
          <t>HAIFENG</t>
        </is>
      </c>
      <c r="B5083" s="9" t="inlineStr">
        <is>
          <t>HAIFENG 16/06/2026</t>
        </is>
      </c>
      <c r="C5083" s="9" t="inlineStr">
        <is>
          <t>2026-06-16</t>
        </is>
      </c>
      <c r="D5083" s="9" t="inlineStr">
        <is>
          <t>56481497508748</t>
        </is>
      </c>
      <c r="E5083" s="9" t="inlineStr">
        <is>
          <t>COLLAR DOBLE PLACA ROSEGOLD PLATA</t>
        </is>
      </c>
      <c r="F5083" s="9" t="inlineStr">
        <is>
          <t>40cm con 5cm de extensión</t>
        </is>
      </c>
      <c r="G5083" s="9" t="n">
        <v>2</v>
      </c>
      <c r="H5083" s="21" t="n">
        <v>5</v>
      </c>
      <c r="I5083" s="21" t="n">
        <v>105.07</v>
      </c>
      <c r="J5083" s="21" t="n">
        <v>315.22</v>
      </c>
      <c r="K5083" s="21" t="n">
        <v>367.76</v>
      </c>
      <c r="L5083" s="21" t="n">
        <v>420.29</v>
      </c>
      <c r="M5083" s="21" t="n">
        <v>550</v>
      </c>
    </row>
    <row r="5084">
      <c r="A5084" s="9" t="inlineStr">
        <is>
          <t>HAIFENG</t>
        </is>
      </c>
      <c r="B5084" s="9" t="inlineStr">
        <is>
          <t>HAIFENG 16/06/2026</t>
        </is>
      </c>
      <c r="C5084" s="9" t="inlineStr">
        <is>
          <t>2026-06-16</t>
        </is>
      </c>
      <c r="D5084" s="9" t="inlineStr">
        <is>
          <t>35432872383693</t>
        </is>
      </c>
      <c r="E5084" s="9" t="inlineStr">
        <is>
          <t>COLLAR H MINI MAILLON GOLD-BLACK</t>
        </is>
      </c>
      <c r="F5084" s="9" t="inlineStr">
        <is>
          <t>Default Title</t>
        </is>
      </c>
      <c r="G5084" s="9" t="n">
        <v>2</v>
      </c>
      <c r="H5084" s="21" t="n">
        <v>6.99</v>
      </c>
      <c r="I5084" s="21" t="n">
        <v>146.89</v>
      </c>
      <c r="J5084" s="21" t="n">
        <v>440.68</v>
      </c>
      <c r="K5084" s="21" t="n">
        <v>514.12</v>
      </c>
      <c r="L5084" s="21" t="n">
        <v>587.5700000000001</v>
      </c>
      <c r="M5084" s="21" t="n">
        <v>599</v>
      </c>
    </row>
    <row r="5085">
      <c r="A5085" s="9" t="inlineStr">
        <is>
          <t>HAIFENG</t>
        </is>
      </c>
      <c r="B5085" s="9" t="inlineStr">
        <is>
          <t>HAIFENG 16/06/2026</t>
        </is>
      </c>
      <c r="C5085" s="9" t="inlineStr">
        <is>
          <t>2026-06-16</t>
        </is>
      </c>
      <c r="D5085" s="9" t="inlineStr">
        <is>
          <t>15104863347341</t>
        </is>
      </c>
      <c r="E5085" s="9" t="inlineStr">
        <is>
          <t>COLLAR KNOT ROSEGOLD HALF ZIRCONIAS</t>
        </is>
      </c>
      <c r="F5085" s="9" t="inlineStr">
        <is>
          <t>Default Title</t>
        </is>
      </c>
      <c r="G5085" s="9" t="n">
        <v>3</v>
      </c>
      <c r="H5085" s="21" t="n">
        <v>6.5</v>
      </c>
      <c r="I5085" s="21" t="n">
        <v>136.59</v>
      </c>
      <c r="J5085" s="21" t="n">
        <v>409.78</v>
      </c>
      <c r="K5085" s="21" t="n">
        <v>478.08</v>
      </c>
      <c r="L5085" s="21" t="n">
        <v>546.38</v>
      </c>
      <c r="M5085" s="21" t="n">
        <v>550</v>
      </c>
    </row>
    <row r="5086">
      <c r="A5086" s="9" t="inlineStr">
        <is>
          <t>HAIFENG</t>
        </is>
      </c>
      <c r="B5086" s="9" t="inlineStr">
        <is>
          <t>HAIFENG 16/06/2026</t>
        </is>
      </c>
      <c r="C5086" s="9" t="inlineStr">
        <is>
          <t>2026-06-16</t>
        </is>
      </c>
      <c r="D5086" s="9" t="inlineStr">
        <is>
          <t>15104863274477</t>
        </is>
      </c>
      <c r="E5086" s="9" t="inlineStr">
        <is>
          <t>COLLAR KNOT SILVER ZIRCONIAS</t>
        </is>
      </c>
      <c r="F5086" s="9" t="inlineStr">
        <is>
          <t>Default Title</t>
        </is>
      </c>
      <c r="G5086" s="9" t="n">
        <v>5</v>
      </c>
      <c r="H5086" s="21" t="n">
        <v>7</v>
      </c>
      <c r="I5086" s="21" t="n">
        <v>147.1</v>
      </c>
      <c r="J5086" s="21" t="n">
        <v>441.31</v>
      </c>
      <c r="K5086" s="21" t="n">
        <v>514.86</v>
      </c>
      <c r="L5086" s="21" t="n">
        <v>588.41</v>
      </c>
      <c r="M5086" s="21" t="n">
        <v>599</v>
      </c>
    </row>
    <row r="5087">
      <c r="A5087" s="9" t="inlineStr">
        <is>
          <t>HAIFENG</t>
        </is>
      </c>
      <c r="B5087" s="9" t="inlineStr">
        <is>
          <t>HAIFENG 16/06/2026</t>
        </is>
      </c>
      <c r="C5087" s="9" t="inlineStr">
        <is>
          <t>2026-06-16</t>
        </is>
      </c>
      <c r="D5087" s="9" t="inlineStr">
        <is>
          <t>63e0beee6c617</t>
        </is>
      </c>
      <c r="E5087" s="9" t="inlineStr">
        <is>
          <t>COLLAR LOVE GOLD</t>
        </is>
      </c>
      <c r="F5087" s="9" t="inlineStr">
        <is>
          <t>45cm</t>
        </is>
      </c>
      <c r="G5087" s="9" t="n">
        <v>8</v>
      </c>
      <c r="H5087" s="21" t="n">
        <v>5</v>
      </c>
      <c r="I5087" s="21" t="n">
        <v>105.07</v>
      </c>
      <c r="J5087" s="21" t="n">
        <v>315.22</v>
      </c>
      <c r="K5087" s="21" t="n">
        <v>367.76</v>
      </c>
      <c r="L5087" s="21" t="n">
        <v>420.29</v>
      </c>
      <c r="M5087" s="21" t="n">
        <v>550</v>
      </c>
    </row>
    <row r="5088">
      <c r="A5088" s="9" t="inlineStr">
        <is>
          <t>HAIFENG</t>
        </is>
      </c>
      <c r="B5088" s="9" t="inlineStr">
        <is>
          <t>HAIFENG 16/06/2026</t>
        </is>
      </c>
      <c r="C5088" s="9" t="inlineStr">
        <is>
          <t>2026-06-16</t>
        </is>
      </c>
      <c r="D5088" s="9" t="inlineStr">
        <is>
          <t>66177c3e7206b</t>
        </is>
      </c>
      <c r="E5088" s="9" t="inlineStr">
        <is>
          <t>COLLAR LOVE-LOVE GOLD</t>
        </is>
      </c>
      <c r="F5088" s="9" t="inlineStr">
        <is>
          <t>46cm con 5cm de extension</t>
        </is>
      </c>
      <c r="G5088" s="9" t="n">
        <v>8</v>
      </c>
      <c r="H5088" s="21" t="n">
        <v>3.8</v>
      </c>
      <c r="I5088" s="21" t="n">
        <v>79.86</v>
      </c>
      <c r="J5088" s="21" t="n">
        <v>239.57</v>
      </c>
      <c r="K5088" s="21" t="n">
        <v>279.49</v>
      </c>
      <c r="L5088" s="21" t="n">
        <v>319.42</v>
      </c>
      <c r="M5088" s="21" t="n">
        <v>440</v>
      </c>
    </row>
    <row r="5089">
      <c r="A5089" s="9" t="inlineStr">
        <is>
          <t>HAIFENG</t>
        </is>
      </c>
      <c r="B5089" s="9" t="inlineStr">
        <is>
          <t>HAIFENG 16/06/2026</t>
        </is>
      </c>
      <c r="C5089" s="9" t="inlineStr">
        <is>
          <t>2026-06-16</t>
        </is>
      </c>
      <c r="D5089" s="9" t="inlineStr">
        <is>
          <t>63e0bef7903cb</t>
        </is>
      </c>
      <c r="E5089" s="9" t="inlineStr">
        <is>
          <t>COLLAR LOVE-LOVE SILVER</t>
        </is>
      </c>
      <c r="F5089" s="9" t="inlineStr">
        <is>
          <t>46cm con extensión de 5cm</t>
        </is>
      </c>
      <c r="G5089" s="9" t="n">
        <v>2</v>
      </c>
      <c r="H5089" s="21" t="n">
        <v>3.8</v>
      </c>
      <c r="I5089" s="21" t="n">
        <v>79.86</v>
      </c>
      <c r="J5089" s="21" t="n">
        <v>239.57</v>
      </c>
      <c r="K5089" s="21" t="n">
        <v>279.49</v>
      </c>
      <c r="L5089" s="21" t="n">
        <v>319.42</v>
      </c>
      <c r="M5089" s="21" t="n">
        <v>440</v>
      </c>
    </row>
    <row r="5090">
      <c r="A5090" s="9" t="inlineStr">
        <is>
          <t>HAIFENG</t>
        </is>
      </c>
      <c r="B5090" s="9" t="inlineStr">
        <is>
          <t>HAIFENG 16/06/2026</t>
        </is>
      </c>
      <c r="C5090" s="9" t="inlineStr">
        <is>
          <t>2026-06-16</t>
        </is>
      </c>
      <c r="D5090" s="9" t="inlineStr">
        <is>
          <t>37491254947980</t>
        </is>
      </c>
      <c r="E5090" s="9" t="inlineStr">
        <is>
          <t>COLLAR MARIQUITA VF</t>
        </is>
      </c>
      <c r="F5090" s="9" t="inlineStr">
        <is>
          <t>47cm</t>
        </is>
      </c>
      <c r="G5090" s="9" t="n">
        <v>5</v>
      </c>
      <c r="H5090" s="21" t="n">
        <v>7</v>
      </c>
      <c r="I5090" s="21" t="n">
        <v>147.1</v>
      </c>
      <c r="J5090" s="21" t="n">
        <v>441.31</v>
      </c>
      <c r="K5090" s="21" t="n">
        <v>514.86</v>
      </c>
      <c r="L5090" s="21" t="n">
        <v>588.41</v>
      </c>
      <c r="M5090" s="21" t="n">
        <v>580</v>
      </c>
    </row>
    <row r="5091">
      <c r="A5091" s="9" t="inlineStr">
        <is>
          <t>HAIFENG</t>
        </is>
      </c>
      <c r="B5091" s="9" t="inlineStr">
        <is>
          <t>HAIFENG 16/06/2026</t>
        </is>
      </c>
      <c r="C5091" s="9" t="inlineStr">
        <is>
          <t>2026-06-16</t>
        </is>
      </c>
      <c r="D5091" s="9" t="inlineStr">
        <is>
          <t>79024851004397</t>
        </is>
      </c>
      <c r="E5091" s="9" t="inlineStr">
        <is>
          <t>COLLAR MSS MOVE GOLD LISO</t>
        </is>
      </c>
      <c r="F5091" s="9" t="inlineStr">
        <is>
          <t>Default Title</t>
        </is>
      </c>
      <c r="G5091" s="9" t="n">
        <v>25</v>
      </c>
      <c r="H5091" s="21" t="n">
        <v>8</v>
      </c>
      <c r="I5091" s="21" t="n">
        <v>168.12</v>
      </c>
      <c r="J5091" s="21" t="n">
        <v>504.35</v>
      </c>
      <c r="K5091" s="21" t="n">
        <v>588.41</v>
      </c>
      <c r="L5091" s="21" t="n">
        <v>672.47</v>
      </c>
      <c r="M5091" s="21" t="n">
        <v>699</v>
      </c>
    </row>
    <row r="5092">
      <c r="A5092" s="9" t="inlineStr">
        <is>
          <t>HAIFENG</t>
        </is>
      </c>
      <c r="B5092" s="9" t="inlineStr">
        <is>
          <t>HAIFENG 16/06/2026</t>
        </is>
      </c>
      <c r="C5092" s="9" t="inlineStr">
        <is>
          <t>2026-06-16</t>
        </is>
      </c>
      <c r="D5092" s="9" t="inlineStr">
        <is>
          <t>REYNA</t>
        </is>
      </c>
      <c r="E5092" s="9" t="inlineStr">
        <is>
          <t>COLLAR MSS MOVE GOLD LISO</t>
        </is>
      </c>
      <c r="F5092" s="9" t="inlineStr"/>
      <c r="G5092" s="9" t="n">
        <v>1</v>
      </c>
      <c r="H5092" s="21" t="n">
        <v>8</v>
      </c>
      <c r="I5092" s="21" t="n">
        <v>168.12</v>
      </c>
      <c r="J5092" s="21" t="n">
        <v>504.35</v>
      </c>
      <c r="K5092" s="21" t="n">
        <v>588.41</v>
      </c>
      <c r="L5092" s="21" t="n">
        <v>672.47</v>
      </c>
      <c r="M5092" s="21" t="n"/>
    </row>
    <row r="5093">
      <c r="A5093" s="9" t="inlineStr">
        <is>
          <t>HAIFENG</t>
        </is>
      </c>
      <c r="B5093" s="9" t="inlineStr">
        <is>
          <t>HAIFENG 16/06/2026</t>
        </is>
      </c>
      <c r="C5093" s="9" t="inlineStr">
        <is>
          <t>2026-06-16</t>
        </is>
      </c>
      <c r="D5093" s="9" t="inlineStr">
        <is>
          <t>16048621033133</t>
        </is>
      </c>
      <c r="E5093" s="9" t="inlineStr">
        <is>
          <t>COLLAR MSS MOVE ROSEGOLD LISO</t>
        </is>
      </c>
      <c r="F5093" s="9" t="inlineStr">
        <is>
          <t>Default Title</t>
        </is>
      </c>
      <c r="G5093" s="9" t="n">
        <v>8</v>
      </c>
      <c r="H5093" s="21" t="n">
        <v>8</v>
      </c>
      <c r="I5093" s="21" t="n">
        <v>168.12</v>
      </c>
      <c r="J5093" s="21" t="n">
        <v>504.35</v>
      </c>
      <c r="K5093" s="21" t="n">
        <v>588.41</v>
      </c>
      <c r="L5093" s="21" t="n">
        <v>672.47</v>
      </c>
      <c r="M5093" s="21" t="n">
        <v>659.2</v>
      </c>
    </row>
    <row r="5094">
      <c r="A5094" s="9" t="inlineStr">
        <is>
          <t>HAIFENG</t>
        </is>
      </c>
      <c r="B5094" s="9" t="inlineStr">
        <is>
          <t>HAIFENG 16/06/2026</t>
        </is>
      </c>
      <c r="C5094" s="9" t="inlineStr">
        <is>
          <t>2026-06-16</t>
        </is>
      </c>
      <c r="D5094" s="9" t="inlineStr">
        <is>
          <t>CELESTE</t>
        </is>
      </c>
      <c r="E5094" s="9" t="inlineStr">
        <is>
          <t>COLLAR MSS MOVE SILVER LISO</t>
        </is>
      </c>
      <c r="F5094" s="9" t="inlineStr"/>
      <c r="G5094" s="9" t="n">
        <v>1</v>
      </c>
      <c r="H5094" s="21" t="n">
        <v>8</v>
      </c>
      <c r="I5094" s="21" t="n">
        <v>168.12</v>
      </c>
      <c r="J5094" s="21" t="n">
        <v>504.35</v>
      </c>
      <c r="K5094" s="21" t="n">
        <v>588.41</v>
      </c>
      <c r="L5094" s="21" t="n">
        <v>672.47</v>
      </c>
      <c r="M5094" s="21" t="n"/>
    </row>
    <row r="5095">
      <c r="A5095" s="9" t="inlineStr">
        <is>
          <t>HAIFENG</t>
        </is>
      </c>
      <c r="B5095" s="9" t="inlineStr">
        <is>
          <t>HAIFENG 16/06/2026</t>
        </is>
      </c>
      <c r="C5095" s="9" t="inlineStr">
        <is>
          <t>2026-06-16</t>
        </is>
      </c>
      <c r="D5095" s="9" t="inlineStr">
        <is>
          <t>89668081080557</t>
        </is>
      </c>
      <c r="E5095" s="9" t="inlineStr">
        <is>
          <t>COLLAR MSS MOVE UNO GOLD</t>
        </is>
      </c>
      <c r="F5095" s="9" t="inlineStr">
        <is>
          <t>Default Title</t>
        </is>
      </c>
      <c r="G5095" s="9" t="n">
        <v>8</v>
      </c>
      <c r="H5095" s="21" t="n">
        <v>8</v>
      </c>
      <c r="I5095" s="21" t="n">
        <v>168.12</v>
      </c>
      <c r="J5095" s="21" t="n">
        <v>504.35</v>
      </c>
      <c r="K5095" s="21" t="n">
        <v>588.41</v>
      </c>
      <c r="L5095" s="21" t="n">
        <v>672.47</v>
      </c>
      <c r="M5095" s="21" t="n">
        <v>659.2</v>
      </c>
    </row>
    <row r="5096">
      <c r="A5096" s="9" t="inlineStr">
        <is>
          <t>HAIFENG</t>
        </is>
      </c>
      <c r="B5096" s="9" t="inlineStr">
        <is>
          <t>HAIFENG 16/06/2026</t>
        </is>
      </c>
      <c r="C5096" s="9" t="inlineStr">
        <is>
          <t>2026-06-16</t>
        </is>
      </c>
      <c r="D5096" s="9" t="inlineStr">
        <is>
          <t>DANAHE Y CELESTE</t>
        </is>
      </c>
      <c r="E5096" s="9" t="inlineStr">
        <is>
          <t>COLLAR MSS SILVER CON ZIRCONIA</t>
        </is>
      </c>
      <c r="F5096" s="9" t="inlineStr"/>
      <c r="G5096" s="9" t="n">
        <v>2</v>
      </c>
      <c r="H5096" s="21" t="n">
        <v>8</v>
      </c>
      <c r="I5096" s="21" t="n">
        <v>168.12</v>
      </c>
      <c r="J5096" s="21" t="n">
        <v>504.35</v>
      </c>
      <c r="K5096" s="21" t="n">
        <v>588.41</v>
      </c>
      <c r="L5096" s="21" t="n">
        <v>672.47</v>
      </c>
      <c r="M5096" s="21" t="n"/>
    </row>
    <row r="5097">
      <c r="A5097" s="9" t="inlineStr">
        <is>
          <t>HAIFENG</t>
        </is>
      </c>
      <c r="B5097" s="9" t="inlineStr">
        <is>
          <t>HAIFENG 16/06/2026</t>
        </is>
      </c>
      <c r="C5097" s="9" t="inlineStr">
        <is>
          <t>2026-06-16</t>
        </is>
      </c>
      <c r="D5097" s="9" t="inlineStr">
        <is>
          <t>56481485321228</t>
        </is>
      </c>
      <c r="E5097" s="9" t="inlineStr">
        <is>
          <t>COLLAR OPEN HEART</t>
        </is>
      </c>
      <c r="F5097" s="9" t="inlineStr">
        <is>
          <t>45cm</t>
        </is>
      </c>
      <c r="G5097" s="9" t="n">
        <v>3</v>
      </c>
      <c r="H5097" s="21" t="n">
        <v>7</v>
      </c>
      <c r="I5097" s="21" t="n">
        <v>147.1</v>
      </c>
      <c r="J5097" s="21" t="n">
        <v>441.31</v>
      </c>
      <c r="K5097" s="21" t="n">
        <v>514.86</v>
      </c>
      <c r="L5097" s="21" t="n">
        <v>588.41</v>
      </c>
      <c r="M5097" s="21" t="n">
        <v>599</v>
      </c>
    </row>
    <row r="5098">
      <c r="A5098" s="9" t="inlineStr">
        <is>
          <t>HAIFENG</t>
        </is>
      </c>
      <c r="B5098" s="9" t="inlineStr">
        <is>
          <t>HAIFENG 16/06/2026</t>
        </is>
      </c>
      <c r="C5098" s="9" t="inlineStr">
        <is>
          <t>2026-06-16</t>
        </is>
      </c>
      <c r="D5098" s="9" t="inlineStr">
        <is>
          <t>67201534607245</t>
        </is>
      </c>
      <c r="E5098" s="9" t="inlineStr">
        <is>
          <t>COLLAR OPEN HEART GOLD</t>
        </is>
      </c>
      <c r="F5098" s="9" t="inlineStr">
        <is>
          <t>Default Title</t>
        </is>
      </c>
      <c r="G5098" s="9" t="n">
        <v>7</v>
      </c>
      <c r="H5098" s="21" t="n">
        <v>7</v>
      </c>
      <c r="I5098" s="21" t="n">
        <v>147.1</v>
      </c>
      <c r="J5098" s="21" t="n">
        <v>441.31</v>
      </c>
      <c r="K5098" s="21" t="n">
        <v>514.86</v>
      </c>
      <c r="L5098" s="21" t="n">
        <v>588.41</v>
      </c>
      <c r="M5098" s="21" t="n">
        <v>599</v>
      </c>
    </row>
    <row r="5099">
      <c r="A5099" s="9" t="inlineStr">
        <is>
          <t>HAIFENG</t>
        </is>
      </c>
      <c r="B5099" s="9" t="inlineStr">
        <is>
          <t>HAIFENG 16/06/2026</t>
        </is>
      </c>
      <c r="C5099" s="9" t="inlineStr">
        <is>
          <t>2026-06-16</t>
        </is>
      </c>
      <c r="D5099" s="9" t="inlineStr">
        <is>
          <t>REYNA</t>
        </is>
      </c>
      <c r="E5099" s="9" t="inlineStr">
        <is>
          <t>COLLAR OPEN HEART GOLD</t>
        </is>
      </c>
      <c r="F5099" s="9" t="inlineStr"/>
      <c r="G5099" s="9" t="n">
        <v>1</v>
      </c>
      <c r="H5099" s="21" t="n">
        <v>7</v>
      </c>
      <c r="I5099" s="21" t="n">
        <v>147.1</v>
      </c>
      <c r="J5099" s="21" t="n">
        <v>441.31</v>
      </c>
      <c r="K5099" s="21" t="n">
        <v>514.86</v>
      </c>
      <c r="L5099" s="21" t="n">
        <v>588.41</v>
      </c>
      <c r="M5099" s="21" t="n"/>
    </row>
    <row r="5100">
      <c r="A5100" s="9" t="inlineStr">
        <is>
          <t>HAIFENG</t>
        </is>
      </c>
      <c r="B5100" s="9" t="inlineStr">
        <is>
          <t>HAIFENG 16/06/2026</t>
        </is>
      </c>
      <c r="C5100" s="9" t="inlineStr">
        <is>
          <t>2026-06-16</t>
        </is>
      </c>
      <c r="D5100" s="9" t="inlineStr">
        <is>
          <t>15104862909421</t>
        </is>
      </c>
      <c r="E5100" s="9" t="inlineStr">
        <is>
          <t>COLLAR PANTHERE LISO GOLD</t>
        </is>
      </c>
      <c r="F5100" s="9" t="inlineStr">
        <is>
          <t>Default Title</t>
        </is>
      </c>
      <c r="G5100" s="9" t="n">
        <v>2</v>
      </c>
      <c r="H5100" s="21" t="n">
        <v>9</v>
      </c>
      <c r="I5100" s="21" t="n">
        <v>189.13</v>
      </c>
      <c r="J5100" s="21" t="n">
        <v>567.39</v>
      </c>
      <c r="K5100" s="21" t="n">
        <v>661.96</v>
      </c>
      <c r="L5100" s="21" t="n">
        <v>756.53</v>
      </c>
      <c r="M5100" s="21" t="n">
        <v>750</v>
      </c>
    </row>
    <row r="5101">
      <c r="A5101" s="9" t="inlineStr">
        <is>
          <t>HAIFENG</t>
        </is>
      </c>
      <c r="B5101" s="9" t="inlineStr">
        <is>
          <t>HAIFENG 16/06/2026</t>
        </is>
      </c>
      <c r="C5101" s="9" t="inlineStr">
        <is>
          <t>2026-06-16</t>
        </is>
      </c>
      <c r="D5101" s="9" t="inlineStr">
        <is>
          <t>66178423967c9</t>
        </is>
      </c>
      <c r="E5101" s="9" t="inlineStr">
        <is>
          <t>COLLAR SERPENTI CON ZIRCONIA</t>
        </is>
      </c>
      <c r="F5101" s="9" t="inlineStr">
        <is>
          <t>46cm</t>
        </is>
      </c>
      <c r="G5101" s="9" t="n">
        <v>2</v>
      </c>
      <c r="H5101" s="21" t="n">
        <v>32</v>
      </c>
      <c r="I5101" s="21" t="n">
        <v>672.47</v>
      </c>
      <c r="J5101" s="21" t="n">
        <v>2017.4</v>
      </c>
      <c r="K5101" s="21" t="n">
        <v>2353.64</v>
      </c>
      <c r="L5101" s="21" t="n">
        <v>2689.87</v>
      </c>
      <c r="M5101" s="21" t="n">
        <v>2650</v>
      </c>
    </row>
    <row r="5102">
      <c r="A5102" s="9" t="inlineStr">
        <is>
          <t>HAIFENG</t>
        </is>
      </c>
      <c r="B5102" s="9" t="inlineStr">
        <is>
          <t>HAIFENG 16/06/2026</t>
        </is>
      </c>
      <c r="C5102" s="9" t="inlineStr">
        <is>
          <t>2026-06-16</t>
        </is>
      </c>
      <c r="D5102" s="9" t="inlineStr">
        <is>
          <t>82014673288716</t>
        </is>
      </c>
      <c r="E5102" s="9" t="inlineStr">
        <is>
          <t>COLLAR SIXTEEN STONE</t>
        </is>
      </c>
      <c r="F5102" s="9" t="inlineStr">
        <is>
          <t>43cm con extensión de 5cm</t>
        </is>
      </c>
      <c r="G5102" s="9" t="n">
        <v>2</v>
      </c>
      <c r="H5102" s="21" t="n">
        <v>7.5</v>
      </c>
      <c r="I5102" s="21" t="n">
        <v>157.61</v>
      </c>
      <c r="J5102" s="21" t="n">
        <v>472.83</v>
      </c>
      <c r="K5102" s="21" t="n">
        <v>551.63</v>
      </c>
      <c r="L5102" s="21" t="n">
        <v>630.4400000000001</v>
      </c>
      <c r="M5102" s="21" t="n">
        <v>650</v>
      </c>
    </row>
    <row r="5103">
      <c r="A5103" s="9" t="inlineStr">
        <is>
          <t>HAIFENG</t>
        </is>
      </c>
      <c r="B5103" s="9" t="inlineStr">
        <is>
          <t>HAIFENG 16/06/2026</t>
        </is>
      </c>
      <c r="C5103" s="9" t="inlineStr">
        <is>
          <t>2026-06-16</t>
        </is>
      </c>
      <c r="D5103" s="9" t="inlineStr">
        <is>
          <t>43728086947500</t>
        </is>
      </c>
      <c r="E5103" s="9" t="inlineStr">
        <is>
          <t>COLLAR SIXTEEN STONE SILVER</t>
        </is>
      </c>
      <c r="F5103" s="9" t="inlineStr">
        <is>
          <t>44.5cm de largo con extensión de 4cm</t>
        </is>
      </c>
      <c r="G5103" s="9" t="n">
        <v>2</v>
      </c>
      <c r="H5103" s="21" t="n">
        <v>6</v>
      </c>
      <c r="I5103" s="21" t="n">
        <v>126.09</v>
      </c>
      <c r="J5103" s="21" t="n">
        <v>378.26</v>
      </c>
      <c r="K5103" s="21" t="n">
        <v>441.31</v>
      </c>
      <c r="L5103" s="21" t="n">
        <v>504.35</v>
      </c>
      <c r="M5103" s="21" t="n">
        <v>499</v>
      </c>
    </row>
    <row r="5104">
      <c r="A5104" s="9" t="inlineStr">
        <is>
          <t>HAIFENG</t>
        </is>
      </c>
      <c r="B5104" s="9" t="inlineStr">
        <is>
          <t>HAIFENG 16/06/2026</t>
        </is>
      </c>
      <c r="C5104" s="9" t="inlineStr">
        <is>
          <t>2026-06-16</t>
        </is>
      </c>
      <c r="D5104" s="9" t="inlineStr">
        <is>
          <t>63e0bf8dbe95e</t>
        </is>
      </c>
      <c r="E5104" s="9" t="inlineStr">
        <is>
          <t>COLLAR SMILE DORADO</t>
        </is>
      </c>
      <c r="F5104" s="9" t="inlineStr">
        <is>
          <t>MEDIUM</t>
        </is>
      </c>
      <c r="G5104" s="9" t="n">
        <v>10</v>
      </c>
      <c r="H5104" s="21" t="n">
        <v>3.8</v>
      </c>
      <c r="I5104" s="21" t="n">
        <v>79.86</v>
      </c>
      <c r="J5104" s="21" t="n">
        <v>239.57</v>
      </c>
      <c r="K5104" s="21" t="n">
        <v>279.49</v>
      </c>
      <c r="L5104" s="21" t="n">
        <v>319.42</v>
      </c>
      <c r="M5104" s="21" t="n">
        <v>460</v>
      </c>
    </row>
    <row r="5105">
      <c r="A5105" s="9" t="inlineStr">
        <is>
          <t>HAIFENG</t>
        </is>
      </c>
      <c r="B5105" s="9" t="inlineStr">
        <is>
          <t>HAIFENG 16/06/2026</t>
        </is>
      </c>
      <c r="C5105" s="9" t="inlineStr">
        <is>
          <t>2026-06-16</t>
        </is>
      </c>
      <c r="D5105" s="9" t="inlineStr">
        <is>
          <t>668eee443df70</t>
        </is>
      </c>
      <c r="E5105" s="9" t="inlineStr">
        <is>
          <t>COLLAR SMILE SILVER</t>
        </is>
      </c>
      <c r="F5105" s="9" t="inlineStr">
        <is>
          <t>Cadena ajustable de 40.6 a 45.7 cm</t>
        </is>
      </c>
      <c r="G5105" s="9" t="n">
        <v>8</v>
      </c>
      <c r="H5105" s="21" t="n">
        <v>3.8</v>
      </c>
      <c r="I5105" s="21" t="n">
        <v>79.86</v>
      </c>
      <c r="J5105" s="21" t="n">
        <v>239.57</v>
      </c>
      <c r="K5105" s="21" t="n">
        <v>279.49</v>
      </c>
      <c r="L5105" s="21" t="n">
        <v>319.42</v>
      </c>
      <c r="M5105" s="21" t="n">
        <v>460</v>
      </c>
    </row>
    <row r="5106">
      <c r="A5106" s="9" t="inlineStr">
        <is>
          <t>HAIFENG</t>
        </is>
      </c>
      <c r="B5106" s="9" t="inlineStr">
        <is>
          <t>HAIFENG 16/06/2026</t>
        </is>
      </c>
      <c r="C5106" s="9" t="inlineStr">
        <is>
          <t>2026-06-16</t>
        </is>
      </c>
      <c r="D5106" s="9" t="inlineStr">
        <is>
          <t>40154171040653</t>
        </is>
      </c>
      <c r="E5106" s="9" t="inlineStr">
        <is>
          <t>COLLAR T OPEN HEART PERETTI</t>
        </is>
      </c>
      <c r="F5106" s="9" t="inlineStr">
        <is>
          <t>Default Title</t>
        </is>
      </c>
      <c r="G5106" s="9" t="n">
        <v>2</v>
      </c>
      <c r="H5106" s="21" t="n">
        <v>10</v>
      </c>
      <c r="I5106" s="21" t="n">
        <v>210.15</v>
      </c>
      <c r="J5106" s="21" t="n">
        <v>630.4400000000001</v>
      </c>
      <c r="K5106" s="21" t="n">
        <v>735.51</v>
      </c>
      <c r="L5106" s="21" t="n">
        <v>840.58</v>
      </c>
      <c r="M5106" s="21" t="n">
        <v>850</v>
      </c>
    </row>
    <row r="5107">
      <c r="A5107" s="9" t="inlineStr">
        <is>
          <t>HAIFENG</t>
        </is>
      </c>
      <c r="B5107" s="9" t="inlineStr">
        <is>
          <t>HAIFENG 16/06/2026</t>
        </is>
      </c>
      <c r="C5107" s="9" t="inlineStr">
        <is>
          <t>2026-06-16</t>
        </is>
      </c>
      <c r="D5107" s="9" t="inlineStr">
        <is>
          <t>84158211070285</t>
        </is>
      </c>
      <c r="E5107" s="9" t="inlineStr">
        <is>
          <t>COLLAR TREBOL ROSEGOLD-RED</t>
        </is>
      </c>
      <c r="F5107" s="9" t="inlineStr">
        <is>
          <t>High Quality 43cm y dije 10mm</t>
        </is>
      </c>
      <c r="G5107" s="9" t="n">
        <v>2</v>
      </c>
      <c r="H5107" s="21" t="n">
        <v>4</v>
      </c>
      <c r="I5107" s="21" t="n">
        <v>84.06</v>
      </c>
      <c r="J5107" s="21" t="n">
        <v>252.18</v>
      </c>
      <c r="K5107" s="21" t="n">
        <v>294.2</v>
      </c>
      <c r="L5107" s="21" t="n">
        <v>336.23</v>
      </c>
      <c r="M5107" s="21" t="n">
        <v>599</v>
      </c>
    </row>
    <row r="5108">
      <c r="A5108" s="9" t="inlineStr">
        <is>
          <t>HAIFENG</t>
        </is>
      </c>
      <c r="B5108" s="9" t="inlineStr">
        <is>
          <t>HAIFENG 16/06/2026</t>
        </is>
      </c>
      <c r="C5108" s="9" t="inlineStr">
        <is>
          <t>2026-06-16</t>
        </is>
      </c>
      <c r="D5108" s="9" t="inlineStr">
        <is>
          <t>66177b50c9a71</t>
        </is>
      </c>
      <c r="E5108" s="9" t="inlineStr">
        <is>
          <t>COLLAR TRÉBOL BLACK-GOLD</t>
        </is>
      </c>
      <c r="F5108" s="9" t="inlineStr">
        <is>
          <t>HIGH QUALITY (45CM)</t>
        </is>
      </c>
      <c r="G5108" s="9" t="n">
        <v>3</v>
      </c>
      <c r="H5108" s="21" t="n">
        <v>4</v>
      </c>
      <c r="I5108" s="21" t="n">
        <v>84.06</v>
      </c>
      <c r="J5108" s="21" t="n">
        <v>252.18</v>
      </c>
      <c r="K5108" s="21" t="n">
        <v>294.2</v>
      </c>
      <c r="L5108" s="21" t="n">
        <v>336.23</v>
      </c>
      <c r="M5108" s="21" t="n">
        <v>550</v>
      </c>
    </row>
    <row r="5109">
      <c r="A5109" s="9" t="inlineStr">
        <is>
          <t>HAIFENG</t>
        </is>
      </c>
      <c r="B5109" s="9" t="inlineStr">
        <is>
          <t>HAIFENG 16/06/2026</t>
        </is>
      </c>
      <c r="C5109" s="9" t="inlineStr">
        <is>
          <t>2026-06-16</t>
        </is>
      </c>
      <c r="D5109" s="9" t="inlineStr">
        <is>
          <t>648cc5bf129eb</t>
        </is>
      </c>
      <c r="E5109" s="9" t="inlineStr">
        <is>
          <t>COLLAR TRÉBOL GOLD</t>
        </is>
      </c>
      <c r="F5109" s="9" t="inlineStr">
        <is>
          <t>41cm con extension de 3cm</t>
        </is>
      </c>
      <c r="G5109" s="9" t="n">
        <v>8</v>
      </c>
      <c r="H5109" s="21" t="n">
        <v>4</v>
      </c>
      <c r="I5109" s="21" t="n">
        <v>84.06</v>
      </c>
      <c r="J5109" s="21" t="n">
        <v>252.18</v>
      </c>
      <c r="K5109" s="21" t="n">
        <v>294.2</v>
      </c>
      <c r="L5109" s="21" t="n">
        <v>336.23</v>
      </c>
      <c r="M5109" s="21" t="n">
        <v>550</v>
      </c>
    </row>
    <row r="5110">
      <c r="A5110" s="9" t="inlineStr">
        <is>
          <t>HAIFENG</t>
        </is>
      </c>
      <c r="B5110" s="9" t="inlineStr">
        <is>
          <t>HAIFENG 16/06/2026</t>
        </is>
      </c>
      <c r="C5110" s="9" t="inlineStr">
        <is>
          <t>2026-06-16</t>
        </is>
      </c>
      <c r="D5110" s="9" t="inlineStr">
        <is>
          <t>66177b4581060</t>
        </is>
      </c>
      <c r="E5110" s="9" t="inlineStr">
        <is>
          <t>COLLAR TRÉBOL GOLD-GREEN</t>
        </is>
      </c>
      <c r="F5110" s="9" t="inlineStr">
        <is>
          <t>(45CM)</t>
        </is>
      </c>
      <c r="G5110" s="9" t="n">
        <v>2</v>
      </c>
      <c r="H5110" s="21" t="n">
        <v>4</v>
      </c>
      <c r="I5110" s="21" t="n">
        <v>84.06</v>
      </c>
      <c r="J5110" s="21" t="n">
        <v>252.18</v>
      </c>
      <c r="K5110" s="21" t="n">
        <v>294.2</v>
      </c>
      <c r="L5110" s="21" t="n">
        <v>336.23</v>
      </c>
      <c r="M5110" s="21" t="n">
        <v>550</v>
      </c>
    </row>
    <row r="5111">
      <c r="A5111" s="9" t="inlineStr">
        <is>
          <t>HAIFENG</t>
        </is>
      </c>
      <c r="B5111" s="9" t="inlineStr">
        <is>
          <t>HAIFENG 16/06/2026</t>
        </is>
      </c>
      <c r="C5111" s="9" t="inlineStr">
        <is>
          <t>2026-06-16</t>
        </is>
      </c>
      <c r="D5111" s="9" t="inlineStr">
        <is>
          <t>77216891573644</t>
        </is>
      </c>
      <c r="E5111" s="9" t="inlineStr">
        <is>
          <t>GARGANTILLA SIXTEEN STONE</t>
        </is>
      </c>
      <c r="F5111" s="9" t="inlineStr">
        <is>
          <t>42cm</t>
        </is>
      </c>
      <c r="G5111" s="9" t="n">
        <v>2</v>
      </c>
      <c r="H5111" s="21" t="n">
        <v>25</v>
      </c>
      <c r="I5111" s="21" t="n">
        <v>525.37</v>
      </c>
      <c r="J5111" s="21" t="n">
        <v>1576.1</v>
      </c>
      <c r="K5111" s="21" t="n">
        <v>1838.78</v>
      </c>
      <c r="L5111" s="21" t="n">
        <v>2101.46</v>
      </c>
      <c r="M5111" s="21" t="n">
        <v>2099</v>
      </c>
    </row>
    <row r="5112">
      <c r="A5112" s="9" t="inlineStr">
        <is>
          <t>HAIFENG</t>
        </is>
      </c>
      <c r="B5112" s="9" t="inlineStr">
        <is>
          <t>HAIFENG 16/06/2026</t>
        </is>
      </c>
      <c r="C5112" s="9" t="inlineStr">
        <is>
          <t>2026-06-16</t>
        </is>
      </c>
      <c r="D5112" s="9" t="inlineStr">
        <is>
          <t>22064322217229</t>
        </is>
      </c>
      <c r="E5112" s="9" t="inlineStr">
        <is>
          <t>LENTES F LOGO</t>
        </is>
      </c>
      <c r="F5112" s="9" t="inlineStr">
        <is>
          <t>Default Title</t>
        </is>
      </c>
      <c r="G5112" s="9" t="n">
        <v>2</v>
      </c>
      <c r="H5112" s="21" t="n">
        <v>30</v>
      </c>
      <c r="I5112" s="21" t="n">
        <v>630.4400000000001</v>
      </c>
      <c r="J5112" s="21" t="n">
        <v>1891.31</v>
      </c>
      <c r="K5112" s="21" t="n">
        <v>2206.53</v>
      </c>
      <c r="L5112" s="21" t="n">
        <v>2521.75</v>
      </c>
      <c r="M5112" s="21" t="n">
        <v>2500</v>
      </c>
    </row>
    <row r="5113">
      <c r="A5113" s="9" t="inlineStr">
        <is>
          <t>HAIFENG</t>
        </is>
      </c>
      <c r="B5113" s="9" t="inlineStr">
        <is>
          <t>HAIFENG 16/06/2026</t>
        </is>
      </c>
      <c r="C5113" s="9" t="inlineStr">
        <is>
          <t>2026-06-16</t>
        </is>
      </c>
      <c r="D5113" s="9" t="inlineStr">
        <is>
          <t>22064322363565</t>
        </is>
      </c>
      <c r="E5113" s="9" t="inlineStr">
        <is>
          <t>LENTES LV SQUARE</t>
        </is>
      </c>
      <c r="F5113" s="9" t="inlineStr">
        <is>
          <t>Default Title</t>
        </is>
      </c>
      <c r="G5113" s="9" t="n">
        <v>2</v>
      </c>
      <c r="H5113" s="21" t="n"/>
      <c r="I5113" s="21" t="n">
        <v>0</v>
      </c>
      <c r="J5113" s="21" t="n">
        <v>0</v>
      </c>
      <c r="K5113" s="21" t="n">
        <v>0</v>
      </c>
      <c r="L5113" s="21" t="n">
        <v>0</v>
      </c>
      <c r="M5113" s="21" t="n">
        <v>4799</v>
      </c>
    </row>
    <row r="5114">
      <c r="A5114" s="9" t="inlineStr">
        <is>
          <t>HAIFENG</t>
        </is>
      </c>
      <c r="B5114" s="9" t="inlineStr">
        <is>
          <t>HAIFENG 16/06/2026</t>
        </is>
      </c>
      <c r="C5114" s="9" t="inlineStr">
        <is>
          <t>2026-06-16</t>
        </is>
      </c>
      <c r="D5114" s="9" t="inlineStr">
        <is>
          <t>22064322466957</t>
        </is>
      </c>
      <c r="E5114" s="9" t="inlineStr">
        <is>
          <t>LENTES MM RUNWAY</t>
        </is>
      </c>
      <c r="F5114" s="9" t="inlineStr">
        <is>
          <t>Default Title</t>
        </is>
      </c>
      <c r="G5114" s="9" t="n">
        <v>2</v>
      </c>
      <c r="H5114" s="21" t="n">
        <v>35</v>
      </c>
      <c r="I5114" s="21" t="n">
        <v>735.51</v>
      </c>
      <c r="J5114" s="21" t="n">
        <v>2206.53</v>
      </c>
      <c r="K5114" s="21" t="n">
        <v>2574.29</v>
      </c>
      <c r="L5114" s="21" t="n">
        <v>2942.04</v>
      </c>
      <c r="M5114" s="21" t="n">
        <v>2899</v>
      </c>
    </row>
    <row r="5115">
      <c r="A5115" s="9" t="inlineStr">
        <is>
          <t>HAIFENG</t>
        </is>
      </c>
      <c r="B5115" s="9" t="inlineStr">
        <is>
          <t>HAIFENG 16/06/2026</t>
        </is>
      </c>
      <c r="C5115" s="9" t="inlineStr">
        <is>
          <t>2026-06-16</t>
        </is>
      </c>
      <c r="D5115" s="9" t="inlineStr">
        <is>
          <t>67201531422989</t>
        </is>
      </c>
      <c r="E5115" s="9" t="inlineStr">
        <is>
          <t>LENTES TRIOMPHE C BROWN</t>
        </is>
      </c>
      <c r="F5115" s="9" t="inlineStr">
        <is>
          <t>Brown</t>
        </is>
      </c>
      <c r="G5115" s="9" t="n">
        <v>2</v>
      </c>
      <c r="H5115" s="21" t="n"/>
      <c r="I5115" s="21" t="n">
        <v>0</v>
      </c>
      <c r="J5115" s="21" t="n">
        <v>0</v>
      </c>
      <c r="K5115" s="21" t="n">
        <v>0</v>
      </c>
      <c r="L5115" s="21" t="n">
        <v>0</v>
      </c>
      <c r="M5115" s="21" t="n">
        <v>2699</v>
      </c>
    </row>
    <row r="5116">
      <c r="A5116" s="9" t="inlineStr">
        <is>
          <t>HAIFENG</t>
        </is>
      </c>
      <c r="B5116" s="9" t="inlineStr">
        <is>
          <t>HAIFENG 16/06/2026</t>
        </is>
      </c>
      <c r="C5116" s="9" t="inlineStr">
        <is>
          <t>2026-06-16</t>
        </is>
      </c>
      <c r="D5116" s="9" t="inlineStr">
        <is>
          <t>26487151099425</t>
        </is>
      </c>
      <c r="E5116" s="9" t="inlineStr">
        <is>
          <t>PULSERA BEAN GOLD</t>
        </is>
      </c>
      <c r="F5116" s="9" t="inlineStr">
        <is>
          <t>16 CM</t>
        </is>
      </c>
      <c r="G5116" s="9" t="n">
        <v>3</v>
      </c>
      <c r="H5116" s="21" t="n">
        <v>7.5</v>
      </c>
      <c r="I5116" s="21" t="n">
        <v>157.61</v>
      </c>
      <c r="J5116" s="21" t="n">
        <v>472.83</v>
      </c>
      <c r="K5116" s="21" t="n">
        <v>551.63</v>
      </c>
      <c r="L5116" s="21" t="n">
        <v>630.4400000000001</v>
      </c>
      <c r="M5116" s="21" t="n">
        <v>650</v>
      </c>
    </row>
    <row r="5117">
      <c r="A5117" s="9" t="inlineStr">
        <is>
          <t>HAIFENG</t>
        </is>
      </c>
      <c r="B5117" s="9" t="inlineStr">
        <is>
          <t>HAIFENG 16/06/2026</t>
        </is>
      </c>
      <c r="C5117" s="9" t="inlineStr">
        <is>
          <t>2026-06-16</t>
        </is>
      </c>
      <c r="D5117" s="9" t="inlineStr">
        <is>
          <t>72293841002509</t>
        </is>
      </c>
      <c r="E5117" s="9" t="inlineStr">
        <is>
          <t>PULSERA BV ROSEGOLD CON ZIRCONIA</t>
        </is>
      </c>
      <c r="F5117" s="9" t="inlineStr">
        <is>
          <t>Default Title</t>
        </is>
      </c>
      <c r="G5117" s="9" t="n">
        <v>1</v>
      </c>
      <c r="H5117" s="21" t="n">
        <v>7</v>
      </c>
      <c r="I5117" s="21" t="n">
        <v>147.1</v>
      </c>
      <c r="J5117" s="21" t="n">
        <v>441.31</v>
      </c>
      <c r="K5117" s="21" t="n">
        <v>514.86</v>
      </c>
      <c r="L5117" s="21" t="n">
        <v>588.41</v>
      </c>
      <c r="M5117" s="21" t="n">
        <v>599</v>
      </c>
    </row>
    <row r="5118">
      <c r="A5118" s="9" t="inlineStr">
        <is>
          <t>HAIFENG</t>
        </is>
      </c>
      <c r="B5118" s="9" t="inlineStr">
        <is>
          <t>HAIFENG 16/06/2026</t>
        </is>
      </c>
      <c r="C5118" s="9" t="inlineStr">
        <is>
          <t>2026-06-16</t>
        </is>
      </c>
      <c r="D5118" s="9" t="inlineStr">
        <is>
          <t>31078753113261</t>
        </is>
      </c>
      <c r="E5118" s="9" t="inlineStr">
        <is>
          <t>PULSERA BV.ZERO GAPS GOLD</t>
        </is>
      </c>
      <c r="F5118" s="9" t="inlineStr">
        <is>
          <t>Default Title</t>
        </is>
      </c>
      <c r="G5118" s="9" t="n">
        <v>2</v>
      </c>
      <c r="H5118" s="21" t="n">
        <v>8.5</v>
      </c>
      <c r="I5118" s="21" t="n">
        <v>178.62</v>
      </c>
      <c r="J5118" s="21" t="n">
        <v>535.87</v>
      </c>
      <c r="K5118" s="21" t="n">
        <v>625.1799999999999</v>
      </c>
      <c r="L5118" s="21" t="n">
        <v>714.5</v>
      </c>
      <c r="M5118" s="21" t="n">
        <v>720</v>
      </c>
    </row>
    <row r="5119">
      <c r="A5119" s="9" t="inlineStr">
        <is>
          <t>HAIFENG</t>
        </is>
      </c>
      <c r="B5119" s="9" t="inlineStr">
        <is>
          <t>HAIFENG 16/06/2026</t>
        </is>
      </c>
      <c r="C5119" s="9" t="inlineStr">
        <is>
          <t>2026-06-16</t>
        </is>
      </c>
      <c r="D5119" s="9" t="inlineStr">
        <is>
          <t>81078753280493</t>
        </is>
      </c>
      <c r="E5119" s="9" t="inlineStr">
        <is>
          <t>PULSERA BV.ZERO GAPS SILVER</t>
        </is>
      </c>
      <c r="F5119" s="9" t="inlineStr">
        <is>
          <t>Default Title</t>
        </is>
      </c>
      <c r="G5119" s="9" t="n">
        <v>3</v>
      </c>
      <c r="H5119" s="21" t="n">
        <v>8.5</v>
      </c>
      <c r="I5119" s="21" t="n">
        <v>178.62</v>
      </c>
      <c r="J5119" s="21" t="n">
        <v>535.87</v>
      </c>
      <c r="K5119" s="21" t="n">
        <v>625.1799999999999</v>
      </c>
      <c r="L5119" s="21" t="n">
        <v>714.5</v>
      </c>
      <c r="M5119" s="21" t="n">
        <v>720</v>
      </c>
    </row>
    <row r="5120">
      <c r="A5120" s="9" t="inlineStr">
        <is>
          <t>HAIFENG</t>
        </is>
      </c>
      <c r="B5120" s="9" t="inlineStr">
        <is>
          <t>HAIFENG 16/06/2026</t>
        </is>
      </c>
      <c r="C5120" s="9" t="inlineStr">
        <is>
          <t>2026-06-16</t>
        </is>
      </c>
      <c r="D5120" s="9" t="inlineStr">
        <is>
          <t>71078751862733</t>
        </is>
      </c>
      <c r="E5120" s="9" t="inlineStr">
        <is>
          <t>PULSERA C GOLD DOBLE PEARL</t>
        </is>
      </c>
      <c r="F5120" s="9" t="inlineStr">
        <is>
          <t>Default Title</t>
        </is>
      </c>
      <c r="G5120" s="9" t="n">
        <v>2</v>
      </c>
      <c r="H5120" s="21" t="n">
        <v>9.99</v>
      </c>
      <c r="I5120" s="21" t="n">
        <v>209.94</v>
      </c>
      <c r="J5120" s="21" t="n">
        <v>629.8099999999999</v>
      </c>
      <c r="K5120" s="21" t="n">
        <v>734.78</v>
      </c>
      <c r="L5120" s="21" t="n">
        <v>839.74</v>
      </c>
      <c r="M5120" s="21" t="n">
        <v>741.6</v>
      </c>
    </row>
    <row r="5121">
      <c r="A5121" s="9" t="inlineStr">
        <is>
          <t>HAIFENG</t>
        </is>
      </c>
      <c r="B5121" s="9" t="inlineStr">
        <is>
          <t>HAIFENG 16/06/2026</t>
        </is>
      </c>
      <c r="C5121" s="9" t="inlineStr">
        <is>
          <t>2026-06-16</t>
        </is>
      </c>
      <c r="D5121" s="9" t="inlineStr">
        <is>
          <t>29736661383277</t>
        </is>
      </c>
      <c r="E5121" s="9" t="inlineStr">
        <is>
          <t>PULSERA CD PETIT CIRCLE GOLD</t>
        </is>
      </c>
      <c r="F5121" s="9" t="inlineStr">
        <is>
          <t>Default Title</t>
        </is>
      </c>
      <c r="G5121" s="9" t="n">
        <v>2</v>
      </c>
      <c r="H5121" s="21" t="n">
        <v>7</v>
      </c>
      <c r="I5121" s="21" t="n">
        <v>147.1</v>
      </c>
      <c r="J5121" s="21" t="n">
        <v>441.31</v>
      </c>
      <c r="K5121" s="21" t="n">
        <v>514.86</v>
      </c>
      <c r="L5121" s="21" t="n">
        <v>588.41</v>
      </c>
      <c r="M5121" s="21" t="n">
        <v>580</v>
      </c>
    </row>
    <row r="5122">
      <c r="A5122" s="9" t="inlineStr">
        <is>
          <t>HAIFENG</t>
        </is>
      </c>
      <c r="B5122" s="9" t="inlineStr">
        <is>
          <t>HAIFENG 16/06/2026</t>
        </is>
      </c>
      <c r="C5122" s="9" t="inlineStr">
        <is>
          <t>2026-06-16</t>
        </is>
      </c>
      <c r="D5122" s="9" t="inlineStr">
        <is>
          <t>29736661267949</t>
        </is>
      </c>
      <c r="E5122" s="9" t="inlineStr">
        <is>
          <t>PULSERA CD PETIT JOLIE METAL GOLD</t>
        </is>
      </c>
      <c r="F5122" s="9" t="inlineStr">
        <is>
          <t>Default Title</t>
        </is>
      </c>
      <c r="G5122" s="9" t="n">
        <v>5</v>
      </c>
      <c r="H5122" s="21" t="n">
        <v>10</v>
      </c>
      <c r="I5122" s="21" t="n">
        <v>210.15</v>
      </c>
      <c r="J5122" s="21" t="n">
        <v>630.4400000000001</v>
      </c>
      <c r="K5122" s="21" t="n">
        <v>735.51</v>
      </c>
      <c r="L5122" s="21" t="n">
        <v>840.58</v>
      </c>
      <c r="M5122" s="21" t="n">
        <v>850</v>
      </c>
    </row>
    <row r="5123">
      <c r="A5123" s="9" t="inlineStr">
        <is>
          <t>HAIFENG</t>
        </is>
      </c>
      <c r="B5123" s="9" t="inlineStr">
        <is>
          <t>HAIFENG 16/06/2026</t>
        </is>
      </c>
      <c r="C5123" s="9" t="inlineStr">
        <is>
          <t>2026-06-16</t>
        </is>
      </c>
      <c r="D5123" s="9" t="inlineStr">
        <is>
          <t>40154171618669</t>
        </is>
      </c>
      <c r="E5123" s="9" t="inlineStr">
        <is>
          <t>PULSERA CLAIRE D LUNE DOBLE SILVER</t>
        </is>
      </c>
      <c r="F5123" s="9" t="inlineStr">
        <is>
          <t>Default Title</t>
        </is>
      </c>
      <c r="G5123" s="9" t="n">
        <v>3</v>
      </c>
      <c r="H5123" s="21" t="n">
        <v>6</v>
      </c>
      <c r="I5123" s="21" t="n">
        <v>126.09</v>
      </c>
      <c r="J5123" s="21" t="n">
        <v>378.26</v>
      </c>
      <c r="K5123" s="21" t="n">
        <v>441.31</v>
      </c>
      <c r="L5123" s="21" t="n">
        <v>504.35</v>
      </c>
      <c r="M5123" s="21" t="n">
        <v>499</v>
      </c>
    </row>
    <row r="5124">
      <c r="A5124" s="9" t="inlineStr">
        <is>
          <t>HAIFENG</t>
        </is>
      </c>
      <c r="B5124" s="9" t="inlineStr">
        <is>
          <t>HAIFENG 16/06/2026</t>
        </is>
      </c>
      <c r="C5124" s="9" t="inlineStr">
        <is>
          <t>2026-06-16</t>
        </is>
      </c>
      <c r="D5124" s="9" t="inlineStr">
        <is>
          <t>63e0c23442e74</t>
        </is>
      </c>
      <c r="E5124" s="9" t="inlineStr">
        <is>
          <t>PULSERA CLIC H GOLD BLACK</t>
        </is>
      </c>
      <c r="F5124" s="9" t="inlineStr">
        <is>
          <t>16.8 cm</t>
        </is>
      </c>
      <c r="G5124" s="9" t="n">
        <v>2</v>
      </c>
      <c r="H5124" s="21" t="n">
        <v>5</v>
      </c>
      <c r="I5124" s="21" t="n">
        <v>105.07</v>
      </c>
      <c r="J5124" s="21" t="n">
        <v>315.22</v>
      </c>
      <c r="K5124" s="21" t="n">
        <v>367.76</v>
      </c>
      <c r="L5124" s="21" t="n">
        <v>420.29</v>
      </c>
      <c r="M5124" s="21" t="n">
        <v>569</v>
      </c>
    </row>
    <row r="5125">
      <c r="A5125" s="9" t="inlineStr">
        <is>
          <t>HAIFENG</t>
        </is>
      </c>
      <c r="B5125" s="9" t="inlineStr">
        <is>
          <t>HAIFENG 16/06/2026</t>
        </is>
      </c>
      <c r="C5125" s="9" t="inlineStr">
        <is>
          <t>2026-06-16</t>
        </is>
      </c>
      <c r="D5125" s="9" t="inlineStr">
        <is>
          <t>63e0c2310d7f4</t>
        </is>
      </c>
      <c r="E5125" s="9" t="inlineStr">
        <is>
          <t>PULSERA CLIC H SILVER WHITE</t>
        </is>
      </c>
      <c r="F5125" s="9" t="inlineStr">
        <is>
          <t>16.8 cm</t>
        </is>
      </c>
      <c r="G5125" s="9" t="n">
        <v>4</v>
      </c>
      <c r="H5125" s="21" t="n">
        <v>5</v>
      </c>
      <c r="I5125" s="21" t="n">
        <v>105.07</v>
      </c>
      <c r="J5125" s="21" t="n">
        <v>315.22</v>
      </c>
      <c r="K5125" s="21" t="n">
        <v>367.76</v>
      </c>
      <c r="L5125" s="21" t="n">
        <v>420.29</v>
      </c>
      <c r="M5125" s="21" t="n">
        <v>569</v>
      </c>
    </row>
    <row r="5126">
      <c r="A5126" s="9" t="inlineStr">
        <is>
          <t>HAIFENG</t>
        </is>
      </c>
      <c r="B5126" s="9" t="inlineStr">
        <is>
          <t>HAIFENG 16/06/2026</t>
        </is>
      </c>
      <c r="C5126" s="9" t="inlineStr">
        <is>
          <t>2026-06-16</t>
        </is>
      </c>
      <c r="D5126" s="9" t="inlineStr">
        <is>
          <t>BARBARA</t>
        </is>
      </c>
      <c r="E5126" s="9" t="inlineStr">
        <is>
          <t>PULSERA CON INSIGNIA DE MOÑO SILVER</t>
        </is>
      </c>
      <c r="F5126" s="9" t="inlineStr"/>
      <c r="G5126" s="9" t="n">
        <v>1</v>
      </c>
      <c r="H5126" s="21" t="n">
        <v>5</v>
      </c>
      <c r="I5126" s="21" t="n">
        <v>105.07</v>
      </c>
      <c r="J5126" s="21" t="n">
        <v>315.22</v>
      </c>
      <c r="K5126" s="21" t="n">
        <v>367.76</v>
      </c>
      <c r="L5126" s="21" t="n">
        <v>420.29</v>
      </c>
      <c r="M5126" s="21" t="n"/>
    </row>
    <row r="5127">
      <c r="A5127" s="9" t="inlineStr">
        <is>
          <t>HAIFENG</t>
        </is>
      </c>
      <c r="B5127" s="9" t="inlineStr">
        <is>
          <t>HAIFENG 16/06/2026</t>
        </is>
      </c>
      <c r="C5127" s="9" t="inlineStr">
        <is>
          <t>2026-06-16</t>
        </is>
      </c>
      <c r="D5127" s="9" t="inlineStr">
        <is>
          <t>668eee357952c</t>
        </is>
      </c>
      <c r="E5127" s="9" t="inlineStr">
        <is>
          <t>PULSERA DE CUENTAS CON INSIGNIA DE CORAZÓN BLUE</t>
        </is>
      </c>
      <c r="F5127" s="9" t="inlineStr">
        <is>
          <t>17 cm</t>
        </is>
      </c>
      <c r="G5127" s="9" t="n">
        <v>10</v>
      </c>
      <c r="H5127" s="21" t="n">
        <v>5</v>
      </c>
      <c r="I5127" s="21" t="n">
        <v>105.07</v>
      </c>
      <c r="J5127" s="21" t="n">
        <v>315.22</v>
      </c>
      <c r="K5127" s="21" t="n">
        <v>367.76</v>
      </c>
      <c r="L5127" s="21" t="n">
        <v>420.29</v>
      </c>
      <c r="M5127" s="21" t="n">
        <v>550</v>
      </c>
    </row>
    <row r="5128">
      <c r="A5128" s="9" t="inlineStr">
        <is>
          <t>HAIFENG</t>
        </is>
      </c>
      <c r="B5128" s="9" t="inlineStr">
        <is>
          <t>HAIFENG 16/06/2026</t>
        </is>
      </c>
      <c r="C5128" s="9" t="inlineStr">
        <is>
          <t>2026-06-16</t>
        </is>
      </c>
      <c r="D5128" s="9" t="inlineStr">
        <is>
          <t>668eee34bc314</t>
        </is>
      </c>
      <c r="E5128" s="9" t="inlineStr">
        <is>
          <t>PULSERA DE CUENTAS CON INSIGNIA DE CORAZÓN BLUE</t>
        </is>
      </c>
      <c r="F5128" s="9" t="inlineStr">
        <is>
          <t>16 cm</t>
        </is>
      </c>
      <c r="G5128" s="9" t="n">
        <v>10</v>
      </c>
      <c r="H5128" s="21" t="n">
        <v>5</v>
      </c>
      <c r="I5128" s="21" t="n">
        <v>105.07</v>
      </c>
      <c r="J5128" s="21" t="n">
        <v>315.22</v>
      </c>
      <c r="K5128" s="21" t="n">
        <v>367.76</v>
      </c>
      <c r="L5128" s="21" t="n">
        <v>420.29</v>
      </c>
      <c r="M5128" s="21" t="n">
        <v>550</v>
      </c>
    </row>
    <row r="5129">
      <c r="A5129" s="9" t="inlineStr">
        <is>
          <t>HAIFENG</t>
        </is>
      </c>
      <c r="B5129" s="9" t="inlineStr">
        <is>
          <t>HAIFENG 16/06/2026</t>
        </is>
      </c>
      <c r="C5129" s="9" t="inlineStr">
        <is>
          <t>2026-06-16</t>
        </is>
      </c>
      <c r="D5129" s="9" t="inlineStr">
        <is>
          <t>668eee360a47c</t>
        </is>
      </c>
      <c r="E5129" s="9" t="inlineStr">
        <is>
          <t>PULSERA DE CUENTAS CON INSIGNIA DE CORAZÓN BLUE</t>
        </is>
      </c>
      <c r="F5129" s="9" t="inlineStr">
        <is>
          <t>18 cm</t>
        </is>
      </c>
      <c r="G5129" s="9" t="n">
        <v>8</v>
      </c>
      <c r="H5129" s="21" t="n">
        <v>5</v>
      </c>
      <c r="I5129" s="21" t="n">
        <v>105.07</v>
      </c>
      <c r="J5129" s="21" t="n">
        <v>315.22</v>
      </c>
      <c r="K5129" s="21" t="n">
        <v>367.76</v>
      </c>
      <c r="L5129" s="21" t="n">
        <v>420.29</v>
      </c>
      <c r="M5129" s="21" t="n">
        <v>550</v>
      </c>
    </row>
    <row r="5130">
      <c r="A5130" s="9" t="inlineStr">
        <is>
          <t>HAIFENG</t>
        </is>
      </c>
      <c r="B5130" s="9" t="inlineStr">
        <is>
          <t>HAIFENG 16/06/2026</t>
        </is>
      </c>
      <c r="C5130" s="9" t="inlineStr">
        <is>
          <t>2026-06-16</t>
        </is>
      </c>
      <c r="D5130" s="9" t="inlineStr">
        <is>
          <t>668eee369b9c1</t>
        </is>
      </c>
      <c r="E5130" s="9" t="inlineStr">
        <is>
          <t>PULSERA DE CUENTAS CON INSIGNIA DE CORAZÓN BLUE</t>
        </is>
      </c>
      <c r="F5130" s="9" t="inlineStr">
        <is>
          <t>19 cm</t>
        </is>
      </c>
      <c r="G5130" s="9" t="n">
        <v>2</v>
      </c>
      <c r="H5130" s="21" t="n">
        <v>5</v>
      </c>
      <c r="I5130" s="21" t="n">
        <v>105.07</v>
      </c>
      <c r="J5130" s="21" t="n">
        <v>315.22</v>
      </c>
      <c r="K5130" s="21" t="n">
        <v>367.76</v>
      </c>
      <c r="L5130" s="21" t="n">
        <v>420.29</v>
      </c>
      <c r="M5130" s="21" t="n">
        <v>550</v>
      </c>
    </row>
    <row r="5131">
      <c r="A5131" s="9" t="inlineStr">
        <is>
          <t>HAIFENG</t>
        </is>
      </c>
      <c r="B5131" s="9" t="inlineStr">
        <is>
          <t>HAIFENG 16/06/2026</t>
        </is>
      </c>
      <c r="C5131" s="9" t="inlineStr">
        <is>
          <t>2026-06-16</t>
        </is>
      </c>
      <c r="D5131" s="9" t="inlineStr">
        <is>
          <t>11966951169965</t>
        </is>
      </c>
      <c r="E5131" s="9" t="inlineStr">
        <is>
          <t>PULSERA DE CUENTAS CON INSIGNIA DE CORAZÓN BLUE</t>
        </is>
      </c>
      <c r="F5131" s="9" t="inlineStr">
        <is>
          <t>20 cm</t>
        </is>
      </c>
      <c r="G5131" s="9" t="n">
        <v>2</v>
      </c>
      <c r="H5131" s="21" t="n">
        <v>5</v>
      </c>
      <c r="I5131" s="21" t="n">
        <v>105.07</v>
      </c>
      <c r="J5131" s="21" t="n">
        <v>315.22</v>
      </c>
      <c r="K5131" s="21" t="n">
        <v>367.76</v>
      </c>
      <c r="L5131" s="21" t="n">
        <v>420.29</v>
      </c>
      <c r="M5131" s="21" t="n">
        <v>550</v>
      </c>
    </row>
    <row r="5132">
      <c r="A5132" s="9" t="inlineStr">
        <is>
          <t>HAIFENG</t>
        </is>
      </c>
      <c r="B5132" s="9" t="inlineStr">
        <is>
          <t>HAIFENG 16/06/2026</t>
        </is>
      </c>
      <c r="C5132" s="9" t="inlineStr">
        <is>
          <t>2026-06-16</t>
        </is>
      </c>
      <c r="D5132" s="9" t="inlineStr">
        <is>
          <t>REYNA</t>
        </is>
      </c>
      <c r="E5132" s="9" t="inlineStr">
        <is>
          <t>PULSERA DE CUENTAS CON INSIGNIA DE CORAZÓN BLUE</t>
        </is>
      </c>
      <c r="F5132" s="9" t="inlineStr"/>
      <c r="G5132" s="9" t="n">
        <v>1</v>
      </c>
      <c r="H5132" s="21" t="n">
        <v>5</v>
      </c>
      <c r="I5132" s="21" t="n">
        <v>105.07</v>
      </c>
      <c r="J5132" s="21" t="n">
        <v>315.22</v>
      </c>
      <c r="K5132" s="21" t="n">
        <v>367.76</v>
      </c>
      <c r="L5132" s="21" t="n">
        <v>420.29</v>
      </c>
      <c r="M5132" s="21" t="n"/>
    </row>
    <row r="5133">
      <c r="A5133" s="9" t="inlineStr">
        <is>
          <t>HAIFENG</t>
        </is>
      </c>
      <c r="B5133" s="9" t="inlineStr">
        <is>
          <t>HAIFENG 16/06/2026</t>
        </is>
      </c>
      <c r="C5133" s="9" t="inlineStr">
        <is>
          <t>2026-06-16</t>
        </is>
      </c>
      <c r="D5133" s="9" t="inlineStr">
        <is>
          <t>43047224541324</t>
        </is>
      </c>
      <c r="E5133" s="9" t="inlineStr">
        <is>
          <t>PULSERA DE CUENTAS CON INSIGNIA DE CORAZÓN PINK</t>
        </is>
      </c>
      <c r="F5133" s="9" t="inlineStr">
        <is>
          <t>17 cm</t>
        </is>
      </c>
      <c r="G5133" s="9" t="n">
        <v>10</v>
      </c>
      <c r="H5133" s="21" t="n">
        <v>5</v>
      </c>
      <c r="I5133" s="21" t="n">
        <v>105.07</v>
      </c>
      <c r="J5133" s="21" t="n">
        <v>315.22</v>
      </c>
      <c r="K5133" s="21" t="n">
        <v>367.76</v>
      </c>
      <c r="L5133" s="21" t="n">
        <v>420.29</v>
      </c>
      <c r="M5133" s="21" t="n">
        <v>550</v>
      </c>
    </row>
    <row r="5134">
      <c r="A5134" s="9" t="inlineStr">
        <is>
          <t>HAIFENG</t>
        </is>
      </c>
      <c r="B5134" s="9" t="inlineStr">
        <is>
          <t>HAIFENG 16/06/2026</t>
        </is>
      </c>
      <c r="C5134" s="9" t="inlineStr">
        <is>
          <t>2026-06-16</t>
        </is>
      </c>
      <c r="D5134" s="9" t="inlineStr">
        <is>
          <t>668eee51ba91b</t>
        </is>
      </c>
      <c r="E5134" s="9" t="inlineStr">
        <is>
          <t>PULSERA DE CUENTAS CON INSIGNIA DE CORAZÓN RED</t>
        </is>
      </c>
      <c r="F5134" s="9" t="inlineStr">
        <is>
          <t>17 cm</t>
        </is>
      </c>
      <c r="G5134" s="9" t="n">
        <v>5</v>
      </c>
      <c r="H5134" s="21" t="n">
        <v>5</v>
      </c>
      <c r="I5134" s="21" t="n">
        <v>105.07</v>
      </c>
      <c r="J5134" s="21" t="n">
        <v>315.22</v>
      </c>
      <c r="K5134" s="21" t="n">
        <v>367.76</v>
      </c>
      <c r="L5134" s="21" t="n">
        <v>420.29</v>
      </c>
      <c r="M5134" s="21" t="n">
        <v>550</v>
      </c>
    </row>
    <row r="5135">
      <c r="A5135" s="9" t="inlineStr">
        <is>
          <t>HAIFENG</t>
        </is>
      </c>
      <c r="B5135" s="9" t="inlineStr">
        <is>
          <t>HAIFENG 16/06/2026</t>
        </is>
      </c>
      <c r="C5135" s="9" t="inlineStr">
        <is>
          <t>2026-06-16</t>
        </is>
      </c>
      <c r="D5135" s="9" t="inlineStr">
        <is>
          <t>668eee52c5906</t>
        </is>
      </c>
      <c r="E5135" s="9" t="inlineStr">
        <is>
          <t>PULSERA DE CUENTAS CON INSIGNIA DE CORAZÓN RED</t>
        </is>
      </c>
      <c r="F5135" s="9" t="inlineStr">
        <is>
          <t>18 cm</t>
        </is>
      </c>
      <c r="G5135" s="9" t="n">
        <v>3</v>
      </c>
      <c r="H5135" s="21" t="n">
        <v>5</v>
      </c>
      <c r="I5135" s="21" t="n">
        <v>105.07</v>
      </c>
      <c r="J5135" s="21" t="n">
        <v>315.22</v>
      </c>
      <c r="K5135" s="21" t="n">
        <v>367.76</v>
      </c>
      <c r="L5135" s="21" t="n">
        <v>420.29</v>
      </c>
      <c r="M5135" s="21" t="n">
        <v>550</v>
      </c>
    </row>
    <row r="5136">
      <c r="A5136" s="9" t="inlineStr">
        <is>
          <t>HAIFENG</t>
        </is>
      </c>
      <c r="B5136" s="9" t="inlineStr">
        <is>
          <t>HAIFENG 16/06/2026</t>
        </is>
      </c>
      <c r="C5136" s="9" t="inlineStr">
        <is>
          <t>2026-06-16</t>
        </is>
      </c>
      <c r="D5136" s="9" t="inlineStr">
        <is>
          <t>6617748fe62cc</t>
        </is>
      </c>
      <c r="E5136" s="9" t="inlineStr">
        <is>
          <t>PULSERA DE TELA TRES AROS BLACK</t>
        </is>
      </c>
      <c r="F5136" s="9" t="inlineStr">
        <is>
          <t>AJUSTABLE</t>
        </is>
      </c>
      <c r="G5136" s="9" t="n">
        <v>8</v>
      </c>
      <c r="H5136" s="21" t="n">
        <v>4.7</v>
      </c>
      <c r="I5136" s="21" t="n">
        <v>98.77</v>
      </c>
      <c r="J5136" s="21" t="n">
        <v>296.31</v>
      </c>
      <c r="K5136" s="21" t="n">
        <v>345.69</v>
      </c>
      <c r="L5136" s="21" t="n">
        <v>395.07</v>
      </c>
      <c r="M5136" s="21" t="n">
        <v>399</v>
      </c>
    </row>
    <row r="5137">
      <c r="A5137" s="9" t="inlineStr">
        <is>
          <t>HAIFENG</t>
        </is>
      </c>
      <c r="B5137" s="9" t="inlineStr">
        <is>
          <t>HAIFENG 16/06/2026</t>
        </is>
      </c>
      <c r="C5137" s="9" t="inlineStr">
        <is>
          <t>2026-06-16</t>
        </is>
      </c>
      <c r="D5137" s="9" t="inlineStr">
        <is>
          <t>22064323912749</t>
        </is>
      </c>
      <c r="E5137" s="9" t="inlineStr">
        <is>
          <t>PULSERA HEART ROSE GOLD</t>
        </is>
      </c>
      <c r="F5137" s="9" t="inlineStr">
        <is>
          <t>Default Title</t>
        </is>
      </c>
      <c r="G5137" s="9" t="n">
        <v>3</v>
      </c>
      <c r="H5137" s="21" t="n">
        <v>4</v>
      </c>
      <c r="I5137" s="21" t="n">
        <v>84.06</v>
      </c>
      <c r="J5137" s="21" t="n">
        <v>252.18</v>
      </c>
      <c r="K5137" s="21" t="n">
        <v>294.2</v>
      </c>
      <c r="L5137" s="21" t="n">
        <v>336.23</v>
      </c>
      <c r="M5137" s="21" t="n">
        <v>499</v>
      </c>
    </row>
    <row r="5138">
      <c r="A5138" s="9" t="inlineStr">
        <is>
          <t>HAIFENG</t>
        </is>
      </c>
      <c r="B5138" s="9" t="inlineStr">
        <is>
          <t>HAIFENG 16/06/2026</t>
        </is>
      </c>
      <c r="C5138" s="9" t="inlineStr">
        <is>
          <t>2026-06-16</t>
        </is>
      </c>
      <c r="D5138" s="9" t="inlineStr">
        <is>
          <t>63e0c53833f26</t>
        </is>
      </c>
      <c r="E5138" s="9" t="inlineStr">
        <is>
          <t>PULSERA LOVE CON ZIRCONIA GOLD</t>
        </is>
      </c>
      <c r="F5138" s="9" t="inlineStr">
        <is>
          <t>16 cm</t>
        </is>
      </c>
      <c r="G5138" s="9" t="n">
        <v>7</v>
      </c>
      <c r="H5138" s="21" t="n">
        <v>4.5</v>
      </c>
      <c r="I5138" s="21" t="n">
        <v>94.56999999999999</v>
      </c>
      <c r="J5138" s="21" t="n">
        <v>283.7</v>
      </c>
      <c r="K5138" s="21" t="n">
        <v>330.98</v>
      </c>
      <c r="L5138" s="21" t="n">
        <v>378.26</v>
      </c>
      <c r="M5138" s="21" t="n">
        <v>499</v>
      </c>
    </row>
    <row r="5139">
      <c r="A5139" s="9" t="inlineStr">
        <is>
          <t>HAIFENG</t>
        </is>
      </c>
      <c r="B5139" s="9" t="inlineStr">
        <is>
          <t>HAIFENG 16/06/2026</t>
        </is>
      </c>
      <c r="C5139" s="9" t="inlineStr">
        <is>
          <t>2026-06-16</t>
        </is>
      </c>
      <c r="D5139" s="9" t="inlineStr">
        <is>
          <t>GISEL</t>
        </is>
      </c>
      <c r="E5139" s="9" t="inlineStr">
        <is>
          <t>PULSERA LOVE CON ZIRCONIA GOLD</t>
        </is>
      </c>
      <c r="F5139" s="9" t="inlineStr"/>
      <c r="G5139" s="9" t="n">
        <v>1</v>
      </c>
      <c r="H5139" s="21" t="n">
        <v>4.5</v>
      </c>
      <c r="I5139" s="21" t="n">
        <v>94.56999999999999</v>
      </c>
      <c r="J5139" s="21" t="n">
        <v>283.7</v>
      </c>
      <c r="K5139" s="21" t="n">
        <v>330.98</v>
      </c>
      <c r="L5139" s="21" t="n">
        <v>378.26</v>
      </c>
      <c r="M5139" s="21" t="n"/>
    </row>
    <row r="5140">
      <c r="A5140" s="9" t="inlineStr">
        <is>
          <t>HAIFENG</t>
        </is>
      </c>
      <c r="B5140" s="9" t="inlineStr">
        <is>
          <t>HAIFENG 16/06/2026</t>
        </is>
      </c>
      <c r="C5140" s="9" t="inlineStr">
        <is>
          <t>2026-06-16</t>
        </is>
      </c>
      <c r="D5140" s="9" t="inlineStr">
        <is>
          <t>GISEL</t>
        </is>
      </c>
      <c r="E5140" s="9" t="inlineStr">
        <is>
          <t>PULSERA LOVE CON ZIRCONIA ROSE GOLD</t>
        </is>
      </c>
      <c r="F5140" s="9" t="inlineStr"/>
      <c r="G5140" s="9" t="n">
        <v>1</v>
      </c>
      <c r="H5140" s="21" t="n">
        <v>4.5</v>
      </c>
      <c r="I5140" s="21" t="n">
        <v>94.56999999999999</v>
      </c>
      <c r="J5140" s="21" t="n">
        <v>283.7</v>
      </c>
      <c r="K5140" s="21" t="n">
        <v>330.98</v>
      </c>
      <c r="L5140" s="21" t="n">
        <v>378.26</v>
      </c>
      <c r="M5140" s="21" t="n"/>
    </row>
    <row r="5141">
      <c r="A5141" s="9" t="inlineStr">
        <is>
          <t>HAIFENG</t>
        </is>
      </c>
      <c r="B5141" s="9" t="inlineStr">
        <is>
          <t>HAIFENG 16/06/2026</t>
        </is>
      </c>
      <c r="C5141" s="9" t="inlineStr">
        <is>
          <t>2026-06-16</t>
        </is>
      </c>
      <c r="D5141" s="9" t="inlineStr">
        <is>
          <t>63e0c53f88fe1</t>
        </is>
      </c>
      <c r="E5141" s="9" t="inlineStr">
        <is>
          <t>PULSERA LOVE CON ZIRCONIA SILVER</t>
        </is>
      </c>
      <c r="F5141" s="9" t="inlineStr">
        <is>
          <t>19 cm</t>
        </is>
      </c>
      <c r="G5141" s="9" t="n">
        <v>2</v>
      </c>
      <c r="H5141" s="21" t="n">
        <v>4.5</v>
      </c>
      <c r="I5141" s="21" t="n">
        <v>94.56999999999999</v>
      </c>
      <c r="J5141" s="21" t="n">
        <v>283.7</v>
      </c>
      <c r="K5141" s="21" t="n">
        <v>330.98</v>
      </c>
      <c r="L5141" s="21" t="n">
        <v>378.26</v>
      </c>
      <c r="M5141" s="21" t="n">
        <v>499</v>
      </c>
    </row>
    <row r="5142">
      <c r="A5142" s="9" t="inlineStr">
        <is>
          <t>HAIFENG</t>
        </is>
      </c>
      <c r="B5142" s="9" t="inlineStr">
        <is>
          <t>HAIFENG 16/06/2026</t>
        </is>
      </c>
      <c r="C5142" s="9" t="inlineStr">
        <is>
          <t>2026-06-16</t>
        </is>
      </c>
      <c r="D5142" s="9" t="inlineStr">
        <is>
          <t>GISEL</t>
        </is>
      </c>
      <c r="E5142" s="9" t="inlineStr">
        <is>
          <t>PULSERA LOVE CON ZIRCONIA SILVER</t>
        </is>
      </c>
      <c r="F5142" s="9" t="inlineStr"/>
      <c r="G5142" s="9" t="n">
        <v>1</v>
      </c>
      <c r="H5142" s="21" t="n">
        <v>4.5</v>
      </c>
      <c r="I5142" s="21" t="n">
        <v>94.56999999999999</v>
      </c>
      <c r="J5142" s="21" t="n">
        <v>283.7</v>
      </c>
      <c r="K5142" s="21" t="n">
        <v>330.98</v>
      </c>
      <c r="L5142" s="21" t="n">
        <v>378.26</v>
      </c>
      <c r="M5142" s="21" t="n"/>
    </row>
    <row r="5143">
      <c r="A5143" s="9" t="inlineStr">
        <is>
          <t>HAIFENG</t>
        </is>
      </c>
      <c r="B5143" s="9" t="inlineStr">
        <is>
          <t>HAIFENG 16/06/2026</t>
        </is>
      </c>
      <c r="C5143" s="9" t="inlineStr">
        <is>
          <t>2026-06-16</t>
        </is>
      </c>
      <c r="D5143" s="9" t="inlineStr">
        <is>
          <t>63ebdf98523b4</t>
        </is>
      </c>
      <c r="E5143" s="9" t="inlineStr">
        <is>
          <t>PULSERA LOVE DELGADA GOLD CON MICRO ZIRCONIAS</t>
        </is>
      </c>
      <c r="F5143" s="9" t="inlineStr">
        <is>
          <t>16 cm</t>
        </is>
      </c>
      <c r="G5143" s="9" t="n">
        <v>2</v>
      </c>
      <c r="H5143" s="21" t="n">
        <v>13</v>
      </c>
      <c r="I5143" s="21" t="n">
        <v>273.19</v>
      </c>
      <c r="J5143" s="21" t="n">
        <v>819.5700000000001</v>
      </c>
      <c r="K5143" s="21" t="n">
        <v>956.16</v>
      </c>
      <c r="L5143" s="21" t="n">
        <v>1092.76</v>
      </c>
      <c r="M5143" s="21" t="n">
        <v>1099</v>
      </c>
    </row>
    <row r="5144">
      <c r="A5144" s="9" t="inlineStr">
        <is>
          <t>HAIFENG</t>
        </is>
      </c>
      <c r="B5144" s="9" t="inlineStr">
        <is>
          <t>HAIFENG 16/06/2026</t>
        </is>
      </c>
      <c r="C5144" s="9" t="inlineStr">
        <is>
          <t>2026-06-16</t>
        </is>
      </c>
      <c r="D5144" s="9" t="inlineStr">
        <is>
          <t>63ebdf992a2c6</t>
        </is>
      </c>
      <c r="E5144" s="9" t="inlineStr">
        <is>
          <t>PULSERA LOVE DELGADA GOLD CON MICRO ZIRCONIAS</t>
        </is>
      </c>
      <c r="F5144" s="9" t="inlineStr">
        <is>
          <t>17cm</t>
        </is>
      </c>
      <c r="G5144" s="9" t="n">
        <v>5</v>
      </c>
      <c r="H5144" s="21" t="n">
        <v>13</v>
      </c>
      <c r="I5144" s="21" t="n">
        <v>273.19</v>
      </c>
      <c r="J5144" s="21" t="n">
        <v>819.5700000000001</v>
      </c>
      <c r="K5144" s="21" t="n">
        <v>956.16</v>
      </c>
      <c r="L5144" s="21" t="n">
        <v>1092.76</v>
      </c>
      <c r="M5144" s="21" t="n">
        <v>1099</v>
      </c>
    </row>
    <row r="5145">
      <c r="A5145" s="9" t="inlineStr">
        <is>
          <t>HAIFENG</t>
        </is>
      </c>
      <c r="B5145" s="9" t="inlineStr">
        <is>
          <t>HAIFENG 16/06/2026</t>
        </is>
      </c>
      <c r="C5145" s="9" t="inlineStr">
        <is>
          <t>2026-06-16</t>
        </is>
      </c>
      <c r="D5145" s="9" t="inlineStr">
        <is>
          <t>63e0c58da8cda</t>
        </is>
      </c>
      <c r="E5145" s="9" t="inlineStr">
        <is>
          <t>PULSERA LOVE DELGADA ROSE GOLD</t>
        </is>
      </c>
      <c r="F5145" s="9" t="inlineStr">
        <is>
          <t>17cm</t>
        </is>
      </c>
      <c r="G5145" s="9" t="n">
        <v>5</v>
      </c>
      <c r="H5145" s="21" t="n">
        <v>5</v>
      </c>
      <c r="I5145" s="21" t="n">
        <v>105.07</v>
      </c>
      <c r="J5145" s="21" t="n">
        <v>315.22</v>
      </c>
      <c r="K5145" s="21" t="n">
        <v>367.76</v>
      </c>
      <c r="L5145" s="21" t="n">
        <v>420.29</v>
      </c>
      <c r="M5145" s="21" t="n">
        <v>499</v>
      </c>
    </row>
    <row r="5146">
      <c r="A5146" s="9" t="inlineStr">
        <is>
          <t>HAIFENG</t>
        </is>
      </c>
      <c r="B5146" s="9" t="inlineStr">
        <is>
          <t>HAIFENG 16/06/2026</t>
        </is>
      </c>
      <c r="C5146" s="9" t="inlineStr">
        <is>
          <t>2026-06-16</t>
        </is>
      </c>
      <c r="D5146" s="9" t="inlineStr">
        <is>
          <t>77724991140045</t>
        </is>
      </c>
      <c r="E5146" s="9" t="inlineStr">
        <is>
          <t>PULSERA LOVE DELGADA SILVER</t>
        </is>
      </c>
      <c r="F5146" s="9" t="inlineStr">
        <is>
          <t>17cm</t>
        </is>
      </c>
      <c r="G5146" s="9" t="n">
        <v>5</v>
      </c>
      <c r="H5146" s="21" t="n">
        <v>5</v>
      </c>
      <c r="I5146" s="21" t="n">
        <v>105.07</v>
      </c>
      <c r="J5146" s="21" t="n">
        <v>315.22</v>
      </c>
      <c r="K5146" s="21" t="n">
        <v>367.76</v>
      </c>
      <c r="L5146" s="21" t="n">
        <v>420.29</v>
      </c>
      <c r="M5146" s="21" t="n">
        <v>499</v>
      </c>
    </row>
    <row r="5147">
      <c r="A5147" s="9" t="inlineStr">
        <is>
          <t>HAIFENG</t>
        </is>
      </c>
      <c r="B5147" s="9" t="inlineStr">
        <is>
          <t>HAIFENG 16/06/2026</t>
        </is>
      </c>
      <c r="C5147" s="9" t="inlineStr">
        <is>
          <t>2026-06-16</t>
        </is>
      </c>
      <c r="D5147" s="9" t="inlineStr">
        <is>
          <t>77724991305581</t>
        </is>
      </c>
      <c r="E5147" s="9" t="inlineStr">
        <is>
          <t>PULSERA LOVE DELGADA SILVER</t>
        </is>
      </c>
      <c r="F5147" s="9" t="inlineStr">
        <is>
          <t>19cm</t>
        </is>
      </c>
      <c r="G5147" s="9" t="n">
        <v>1</v>
      </c>
      <c r="H5147" s="21" t="n">
        <v>5</v>
      </c>
      <c r="I5147" s="21" t="n">
        <v>105.07</v>
      </c>
      <c r="J5147" s="21" t="n">
        <v>315.22</v>
      </c>
      <c r="K5147" s="21" t="n">
        <v>367.76</v>
      </c>
      <c r="L5147" s="21" t="n">
        <v>420.29</v>
      </c>
      <c r="M5147" s="21" t="n">
        <v>499</v>
      </c>
    </row>
    <row r="5148">
      <c r="A5148" s="9" t="inlineStr">
        <is>
          <t>HAIFENG</t>
        </is>
      </c>
      <c r="B5148" s="9" t="inlineStr">
        <is>
          <t>HAIFENG 16/06/2026</t>
        </is>
      </c>
      <c r="C5148" s="9" t="inlineStr">
        <is>
          <t>2026-06-16</t>
        </is>
      </c>
      <c r="D5148" s="9" t="inlineStr">
        <is>
          <t>66177006d3573</t>
        </is>
      </c>
      <c r="E5148" s="9" t="inlineStr">
        <is>
          <t>PULSERA LOVE GOLD</t>
        </is>
      </c>
      <c r="F5148" s="9" t="inlineStr">
        <is>
          <t>16 CM</t>
        </is>
      </c>
      <c r="G5148" s="9" t="n">
        <v>20</v>
      </c>
      <c r="H5148" s="21" t="n">
        <v>4.5</v>
      </c>
      <c r="I5148" s="21" t="n">
        <v>94.56999999999999</v>
      </c>
      <c r="J5148" s="21" t="n">
        <v>283.7</v>
      </c>
      <c r="K5148" s="21" t="n">
        <v>330.98</v>
      </c>
      <c r="L5148" s="21" t="n">
        <v>378.26</v>
      </c>
      <c r="M5148" s="21" t="n">
        <v>499</v>
      </c>
    </row>
    <row r="5149">
      <c r="A5149" s="9" t="inlineStr">
        <is>
          <t>HAIFENG</t>
        </is>
      </c>
      <c r="B5149" s="9" t="inlineStr">
        <is>
          <t>HAIFENG 16/06/2026</t>
        </is>
      </c>
      <c r="C5149" s="9" t="inlineStr">
        <is>
          <t>2026-06-16</t>
        </is>
      </c>
      <c r="D5149" s="9" t="inlineStr">
        <is>
          <t>66177007689da</t>
        </is>
      </c>
      <c r="E5149" s="9" t="inlineStr">
        <is>
          <t>PULSERA LOVE GOLD</t>
        </is>
      </c>
      <c r="F5149" s="9" t="inlineStr">
        <is>
          <t>17 CM</t>
        </is>
      </c>
      <c r="G5149" s="9" t="n">
        <v>20</v>
      </c>
      <c r="H5149" s="21" t="n">
        <v>4.5</v>
      </c>
      <c r="I5149" s="21" t="n">
        <v>94.56999999999999</v>
      </c>
      <c r="J5149" s="21" t="n">
        <v>283.7</v>
      </c>
      <c r="K5149" s="21" t="n">
        <v>330.98</v>
      </c>
      <c r="L5149" s="21" t="n">
        <v>378.26</v>
      </c>
      <c r="M5149" s="21" t="n">
        <v>499</v>
      </c>
    </row>
    <row r="5150">
      <c r="A5150" s="9" t="inlineStr">
        <is>
          <t>HAIFENG</t>
        </is>
      </c>
      <c r="B5150" s="9" t="inlineStr">
        <is>
          <t>HAIFENG 16/06/2026</t>
        </is>
      </c>
      <c r="C5150" s="9" t="inlineStr">
        <is>
          <t>2026-06-16</t>
        </is>
      </c>
      <c r="D5150" s="9" t="inlineStr">
        <is>
          <t>66177008100f3</t>
        </is>
      </c>
      <c r="E5150" s="9" t="inlineStr">
        <is>
          <t>PULSERA LOVE GOLD</t>
        </is>
      </c>
      <c r="F5150" s="9" t="inlineStr">
        <is>
          <t>18 CM</t>
        </is>
      </c>
      <c r="G5150" s="9" t="n">
        <v>5</v>
      </c>
      <c r="H5150" s="21" t="n">
        <v>4.5</v>
      </c>
      <c r="I5150" s="21" t="n">
        <v>94.56999999999999</v>
      </c>
      <c r="J5150" s="21" t="n">
        <v>283.7</v>
      </c>
      <c r="K5150" s="21" t="n">
        <v>330.98</v>
      </c>
      <c r="L5150" s="21" t="n">
        <v>378.26</v>
      </c>
      <c r="M5150" s="21" t="n">
        <v>499</v>
      </c>
    </row>
    <row r="5151">
      <c r="A5151" s="9" t="inlineStr">
        <is>
          <t>HAIFENG</t>
        </is>
      </c>
      <c r="B5151" s="9" t="inlineStr">
        <is>
          <t>HAIFENG 16/06/2026</t>
        </is>
      </c>
      <c r="C5151" s="9" t="inlineStr">
        <is>
          <t>2026-06-16</t>
        </is>
      </c>
      <c r="D5151" s="9" t="inlineStr">
        <is>
          <t>66177009444c0</t>
        </is>
      </c>
      <c r="E5151" s="9" t="inlineStr">
        <is>
          <t>PULSERA LOVE GOLD</t>
        </is>
      </c>
      <c r="F5151" s="9" t="inlineStr">
        <is>
          <t>20 CM</t>
        </is>
      </c>
      <c r="G5151" s="9" t="n">
        <v>5</v>
      </c>
      <c r="H5151" s="21" t="n">
        <v>4.5</v>
      </c>
      <c r="I5151" s="21" t="n">
        <v>94.56999999999999</v>
      </c>
      <c r="J5151" s="21" t="n">
        <v>283.7</v>
      </c>
      <c r="K5151" s="21" t="n">
        <v>330.98</v>
      </c>
      <c r="L5151" s="21" t="n">
        <v>378.26</v>
      </c>
      <c r="M5151" s="21" t="n">
        <v>499</v>
      </c>
    </row>
    <row r="5152">
      <c r="A5152" s="9" t="inlineStr">
        <is>
          <t>HAIFENG</t>
        </is>
      </c>
      <c r="B5152" s="9" t="inlineStr">
        <is>
          <t>HAIFENG 16/06/2026</t>
        </is>
      </c>
      <c r="C5152" s="9" t="inlineStr">
        <is>
          <t>2026-06-16</t>
        </is>
      </c>
      <c r="D5152" s="9" t="inlineStr">
        <is>
          <t>63e0c59aab12a</t>
        </is>
      </c>
      <c r="E5152" s="9" t="inlineStr">
        <is>
          <t>PULSERA LOVE ROSE GOLD</t>
        </is>
      </c>
      <c r="F5152" s="9" t="inlineStr">
        <is>
          <t>21 cm</t>
        </is>
      </c>
      <c r="G5152" s="9" t="n">
        <v>1</v>
      </c>
      <c r="H5152" s="21" t="n">
        <v>4.5</v>
      </c>
      <c r="I5152" s="21" t="n">
        <v>94.56999999999999</v>
      </c>
      <c r="J5152" s="21" t="n">
        <v>283.7</v>
      </c>
      <c r="K5152" s="21" t="n">
        <v>330.98</v>
      </c>
      <c r="L5152" s="21" t="n">
        <v>378.26</v>
      </c>
      <c r="M5152" s="21" t="n">
        <v>499</v>
      </c>
    </row>
    <row r="5153">
      <c r="A5153" s="9" t="inlineStr">
        <is>
          <t>HAIFENG</t>
        </is>
      </c>
      <c r="B5153" s="9" t="inlineStr">
        <is>
          <t>HAIFENG 16/06/2026</t>
        </is>
      </c>
      <c r="C5153" s="9" t="inlineStr">
        <is>
          <t>2026-06-16</t>
        </is>
      </c>
      <c r="D5153" s="9" t="inlineStr">
        <is>
          <t>63e0c596835bb</t>
        </is>
      </c>
      <c r="E5153" s="9" t="inlineStr">
        <is>
          <t>PULSERA LOVE ROSE GOLD</t>
        </is>
      </c>
      <c r="F5153" s="9" t="inlineStr">
        <is>
          <t>17 cm</t>
        </is>
      </c>
      <c r="G5153" s="9" t="n">
        <v>5</v>
      </c>
      <c r="H5153" s="21" t="n">
        <v>4.5</v>
      </c>
      <c r="I5153" s="21" t="n">
        <v>94.56999999999999</v>
      </c>
      <c r="J5153" s="21" t="n">
        <v>283.7</v>
      </c>
      <c r="K5153" s="21" t="n">
        <v>330.98</v>
      </c>
      <c r="L5153" s="21" t="n">
        <v>378.26</v>
      </c>
      <c r="M5153" s="21" t="n">
        <v>499</v>
      </c>
    </row>
    <row r="5154">
      <c r="A5154" s="9" t="inlineStr">
        <is>
          <t>HAIFENG</t>
        </is>
      </c>
      <c r="B5154" s="9" t="inlineStr">
        <is>
          <t>HAIFENG 16/06/2026</t>
        </is>
      </c>
      <c r="C5154" s="9" t="inlineStr">
        <is>
          <t>2026-06-16</t>
        </is>
      </c>
      <c r="D5154" s="9" t="inlineStr">
        <is>
          <t>63e0c59590d66</t>
        </is>
      </c>
      <c r="E5154" s="9" t="inlineStr">
        <is>
          <t>PULSERA LOVE ROSE GOLD</t>
        </is>
      </c>
      <c r="F5154" s="9" t="inlineStr">
        <is>
          <t>16 cm</t>
        </is>
      </c>
      <c r="G5154" s="9" t="n">
        <v>5</v>
      </c>
      <c r="H5154" s="21" t="n">
        <v>4.5</v>
      </c>
      <c r="I5154" s="21" t="n">
        <v>94.56999999999999</v>
      </c>
      <c r="J5154" s="21" t="n">
        <v>283.7</v>
      </c>
      <c r="K5154" s="21" t="n">
        <v>330.98</v>
      </c>
      <c r="L5154" s="21" t="n">
        <v>378.26</v>
      </c>
      <c r="M5154" s="21" t="n">
        <v>499</v>
      </c>
    </row>
    <row r="5155">
      <c r="A5155" s="9" t="inlineStr">
        <is>
          <t>HAIFENG</t>
        </is>
      </c>
      <c r="B5155" s="9" t="inlineStr">
        <is>
          <t>HAIFENG 16/06/2026</t>
        </is>
      </c>
      <c r="C5155" s="9" t="inlineStr">
        <is>
          <t>2026-06-16</t>
        </is>
      </c>
      <c r="D5155" s="9" t="inlineStr">
        <is>
          <t>43728090848556</t>
        </is>
      </c>
      <c r="E5155" s="9" t="inlineStr">
        <is>
          <t>PULSERA LOVE SILVER</t>
        </is>
      </c>
      <c r="F5155" s="9" t="inlineStr">
        <is>
          <t>17cm</t>
        </is>
      </c>
      <c r="G5155" s="9" t="n">
        <v>10</v>
      </c>
      <c r="H5155" s="21" t="n">
        <v>4.5</v>
      </c>
      <c r="I5155" s="21" t="n">
        <v>94.56999999999999</v>
      </c>
      <c r="J5155" s="21" t="n">
        <v>283.7</v>
      </c>
      <c r="K5155" s="21" t="n">
        <v>330.98</v>
      </c>
      <c r="L5155" s="21" t="n">
        <v>378.26</v>
      </c>
      <c r="M5155" s="21" t="n">
        <v>499</v>
      </c>
    </row>
    <row r="5156">
      <c r="A5156" s="9" t="inlineStr">
        <is>
          <t>HAIFENG</t>
        </is>
      </c>
      <c r="B5156" s="9" t="inlineStr">
        <is>
          <t>HAIFENG 16/06/2026</t>
        </is>
      </c>
      <c r="C5156" s="9" t="inlineStr">
        <is>
          <t>2026-06-16</t>
        </is>
      </c>
      <c r="D5156" s="9" t="inlineStr">
        <is>
          <t>43728091279628</t>
        </is>
      </c>
      <c r="E5156" s="9" t="inlineStr">
        <is>
          <t>PULSERA LOVE SILVER</t>
        </is>
      </c>
      <c r="F5156" s="9" t="inlineStr">
        <is>
          <t>21cm</t>
        </is>
      </c>
      <c r="G5156" s="9" t="n">
        <v>3</v>
      </c>
      <c r="H5156" s="21" t="n">
        <v>4.5</v>
      </c>
      <c r="I5156" s="21" t="n">
        <v>94.56999999999999</v>
      </c>
      <c r="J5156" s="21" t="n">
        <v>283.7</v>
      </c>
      <c r="K5156" s="21" t="n">
        <v>330.98</v>
      </c>
      <c r="L5156" s="21" t="n">
        <v>378.26</v>
      </c>
      <c r="M5156" s="21" t="n">
        <v>499</v>
      </c>
    </row>
    <row r="5157">
      <c r="A5157" s="9" t="inlineStr">
        <is>
          <t>HAIFENG</t>
        </is>
      </c>
      <c r="B5157" s="9" t="inlineStr">
        <is>
          <t>HAIFENG 16/06/2026</t>
        </is>
      </c>
      <c r="C5157" s="9" t="inlineStr">
        <is>
          <t>2026-06-16</t>
        </is>
      </c>
      <c r="D5157" s="9" t="inlineStr">
        <is>
          <t>73379601029069</t>
        </is>
      </c>
      <c r="E5157" s="9" t="inlineStr">
        <is>
          <t>PULSERA LOVE UNLIMITED GOLD</t>
        </is>
      </c>
      <c r="F5157" s="9" t="inlineStr">
        <is>
          <t>19</t>
        </is>
      </c>
      <c r="G5157" s="9" t="n">
        <v>4</v>
      </c>
      <c r="H5157" s="21" t="n">
        <v>15</v>
      </c>
      <c r="I5157" s="21" t="n">
        <v>315.22</v>
      </c>
      <c r="J5157" s="21" t="n">
        <v>945.66</v>
      </c>
      <c r="K5157" s="21" t="n">
        <v>1103.27</v>
      </c>
      <c r="L5157" s="21" t="n">
        <v>1260.88</v>
      </c>
      <c r="M5157" s="21" t="n">
        <v>1399</v>
      </c>
    </row>
    <row r="5158">
      <c r="A5158" s="9" t="inlineStr">
        <is>
          <t>HAIFENG</t>
        </is>
      </c>
      <c r="B5158" s="9" t="inlineStr">
        <is>
          <t>HAIFENG 16/06/2026</t>
        </is>
      </c>
      <c r="C5158" s="9" t="inlineStr">
        <is>
          <t>2026-06-16</t>
        </is>
      </c>
      <c r="D5158" s="9" t="inlineStr">
        <is>
          <t>73379601161837</t>
        </is>
      </c>
      <c r="E5158" s="9" t="inlineStr">
        <is>
          <t>PULSERA LOVE UNLIMITED GOLD</t>
        </is>
      </c>
      <c r="F5158" s="9" t="inlineStr">
        <is>
          <t>21</t>
        </is>
      </c>
      <c r="G5158" s="9" t="n">
        <v>1</v>
      </c>
      <c r="H5158" s="21" t="n">
        <v>15</v>
      </c>
      <c r="I5158" s="21" t="n">
        <v>315.22</v>
      </c>
      <c r="J5158" s="21" t="n">
        <v>945.66</v>
      </c>
      <c r="K5158" s="21" t="n">
        <v>1103.27</v>
      </c>
      <c r="L5158" s="21" t="n">
        <v>1260.88</v>
      </c>
      <c r="M5158" s="21" t="n">
        <v>1399</v>
      </c>
    </row>
    <row r="5159">
      <c r="A5159" s="9" t="inlineStr">
        <is>
          <t>HAIFENG</t>
        </is>
      </c>
      <c r="B5159" s="9" t="inlineStr">
        <is>
          <t>HAIFENG 16/06/2026</t>
        </is>
      </c>
      <c r="C5159" s="9" t="inlineStr">
        <is>
          <t>2026-06-16</t>
        </is>
      </c>
      <c r="D5159" s="9" t="inlineStr">
        <is>
          <t>74289381238573</t>
        </is>
      </c>
      <c r="E5159" s="9" t="inlineStr">
        <is>
          <t>PULSERA LOVE UNLIMITED ROSEGOLD</t>
        </is>
      </c>
      <c r="F5159" s="9" t="inlineStr">
        <is>
          <t>21</t>
        </is>
      </c>
      <c r="G5159" s="9" t="n">
        <v>2</v>
      </c>
      <c r="H5159" s="21" t="n">
        <v>15</v>
      </c>
      <c r="I5159" s="21" t="n">
        <v>315.22</v>
      </c>
      <c r="J5159" s="21" t="n">
        <v>945.66</v>
      </c>
      <c r="K5159" s="21" t="n">
        <v>1103.27</v>
      </c>
      <c r="L5159" s="21" t="n">
        <v>1260.88</v>
      </c>
      <c r="M5159" s="21" t="n">
        <v>1399</v>
      </c>
    </row>
    <row r="5160">
      <c r="A5160" s="9" t="inlineStr">
        <is>
          <t>HAIFENG</t>
        </is>
      </c>
      <c r="B5160" s="9" t="inlineStr">
        <is>
          <t>HAIFENG 16/06/2026</t>
        </is>
      </c>
      <c r="C5160" s="9" t="inlineStr">
        <is>
          <t>2026-06-16</t>
        </is>
      </c>
      <c r="D5160" s="9" t="inlineStr">
        <is>
          <t>70975151114957</t>
        </is>
      </c>
      <c r="E5160" s="9" t="inlineStr">
        <is>
          <t>PULSERA LOVE UNLIMITED SILVER</t>
        </is>
      </c>
      <c r="F5160" s="9" t="inlineStr">
        <is>
          <t>19</t>
        </is>
      </c>
      <c r="G5160" s="9" t="n">
        <v>5</v>
      </c>
      <c r="H5160" s="21" t="n">
        <v>15</v>
      </c>
      <c r="I5160" s="21" t="n">
        <v>315.22</v>
      </c>
      <c r="J5160" s="21" t="n">
        <v>945.66</v>
      </c>
      <c r="K5160" s="21" t="n">
        <v>1103.27</v>
      </c>
      <c r="L5160" s="21" t="n">
        <v>1260.88</v>
      </c>
      <c r="M5160" s="21" t="n">
        <v>1399</v>
      </c>
    </row>
    <row r="5161">
      <c r="A5161" s="9" t="inlineStr">
        <is>
          <t>HAIFENG</t>
        </is>
      </c>
      <c r="B5161" s="9" t="inlineStr">
        <is>
          <t>HAIFENG 16/06/2026</t>
        </is>
      </c>
      <c r="C5161" s="9" t="inlineStr">
        <is>
          <t>2026-06-16</t>
        </is>
      </c>
      <c r="D5161" s="9" t="inlineStr">
        <is>
          <t>22064321560717</t>
        </is>
      </c>
      <c r="E5161" s="9" t="inlineStr">
        <is>
          <t>PULSERA LOVE-LOVE GOLD ZIRCONIAS</t>
        </is>
      </c>
      <c r="F5161" s="9" t="inlineStr">
        <is>
          <t>Default Title</t>
        </is>
      </c>
      <c r="G5161" s="9" t="n">
        <v>2</v>
      </c>
      <c r="H5161" s="21" t="n">
        <v>5</v>
      </c>
      <c r="I5161" s="21" t="n">
        <v>105.07</v>
      </c>
      <c r="J5161" s="21" t="n">
        <v>315.22</v>
      </c>
      <c r="K5161" s="21" t="n">
        <v>367.76</v>
      </c>
      <c r="L5161" s="21" t="n">
        <v>420.29</v>
      </c>
      <c r="M5161" s="21" t="n">
        <v>450</v>
      </c>
    </row>
    <row r="5162">
      <c r="A5162" s="9" t="inlineStr">
        <is>
          <t>HAIFENG</t>
        </is>
      </c>
      <c r="B5162" s="9" t="inlineStr">
        <is>
          <t>HAIFENG 16/06/2026</t>
        </is>
      </c>
      <c r="C5162" s="9" t="inlineStr">
        <is>
          <t>2026-06-16</t>
        </is>
      </c>
      <c r="D5162" s="9" t="inlineStr">
        <is>
          <t>67201531075373</t>
        </is>
      </c>
      <c r="E5162" s="9" t="inlineStr">
        <is>
          <t>PULSERA LUCKY GOLD CD</t>
        </is>
      </c>
      <c r="F5162" s="9" t="inlineStr">
        <is>
          <t>HIGH QUALITY</t>
        </is>
      </c>
      <c r="G5162" s="9" t="n">
        <v>2</v>
      </c>
      <c r="H5162" s="21" t="n">
        <v>6</v>
      </c>
      <c r="I5162" s="21" t="n">
        <v>126.09</v>
      </c>
      <c r="J5162" s="21" t="n">
        <v>378.26</v>
      </c>
      <c r="K5162" s="21" t="n">
        <v>441.31</v>
      </c>
      <c r="L5162" s="21" t="n">
        <v>504.35</v>
      </c>
      <c r="M5162" s="21" t="n">
        <v>499</v>
      </c>
    </row>
    <row r="5163">
      <c r="A5163" s="9" t="inlineStr">
        <is>
          <t>HAIFENG</t>
        </is>
      </c>
      <c r="B5163" s="9" t="inlineStr">
        <is>
          <t>HAIFENG 16/06/2026</t>
        </is>
      </c>
      <c r="C5163" s="9" t="inlineStr">
        <is>
          <t>2026-06-16</t>
        </is>
      </c>
      <c r="D5163" s="9" t="inlineStr">
        <is>
          <t>67201535214413</t>
        </is>
      </c>
      <c r="E5163" s="9" t="inlineStr">
        <is>
          <t>PULSERA LUCKY SPRING ROSE GOLD VF</t>
        </is>
      </c>
      <c r="F5163" s="9" t="inlineStr">
        <is>
          <t>Default Title</t>
        </is>
      </c>
      <c r="G5163" s="9" t="n">
        <v>4</v>
      </c>
      <c r="H5163" s="21" t="n">
        <v>7</v>
      </c>
      <c r="I5163" s="21" t="n">
        <v>147.1</v>
      </c>
      <c r="J5163" s="21" t="n">
        <v>441.31</v>
      </c>
      <c r="K5163" s="21" t="n">
        <v>514.86</v>
      </c>
      <c r="L5163" s="21" t="n">
        <v>588.41</v>
      </c>
      <c r="M5163" s="21" t="n">
        <v>599</v>
      </c>
    </row>
    <row r="5164">
      <c r="A5164" s="9" t="inlineStr">
        <is>
          <t>HAIFENG</t>
        </is>
      </c>
      <c r="B5164" s="9" t="inlineStr">
        <is>
          <t>HAIFENG 16/06/2026</t>
        </is>
      </c>
      <c r="C5164" s="9" t="inlineStr">
        <is>
          <t>2026-06-16</t>
        </is>
      </c>
      <c r="D5164" s="9" t="inlineStr">
        <is>
          <t>89845001062349</t>
        </is>
      </c>
      <c r="E5164" s="9" t="inlineStr">
        <is>
          <t>PULSERA LV FLOWER ROSEGOLD CON ZIRCONIAS</t>
        </is>
      </c>
      <c r="F5164" s="9" t="inlineStr">
        <is>
          <t>Default Title</t>
        </is>
      </c>
      <c r="G5164" s="9" t="n">
        <v>3</v>
      </c>
      <c r="H5164" s="21" t="n">
        <v>11</v>
      </c>
      <c r="I5164" s="21" t="n">
        <v>231.16</v>
      </c>
      <c r="J5164" s="21" t="n">
        <v>693.48</v>
      </c>
      <c r="K5164" s="21" t="n">
        <v>809.0599999999999</v>
      </c>
      <c r="L5164" s="21" t="n">
        <v>924.64</v>
      </c>
      <c r="M5164" s="21" t="n">
        <v>910</v>
      </c>
    </row>
    <row r="5165">
      <c r="A5165" s="9" t="inlineStr">
        <is>
          <t>HAIFENG</t>
        </is>
      </c>
      <c r="B5165" s="9" t="inlineStr">
        <is>
          <t>HAIFENG 16/06/2026</t>
        </is>
      </c>
      <c r="C5165" s="9" t="inlineStr">
        <is>
          <t>2026-06-16</t>
        </is>
      </c>
      <c r="D5165" s="9" t="inlineStr">
        <is>
          <t>37491253271052</t>
        </is>
      </c>
      <c r="E5165" s="9" t="inlineStr">
        <is>
          <t>PULSERA MARIQUITA VF</t>
        </is>
      </c>
      <c r="F5165" s="9" t="inlineStr">
        <is>
          <t>17cm con 2cm de extensión</t>
        </is>
      </c>
      <c r="G5165" s="9" t="n">
        <v>5</v>
      </c>
      <c r="H5165" s="21" t="n">
        <v>6</v>
      </c>
      <c r="I5165" s="21" t="n">
        <v>126.09</v>
      </c>
      <c r="J5165" s="21" t="n">
        <v>378.26</v>
      </c>
      <c r="K5165" s="21" t="n">
        <v>441.31</v>
      </c>
      <c r="L5165" s="21" t="n">
        <v>504.35</v>
      </c>
      <c r="M5165" s="21" t="n">
        <v>520</v>
      </c>
    </row>
    <row r="5166">
      <c r="A5166" s="9" t="inlineStr">
        <is>
          <t>HAIFENG</t>
        </is>
      </c>
      <c r="B5166" s="9" t="inlineStr">
        <is>
          <t>HAIFENG 16/06/2026</t>
        </is>
      </c>
      <c r="C5166" s="9" t="inlineStr">
        <is>
          <t>2026-06-16</t>
        </is>
      </c>
      <c r="D5166" s="9" t="inlineStr">
        <is>
          <t>66075802259373</t>
        </is>
      </c>
      <c r="E5166" s="9" t="inlineStr">
        <is>
          <t>PULSERA MONTAIGNE GOLD CD</t>
        </is>
      </c>
      <c r="F5166" s="9" t="inlineStr">
        <is>
          <t>20 CM</t>
        </is>
      </c>
      <c r="G5166" s="9" t="n">
        <v>1</v>
      </c>
      <c r="H5166" s="21" t="n">
        <v>7</v>
      </c>
      <c r="I5166" s="21" t="n">
        <v>147.1</v>
      </c>
      <c r="J5166" s="21" t="n">
        <v>441.31</v>
      </c>
      <c r="K5166" s="21" t="n">
        <v>514.86</v>
      </c>
      <c r="L5166" s="21" t="n">
        <v>588.41</v>
      </c>
      <c r="M5166" s="21" t="n">
        <v>599</v>
      </c>
    </row>
    <row r="5167">
      <c r="A5167" s="9" t="inlineStr">
        <is>
          <t>HAIFENG</t>
        </is>
      </c>
      <c r="B5167" s="9" t="inlineStr">
        <is>
          <t>HAIFENG 16/06/2026</t>
        </is>
      </c>
      <c r="C5167" s="9" t="inlineStr">
        <is>
          <t>2026-06-16</t>
        </is>
      </c>
      <c r="D5167" s="9" t="inlineStr">
        <is>
          <t>53283371020909</t>
        </is>
      </c>
      <c r="E5167" s="9" t="inlineStr">
        <is>
          <t>PULSERA ONE TRÉBOL GOLD RED</t>
        </is>
      </c>
      <c r="F5167" s="9" t="inlineStr">
        <is>
          <t>Default Title</t>
        </is>
      </c>
      <c r="G5167" s="9" t="n">
        <v>2</v>
      </c>
      <c r="H5167" s="21" t="n">
        <v>4</v>
      </c>
      <c r="I5167" s="21" t="n">
        <v>84.06</v>
      </c>
      <c r="J5167" s="21" t="n">
        <v>252.18</v>
      </c>
      <c r="K5167" s="21" t="n">
        <v>294.2</v>
      </c>
      <c r="L5167" s="21" t="n">
        <v>336.23</v>
      </c>
      <c r="M5167" s="21" t="n">
        <v>500</v>
      </c>
    </row>
    <row r="5168">
      <c r="A5168" s="9" t="inlineStr">
        <is>
          <t>HAIFENG</t>
        </is>
      </c>
      <c r="B5168" s="9" t="inlineStr">
        <is>
          <t>HAIFENG 16/06/2026</t>
        </is>
      </c>
      <c r="C5168" s="9" t="inlineStr">
        <is>
          <t>2026-06-16</t>
        </is>
      </c>
      <c r="D5168" s="9" t="inlineStr">
        <is>
          <t>15711171972493</t>
        </is>
      </c>
      <c r="E5168" s="9" t="inlineStr">
        <is>
          <t>PULSERA PANTHERE DOBLE CADENA C</t>
        </is>
      </c>
      <c r="F5168" s="9" t="inlineStr">
        <is>
          <t>Default Title</t>
        </is>
      </c>
      <c r="G5168" s="9" t="n">
        <v>2</v>
      </c>
      <c r="H5168" s="21" t="n">
        <v>7</v>
      </c>
      <c r="I5168" s="21" t="n">
        <v>147.1</v>
      </c>
      <c r="J5168" s="21" t="n">
        <v>441.31</v>
      </c>
      <c r="K5168" s="21" t="n">
        <v>514.86</v>
      </c>
      <c r="L5168" s="21" t="n">
        <v>588.41</v>
      </c>
      <c r="M5168" s="21" t="n">
        <v>599</v>
      </c>
    </row>
    <row r="5169">
      <c r="A5169" s="9" t="inlineStr">
        <is>
          <t>HAIFENG</t>
        </is>
      </c>
      <c r="B5169" s="9" t="inlineStr">
        <is>
          <t>HAIFENG 16/06/2026</t>
        </is>
      </c>
      <c r="C5169" s="9" t="inlineStr">
        <is>
          <t>2026-06-16</t>
        </is>
      </c>
      <c r="D5169" s="9" t="inlineStr">
        <is>
          <t>56481494507404</t>
        </is>
      </c>
      <c r="E5169" s="9" t="inlineStr">
        <is>
          <t>PULSERA PASADOR FULL HEART</t>
        </is>
      </c>
      <c r="F5169" s="9" t="inlineStr">
        <is>
          <t>17cm</t>
        </is>
      </c>
      <c r="G5169" s="9" t="n">
        <v>4</v>
      </c>
      <c r="H5169" s="21" t="n">
        <v>10</v>
      </c>
      <c r="I5169" s="21" t="n">
        <v>210.15</v>
      </c>
      <c r="J5169" s="21" t="n">
        <v>630.4400000000001</v>
      </c>
      <c r="K5169" s="21" t="n">
        <v>735.51</v>
      </c>
      <c r="L5169" s="21" t="n">
        <v>840.58</v>
      </c>
      <c r="M5169" s="21" t="n">
        <v>850</v>
      </c>
    </row>
    <row r="5170">
      <c r="A5170" s="9" t="inlineStr">
        <is>
          <t>HAIFENG</t>
        </is>
      </c>
      <c r="B5170" s="9" t="inlineStr">
        <is>
          <t>HAIFENG 16/06/2026</t>
        </is>
      </c>
      <c r="C5170" s="9" t="inlineStr">
        <is>
          <t>2026-06-16</t>
        </is>
      </c>
      <c r="D5170" s="9" t="inlineStr">
        <is>
          <t>82014675304844</t>
        </is>
      </c>
      <c r="E5170" s="9" t="inlineStr">
        <is>
          <t>PULSERA SMILE ROSEGOLD</t>
        </is>
      </c>
      <c r="F5170" s="9" t="inlineStr">
        <is>
          <t>16cm con extensión de 3cm</t>
        </is>
      </c>
      <c r="G5170" s="9" t="n">
        <v>2</v>
      </c>
      <c r="H5170" s="21" t="n">
        <v>7.5</v>
      </c>
      <c r="I5170" s="21" t="n">
        <v>157.61</v>
      </c>
      <c r="J5170" s="21" t="n">
        <v>472.83</v>
      </c>
      <c r="K5170" s="21" t="n">
        <v>551.63</v>
      </c>
      <c r="L5170" s="21" t="n">
        <v>630.4400000000001</v>
      </c>
      <c r="M5170" s="21" t="n">
        <v>650</v>
      </c>
    </row>
    <row r="5171">
      <c r="A5171" s="9" t="inlineStr">
        <is>
          <t>HAIFENG</t>
        </is>
      </c>
      <c r="B5171" s="9" t="inlineStr">
        <is>
          <t>HAIFENG 16/06/2026</t>
        </is>
      </c>
      <c r="C5171" s="9" t="inlineStr">
        <is>
          <t>2026-06-16</t>
        </is>
      </c>
      <c r="D5171" s="9" t="inlineStr">
        <is>
          <t>82014675495692</t>
        </is>
      </c>
      <c r="E5171" s="9" t="inlineStr">
        <is>
          <t>PULSERA SMILE SILVER</t>
        </is>
      </c>
      <c r="F5171" s="9" t="inlineStr">
        <is>
          <t>16cm con extensión de 5cm</t>
        </is>
      </c>
      <c r="G5171" s="9" t="n">
        <v>2</v>
      </c>
      <c r="H5171" s="21" t="n">
        <v>7.5</v>
      </c>
      <c r="I5171" s="21" t="n">
        <v>157.61</v>
      </c>
      <c r="J5171" s="21" t="n">
        <v>472.83</v>
      </c>
      <c r="K5171" s="21" t="n">
        <v>551.63</v>
      </c>
      <c r="L5171" s="21" t="n">
        <v>630.4400000000001</v>
      </c>
      <c r="M5171" s="21" t="n">
        <v>650</v>
      </c>
    </row>
    <row r="5172">
      <c r="A5172" s="9" t="inlineStr">
        <is>
          <t>HAIFENG</t>
        </is>
      </c>
      <c r="B5172" s="9" t="inlineStr">
        <is>
          <t>HAIFENG 16/06/2026</t>
        </is>
      </c>
      <c r="C5172" s="9" t="inlineStr">
        <is>
          <t>2026-06-16</t>
        </is>
      </c>
      <c r="D5172" s="9" t="inlineStr">
        <is>
          <t>67201535328333</t>
        </is>
      </c>
      <c r="E5172" s="9" t="inlineStr">
        <is>
          <t>PULSERA SWEET BUTTERFLY WHITE VF</t>
        </is>
      </c>
      <c r="F5172" s="9" t="inlineStr">
        <is>
          <t>Default Title</t>
        </is>
      </c>
      <c r="G5172" s="9" t="n">
        <v>6</v>
      </c>
      <c r="H5172" s="21" t="n">
        <v>5</v>
      </c>
      <c r="I5172" s="21" t="n">
        <v>105.07</v>
      </c>
      <c r="J5172" s="21" t="n">
        <v>315.22</v>
      </c>
      <c r="K5172" s="21" t="n">
        <v>367.76</v>
      </c>
      <c r="L5172" s="21" t="n">
        <v>420.29</v>
      </c>
      <c r="M5172" s="21" t="n">
        <v>499</v>
      </c>
    </row>
    <row r="5173">
      <c r="A5173" s="9" t="inlineStr">
        <is>
          <t>HAIFENG</t>
        </is>
      </c>
      <c r="B5173" s="9" t="inlineStr">
        <is>
          <t>HAIFENG 16/06/2026</t>
        </is>
      </c>
      <c r="C5173" s="9" t="inlineStr">
        <is>
          <t>2026-06-16</t>
        </is>
      </c>
      <c r="D5173" s="9" t="inlineStr">
        <is>
          <t>668eeccf75387</t>
        </is>
      </c>
      <c r="E5173" s="9" t="inlineStr">
        <is>
          <t>PULSERA T DORADA ZIRCONIA</t>
        </is>
      </c>
      <c r="F5173" s="9" t="inlineStr">
        <is>
          <t>16 cm</t>
        </is>
      </c>
      <c r="G5173" s="9" t="n">
        <v>3</v>
      </c>
      <c r="H5173" s="21" t="n">
        <v>5</v>
      </c>
      <c r="I5173" s="21" t="n">
        <v>105.07</v>
      </c>
      <c r="J5173" s="21" t="n">
        <v>315.22</v>
      </c>
      <c r="K5173" s="21" t="n">
        <v>367.76</v>
      </c>
      <c r="L5173" s="21" t="n">
        <v>420.29</v>
      </c>
      <c r="M5173" s="21" t="n">
        <v>499</v>
      </c>
    </row>
    <row r="5174">
      <c r="A5174" s="9" t="inlineStr">
        <is>
          <t>HAIFENG</t>
        </is>
      </c>
      <c r="B5174" s="9" t="inlineStr">
        <is>
          <t>HAIFENG 16/06/2026</t>
        </is>
      </c>
      <c r="C5174" s="9" t="inlineStr">
        <is>
          <t>2026-06-16</t>
        </is>
      </c>
      <c r="D5174" s="9" t="inlineStr">
        <is>
          <t>6453fd2f11ef1</t>
        </is>
      </c>
      <c r="E5174" s="9" t="inlineStr">
        <is>
          <t>PULSERA TREBOL GOLD BLACK VF</t>
        </is>
      </c>
      <c r="F5174" s="9" t="inlineStr">
        <is>
          <t>20cm</t>
        </is>
      </c>
      <c r="G5174" s="9" t="n">
        <v>6</v>
      </c>
      <c r="H5174" s="21" t="n">
        <v>7</v>
      </c>
      <c r="I5174" s="21" t="n">
        <v>147.1</v>
      </c>
      <c r="J5174" s="21" t="n">
        <v>441.31</v>
      </c>
      <c r="K5174" s="21" t="n">
        <v>514.86</v>
      </c>
      <c r="L5174" s="21" t="n">
        <v>588.41</v>
      </c>
      <c r="M5174" s="21" t="n">
        <v>599</v>
      </c>
    </row>
    <row r="5175">
      <c r="A5175" s="9" t="inlineStr">
        <is>
          <t>HAIFENG</t>
        </is>
      </c>
      <c r="B5175" s="9" t="inlineStr">
        <is>
          <t>HAIFENG 16/06/2026</t>
        </is>
      </c>
      <c r="C5175" s="9" t="inlineStr">
        <is>
          <t>2026-06-16</t>
        </is>
      </c>
      <c r="D5175" s="9" t="inlineStr">
        <is>
          <t>43728135385740</t>
        </is>
      </c>
      <c r="E5175" s="9" t="inlineStr">
        <is>
          <t>PULSERA TRÉBOL GOLD-GREEN VF</t>
        </is>
      </c>
      <c r="F5175" s="9" t="inlineStr">
        <is>
          <t>18cm</t>
        </is>
      </c>
      <c r="G5175" s="9" t="n">
        <v>7</v>
      </c>
      <c r="H5175" s="21" t="n">
        <v>7</v>
      </c>
      <c r="I5175" s="21" t="n">
        <v>147.1</v>
      </c>
      <c r="J5175" s="21" t="n">
        <v>441.31</v>
      </c>
      <c r="K5175" s="21" t="n">
        <v>514.86</v>
      </c>
      <c r="L5175" s="21" t="n">
        <v>588.41</v>
      </c>
      <c r="M5175" s="21" t="n">
        <v>599</v>
      </c>
    </row>
    <row r="5176">
      <c r="A5176" s="9" t="inlineStr">
        <is>
          <t>HAIFENG</t>
        </is>
      </c>
      <c r="B5176" s="9" t="inlineStr">
        <is>
          <t>HAIFENG 16/06/2026</t>
        </is>
      </c>
      <c r="C5176" s="9" t="inlineStr">
        <is>
          <t>2026-06-16</t>
        </is>
      </c>
      <c r="D5176" s="9" t="inlineStr">
        <is>
          <t>6617745150ec8</t>
        </is>
      </c>
      <c r="E5176" s="9" t="inlineStr">
        <is>
          <t>PULSERA TRÉBOL SILVER BLACK VF</t>
        </is>
      </c>
      <c r="F5176" s="9" t="inlineStr">
        <is>
          <t>20cm</t>
        </is>
      </c>
      <c r="G5176" s="9" t="n">
        <v>4</v>
      </c>
      <c r="H5176" s="21" t="n">
        <v>7</v>
      </c>
      <c r="I5176" s="21" t="n">
        <v>147.1</v>
      </c>
      <c r="J5176" s="21" t="n">
        <v>441.31</v>
      </c>
      <c r="K5176" s="21" t="n">
        <v>514.86</v>
      </c>
      <c r="L5176" s="21" t="n">
        <v>588.41</v>
      </c>
      <c r="M5176" s="21" t="n">
        <v>599</v>
      </c>
    </row>
    <row r="5177">
      <c r="A5177" s="9" t="inlineStr">
        <is>
          <t>HAIFENG</t>
        </is>
      </c>
      <c r="B5177" s="9" t="inlineStr">
        <is>
          <t>HAIFENG 16/06/2026</t>
        </is>
      </c>
      <c r="C5177" s="9" t="inlineStr">
        <is>
          <t>2026-06-16</t>
        </is>
      </c>
      <c r="D5177" s="9" t="inlineStr">
        <is>
          <t>95854381684653</t>
        </is>
      </c>
      <c r="E5177" s="9" t="inlineStr">
        <is>
          <t>PULSERA VF LUCKY SPRING SINGLE ROSE GOLD</t>
        </is>
      </c>
      <c r="F5177" s="9" t="inlineStr">
        <is>
          <t>Default Title</t>
        </is>
      </c>
      <c r="G5177" s="9" t="n">
        <v>3</v>
      </c>
      <c r="H5177" s="21" t="n">
        <v>4</v>
      </c>
      <c r="I5177" s="21" t="n">
        <v>84.06</v>
      </c>
      <c r="J5177" s="21" t="n">
        <v>252.18</v>
      </c>
      <c r="K5177" s="21" t="n">
        <v>294.2</v>
      </c>
      <c r="L5177" s="21" t="n">
        <v>336.23</v>
      </c>
      <c r="M5177" s="21" t="n">
        <v>400</v>
      </c>
    </row>
    <row r="5178">
      <c r="A5178" s="9" t="inlineStr">
        <is>
          <t>HAIFENG</t>
        </is>
      </c>
      <c r="B5178" s="9" t="inlineStr">
        <is>
          <t>HAIFENG 16/06/2026</t>
        </is>
      </c>
      <c r="C5178" s="9" t="inlineStr">
        <is>
          <t>2026-06-16</t>
        </is>
      </c>
      <c r="D5178" s="9" t="inlineStr">
        <is>
          <t>REYNA</t>
        </is>
      </c>
      <c r="E5178" s="9" t="inlineStr">
        <is>
          <t>anillo love gold</t>
        </is>
      </c>
      <c r="F5178" s="9" t="inlineStr"/>
      <c r="G5178" s="9" t="n">
        <v>2</v>
      </c>
      <c r="H5178" s="21" t="n">
        <v>1.8</v>
      </c>
      <c r="I5178" s="21" t="n">
        <v>37.83</v>
      </c>
      <c r="J5178" s="21" t="n">
        <v>113.48</v>
      </c>
      <c r="K5178" s="21" t="n">
        <v>132.39</v>
      </c>
      <c r="L5178" s="21" t="n">
        <v>151.31</v>
      </c>
      <c r="M5178" s="21" t="n"/>
    </row>
    <row r="5179">
      <c r="A5179" s="9" t="inlineStr">
        <is>
          <t>HAIFENG</t>
        </is>
      </c>
      <c r="B5179" s="9" t="inlineStr">
        <is>
          <t>HAIFENG 16/06/2026</t>
        </is>
      </c>
      <c r="C5179" s="9" t="inlineStr">
        <is>
          <t>2026-06-16</t>
        </is>
      </c>
      <c r="D5179" s="9" t="inlineStr">
        <is>
          <t>REYNA</t>
        </is>
      </c>
      <c r="E5179" s="9" t="inlineStr">
        <is>
          <t>anillo love gold con zirconia</t>
        </is>
      </c>
      <c r="F5179" s="9" t="inlineStr"/>
      <c r="G5179" s="9" t="n">
        <v>1</v>
      </c>
      <c r="H5179" s="21" t="n">
        <v>1.8</v>
      </c>
      <c r="I5179" s="21" t="n">
        <v>37.83</v>
      </c>
      <c r="J5179" s="21" t="n">
        <v>113.48</v>
      </c>
      <c r="K5179" s="21" t="n">
        <v>132.39</v>
      </c>
      <c r="L5179" s="21" t="n">
        <v>151.31</v>
      </c>
      <c r="M5179" s="21" t="n"/>
    </row>
    <row r="5180">
      <c r="A5180" s="9" t="inlineStr">
        <is>
          <t>HAIFENG</t>
        </is>
      </c>
      <c r="B5180" s="9" t="inlineStr">
        <is>
          <t>HAIFENG 16/06/2026</t>
        </is>
      </c>
      <c r="C5180" s="9" t="inlineStr">
        <is>
          <t>2026-06-16</t>
        </is>
      </c>
      <c r="D5180" s="9" t="inlineStr">
        <is>
          <t>REYNA</t>
        </is>
      </c>
      <c r="E5180" s="9" t="inlineStr">
        <is>
          <t>aretes c gold</t>
        </is>
      </c>
      <c r="F5180" s="9" t="inlineStr"/>
      <c r="G5180" s="9" t="n">
        <v>1</v>
      </c>
      <c r="H5180" s="21" t="n">
        <v>5.99</v>
      </c>
      <c r="I5180" s="21" t="n">
        <v>125.88</v>
      </c>
      <c r="J5180" s="21" t="n">
        <v>377.63</v>
      </c>
      <c r="K5180" s="21" t="n">
        <v>440.57</v>
      </c>
      <c r="L5180" s="21" t="n">
        <v>503.51</v>
      </c>
      <c r="M5180" s="21" t="n"/>
    </row>
    <row r="5181">
      <c r="A5181" s="9" t="inlineStr">
        <is>
          <t>HAIFENG</t>
        </is>
      </c>
      <c r="B5181" s="9" t="inlineStr">
        <is>
          <t>HAIFENG 16/06/2026</t>
        </is>
      </c>
      <c r="C5181" s="9" t="inlineStr">
        <is>
          <t>2026-06-16</t>
        </is>
      </c>
      <c r="D5181" s="9" t="inlineStr">
        <is>
          <t>REYNA</t>
        </is>
      </c>
      <c r="E5181" s="9" t="inlineStr">
        <is>
          <t>aretes c gold con zirconias</t>
        </is>
      </c>
      <c r="F5181" s="9" t="inlineStr"/>
      <c r="G5181" s="9" t="n">
        <v>1</v>
      </c>
      <c r="H5181" s="21" t="n">
        <v>5.99</v>
      </c>
      <c r="I5181" s="21" t="n">
        <v>125.88</v>
      </c>
      <c r="J5181" s="21" t="n">
        <v>377.63</v>
      </c>
      <c r="K5181" s="21" t="n">
        <v>440.57</v>
      </c>
      <c r="L5181" s="21" t="n">
        <v>503.51</v>
      </c>
      <c r="M5181" s="21" t="n"/>
    </row>
    <row r="5182">
      <c r="A5182" s="9" t="inlineStr">
        <is>
          <t>CYNTHIA</t>
        </is>
      </c>
      <c r="B5182" s="9" t="inlineStr">
        <is>
          <t>CYN070726*</t>
        </is>
      </c>
      <c r="C5182" s="9" t="inlineStr">
        <is>
          <t>2026-07-07</t>
        </is>
      </c>
      <c r="D5182" s="9" t="inlineStr">
        <is>
          <t>43897301288173</t>
        </is>
      </c>
      <c r="E5182" s="9" t="inlineStr">
        <is>
          <t>(Sin nombre)</t>
        </is>
      </c>
      <c r="F5182" s="9" t="inlineStr">
        <is>
          <t>XGH493116 26cm w</t>
        </is>
      </c>
      <c r="G5182" s="9" t="n"/>
      <c r="H5182" s="21" t="n">
        <v>63</v>
      </c>
      <c r="I5182" s="21" t="n"/>
      <c r="J5182" s="21" t="n"/>
      <c r="K5182" s="21" t="n"/>
      <c r="L5182" s="21" t="n"/>
      <c r="M5182" s="21" t="n"/>
    </row>
    <row r="5183">
      <c r="A5183" s="9" t="inlineStr">
        <is>
          <t>CYNTHIA</t>
        </is>
      </c>
      <c r="B5183" s="9" t="inlineStr">
        <is>
          <t>CYN070726*</t>
        </is>
      </c>
      <c r="C5183" s="9" t="inlineStr">
        <is>
          <t>2026-07-07</t>
        </is>
      </c>
      <c r="D5183" s="9" t="inlineStr">
        <is>
          <t>43078594756748</t>
        </is>
      </c>
      <c r="E5183" s="9" t="inlineStr">
        <is>
          <t>ANILLO P SHINNY FLOWER</t>
        </is>
      </c>
      <c r="F5183" s="9" t="inlineStr">
        <is>
          <t>7</t>
        </is>
      </c>
      <c r="G5183" s="9" t="n"/>
      <c r="H5183" s="21" t="n">
        <v>2.6</v>
      </c>
      <c r="I5183" s="21" t="n"/>
      <c r="J5183" s="21" t="n"/>
      <c r="K5183" s="21" t="n"/>
      <c r="L5183" s="21" t="n"/>
      <c r="M5183" s="21" t="n"/>
    </row>
    <row r="5184">
      <c r="A5184" s="9" t="inlineStr">
        <is>
          <t>CYNTHIA</t>
        </is>
      </c>
      <c r="B5184" s="9" t="inlineStr">
        <is>
          <t>CYN070726*</t>
        </is>
      </c>
      <c r="C5184" s="9" t="inlineStr">
        <is>
          <t>2026-07-07</t>
        </is>
      </c>
      <c r="D5184" s="9" t="inlineStr">
        <is>
          <t>43728071296588</t>
        </is>
      </c>
      <c r="E5184" s="9" t="inlineStr">
        <is>
          <t>ANILLO SERPENTI LISO GOLD</t>
        </is>
      </c>
      <c r="F5184" s="9" t="inlineStr">
        <is>
          <t>XGN gold</t>
        </is>
      </c>
      <c r="G5184" s="9" t="n"/>
      <c r="H5184" s="21" t="n">
        <v>6.9</v>
      </c>
      <c r="I5184" s="21" t="n"/>
      <c r="J5184" s="21" t="n"/>
      <c r="K5184" s="21" t="n"/>
      <c r="L5184" s="21" t="n"/>
      <c r="M5184" s="21" t="n"/>
    </row>
    <row r="5185">
      <c r="A5185" s="9" t="inlineStr">
        <is>
          <t>CYNTHIA</t>
        </is>
      </c>
      <c r="B5185" s="9" t="inlineStr">
        <is>
          <t>CYN070726*</t>
        </is>
      </c>
      <c r="C5185" s="9" t="inlineStr">
        <is>
          <t>2026-07-07</t>
        </is>
      </c>
      <c r="D5185" s="9" t="inlineStr">
        <is>
          <t>38332091186797</t>
        </is>
      </c>
      <c r="E5185" s="9" t="inlineStr">
        <is>
          <t>ANILLO T EDGE SILVER</t>
        </is>
      </c>
      <c r="F5185" s="9" t="inlineStr">
        <is>
          <t>XGX249-004 7#</t>
        </is>
      </c>
      <c r="G5185" s="9" t="n"/>
      <c r="H5185" s="21" t="n">
        <v>10.8</v>
      </c>
      <c r="I5185" s="21" t="n"/>
      <c r="J5185" s="21" t="n"/>
      <c r="K5185" s="21" t="n"/>
      <c r="L5185" s="21" t="n"/>
      <c r="M5185" s="21" t="n"/>
    </row>
    <row r="5186">
      <c r="A5186" s="9" t="inlineStr">
        <is>
          <t>CYNTHIA</t>
        </is>
      </c>
      <c r="B5186" s="9" t="inlineStr">
        <is>
          <t>CYN070726*</t>
        </is>
      </c>
      <c r="C5186" s="9" t="inlineStr">
        <is>
          <t>2026-07-07</t>
        </is>
      </c>
      <c r="D5186" s="9" t="inlineStr">
        <is>
          <t>94792221051565</t>
        </is>
      </c>
      <c r="E5186" s="9" t="inlineStr">
        <is>
          <t>ARETES BLOSSOM STAR GOLD</t>
        </is>
      </c>
      <c r="F5186" s="9" t="inlineStr">
        <is>
          <t>REGULAR</t>
        </is>
      </c>
      <c r="G5186" s="9" t="n"/>
      <c r="H5186" s="21" t="n">
        <v>6.8</v>
      </c>
      <c r="I5186" s="21" t="n"/>
      <c r="J5186" s="21" t="n"/>
      <c r="K5186" s="21" t="n"/>
      <c r="L5186" s="21" t="n"/>
      <c r="M5186" s="21" t="n"/>
    </row>
    <row r="5187">
      <c r="A5187" s="9" t="inlineStr">
        <is>
          <t>CYNTHIA</t>
        </is>
      </c>
      <c r="B5187" s="9" t="inlineStr">
        <is>
          <t>CYN070726*</t>
        </is>
      </c>
      <c r="C5187" s="9" t="inlineStr">
        <is>
          <t>2026-07-07</t>
        </is>
      </c>
      <c r="D5187" s="9" t="inlineStr">
        <is>
          <t>64e78d3baafe7</t>
        </is>
      </c>
      <c r="E5187" s="9" t="inlineStr">
        <is>
          <t>ARETES BLOSSOM STAR ROSE GOLD</t>
        </is>
      </c>
      <c r="F5187" s="9" t="inlineStr">
        <is>
          <t>white flower ros</t>
        </is>
      </c>
      <c r="G5187" s="9" t="n"/>
      <c r="H5187" s="21" t="n">
        <v>6.8</v>
      </c>
      <c r="I5187" s="21" t="n"/>
      <c r="J5187" s="21" t="n"/>
      <c r="K5187" s="21" t="n"/>
      <c r="L5187" s="21" t="n"/>
      <c r="M5187" s="21" t="n"/>
    </row>
    <row r="5188">
      <c r="A5188" s="9" t="inlineStr">
        <is>
          <t>CYNTHIA</t>
        </is>
      </c>
      <c r="B5188" s="9" t="inlineStr">
        <is>
          <t>CYN070726*</t>
        </is>
      </c>
      <c r="C5188" s="9" t="inlineStr">
        <is>
          <t>2026-07-07</t>
        </is>
      </c>
      <c r="D5188" s="9" t="inlineStr">
        <is>
          <t>63ebd72976d60</t>
        </is>
      </c>
      <c r="E5188" s="9" t="inlineStr">
        <is>
          <t>ARETES CC ROSE GOLD</t>
        </is>
      </c>
      <c r="F5188" s="9" t="inlineStr">
        <is>
          <t>XGK 1.2cm rose g</t>
        </is>
      </c>
      <c r="G5188" s="9" t="n"/>
      <c r="H5188" s="21" t="n">
        <v>2</v>
      </c>
      <c r="I5188" s="21" t="n"/>
      <c r="J5188" s="21" t="n"/>
      <c r="K5188" s="21" t="n"/>
      <c r="L5188" s="21" t="n"/>
      <c r="M5188" s="21" t="n"/>
    </row>
    <row r="5189">
      <c r="A5189" s="9" t="inlineStr">
        <is>
          <t>CYNTHIA</t>
        </is>
      </c>
      <c r="B5189" s="9" t="inlineStr">
        <is>
          <t>CYN070726*</t>
        </is>
      </c>
      <c r="C5189" s="9" t="inlineStr">
        <is>
          <t>2026-07-07</t>
        </is>
      </c>
      <c r="D5189" s="9" t="inlineStr">
        <is>
          <t>63e0bb0816c62</t>
        </is>
      </c>
      <c r="E5189" s="9" t="inlineStr">
        <is>
          <t>ARETES CC SILVER</t>
        </is>
      </c>
      <c r="F5189" s="9" t="inlineStr">
        <is>
          <t>Default Title</t>
        </is>
      </c>
      <c r="G5189" s="9" t="n"/>
      <c r="H5189" s="21" t="n">
        <v>2</v>
      </c>
      <c r="I5189" s="21" t="n"/>
      <c r="J5189" s="21" t="n"/>
      <c r="K5189" s="21" t="n"/>
      <c r="L5189" s="21" t="n"/>
      <c r="M5189" s="21" t="n"/>
    </row>
    <row r="5190">
      <c r="A5190" s="9" t="inlineStr">
        <is>
          <t>CYNTHIA</t>
        </is>
      </c>
      <c r="B5190" s="9" t="inlineStr">
        <is>
          <t>CYN070726*</t>
        </is>
      </c>
      <c r="C5190" s="9" t="inlineStr">
        <is>
          <t>2026-07-07</t>
        </is>
      </c>
      <c r="D5190" s="9" t="inlineStr">
        <is>
          <t>64e78e725d8db</t>
        </is>
      </c>
      <c r="E5190" s="9" t="inlineStr">
        <is>
          <t>ARETES CD CON PERLA GOLD DR</t>
        </is>
      </c>
      <c r="F5190" s="9" t="inlineStr">
        <is>
          <t>XGJSA306 gold</t>
        </is>
      </c>
      <c r="G5190" s="9" t="n"/>
      <c r="H5190" s="21" t="n">
        <v>6.08</v>
      </c>
      <c r="I5190" s="21" t="n"/>
      <c r="J5190" s="21" t="n"/>
      <c r="K5190" s="21" t="n"/>
      <c r="L5190" s="21" t="n"/>
      <c r="M5190" s="21" t="n"/>
    </row>
    <row r="5191">
      <c r="A5191" s="9" t="inlineStr">
        <is>
          <t>CYNTHIA</t>
        </is>
      </c>
      <c r="B5191" s="9" t="inlineStr">
        <is>
          <t>CYN070726*</t>
        </is>
      </c>
      <c r="C5191" s="9" t="inlineStr">
        <is>
          <t>2026-07-07</t>
        </is>
      </c>
      <c r="D5191" s="9" t="inlineStr">
        <is>
          <t>665bb4e678422</t>
        </is>
      </c>
      <c r="E5191" s="9" t="inlineStr">
        <is>
          <t>ARETES CD GOLD</t>
        </is>
      </c>
      <c r="F5191" s="9" t="inlineStr">
        <is>
          <t>XGYY gold</t>
        </is>
      </c>
      <c r="G5191" s="9" t="n"/>
      <c r="H5191" s="21" t="n">
        <v>7</v>
      </c>
      <c r="I5191" s="21" t="n"/>
      <c r="J5191" s="21" t="n"/>
      <c r="K5191" s="21" t="n"/>
      <c r="L5191" s="21" t="n"/>
      <c r="M5191" s="21" t="n"/>
    </row>
    <row r="5192">
      <c r="A5192" s="9" t="inlineStr">
        <is>
          <t>CYNTHIA</t>
        </is>
      </c>
      <c r="B5192" s="9" t="inlineStr">
        <is>
          <t>CYN070726*</t>
        </is>
      </c>
      <c r="C5192" s="9" t="inlineStr">
        <is>
          <t>2026-07-07</t>
        </is>
      </c>
      <c r="D5192" s="9" t="inlineStr">
        <is>
          <t>677c26b6bfd93</t>
        </is>
      </c>
      <c r="E5192" s="9" t="inlineStr">
        <is>
          <t>ARETES CD SILVER</t>
        </is>
      </c>
      <c r="F5192" s="9" t="inlineStr">
        <is>
          <t>silver</t>
        </is>
      </c>
      <c r="G5192" s="9" t="n"/>
      <c r="H5192" s="21" t="n">
        <v>6.8</v>
      </c>
      <c r="I5192" s="21" t="n"/>
      <c r="J5192" s="21" t="n"/>
      <c r="K5192" s="21" t="n"/>
      <c r="L5192" s="21" t="n"/>
      <c r="M5192" s="21" t="n"/>
    </row>
    <row r="5193">
      <c r="A5193" s="9" t="inlineStr">
        <is>
          <t>CYNTHIA</t>
        </is>
      </c>
      <c r="B5193" s="9" t="inlineStr">
        <is>
          <t>CYN070726*</t>
        </is>
      </c>
      <c r="C5193" s="9" t="inlineStr">
        <is>
          <t>2026-07-07</t>
        </is>
      </c>
      <c r="D5193" s="9" t="inlineStr">
        <is>
          <t>17235661006529</t>
        </is>
      </c>
      <c r="E5193" s="9" t="inlineStr">
        <is>
          <t>ARETES CD TRIBALES</t>
        </is>
      </c>
      <c r="F5193" s="9" t="inlineStr">
        <is>
          <t>Default Title</t>
        </is>
      </c>
      <c r="G5193" s="9" t="n"/>
      <c r="H5193" s="21" t="n">
        <v>8.800000000000001</v>
      </c>
      <c r="I5193" s="21" t="n"/>
      <c r="J5193" s="21" t="n"/>
      <c r="K5193" s="21" t="n"/>
      <c r="L5193" s="21" t="n"/>
      <c r="M5193" s="21" t="n"/>
    </row>
    <row r="5194">
      <c r="A5194" s="9" t="inlineStr">
        <is>
          <t>CYNTHIA</t>
        </is>
      </c>
      <c r="B5194" s="9" t="inlineStr">
        <is>
          <t>CYN070726*</t>
        </is>
      </c>
      <c r="C5194" s="9" t="inlineStr">
        <is>
          <t>2026-07-07</t>
        </is>
      </c>
      <c r="D5194" s="9" t="inlineStr">
        <is>
          <t>43047217758348</t>
        </is>
      </c>
      <c r="E5194" s="9" t="inlineStr">
        <is>
          <t>ARETES CORAZÓN GRABADO GOLD</t>
        </is>
      </c>
      <c r="F5194" s="9" t="inlineStr">
        <is>
          <t>XGX101847 gold</t>
        </is>
      </c>
      <c r="G5194" s="9" t="n"/>
      <c r="H5194" s="21" t="n">
        <v>5.4</v>
      </c>
      <c r="I5194" s="21" t="n"/>
      <c r="J5194" s="21" t="n"/>
      <c r="K5194" s="21" t="n"/>
      <c r="L5194" s="21" t="n"/>
      <c r="M5194" s="21" t="n"/>
    </row>
    <row r="5195">
      <c r="A5195" s="9" t="inlineStr">
        <is>
          <t>CYNTHIA</t>
        </is>
      </c>
      <c r="B5195" s="9" t="inlineStr">
        <is>
          <t>CYN070726*</t>
        </is>
      </c>
      <c r="C5195" s="9" t="inlineStr">
        <is>
          <t>2026-07-07</t>
        </is>
      </c>
      <c r="D5195" s="9" t="inlineStr">
        <is>
          <t>43047196360844</t>
        </is>
      </c>
      <c r="E5195" s="9" t="inlineStr">
        <is>
          <t>ARETES CORAZÓN GRABADO SILVER</t>
        </is>
      </c>
      <c r="F5195" s="9" t="inlineStr">
        <is>
          <t>Default Title</t>
        </is>
      </c>
      <c r="G5195" s="9" t="n"/>
      <c r="H5195" s="21" t="n">
        <v>5.4</v>
      </c>
      <c r="I5195" s="21" t="n"/>
      <c r="J5195" s="21" t="n"/>
      <c r="K5195" s="21" t="n"/>
      <c r="L5195" s="21" t="n"/>
      <c r="M5195" s="21" t="n"/>
    </row>
    <row r="5196">
      <c r="A5196" s="9" t="inlineStr">
        <is>
          <t>CYNTHIA</t>
        </is>
      </c>
      <c r="B5196" s="9" t="inlineStr">
        <is>
          <t>CYN070726*</t>
        </is>
      </c>
      <c r="C5196" s="9" t="inlineStr">
        <is>
          <t>2026-07-07</t>
        </is>
      </c>
      <c r="D5196" s="9" t="inlineStr">
        <is>
          <t>15711172175405</t>
        </is>
      </c>
      <c r="E5196" s="9" t="inlineStr">
        <is>
          <t>ARETES DIORIVIERA GOLD CD</t>
        </is>
      </c>
      <c r="F5196" s="9" t="inlineStr">
        <is>
          <t>Default Title</t>
        </is>
      </c>
      <c r="G5196" s="9" t="n"/>
      <c r="H5196" s="21" t="n">
        <v>10</v>
      </c>
      <c r="I5196" s="21" t="n"/>
      <c r="J5196" s="21" t="n"/>
      <c r="K5196" s="21" t="n"/>
      <c r="L5196" s="21" t="n"/>
      <c r="M5196" s="21" t="n"/>
    </row>
    <row r="5197">
      <c r="A5197" s="9" t="inlineStr">
        <is>
          <t>CYNTHIA</t>
        </is>
      </c>
      <c r="B5197" s="9" t="inlineStr">
        <is>
          <t>CYN070726*</t>
        </is>
      </c>
      <c r="C5197" s="9" t="inlineStr">
        <is>
          <t>2026-07-07</t>
        </is>
      </c>
      <c r="D5197" s="9" t="inlineStr">
        <is>
          <t>38332091513773</t>
        </is>
      </c>
      <c r="E5197" s="9" t="inlineStr">
        <is>
          <t>ARETES LOGO CC GOLD CON ZIRCONIAS</t>
        </is>
      </c>
      <c r="F5197" s="9" t="inlineStr">
        <is>
          <t>gold</t>
        </is>
      </c>
      <c r="G5197" s="9" t="n"/>
      <c r="H5197" s="21" t="n">
        <v>3.78</v>
      </c>
      <c r="I5197" s="21" t="n"/>
      <c r="J5197" s="21" t="n"/>
      <c r="K5197" s="21" t="n"/>
      <c r="L5197" s="21" t="n"/>
      <c r="M5197" s="21" t="n"/>
    </row>
    <row r="5198">
      <c r="A5198" s="9" t="inlineStr">
        <is>
          <t>CYNTHIA</t>
        </is>
      </c>
      <c r="B5198" s="9" t="inlineStr">
        <is>
          <t>CYN070726*</t>
        </is>
      </c>
      <c r="C5198" s="9" t="inlineStr">
        <is>
          <t>2026-07-07</t>
        </is>
      </c>
      <c r="D5198" s="9" t="inlineStr">
        <is>
          <t>665bb51b8f87b-1</t>
        </is>
      </c>
      <c r="E5198" s="9" t="inlineStr">
        <is>
          <t>ARETES LOVE DORADOS</t>
        </is>
      </c>
      <c r="F5198" s="9" t="inlineStr">
        <is>
          <t>Regular</t>
        </is>
      </c>
      <c r="G5198" s="9" t="n"/>
      <c r="H5198" s="21" t="n">
        <v>2.6</v>
      </c>
      <c r="I5198" s="21" t="n"/>
      <c r="J5198" s="21" t="n"/>
      <c r="K5198" s="21" t="n"/>
      <c r="L5198" s="21" t="n"/>
      <c r="M5198" s="21" t="n"/>
    </row>
    <row r="5199">
      <c r="A5199" s="9" t="inlineStr">
        <is>
          <t>CYNTHIA</t>
        </is>
      </c>
      <c r="B5199" s="9" t="inlineStr">
        <is>
          <t>CYN070726*</t>
        </is>
      </c>
      <c r="C5199" s="9" t="inlineStr">
        <is>
          <t>2026-07-07</t>
        </is>
      </c>
      <c r="D5199" s="9" t="inlineStr">
        <is>
          <t>661786775a1bb</t>
        </is>
      </c>
      <c r="E5199" s="9" t="inlineStr">
        <is>
          <t>ARETES LOVE SILVER</t>
        </is>
      </c>
      <c r="F5199" s="9" t="inlineStr">
        <is>
          <t>XGYL0002-without</t>
        </is>
      </c>
      <c r="G5199" s="9" t="n"/>
      <c r="H5199" s="21" t="n">
        <v>2.6</v>
      </c>
      <c r="I5199" s="21" t="n"/>
      <c r="J5199" s="21" t="n"/>
      <c r="K5199" s="21" t="n"/>
      <c r="L5199" s="21" t="n"/>
      <c r="M5199" s="21" t="n"/>
    </row>
    <row r="5200">
      <c r="A5200" s="9" t="inlineStr">
        <is>
          <t>CYNTHIA</t>
        </is>
      </c>
      <c r="B5200" s="9" t="inlineStr">
        <is>
          <t>CYN070726*</t>
        </is>
      </c>
      <c r="C5200" s="9" t="inlineStr">
        <is>
          <t>2026-07-07</t>
        </is>
      </c>
      <c r="D5200" s="9" t="inlineStr">
        <is>
          <t>63e0bd172995f-1</t>
        </is>
      </c>
      <c r="E5200" s="9" t="inlineStr">
        <is>
          <t>ARETES LV GOLD</t>
        </is>
      </c>
      <c r="F5200" s="9" t="inlineStr">
        <is>
          <t>XGJSA767 gold</t>
        </is>
      </c>
      <c r="G5200" s="9" t="n"/>
      <c r="H5200" s="21" t="n">
        <v>5.18</v>
      </c>
      <c r="I5200" s="21" t="n"/>
      <c r="J5200" s="21" t="n"/>
      <c r="K5200" s="21" t="n"/>
      <c r="L5200" s="21" t="n"/>
      <c r="M5200" s="21" t="n"/>
    </row>
    <row r="5201">
      <c r="A5201" s="9" t="inlineStr">
        <is>
          <t>CYNTHIA</t>
        </is>
      </c>
      <c r="B5201" s="9" t="inlineStr">
        <is>
          <t>CYN070726*</t>
        </is>
      </c>
      <c r="C5201" s="9" t="inlineStr">
        <is>
          <t>2026-07-07</t>
        </is>
      </c>
      <c r="D5201" s="9" t="inlineStr">
        <is>
          <t>64e78e740ecaf-1</t>
        </is>
      </c>
      <c r="E5201" s="9" t="inlineStr">
        <is>
          <t>ARETES LV LOGO GOLD</t>
        </is>
      </c>
      <c r="F5201" s="9" t="inlineStr">
        <is>
          <t>XGXKY gold</t>
        </is>
      </c>
      <c r="G5201" s="9" t="n"/>
      <c r="H5201" s="21" t="n">
        <v>6</v>
      </c>
      <c r="I5201" s="21" t="n"/>
      <c r="J5201" s="21" t="n"/>
      <c r="K5201" s="21" t="n"/>
      <c r="L5201" s="21" t="n"/>
      <c r="M5201" s="21" t="n"/>
    </row>
    <row r="5202">
      <c r="A5202" s="9" t="inlineStr">
        <is>
          <t>CYNTHIA</t>
        </is>
      </c>
      <c r="B5202" s="9" t="inlineStr">
        <is>
          <t>CYN070726*</t>
        </is>
      </c>
      <c r="C5202" s="9" t="inlineStr">
        <is>
          <t>2026-07-07</t>
        </is>
      </c>
      <c r="D5202" s="9" t="inlineStr">
        <is>
          <t>38332091841901</t>
        </is>
      </c>
      <c r="E5202" s="9" t="inlineStr">
        <is>
          <t>ARETES LW ANAGRAM GOLD</t>
        </is>
      </c>
      <c r="F5202" s="9" t="inlineStr">
        <is>
          <t>XGZG1689 gold</t>
        </is>
      </c>
      <c r="G5202" s="9" t="n"/>
      <c r="H5202" s="21" t="n">
        <v>3.5</v>
      </c>
      <c r="I5202" s="21" t="n"/>
      <c r="J5202" s="21" t="n"/>
      <c r="K5202" s="21" t="n"/>
      <c r="L5202" s="21" t="n"/>
      <c r="M5202" s="21" t="n"/>
    </row>
    <row r="5203">
      <c r="A5203" s="9" t="inlineStr">
        <is>
          <t>CYNTHIA</t>
        </is>
      </c>
      <c r="B5203" s="9" t="inlineStr">
        <is>
          <t>CYN070726*</t>
        </is>
      </c>
      <c r="C5203" s="9" t="inlineStr">
        <is>
          <t>2026-07-07</t>
        </is>
      </c>
      <c r="D5203" s="9" t="inlineStr">
        <is>
          <t>34876761251373</t>
        </is>
      </c>
      <c r="E5203" s="9" t="inlineStr">
        <is>
          <t>ARETES T SQUARE SIXTEEN STONE</t>
        </is>
      </c>
      <c r="F5203" s="9" t="inlineStr">
        <is>
          <t>XGNT6-004</t>
        </is>
      </c>
      <c r="G5203" s="9" t="n"/>
      <c r="H5203" s="21" t="n">
        <v>7</v>
      </c>
      <c r="I5203" s="21" t="n"/>
      <c r="J5203" s="21" t="n"/>
      <c r="K5203" s="21" t="n"/>
      <c r="L5203" s="21" t="n"/>
      <c r="M5203" s="21" t="n"/>
    </row>
    <row r="5204">
      <c r="A5204" s="9" t="inlineStr">
        <is>
          <t>CYNTHIA</t>
        </is>
      </c>
      <c r="B5204" s="9" t="inlineStr">
        <is>
          <t>CYN070726*</t>
        </is>
      </c>
      <c r="C5204" s="9" t="inlineStr">
        <is>
          <t>2026-07-07</t>
        </is>
      </c>
      <c r="D5204" s="9" t="inlineStr">
        <is>
          <t>63e0bd204f826</t>
        </is>
      </c>
      <c r="E5204" s="9" t="inlineStr">
        <is>
          <t>ARETES T-SMILE GOLD</t>
        </is>
      </c>
      <c r="F5204" s="9" t="inlineStr">
        <is>
          <t>XGJSA684 gold</t>
        </is>
      </c>
      <c r="G5204" s="9" t="n"/>
      <c r="H5204" s="21" t="n">
        <v>3.3</v>
      </c>
      <c r="I5204" s="21" t="n"/>
      <c r="J5204" s="21" t="n"/>
      <c r="K5204" s="21" t="n"/>
      <c r="L5204" s="21" t="n"/>
      <c r="M5204" s="21" t="n"/>
    </row>
    <row r="5205">
      <c r="A5205" s="9" t="inlineStr">
        <is>
          <t>CYNTHIA</t>
        </is>
      </c>
      <c r="B5205" s="9" t="inlineStr">
        <is>
          <t>CYN070726*</t>
        </is>
      </c>
      <c r="C5205" s="9" t="inlineStr">
        <is>
          <t>2026-07-07</t>
        </is>
      </c>
      <c r="D5205" s="9" t="inlineStr">
        <is>
          <t>63e0bd2165d38</t>
        </is>
      </c>
      <c r="E5205" s="9" t="inlineStr">
        <is>
          <t>ARETES T-SMILE ROSE GOLD</t>
        </is>
      </c>
      <c r="F5205" s="9" t="inlineStr">
        <is>
          <t>1cm</t>
        </is>
      </c>
      <c r="G5205" s="9" t="n"/>
      <c r="H5205" s="21" t="n">
        <v>3.3</v>
      </c>
      <c r="I5205" s="21" t="n"/>
      <c r="J5205" s="21" t="n"/>
      <c r="K5205" s="21" t="n"/>
      <c r="L5205" s="21" t="n"/>
      <c r="M5205" s="21" t="n"/>
    </row>
    <row r="5206">
      <c r="A5206" s="9" t="inlineStr">
        <is>
          <t>CYNTHIA</t>
        </is>
      </c>
      <c r="B5206" s="9" t="inlineStr">
        <is>
          <t>CYN070726*</t>
        </is>
      </c>
      <c r="C5206" s="9" t="inlineStr">
        <is>
          <t>2026-07-07</t>
        </is>
      </c>
      <c r="D5206" s="9" t="inlineStr">
        <is>
          <t>641b376c85b37</t>
        </is>
      </c>
      <c r="E5206" s="9" t="inlineStr">
        <is>
          <t>ARETES T-SMILE ROSE GOLD CON ZIRCONIA</t>
        </is>
      </c>
      <c r="F5206" s="9" t="inlineStr">
        <is>
          <t>rose gold</t>
        </is>
      </c>
      <c r="G5206" s="9" t="n"/>
      <c r="H5206" s="21" t="n">
        <v>6.8</v>
      </c>
      <c r="I5206" s="21" t="n"/>
      <c r="J5206" s="21" t="n"/>
      <c r="K5206" s="21" t="n"/>
      <c r="L5206" s="21" t="n"/>
      <c r="M5206" s="21" t="n"/>
    </row>
    <row r="5207">
      <c r="A5207" s="9" t="inlineStr">
        <is>
          <t>CYNTHIA</t>
        </is>
      </c>
      <c r="B5207" s="9" t="inlineStr">
        <is>
          <t>CYN070726*</t>
        </is>
      </c>
      <c r="C5207" s="9" t="inlineStr">
        <is>
          <t>2026-07-07</t>
        </is>
      </c>
      <c r="D5207" s="9" t="inlineStr">
        <is>
          <t>63e0bd216689b-2</t>
        </is>
      </c>
      <c r="E5207" s="9" t="inlineStr">
        <is>
          <t>ARETES T-SMILE SILVER</t>
        </is>
      </c>
      <c r="F5207" s="9" t="inlineStr">
        <is>
          <t>1cm</t>
        </is>
      </c>
      <c r="G5207" s="9" t="n"/>
      <c r="H5207" s="21" t="n">
        <v>3.88</v>
      </c>
      <c r="I5207" s="21" t="n"/>
      <c r="J5207" s="21" t="n"/>
      <c r="K5207" s="21" t="n"/>
      <c r="L5207" s="21" t="n"/>
      <c r="M5207" s="21" t="n"/>
    </row>
    <row r="5208">
      <c r="A5208" s="9" t="inlineStr">
        <is>
          <t>CYNTHIA</t>
        </is>
      </c>
      <c r="B5208" s="9" t="inlineStr">
        <is>
          <t>CYN070726*</t>
        </is>
      </c>
      <c r="C5208" s="9" t="inlineStr">
        <is>
          <t>2026-07-07</t>
        </is>
      </c>
      <c r="D5208" s="9" t="inlineStr">
        <is>
          <t>43071749587084</t>
        </is>
      </c>
      <c r="E5208" s="9" t="inlineStr">
        <is>
          <t>ARETES V CON PERLA</t>
        </is>
      </c>
      <c r="F5208" s="9" t="inlineStr">
        <is>
          <t>XGN5-026</t>
        </is>
      </c>
      <c r="G5208" s="9" t="n"/>
      <c r="H5208" s="21" t="n">
        <v>8.800000000000001</v>
      </c>
      <c r="I5208" s="21" t="n"/>
      <c r="J5208" s="21" t="n"/>
      <c r="K5208" s="21" t="n"/>
      <c r="L5208" s="21" t="n"/>
      <c r="M5208" s="21" t="n"/>
    </row>
    <row r="5209">
      <c r="A5209" s="9" t="inlineStr">
        <is>
          <t>CYNTHIA</t>
        </is>
      </c>
      <c r="B5209" s="9" t="inlineStr">
        <is>
          <t>CYN070726*</t>
        </is>
      </c>
      <c r="C5209" s="9" t="inlineStr">
        <is>
          <t>2026-07-07</t>
        </is>
      </c>
      <c r="D5209" s="9" t="inlineStr">
        <is>
          <t>665bd4b033012</t>
        </is>
      </c>
      <c r="E5209" s="9" t="inlineStr">
        <is>
          <t>ARETES YSL SILVER</t>
        </is>
      </c>
      <c r="F5209" s="9" t="inlineStr">
        <is>
          <t>XG</t>
        </is>
      </c>
      <c r="G5209" s="9" t="n"/>
      <c r="H5209" s="21" t="n">
        <v>4.6</v>
      </c>
      <c r="I5209" s="21" t="n"/>
      <c r="J5209" s="21" t="n"/>
      <c r="K5209" s="21" t="n"/>
      <c r="L5209" s="21" t="n"/>
      <c r="M5209" s="21" t="n"/>
    </row>
    <row r="5210">
      <c r="A5210" s="9" t="inlineStr">
        <is>
          <t>CYNTHIA</t>
        </is>
      </c>
      <c r="B5210" s="9" t="inlineStr">
        <is>
          <t>CYN070726*</t>
        </is>
      </c>
      <c r="C5210" s="9" t="inlineStr">
        <is>
          <t>2026-07-07</t>
        </is>
      </c>
      <c r="D5210" s="9" t="inlineStr">
        <is>
          <t>29603521001805</t>
        </is>
      </c>
      <c r="E5210" s="9" t="inlineStr">
        <is>
          <t>ARRACADAS CD LOGO CON ZIRCONIAS</t>
        </is>
      </c>
      <c r="F5210" s="9" t="inlineStr">
        <is>
          <t>XGYY210103</t>
        </is>
      </c>
      <c r="G5210" s="9" t="n"/>
      <c r="H5210" s="21" t="n">
        <v>8.800000000000001</v>
      </c>
      <c r="I5210" s="21" t="n"/>
      <c r="J5210" s="21" t="n"/>
      <c r="K5210" s="21" t="n"/>
      <c r="L5210" s="21" t="n"/>
      <c r="M5210" s="21" t="n"/>
    </row>
    <row r="5211">
      <c r="A5211" s="9" t="inlineStr">
        <is>
          <t>CYNTHIA</t>
        </is>
      </c>
      <c r="B5211" s="9" t="inlineStr">
        <is>
          <t>CYN070726*</t>
        </is>
      </c>
      <c r="C5211" s="9" t="inlineStr">
        <is>
          <t>2026-07-07</t>
        </is>
      </c>
      <c r="D5211" s="9" t="inlineStr">
        <is>
          <t>42101481043501</t>
        </is>
      </c>
      <c r="E5211" s="9" t="inlineStr">
        <is>
          <t>BOLSA CC Nº25</t>
        </is>
      </c>
      <c r="F5211" s="9" t="inlineStr">
        <is>
          <t>XGHD244869 26*19</t>
        </is>
      </c>
      <c r="G5211" s="9" t="n"/>
      <c r="H5211" s="21" t="n">
        <v>66</v>
      </c>
      <c r="I5211" s="21" t="n"/>
      <c r="J5211" s="21" t="n"/>
      <c r="K5211" s="21" t="n"/>
      <c r="L5211" s="21" t="n"/>
      <c r="M5211" s="21" t="n"/>
    </row>
    <row r="5212">
      <c r="A5212" s="9" t="inlineStr">
        <is>
          <t>CYNTHIA</t>
        </is>
      </c>
      <c r="B5212" s="9" t="inlineStr">
        <is>
          <t>CYN070726*</t>
        </is>
      </c>
      <c r="C5212" s="9" t="inlineStr">
        <is>
          <t>2026-07-07</t>
        </is>
      </c>
      <c r="D5212" s="9" t="inlineStr">
        <is>
          <t>43897301164429</t>
        </is>
      </c>
      <c r="E5212" s="9" t="inlineStr">
        <is>
          <t>BOLSA CC Nº25 BABY BLUE</t>
        </is>
      </c>
      <c r="F5212" s="9" t="inlineStr">
        <is>
          <t>XGH493116 26cm b</t>
        </is>
      </c>
      <c r="G5212" s="9" t="n"/>
      <c r="H5212" s="21" t="n">
        <v>63</v>
      </c>
      <c r="I5212" s="21" t="n"/>
      <c r="J5212" s="21" t="n"/>
      <c r="K5212" s="21" t="n"/>
      <c r="L5212" s="21" t="n"/>
      <c r="M5212" s="21" t="n"/>
    </row>
    <row r="5213">
      <c r="A5213" s="9" t="inlineStr">
        <is>
          <t>CYNTHIA</t>
        </is>
      </c>
      <c r="B5213" s="9" t="inlineStr">
        <is>
          <t>CYN070726*</t>
        </is>
      </c>
      <c r="C5213" s="9" t="inlineStr">
        <is>
          <t>2026-07-07</t>
        </is>
      </c>
      <c r="D5213" s="9" t="inlineStr">
        <is>
          <t>43897301090413</t>
        </is>
      </c>
      <c r="E5213" s="9" t="inlineStr">
        <is>
          <t>BOLSA CC Nº25 YELLOW</t>
        </is>
      </c>
      <c r="F5213" s="9" t="inlineStr">
        <is>
          <t>Default Title</t>
        </is>
      </c>
      <c r="G5213" s="9" t="n"/>
      <c r="H5213" s="21" t="n">
        <v>63</v>
      </c>
      <c r="I5213" s="21" t="n"/>
      <c r="J5213" s="21" t="n"/>
      <c r="K5213" s="21" t="n"/>
      <c r="L5213" s="21" t="n"/>
      <c r="M5213" s="21" t="n"/>
    </row>
    <row r="5214">
      <c r="A5214" s="9" t="inlineStr">
        <is>
          <t>CYNTHIA</t>
        </is>
      </c>
      <c r="B5214" s="9" t="inlineStr">
        <is>
          <t>CYN070726*</t>
        </is>
      </c>
      <c r="C5214" s="9" t="inlineStr">
        <is>
          <t>2026-07-07</t>
        </is>
      </c>
      <c r="D5214" s="9" t="inlineStr">
        <is>
          <t>14401521745677</t>
        </is>
      </c>
      <c r="E5214" s="9" t="inlineStr">
        <is>
          <t>BOLSO C CABAS PANIER BROWN</t>
        </is>
      </c>
      <c r="F5214" s="9" t="inlineStr">
        <is>
          <t>XGH728338 16cm</t>
        </is>
      </c>
      <c r="G5214" s="9" t="n"/>
      <c r="H5214" s="21" t="n">
        <v>43</v>
      </c>
      <c r="I5214" s="21" t="n"/>
      <c r="J5214" s="21" t="n"/>
      <c r="K5214" s="21" t="n"/>
      <c r="L5214" s="21" t="n"/>
      <c r="M5214" s="21" t="n"/>
    </row>
    <row r="5215">
      <c r="A5215" s="9" t="inlineStr">
        <is>
          <t>CYNTHIA</t>
        </is>
      </c>
      <c r="B5215" s="9" t="inlineStr">
        <is>
          <t>CYN070726*</t>
        </is>
      </c>
      <c r="C5215" s="9" t="inlineStr">
        <is>
          <t>2026-07-07</t>
        </is>
      </c>
      <c r="D5215" s="9" t="inlineStr">
        <is>
          <t>68374516907020</t>
        </is>
      </c>
      <c r="E5215" s="9" t="inlineStr">
        <is>
          <t>BOLSO C CLAUDE BLACK</t>
        </is>
      </c>
      <c r="F5215" s="9" t="inlineStr">
        <is>
          <t>21.5cm de largo</t>
        </is>
      </c>
      <c r="G5215" s="9" t="n"/>
      <c r="H5215" s="21" t="n">
        <v>46</v>
      </c>
      <c r="I5215" s="21" t="n"/>
      <c r="J5215" s="21" t="n"/>
      <c r="K5215" s="21" t="n"/>
      <c r="L5215" s="21" t="n"/>
      <c r="M5215" s="21" t="n"/>
    </row>
    <row r="5216">
      <c r="A5216" s="9" t="inlineStr">
        <is>
          <t>CYNTHIA</t>
        </is>
      </c>
      <c r="B5216" s="9" t="inlineStr">
        <is>
          <t>CYN070726*</t>
        </is>
      </c>
      <c r="C5216" s="9" t="inlineStr">
        <is>
          <t>2026-07-07</t>
        </is>
      </c>
      <c r="D5216" s="9" t="inlineStr">
        <is>
          <t>81712809885196</t>
        </is>
      </c>
      <c r="E5216" s="9" t="inlineStr">
        <is>
          <t>BOLSO C CLAUDE SILVER BLACK</t>
        </is>
      </c>
      <c r="F5216" s="9" t="inlineStr">
        <is>
          <t>20.5cm de largo</t>
        </is>
      </c>
      <c r="G5216" s="9" t="n"/>
      <c r="H5216" s="21" t="n">
        <v>46</v>
      </c>
      <c r="I5216" s="21" t="n"/>
      <c r="J5216" s="21" t="n"/>
      <c r="K5216" s="21" t="n"/>
      <c r="L5216" s="21" t="n"/>
      <c r="M5216" s="21" t="n"/>
    </row>
    <row r="5217">
      <c r="A5217" s="9" t="inlineStr">
        <is>
          <t>CYNTHIA</t>
        </is>
      </c>
      <c r="B5217" s="9" t="inlineStr">
        <is>
          <t>CYN070726*</t>
        </is>
      </c>
      <c r="C5217" s="9" t="inlineStr">
        <is>
          <t>2026-07-07</t>
        </is>
      </c>
      <c r="D5217" s="9" t="inlineStr">
        <is>
          <t>14401521878445</t>
        </is>
      </c>
      <c r="E5217" s="9" t="inlineStr">
        <is>
          <t>BOLSO C HALFMOON BLACK</t>
        </is>
      </c>
      <c r="F5217" s="9" t="inlineStr">
        <is>
          <t>XGH514937 47cm</t>
        </is>
      </c>
      <c r="G5217" s="9" t="n"/>
      <c r="H5217" s="21" t="n">
        <v>65</v>
      </c>
      <c r="I5217" s="21" t="n"/>
      <c r="J5217" s="21" t="n"/>
      <c r="K5217" s="21" t="n"/>
      <c r="L5217" s="21" t="n"/>
      <c r="M5217" s="21" t="n"/>
    </row>
    <row r="5218">
      <c r="A5218" s="9" t="inlineStr">
        <is>
          <t>CYNTHIA</t>
        </is>
      </c>
      <c r="B5218" s="9" t="inlineStr">
        <is>
          <t>CYN070726*</t>
        </is>
      </c>
      <c r="C5218" s="9" t="inlineStr">
        <is>
          <t>2026-07-07</t>
        </is>
      </c>
      <c r="D5218" s="9" t="inlineStr">
        <is>
          <t>71092951310861</t>
        </is>
      </c>
      <c r="E5218" s="9" t="inlineStr">
        <is>
          <t>BOLSO CC VANITY WHITE</t>
        </is>
      </c>
      <c r="F5218" s="9" t="inlineStr">
        <is>
          <t>XGH551743 white</t>
        </is>
      </c>
      <c r="G5218" s="9" t="n"/>
      <c r="H5218" s="21" t="n">
        <v>52</v>
      </c>
      <c r="I5218" s="21" t="n"/>
      <c r="J5218" s="21" t="n"/>
      <c r="K5218" s="21" t="n"/>
      <c r="L5218" s="21" t="n"/>
      <c r="M5218" s="21" t="n"/>
    </row>
    <row r="5219">
      <c r="A5219" s="9" t="inlineStr">
        <is>
          <t>CYNTHIA</t>
        </is>
      </c>
      <c r="B5219" s="9" t="inlineStr">
        <is>
          <t>CYN070726*</t>
        </is>
      </c>
      <c r="C5219" s="9" t="inlineStr">
        <is>
          <t>2026-07-07</t>
        </is>
      </c>
      <c r="D5219" s="9" t="inlineStr">
        <is>
          <t>6701d2613fe66</t>
        </is>
      </c>
      <c r="E5219" s="9" t="inlineStr">
        <is>
          <t>BOLSO G DARK BLUE</t>
        </is>
      </c>
      <c r="F5219" s="9" t="inlineStr">
        <is>
          <t>54cm de largo x</t>
        </is>
      </c>
      <c r="G5219" s="9" t="n"/>
      <c r="H5219" s="21" t="n">
        <v>48</v>
      </c>
      <c r="I5219" s="21" t="n"/>
      <c r="J5219" s="21" t="n"/>
      <c r="K5219" s="21" t="n"/>
      <c r="L5219" s="21" t="n"/>
      <c r="M5219" s="21" t="n"/>
    </row>
    <row r="5220">
      <c r="A5220" s="9" t="inlineStr">
        <is>
          <t>CYNTHIA</t>
        </is>
      </c>
      <c r="B5220" s="9" t="inlineStr">
        <is>
          <t>CYN070726*</t>
        </is>
      </c>
      <c r="C5220" s="9" t="inlineStr">
        <is>
          <t>2026-07-07</t>
        </is>
      </c>
      <c r="D5220" s="9" t="inlineStr">
        <is>
          <t>14401521907821</t>
        </is>
      </c>
      <c r="E5220" s="9" t="inlineStr">
        <is>
          <t>BOLSO GC SHOULDER BLACK</t>
        </is>
      </c>
      <c r="F5220" s="9" t="inlineStr">
        <is>
          <t>XGH222343 black</t>
        </is>
      </c>
      <c r="G5220" s="9" t="n"/>
      <c r="H5220" s="21" t="n">
        <v>56</v>
      </c>
      <c r="I5220" s="21" t="n"/>
      <c r="J5220" s="21" t="n"/>
      <c r="K5220" s="21" t="n"/>
      <c r="L5220" s="21" t="n"/>
      <c r="M5220" s="21" t="n"/>
    </row>
    <row r="5221">
      <c r="A5221" s="9" t="inlineStr">
        <is>
          <t>CYNTHIA</t>
        </is>
      </c>
      <c r="B5221" s="9" t="inlineStr">
        <is>
          <t>CYN070726*</t>
        </is>
      </c>
      <c r="C5221" s="9" t="inlineStr">
        <is>
          <t>2026-07-07</t>
        </is>
      </c>
      <c r="D5221" s="9" t="inlineStr">
        <is>
          <t>14401522038893</t>
        </is>
      </c>
      <c r="E5221" s="9" t="inlineStr">
        <is>
          <t>BOLSO GC TOTE BEATRIX BROWN</t>
        </is>
      </c>
      <c r="F5221" s="9" t="inlineStr">
        <is>
          <t>XGH435494 dark c</t>
        </is>
      </c>
      <c r="G5221" s="9" t="n"/>
      <c r="H5221" s="21" t="n">
        <v>53</v>
      </c>
      <c r="I5221" s="21" t="n"/>
      <c r="J5221" s="21" t="n"/>
      <c r="K5221" s="21" t="n"/>
      <c r="L5221" s="21" t="n"/>
      <c r="M5221" s="21" t="n"/>
    </row>
    <row r="5222">
      <c r="A5222" s="9" t="inlineStr">
        <is>
          <t>CYNTHIA</t>
        </is>
      </c>
      <c r="B5222" s="9" t="inlineStr">
        <is>
          <t>CYN070726*</t>
        </is>
      </c>
      <c r="C5222" s="9" t="inlineStr">
        <is>
          <t>2026-07-07</t>
        </is>
      </c>
      <c r="D5222" s="9" t="inlineStr">
        <is>
          <t>668eeef9cf7b1</t>
        </is>
      </c>
      <c r="E5222" s="9" t="inlineStr">
        <is>
          <t>BOLSO SADDLE CD JACQUARD BLUE</t>
        </is>
      </c>
      <c r="F5222" s="9" t="inlineStr">
        <is>
          <t>18cm de largo x</t>
        </is>
      </c>
      <c r="G5222" s="9" t="n"/>
      <c r="H5222" s="21" t="n">
        <v>54</v>
      </c>
      <c r="I5222" s="21" t="n"/>
      <c r="J5222" s="21" t="n"/>
      <c r="K5222" s="21" t="n"/>
      <c r="L5222" s="21" t="n"/>
      <c r="M5222" s="21" t="n"/>
    </row>
    <row r="5223">
      <c r="A5223" s="9" t="inlineStr">
        <is>
          <t>CYNTHIA</t>
        </is>
      </c>
      <c r="B5223" s="9" t="inlineStr">
        <is>
          <t>CYN070726*</t>
        </is>
      </c>
      <c r="C5223" s="9" t="inlineStr">
        <is>
          <t>2026-07-07</t>
        </is>
      </c>
      <c r="D5223" s="9" t="inlineStr">
        <is>
          <t>39252672009453</t>
        </is>
      </c>
      <c r="E5223" s="9" t="inlineStr">
        <is>
          <t>BRAZALETE BLOSSOM GOLD ZIRCONIA</t>
        </is>
      </c>
      <c r="F5223" s="9" t="inlineStr">
        <is>
          <t>Default Title</t>
        </is>
      </c>
      <c r="G5223" s="9" t="n"/>
      <c r="H5223" s="21" t="n">
        <v>8.800000000000001</v>
      </c>
      <c r="I5223" s="21" t="n"/>
      <c r="J5223" s="21" t="n"/>
      <c r="K5223" s="21" t="n"/>
      <c r="L5223" s="21" t="n"/>
      <c r="M5223" s="21" t="n"/>
    </row>
    <row r="5224">
      <c r="A5224" s="9" t="inlineStr">
        <is>
          <t>CYNTHIA</t>
        </is>
      </c>
      <c r="B5224" s="9" t="inlineStr">
        <is>
          <t>CYN070726*</t>
        </is>
      </c>
      <c r="C5224" s="9" t="inlineStr">
        <is>
          <t>2026-07-07</t>
        </is>
      </c>
      <c r="D5224" s="9" t="inlineStr">
        <is>
          <t>39252671973293</t>
        </is>
      </c>
      <c r="E5224" s="9" t="inlineStr">
        <is>
          <t>BRAZALETE BLOSSOM ROSEGOLD ZIRCONIA</t>
        </is>
      </c>
      <c r="F5224" s="9" t="inlineStr">
        <is>
          <t>XGYY rose gold</t>
        </is>
      </c>
      <c r="G5224" s="9" t="n"/>
      <c r="H5224" s="21" t="n">
        <v>8.800000000000001</v>
      </c>
      <c r="I5224" s="21" t="n"/>
      <c r="J5224" s="21" t="n"/>
      <c r="K5224" s="21" t="n"/>
      <c r="L5224" s="21" t="n"/>
      <c r="M5224" s="21" t="n"/>
    </row>
    <row r="5225">
      <c r="A5225" s="9" t="inlineStr">
        <is>
          <t>CYNTHIA</t>
        </is>
      </c>
      <c r="B5225" s="9" t="inlineStr">
        <is>
          <t>CYN070726*</t>
        </is>
      </c>
      <c r="C5225" s="9" t="inlineStr">
        <is>
          <t>2026-07-07</t>
        </is>
      </c>
      <c r="D5225" s="9" t="inlineStr">
        <is>
          <t>66f1ed26445d0</t>
        </is>
      </c>
      <c r="E5225" s="9" t="inlineStr">
        <is>
          <t>CARTERA G VICTORIE BLACK</t>
        </is>
      </c>
      <c r="F5225" s="9" t="inlineStr">
        <is>
          <t>12cm de largo x</t>
        </is>
      </c>
      <c r="G5225" s="9" t="n"/>
      <c r="H5225" s="21" t="n">
        <v>19</v>
      </c>
      <c r="I5225" s="21" t="n"/>
      <c r="J5225" s="21" t="n"/>
      <c r="K5225" s="21" t="n"/>
      <c r="L5225" s="21" t="n"/>
      <c r="M5225" s="21" t="n"/>
    </row>
    <row r="5226">
      <c r="A5226" s="9" t="inlineStr">
        <is>
          <t>CYNTHIA</t>
        </is>
      </c>
      <c r="B5226" s="9" t="inlineStr">
        <is>
          <t>CYN070726*</t>
        </is>
      </c>
      <c r="C5226" s="9" t="inlineStr">
        <is>
          <t>2026-07-07</t>
        </is>
      </c>
      <c r="D5226" s="9" t="inlineStr">
        <is>
          <t>14401522171661</t>
        </is>
      </c>
      <c r="E5226" s="9" t="inlineStr">
        <is>
          <t>CARTERA GC PLEGABLE ALL BLACK</t>
        </is>
      </c>
      <c r="F5226" s="9" t="inlineStr">
        <is>
          <t>Default Title</t>
        </is>
      </c>
      <c r="G5226" s="9" t="n"/>
      <c r="H5226" s="21" t="n">
        <v>22</v>
      </c>
      <c r="I5226" s="21" t="n"/>
      <c r="J5226" s="21" t="n"/>
      <c r="K5226" s="21" t="n"/>
      <c r="L5226" s="21" t="n"/>
      <c r="M5226" s="21" t="n"/>
    </row>
    <row r="5227">
      <c r="A5227" s="9" t="inlineStr">
        <is>
          <t>CYNTHIA</t>
        </is>
      </c>
      <c r="B5227" s="9" t="inlineStr">
        <is>
          <t>CYN070726*</t>
        </is>
      </c>
      <c r="C5227" s="9" t="inlineStr">
        <is>
          <t>2026-07-07</t>
        </is>
      </c>
      <c r="D5227" s="9" t="inlineStr">
        <is>
          <t>14401523053005</t>
        </is>
      </c>
      <c r="E5227" s="9" t="inlineStr">
        <is>
          <t>CARTERA MM BLACK</t>
        </is>
      </c>
      <c r="F5227" s="9" t="inlineStr">
        <is>
          <t>Default Title</t>
        </is>
      </c>
      <c r="G5227" s="9" t="n"/>
      <c r="H5227" s="21" t="n">
        <v>33</v>
      </c>
      <c r="I5227" s="21" t="n"/>
      <c r="J5227" s="21" t="n"/>
      <c r="K5227" s="21" t="n"/>
      <c r="L5227" s="21" t="n"/>
      <c r="M5227" s="21" t="n"/>
    </row>
    <row r="5228">
      <c r="A5228" s="9" t="inlineStr">
        <is>
          <t>CYNTHIA</t>
        </is>
      </c>
      <c r="B5228" s="9" t="inlineStr">
        <is>
          <t>CYN070726*</t>
        </is>
      </c>
      <c r="C5228" s="9" t="inlineStr">
        <is>
          <t>2026-07-07</t>
        </is>
      </c>
      <c r="D5228" s="9" t="inlineStr">
        <is>
          <t>41353991048077</t>
        </is>
      </c>
      <c r="E5228" s="9" t="inlineStr">
        <is>
          <t>CINTO C TRIOMPHE BLACK</t>
        </is>
      </c>
      <c r="F5228" s="9" t="inlineStr">
        <is>
          <t>XGQC 4#black</t>
        </is>
      </c>
      <c r="G5228" s="9" t="n"/>
      <c r="H5228" s="21" t="n">
        <v>7.5</v>
      </c>
      <c r="I5228" s="21" t="n"/>
      <c r="J5228" s="21" t="n"/>
      <c r="K5228" s="21" t="n"/>
      <c r="L5228" s="21" t="n"/>
      <c r="M5228" s="21" t="n"/>
    </row>
    <row r="5229">
      <c r="A5229" s="9" t="inlineStr">
        <is>
          <t>CYNTHIA</t>
        </is>
      </c>
      <c r="B5229" s="9" t="inlineStr">
        <is>
          <t>CYN070726*</t>
        </is>
      </c>
      <c r="C5229" s="9" t="inlineStr">
        <is>
          <t>2026-07-07</t>
        </is>
      </c>
      <c r="D5229" s="9" t="inlineStr">
        <is>
          <t>41353991156557</t>
        </is>
      </c>
      <c r="E5229" s="9" t="inlineStr">
        <is>
          <t>CINTO C TRIOMPHE BURDEOS</t>
        </is>
      </c>
      <c r="F5229" s="9" t="inlineStr">
        <is>
          <t>1#burdeos</t>
        </is>
      </c>
      <c r="G5229" s="9" t="n"/>
      <c r="H5229" s="21" t="n">
        <v>7.5</v>
      </c>
      <c r="I5229" s="21" t="n"/>
      <c r="J5229" s="21" t="n"/>
      <c r="K5229" s="21" t="n"/>
      <c r="L5229" s="21" t="n"/>
      <c r="M5229" s="21" t="n"/>
    </row>
    <row r="5230">
      <c r="A5230" s="9" t="inlineStr">
        <is>
          <t>CYNTHIA</t>
        </is>
      </c>
      <c r="B5230" s="9" t="inlineStr">
        <is>
          <t>CYN070726*</t>
        </is>
      </c>
      <c r="C5230" s="9" t="inlineStr">
        <is>
          <t>2026-07-07</t>
        </is>
      </c>
      <c r="D5230" s="9" t="inlineStr">
        <is>
          <t>14401521483533</t>
        </is>
      </c>
      <c r="E5230" s="9" t="inlineStr">
        <is>
          <t>CINTO C TRIOMPHE LOGOS</t>
        </is>
      </c>
      <c r="F5230" s="9" t="inlineStr">
        <is>
          <t>XGQC</t>
        </is>
      </c>
      <c r="G5230" s="9" t="n"/>
      <c r="H5230" s="21" t="n">
        <v>8.800000000000001</v>
      </c>
      <c r="I5230" s="21" t="n"/>
      <c r="J5230" s="21" t="n"/>
      <c r="K5230" s="21" t="n"/>
      <c r="L5230" s="21" t="n"/>
      <c r="M5230" s="21" t="n"/>
    </row>
    <row r="5231">
      <c r="A5231" s="9" t="inlineStr">
        <is>
          <t>CYNTHIA</t>
        </is>
      </c>
      <c r="B5231" s="9" t="inlineStr">
        <is>
          <t>CYN070726*</t>
        </is>
      </c>
      <c r="C5231" s="9" t="inlineStr">
        <is>
          <t>2026-07-07</t>
        </is>
      </c>
      <c r="D5231" s="9" t="inlineStr">
        <is>
          <t>43728071667212</t>
        </is>
      </c>
      <c r="E5231" s="9" t="inlineStr">
        <is>
          <t>CINTO H KELLY BLACK</t>
        </is>
      </c>
      <c r="F5231" s="9" t="inlineStr">
        <is>
          <t>XGQC180 black</t>
        </is>
      </c>
      <c r="G5231" s="9" t="n"/>
      <c r="H5231" s="21" t="n">
        <v>5.8</v>
      </c>
      <c r="I5231" s="21" t="n"/>
      <c r="J5231" s="21" t="n"/>
      <c r="K5231" s="21" t="n"/>
      <c r="L5231" s="21" t="n"/>
      <c r="M5231" s="21" t="n"/>
    </row>
    <row r="5232">
      <c r="A5232" s="9" t="inlineStr">
        <is>
          <t>CYNTHIA</t>
        </is>
      </c>
      <c r="B5232" s="9" t="inlineStr">
        <is>
          <t>CYN070726*</t>
        </is>
      </c>
      <c r="C5232" s="9" t="inlineStr">
        <is>
          <t>2026-07-07</t>
        </is>
      </c>
      <c r="D5232" s="9" t="inlineStr">
        <is>
          <t>43728071764972</t>
        </is>
      </c>
      <c r="E5232" s="9" t="inlineStr">
        <is>
          <t>CINTO H KELLY BROWN</t>
        </is>
      </c>
      <c r="F5232" s="9" t="inlineStr">
        <is>
          <t>XGQC180 brown</t>
        </is>
      </c>
      <c r="G5232" s="9" t="n"/>
      <c r="H5232" s="21" t="n">
        <v>5.8</v>
      </c>
      <c r="I5232" s="21" t="n"/>
      <c r="J5232" s="21" t="n"/>
      <c r="K5232" s="21" t="n"/>
      <c r="L5232" s="21" t="n"/>
      <c r="M5232" s="21" t="n"/>
    </row>
    <row r="5233">
      <c r="A5233" s="9" t="inlineStr">
        <is>
          <t>CYNTHIA</t>
        </is>
      </c>
      <c r="B5233" s="9" t="inlineStr">
        <is>
          <t>CYN070726*</t>
        </is>
      </c>
      <c r="C5233" s="9" t="inlineStr">
        <is>
          <t>2026-07-07</t>
        </is>
      </c>
      <c r="D5233" s="9" t="inlineStr">
        <is>
          <t>16483891088621</t>
        </is>
      </c>
      <c r="E5233" s="9" t="inlineStr">
        <is>
          <t>CINTO LV HERITAGE LOGO SILVER</t>
        </is>
      </c>
      <c r="F5233" s="9" t="inlineStr">
        <is>
          <t>XGQC black/silve</t>
        </is>
      </c>
      <c r="G5233" s="9" t="n"/>
      <c r="H5233" s="21" t="n">
        <v>8.800000000000001</v>
      </c>
      <c r="I5233" s="21" t="n"/>
      <c r="J5233" s="21" t="n"/>
      <c r="K5233" s="21" t="n"/>
      <c r="L5233" s="21" t="n"/>
      <c r="M5233" s="21" t="n"/>
    </row>
    <row r="5234">
      <c r="A5234" s="9" t="inlineStr">
        <is>
          <t>CYNTHIA</t>
        </is>
      </c>
      <c r="B5234" s="9" t="inlineStr">
        <is>
          <t>CYN070726*</t>
        </is>
      </c>
      <c r="C5234" s="9" t="inlineStr">
        <is>
          <t>2026-07-07</t>
        </is>
      </c>
      <c r="D5234" s="9" t="inlineStr">
        <is>
          <t>14401521021389</t>
        </is>
      </c>
      <c r="E5234" s="9" t="inlineStr">
        <is>
          <t>CINTO LV REVERSIBLE HERITAGE</t>
        </is>
      </c>
      <c r="F5234" s="9" t="inlineStr">
        <is>
          <t>XGQC black/gold</t>
        </is>
      </c>
      <c r="G5234" s="9" t="n"/>
      <c r="H5234" s="21" t="n">
        <v>8.800000000000001</v>
      </c>
      <c r="I5234" s="21" t="n"/>
      <c r="J5234" s="21" t="n"/>
      <c r="K5234" s="21" t="n"/>
      <c r="L5234" s="21" t="n"/>
      <c r="M5234" s="21" t="n"/>
    </row>
    <row r="5235">
      <c r="A5235" s="9" t="inlineStr">
        <is>
          <t>CYNTHIA</t>
        </is>
      </c>
      <c r="B5235" s="9" t="inlineStr">
        <is>
          <t>CYN070726*</t>
        </is>
      </c>
      <c r="C5235" s="9" t="inlineStr">
        <is>
          <t>2026-07-07</t>
        </is>
      </c>
      <c r="D5235" s="9" t="inlineStr">
        <is>
          <t>668eee3eadc59</t>
        </is>
      </c>
      <c r="E5235" s="9" t="inlineStr">
        <is>
          <t>COLLAR DOBLE PLACA CORAZÓN ROSA-PLATA</t>
        </is>
      </c>
      <c r="F5235" s="9" t="inlineStr">
        <is>
          <t>XGX101167 silver</t>
        </is>
      </c>
      <c r="G5235" s="9" t="n"/>
      <c r="H5235" s="21" t="n">
        <v>11.6</v>
      </c>
      <c r="I5235" s="21" t="n"/>
      <c r="J5235" s="21" t="n"/>
      <c r="K5235" s="21" t="n"/>
      <c r="L5235" s="21" t="n"/>
      <c r="M5235" s="21" t="n"/>
    </row>
    <row r="5236">
      <c r="A5236" s="9" t="inlineStr">
        <is>
          <t>CYNTHIA</t>
        </is>
      </c>
      <c r="B5236" s="9" t="inlineStr">
        <is>
          <t>CYN070726*</t>
        </is>
      </c>
      <c r="C5236" s="9" t="inlineStr">
        <is>
          <t>2026-07-07</t>
        </is>
      </c>
      <c r="D5236" s="9" t="inlineStr">
        <is>
          <t>43047247904908</t>
        </is>
      </c>
      <c r="E5236" s="9" t="inlineStr">
        <is>
          <t>COLLAR ESLABON DOBLE CADENA SILVER</t>
        </is>
      </c>
      <c r="F5236" s="9" t="inlineStr">
        <is>
          <t>40cm</t>
        </is>
      </c>
      <c r="G5236" s="9" t="n"/>
      <c r="H5236" s="21" t="n">
        <v>9.800000000000001</v>
      </c>
      <c r="I5236" s="21" t="n"/>
      <c r="J5236" s="21" t="n"/>
      <c r="K5236" s="21" t="n"/>
      <c r="L5236" s="21" t="n"/>
      <c r="M5236" s="21" t="n"/>
    </row>
    <row r="5237">
      <c r="A5237" s="9" t="inlineStr">
        <is>
          <t>CYNTHIA</t>
        </is>
      </c>
      <c r="B5237" s="9" t="inlineStr">
        <is>
          <t>CYN070726*</t>
        </is>
      </c>
      <c r="C5237" s="9" t="inlineStr">
        <is>
          <t>2026-07-07</t>
        </is>
      </c>
      <c r="D5237" s="9" t="inlineStr">
        <is>
          <t>15711172684525</t>
        </is>
      </c>
      <c r="E5237" s="9" t="inlineStr">
        <is>
          <t>COLLAR LOGO CD CON ZIRCONIA SILVER</t>
        </is>
      </c>
      <c r="F5237" s="9" t="inlineStr">
        <is>
          <t>Default Title</t>
        </is>
      </c>
      <c r="G5237" s="9" t="n"/>
      <c r="H5237" s="21" t="n">
        <v>8.800000000000001</v>
      </c>
      <c r="I5237" s="21" t="n"/>
      <c r="J5237" s="21" t="n"/>
      <c r="K5237" s="21" t="n"/>
      <c r="L5237" s="21" t="n"/>
      <c r="M5237" s="21" t="n"/>
    </row>
    <row r="5238">
      <c r="A5238" s="9" t="inlineStr">
        <is>
          <t>CYNTHIA</t>
        </is>
      </c>
      <c r="B5238" s="9" t="inlineStr">
        <is>
          <t>CYN070726*</t>
        </is>
      </c>
      <c r="C5238" s="9" t="inlineStr">
        <is>
          <t>2026-07-07</t>
        </is>
      </c>
      <c r="D5238" s="9" t="inlineStr">
        <is>
          <t>664fc85ecbb14</t>
        </is>
      </c>
      <c r="E5238" s="9" t="inlineStr">
        <is>
          <t>LENTES C BROWN</t>
        </is>
      </c>
      <c r="F5238" s="9" t="inlineStr">
        <is>
          <t>Regular</t>
        </is>
      </c>
      <c r="G5238" s="9" t="n"/>
      <c r="H5238" s="21" t="n">
        <v>8.5</v>
      </c>
      <c r="I5238" s="21" t="n"/>
      <c r="J5238" s="21" t="n"/>
      <c r="K5238" s="21" t="n"/>
      <c r="L5238" s="21" t="n"/>
      <c r="M5238" s="21" t="n"/>
    </row>
    <row r="5239">
      <c r="A5239" s="9" t="inlineStr">
        <is>
          <t>CYNTHIA</t>
        </is>
      </c>
      <c r="B5239" s="9" t="inlineStr">
        <is>
          <t>CYN070726*</t>
        </is>
      </c>
      <c r="C5239" s="9" t="inlineStr">
        <is>
          <t>2026-07-07</t>
        </is>
      </c>
      <c r="D5239" s="9" t="inlineStr">
        <is>
          <t>665bc0b8d1cab-2</t>
        </is>
      </c>
      <c r="E5239" s="9" t="inlineStr">
        <is>
          <t>LENTES C GOLD SLIM BLACK</t>
        </is>
      </c>
      <c r="F5239" s="9" t="inlineStr">
        <is>
          <t>XGZN2301 2#gold/</t>
        </is>
      </c>
      <c r="G5239" s="9" t="n"/>
      <c r="H5239" s="21" t="n">
        <v>8.5</v>
      </c>
      <c r="I5239" s="21" t="n"/>
      <c r="J5239" s="21" t="n"/>
      <c r="K5239" s="21" t="n"/>
      <c r="L5239" s="21" t="n"/>
      <c r="M5239" s="21" t="n"/>
    </row>
    <row r="5240">
      <c r="A5240" s="9" t="inlineStr">
        <is>
          <t>CYNTHIA</t>
        </is>
      </c>
      <c r="B5240" s="9" t="inlineStr">
        <is>
          <t>CYN070726*</t>
        </is>
      </c>
      <c r="C5240" s="9" t="inlineStr">
        <is>
          <t>2026-07-07</t>
        </is>
      </c>
      <c r="D5240" s="9" t="inlineStr">
        <is>
          <t>664fc858469b1</t>
        </is>
      </c>
      <c r="E5240" s="9" t="inlineStr">
        <is>
          <t>LENTES C OVAL GREEN</t>
        </is>
      </c>
      <c r="F5240" s="9" t="inlineStr">
        <is>
          <t>REGULAR</t>
        </is>
      </c>
      <c r="G5240" s="9" t="n"/>
      <c r="H5240" s="21" t="n">
        <v>29.5</v>
      </c>
      <c r="I5240" s="21" t="n"/>
      <c r="J5240" s="21" t="n"/>
      <c r="K5240" s="21" t="n"/>
      <c r="L5240" s="21" t="n"/>
      <c r="M5240" s="21" t="n"/>
    </row>
    <row r="5241">
      <c r="A5241" s="9" t="inlineStr">
        <is>
          <t>CYNTHIA</t>
        </is>
      </c>
      <c r="B5241" s="9" t="inlineStr">
        <is>
          <t>CYN070726*</t>
        </is>
      </c>
      <c r="C5241" s="9" t="inlineStr">
        <is>
          <t>2026-07-07</t>
        </is>
      </c>
      <c r="D5241" s="9" t="inlineStr">
        <is>
          <t>14401521219693</t>
        </is>
      </c>
      <c r="E5241" s="9" t="inlineStr">
        <is>
          <t>LENTES C SANTOS</t>
        </is>
      </c>
      <c r="F5241" s="9" t="inlineStr">
        <is>
          <t>Default Title</t>
        </is>
      </c>
      <c r="G5241" s="9" t="n"/>
      <c r="H5241" s="21" t="n">
        <v>32.5</v>
      </c>
      <c r="I5241" s="21" t="n"/>
      <c r="J5241" s="21" t="n"/>
      <c r="K5241" s="21" t="n"/>
      <c r="L5241" s="21" t="n"/>
      <c r="M5241" s="21" t="n"/>
    </row>
    <row r="5242">
      <c r="A5242" s="9" t="inlineStr">
        <is>
          <t>CYNTHIA</t>
        </is>
      </c>
      <c r="B5242" s="9" t="inlineStr">
        <is>
          <t>CYN070726*</t>
        </is>
      </c>
      <c r="C5242" s="9" t="inlineStr">
        <is>
          <t>2026-07-07</t>
        </is>
      </c>
      <c r="D5242" s="9" t="inlineStr">
        <is>
          <t>43026599575692</t>
        </is>
      </c>
      <c r="E5242" s="9" t="inlineStr">
        <is>
          <t>LENTES YSL</t>
        </is>
      </c>
      <c r="F5242" s="9" t="inlineStr">
        <is>
          <t>XGQL3016</t>
        </is>
      </c>
      <c r="G5242" s="9" t="n"/>
      <c r="H5242" s="21" t="n">
        <v>8</v>
      </c>
      <c r="I5242" s="21" t="n"/>
      <c r="J5242" s="21" t="n"/>
      <c r="K5242" s="21" t="n"/>
      <c r="L5242" s="21" t="n"/>
      <c r="M5242" s="21" t="n"/>
    </row>
    <row r="5243">
      <c r="A5243" s="9" t="inlineStr">
        <is>
          <t>CYNTHIA</t>
        </is>
      </c>
      <c r="B5243" s="9" t="inlineStr">
        <is>
          <t>CYN070726*</t>
        </is>
      </c>
      <c r="C5243" s="9" t="inlineStr">
        <is>
          <t>2026-07-07</t>
        </is>
      </c>
      <c r="D5243" s="9" t="inlineStr">
        <is>
          <t>43026586435724</t>
        </is>
      </c>
      <c r="E5243" s="9" t="inlineStr">
        <is>
          <t>LENTES YSL SQUARE</t>
        </is>
      </c>
      <c r="F5243" s="9" t="inlineStr">
        <is>
          <t>XGQL119 black</t>
        </is>
      </c>
      <c r="G5243" s="9" t="n"/>
      <c r="H5243" s="21" t="n">
        <v>8</v>
      </c>
      <c r="I5243" s="21" t="n"/>
      <c r="J5243" s="21" t="n"/>
      <c r="K5243" s="21" t="n"/>
      <c r="L5243" s="21" t="n"/>
      <c r="M5243" s="21" t="n"/>
    </row>
    <row r="5244">
      <c r="A5244" s="9" t="inlineStr">
        <is>
          <t>CYNTHIA</t>
        </is>
      </c>
      <c r="B5244" s="9" t="inlineStr">
        <is>
          <t>CYN070726*</t>
        </is>
      </c>
      <c r="C5244" s="9" t="inlineStr">
        <is>
          <t>2026-07-07</t>
        </is>
      </c>
      <c r="D5244" s="9" t="inlineStr">
        <is>
          <t>71092951015341</t>
        </is>
      </c>
      <c r="E5244" s="9" t="inlineStr">
        <is>
          <t>MOCHILA MM CANVAS</t>
        </is>
      </c>
      <c r="F5244" s="9" t="inlineStr">
        <is>
          <t>XGH505713 21cm</t>
        </is>
      </c>
      <c r="G5244" s="9" t="n"/>
      <c r="H5244" s="21" t="n">
        <v>68</v>
      </c>
      <c r="I5244" s="21" t="n"/>
      <c r="J5244" s="21" t="n"/>
      <c r="K5244" s="21" t="n"/>
      <c r="L5244" s="21" t="n"/>
      <c r="M5244" s="21" t="n"/>
    </row>
    <row r="5245">
      <c r="A5245" s="9" t="inlineStr">
        <is>
          <t>CYNTHIA</t>
        </is>
      </c>
      <c r="B5245" s="9" t="inlineStr">
        <is>
          <t>CYN070726*</t>
        </is>
      </c>
      <c r="C5245" s="9" t="inlineStr">
        <is>
          <t>2026-07-07</t>
        </is>
      </c>
      <c r="D5245" s="9" t="inlineStr">
        <is>
          <t>64e78ed47e099</t>
        </is>
      </c>
      <c r="E5245" s="9" t="inlineStr">
        <is>
          <t>PULSERA BLOSSOM STAR ROSEGOLD</t>
        </is>
      </c>
      <c r="F5245" s="9" t="inlineStr">
        <is>
          <t>16cm con extensi</t>
        </is>
      </c>
      <c r="G5245" s="9" t="n"/>
      <c r="H5245" s="21" t="n">
        <v>3.98</v>
      </c>
      <c r="I5245" s="21" t="n"/>
      <c r="J5245" s="21" t="n"/>
      <c r="K5245" s="21" t="n"/>
      <c r="L5245" s="21" t="n"/>
      <c r="M5245" s="21" t="n"/>
    </row>
    <row r="5246">
      <c r="A5246" s="9" t="inlineStr">
        <is>
          <t>CYNTHIA</t>
        </is>
      </c>
      <c r="B5246" s="9" t="inlineStr">
        <is>
          <t>CYN070726*</t>
        </is>
      </c>
      <c r="C5246" s="9" t="inlineStr">
        <is>
          <t>2026-07-07</t>
        </is>
      </c>
      <c r="D5246" s="9" t="inlineStr">
        <is>
          <t>665bcd30f2870</t>
        </is>
      </c>
      <c r="E5246" s="9" t="inlineStr">
        <is>
          <t>PULSERA DY ESCLAVA</t>
        </is>
      </c>
      <c r="F5246" s="9" t="inlineStr">
        <is>
          <t>17cm</t>
        </is>
      </c>
      <c r="G5246" s="9" t="n"/>
      <c r="H5246" s="21" t="n">
        <v>13.3</v>
      </c>
      <c r="I5246" s="21" t="n"/>
      <c r="J5246" s="21" t="n"/>
      <c r="K5246" s="21" t="n"/>
      <c r="L5246" s="21" t="n"/>
      <c r="M5246" s="21" t="n"/>
    </row>
    <row r="5247">
      <c r="A5247" s="9" t="inlineStr">
        <is>
          <t>CYNTHIA</t>
        </is>
      </c>
      <c r="B5247" s="9" t="inlineStr">
        <is>
          <t>CYN070726*</t>
        </is>
      </c>
      <c r="C5247" s="9" t="inlineStr">
        <is>
          <t>2026-07-07</t>
        </is>
      </c>
      <c r="D5247" s="9" t="inlineStr">
        <is>
          <t>668eee41bab7a</t>
        </is>
      </c>
      <c r="E5247" s="9" t="inlineStr">
        <is>
          <t>PULSERA ESLABONES GOLD</t>
        </is>
      </c>
      <c r="F5247" s="9" t="inlineStr">
        <is>
          <t>XGX101307 18cm g</t>
        </is>
      </c>
      <c r="G5247" s="9" t="n"/>
      <c r="H5247" s="21" t="n">
        <v>12.8</v>
      </c>
      <c r="I5247" s="21" t="n"/>
      <c r="J5247" s="21" t="n"/>
      <c r="K5247" s="21" t="n"/>
      <c r="L5247" s="21" t="n"/>
      <c r="M5247" s="21" t="n"/>
    </row>
    <row r="5248">
      <c r="A5248" s="9" t="inlineStr">
        <is>
          <t>CYNTHIA</t>
        </is>
      </c>
      <c r="B5248" s="9" t="inlineStr">
        <is>
          <t>CYN070726*</t>
        </is>
      </c>
      <c r="C5248" s="9" t="inlineStr">
        <is>
          <t>2026-07-07</t>
        </is>
      </c>
      <c r="D5248" s="9" t="inlineStr">
        <is>
          <t>668eee4272e66</t>
        </is>
      </c>
      <c r="E5248" s="9" t="inlineStr">
        <is>
          <t>PULSERA ESLABONES GOLD</t>
        </is>
      </c>
      <c r="F5248" s="9" t="inlineStr">
        <is>
          <t>XGYLB 20cm gold</t>
        </is>
      </c>
      <c r="G5248" s="9" t="n"/>
      <c r="H5248" s="21" t="n">
        <v>15</v>
      </c>
      <c r="I5248" s="21" t="n"/>
      <c r="J5248" s="21" t="n"/>
      <c r="K5248" s="21" t="n"/>
      <c r="L5248" s="21" t="n"/>
      <c r="M5248" s="21" t="n"/>
    </row>
    <row r="5249">
      <c r="A5249" s="9" t="inlineStr">
        <is>
          <t>CYNTHIA</t>
        </is>
      </c>
      <c r="B5249" s="9" t="inlineStr">
        <is>
          <t>CYN070726*</t>
        </is>
      </c>
      <c r="C5249" s="9" t="inlineStr">
        <is>
          <t>2026-07-07</t>
        </is>
      </c>
      <c r="D5249" s="9" t="inlineStr">
        <is>
          <t>43047195574412</t>
        </is>
      </c>
      <c r="E5249" s="9" t="inlineStr">
        <is>
          <t>PULSERA ESLABONES ROSE GOLD</t>
        </is>
      </c>
      <c r="F5249" s="9" t="inlineStr">
        <is>
          <t>XGX101307 18cm r</t>
        </is>
      </c>
      <c r="G5249" s="9" t="n"/>
      <c r="H5249" s="21" t="n">
        <v>12.8</v>
      </c>
      <c r="I5249" s="21" t="n"/>
      <c r="J5249" s="21" t="n"/>
      <c r="K5249" s="21" t="n"/>
      <c r="L5249" s="21" t="n"/>
      <c r="M5249" s="21" t="n"/>
    </row>
    <row r="5250">
      <c r="A5250" s="9" t="inlineStr">
        <is>
          <t>CYNTHIA</t>
        </is>
      </c>
      <c r="B5250" s="9" t="inlineStr">
        <is>
          <t>CYN070726*</t>
        </is>
      </c>
      <c r="C5250" s="9" t="inlineStr">
        <is>
          <t>2026-07-07</t>
        </is>
      </c>
      <c r="D5250" s="9" t="inlineStr">
        <is>
          <t>668eee4e0326c</t>
        </is>
      </c>
      <c r="E5250" s="9" t="inlineStr">
        <is>
          <t>PULSERA ESLABONES SILVER</t>
        </is>
      </c>
      <c r="F5250" s="9" t="inlineStr">
        <is>
          <t>XG 18cm silver</t>
        </is>
      </c>
      <c r="G5250" s="9" t="n"/>
      <c r="H5250" s="21" t="n">
        <v>12.8</v>
      </c>
      <c r="I5250" s="21" t="n"/>
      <c r="J5250" s="21" t="n"/>
      <c r="K5250" s="21" t="n"/>
      <c r="L5250" s="21" t="n"/>
      <c r="M5250" s="21" t="n"/>
    </row>
    <row r="5251">
      <c r="A5251" s="9" t="inlineStr">
        <is>
          <t>CYNTHIA</t>
        </is>
      </c>
      <c r="B5251" s="9" t="inlineStr">
        <is>
          <t>CYN070726*</t>
        </is>
      </c>
      <c r="C5251" s="9" t="inlineStr">
        <is>
          <t>2026-07-07</t>
        </is>
      </c>
      <c r="D5251" s="9" t="inlineStr">
        <is>
          <t>668eee4ea136d</t>
        </is>
      </c>
      <c r="E5251" s="9" t="inlineStr">
        <is>
          <t>PULSERA ESLABONES SILVER</t>
        </is>
      </c>
      <c r="F5251" s="9" t="inlineStr">
        <is>
          <t>XGYLB 20cm silve</t>
        </is>
      </c>
      <c r="G5251" s="9" t="n"/>
      <c r="H5251" s="21" t="n">
        <v>15</v>
      </c>
      <c r="I5251" s="21" t="n"/>
      <c r="J5251" s="21" t="n"/>
      <c r="K5251" s="21" t="n"/>
      <c r="L5251" s="21" t="n"/>
      <c r="M5251" s="21" t="n"/>
    </row>
    <row r="5252">
      <c r="A5252" s="9" t="inlineStr">
        <is>
          <t>CYNTHIA</t>
        </is>
      </c>
      <c r="B5252" s="9" t="inlineStr">
        <is>
          <t>CYN070726*</t>
        </is>
      </c>
      <c r="C5252" s="9" t="inlineStr">
        <is>
          <t>2026-07-07</t>
        </is>
      </c>
      <c r="D5252" s="9" t="inlineStr">
        <is>
          <t>43047216218252</t>
        </is>
      </c>
      <c r="E5252" s="9" t="inlineStr">
        <is>
          <t>PULSERA LOCK GOLD GOLD</t>
        </is>
      </c>
      <c r="F5252" s="9" t="inlineStr">
        <is>
          <t>17.5cm</t>
        </is>
      </c>
      <c r="G5252" s="9" t="n"/>
      <c r="H5252" s="21" t="n">
        <v>16.5</v>
      </c>
      <c r="I5252" s="21" t="n"/>
      <c r="J5252" s="21" t="n"/>
      <c r="K5252" s="21" t="n"/>
      <c r="L5252" s="21" t="n"/>
      <c r="M5252" s="21" t="n"/>
    </row>
    <row r="5253">
      <c r="A5253" s="9" t="inlineStr">
        <is>
          <t>CYNTHIA</t>
        </is>
      </c>
      <c r="B5253" s="9" t="inlineStr">
        <is>
          <t>CYN070726*</t>
        </is>
      </c>
      <c r="C5253" s="9" t="inlineStr">
        <is>
          <t>2026-07-07</t>
        </is>
      </c>
      <c r="D5253" s="9" t="inlineStr">
        <is>
          <t>43047220412556</t>
        </is>
      </c>
      <c r="E5253" s="9" t="inlineStr">
        <is>
          <t>PULSERA ONE T DOBLE ZIRCONIA GOLD</t>
        </is>
      </c>
      <c r="F5253" s="9" t="inlineStr">
        <is>
          <t>16.58cm</t>
        </is>
      </c>
      <c r="G5253" s="9" t="n"/>
      <c r="H5253" s="21" t="n">
        <v>14.8</v>
      </c>
      <c r="I5253" s="21" t="n"/>
      <c r="J5253" s="21" t="n"/>
      <c r="K5253" s="21" t="n"/>
      <c r="L5253" s="21" t="n"/>
      <c r="M5253" s="21" t="n"/>
    </row>
    <row r="5254">
      <c r="A5254" s="9" t="inlineStr">
        <is>
          <t>CYNTHIA</t>
        </is>
      </c>
      <c r="B5254" s="9" t="inlineStr">
        <is>
          <t>CYN070726*</t>
        </is>
      </c>
      <c r="C5254" s="9" t="inlineStr">
        <is>
          <t>2026-07-07</t>
        </is>
      </c>
      <c r="D5254" s="9" t="inlineStr">
        <is>
          <t>665bce42479e9</t>
        </is>
      </c>
      <c r="E5254" s="9" t="inlineStr">
        <is>
          <t>PULSERA P STARS</t>
        </is>
      </c>
      <c r="F5254" s="9" t="inlineStr">
        <is>
          <t>YY361-1 bracelet</t>
        </is>
      </c>
      <c r="G5254" s="9" t="n"/>
      <c r="H5254" s="21" t="n">
        <v>6</v>
      </c>
      <c r="I5254" s="21" t="n"/>
      <c r="J5254" s="21" t="n"/>
      <c r="K5254" s="21" t="n"/>
      <c r="L5254" s="21" t="n"/>
      <c r="M5254" s="21" t="n"/>
    </row>
    <row r="5255">
      <c r="A5255" s="9" t="inlineStr">
        <is>
          <t>CYNTHIA</t>
        </is>
      </c>
      <c r="B5255" s="9" t="inlineStr">
        <is>
          <t>CYN070726*</t>
        </is>
      </c>
      <c r="C5255" s="9" t="inlineStr">
        <is>
          <t>2026-07-07</t>
        </is>
      </c>
      <c r="D5255" s="9" t="inlineStr">
        <is>
          <t>63ebe022e73ea</t>
        </is>
      </c>
      <c r="E5255" s="9" t="inlineStr">
        <is>
          <t>PULSERA SERPENTI ROSE GOLD CON ZIRCONIA</t>
        </is>
      </c>
      <c r="F5255" s="9" t="inlineStr">
        <is>
          <t>18 cm</t>
        </is>
      </c>
      <c r="G5255" s="9" t="n"/>
      <c r="H5255" s="21" t="n">
        <v>13.8</v>
      </c>
      <c r="I5255" s="21" t="n"/>
      <c r="J5255" s="21" t="n"/>
      <c r="K5255" s="21" t="n"/>
      <c r="L5255" s="21" t="n"/>
      <c r="M5255" s="21" t="n"/>
    </row>
    <row r="5256">
      <c r="A5256" s="9" t="inlineStr">
        <is>
          <t>CYNTHIA</t>
        </is>
      </c>
      <c r="B5256" s="9" t="inlineStr">
        <is>
          <t>CYN070726*</t>
        </is>
      </c>
      <c r="C5256" s="9" t="inlineStr">
        <is>
          <t>2026-07-07</t>
        </is>
      </c>
      <c r="D5256" s="9" t="inlineStr">
        <is>
          <t>63ebe0260e034</t>
        </is>
      </c>
      <c r="E5256" s="9" t="inlineStr">
        <is>
          <t>PULSERA SERPENTI SILVER CON ZIRCONIA</t>
        </is>
      </c>
      <c r="F5256" s="9" t="inlineStr">
        <is>
          <t>XKY silver</t>
        </is>
      </c>
      <c r="G5256" s="9" t="n"/>
      <c r="H5256" s="21" t="n">
        <v>13.8</v>
      </c>
      <c r="I5256" s="21" t="n"/>
      <c r="J5256" s="21" t="n"/>
      <c r="K5256" s="21" t="n"/>
      <c r="L5256" s="21" t="n"/>
      <c r="M5256" s="21" t="n"/>
    </row>
    <row r="5257">
      <c r="A5257" s="9" t="inlineStr">
        <is>
          <t>CYNTHIA</t>
        </is>
      </c>
      <c r="B5257" s="9" t="inlineStr">
        <is>
          <t>CYN070726*</t>
        </is>
      </c>
      <c r="C5257" s="9" t="inlineStr">
        <is>
          <t>2026-07-07</t>
        </is>
      </c>
      <c r="D5257" s="9" t="inlineStr">
        <is>
          <t>43047214907532</t>
        </is>
      </c>
      <c r="E5257" s="9" t="inlineStr">
        <is>
          <t>PULSERA SIXTEEN STONES</t>
        </is>
      </c>
      <c r="F5257" s="9" t="inlineStr">
        <is>
          <t>XGDF80350-1</t>
        </is>
      </c>
      <c r="G5257" s="9" t="n"/>
      <c r="H5257" s="21" t="n">
        <v>20</v>
      </c>
      <c r="I5257" s="21" t="n"/>
      <c r="J5257" s="21" t="n"/>
      <c r="K5257" s="21" t="n"/>
      <c r="L5257" s="21" t="n"/>
      <c r="M5257" s="21" t="n"/>
    </row>
    <row r="5258">
      <c r="A5258" s="9" t="inlineStr">
        <is>
          <t>CYNTHIA</t>
        </is>
      </c>
      <c r="B5258" s="9" t="inlineStr">
        <is>
          <t>CYN070726*</t>
        </is>
      </c>
      <c r="C5258" s="9" t="inlineStr">
        <is>
          <t>2026-07-07</t>
        </is>
      </c>
      <c r="D5258" s="9" t="inlineStr">
        <is>
          <t>668eee4d3cd9f</t>
        </is>
      </c>
      <c r="E5258" s="9" t="inlineStr">
        <is>
          <t>PULSERA T ANGOSTA GOLD</t>
        </is>
      </c>
      <c r="F5258" s="9" t="inlineStr">
        <is>
          <t>XGX142274  17cm</t>
        </is>
      </c>
      <c r="G5258" s="9" t="n"/>
      <c r="H5258" s="21" t="n">
        <v>14</v>
      </c>
      <c r="I5258" s="21" t="n"/>
      <c r="J5258" s="21" t="n"/>
      <c r="K5258" s="21" t="n"/>
      <c r="L5258" s="21" t="n"/>
      <c r="M5258" s="21" t="n"/>
    </row>
    <row r="5259">
      <c r="A5259" s="9" t="inlineStr">
        <is>
          <t>CYNTHIA</t>
        </is>
      </c>
      <c r="B5259" s="9" t="inlineStr">
        <is>
          <t>CYN070726*</t>
        </is>
      </c>
      <c r="C5259" s="9" t="inlineStr">
        <is>
          <t>2026-07-07</t>
        </is>
      </c>
      <c r="D5259" s="9" t="inlineStr">
        <is>
          <t>43047207010444</t>
        </is>
      </c>
      <c r="E5259" s="9" t="inlineStr">
        <is>
          <t>PULSERA T ANGOSTA SILVER</t>
        </is>
      </c>
      <c r="F5259" s="9" t="inlineStr">
        <is>
          <t>16cm</t>
        </is>
      </c>
      <c r="G5259" s="9" t="n"/>
      <c r="H5259" s="21" t="n">
        <v>14</v>
      </c>
      <c r="I5259" s="21" t="n"/>
      <c r="J5259" s="21" t="n"/>
      <c r="K5259" s="21" t="n"/>
      <c r="L5259" s="21" t="n"/>
      <c r="M5259" s="21" t="n"/>
    </row>
    <row r="5260">
      <c r="A5260" s="9" t="inlineStr">
        <is>
          <t>CYNTHIA</t>
        </is>
      </c>
      <c r="B5260" s="9" t="inlineStr">
        <is>
          <t>CYN070726*</t>
        </is>
      </c>
      <c r="C5260" s="9" t="inlineStr">
        <is>
          <t>2026-07-07</t>
        </is>
      </c>
      <c r="D5260" s="9" t="inlineStr">
        <is>
          <t>668eeccb35ffc</t>
        </is>
      </c>
      <c r="E5260" s="9" t="inlineStr">
        <is>
          <t>PULSERA T PLATA</t>
        </is>
      </c>
      <c r="F5260" s="9" t="inlineStr">
        <is>
          <t>XGX101626 16cm s</t>
        </is>
      </c>
      <c r="G5260" s="9" t="n"/>
      <c r="H5260" s="21" t="n">
        <v>9</v>
      </c>
      <c r="I5260" s="21" t="n"/>
      <c r="J5260" s="21" t="n"/>
      <c r="K5260" s="21" t="n"/>
      <c r="L5260" s="21" t="n"/>
      <c r="M5260" s="21" t="n"/>
    </row>
    <row r="5261">
      <c r="A5261" s="9" t="inlineStr">
        <is>
          <t>CYNTHIA</t>
        </is>
      </c>
      <c r="B5261" s="9" t="inlineStr">
        <is>
          <t>CYN070726*</t>
        </is>
      </c>
      <c r="C5261" s="9" t="inlineStr">
        <is>
          <t>2026-07-07</t>
        </is>
      </c>
      <c r="D5261" s="9" t="inlineStr">
        <is>
          <t>81712804295948</t>
        </is>
      </c>
      <c r="E5261" s="9" t="inlineStr">
        <is>
          <t>SANDALIAS DG BIANCA</t>
        </is>
      </c>
      <c r="F5261" s="9" t="inlineStr">
        <is>
          <t>36/ 23cm</t>
        </is>
      </c>
      <c r="G5261" s="9" t="n"/>
      <c r="H5261" s="21" t="n">
        <v>28</v>
      </c>
      <c r="I5261" s="21" t="n"/>
      <c r="J5261" s="21" t="n"/>
      <c r="K5261" s="21" t="n"/>
      <c r="L5261" s="21" t="n"/>
      <c r="M5261" s="21" t="n"/>
    </row>
    <row r="5262">
      <c r="A5262" s="9" t="inlineStr">
        <is>
          <t>CYNTHIA</t>
        </is>
      </c>
      <c r="B5262" s="9" t="inlineStr">
        <is>
          <t>CYN070726*</t>
        </is>
      </c>
      <c r="C5262" s="9" t="inlineStr">
        <is>
          <t>2026-07-07</t>
        </is>
      </c>
      <c r="D5262" s="9" t="inlineStr">
        <is>
          <t>81712814328716</t>
        </is>
      </c>
      <c r="E5262" s="9" t="inlineStr">
        <is>
          <t>SANDALIAS DG BIANCA</t>
        </is>
      </c>
      <c r="F5262" s="9" t="inlineStr">
        <is>
          <t>38/24cm</t>
        </is>
      </c>
      <c r="G5262" s="9" t="n"/>
      <c r="H5262" s="21" t="n">
        <v>28</v>
      </c>
      <c r="I5262" s="21" t="n"/>
      <c r="J5262" s="21" t="n"/>
      <c r="K5262" s="21" t="n"/>
      <c r="L5262" s="21" t="n"/>
      <c r="M5262" s="21" t="n"/>
    </row>
    <row r="5263">
      <c r="A5263" s="9" t="inlineStr">
        <is>
          <t>CYNTHIA</t>
        </is>
      </c>
      <c r="B5263" s="9" t="inlineStr">
        <is>
          <t>CYN070726*</t>
        </is>
      </c>
      <c r="C5263" s="9" t="inlineStr">
        <is>
          <t>2026-07-07</t>
        </is>
      </c>
      <c r="D5263" s="9" t="inlineStr">
        <is>
          <t>71628204959884</t>
        </is>
      </c>
      <c r="E5263" s="9" t="inlineStr">
        <is>
          <t>SANDALIAS H BLACK</t>
        </is>
      </c>
      <c r="F5263" s="9" t="inlineStr">
        <is>
          <t>38 (24cm)</t>
        </is>
      </c>
      <c r="G5263" s="9" t="n"/>
      <c r="H5263" s="21" t="n">
        <v>34</v>
      </c>
      <c r="I5263" s="21" t="n"/>
      <c r="J5263" s="21" t="n"/>
      <c r="K5263" s="21" t="n"/>
      <c r="L5263" s="21" t="n"/>
      <c r="M5263" s="21" t="n"/>
    </row>
    <row r="5264">
      <c r="A5264" s="9" t="inlineStr">
        <is>
          <t>CYNTHIA</t>
        </is>
      </c>
      <c r="B5264" s="9" t="inlineStr">
        <is>
          <t>CYN070726*</t>
        </is>
      </c>
      <c r="C5264" s="9" t="inlineStr">
        <is>
          <t>2026-07-07</t>
        </is>
      </c>
      <c r="D5264" s="9" t="inlineStr">
        <is>
          <t>71628204927116</t>
        </is>
      </c>
      <c r="E5264" s="9" t="inlineStr">
        <is>
          <t>SANDALIAS H BLACK</t>
        </is>
      </c>
      <c r="F5264" s="9" t="inlineStr">
        <is>
          <t>XGDWS black 23cm</t>
        </is>
      </c>
      <c r="G5264" s="9" t="n"/>
      <c r="H5264" s="21" t="n">
        <v>34</v>
      </c>
      <c r="I5264" s="21" t="n"/>
      <c r="J5264" s="21" t="n"/>
      <c r="K5264" s="21" t="n"/>
      <c r="L5264" s="21" t="n"/>
      <c r="M5264" s="21" t="n"/>
    </row>
    <row r="5265">
      <c r="A5265" s="9" t="inlineStr">
        <is>
          <t>CYNTHIA</t>
        </is>
      </c>
      <c r="B5265" s="9" t="inlineStr">
        <is>
          <t>CYN070726*</t>
        </is>
      </c>
      <c r="C5265" s="9" t="inlineStr">
        <is>
          <t>2026-07-07</t>
        </is>
      </c>
      <c r="D5265" s="9" t="inlineStr">
        <is>
          <t>71628204107916</t>
        </is>
      </c>
      <c r="E5265" s="9" t="inlineStr">
        <is>
          <t>SANDALIAS H BLUE</t>
        </is>
      </c>
      <c r="F5265" s="9" t="inlineStr">
        <is>
          <t>37 (23cm)</t>
        </is>
      </c>
      <c r="G5265" s="9" t="n"/>
      <c r="H5265" s="21" t="n">
        <v>30</v>
      </c>
      <c r="I5265" s="21" t="n"/>
      <c r="J5265" s="21" t="n"/>
      <c r="K5265" s="21" t="n"/>
      <c r="L5265" s="21" t="n"/>
      <c r="M5265" s="21" t="n"/>
    </row>
    <row r="5266">
      <c r="A5266" s="9" t="inlineStr">
        <is>
          <t>CYNTHIA</t>
        </is>
      </c>
      <c r="B5266" s="9" t="inlineStr">
        <is>
          <t>CYN070726*</t>
        </is>
      </c>
      <c r="C5266" s="9" t="inlineStr">
        <is>
          <t>2026-07-07</t>
        </is>
      </c>
      <c r="D5266" s="9" t="inlineStr">
        <is>
          <t>81712806121228</t>
        </is>
      </c>
      <c r="E5266" s="9" t="inlineStr">
        <is>
          <t>SANDALIAS MM</t>
        </is>
      </c>
      <c r="F5266" s="9" t="inlineStr">
        <is>
          <t>XGDWS 24cm/38#</t>
        </is>
      </c>
      <c r="G5266" s="9" t="n"/>
      <c r="H5266" s="21" t="n">
        <v>28</v>
      </c>
      <c r="I5266" s="21" t="n"/>
      <c r="J5266" s="21" t="n"/>
      <c r="K5266" s="21" t="n"/>
      <c r="L5266" s="21" t="n"/>
      <c r="M5266" s="21" t="n"/>
    </row>
    <row r="5267">
      <c r="A5267" s="9" t="inlineStr">
        <is>
          <t>CYNTHIA</t>
        </is>
      </c>
      <c r="B5267" s="9" t="inlineStr">
        <is>
          <t>CYN070726*</t>
        </is>
      </c>
      <c r="C5267" s="9" t="inlineStr">
        <is>
          <t>2026-07-07</t>
        </is>
      </c>
      <c r="D5267" s="9" t="inlineStr">
        <is>
          <t>98269351593261</t>
        </is>
      </c>
      <c r="E5267" s="9" t="inlineStr">
        <is>
          <t>SUETER PR BLACK CON PLACA DEL LOGO</t>
        </is>
      </c>
      <c r="F5267" s="9" t="inlineStr">
        <is>
          <t>S</t>
        </is>
      </c>
      <c r="G5267" s="9" t="n"/>
      <c r="H5267" s="21" t="n">
        <v>22.8</v>
      </c>
      <c r="I5267" s="21" t="n"/>
      <c r="J5267" s="21" t="n"/>
      <c r="K5267" s="21" t="n"/>
      <c r="L5267" s="21" t="n"/>
      <c r="M5267" s="21" t="n"/>
    </row>
    <row r="5268">
      <c r="A5268" s="9" t="inlineStr">
        <is>
          <t>CYNTHIA</t>
        </is>
      </c>
      <c r="B5268" s="9" t="inlineStr">
        <is>
          <t>CYN070726*</t>
        </is>
      </c>
      <c r="C5268" s="9" t="inlineStr">
        <is>
          <t>2026-07-07</t>
        </is>
      </c>
      <c r="D5268" s="9" t="inlineStr">
        <is>
          <t>66e2425fcbc7e</t>
        </is>
      </c>
      <c r="E5268" s="9" t="inlineStr">
        <is>
          <t>TARJETERO G BLACK</t>
        </is>
      </c>
      <c r="F5268" s="9" t="inlineStr">
        <is>
          <t>10.5cm de largo</t>
        </is>
      </c>
      <c r="G5268" s="9" t="n"/>
      <c r="H5268" s="21" t="n">
        <v>26</v>
      </c>
      <c r="I5268" s="21" t="n"/>
      <c r="J5268" s="21" t="n"/>
      <c r="K5268" s="21" t="n"/>
      <c r="L5268" s="21" t="n"/>
      <c r="M5268" s="21" t="n"/>
    </row>
    <row r="5269">
      <c r="A5269" s="9" t="inlineStr">
        <is>
          <t>CYNTHIA</t>
        </is>
      </c>
      <c r="B5269" s="9" t="inlineStr">
        <is>
          <t>CYN070726*</t>
        </is>
      </c>
      <c r="C5269" s="9" t="inlineStr">
        <is>
          <t>2026-07-07</t>
        </is>
      </c>
      <c r="D5269" s="9" t="inlineStr">
        <is>
          <t>16572644570636</t>
        </is>
      </c>
      <c r="E5269" s="9" t="inlineStr">
        <is>
          <t>TRAJE DE BAÑO GC</t>
        </is>
      </c>
      <c r="F5269" s="9" t="inlineStr">
        <is>
          <t>XGCP24248 L</t>
        </is>
      </c>
      <c r="G5269" s="9" t="n"/>
      <c r="H5269" s="21" t="n">
        <v>10.8</v>
      </c>
      <c r="I5269" s="21" t="n"/>
      <c r="J5269" s="21" t="n"/>
      <c r="K5269" s="21" t="n"/>
      <c r="L5269" s="21" t="n"/>
      <c r="M5269" s="21" t="n"/>
    </row>
    <row r="5270">
      <c r="A5270" s="9" t="inlineStr">
        <is>
          <t>CYNTHIA</t>
        </is>
      </c>
      <c r="B5270" s="9" t="inlineStr">
        <is>
          <t>CYN070726*</t>
        </is>
      </c>
      <c r="C5270" s="9" t="inlineStr">
        <is>
          <t>2026-07-07</t>
        </is>
      </c>
      <c r="D5270" s="9" t="inlineStr">
        <is>
          <t>11915828105387</t>
        </is>
      </c>
      <c r="E5270" s="9" t="inlineStr">
        <is>
          <t>TRAJE DE BAÑO V</t>
        </is>
      </c>
      <c r="F5270" s="9" t="inlineStr">
        <is>
          <t>XGCP24248 M</t>
        </is>
      </c>
      <c r="G5270" s="9" t="n"/>
      <c r="H5270" s="21" t="n">
        <v>9.800000000000001</v>
      </c>
      <c r="I5270" s="21" t="n"/>
      <c r="J5270" s="21" t="n"/>
      <c r="K5270" s="21" t="n"/>
      <c r="L5270" s="21" t="n"/>
      <c r="M5270" s="21" t="n"/>
    </row>
    <row r="5271">
      <c r="A5271" s="9" t="inlineStr">
        <is>
          <t>NANCY</t>
        </is>
      </c>
      <c r="B5271" s="9" t="inlineStr">
        <is>
          <t>NANCY 09/07/2026</t>
        </is>
      </c>
      <c r="C5271" s="9" t="inlineStr">
        <is>
          <t>2026-07-09</t>
        </is>
      </c>
      <c r="D5271" s="9" t="inlineStr">
        <is>
          <t>42981601575052</t>
        </is>
      </c>
      <c r="E5271" s="9" t="inlineStr">
        <is>
          <t>ANILLO ESSENTIAL V PERLE</t>
        </is>
      </c>
      <c r="F5271" s="9" t="inlineStr">
        <is>
          <t>Default Title</t>
        </is>
      </c>
      <c r="G5271" s="9" t="n">
        <v>4</v>
      </c>
      <c r="H5271" s="21" t="n">
        <v>5.59</v>
      </c>
      <c r="I5271" s="21" t="n">
        <v>136.2</v>
      </c>
      <c r="J5271" s="21" t="n">
        <v>408.61</v>
      </c>
      <c r="K5271" s="21" t="n">
        <v>476.71</v>
      </c>
      <c r="L5271" s="21" t="n">
        <v>544.8099999999999</v>
      </c>
      <c r="M5271" s="21" t="n">
        <v>250</v>
      </c>
    </row>
    <row r="5272">
      <c r="A5272" s="9" t="inlineStr">
        <is>
          <t>NANCY</t>
        </is>
      </c>
      <c r="B5272" s="9" t="inlineStr">
        <is>
          <t>NANCY 09/07/2026</t>
        </is>
      </c>
      <c r="C5272" s="9" t="inlineStr">
        <is>
          <t>2026-07-09</t>
        </is>
      </c>
      <c r="D5272" s="9" t="inlineStr">
        <is>
          <t>66593a9c168cf</t>
        </is>
      </c>
      <c r="E5272" s="9" t="inlineStr">
        <is>
          <t>ANILLO KNOT GOLD</t>
        </is>
      </c>
      <c r="F5272" s="9" t="inlineStr">
        <is>
          <t>6</t>
        </is>
      </c>
      <c r="G5272" s="9" t="n">
        <v>5</v>
      </c>
      <c r="H5272" s="21" t="n">
        <v>4.99</v>
      </c>
      <c r="I5272" s="21" t="n">
        <v>121.58</v>
      </c>
      <c r="J5272" s="21" t="n">
        <v>364.75</v>
      </c>
      <c r="K5272" s="21" t="n">
        <v>425.54</v>
      </c>
      <c r="L5272" s="21" t="n">
        <v>486.33</v>
      </c>
      <c r="M5272" s="21" t="n">
        <v>480</v>
      </c>
    </row>
    <row r="5273">
      <c r="A5273" s="9" t="inlineStr">
        <is>
          <t>NANCY</t>
        </is>
      </c>
      <c r="B5273" s="9" t="inlineStr">
        <is>
          <t>NANCY 09/07/2026</t>
        </is>
      </c>
      <c r="C5273" s="9" t="inlineStr">
        <is>
          <t>2026-07-09</t>
        </is>
      </c>
      <c r="D5273" s="9" t="inlineStr">
        <is>
          <t>2653027325964</t>
        </is>
      </c>
      <c r="E5273" s="9" t="inlineStr">
        <is>
          <t>ANILLO KNOT GOLD</t>
        </is>
      </c>
      <c r="F5273" s="9" t="inlineStr">
        <is>
          <t>8</t>
        </is>
      </c>
      <c r="G5273" s="9" t="n">
        <v>3</v>
      </c>
      <c r="H5273" s="21" t="n">
        <v>4.99</v>
      </c>
      <c r="I5273" s="21" t="n">
        <v>121.58</v>
      </c>
      <c r="J5273" s="21" t="n">
        <v>364.75</v>
      </c>
      <c r="K5273" s="21" t="n">
        <v>425.54</v>
      </c>
      <c r="L5273" s="21" t="n">
        <v>486.33</v>
      </c>
      <c r="M5273" s="21" t="n">
        <v>480</v>
      </c>
    </row>
    <row r="5274">
      <c r="A5274" s="9" t="inlineStr">
        <is>
          <t>NANCY</t>
        </is>
      </c>
      <c r="B5274" s="9" t="inlineStr">
        <is>
          <t>NANCY 09/07/2026</t>
        </is>
      </c>
      <c r="C5274" s="9" t="inlineStr">
        <is>
          <t>2026-07-09</t>
        </is>
      </c>
      <c r="D5274" s="9" t="inlineStr">
        <is>
          <t>42981773246604</t>
        </is>
      </c>
      <c r="E5274" s="9" t="inlineStr">
        <is>
          <t>ANILLO PANTHERE GOLD</t>
        </is>
      </c>
      <c r="F5274" s="9" t="inlineStr">
        <is>
          <t>Regular</t>
        </is>
      </c>
      <c r="G5274" s="9" t="n">
        <v>3</v>
      </c>
      <c r="H5274" s="21" t="n">
        <v>7.29</v>
      </c>
      <c r="I5274" s="21" t="n">
        <v>177.62</v>
      </c>
      <c r="J5274" s="21" t="n">
        <v>532.87</v>
      </c>
      <c r="K5274" s="21" t="n">
        <v>621.6900000000001</v>
      </c>
      <c r="L5274" s="21" t="n">
        <v>710.5</v>
      </c>
      <c r="M5274" s="21" t="n">
        <v>480</v>
      </c>
    </row>
    <row r="5275">
      <c r="A5275" s="9" t="inlineStr">
        <is>
          <t>NANCY</t>
        </is>
      </c>
      <c r="B5275" s="9" t="inlineStr">
        <is>
          <t>NANCY 09/07/2026</t>
        </is>
      </c>
      <c r="C5275" s="9" t="inlineStr">
        <is>
          <t>2026-07-09</t>
        </is>
      </c>
      <c r="D5275" s="9" t="inlineStr">
        <is>
          <t>50328871088397</t>
        </is>
      </c>
      <c r="E5275" s="9" t="inlineStr">
        <is>
          <t>ANILLO PERLEE SILVER</t>
        </is>
      </c>
      <c r="F5275" s="9" t="inlineStr">
        <is>
          <t>9</t>
        </is>
      </c>
      <c r="G5275" s="9" t="n">
        <v>3</v>
      </c>
      <c r="H5275" s="21" t="n">
        <v>5.59</v>
      </c>
      <c r="I5275" s="21" t="n">
        <v>136.2</v>
      </c>
      <c r="J5275" s="21" t="n">
        <v>408.61</v>
      </c>
      <c r="K5275" s="21" t="n">
        <v>476.71</v>
      </c>
      <c r="L5275" s="21" t="n">
        <v>544.8099999999999</v>
      </c>
      <c r="M5275" s="21" t="n">
        <v>499</v>
      </c>
    </row>
    <row r="5276">
      <c r="A5276" s="9" t="inlineStr">
        <is>
          <t>NANCY</t>
        </is>
      </c>
      <c r="B5276" s="9" t="inlineStr">
        <is>
          <t>NANCY 09/07/2026</t>
        </is>
      </c>
      <c r="C5276" s="9" t="inlineStr">
        <is>
          <t>2026-07-09</t>
        </is>
      </c>
      <c r="D5276" s="9" t="inlineStr">
        <is>
          <t>66593be202d61</t>
        </is>
      </c>
      <c r="E5276" s="9" t="inlineStr">
        <is>
          <t>ANILLO PERLEE SILVER</t>
        </is>
      </c>
      <c r="F5276" s="9" t="inlineStr">
        <is>
          <t>7</t>
        </is>
      </c>
      <c r="G5276" s="9" t="n">
        <v>1</v>
      </c>
      <c r="H5276" s="21" t="n">
        <v>5.59</v>
      </c>
      <c r="I5276" s="21" t="n">
        <v>136.2</v>
      </c>
      <c r="J5276" s="21" t="n">
        <v>408.61</v>
      </c>
      <c r="K5276" s="21" t="n">
        <v>476.71</v>
      </c>
      <c r="L5276" s="21" t="n">
        <v>544.8099999999999</v>
      </c>
      <c r="M5276" s="21" t="n">
        <v>499</v>
      </c>
    </row>
    <row r="5277">
      <c r="A5277" s="9" t="inlineStr">
        <is>
          <t>NANCY</t>
        </is>
      </c>
      <c r="B5277" s="9" t="inlineStr">
        <is>
          <t>NANCY 09/07/2026</t>
        </is>
      </c>
      <c r="C5277" s="9" t="inlineStr">
        <is>
          <t>2026-07-09</t>
        </is>
      </c>
      <c r="D5277" s="9" t="inlineStr">
        <is>
          <t>42981951111308</t>
        </is>
      </c>
      <c r="E5277" s="9" t="inlineStr">
        <is>
          <t>ANILLO TB GOLD</t>
        </is>
      </c>
      <c r="F5277" s="9" t="inlineStr">
        <is>
          <t>7</t>
        </is>
      </c>
      <c r="G5277" s="9" t="n">
        <v>4</v>
      </c>
      <c r="H5277" s="21" t="n">
        <v>2.99</v>
      </c>
      <c r="I5277" s="21" t="n">
        <v>72.84999999999999</v>
      </c>
      <c r="J5277" s="21" t="n">
        <v>218.56</v>
      </c>
      <c r="K5277" s="21" t="n">
        <v>254.98</v>
      </c>
      <c r="L5277" s="21" t="n">
        <v>291.41</v>
      </c>
      <c r="M5277" s="21" t="n">
        <v>250</v>
      </c>
    </row>
    <row r="5278">
      <c r="A5278" s="9" t="inlineStr">
        <is>
          <t>NANCY</t>
        </is>
      </c>
      <c r="B5278" s="9" t="inlineStr">
        <is>
          <t>NANCY 09/07/2026</t>
        </is>
      </c>
      <c r="C5278" s="9" t="inlineStr">
        <is>
          <t>2026-07-09</t>
        </is>
      </c>
      <c r="D5278" s="9" t="inlineStr">
        <is>
          <t>646f84c300fa5</t>
        </is>
      </c>
      <c r="E5278" s="9" t="inlineStr">
        <is>
          <t>ARETES BV GOLD-BLACK</t>
        </is>
      </c>
      <c r="F5278" s="9" t="inlineStr">
        <is>
          <t>0.7cm</t>
        </is>
      </c>
      <c r="G5278" s="9" t="n">
        <v>2</v>
      </c>
      <c r="H5278" s="21" t="n">
        <v>5.59</v>
      </c>
      <c r="I5278" s="21" t="n">
        <v>136.2</v>
      </c>
      <c r="J5278" s="21" t="n">
        <v>408.61</v>
      </c>
      <c r="K5278" s="21" t="n">
        <v>476.71</v>
      </c>
      <c r="L5278" s="21" t="n">
        <v>544.8099999999999</v>
      </c>
      <c r="M5278" s="21" t="n">
        <v>450</v>
      </c>
    </row>
    <row r="5279">
      <c r="A5279" s="9" t="inlineStr">
        <is>
          <t>NANCY</t>
        </is>
      </c>
      <c r="B5279" s="9" t="inlineStr">
        <is>
          <t>NANCY 09/07/2026</t>
        </is>
      </c>
      <c r="C5279" s="9" t="inlineStr">
        <is>
          <t>2026-07-09</t>
        </is>
      </c>
      <c r="D5279" s="9" t="inlineStr">
        <is>
          <t>64e78ca690d8e</t>
        </is>
      </c>
      <c r="E5279" s="9" t="inlineStr">
        <is>
          <t>ARETES BV SILVER-BLACK</t>
        </is>
      </c>
      <c r="F5279" s="9" t="inlineStr">
        <is>
          <t>0.7 cm</t>
        </is>
      </c>
      <c r="G5279" s="9" t="n">
        <v>2</v>
      </c>
      <c r="H5279" s="21" t="n">
        <v>5.59</v>
      </c>
      <c r="I5279" s="21" t="n">
        <v>136.2</v>
      </c>
      <c r="J5279" s="21" t="n">
        <v>408.61</v>
      </c>
      <c r="K5279" s="21" t="n">
        <v>476.71</v>
      </c>
      <c r="L5279" s="21" t="n">
        <v>544.8099999999999</v>
      </c>
      <c r="M5279" s="21" t="n">
        <v>450</v>
      </c>
    </row>
    <row r="5280">
      <c r="A5280" s="9" t="inlineStr">
        <is>
          <t>NANCY</t>
        </is>
      </c>
      <c r="B5280" s="9" t="inlineStr">
        <is>
          <t>NANCY 09/07/2026</t>
        </is>
      </c>
      <c r="C5280" s="9" t="inlineStr">
        <is>
          <t>2026-07-09</t>
        </is>
      </c>
      <c r="D5280" s="9" t="inlineStr">
        <is>
          <t>665bb4e91bcaf</t>
        </is>
      </c>
      <c r="E5280" s="9" t="inlineStr">
        <is>
          <t>ARETES CD GOLD BLACK</t>
        </is>
      </c>
      <c r="F5280" s="9" t="inlineStr">
        <is>
          <t>Default Title</t>
        </is>
      </c>
      <c r="G5280" s="9" t="n">
        <v>4</v>
      </c>
      <c r="H5280" s="21" t="n">
        <v>5.59</v>
      </c>
      <c r="I5280" s="21" t="n">
        <v>136.2</v>
      </c>
      <c r="J5280" s="21" t="n">
        <v>408.61</v>
      </c>
      <c r="K5280" s="21" t="n">
        <v>476.71</v>
      </c>
      <c r="L5280" s="21" t="n">
        <v>544.8099999999999</v>
      </c>
      <c r="M5280" s="21" t="n">
        <v>499</v>
      </c>
    </row>
    <row r="5281">
      <c r="A5281" s="9" t="inlineStr">
        <is>
          <t>NANCY</t>
        </is>
      </c>
      <c r="B5281" s="9" t="inlineStr">
        <is>
          <t>NANCY 09/07/2026</t>
        </is>
      </c>
      <c r="C5281" s="9" t="inlineStr">
        <is>
          <t>2026-07-09</t>
        </is>
      </c>
      <c r="D5281" s="9" t="inlineStr">
        <is>
          <t>42981640208524</t>
        </is>
      </c>
      <c r="E5281" s="9" t="inlineStr">
        <is>
          <t>ARETES CD GOLD CON PERLA COLGANTE</t>
        </is>
      </c>
      <c r="F5281" s="9" t="inlineStr">
        <is>
          <t>Default Title</t>
        </is>
      </c>
      <c r="G5281" s="9" t="n">
        <v>8</v>
      </c>
      <c r="H5281" s="21" t="n">
        <v>5.59</v>
      </c>
      <c r="I5281" s="21" t="n">
        <v>136.2</v>
      </c>
      <c r="J5281" s="21" t="n">
        <v>408.61</v>
      </c>
      <c r="K5281" s="21" t="n">
        <v>476.71</v>
      </c>
      <c r="L5281" s="21" t="n">
        <v>544.8099999999999</v>
      </c>
      <c r="M5281" s="21" t="n">
        <v>466</v>
      </c>
    </row>
    <row r="5282">
      <c r="A5282" s="9" t="inlineStr">
        <is>
          <t>NANCY</t>
        </is>
      </c>
      <c r="B5282" s="9" t="inlineStr">
        <is>
          <t>NANCY 09/07/2026</t>
        </is>
      </c>
      <c r="C5282" s="9" t="inlineStr">
        <is>
          <t>2026-07-09</t>
        </is>
      </c>
      <c r="D5282" s="9" t="inlineStr">
        <is>
          <t>665bb4f54f46f</t>
        </is>
      </c>
      <c r="E5282" s="9" t="inlineStr">
        <is>
          <t>ARETES CORAZÓN GC</t>
        </is>
      </c>
      <c r="F5282" s="9" t="inlineStr">
        <is>
          <t>Default Title</t>
        </is>
      </c>
      <c r="G5282" s="9" t="n">
        <v>4</v>
      </c>
      <c r="H5282" s="21" t="n">
        <v>3.69</v>
      </c>
      <c r="I5282" s="21" t="n">
        <v>89.91</v>
      </c>
      <c r="J5282" s="21" t="n">
        <v>269.73</v>
      </c>
      <c r="K5282" s="21" t="n">
        <v>314.68</v>
      </c>
      <c r="L5282" s="21" t="n">
        <v>359.63</v>
      </c>
      <c r="M5282" s="21" t="n">
        <v>350</v>
      </c>
    </row>
    <row r="5283">
      <c r="A5283" s="9" t="inlineStr">
        <is>
          <t>NANCY</t>
        </is>
      </c>
      <c r="B5283" s="9" t="inlineStr">
        <is>
          <t>NANCY 09/07/2026</t>
        </is>
      </c>
      <c r="C5283" s="9" t="inlineStr">
        <is>
          <t>2026-07-09</t>
        </is>
      </c>
      <c r="D5283" s="9" t="inlineStr">
        <is>
          <t>668eee447fb3d</t>
        </is>
      </c>
      <c r="E5283" s="9" t="inlineStr">
        <is>
          <t>ARETES DE ESLABONES GOLD MZ</t>
        </is>
      </c>
      <c r="F5283" s="9" t="inlineStr">
        <is>
          <t>High Quality</t>
        </is>
      </c>
      <c r="G5283" s="9" t="n">
        <v>3</v>
      </c>
      <c r="H5283" s="21" t="n">
        <v>7.59</v>
      </c>
      <c r="I5283" s="21" t="n">
        <v>184.93</v>
      </c>
      <c r="J5283" s="21" t="n">
        <v>554.8</v>
      </c>
      <c r="K5283" s="21" t="n">
        <v>647.27</v>
      </c>
      <c r="L5283" s="21" t="n">
        <v>739.74</v>
      </c>
      <c r="M5283" s="21" t="n">
        <v>699</v>
      </c>
    </row>
    <row r="5284">
      <c r="A5284" s="9" t="inlineStr">
        <is>
          <t>NANCY</t>
        </is>
      </c>
      <c r="B5284" s="9" t="inlineStr">
        <is>
          <t>NANCY 09/07/2026</t>
        </is>
      </c>
      <c r="C5284" s="9" t="inlineStr">
        <is>
          <t>2026-07-09</t>
        </is>
      </c>
      <c r="D5284" s="9" t="inlineStr">
        <is>
          <t>42982006882444</t>
        </is>
      </c>
      <c r="E5284" s="9" t="inlineStr">
        <is>
          <t>ARETES FR GOLD CON PERLA</t>
        </is>
      </c>
      <c r="F5284" s="9" t="inlineStr">
        <is>
          <t>Default Title</t>
        </is>
      </c>
      <c r="G5284" s="9" t="n">
        <v>7</v>
      </c>
      <c r="H5284" s="21" t="n">
        <v>4.99</v>
      </c>
      <c r="I5284" s="21" t="n">
        <v>121.58</v>
      </c>
      <c r="J5284" s="21" t="n">
        <v>364.75</v>
      </c>
      <c r="K5284" s="21" t="n">
        <v>425.54</v>
      </c>
      <c r="L5284" s="21" t="n">
        <v>486.33</v>
      </c>
      <c r="M5284" s="21" t="n">
        <v>499</v>
      </c>
    </row>
    <row r="5285">
      <c r="A5285" s="9" t="inlineStr">
        <is>
          <t>NANCY</t>
        </is>
      </c>
      <c r="B5285" s="9" t="inlineStr">
        <is>
          <t>NANCY 09/07/2026</t>
        </is>
      </c>
      <c r="C5285" s="9" t="inlineStr">
        <is>
          <t>2026-07-09</t>
        </is>
      </c>
      <c r="D5285" s="9" t="inlineStr">
        <is>
          <t>665bd22d2f1c6</t>
        </is>
      </c>
      <c r="E5285" s="9" t="inlineStr">
        <is>
          <t>ARETES FR GOLD CON ZIRCONIA</t>
        </is>
      </c>
      <c r="F5285" s="9" t="inlineStr">
        <is>
          <t>Regular</t>
        </is>
      </c>
      <c r="G5285" s="9" t="n">
        <v>15</v>
      </c>
      <c r="H5285" s="21" t="n">
        <v>4.99</v>
      </c>
      <c r="I5285" s="21" t="n">
        <v>121.58</v>
      </c>
      <c r="J5285" s="21" t="n">
        <v>364.75</v>
      </c>
      <c r="K5285" s="21" t="n">
        <v>425.54</v>
      </c>
      <c r="L5285" s="21" t="n">
        <v>486.33</v>
      </c>
      <c r="M5285" s="21" t="n">
        <v>550</v>
      </c>
    </row>
    <row r="5286">
      <c r="A5286" s="9" t="inlineStr">
        <is>
          <t>NANCY</t>
        </is>
      </c>
      <c r="B5286" s="9" t="inlineStr">
        <is>
          <t>NANCY 09/07/2026</t>
        </is>
      </c>
      <c r="C5286" s="9" t="inlineStr">
        <is>
          <t>2026-07-09</t>
        </is>
      </c>
      <c r="D5286" s="9" t="inlineStr">
        <is>
          <t>678a9af396518</t>
        </is>
      </c>
      <c r="E5286" s="9" t="inlineStr">
        <is>
          <t>ARETES FR SILVER</t>
        </is>
      </c>
      <c r="F5286" s="9" t="inlineStr">
        <is>
          <t>Regular</t>
        </is>
      </c>
      <c r="G5286" s="9" t="n">
        <v>3</v>
      </c>
      <c r="H5286" s="21" t="n">
        <v>4.99</v>
      </c>
      <c r="I5286" s="21" t="n">
        <v>121.58</v>
      </c>
      <c r="J5286" s="21" t="n">
        <v>364.75</v>
      </c>
      <c r="K5286" s="21" t="n">
        <v>425.54</v>
      </c>
      <c r="L5286" s="21" t="n">
        <v>486.33</v>
      </c>
      <c r="M5286" s="21" t="n">
        <v>450</v>
      </c>
    </row>
    <row r="5287">
      <c r="A5287" s="9" t="inlineStr">
        <is>
          <t>NANCY</t>
        </is>
      </c>
      <c r="B5287" s="9" t="inlineStr">
        <is>
          <t>NANCY 09/07/2026</t>
        </is>
      </c>
      <c r="C5287" s="9" t="inlineStr">
        <is>
          <t>2026-07-09</t>
        </is>
      </c>
      <c r="D5287" s="9" t="inlineStr">
        <is>
          <t>64e78ca83b5da-1</t>
        </is>
      </c>
      <c r="E5287" s="9" t="inlineStr">
        <is>
          <t>ARETES GC GOLD</t>
        </is>
      </c>
      <c r="F5287" s="9" t="inlineStr">
        <is>
          <t>Regular</t>
        </is>
      </c>
      <c r="G5287" s="9" t="n">
        <v>5</v>
      </c>
      <c r="H5287" s="21" t="n">
        <v>2.99</v>
      </c>
      <c r="I5287" s="21" t="n">
        <v>72.84999999999999</v>
      </c>
      <c r="J5287" s="21" t="n">
        <v>218.56</v>
      </c>
      <c r="K5287" s="21" t="n">
        <v>254.98</v>
      </c>
      <c r="L5287" s="21" t="n">
        <v>291.41</v>
      </c>
      <c r="M5287" s="21" t="n">
        <v>499</v>
      </c>
    </row>
    <row r="5288">
      <c r="A5288" s="9" t="inlineStr">
        <is>
          <t>NANCY</t>
        </is>
      </c>
      <c r="B5288" s="9" t="inlineStr">
        <is>
          <t>NANCY 09/07/2026</t>
        </is>
      </c>
      <c r="C5288" s="9" t="inlineStr">
        <is>
          <t>2026-07-09</t>
        </is>
      </c>
      <c r="D5288" s="9" t="inlineStr">
        <is>
          <t>665bb512aacaa</t>
        </is>
      </c>
      <c r="E5288" s="9" t="inlineStr">
        <is>
          <t>ARETES GC LOGO GOLD</t>
        </is>
      </c>
      <c r="F5288" s="9" t="inlineStr">
        <is>
          <t>Default Title</t>
        </is>
      </c>
      <c r="G5288" s="9" t="n">
        <v>4</v>
      </c>
      <c r="H5288" s="21" t="n">
        <v>5.59</v>
      </c>
      <c r="I5288" s="21" t="n">
        <v>136.2</v>
      </c>
      <c r="J5288" s="21" t="n">
        <v>408.61</v>
      </c>
      <c r="K5288" s="21" t="n">
        <v>476.71</v>
      </c>
      <c r="L5288" s="21" t="n">
        <v>544.8099999999999</v>
      </c>
      <c r="M5288" s="21" t="n">
        <v>480</v>
      </c>
    </row>
    <row r="5289">
      <c r="A5289" s="9" t="inlineStr">
        <is>
          <t>NANCY</t>
        </is>
      </c>
      <c r="B5289" s="9" t="inlineStr">
        <is>
          <t>NANCY 09/07/2026</t>
        </is>
      </c>
      <c r="C5289" s="9" t="inlineStr">
        <is>
          <t>2026-07-09</t>
        </is>
      </c>
      <c r="D5289" s="9" t="inlineStr">
        <is>
          <t>665bb75a563b8</t>
        </is>
      </c>
      <c r="E5289" s="9" t="inlineStr">
        <is>
          <t>ARETES MY LV SILVER</t>
        </is>
      </c>
      <c r="F5289" s="9" t="inlineStr">
        <is>
          <t>Default Title</t>
        </is>
      </c>
      <c r="G5289" s="9" t="n">
        <v>1</v>
      </c>
      <c r="H5289" s="21" t="n">
        <v>6.29</v>
      </c>
      <c r="I5289" s="21" t="n">
        <v>153.26</v>
      </c>
      <c r="J5289" s="21" t="n">
        <v>459.78</v>
      </c>
      <c r="K5289" s="21" t="n">
        <v>536.41</v>
      </c>
      <c r="L5289" s="21" t="n">
        <v>613.04</v>
      </c>
      <c r="M5289" s="21" t="n">
        <v>499</v>
      </c>
    </row>
    <row r="5290">
      <c r="A5290" s="9" t="inlineStr">
        <is>
          <t>NANCY</t>
        </is>
      </c>
      <c r="B5290" s="9" t="inlineStr">
        <is>
          <t>NANCY 09/07/2026</t>
        </is>
      </c>
      <c r="C5290" s="9" t="inlineStr">
        <is>
          <t>2026-07-09</t>
        </is>
      </c>
      <c r="D5290" s="9" t="inlineStr">
        <is>
          <t>68431129697036</t>
        </is>
      </c>
      <c r="E5290" s="9" t="inlineStr">
        <is>
          <t>ARETES PERLEÉ SILVER</t>
        </is>
      </c>
      <c r="F5290" s="9" t="inlineStr">
        <is>
          <t>Default Title</t>
        </is>
      </c>
      <c r="G5290" s="9" t="n">
        <v>1</v>
      </c>
      <c r="H5290" s="21" t="n">
        <v>9.59</v>
      </c>
      <c r="I5290" s="21" t="n">
        <v>233.66</v>
      </c>
      <c r="J5290" s="21" t="n">
        <v>700.99</v>
      </c>
      <c r="K5290" s="21" t="n">
        <v>817.83</v>
      </c>
      <c r="L5290" s="21" t="n">
        <v>934.66</v>
      </c>
      <c r="M5290" s="21" t="n">
        <v>532</v>
      </c>
    </row>
    <row r="5291">
      <c r="A5291" s="9" t="inlineStr">
        <is>
          <t>NANCY</t>
        </is>
      </c>
      <c r="B5291" s="9" t="inlineStr">
        <is>
          <t>NANCY 09/07/2026</t>
        </is>
      </c>
      <c r="C5291" s="9" t="inlineStr">
        <is>
          <t>2026-07-09</t>
        </is>
      </c>
      <c r="D5291" s="9" t="inlineStr">
        <is>
          <t>654bdb2332905</t>
        </is>
      </c>
      <c r="E5291" s="9" t="inlineStr">
        <is>
          <t>ARETES V GOLD</t>
        </is>
      </c>
      <c r="F5291" s="9" t="inlineStr">
        <is>
          <t>Regular</t>
        </is>
      </c>
      <c r="G5291" s="9" t="n">
        <v>10</v>
      </c>
      <c r="H5291" s="21" t="n">
        <v>5.59</v>
      </c>
      <c r="I5291" s="21" t="n">
        <v>136.2</v>
      </c>
      <c r="J5291" s="21" t="n">
        <v>408.61</v>
      </c>
      <c r="K5291" s="21" t="n">
        <v>476.71</v>
      </c>
      <c r="L5291" s="21" t="n">
        <v>544.8099999999999</v>
      </c>
      <c r="M5291" s="21" t="n">
        <v>550</v>
      </c>
    </row>
    <row r="5292">
      <c r="A5292" s="9" t="inlineStr">
        <is>
          <t>NANCY</t>
        </is>
      </c>
      <c r="B5292" s="9" t="inlineStr">
        <is>
          <t>NANCY 09/07/2026</t>
        </is>
      </c>
      <c r="C5292" s="9" t="inlineStr">
        <is>
          <t>2026-07-09</t>
        </is>
      </c>
      <c r="D5292" s="9" t="inlineStr">
        <is>
          <t>42981986795660</t>
        </is>
      </c>
      <c r="E5292" s="9" t="inlineStr">
        <is>
          <t>ARETES V ROUND GOLD</t>
        </is>
      </c>
      <c r="F5292" s="9" t="inlineStr">
        <is>
          <t>Regular</t>
        </is>
      </c>
      <c r="G5292" s="9" t="n">
        <v>2</v>
      </c>
      <c r="H5292" s="21" t="n">
        <v>6.29</v>
      </c>
      <c r="I5292" s="21" t="n">
        <v>153.26</v>
      </c>
      <c r="J5292" s="21" t="n">
        <v>459.78</v>
      </c>
      <c r="K5292" s="21" t="n">
        <v>536.41</v>
      </c>
      <c r="L5292" s="21" t="n">
        <v>613.04</v>
      </c>
      <c r="M5292" s="21" t="n">
        <v>550</v>
      </c>
    </row>
    <row r="5293">
      <c r="A5293" s="9" t="inlineStr">
        <is>
          <t>NANCY</t>
        </is>
      </c>
      <c r="B5293" s="9" t="inlineStr">
        <is>
          <t>NANCY 09/07/2026</t>
        </is>
      </c>
      <c r="C5293" s="9" t="inlineStr">
        <is>
          <t>2026-07-09</t>
        </is>
      </c>
      <c r="D5293" s="9" t="inlineStr">
        <is>
          <t>86072001212237</t>
        </is>
      </c>
      <c r="E5293" s="9" t="inlineStr">
        <is>
          <t>ARRACADAS MM APPLE PEARL</t>
        </is>
      </c>
      <c r="F5293" s="9" t="inlineStr"/>
      <c r="G5293" s="9" t="n">
        <v>2</v>
      </c>
      <c r="H5293" s="21" t="n">
        <v>7.29</v>
      </c>
      <c r="I5293" s="21" t="n">
        <v>177.62</v>
      </c>
      <c r="J5293" s="21" t="n">
        <v>532.87</v>
      </c>
      <c r="K5293" s="21" t="n">
        <v>621.6900000000001</v>
      </c>
      <c r="L5293" s="21" t="n">
        <v>710.5</v>
      </c>
      <c r="M5293" s="21" t="n"/>
    </row>
    <row r="5294">
      <c r="A5294" s="9" t="inlineStr">
        <is>
          <t>NANCY</t>
        </is>
      </c>
      <c r="B5294" s="9" t="inlineStr">
        <is>
          <t>NANCY 09/07/2026</t>
        </is>
      </c>
      <c r="C5294" s="9" t="inlineStr">
        <is>
          <t>2026-07-09</t>
        </is>
      </c>
      <c r="D5294" s="9" t="inlineStr">
        <is>
          <t>22974392136013</t>
        </is>
      </c>
      <c r="E5294" s="9" t="inlineStr">
        <is>
          <t>BRAZALETE CC WHITE LOGOS</t>
        </is>
      </c>
      <c r="F5294" s="9" t="inlineStr">
        <is>
          <t>Default Title</t>
        </is>
      </c>
      <c r="G5294" s="9" t="n">
        <v>2</v>
      </c>
      <c r="H5294" s="21" t="n">
        <v>6.99</v>
      </c>
      <c r="I5294" s="21" t="n">
        <v>170.31</v>
      </c>
      <c r="J5294" s="21" t="n">
        <v>510.94</v>
      </c>
      <c r="K5294" s="21" t="n">
        <v>596.1</v>
      </c>
      <c r="L5294" s="21" t="n">
        <v>681.26</v>
      </c>
      <c r="M5294" s="21" t="n">
        <v>650</v>
      </c>
    </row>
    <row r="5295">
      <c r="A5295" s="9" t="inlineStr">
        <is>
          <t>NANCY</t>
        </is>
      </c>
      <c r="B5295" s="9" t="inlineStr">
        <is>
          <t>NANCY 09/07/2026</t>
        </is>
      </c>
      <c r="C5295" s="9" t="inlineStr">
        <is>
          <t>2026-07-09</t>
        </is>
      </c>
      <c r="D5295" s="9" t="inlineStr">
        <is>
          <t>22974392600397</t>
        </is>
      </c>
      <c r="E5295" s="9" t="inlineStr">
        <is>
          <t>BRAZALETE CD PETIT MULTI GOLD</t>
        </is>
      </c>
      <c r="F5295" s="9" t="inlineStr">
        <is>
          <t>Default Title</t>
        </is>
      </c>
      <c r="G5295" s="9" t="n">
        <v>4</v>
      </c>
      <c r="H5295" s="21" t="n">
        <v>7.99</v>
      </c>
      <c r="I5295" s="21" t="n">
        <v>194.68</v>
      </c>
      <c r="J5295" s="21" t="n">
        <v>584.04</v>
      </c>
      <c r="K5295" s="21" t="n">
        <v>681.38</v>
      </c>
      <c r="L5295" s="21" t="n">
        <v>778.72</v>
      </c>
      <c r="M5295" s="21" t="n">
        <v>650</v>
      </c>
    </row>
    <row r="5296">
      <c r="A5296" s="9" t="inlineStr">
        <is>
          <t>NANCY</t>
        </is>
      </c>
      <c r="B5296" s="9" t="inlineStr">
        <is>
          <t>NANCY 09/07/2026</t>
        </is>
      </c>
      <c r="C5296" s="9" t="inlineStr">
        <is>
          <t>2026-07-09</t>
        </is>
      </c>
      <c r="D5296" s="9" t="inlineStr">
        <is>
          <t>22974391456973</t>
        </is>
      </c>
      <c r="E5296" s="9" t="inlineStr">
        <is>
          <t>BRAZALETE LV EMPREINTE SILVER</t>
        </is>
      </c>
      <c r="F5296" s="9" t="inlineStr">
        <is>
          <t>Default Title</t>
        </is>
      </c>
      <c r="G5296" s="9" t="n">
        <v>3</v>
      </c>
      <c r="H5296" s="21" t="n">
        <v>8.59</v>
      </c>
      <c r="I5296" s="21" t="n">
        <v>209.3</v>
      </c>
      <c r="J5296" s="21" t="n">
        <v>627.9</v>
      </c>
      <c r="K5296" s="21" t="n">
        <v>732.55</v>
      </c>
      <c r="L5296" s="21" t="n">
        <v>837.2</v>
      </c>
      <c r="M5296" s="21" t="n">
        <v>499</v>
      </c>
    </row>
    <row r="5297">
      <c r="A5297" s="9" t="inlineStr">
        <is>
          <t>NANCY</t>
        </is>
      </c>
      <c r="B5297" s="9" t="inlineStr">
        <is>
          <t>NANCY 09/07/2026</t>
        </is>
      </c>
      <c r="C5297" s="9" t="inlineStr">
        <is>
          <t>2026-07-09</t>
        </is>
      </c>
      <c r="D5297" s="9" t="inlineStr">
        <is>
          <t>66177be17fc51</t>
        </is>
      </c>
      <c r="E5297" s="9" t="inlineStr">
        <is>
          <t>COLLAR CLAVO ROUND GOLD</t>
        </is>
      </c>
      <c r="F5297" s="9" t="inlineStr">
        <is>
          <t>Regular</t>
        </is>
      </c>
      <c r="G5297" s="9" t="n">
        <v>8</v>
      </c>
      <c r="H5297" s="21" t="n">
        <v>7.59</v>
      </c>
      <c r="I5297" s="21" t="n">
        <v>184.93</v>
      </c>
      <c r="J5297" s="21" t="n">
        <v>554.8</v>
      </c>
      <c r="K5297" s="21" t="n">
        <v>647.27</v>
      </c>
      <c r="L5297" s="21" t="n">
        <v>739.74</v>
      </c>
      <c r="M5297" s="21" t="n">
        <v>650</v>
      </c>
    </row>
    <row r="5298">
      <c r="A5298" s="9" t="inlineStr">
        <is>
          <t>NANCY</t>
        </is>
      </c>
      <c r="B5298" s="9" t="inlineStr">
        <is>
          <t>NANCY 09/07/2026</t>
        </is>
      </c>
      <c r="C5298" s="9" t="inlineStr">
        <is>
          <t>2026-07-09</t>
        </is>
      </c>
      <c r="D5298" s="9" t="inlineStr">
        <is>
          <t>43047205240972</t>
        </is>
      </c>
      <c r="E5298" s="9" t="inlineStr">
        <is>
          <t>COLLAR KNOT GOLD</t>
        </is>
      </c>
      <c r="F5298" s="9" t="inlineStr">
        <is>
          <t>Tamaño del dije: 4.5cm  40cm con extensión de 4cm</t>
        </is>
      </c>
      <c r="G5298" s="9" t="n">
        <v>4</v>
      </c>
      <c r="H5298" s="21" t="n">
        <v>6.59</v>
      </c>
      <c r="I5298" s="21" t="n">
        <v>160.57</v>
      </c>
      <c r="J5298" s="21" t="n">
        <v>481.71</v>
      </c>
      <c r="K5298" s="21" t="n">
        <v>561.99</v>
      </c>
      <c r="L5298" s="21" t="n">
        <v>642.27</v>
      </c>
      <c r="M5298" s="21" t="n">
        <v>550</v>
      </c>
    </row>
    <row r="5299">
      <c r="A5299" s="9" t="inlineStr">
        <is>
          <t>NANCY</t>
        </is>
      </c>
      <c r="B5299" s="9" t="inlineStr">
        <is>
          <t>NANCY 09/07/2026</t>
        </is>
      </c>
      <c r="C5299" s="9" t="inlineStr">
        <is>
          <t>2026-07-09</t>
        </is>
      </c>
      <c r="D5299" s="9" t="inlineStr">
        <is>
          <t>64e78caf2dfa6</t>
        </is>
      </c>
      <c r="E5299" s="9" t="inlineStr">
        <is>
          <t>COLLAR LV FLOWER GOLD</t>
        </is>
      </c>
      <c r="F5299" s="9" t="inlineStr">
        <is>
          <t>Default Title</t>
        </is>
      </c>
      <c r="G5299" s="9" t="n">
        <v>6</v>
      </c>
      <c r="H5299" s="21" t="n">
        <v>6.99</v>
      </c>
      <c r="I5299" s="21" t="n">
        <v>170.31</v>
      </c>
      <c r="J5299" s="21" t="n">
        <v>510.94</v>
      </c>
      <c r="K5299" s="21" t="n">
        <v>596.1</v>
      </c>
      <c r="L5299" s="21" t="n">
        <v>681.26</v>
      </c>
      <c r="M5299" s="21" t="n">
        <v>650</v>
      </c>
    </row>
    <row r="5300">
      <c r="A5300" s="9" t="inlineStr">
        <is>
          <t>NANCY</t>
        </is>
      </c>
      <c r="B5300" s="9" t="inlineStr">
        <is>
          <t>NANCY 09/07/2026</t>
        </is>
      </c>
      <c r="C5300" s="9" t="inlineStr">
        <is>
          <t>2026-07-09</t>
        </is>
      </c>
      <c r="D5300" s="9" t="inlineStr">
        <is>
          <t>22974391090893</t>
        </is>
      </c>
      <c r="E5300" s="9" t="inlineStr">
        <is>
          <t>COLLAR LV LADY GOLD</t>
        </is>
      </c>
      <c r="F5300" s="9" t="inlineStr">
        <is>
          <t>Default Title</t>
        </is>
      </c>
      <c r="G5300" s="9" t="n">
        <v>3</v>
      </c>
      <c r="H5300" s="21" t="n">
        <v>9.59</v>
      </c>
      <c r="I5300" s="21" t="n">
        <v>233.66</v>
      </c>
      <c r="J5300" s="21" t="n">
        <v>700.99</v>
      </c>
      <c r="K5300" s="21" t="n">
        <v>817.83</v>
      </c>
      <c r="L5300" s="21" t="n">
        <v>934.66</v>
      </c>
      <c r="M5300" s="21" t="n">
        <v>850</v>
      </c>
    </row>
    <row r="5301">
      <c r="A5301" s="9" t="inlineStr">
        <is>
          <t>NANCY</t>
        </is>
      </c>
      <c r="B5301" s="9" t="inlineStr">
        <is>
          <t>NANCY 09/07/2026</t>
        </is>
      </c>
      <c r="C5301" s="9" t="inlineStr">
        <is>
          <t>2026-07-09</t>
        </is>
      </c>
      <c r="D5301" s="9" t="inlineStr">
        <is>
          <t>22974392517357</t>
        </is>
      </c>
      <c r="E5301" s="9" t="inlineStr">
        <is>
          <t>GARGANTILLA CD BLACK</t>
        </is>
      </c>
      <c r="F5301" s="9" t="inlineStr">
        <is>
          <t>Default Title</t>
        </is>
      </c>
      <c r="G5301" s="9" t="n">
        <v>7</v>
      </c>
      <c r="H5301" s="21" t="n">
        <v>5.59</v>
      </c>
      <c r="I5301" s="21" t="n">
        <v>136.2</v>
      </c>
      <c r="J5301" s="21" t="n">
        <v>408.61</v>
      </c>
      <c r="K5301" s="21" t="n">
        <v>476.71</v>
      </c>
      <c r="L5301" s="21" t="n">
        <v>544.8099999999999</v>
      </c>
      <c r="M5301" s="21" t="n">
        <v>499</v>
      </c>
    </row>
    <row r="5302">
      <c r="A5302" s="9" t="inlineStr">
        <is>
          <t>NANCY</t>
        </is>
      </c>
      <c r="B5302" s="9" t="inlineStr">
        <is>
          <t>NANCY 09/07/2026</t>
        </is>
      </c>
      <c r="C5302" s="9" t="inlineStr">
        <is>
          <t>2026-07-09</t>
        </is>
      </c>
      <c r="D5302" s="9" t="inlineStr">
        <is>
          <t>22974392089133</t>
        </is>
      </c>
      <c r="E5302" s="9" t="inlineStr">
        <is>
          <t>PULSERA CC COMETE GEODE SILVER</t>
        </is>
      </c>
      <c r="F5302" s="9" t="inlineStr">
        <is>
          <t>Default Title</t>
        </is>
      </c>
      <c r="G5302" s="9" t="n">
        <v>4</v>
      </c>
      <c r="H5302" s="21" t="n">
        <v>6.29</v>
      </c>
      <c r="I5302" s="21" t="n">
        <v>153.26</v>
      </c>
      <c r="J5302" s="21" t="n">
        <v>459.78</v>
      </c>
      <c r="K5302" s="21" t="n">
        <v>536.41</v>
      </c>
      <c r="L5302" s="21" t="n">
        <v>613.04</v>
      </c>
      <c r="M5302" s="21" t="n">
        <v>550</v>
      </c>
    </row>
    <row r="5303">
      <c r="A5303" s="9" t="inlineStr">
        <is>
          <t>NANCY</t>
        </is>
      </c>
      <c r="B5303" s="9" t="inlineStr">
        <is>
          <t>NANCY 09/07/2026</t>
        </is>
      </c>
      <c r="C5303" s="9" t="inlineStr">
        <is>
          <t>2026-07-09</t>
        </is>
      </c>
      <c r="D5303" s="9" t="inlineStr">
        <is>
          <t>63e0c0f1b69e8</t>
        </is>
      </c>
      <c r="E5303" s="9" t="inlineStr">
        <is>
          <t>PULSERA CLAVO GOLD CON ZIRCONIA</t>
        </is>
      </c>
      <c r="F5303" s="9" t="inlineStr">
        <is>
          <t>17cm</t>
        </is>
      </c>
      <c r="G5303" s="9" t="n">
        <v>14</v>
      </c>
      <c r="H5303" s="21" t="n">
        <v>3.99</v>
      </c>
      <c r="I5303" s="21" t="n">
        <v>97.22</v>
      </c>
      <c r="J5303" s="21" t="n">
        <v>291.65</v>
      </c>
      <c r="K5303" s="21" t="n">
        <v>340.26</v>
      </c>
      <c r="L5303" s="21" t="n">
        <v>388.87</v>
      </c>
      <c r="M5303" s="21" t="n">
        <v>450</v>
      </c>
    </row>
    <row r="5304">
      <c r="A5304" s="9" t="inlineStr">
        <is>
          <t>NANCY</t>
        </is>
      </c>
      <c r="B5304" s="9" t="inlineStr">
        <is>
          <t>NANCY 09/07/2026</t>
        </is>
      </c>
      <c r="C5304" s="9" t="inlineStr">
        <is>
          <t>2026-07-09</t>
        </is>
      </c>
      <c r="D5304" s="9" t="inlineStr">
        <is>
          <t>63e0c0f2996bf</t>
        </is>
      </c>
      <c r="E5304" s="9" t="inlineStr">
        <is>
          <t>PULSERA CLAVO GOLD CON ZIRCONIA</t>
        </is>
      </c>
      <c r="F5304" s="9" t="inlineStr">
        <is>
          <t>19 cm</t>
        </is>
      </c>
      <c r="G5304" s="9" t="n">
        <v>2</v>
      </c>
      <c r="H5304" s="21" t="n">
        <v>3.99</v>
      </c>
      <c r="I5304" s="21" t="n">
        <v>97.22</v>
      </c>
      <c r="J5304" s="21" t="n">
        <v>291.65</v>
      </c>
      <c r="K5304" s="21" t="n">
        <v>340.26</v>
      </c>
      <c r="L5304" s="21" t="n">
        <v>388.87</v>
      </c>
      <c r="M5304" s="21" t="n">
        <v>450</v>
      </c>
    </row>
    <row r="5305">
      <c r="A5305" s="9" t="inlineStr">
        <is>
          <t>NANCY</t>
        </is>
      </c>
      <c r="B5305" s="9" t="inlineStr">
        <is>
          <t>NANCY 09/07/2026</t>
        </is>
      </c>
      <c r="C5305" s="9" t="inlineStr">
        <is>
          <t>2026-07-09</t>
        </is>
      </c>
      <c r="D5305" s="9" t="inlineStr">
        <is>
          <t>63e0c0e97703d</t>
        </is>
      </c>
      <c r="E5305" s="9" t="inlineStr">
        <is>
          <t>PULSERA CLAVO GOLD DELGADA</t>
        </is>
      </c>
      <c r="F5305" s="9" t="inlineStr">
        <is>
          <t>16cm</t>
        </is>
      </c>
      <c r="G5305" s="9" t="n">
        <v>5</v>
      </c>
      <c r="H5305" s="21" t="n">
        <v>2.99</v>
      </c>
      <c r="I5305" s="21" t="n">
        <v>72.84999999999999</v>
      </c>
      <c r="J5305" s="21" t="n">
        <v>218.56</v>
      </c>
      <c r="K5305" s="21" t="n">
        <v>254.98</v>
      </c>
      <c r="L5305" s="21" t="n">
        <v>291.41</v>
      </c>
      <c r="M5305" s="21" t="n">
        <v>550</v>
      </c>
    </row>
    <row r="5306">
      <c r="A5306" s="9" t="inlineStr">
        <is>
          <t>NANCY</t>
        </is>
      </c>
      <c r="B5306" s="9" t="inlineStr">
        <is>
          <t>NANCY 09/07/2026</t>
        </is>
      </c>
      <c r="C5306" s="9" t="inlineStr">
        <is>
          <t>2026-07-09</t>
        </is>
      </c>
      <c r="D5306" s="9" t="inlineStr">
        <is>
          <t>82224433136653</t>
        </is>
      </c>
      <c r="E5306" s="9" t="inlineStr">
        <is>
          <t>PULSERA CLAVO ROSEGOLD</t>
        </is>
      </c>
      <c r="F5306" s="9" t="inlineStr">
        <is>
          <t>17 cm</t>
        </is>
      </c>
      <c r="G5306" s="9" t="n">
        <v>2</v>
      </c>
      <c r="H5306" s="21" t="n">
        <v>2.99</v>
      </c>
      <c r="I5306" s="21" t="n">
        <v>72.84999999999999</v>
      </c>
      <c r="J5306" s="21" t="n">
        <v>218.56</v>
      </c>
      <c r="K5306" s="21" t="n">
        <v>254.98</v>
      </c>
      <c r="L5306" s="21" t="n">
        <v>291.41</v>
      </c>
      <c r="M5306" s="21" t="n">
        <v>450</v>
      </c>
    </row>
    <row r="5307">
      <c r="A5307" s="9" t="inlineStr">
        <is>
          <t>NANCY</t>
        </is>
      </c>
      <c r="B5307" s="9" t="inlineStr">
        <is>
          <t>NANCY 09/07/2026</t>
        </is>
      </c>
      <c r="C5307" s="9" t="inlineStr">
        <is>
          <t>2026-07-09</t>
        </is>
      </c>
      <c r="D5307" s="9" t="inlineStr">
        <is>
          <t>63e0c22875cb9</t>
        </is>
      </c>
      <c r="E5307" s="9" t="inlineStr">
        <is>
          <t>PULSERA CLAVO SILVER DELGADA</t>
        </is>
      </c>
      <c r="F5307" s="9" t="inlineStr">
        <is>
          <t>17cm</t>
        </is>
      </c>
      <c r="G5307" s="9" t="n">
        <v>5</v>
      </c>
      <c r="H5307" s="21" t="n">
        <v>2.99</v>
      </c>
      <c r="I5307" s="21" t="n">
        <v>72.84999999999999</v>
      </c>
      <c r="J5307" s="21" t="n">
        <v>218.56</v>
      </c>
      <c r="K5307" s="21" t="n">
        <v>254.98</v>
      </c>
      <c r="L5307" s="21" t="n">
        <v>291.41</v>
      </c>
      <c r="M5307" s="21" t="n">
        <v>525</v>
      </c>
    </row>
    <row r="5308">
      <c r="A5308" s="9" t="inlineStr">
        <is>
          <t>NANCY</t>
        </is>
      </c>
      <c r="B5308" s="9" t="inlineStr">
        <is>
          <t>NANCY 09/07/2026</t>
        </is>
      </c>
      <c r="C5308" s="9" t="inlineStr">
        <is>
          <t>2026-07-09</t>
        </is>
      </c>
      <c r="D5308" s="9" t="inlineStr">
        <is>
          <t>661774c181d21</t>
        </is>
      </c>
      <c r="E5308" s="9" t="inlineStr">
        <is>
          <t>PULSERA ECROU SILVER</t>
        </is>
      </c>
      <c r="F5308" s="9" t="inlineStr">
        <is>
          <t>16cm</t>
        </is>
      </c>
      <c r="G5308" s="9" t="n">
        <v>6</v>
      </c>
      <c r="H5308" s="21" t="n">
        <v>5.39</v>
      </c>
      <c r="I5308" s="21" t="n">
        <v>131.33</v>
      </c>
      <c r="J5308" s="21" t="n">
        <v>393.99</v>
      </c>
      <c r="K5308" s="21" t="n">
        <v>459.65</v>
      </c>
      <c r="L5308" s="21" t="n">
        <v>525.3200000000001</v>
      </c>
      <c r="M5308" s="21" t="n">
        <v>499</v>
      </c>
    </row>
    <row r="5309">
      <c r="A5309" s="9" t="inlineStr">
        <is>
          <t>NANCY</t>
        </is>
      </c>
      <c r="B5309" s="9" t="inlineStr">
        <is>
          <t>NANCY 09/07/2026</t>
        </is>
      </c>
      <c r="C5309" s="9" t="inlineStr">
        <is>
          <t>2026-07-09</t>
        </is>
      </c>
      <c r="D5309" s="9" t="inlineStr">
        <is>
          <t>56072001110541</t>
        </is>
      </c>
      <c r="E5309" s="9" t="inlineStr">
        <is>
          <t>PULSERA F FOREVER BLACK GOLD</t>
        </is>
      </c>
      <c r="F5309" s="9" t="inlineStr"/>
      <c r="G5309" s="9" t="n">
        <v>2</v>
      </c>
      <c r="H5309" s="21" t="n">
        <v>6.99</v>
      </c>
      <c r="I5309" s="21" t="n">
        <v>170.31</v>
      </c>
      <c r="J5309" s="21" t="n">
        <v>510.94</v>
      </c>
      <c r="K5309" s="21" t="n">
        <v>596.1</v>
      </c>
      <c r="L5309" s="21" t="n">
        <v>681.26</v>
      </c>
      <c r="M5309" s="21" t="n"/>
    </row>
    <row r="5310">
      <c r="A5310" s="9" t="inlineStr">
        <is>
          <t>NANCY</t>
        </is>
      </c>
      <c r="B5310" s="9" t="inlineStr">
        <is>
          <t>NANCY 09/07/2026</t>
        </is>
      </c>
      <c r="C5310" s="9" t="inlineStr">
        <is>
          <t>2026-07-09</t>
        </is>
      </c>
      <c r="D5310" s="9" t="inlineStr">
        <is>
          <t>64e78e7d211b8</t>
        </is>
      </c>
      <c r="E5310" s="9" t="inlineStr">
        <is>
          <t>PULSERA ONE TRÉBOL GOLD</t>
        </is>
      </c>
      <c r="F5310" s="9" t="inlineStr">
        <is>
          <t>17cm Con extension 2.5m</t>
        </is>
      </c>
      <c r="G5310" s="9" t="n">
        <v>6</v>
      </c>
      <c r="H5310" s="21" t="n">
        <v>5.59</v>
      </c>
      <c r="I5310" s="21" t="n">
        <v>136.2</v>
      </c>
      <c r="J5310" s="21" t="n">
        <v>408.61</v>
      </c>
      <c r="K5310" s="21" t="n">
        <v>476.71</v>
      </c>
      <c r="L5310" s="21" t="n">
        <v>544.8099999999999</v>
      </c>
      <c r="M5310" s="21" t="n">
        <v>780</v>
      </c>
    </row>
    <row r="5311">
      <c r="A5311" s="9" t="inlineStr">
        <is>
          <t>NANCY</t>
        </is>
      </c>
      <c r="B5311" s="9" t="inlineStr">
        <is>
          <t>NANCY 09/07/2026</t>
        </is>
      </c>
      <c r="C5311" s="9" t="inlineStr">
        <is>
          <t>2026-07-09</t>
        </is>
      </c>
      <c r="D5311" s="9" t="inlineStr">
        <is>
          <t>6617744996481</t>
        </is>
      </c>
      <c r="E5311" s="9" t="inlineStr">
        <is>
          <t>PULSERA ONE TRÉBOL GOLD BLACK</t>
        </is>
      </c>
      <c r="F5311" s="9" t="inlineStr">
        <is>
          <t>17cm con extensión de 3cm</t>
        </is>
      </c>
      <c r="G5311" s="9" t="n">
        <v>5</v>
      </c>
      <c r="H5311" s="21" t="n">
        <v>5.59</v>
      </c>
      <c r="I5311" s="21" t="n">
        <v>136.2</v>
      </c>
      <c r="J5311" s="21" t="n">
        <v>408.61</v>
      </c>
      <c r="K5311" s="21" t="n">
        <v>476.71</v>
      </c>
      <c r="L5311" s="21" t="n">
        <v>544.8099999999999</v>
      </c>
      <c r="M5311" s="21" t="n">
        <v>450</v>
      </c>
    </row>
    <row r="5312">
      <c r="A5312" s="9" t="inlineStr">
        <is>
          <t>NANCY</t>
        </is>
      </c>
      <c r="B5312" s="9" t="inlineStr">
        <is>
          <t>NANCY 09/07/2026</t>
        </is>
      </c>
      <c r="C5312" s="9" t="inlineStr">
        <is>
          <t>2026-07-09</t>
        </is>
      </c>
      <c r="D5312" s="9" t="inlineStr">
        <is>
          <t>6701d185b1594</t>
        </is>
      </c>
      <c r="E5312" s="9" t="inlineStr">
        <is>
          <t>PULSERA ONE TRÉBOL GOLD GREEN</t>
        </is>
      </c>
      <c r="F5312" s="9" t="inlineStr">
        <is>
          <t>17cm con extensión de 3cm</t>
        </is>
      </c>
      <c r="G5312" s="9" t="n">
        <v>3</v>
      </c>
      <c r="H5312" s="21" t="n">
        <v>5.59</v>
      </c>
      <c r="I5312" s="21" t="n">
        <v>136.2</v>
      </c>
      <c r="J5312" s="21" t="n">
        <v>408.61</v>
      </c>
      <c r="K5312" s="21" t="n">
        <v>476.71</v>
      </c>
      <c r="L5312" s="21" t="n">
        <v>544.8099999999999</v>
      </c>
      <c r="M5312" s="21" t="n">
        <v>599</v>
      </c>
    </row>
    <row r="5313">
      <c r="A5313" s="9" t="inlineStr">
        <is>
          <t>NANCY</t>
        </is>
      </c>
      <c r="B5313" s="9" t="inlineStr">
        <is>
          <t>NANCY 09/07/2026</t>
        </is>
      </c>
      <c r="C5313" s="9" t="inlineStr">
        <is>
          <t>2026-07-09</t>
        </is>
      </c>
      <c r="D5313" s="9" t="inlineStr">
        <is>
          <t>6617744c91a0e</t>
        </is>
      </c>
      <c r="E5313" s="9" t="inlineStr">
        <is>
          <t>PULSERA ONE TRÉBOL GOLD WHITE</t>
        </is>
      </c>
      <c r="F5313" s="9" t="inlineStr">
        <is>
          <t>17cm con extensión de 3cm</t>
        </is>
      </c>
      <c r="G5313" s="9" t="n">
        <v>10</v>
      </c>
      <c r="H5313" s="21" t="n">
        <v>5.59</v>
      </c>
      <c r="I5313" s="21" t="n">
        <v>136.2</v>
      </c>
      <c r="J5313" s="21" t="n">
        <v>408.61</v>
      </c>
      <c r="K5313" s="21" t="n">
        <v>476.71</v>
      </c>
      <c r="L5313" s="21" t="n">
        <v>544.8099999999999</v>
      </c>
      <c r="M5313" s="21" t="n">
        <v>575</v>
      </c>
    </row>
    <row r="5314">
      <c r="A5314" s="9" t="inlineStr">
        <is>
          <t>NANCY</t>
        </is>
      </c>
      <c r="B5314" s="9" t="inlineStr">
        <is>
          <t>NANCY 09/07/2026</t>
        </is>
      </c>
      <c r="C5314" s="9" t="inlineStr">
        <is>
          <t>2026-07-09</t>
        </is>
      </c>
      <c r="D5314" s="9" t="inlineStr">
        <is>
          <t>6701d185cad9a</t>
        </is>
      </c>
      <c r="E5314" s="9" t="inlineStr">
        <is>
          <t>PULSERA ONE TRÉBOL ROSEGOLD RED</t>
        </is>
      </c>
      <c r="F5314" s="9" t="inlineStr">
        <is>
          <t>Talla 17 con extensión de 3cm</t>
        </is>
      </c>
      <c r="G5314" s="9" t="n">
        <v>2</v>
      </c>
      <c r="H5314" s="21" t="n">
        <v>5.59</v>
      </c>
      <c r="I5314" s="21" t="n">
        <v>136.2</v>
      </c>
      <c r="J5314" s="21" t="n">
        <v>408.61</v>
      </c>
      <c r="K5314" s="21" t="n">
        <v>476.71</v>
      </c>
      <c r="L5314" s="21" t="n">
        <v>544.8099999999999</v>
      </c>
      <c r="M5314" s="21" t="n">
        <v>599</v>
      </c>
    </row>
    <row r="5315">
      <c r="A5315" s="9" t="inlineStr">
        <is>
          <t>NANCY</t>
        </is>
      </c>
      <c r="B5315" s="9" t="inlineStr">
        <is>
          <t>NANCY 09/07/2026</t>
        </is>
      </c>
      <c r="C5315" s="9" t="inlineStr">
        <is>
          <t>2026-07-09</t>
        </is>
      </c>
      <c r="D5315" s="9" t="inlineStr">
        <is>
          <t>665bce4e1ec6b</t>
        </is>
      </c>
      <c r="E5315" s="9" t="inlineStr">
        <is>
          <t>PULSERA PERLEÉ GOLD</t>
        </is>
      </c>
      <c r="F5315" s="9" t="inlineStr">
        <is>
          <t>16cm</t>
        </is>
      </c>
      <c r="G5315" s="9" t="n">
        <v>4</v>
      </c>
      <c r="H5315" s="21" t="n">
        <v>11.39</v>
      </c>
      <c r="I5315" s="21" t="n">
        <v>277.52</v>
      </c>
      <c r="J5315" s="21" t="n">
        <v>832.5700000000001</v>
      </c>
      <c r="K5315" s="21" t="n">
        <v>971.33</v>
      </c>
      <c r="L5315" s="21" t="n">
        <v>1110.09</v>
      </c>
      <c r="M5315" s="21" t="n">
        <v>950</v>
      </c>
    </row>
    <row r="5316">
      <c r="A5316" s="9" t="inlineStr">
        <is>
          <t>NANCY</t>
        </is>
      </c>
      <c r="B5316" s="9" t="inlineStr">
        <is>
          <t>NANCY 09/07/2026</t>
        </is>
      </c>
      <c r="C5316" s="9" t="inlineStr">
        <is>
          <t>2026-07-09</t>
        </is>
      </c>
      <c r="D5316" s="9" t="inlineStr">
        <is>
          <t>665bce4734fce</t>
        </is>
      </c>
      <c r="E5316" s="9" t="inlineStr">
        <is>
          <t>PULSERA PERLEÉ ROSEGOLD</t>
        </is>
      </c>
      <c r="F5316" s="9" t="inlineStr">
        <is>
          <t>16cm</t>
        </is>
      </c>
      <c r="G5316" s="9" t="n">
        <v>4</v>
      </c>
      <c r="H5316" s="21" t="n">
        <v>11.39</v>
      </c>
      <c r="I5316" s="21" t="n">
        <v>277.52</v>
      </c>
      <c r="J5316" s="21" t="n">
        <v>832.5700000000001</v>
      </c>
      <c r="K5316" s="21" t="n">
        <v>971.33</v>
      </c>
      <c r="L5316" s="21" t="n">
        <v>1110.09</v>
      </c>
      <c r="M5316" s="21" t="n">
        <v>860</v>
      </c>
    </row>
    <row r="5317">
      <c r="A5317" s="9" t="inlineStr">
        <is>
          <t>NANCY</t>
        </is>
      </c>
      <c r="B5317" s="9" t="inlineStr">
        <is>
          <t>NANCY 09/07/2026</t>
        </is>
      </c>
      <c r="C5317" s="9" t="inlineStr">
        <is>
          <t>2026-07-09</t>
        </is>
      </c>
      <c r="D5317" s="9" t="inlineStr">
        <is>
          <t>58501868312588</t>
        </is>
      </c>
      <c r="E5317" s="9" t="inlineStr">
        <is>
          <t>PULSERA PERLEÉ ROSEGOLD ANCHA</t>
        </is>
      </c>
      <c r="F5317" s="9" t="inlineStr">
        <is>
          <t>16cm</t>
        </is>
      </c>
      <c r="G5317" s="9" t="n">
        <v>2</v>
      </c>
      <c r="H5317" s="21" t="n">
        <v>13.19</v>
      </c>
      <c r="I5317" s="21" t="n">
        <v>321.38</v>
      </c>
      <c r="J5317" s="21" t="n">
        <v>964.14</v>
      </c>
      <c r="K5317" s="21" t="n">
        <v>1124.83</v>
      </c>
      <c r="L5317" s="21" t="n">
        <v>1285.52</v>
      </c>
      <c r="M5317" s="21" t="n">
        <v>1199</v>
      </c>
    </row>
    <row r="5318">
      <c r="A5318" s="9" t="inlineStr">
        <is>
          <t>NANCY</t>
        </is>
      </c>
      <c r="B5318" s="9" t="inlineStr">
        <is>
          <t>NANCY 09/07/2026</t>
        </is>
      </c>
      <c r="C5318" s="9" t="inlineStr">
        <is>
          <t>2026-07-09</t>
        </is>
      </c>
      <c r="D5318" s="9" t="inlineStr">
        <is>
          <t>665bce65c57fd</t>
        </is>
      </c>
      <c r="E5318" s="9" t="inlineStr">
        <is>
          <t>PULSERA SERPENTI LISA SILVER</t>
        </is>
      </c>
      <c r="F5318" s="9" t="inlineStr">
        <is>
          <t>18cm</t>
        </is>
      </c>
      <c r="G5318" s="9" t="n">
        <v>8</v>
      </c>
      <c r="H5318" s="21" t="n">
        <v>9.59</v>
      </c>
      <c r="I5318" s="21" t="n">
        <v>233.66</v>
      </c>
      <c r="J5318" s="21" t="n">
        <v>700.99</v>
      </c>
      <c r="K5318" s="21" t="n">
        <v>817.83</v>
      </c>
      <c r="L5318" s="21" t="n">
        <v>934.66</v>
      </c>
      <c r="M5318" s="21" t="n">
        <v>789</v>
      </c>
    </row>
    <row r="5319">
      <c r="A5319" s="9" t="inlineStr">
        <is>
          <t>NANCY</t>
        </is>
      </c>
      <c r="B5319" s="9" t="inlineStr">
        <is>
          <t>NANCY 09/07/2026</t>
        </is>
      </c>
      <c r="C5319" s="9" t="inlineStr">
        <is>
          <t>2026-07-09</t>
        </is>
      </c>
      <c r="D5319" s="9" t="inlineStr">
        <is>
          <t>665bd055c2e65</t>
        </is>
      </c>
      <c r="E5319" s="9" t="inlineStr">
        <is>
          <t>PULSERA TB CON UNA INSIGNIA BLACK</t>
        </is>
      </c>
      <c r="F5319" s="9" t="inlineStr">
        <is>
          <t>17cm</t>
        </is>
      </c>
      <c r="G5319" s="9" t="n">
        <v>2</v>
      </c>
      <c r="H5319" s="21" t="n">
        <v>5.99</v>
      </c>
      <c r="I5319" s="21" t="n">
        <v>145.95</v>
      </c>
      <c r="J5319" s="21" t="n">
        <v>437.85</v>
      </c>
      <c r="K5319" s="21" t="n">
        <v>510.82</v>
      </c>
      <c r="L5319" s="21" t="n">
        <v>583.8</v>
      </c>
      <c r="M5319" s="21" t="n">
        <v>350</v>
      </c>
    </row>
    <row r="5320">
      <c r="A5320" s="9" t="inlineStr">
        <is>
          <t>NANCY</t>
        </is>
      </c>
      <c r="B5320" s="9" t="inlineStr">
        <is>
          <t>NANCY 09/07/2026</t>
        </is>
      </c>
      <c r="C5320" s="9" t="inlineStr">
        <is>
          <t>2026-07-09</t>
        </is>
      </c>
      <c r="D5320" s="9" t="inlineStr">
        <is>
          <t>69645921049005</t>
        </is>
      </c>
      <c r="E5320" s="9" t="inlineStr">
        <is>
          <t>PULSERA YSL GOLD</t>
        </is>
      </c>
      <c r="F5320" s="9" t="inlineStr">
        <is>
          <t>Default Title</t>
        </is>
      </c>
      <c r="G5320" s="9" t="n">
        <v>6</v>
      </c>
      <c r="H5320" s="21" t="n">
        <v>5.99</v>
      </c>
      <c r="I5320" s="21" t="n">
        <v>145.95</v>
      </c>
      <c r="J5320" s="21" t="n">
        <v>437.85</v>
      </c>
      <c r="K5320" s="21" t="n">
        <v>510.82</v>
      </c>
      <c r="L5320" s="21" t="n">
        <v>583.8</v>
      </c>
      <c r="M5320" s="21" t="n">
        <v>380</v>
      </c>
    </row>
  </sheetData>
  <autoFilter ref="A1:M53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2026-08-12T17:22:04Z</dcterms:created>
  <dcterms:modified xsi:type="dcterms:W3CDTF">2026-08-12T17:51:50Z</dcterms:modified>
</cp:coreProperties>
</file>